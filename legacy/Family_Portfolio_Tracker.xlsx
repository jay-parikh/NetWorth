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  <Override PartName="/xl/worksheets/_rels/sheet13.xml.rels" ContentType="application/vnd.openxmlformats-package.relationships+xml"/>
  <Override PartName="/xl/drawings/drawing5.xml" ContentType="application/vnd.openxmlformats-officedocument.drawing+xml"/>
  <Override PartName="/xl/drawings/_rels/drawing5.xml.rels" ContentType="application/vnd.openxmlformats-package.relationships+xml"/>
  <Override PartName="/xl/charts/chart6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jection" sheetId="13" state="visible" r:id="rId16"/>
    <sheet name="Amit" sheetId="2" state="visible" r:id="rId4"/>
    <sheet name="Priya" sheetId="3" state="visible" r:id="rId5"/>
    <sheet name="Rahul" sheetId="4" state="visible" r:id="rId6"/>
    <sheet name="Equity" sheetId="5" state="visible" r:id="rId7"/>
    <sheet name="MutualFunds" sheetId="6" state="visible" r:id="rId8"/>
    <sheet name="MF_SIP" sheetId="7" state="visible" r:id="rId9"/>
    <sheet name="MF_Master" sheetId="14" state="visible" r:id="rId17"/>
    <sheet name="Stock_Master" sheetId="15" state="visible" r:id="rId18"/>
    <sheet name="FixedDeposits" sheetId="8" state="visible" r:id="rId10"/>
    <sheet name="PPF" sheetId="9" state="visible" r:id="rId11"/>
    <sheet name="Bonds" sheetId="10" state="visible" r:id="rId12"/>
    <sheet name="By Scrip" sheetId="11" state="visible" r:id="rId13"/>
    <sheet name="Guide" sheetId="12" state="visible" r:id="rId14"/>
  </sheets>
  <definedNames>
    <definedName name="MF_SchemeList">MF_Master!$B$4:INDEX(MF_Master!$B:$B,COUNTA(MF_Master!$B:$B)+2)</definedName>
    <definedName name="Stock_NameList">Stock_Master!$B$4:INDEX(Stock_Master!$B:$B,COUNTA(Stock_Master!$B:$B)+2)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42" authorId="0">
      <text>
        <r>
          <rPr>
            <sz val="10"/>
            <rFont val="Arial"/>
            <family val="2"/>
          </rPr>
          <t xml:space="preserve">Portfolio equity XIRR - written by UpdatePrices.bat (plain value).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3" authorId="0">
      <text>
        <r>
          <rPr>
            <sz val="10"/>
            <rFont val="Arial"/>
            <family val="2"/>
          </rPr>
          <t xml:space="preserve">XIRR (annualised, cashflow-dated return) is computed and written by UpdateNAV.bat each time you run it. Run it after adding or changing purchases.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Arial"/>
            <family val="2"/>
          </rPr>
          <t xml:space="preserve">Units = Amount / NAV on date (auto). If you know units but not the NAV, you may overtype Units with the number from your statement.</t>
        </r>
      </text>
    </comment>
    <comment ref="J1" authorId="0">
      <text>
        <r>
          <rPr>
            <sz val="10"/>
            <rFont val="Arial"/>
            <family val="2"/>
          </rPr>
          <t xml:space="preserve">Written by UpdateNAV.bat (plain value). Run it after any change.</t>
        </r>
      </text>
    </comment>
  </commentList>
</comments>
</file>

<file path=xl/sharedStrings.xml><?xml version="1.0" encoding="utf-8"?>
<sst xmlns="http://schemas.openxmlformats.org/spreadsheetml/2006/main" count="401" uniqueCount="165">
  <si>
    <t xml:space="preserve">FAMILY PORTFOLIO — NET WORTH TRACKER</t>
  </si>
  <si>
    <t xml:space="preserve">As on</t>
  </si>
  <si>
    <t xml:space="preserve">Family net worth</t>
  </si>
  <si>
    <t xml:space="preserve">Person</t>
  </si>
  <si>
    <t xml:space="preserve">Equity</t>
  </si>
  <si>
    <t xml:space="preserve">Mutual Funds</t>
  </si>
  <si>
    <t xml:space="preserve">Fixed Deposits</t>
  </si>
  <si>
    <t xml:space="preserve">PPF</t>
  </si>
  <si>
    <t xml:space="preserve">Bonds</t>
  </si>
  <si>
    <t xml:space="preserve">Total</t>
  </si>
  <si>
    <t xml:space="preserve">Amit</t>
  </si>
  <si>
    <t xml:space="preserve">Priya</t>
  </si>
  <si>
    <t xml:space="preserve">Rahul</t>
  </si>
  <si>
    <t xml:space="preserve">TOTAL</t>
  </si>
  <si>
    <t xml:space="preserve">Allocation by asset class</t>
  </si>
  <si>
    <t xml:space="preserve">Asset class</t>
  </si>
  <si>
    <t xml:space="preserve">Value</t>
  </si>
  <si>
    <t xml:space="preserve">Amit — PORTFOLIO</t>
  </si>
  <si>
    <t xml:space="preserve">Owner</t>
  </si>
  <si>
    <t xml:space="preserve">Net worth</t>
  </si>
  <si>
    <t xml:space="preserve"># holdings</t>
  </si>
  <si>
    <t xml:space="preserve">EQUITY</t>
  </si>
  <si>
    <t xml:space="preserve">ISIN</t>
  </si>
  <si>
    <t xml:space="preserve">Scrip</t>
  </si>
  <si>
    <t xml:space="preserve">Qty</t>
  </si>
  <si>
    <t xml:space="preserve">Avg cost</t>
  </si>
  <si>
    <t xml:space="preserve">Cur. val</t>
  </si>
  <si>
    <t xml:space="preserve">Net chg.</t>
  </si>
  <si>
    <t xml:space="preserve">XIRR</t>
  </si>
  <si>
    <t xml:space="preserve">MUTUAL FUNDS</t>
  </si>
  <si>
    <t xml:space="preserve">Fund House</t>
  </si>
  <si>
    <t xml:space="preserve">Scheme</t>
  </si>
  <si>
    <t xml:space="preserve">Units</t>
  </si>
  <si>
    <t xml:space="preserve">Cur NAV</t>
  </si>
  <si>
    <t xml:space="preserve">FIXED DEPOSITS</t>
  </si>
  <si>
    <t xml:space="preserve">Bank</t>
  </si>
  <si>
    <t xml:space="preserve">Principal</t>
  </si>
  <si>
    <t xml:space="preserve">Rate %</t>
  </si>
  <si>
    <t xml:space="preserve">Maturity</t>
  </si>
  <si>
    <t xml:space="preserve">Value today</t>
  </si>
  <si>
    <t xml:space="preserve">Institution</t>
  </si>
  <si>
    <t xml:space="preserve">Balance</t>
  </si>
  <si>
    <t xml:space="preserve">As-on</t>
  </si>
  <si>
    <t xml:space="preserve">BONDS</t>
  </si>
  <si>
    <t xml:space="preserve">Issuer / Bond</t>
  </si>
  <si>
    <t xml:space="preserve">Buy Price</t>
  </si>
  <si>
    <t xml:space="preserve">Cur Price</t>
  </si>
  <si>
    <t xml:space="preserve">Priya — PORTFOLIO</t>
  </si>
  <si>
    <t xml:space="preserve">Rahul — PORTFOLIO</t>
  </si>
  <si>
    <t xml:space="preserve">EQUITY HOLDINGS</t>
  </si>
  <si>
    <t xml:space="preserve">Enter Owner, ISIN, Scrip, Qty, Avg cost, Closing Price, Prev. close, Date (yellow). Cur. val / Invested / Net chg / Day chg compute automatically. Prices refresh via UpdatePrices.bat by ISIN.</t>
  </si>
  <si>
    <t xml:space="preserve">Quantity</t>
  </si>
  <si>
    <t xml:space="preserve">Avg. cost</t>
  </si>
  <si>
    <t xml:space="preserve">Closing Price</t>
  </si>
  <si>
    <t xml:space="preserve">Prev. close</t>
  </si>
  <si>
    <t xml:space="preserve">Closing Price Date</t>
  </si>
  <si>
    <t xml:space="preserve">Invested</t>
  </si>
  <si>
    <t xml:space="preserve">Day chg.</t>
  </si>
  <si>
    <t xml:space="preserve">Cost date</t>
  </si>
  <si>
    <t xml:space="preserve">Key</t>
  </si>
  <si>
    <t xml:space="preserve">INE002A01018</t>
  </si>
  <si>
    <t xml:space="preserve">RELIANCE INDUSTRIES LIMITED EQ</t>
  </si>
  <si>
    <t xml:space="preserve">13-07-2026</t>
  </si>
  <si>
    <t xml:space="preserve">INE467B01029</t>
  </si>
  <si>
    <t xml:space="preserve">TATA CONSULTANCY SERVICES LIMITED EQ</t>
  </si>
  <si>
    <t xml:space="preserve">INE009A01021</t>
  </si>
  <si>
    <t xml:space="preserve">INFOSYS LIMITED EQ</t>
  </si>
  <si>
    <t xml:space="preserve">INE040A01034</t>
  </si>
  <si>
    <t xml:space="preserve">HDFC BANK LIMITED EQ</t>
  </si>
  <si>
    <t xml:space="preserve">INE154A01025</t>
  </si>
  <si>
    <t xml:space="preserve">ITC LIMITED EQ</t>
  </si>
  <si>
    <t xml:space="preserve">INE090A01021</t>
  </si>
  <si>
    <t xml:space="preserve">ICICI BANK LIMITED EQ</t>
  </si>
  <si>
    <t xml:space="preserve">INE075A01022</t>
  </si>
  <si>
    <t xml:space="preserve">WIPRO LIMITED EQ</t>
  </si>
  <si>
    <t xml:space="preserve">INE018A01030</t>
  </si>
  <si>
    <t xml:space="preserve">LARSEN &amp; TOUBRO LIMITED EQ</t>
  </si>
  <si>
    <t xml:space="preserve">INE062A01020</t>
  </si>
  <si>
    <t xml:space="preserve">STATE BANK OF INDIA EQ</t>
  </si>
  <si>
    <t xml:space="preserve">INE030A01027</t>
  </si>
  <si>
    <t xml:space="preserve">HINDUSTAN UNILEVER LIMITED EQ</t>
  </si>
  <si>
    <t xml:space="preserve">XIRR →</t>
  </si>
  <si>
    <t xml:space="preserve">One row per scheme. Enter Owner, Fund house, Scheme, ISIN and Current NAV. Units / Invested / Avg cost NAV / Return come from the MF_SIP ledger (every SIP installment and lump sum) automatically. Current NAV refreshes from AMFI via UpdateNAV.bat.</t>
  </si>
  <si>
    <t xml:space="preserve">Scheme Name</t>
  </si>
  <si>
    <t xml:space="preserve">Avg cost NAV</t>
  </si>
  <si>
    <t xml:space="preserve">Current NAV</t>
  </si>
  <si>
    <t xml:space="preserve">Return %</t>
  </si>
  <si>
    <t xml:space="preserve">Parag Parikh Mutual Fund</t>
  </si>
  <si>
    <t xml:space="preserve">Parag Parikh Flexi Cap Fund - Direct Plan</t>
  </si>
  <si>
    <t xml:space="preserve">INF879O01027</t>
  </si>
  <si>
    <t xml:space="preserve">SBI Mutual Fund</t>
  </si>
  <si>
    <t xml:space="preserve">SBI Bluechip Fund - Direct Growth</t>
  </si>
  <si>
    <t xml:space="preserve">INF200K01T51</t>
  </si>
  <si>
    <t xml:space="preserve">MUTUAL FUND SIP / PURCHASE LEDGER</t>
  </si>
  <si>
    <t xml:space="preserve">Portfolio MF XIRR</t>
  </si>
  <si>
    <t xml:space="preserve">One row per SIP installment or lump-sum buy. Enter Owner, Fund house, Scheme, ISIN, Date, Amount and NAV on that date; Units compute. The MutualFunds sheet sums these by Owner+ISIN. Works for SIPs AND lump-sum buys alike (a lump sum is just one row). Redemptions: a row with negative Amount.</t>
  </si>
  <si>
    <t xml:space="preserve">Date</t>
  </si>
  <si>
    <t xml:space="preserve">Amount</t>
  </si>
  <si>
    <t xml:space="preserve">NAV on date</t>
  </si>
  <si>
    <t xml:space="preserve">Enter Owner, Bank, FD no., Principal, Rate % p.a., Start &amp; Maturity dates, Compounding/yr (4 = quarterly, the usual). Value today &amp; Maturity value compute with compound interest.</t>
  </si>
  <si>
    <t xml:space="preserve">Bank / Institution</t>
  </si>
  <si>
    <t xml:space="preserve">FD No.</t>
  </si>
  <si>
    <t xml:space="preserve">Rate % p.a.</t>
  </si>
  <si>
    <t xml:space="preserve">Start Date</t>
  </si>
  <si>
    <t xml:space="preserve">Maturity Date</t>
  </si>
  <si>
    <t xml:space="preserve">Comp./yr</t>
  </si>
  <si>
    <t xml:space="preserve">Value as on today</t>
  </si>
  <si>
    <t xml:space="preserve">Maturity Value</t>
  </si>
  <si>
    <t xml:space="preserve">HDFC Bank</t>
  </si>
  <si>
    <t xml:space="preserve">FD-2024-0117</t>
  </si>
  <si>
    <t xml:space="preserve">SBI</t>
  </si>
  <si>
    <t xml:space="preserve">FD-2025-0342</t>
  </si>
  <si>
    <t xml:space="preserve">PPF ACCOUNTS</t>
  </si>
  <si>
    <t xml:space="preserve">Enter Owner, Institution, Account no., Current balance and the date it is as-of. Update the balance yourself (typically once a year after interest is credited).</t>
  </si>
  <si>
    <t xml:space="preserve">Account No.</t>
  </si>
  <si>
    <t xml:space="preserve">Current Balance</t>
  </si>
  <si>
    <t xml:space="preserve">Balance as-on</t>
  </si>
  <si>
    <t xml:space="preserve">Rate % (ref)</t>
  </si>
  <si>
    <t xml:space="preserve">Notes</t>
  </si>
  <si>
    <t xml:space="preserve">Post Office</t>
  </si>
  <si>
    <t xml:space="preserve">PPF-104522</t>
  </si>
  <si>
    <t xml:space="preserve">Matures 2031</t>
  </si>
  <si>
    <t xml:space="preserve">PPF-778101</t>
  </si>
  <si>
    <t xml:space="preserve">CORPORATE / OTHER BONDS</t>
  </si>
  <si>
    <t xml:space="preserve">Enter Owner, Issuer, ISIN, Qty, Face value, Buy price, Current price, Coupon %, Maturity. Invested / Cur. val / Net chg compute automatically.</t>
  </si>
  <si>
    <t xml:space="preserve">Face Value</t>
  </si>
  <si>
    <t xml:space="preserve">Current Price</t>
  </si>
  <si>
    <t xml:space="preserve">Coupon % p.a.</t>
  </si>
  <si>
    <t xml:space="preserve">8.5% NHAI Bond 2029</t>
  </si>
  <si>
    <t xml:space="preserve">INE906B07CB9</t>
  </si>
  <si>
    <t xml:space="preserve">FAMILY EXPOSURE BY SCRIP</t>
  </si>
  <si>
    <t xml:space="preserve">Total family quantity and current value per scrip, split by person. Live from the Equity sheet. To add a scrip not listed, type its ISIN and name in a blank row.</t>
  </si>
  <si>
    <t xml:space="preserve">Total Qty</t>
  </si>
  <si>
    <t xml:space="preserve">HOW TO USE THIS TRACKER</t>
  </si>
  <si>
    <t xml:space="preserve">This one workbook tracks the whole family's net worth across asset classes.</t>
  </si>
  <si>
    <t xml:space="preserve">The Dashboard adds everything up automatically with formulas — you never edit formulas.</t>
  </si>
  <si>
    <t xml:space="preserve">ADD A NEW PERSON</t>
  </si>
  <si>
    <t xml:space="preserve">  - Type their name in the Owner column of any asset sheet (Equity, MutualFunds, etc.).</t>
  </si>
  <si>
    <t xml:space="preserve">  - Add the same name into an empty yellow 'Person' cell on the Dashboard (rows 6-15).</t>
  </si>
  <si>
    <t xml:space="preserve">    That's it — their totals appear and roll into the family total and charts.</t>
  </si>
  <si>
    <t xml:space="preserve">ADD A HOLDING</t>
  </si>
  <si>
    <t xml:space="preserve">  - Equity: add a row on the Equity sheet (Owner, ISIN, Scrip, Qty, Avg cost, prices).</t>
  </si>
  <si>
    <t xml:space="preserve">    'Cost date' drives the per-stock XIRR (annualised return). It is pre-set to</t>
  </si>
  <si>
    <t xml:space="preserve">    31-Jan-2018 (the grandfathering date used for the FMV cost) or the IPO date for</t>
  </si>
  <si>
    <t xml:space="preserve">    post-2018 listings; replace with your actual purchase date for precision.</t>
  </si>
  <si>
    <t xml:space="preserve">  - Mutual fund / SIP: add ONE row per fund on MutualFunds (Owner, house, scheme,</t>
  </si>
  <si>
    <t xml:space="preserve">    ISIN, Current NAV). Then log every SIP installment / lump sum as a row on the</t>
  </si>
  <si>
    <t xml:space="preserve">    MF_SIP sheet (Owner, scheme, ISIN, Date, Amount, NAV on that date). Units,</t>
  </si>
  <si>
    <t xml:space="preserve">    Invested, Avg cost NAV, Return % and XIRR all compute on the MutualFunds sheet.</t>
  </si>
  <si>
    <t xml:space="preserve">    Redemptions: enter them on MF_SIP with a negative Amount.</t>
  </si>
  <si>
    <t xml:space="preserve">  - Fixed deposit: add a row on FixedDeposits (principal, rate, dates, comp./yr).</t>
  </si>
  <si>
    <t xml:space="preserve">  - PPF: add a row on PPF (current balance + as-on date).</t>
  </si>
  <si>
    <t xml:space="preserve">  - Bond: add a row on Bonds (qty, face value, buy/current price, coupon, maturity).</t>
  </si>
  <si>
    <t xml:space="preserve">  Yellow/blue cells are for you to type; the grey computed columns fill themselves.</t>
  </si>
  <si>
    <t xml:space="preserve">  Rows are pre-formatted well beyond the current data, so just keep typing downward.</t>
  </si>
  <si>
    <t xml:space="preserve">UPDATE PRICES</t>
  </si>
  <si>
    <t xml:space="preserve">  - Equity: run UpdatePrices.bat (updates Closing Price / Prev. close / Date by ISIN).</t>
  </si>
  <si>
    <t xml:space="preserve">  - Mutual funds: refresh 'Current NAV' from the AMFI NAV file by ISIN (or type it).</t>
  </si>
  <si>
    <t xml:space="preserve">  - Bonds: corporate bonds are illiquid; update 'Current Price' manually when you have it.</t>
  </si>
  <si>
    <t xml:space="preserve">  - FD value and PPF need no price feed — FD compounds automatically to today's date.</t>
  </si>
  <si>
    <t xml:space="preserve">NOTES</t>
  </si>
  <si>
    <t xml:space="preserve">  - XIRR columns hold plain values written by the updaters; run UpdateNAV.bat after</t>
  </si>
  <si>
    <t xml:space="preserve">    changing mutual-fund data and UpdatePrices.bat after changing equity data.</t>
  </si>
  <si>
    <t xml:space="preserve">  - Equity was carried over from your demat files with the agreed cost basis.</t>
  </si>
  <si>
    <t xml:space="preserve">  - Don't rename the sheets — the Dashboard formulas reference them by name.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</si>
</sst>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\-yyyy"/>
    <numFmt numFmtId="166" formatCode="#,##0;\(#,##0\);\-"/>
    <numFmt numFmtId="167" formatCode="General"/>
    <numFmt numFmtId="168" formatCode="#,##0.00;\(#,##0.00\);\-"/>
    <numFmt numFmtId="169" formatCode="0.0%"/>
    <numFmt numFmtId="170" formatCode="0.00"/>
    <numFmt numFmtId="171" formatCode="#,##0.000"/>
    <numFmt numFmtId="172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595959"/>
      <name val="Arial"/>
      <family val="0"/>
      <charset val="1"/>
    </font>
    <font>
      <sz val="8"/>
      <color rgb="FFBFBFB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Relationship Id="rId16" Type="http://schemas.openxmlformats.org/officeDocument/2006/relationships/worksheet" Target="worksheets/sheet13.xml"/>
<Relationship Id="rId17" Type="http://schemas.openxmlformats.org/officeDocument/2006/relationships/worksheet" Target="worksheets/sheet14.xml"/>
<Relationship Id="rId18" Type="http://schemas.openxmlformats.org/officeDocument/2006/relationships/worksheet" Target="worksheets/sheet1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Allocation by asset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Dashboard!$A$20:$A$24</c:f>
              <c:strCache>
                <c:ptCount val="5"/>
                <c:pt idx="0">
                  <c:v>Equity</c:v>
                </c:pt>
                <c:pt idx="1">
                  <c:v>Mutual Funds</c:v>
                </c:pt>
                <c:pt idx="2">
                  <c:v>Fixed Deposits</c:v>
                </c:pt>
                <c:pt idx="3">
                  <c:v>PPF</c:v>
                </c:pt>
                <c:pt idx="4">
                  <c:v>Bonds</c:v>
                </c:pt>
              </c:strCache>
            </c:strRef>
          </c:cat>
          <c:val>
            <c:numRef>
              <c:f>Dashboard!$B$20:$B$24</c:f>
              <c:numCache>
                <c:formatCode>#,##0;\(#,##0\);\-</c:formatCode>
                <c:ptCount val="5"/>
                <c:pt idx="0">
                  <c:v>766750</c:v>
                </c:pt>
                <c:pt idx="1">
                  <c:v>237414.193064538</c:v>
                </c:pt>
                <c:pt idx="2">
                  <c:v>919146.174720052</c:v>
                </c:pt>
                <c:pt idx="3">
                  <c:v>1285000</c:v>
                </c:pt>
                <c:pt idx="4">
                  <c:v>50750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worth by 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Dashboard!$A$6:$A$15</c:f>
              <c:strCache>
                <c:ptCount val="10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Dashboard!$G$6:$G$15</c:f>
              <c:numCache>
                <c:formatCode>#,##0;\(#,##0\);\-</c:formatCode>
                <c:ptCount val="10"/>
                <c:pt idx="0">
                  <c:v>1361158.20979678</c:v>
                </c:pt>
                <c:pt idx="1">
                  <c:v>1254683.96674584</c:v>
                </c:pt>
                <c:pt idx="2">
                  <c:v>643218.191241964</c:v>
                </c:pt>
              </c:numCache>
            </c:numRef>
          </c:val>
        </c:ser>
        <c:gapWidth val="150"/>
        <c:overlap val="0"/>
        <c:axId val="40002359"/>
        <c:axId val="78517135"/>
      </c:barChart>
      <c:catAx>
        <c:axId val="400023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17135"/>
        <c:crosses val="autoZero"/>
        <c:auto val="1"/>
        <c:lblAlgn val="ctr"/>
        <c:lblOffset val="100"/>
        <c:noMultiLvlLbl val="0"/>
      </c:catAx>
      <c:valAx>
        <c:axId val="78517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023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Amit —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Amit!$A$6:$A$10</c:f>
              <c:strCache>
                <c:ptCount val="5"/>
                <c:pt idx="0">
                  <c:v>Equity</c:v>
                </c:pt>
                <c:pt idx="1">
                  <c:v>Mutual Funds</c:v>
                </c:pt>
                <c:pt idx="2">
                  <c:v>Fixed Deposits</c:v>
                </c:pt>
                <c:pt idx="3">
                  <c:v>PPF</c:v>
                </c:pt>
                <c:pt idx="4">
                  <c:v>Bonds</c:v>
                </c:pt>
              </c:strCache>
            </c:strRef>
          </c:cat>
          <c:val>
            <c:numRef>
              <c:f>Amit!$B$6:$B$10</c:f>
              <c:numCache>
                <c:formatCode>#,##0;\(#,##0\);\-</c:formatCode>
                <c:ptCount val="5"/>
                <c:pt idx="0">
                  <c:v>283200</c:v>
                </c:pt>
                <c:pt idx="1">
                  <c:v>65680.2263186949</c:v>
                </c:pt>
                <c:pt idx="2">
                  <c:v>587277.983478088</c:v>
                </c:pt>
                <c:pt idx="3">
                  <c:v>425000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Priya —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Priya!$A$6:$A$10</c:f>
              <c:strCache>
                <c:ptCount val="5"/>
                <c:pt idx="0">
                  <c:v>Equity</c:v>
                </c:pt>
                <c:pt idx="1">
                  <c:v>Mutual Funds</c:v>
                </c:pt>
                <c:pt idx="2">
                  <c:v>Fixed Deposits</c:v>
                </c:pt>
                <c:pt idx="3">
                  <c:v>PPF</c:v>
                </c:pt>
                <c:pt idx="4">
                  <c:v>Bonds</c:v>
                </c:pt>
              </c:strCache>
            </c:strRef>
          </c:cat>
          <c:val>
            <c:numRef>
              <c:f>Priya!$B$6:$B$10</c:f>
              <c:numCache>
                <c:formatCode>#,##0;\(#,##0\);\-</c:formatCode>
                <c:ptCount val="5"/>
                <c:pt idx="0">
                  <c:v>222950</c:v>
                </c:pt>
                <c:pt idx="1">
                  <c:v>171733.966745843</c:v>
                </c:pt>
                <c:pt idx="2">
                  <c:v>0</c:v>
                </c:pt>
                <c:pt idx="3">
                  <c:v>860000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Rahul —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Rahul!$A$6:$A$10</c:f>
              <c:strCache>
                <c:ptCount val="5"/>
                <c:pt idx="0">
                  <c:v>Equity</c:v>
                </c:pt>
                <c:pt idx="1">
                  <c:v>Mutual Funds</c:v>
                </c:pt>
                <c:pt idx="2">
                  <c:v>Fixed Deposits</c:v>
                </c:pt>
                <c:pt idx="3">
                  <c:v>PPF</c:v>
                </c:pt>
                <c:pt idx="4">
                  <c:v>Bonds</c:v>
                </c:pt>
              </c:strCache>
            </c:strRef>
          </c:cat>
          <c:val>
            <c:numRef>
              <c:f>Rahul!$B$6:$B$10</c:f>
              <c:numCache>
                <c:formatCode>#,##0;\(#,##0\);\-</c:formatCode>
                <c:ptCount val="5"/>
                <c:pt idx="0">
                  <c:v>260600</c:v>
                </c:pt>
                <c:pt idx="1">
                  <c:v>0</c:v>
                </c:pt>
                <c:pt idx="2">
                  <c:v>331868.191241964</c:v>
                </c:pt>
                <c:pt idx="3">
                  <c:v>0</c:v>
                </c:pt>
                <c:pt idx="4">
                  <c:v>50750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400" spc="-1" strike="noStrike">
                <a:solidFill>
                  <a:srgbClr val="000000"/>
                </a:solidFill>
                <a:latin typeface="Calibri"/>
              </a:rPr>
              <a:t>Corpus trajectory — portfolio return vs inflation (20 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Projection!$B$3</c:f>
              <c:strCache>
                <c:ptCount val="1"/>
                <c:pt idx="0">
                  <c:v>Corpus @ portfolio XIRR</c:v>
                </c:pt>
              </c:strCache>
            </c:strRef>
          </c:tx>
          <c:spPr>
            <a:ln w="28575">
              <a:solidFill>
                <a:srgbClr val="4f81bd"/>
              </a:solidFill>
              <a:round/>
            </a:ln>
          </c:spPr>
          <c:marker>
            <c:symbol val="none"/>
          </c:marker>
          <c:cat>
            <c:numRef>
              <c:f>Projection!$A$4:$A$24</c:f>
              <c:numCache>
                <c:formatCode>General</c:formatCod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numCache>
            </c:numRef>
          </c:cat>
          <c:val>
            <c:numRef>
              <c:f>Projection!$B$4:$B$24</c:f>
              <c:numCache>
                <c:formatCode>#,##0</c:formatCode>
                <c:ptCount val="21"/>
                <c:pt idx="0">
                  <c:v>3259060.37</c:v>
                </c:pt>
                <c:pt idx="1">
                  <c:v>3479441.19</c:v>
                </c:pt>
                <c:pt idx="2">
                  <c:v>3714724.38</c:v>
                </c:pt>
                <c:pt idx="3">
                  <c:v>3965917.64</c:v>
                </c:pt>
                <c:pt idx="4">
                  <c:v>4234096.83</c:v>
                </c:pt>
                <c:pt idx="5">
                  <c:v>4520410.57</c:v>
                </c:pt>
                <c:pt idx="6">
                  <c:v>4826085.11</c:v>
                </c:pt>
                <c:pt idx="7">
                  <c:v>5152429.67</c:v>
                </c:pt>
                <c:pt idx="8">
                  <c:v>5500841.95</c:v>
                </c:pt>
                <c:pt idx="9">
                  <c:v>5872814.22</c:v>
                </c:pt>
                <c:pt idx="10">
                  <c:v>6269939.61</c:v>
                </c:pt>
                <c:pt idx="11">
                  <c:v>6693919.01</c:v>
                </c:pt>
                <c:pt idx="12">
                  <c:v>7146568.30</c:v>
                </c:pt>
                <c:pt idx="13">
                  <c:v>7629826.18</c:v>
                </c:pt>
                <c:pt idx="14">
                  <c:v>8145762.42</c:v>
                </c:pt>
                <c:pt idx="15">
                  <c:v>8696586.77</c:v>
                </c:pt>
                <c:pt idx="16">
                  <c:v>9284658.40</c:v>
                </c:pt>
                <c:pt idx="17">
                  <c:v>9912496.00</c:v>
                </c:pt>
                <c:pt idx="18">
                  <c:v>10582788.59</c:v>
                </c:pt>
                <c:pt idx="19">
                  <c:v>11298407.01</c:v>
                </c:pt>
                <c:pt idx="20">
                  <c:v>12062416.25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Projection!$C$3</c:f>
              <c:strCache>
                <c:ptCount val="1"/>
                <c:pt idx="0">
                  <c:v>Corpus growing at inflation</c:v>
                </c:pt>
              </c:strCache>
            </c:strRef>
          </c:tx>
          <c:spPr>
            <a:ln w="28575">
              <a:solidFill>
                <a:srgbClr val="c0504d"/>
              </a:solidFill>
              <a:round/>
            </a:ln>
          </c:spPr>
          <c:marker>
            <c:symbol val="none"/>
          </c:marker>
          <c:cat>
            <c:numRef>
              <c:f>Projection!$A$4:$A$24</c:f>
              <c:numCache>
                <c:formatCode>General</c:formatCod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numCache>
            </c:numRef>
          </c:cat>
          <c:val>
            <c:numRef>
              <c:f>Projection!$C$4:$C$24</c:f>
              <c:numCache>
                <c:formatCode>#,##0</c:formatCode>
                <c:ptCount val="21"/>
                <c:pt idx="0">
                  <c:v>3259060.37</c:v>
                </c:pt>
                <c:pt idx="1">
                  <c:v>3487194.59</c:v>
                </c:pt>
                <c:pt idx="2">
                  <c:v>3731298.22</c:v>
                </c:pt>
                <c:pt idx="3">
                  <c:v>3992489.09</c:v>
                </c:pt>
                <c:pt idx="4">
                  <c:v>4271963.33</c:v>
                </c:pt>
                <c:pt idx="5">
                  <c:v>4571000.76</c:v>
                </c:pt>
                <c:pt idx="6">
                  <c:v>4890970.81</c:v>
                </c:pt>
                <c:pt idx="7">
                  <c:v>5233338.77</c:v>
                </c:pt>
                <c:pt idx="8">
                  <c:v>5599672.48</c:v>
                </c:pt>
                <c:pt idx="9">
                  <c:v>5991649.56</c:v>
                </c:pt>
                <c:pt idx="10">
                  <c:v>6411065.03</c:v>
                </c:pt>
                <c:pt idx="11">
                  <c:v>6859839.58</c:v>
                </c:pt>
                <c:pt idx="12">
                  <c:v>7340028.35</c:v>
                </c:pt>
                <c:pt idx="13">
                  <c:v>7853830.33</c:v>
                </c:pt>
                <c:pt idx="14">
                  <c:v>8403598.46</c:v>
                </c:pt>
                <c:pt idx="15">
                  <c:v>8991850.35</c:v>
                </c:pt>
                <c:pt idx="16">
                  <c:v>9621279.87</c:v>
                </c:pt>
                <c:pt idx="17">
                  <c:v>10294769.46</c:v>
                </c:pt>
                <c:pt idx="18">
                  <c:v>11015403.33</c:v>
                </c:pt>
                <c:pt idx="19">
                  <c:v>11786481.56</c:v>
                </c:pt>
                <c:pt idx="20">
                  <c:v>12611535.27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Projection!$D$3</c:f>
              <c:strCache>
                <c:ptCount val="1"/>
                <c:pt idx="0">
                  <c:v>Real corpus (today's money)</c:v>
                </c:pt>
              </c:strCache>
            </c:strRef>
          </c:tx>
          <c:spPr>
            <a:ln w="28575">
              <a:solidFill>
                <a:srgbClr val="9bbb59"/>
              </a:solidFill>
              <a:round/>
            </a:ln>
          </c:spPr>
          <c:marker>
            <c:symbol val="none"/>
          </c:marker>
          <c:cat>
            <c:numRef>
              <c:f>Projection!$A$4:$A$24</c:f>
              <c:numCache>
                <c:formatCode>General</c:formatCode>
                <c:ptCount val="2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</c:numCache>
            </c:numRef>
          </c:cat>
          <c:val>
            <c:numRef>
              <c:f>Projection!$D$4:$D$24</c:f>
              <c:numCache>
                <c:formatCode>#,##0</c:formatCode>
                <c:ptCount val="21"/>
                <c:pt idx="0">
                  <c:v>3259060.37</c:v>
                </c:pt>
                <c:pt idx="1">
                  <c:v>3251814.20</c:v>
                </c:pt>
                <c:pt idx="2">
                  <c:v>3244584.13</c:v>
                </c:pt>
                <c:pt idx="3">
                  <c:v>3237370.15</c:v>
                </c:pt>
                <c:pt idx="4">
                  <c:v>3230172.20</c:v>
                </c:pt>
                <c:pt idx="5">
                  <c:v>3222990.26</c:v>
                </c:pt>
                <c:pt idx="6">
                  <c:v>3215824.29</c:v>
                </c:pt>
                <c:pt idx="7">
                  <c:v>3208674.24</c:v>
                </c:pt>
                <c:pt idx="8">
                  <c:v>3201540.10</c:v>
                </c:pt>
                <c:pt idx="9">
                  <c:v>3194421.82</c:v>
                </c:pt>
                <c:pt idx="10">
                  <c:v>3187319.36</c:v>
                </c:pt>
                <c:pt idx="11">
                  <c:v>3180232.70</c:v>
                </c:pt>
                <c:pt idx="12">
                  <c:v>3173161.79</c:v>
                </c:pt>
                <c:pt idx="13">
                  <c:v>3166106.61</c:v>
                </c:pt>
                <c:pt idx="14">
                  <c:v>3159067.11</c:v>
                </c:pt>
                <c:pt idx="15">
                  <c:v>3152043.26</c:v>
                </c:pt>
                <c:pt idx="16">
                  <c:v>3145035.03</c:v>
                </c:pt>
                <c:pt idx="17">
                  <c:v>3138042.38</c:v>
                </c:pt>
                <c:pt idx="18">
                  <c:v>3131065.28</c:v>
                </c:pt>
                <c:pt idx="19">
                  <c:v>3124103.69</c:v>
                </c:pt>
                <c:pt idx="20">
                  <c:v>3117157.58</c:v>
                </c:pt>
              </c:numCache>
            </c:numRef>
          </c:val>
          <c:smooth val="0"/>
        </c:ser>
        <c:marker val="0"/>
        <c:axId val="50000001"/>
        <c:axId val="50000002"/>
      </c:lineChart>
      <c:catAx>
        <c:axId val="5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00002"/>
        <c:crosses val="autoZero"/>
        <c:auto val="1"/>
        <c:lblAlgn val="ctr"/>
        <c:lblOffset val="100"/>
        <c:noMultiLvlLbl val="0"/>
      </c:catAx>
      <c:valAx>
        <c:axId val="5000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000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145440</xdr:rowOff>
    </xdr:from>
    <xdr:to>
      <xdr:col>14</xdr:col>
      <xdr:colOff>290160</xdr:colOff>
      <xdr:row>17</xdr:row>
      <xdr:rowOff>177840</xdr:rowOff>
    </xdr:to>
    <xdr:graphicFrame>
      <xdr:nvGraphicFramePr>
        <xdr:cNvPr id="0" name="Chart 1"/>
        <xdr:cNvGraphicFramePr/>
      </xdr:nvGraphicFramePr>
      <xdr:xfrm>
        <a:off x="8012520" y="754920"/>
        <a:ext cx="395928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145440</xdr:rowOff>
    </xdr:from>
    <xdr:to>
      <xdr:col>15</xdr:col>
      <xdr:colOff>38880</xdr:colOff>
      <xdr:row>34</xdr:row>
      <xdr:rowOff>177840</xdr:rowOff>
    </xdr:to>
    <xdr:graphicFrame>
      <xdr:nvGraphicFramePr>
        <xdr:cNvPr id="1" name="Chart 2"/>
        <xdr:cNvGraphicFramePr/>
      </xdr:nvGraphicFramePr>
      <xdr:xfrm>
        <a:off x="8012520" y="3993480"/>
        <a:ext cx="431928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145440</xdr:rowOff>
    </xdr:from>
    <xdr:to>
      <xdr:col>8</xdr:col>
      <xdr:colOff>238680</xdr:colOff>
      <xdr:row>16</xdr:row>
      <xdr:rowOff>8280</xdr:rowOff>
    </xdr:to>
    <xdr:graphicFrame>
      <xdr:nvGraphicFramePr>
        <xdr:cNvPr id="2" name="Chart 1"/>
        <xdr:cNvGraphicFramePr/>
      </xdr:nvGraphicFramePr>
      <xdr:xfrm>
        <a:off x="4933800" y="754920"/>
        <a:ext cx="359928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145440</xdr:rowOff>
    </xdr:from>
    <xdr:to>
      <xdr:col>8</xdr:col>
      <xdr:colOff>238680</xdr:colOff>
      <xdr:row>16</xdr:row>
      <xdr:rowOff>8280</xdr:rowOff>
    </xdr:to>
    <xdr:graphicFrame>
      <xdr:nvGraphicFramePr>
        <xdr:cNvPr id="3" name="Chart 1"/>
        <xdr:cNvGraphicFramePr/>
      </xdr:nvGraphicFramePr>
      <xdr:xfrm>
        <a:off x="4933800" y="754920"/>
        <a:ext cx="359928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145440</xdr:rowOff>
    </xdr:from>
    <xdr:to>
      <xdr:col>8</xdr:col>
      <xdr:colOff>238680</xdr:colOff>
      <xdr:row>16</xdr:row>
      <xdr:rowOff>8280</xdr:rowOff>
    </xdr:to>
    <xdr:graphicFrame>
      <xdr:nvGraphicFramePr>
        <xdr:cNvPr id="4" name="Chart 1"/>
        <xdr:cNvGraphicFramePr/>
      </xdr:nvGraphicFramePr>
      <xdr:xfrm>
        <a:off x="4933800" y="754920"/>
        <a:ext cx="359928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14</xdr:col>
      <xdr:colOff>0</xdr:colOff>
      <xdr:row>27</xdr:row>
      <xdr:rowOff>0</xdr:rowOff>
    </xdr:to>
    <xdr:graphicFrame>
      <xdr:nvGraphicFramePr>
        <xdr:cNvPr id="0" name="Chart 6"/>
        <xdr:cNvGraphicFramePr/>
      </xdr:nvGraphicFramePr>
      <xdr:xfrm>
        <a:off x="7000000" y="380000"/>
        <a:ext cx="5560000" cy="477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4" min="2" style="1" width="15"/>
    <col collapsed="false" customWidth="true" hidden="false" outlineLevel="0" max="6" min="5" style="1" width="14"/>
    <col collapsed="false" customWidth="true" hidden="false" outlineLevel="0" max="7" min="7" style="1" width="1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4" t="n">
        <f aca="true">TODAY()</f>
        <v>46217</v>
      </c>
    </row>
    <row r="3" customFormat="false" ht="15" hidden="false" customHeight="true" outlineLevel="0" collapsed="false">
      <c r="A3" s="3" t="s">
        <v>2</v>
      </c>
      <c r="B3" s="5" t="n">
        <f aca="false">G16</f>
        <v>3259060.36778459</v>
      </c>
      <c r="D3" s="3" t="inlineStr">
        <is>
          <t xml:space="preserve">Inflation % p.a.</t>
        </is>
      </c>
      <c r="E3" s="7" t="n">
        <v>7</v>
      </c>
    </row>
    <row r="4" customFormat="false" ht="15" hidden="false" customHeight="true" outlineLevel="0" collapsed="false">
      <c r="A4" s="3" t="inlineStr">
        <is>
          <t xml:space="preserve">Portfolio XIRR</t>
        </is>
      </c>
      <c r="B4" s="33" t="n">
        <v>0.0676209694</v>
      </c>
      <c r="D4" s="3" t="inlineStr">
        <is>
          <t xml:space="preserve">Real return</t>
        </is>
      </c>
      <c r="E4" s="19" t="n">
        <f aca="false">IF(B4="","",(1+B4)/(1+E3/100)-1)</f>
        <v>-0.0022233931</v>
      </c>
      <c r="F4" s="3" t="str">
        <f aca="false">IF(B4="","",IF(B4&gt;E3/100,"Beats inflation ✓","Below inflation ✗"))</f>
        <v>Below inflation ✗</v>
      </c>
    </row>
    <row r="5" customFormat="false" ht="1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customFormat="false" ht="15" hidden="false" customHeight="true" outlineLevel="0" collapsed="false">
      <c r="A6" s="7" t="s">
        <v>10</v>
      </c>
      <c r="B6" s="8" t="n">
        <f aca="false">IF($A6="","",SUMIFS(Equity!$I:$I,Equity!$A:$A,$A6))</f>
        <v>283200</v>
      </c>
      <c r="C6" s="8" t="n">
        <f aca="false">IF($A6="","",SUMIFS(MutualFunds!$I:$I,MutualFunds!$A:$A,$A6))</f>
        <v>65680.2263186949</v>
      </c>
      <c r="D6" s="8" t="n">
        <f aca="false">IF($A6="","",SUMIFS(FixedDeposits!$I:$I,FixedDeposits!$A:$A,$A6))</f>
        <v>587277.983478088</v>
      </c>
      <c r="E6" s="8" t="n">
        <f aca="false">IF($A6="","",SUMIFS(PPF!$D:$D,PPF!$A:$A,$A6))</f>
        <v>425000</v>
      </c>
      <c r="F6" s="8" t="n">
        <f aca="false">IF($A6="","",SUMIFS(Bonds!$K:$K,Bonds!$A:$A,$A6))</f>
        <v>0</v>
      </c>
      <c r="G6" s="8" t="n">
        <f aca="false">IF($A6="","",SUM(B6:F6))</f>
        <v>1361158.20979678</v>
      </c>
    </row>
    <row r="7" customFormat="false" ht="15" hidden="false" customHeight="true" outlineLevel="0" collapsed="false">
      <c r="A7" s="7" t="s">
        <v>11</v>
      </c>
      <c r="B7" s="8" t="n">
        <f aca="false">IF($A7="","",SUMIFS(Equity!$I:$I,Equity!$A:$A,$A7))</f>
        <v>222950</v>
      </c>
      <c r="C7" s="8" t="n">
        <f aca="false">IF($A7="","",SUMIFS(MutualFunds!$I:$I,MutualFunds!$A:$A,$A7))</f>
        <v>171733.966745843</v>
      </c>
      <c r="D7" s="8" t="n">
        <f aca="false">IF($A7="","",SUMIFS(FixedDeposits!$I:$I,FixedDeposits!$A:$A,$A7))</f>
        <v>0</v>
      </c>
      <c r="E7" s="8" t="n">
        <f aca="false">IF($A7="","",SUMIFS(PPF!$D:$D,PPF!$A:$A,$A7))</f>
        <v>860000</v>
      </c>
      <c r="F7" s="8" t="n">
        <f aca="false">IF($A7="","",SUMIFS(Bonds!$K:$K,Bonds!$A:$A,$A7))</f>
        <v>0</v>
      </c>
      <c r="G7" s="8" t="n">
        <f aca="false">IF($A7="","",SUM(B7:F7))</f>
        <v>1254683.96674584</v>
      </c>
    </row>
    <row r="8" customFormat="false" ht="15" hidden="false" customHeight="true" outlineLevel="0" collapsed="false">
      <c r="A8" s="7" t="s">
        <v>12</v>
      </c>
      <c r="B8" s="8" t="n">
        <f aca="false">IF($A8="","",SUMIFS(Equity!$I:$I,Equity!$A:$A,$A8))</f>
        <v>260600</v>
      </c>
      <c r="C8" s="8" t="n">
        <f aca="false">IF($A8="","",SUMIFS(MutualFunds!$I:$I,MutualFunds!$A:$A,$A8))</f>
        <v>0</v>
      </c>
      <c r="D8" s="8" t="n">
        <f aca="false">IF($A8="","",SUMIFS(FixedDeposits!$I:$I,FixedDeposits!$A:$A,$A8))</f>
        <v>331868.191241964</v>
      </c>
      <c r="E8" s="8" t="n">
        <f aca="false">IF($A8="","",SUMIFS(PPF!$D:$D,PPF!$A:$A,$A8))</f>
        <v>0</v>
      </c>
      <c r="F8" s="8" t="n">
        <f aca="false">IF($A8="","",SUMIFS(Bonds!$K:$K,Bonds!$A:$A,$A8))</f>
        <v>50750</v>
      </c>
      <c r="G8" s="8" t="n">
        <f aca="false">IF($A8="","",SUM(B8:F8))</f>
        <v>643218.191241964</v>
      </c>
    </row>
    <row r="9" customFormat="false" ht="15" hidden="false" customHeight="true" outlineLevel="0" collapsed="false">
      <c r="A9" s="9"/>
      <c r="B9" s="8" t="str">
        <f aca="false">IF($A9="","",SUMIFS(Equity!$I:$I,Equity!$A:$A,$A9))</f>
        <v/>
      </c>
      <c r="C9" s="8" t="str">
        <f aca="false">IF($A9="","",SUMIFS(MutualFunds!$I:$I,MutualFunds!$A:$A,$A9))</f>
        <v/>
      </c>
      <c r="D9" s="8" t="str">
        <f aca="false">IF($A9="","",SUMIFS(FixedDeposits!$I:$I,FixedDeposits!$A:$A,$A9))</f>
        <v/>
      </c>
      <c r="E9" s="8" t="str">
        <f aca="false">IF($A9="","",SUMIFS(PPF!$D:$D,PPF!$A:$A,$A9))</f>
        <v/>
      </c>
      <c r="F9" s="8" t="str">
        <f aca="false">IF($A9="","",SUMIFS(Bonds!$K:$K,Bonds!$A:$A,$A9))</f>
        <v/>
      </c>
      <c r="G9" s="8" t="str">
        <f aca="false">IF($A9="","",SUM(B9:F9))</f>
        <v/>
      </c>
    </row>
    <row r="10" customFormat="false" ht="15" hidden="false" customHeight="true" outlineLevel="0" collapsed="false">
      <c r="A10" s="9"/>
      <c r="B10" s="8" t="str">
        <f aca="false">IF($A10="","",SUMIFS(Equity!$I:$I,Equity!$A:$A,$A10))</f>
        <v/>
      </c>
      <c r="C10" s="8" t="str">
        <f aca="false">IF($A10="","",SUMIFS(MutualFunds!$I:$I,MutualFunds!$A:$A,$A10))</f>
        <v/>
      </c>
      <c r="D10" s="8" t="str">
        <f aca="false">IF($A10="","",SUMIFS(FixedDeposits!$I:$I,FixedDeposits!$A:$A,$A10))</f>
        <v/>
      </c>
      <c r="E10" s="8" t="str">
        <f aca="false">IF($A10="","",SUMIFS(PPF!$D:$D,PPF!$A:$A,$A10))</f>
        <v/>
      </c>
      <c r="F10" s="8" t="str">
        <f aca="false">IF($A10="","",SUMIFS(Bonds!$K:$K,Bonds!$A:$A,$A10))</f>
        <v/>
      </c>
      <c r="G10" s="8" t="str">
        <f aca="false">IF($A10="","",SUM(B10:F10))</f>
        <v/>
      </c>
    </row>
    <row r="11" customFormat="false" ht="15" hidden="false" customHeight="true" outlineLevel="0" collapsed="false">
      <c r="A11" s="9"/>
      <c r="B11" s="8" t="str">
        <f aca="false">IF($A11="","",SUMIFS(Equity!$I:$I,Equity!$A:$A,$A11))</f>
        <v/>
      </c>
      <c r="C11" s="8" t="str">
        <f aca="false">IF($A11="","",SUMIFS(MutualFunds!$I:$I,MutualFunds!$A:$A,$A11))</f>
        <v/>
      </c>
      <c r="D11" s="8" t="str">
        <f aca="false">IF($A11="","",SUMIFS(FixedDeposits!$I:$I,FixedDeposits!$A:$A,$A11))</f>
        <v/>
      </c>
      <c r="E11" s="8" t="str">
        <f aca="false">IF($A11="","",SUMIFS(PPF!$D:$D,PPF!$A:$A,$A11))</f>
        <v/>
      </c>
      <c r="F11" s="8" t="str">
        <f aca="false">IF($A11="","",SUMIFS(Bonds!$K:$K,Bonds!$A:$A,$A11))</f>
        <v/>
      </c>
      <c r="G11" s="8" t="str">
        <f aca="false">IF($A11="","",SUM(B11:F11))</f>
        <v/>
      </c>
    </row>
    <row r="12" customFormat="false" ht="15" hidden="false" customHeight="true" outlineLevel="0" collapsed="false">
      <c r="A12" s="9"/>
      <c r="B12" s="8" t="str">
        <f aca="false">IF($A12="","",SUMIFS(Equity!$I:$I,Equity!$A:$A,$A12))</f>
        <v/>
      </c>
      <c r="C12" s="8" t="str">
        <f aca="false">IF($A12="","",SUMIFS(MutualFunds!$I:$I,MutualFunds!$A:$A,$A12))</f>
        <v/>
      </c>
      <c r="D12" s="8" t="str">
        <f aca="false">IF($A12="","",SUMIFS(FixedDeposits!$I:$I,FixedDeposits!$A:$A,$A12))</f>
        <v/>
      </c>
      <c r="E12" s="8" t="str">
        <f aca="false">IF($A12="","",SUMIFS(PPF!$D:$D,PPF!$A:$A,$A12))</f>
        <v/>
      </c>
      <c r="F12" s="8" t="str">
        <f aca="false">IF($A12="","",SUMIFS(Bonds!$K:$K,Bonds!$A:$A,$A12))</f>
        <v/>
      </c>
      <c r="G12" s="8" t="str">
        <f aca="false">IF($A12="","",SUM(B12:F12))</f>
        <v/>
      </c>
    </row>
    <row r="13" customFormat="false" ht="15" hidden="false" customHeight="true" outlineLevel="0" collapsed="false">
      <c r="A13" s="9"/>
      <c r="B13" s="8" t="str">
        <f aca="false">IF($A13="","",SUMIFS(Equity!$I:$I,Equity!$A:$A,$A13))</f>
        <v/>
      </c>
      <c r="C13" s="8" t="str">
        <f aca="false">IF($A13="","",SUMIFS(MutualFunds!$I:$I,MutualFunds!$A:$A,$A13))</f>
        <v/>
      </c>
      <c r="D13" s="8" t="str">
        <f aca="false">IF($A13="","",SUMIFS(FixedDeposits!$I:$I,FixedDeposits!$A:$A,$A13))</f>
        <v/>
      </c>
      <c r="E13" s="8" t="str">
        <f aca="false">IF($A13="","",SUMIFS(PPF!$D:$D,PPF!$A:$A,$A13))</f>
        <v/>
      </c>
      <c r="F13" s="8" t="str">
        <f aca="false">IF($A13="","",SUMIFS(Bonds!$K:$K,Bonds!$A:$A,$A13))</f>
        <v/>
      </c>
      <c r="G13" s="8" t="str">
        <f aca="false">IF($A13="","",SUM(B13:F13))</f>
        <v/>
      </c>
    </row>
    <row r="14" customFormat="false" ht="15" hidden="false" customHeight="true" outlineLevel="0" collapsed="false">
      <c r="A14" s="9"/>
      <c r="B14" s="8" t="str">
        <f aca="false">IF($A14="","",SUMIFS(Equity!$I:$I,Equity!$A:$A,$A14))</f>
        <v/>
      </c>
      <c r="C14" s="8" t="str">
        <f aca="false">IF($A14="","",SUMIFS(MutualFunds!$I:$I,MutualFunds!$A:$A,$A14))</f>
        <v/>
      </c>
      <c r="D14" s="8" t="str">
        <f aca="false">IF($A14="","",SUMIFS(FixedDeposits!$I:$I,FixedDeposits!$A:$A,$A14))</f>
        <v/>
      </c>
      <c r="E14" s="8" t="str">
        <f aca="false">IF($A14="","",SUMIFS(PPF!$D:$D,PPF!$A:$A,$A14))</f>
        <v/>
      </c>
      <c r="F14" s="8" t="str">
        <f aca="false">IF($A14="","",SUMIFS(Bonds!$K:$K,Bonds!$A:$A,$A14))</f>
        <v/>
      </c>
      <c r="G14" s="8" t="str">
        <f aca="false">IF($A14="","",SUM(B14:F14))</f>
        <v/>
      </c>
    </row>
    <row r="15" customFormat="false" ht="15" hidden="false" customHeight="true" outlineLevel="0" collapsed="false">
      <c r="A15" s="9"/>
      <c r="B15" s="8" t="str">
        <f aca="false">IF($A15="","",SUMIFS(Equity!$I:$I,Equity!$A:$A,$A15))</f>
        <v/>
      </c>
      <c r="C15" s="8" t="str">
        <f aca="false">IF($A15="","",SUMIFS(MutualFunds!$I:$I,MutualFunds!$A:$A,$A15))</f>
        <v/>
      </c>
      <c r="D15" s="8" t="str">
        <f aca="false">IF($A15="","",SUMIFS(FixedDeposits!$I:$I,FixedDeposits!$A:$A,$A15))</f>
        <v/>
      </c>
      <c r="E15" s="8" t="str">
        <f aca="false">IF($A15="","",SUMIFS(PPF!$D:$D,PPF!$A:$A,$A15))</f>
        <v/>
      </c>
      <c r="F15" s="8" t="str">
        <f aca="false">IF($A15="","",SUMIFS(Bonds!$K:$K,Bonds!$A:$A,$A15))</f>
        <v/>
      </c>
      <c r="G15" s="8" t="str">
        <f aca="false">IF($A15="","",SUM(B15:F15))</f>
        <v/>
      </c>
    </row>
    <row r="16" customFormat="false" ht="15" hidden="false" customHeight="true" outlineLevel="0" collapsed="false">
      <c r="A16" s="10" t="s">
        <v>13</v>
      </c>
      <c r="B16" s="11" t="n">
        <f aca="false">SUM(B6:B15)</f>
        <v>766750</v>
      </c>
      <c r="C16" s="11" t="n">
        <f aca="false">SUM(C6:C15)</f>
        <v>237414.193064538</v>
      </c>
      <c r="D16" s="11" t="n">
        <f aca="false">SUM(D6:D15)</f>
        <v>919146.174720052</v>
      </c>
      <c r="E16" s="11" t="n">
        <f aca="false">SUM(E6:E15)</f>
        <v>1285000</v>
      </c>
      <c r="F16" s="11" t="n">
        <f aca="false">SUM(F6:F15)</f>
        <v>50750</v>
      </c>
      <c r="G16" s="11" t="n">
        <f aca="false">SUM(G6:G15)</f>
        <v>3259060.36778459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6" t="s">
        <v>15</v>
      </c>
      <c r="B19" s="6" t="s">
        <v>16</v>
      </c>
      <c r="C19" s="6" t="inlineStr">
        <is>
          <t xml:space="preserve">XIRR</t>
        </is>
      </c>
    </row>
    <row r="20" customFormat="false" ht="15" hidden="false" customHeight="true" outlineLevel="0" collapsed="false">
      <c r="A20" s="12" t="s">
        <v>4</v>
      </c>
      <c r="B20" s="13" t="n">
        <f aca="false">B16</f>
        <v>766750</v>
      </c>
      <c r="C20" s="19" t="n">
        <v>0.0664365522</v>
      </c>
    </row>
    <row r="21" customFormat="false" ht="15" hidden="false" customHeight="true" outlineLevel="0" collapsed="false">
      <c r="A21" s="12" t="s">
        <v>5</v>
      </c>
      <c r="B21" s="13" t="n">
        <f aca="false">C16</f>
        <v>237414.193064538</v>
      </c>
      <c r="C21" s="19" t="n">
        <v>0.0876706058</v>
      </c>
    </row>
    <row r="22" customFormat="false" ht="15" hidden="false" customHeight="true" outlineLevel="0" collapsed="false">
      <c r="A22" s="12" t="s">
        <v>6</v>
      </c>
      <c r="B22" s="13" t="n">
        <f aca="false">D16</f>
        <v>919146.174720052</v>
      </c>
      <c r="C22" s="19" t="n">
        <v>0.0721401469</v>
      </c>
    </row>
    <row r="23" customFormat="false" ht="15" hidden="false" customHeight="true" outlineLevel="0" collapsed="false">
      <c r="A23" s="12" t="s">
        <v>7</v>
      </c>
      <c r="B23" s="13" t="n">
        <f aca="false">E16</f>
        <v>1285000</v>
      </c>
      <c r="C23" s="19" t="n">
        <v>0.0710000000</v>
      </c>
    </row>
    <row r="24" customFormat="false" ht="15" hidden="false" customHeight="true" outlineLevel="0" collapsed="false">
      <c r="A24" s="12" t="s">
        <v>8</v>
      </c>
      <c r="B24" s="13" t="n">
        <f aca="false">F16</f>
        <v>50750</v>
      </c>
      <c r="C24" s="19" t="n">
        <v>0.0059830784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7" min="7" style="1" width="13"/>
  </cols>
  <sheetData>
    <row r="1" customFormat="false" ht="18" hidden="false" customHeight="true" outlineLevel="0" collapsed="false">
      <c r="A1" s="2" t="s">
        <v>17</v>
      </c>
    </row>
    <row r="2" customFormat="false" ht="15" hidden="false" customHeight="true" outlineLevel="0" collapsed="false">
      <c r="A2" s="3" t="s">
        <v>18</v>
      </c>
      <c r="B2" s="14" t="s">
        <v>10</v>
      </c>
    </row>
    <row r="3" customFormat="false" ht="15" hidden="false" customHeight="true" outlineLevel="0" collapsed="false">
      <c r="A3" s="3" t="s">
        <v>19</v>
      </c>
      <c r="B3" s="5" t="n">
        <f aca="false">B11</f>
        <v>1361158.20979678</v>
      </c>
    </row>
    <row r="5" customFormat="false" ht="15" hidden="false" customHeight="true" outlineLevel="0" collapsed="false">
      <c r="A5" s="6" t="s">
        <v>15</v>
      </c>
      <c r="B5" s="6" t="s">
        <v>16</v>
      </c>
      <c r="C5" s="6" t="s">
        <v>20</v>
      </c>
    </row>
    <row r="6" customFormat="false" ht="15" hidden="false" customHeight="true" outlineLevel="0" collapsed="false">
      <c r="A6" s="12" t="s">
        <v>4</v>
      </c>
      <c r="B6" s="13" t="n">
        <f aca="false">SUMIFS(Equity!$I:$I,Equity!$A:$A,$B$2)</f>
        <v>283200</v>
      </c>
      <c r="C6" s="15" t="n">
        <f aca="false">COUNTIF(Equity!$A:$A,$B$2)</f>
        <v>4</v>
      </c>
    </row>
    <row r="7" customFormat="false" ht="15" hidden="false" customHeight="true" outlineLevel="0" collapsed="false">
      <c r="A7" s="12" t="s">
        <v>5</v>
      </c>
      <c r="B7" s="13" t="n">
        <f aca="false">SUMIFS(MutualFunds!$I:$I,MutualFunds!$A:$A,$B$2)</f>
        <v>65680.2263186949</v>
      </c>
      <c r="C7" s="15" t="n">
        <f aca="false">COUNTIF(MutualFunds!$A:$A,$B$2)</f>
        <v>1</v>
      </c>
    </row>
    <row r="8" customFormat="false" ht="15" hidden="false" customHeight="true" outlineLevel="0" collapsed="false">
      <c r="A8" s="12" t="s">
        <v>6</v>
      </c>
      <c r="B8" s="13" t="n">
        <f aca="false">SUMIFS(FixedDeposits!$I:$I,FixedDeposits!$A:$A,$B$2)</f>
        <v>587277.983478088</v>
      </c>
      <c r="C8" s="15" t="n">
        <f aca="false">COUNTIF(FixedDeposits!$A:$A,$B$2)</f>
        <v>1</v>
      </c>
    </row>
    <row r="9" customFormat="false" ht="15" hidden="false" customHeight="true" outlineLevel="0" collapsed="false">
      <c r="A9" s="12" t="s">
        <v>7</v>
      </c>
      <c r="B9" s="13" t="n">
        <f aca="false">SUMIFS(PPF!$D:$D,PPF!$A:$A,$B$2)</f>
        <v>425000</v>
      </c>
      <c r="C9" s="15" t="n">
        <f aca="false">COUNTIF(PPF!$A:$A,$B$2)</f>
        <v>1</v>
      </c>
    </row>
    <row r="10" customFormat="false" ht="15" hidden="false" customHeight="true" outlineLevel="0" collapsed="false">
      <c r="A10" s="12" t="s">
        <v>8</v>
      </c>
      <c r="B10" s="13" t="n">
        <f aca="false">SUMIFS(Bonds!$K:$K,Bonds!$A:$A,$B$2)</f>
        <v>0</v>
      </c>
      <c r="C10" s="15" t="n">
        <f aca="false">COUNTIF(Bonds!$A:$A,$B$2)</f>
        <v>0</v>
      </c>
    </row>
    <row r="11" customFormat="false" ht="15" hidden="false" customHeight="true" outlineLevel="0" collapsed="false">
      <c r="A11" s="3" t="s">
        <v>9</v>
      </c>
      <c r="B11" s="16" t="n">
        <f aca="false">SUM(B6:B10)</f>
        <v>1361158.20979678</v>
      </c>
      <c r="C11" s="10" t="n">
        <f aca="false">SUM(C6:C10)</f>
        <v>7</v>
      </c>
    </row>
    <row r="14" customFormat="false" ht="15" hidden="false" customHeight="true" outlineLevel="0" collapsed="false">
      <c r="A14" s="3" t="s">
        <v>21</v>
      </c>
    </row>
    <row r="15" customFormat="false" ht="15" hidden="false" customHeight="true" outlineLevel="0" collapsed="false">
      <c r="A15" s="17" t="s">
        <v>22</v>
      </c>
      <c r="B15" s="17" t="s">
        <v>23</v>
      </c>
      <c r="C15" s="17" t="s">
        <v>24</v>
      </c>
      <c r="D15" s="17" t="s">
        <v>25</v>
      </c>
      <c r="E15" s="17" t="s">
        <v>26</v>
      </c>
      <c r="F15" s="17" t="s">
        <v>27</v>
      </c>
      <c r="G15" s="17" t="s">
        <v>28</v>
      </c>
    </row>
    <row r="16" customFormat="false" ht="15" hidden="false" customHeight="true" outlineLevel="0" collapsed="false">
      <c r="A16" s="15" t="str">
        <f aca="false">IFERROR(INDEX(Equity!$B:$B,MATCH($B$2&amp;"#"&amp;1,Equity!$P:$P,0)),"")</f>
        <v>INE002A01018</v>
      </c>
      <c r="B16" s="15" t="str">
        <f aca="false">IFERROR(INDEX(Equity!$C:$C,MATCH($B$2&amp;"#"&amp;1,Equity!$P:$P,0)),"")</f>
        <v>RELIANCE INDUSTRIES LIMITED EQ</v>
      </c>
      <c r="C16" s="18" t="n">
        <f aca="false">IFERROR(INDEX(Equity!$D:$D,MATCH($B$2&amp;"#"&amp;1,Equity!$P:$P,0)),"")</f>
        <v>50</v>
      </c>
      <c r="D16" s="18" t="n">
        <f aca="false">IFERROR(INDEX(Equity!$E:$E,MATCH($B$2&amp;"#"&amp;1,Equity!$P:$P,0)),"")</f>
        <v>964.9</v>
      </c>
      <c r="E16" s="13" t="n">
        <f aca="false">IFERROR(INDEX(Equity!$I:$I,MATCH($B$2&amp;"#"&amp;1,Equity!$P:$P,0)),"")</f>
        <v>76000</v>
      </c>
      <c r="F16" s="13" t="n">
        <f aca="false">IFERROR(INDEX(Equity!$K:$K,MATCH($B$2&amp;"#"&amp;1,Equity!$P:$P,0)),"")</f>
        <v>27755</v>
      </c>
      <c r="G16" s="19" t="n">
        <f aca="false">IFERROR(INDEX(Equity!$N:$N,MATCH($B$2&amp;"#"&amp;1,Equity!$P:$P,0)),"")</f>
        <v>0.0552202571847846</v>
      </c>
    </row>
    <row r="17" customFormat="false" ht="15" hidden="false" customHeight="true" outlineLevel="0" collapsed="false">
      <c r="A17" s="15" t="str">
        <f aca="false">IFERROR(INDEX(Equity!$B:$B,MATCH($B$2&amp;"#"&amp;2,Equity!$P:$P,0)),"")</f>
        <v>INE467B01029</v>
      </c>
      <c r="B17" s="15" t="str">
        <f aca="false">IFERROR(INDEX(Equity!$C:$C,MATCH($B$2&amp;"#"&amp;2,Equity!$P:$P,0)),"")</f>
        <v>TATA CONSULTANCY SERVICES LIMITED EQ</v>
      </c>
      <c r="C17" s="18" t="n">
        <f aca="false">IFERROR(INDEX(Equity!$D:$D,MATCH($B$2&amp;"#"&amp;2,Equity!$P:$P,0)),"")</f>
        <v>12</v>
      </c>
      <c r="D17" s="18" t="n">
        <f aca="false">IFERROR(INDEX(Equity!$E:$E,MATCH($B$2&amp;"#"&amp;2,Equity!$P:$P,0)),"")</f>
        <v>2916.05</v>
      </c>
      <c r="E17" s="13" t="n">
        <f aca="false">IFERROR(INDEX(Equity!$I:$I,MATCH($B$2&amp;"#"&amp;2,Equity!$P:$P,0)),"")</f>
        <v>41400</v>
      </c>
      <c r="F17" s="13" t="n">
        <f aca="false">IFERROR(INDEX(Equity!$K:$K,MATCH($B$2&amp;"#"&amp;2,Equity!$P:$P,0)),"")</f>
        <v>6407.39999999999</v>
      </c>
      <c r="G17" s="19" t="n">
        <f aca="false">IFERROR(INDEX(Equity!$N:$N,MATCH($B$2&amp;"#"&amp;2,Equity!$P:$P,0)),"")</f>
        <v>0.0200865188434449</v>
      </c>
    </row>
    <row r="18" customFormat="false" ht="15" hidden="false" customHeight="true" outlineLevel="0" collapsed="false">
      <c r="A18" s="15" t="str">
        <f aca="false">IFERROR(INDEX(Equity!$B:$B,MATCH($B$2&amp;"#"&amp;3,Equity!$P:$P,0)),"")</f>
        <v>INE009A01021</v>
      </c>
      <c r="B18" s="15" t="str">
        <f aca="false">IFERROR(INDEX(Equity!$C:$C,MATCH($B$2&amp;"#"&amp;3,Equity!$P:$P,0)),"")</f>
        <v>INFOSYS LIMITED EQ</v>
      </c>
      <c r="C18" s="18" t="n">
        <f aca="false">IFERROR(INDEX(Equity!$D:$D,MATCH($B$2&amp;"#"&amp;3,Equity!$P:$P,0)),"")</f>
        <v>40</v>
      </c>
      <c r="D18" s="18" t="n">
        <f aca="false">IFERROR(INDEX(Equity!$E:$E,MATCH($B$2&amp;"#"&amp;3,Equity!$P:$P,0)),"")</f>
        <v>1173.85</v>
      </c>
      <c r="E18" s="13" t="n">
        <f aca="false">IFERROR(INDEX(Equity!$I:$I,MATCH($B$2&amp;"#"&amp;3,Equity!$P:$P,0)),"")</f>
        <v>64400</v>
      </c>
      <c r="F18" s="13" t="n">
        <f aca="false">IFERROR(INDEX(Equity!$K:$K,MATCH($B$2&amp;"#"&amp;3,Equity!$P:$P,0)),"")</f>
        <v>17446</v>
      </c>
      <c r="G18" s="19" t="n">
        <f aca="false">IFERROR(INDEX(Equity!$N:$N,MATCH($B$2&amp;"#"&amp;3,Equity!$P:$P,0)),"")</f>
        <v>0.0380757568235295</v>
      </c>
    </row>
    <row r="19" customFormat="false" ht="15" hidden="false" customHeight="true" outlineLevel="0" collapsed="false">
      <c r="A19" s="15" t="str">
        <f aca="false">IFERROR(INDEX(Equity!$B:$B,MATCH($B$2&amp;"#"&amp;4,Equity!$P:$P,0)),"")</f>
        <v>INE040A01034</v>
      </c>
      <c r="B19" s="15" t="str">
        <f aca="false">IFERROR(INDEX(Equity!$C:$C,MATCH($B$2&amp;"#"&amp;4,Equity!$P:$P,0)),"")</f>
        <v>HDFC BANK LIMITED EQ</v>
      </c>
      <c r="C19" s="18" t="n">
        <f aca="false">IFERROR(INDEX(Equity!$D:$D,MATCH($B$2&amp;"#"&amp;4,Equity!$P:$P,0)),"")</f>
        <v>60</v>
      </c>
      <c r="D19" s="18" t="n">
        <f aca="false">IFERROR(INDEX(Equity!$E:$E,MATCH($B$2&amp;"#"&amp;4,Equity!$P:$P,0)),"")</f>
        <v>1076</v>
      </c>
      <c r="E19" s="13" t="n">
        <f aca="false">IFERROR(INDEX(Equity!$I:$I,MATCH($B$2&amp;"#"&amp;4,Equity!$P:$P,0)),"")</f>
        <v>101400</v>
      </c>
      <c r="F19" s="13" t="n">
        <f aca="false">IFERROR(INDEX(Equity!$K:$K,MATCH($B$2&amp;"#"&amp;4,Equity!$P:$P,0)),"")</f>
        <v>36840</v>
      </c>
      <c r="G19" s="19" t="n">
        <f aca="false">IFERROR(INDEX(Equity!$N:$N,MATCH($B$2&amp;"#"&amp;4,Equity!$P:$P,0)),"")</f>
        <v>0.0548505081992019</v>
      </c>
    </row>
    <row r="20" customFormat="false" ht="15" hidden="false" customHeight="true" outlineLevel="0" collapsed="false">
      <c r="A20" s="15" t="str">
        <f aca="false">IFERROR(INDEX(Equity!$B:$B,MATCH($B$2&amp;"#"&amp;5,Equity!$P:$P,0)),"")</f>
        <v/>
      </c>
      <c r="B20" s="15" t="str">
        <f aca="false">IFERROR(INDEX(Equity!$C:$C,MATCH($B$2&amp;"#"&amp;5,Equity!$P:$P,0)),"")</f>
        <v/>
      </c>
      <c r="C20" s="18" t="str">
        <f aca="false">IFERROR(INDEX(Equity!$D:$D,MATCH($B$2&amp;"#"&amp;5,Equity!$P:$P,0)),"")</f>
        <v/>
      </c>
      <c r="D20" s="18" t="str">
        <f aca="false">IFERROR(INDEX(Equity!$E:$E,MATCH($B$2&amp;"#"&amp;5,Equity!$P:$P,0)),"")</f>
        <v/>
      </c>
      <c r="E20" s="13" t="str">
        <f aca="false">IFERROR(INDEX(Equity!$I:$I,MATCH($B$2&amp;"#"&amp;5,Equity!$P:$P,0)),"")</f>
        <v/>
      </c>
      <c r="F20" s="13" t="str">
        <f aca="false">IFERROR(INDEX(Equity!$K:$K,MATCH($B$2&amp;"#"&amp;5,Equity!$P:$P,0)),"")</f>
        <v/>
      </c>
      <c r="G20" s="19" t="str">
        <f aca="false">IFERROR(INDEX(Equity!$N:$N,MATCH($B$2&amp;"#"&amp;5,Equity!$P:$P,0)),"")</f>
        <v/>
      </c>
    </row>
    <row r="21" customFormat="false" ht="15" hidden="false" customHeight="true" outlineLevel="0" collapsed="false">
      <c r="A21" s="15" t="str">
        <f aca="false">IFERROR(INDEX(Equity!$B:$B,MATCH($B$2&amp;"#"&amp;6,Equity!$P:$P,0)),"")</f>
        <v/>
      </c>
      <c r="B21" s="15" t="str">
        <f aca="false">IFERROR(INDEX(Equity!$C:$C,MATCH($B$2&amp;"#"&amp;6,Equity!$P:$P,0)),"")</f>
        <v/>
      </c>
      <c r="C21" s="18" t="str">
        <f aca="false">IFERROR(INDEX(Equity!$D:$D,MATCH($B$2&amp;"#"&amp;6,Equity!$P:$P,0)),"")</f>
        <v/>
      </c>
      <c r="D21" s="18" t="str">
        <f aca="false">IFERROR(INDEX(Equity!$E:$E,MATCH($B$2&amp;"#"&amp;6,Equity!$P:$P,0)),"")</f>
        <v/>
      </c>
      <c r="E21" s="13" t="str">
        <f aca="false">IFERROR(INDEX(Equity!$I:$I,MATCH($B$2&amp;"#"&amp;6,Equity!$P:$P,0)),"")</f>
        <v/>
      </c>
      <c r="F21" s="13" t="str">
        <f aca="false">IFERROR(INDEX(Equity!$K:$K,MATCH($B$2&amp;"#"&amp;6,Equity!$P:$P,0)),"")</f>
        <v/>
      </c>
      <c r="G21" s="19" t="str">
        <f aca="false">IFERROR(INDEX(Equity!$N:$N,MATCH($B$2&amp;"#"&amp;6,Equity!$P:$P,0)),"")</f>
        <v/>
      </c>
    </row>
    <row r="22" customFormat="false" ht="15" hidden="false" customHeight="true" outlineLevel="0" collapsed="false">
      <c r="A22" s="15" t="str">
        <f aca="false">IFERROR(INDEX(Equity!$B:$B,MATCH($B$2&amp;"#"&amp;7,Equity!$P:$P,0)),"")</f>
        <v/>
      </c>
      <c r="B22" s="15" t="str">
        <f aca="false">IFERROR(INDEX(Equity!$C:$C,MATCH($B$2&amp;"#"&amp;7,Equity!$P:$P,0)),"")</f>
        <v/>
      </c>
      <c r="C22" s="18" t="str">
        <f aca="false">IFERROR(INDEX(Equity!$D:$D,MATCH($B$2&amp;"#"&amp;7,Equity!$P:$P,0)),"")</f>
        <v/>
      </c>
      <c r="D22" s="18" t="str">
        <f aca="false">IFERROR(INDEX(Equity!$E:$E,MATCH($B$2&amp;"#"&amp;7,Equity!$P:$P,0)),"")</f>
        <v/>
      </c>
      <c r="E22" s="13" t="str">
        <f aca="false">IFERROR(INDEX(Equity!$I:$I,MATCH($B$2&amp;"#"&amp;7,Equity!$P:$P,0)),"")</f>
        <v/>
      </c>
      <c r="F22" s="13" t="str">
        <f aca="false">IFERROR(INDEX(Equity!$K:$K,MATCH($B$2&amp;"#"&amp;7,Equity!$P:$P,0)),"")</f>
        <v/>
      </c>
      <c r="G22" s="19" t="str">
        <f aca="false">IFERROR(INDEX(Equity!$N:$N,MATCH($B$2&amp;"#"&amp;7,Equity!$P:$P,0)),"")</f>
        <v/>
      </c>
    </row>
    <row r="23" customFormat="false" ht="15" hidden="false" customHeight="true" outlineLevel="0" collapsed="false">
      <c r="A23" s="15" t="str">
        <f aca="false">IFERROR(INDEX(Equity!$B:$B,MATCH($B$2&amp;"#"&amp;8,Equity!$P:$P,0)),"")</f>
        <v/>
      </c>
      <c r="B23" s="15" t="str">
        <f aca="false">IFERROR(INDEX(Equity!$C:$C,MATCH($B$2&amp;"#"&amp;8,Equity!$P:$P,0)),"")</f>
        <v/>
      </c>
      <c r="C23" s="18" t="str">
        <f aca="false">IFERROR(INDEX(Equity!$D:$D,MATCH($B$2&amp;"#"&amp;8,Equity!$P:$P,0)),"")</f>
        <v/>
      </c>
      <c r="D23" s="18" t="str">
        <f aca="false">IFERROR(INDEX(Equity!$E:$E,MATCH($B$2&amp;"#"&amp;8,Equity!$P:$P,0)),"")</f>
        <v/>
      </c>
      <c r="E23" s="13" t="str">
        <f aca="false">IFERROR(INDEX(Equity!$I:$I,MATCH($B$2&amp;"#"&amp;8,Equity!$P:$P,0)),"")</f>
        <v/>
      </c>
      <c r="F23" s="13" t="str">
        <f aca="false">IFERROR(INDEX(Equity!$K:$K,MATCH($B$2&amp;"#"&amp;8,Equity!$P:$P,0)),"")</f>
        <v/>
      </c>
      <c r="G23" s="19" t="str">
        <f aca="false">IFERROR(INDEX(Equity!$N:$N,MATCH($B$2&amp;"#"&amp;8,Equity!$P:$P,0)),"")</f>
        <v/>
      </c>
    </row>
    <row r="24" customFormat="false" ht="15" hidden="false" customHeight="true" outlineLevel="0" collapsed="false">
      <c r="A24" s="15" t="str">
        <f aca="false">IFERROR(INDEX(Equity!$B:$B,MATCH($B$2&amp;"#"&amp;9,Equity!$P:$P,0)),"")</f>
        <v/>
      </c>
      <c r="B24" s="15" t="str">
        <f aca="false">IFERROR(INDEX(Equity!$C:$C,MATCH($B$2&amp;"#"&amp;9,Equity!$P:$P,0)),"")</f>
        <v/>
      </c>
      <c r="C24" s="18" t="str">
        <f aca="false">IFERROR(INDEX(Equity!$D:$D,MATCH($B$2&amp;"#"&amp;9,Equity!$P:$P,0)),"")</f>
        <v/>
      </c>
      <c r="D24" s="18" t="str">
        <f aca="false">IFERROR(INDEX(Equity!$E:$E,MATCH($B$2&amp;"#"&amp;9,Equity!$P:$P,0)),"")</f>
        <v/>
      </c>
      <c r="E24" s="13" t="str">
        <f aca="false">IFERROR(INDEX(Equity!$I:$I,MATCH($B$2&amp;"#"&amp;9,Equity!$P:$P,0)),"")</f>
        <v/>
      </c>
      <c r="F24" s="13" t="str">
        <f aca="false">IFERROR(INDEX(Equity!$K:$K,MATCH($B$2&amp;"#"&amp;9,Equity!$P:$P,0)),"")</f>
        <v/>
      </c>
      <c r="G24" s="19" t="str">
        <f aca="false">IFERROR(INDEX(Equity!$N:$N,MATCH($B$2&amp;"#"&amp;9,Equity!$P:$P,0)),"")</f>
        <v/>
      </c>
    </row>
    <row r="25" customFormat="false" ht="15" hidden="false" customHeight="true" outlineLevel="0" collapsed="false">
      <c r="A25" s="15" t="str">
        <f aca="false">IFERROR(INDEX(Equity!$B:$B,MATCH($B$2&amp;"#"&amp;10,Equity!$P:$P,0)),"")</f>
        <v/>
      </c>
      <c r="B25" s="15" t="str">
        <f aca="false">IFERROR(INDEX(Equity!$C:$C,MATCH($B$2&amp;"#"&amp;10,Equity!$P:$P,0)),"")</f>
        <v/>
      </c>
      <c r="C25" s="18" t="str">
        <f aca="false">IFERROR(INDEX(Equity!$D:$D,MATCH($B$2&amp;"#"&amp;10,Equity!$P:$P,0)),"")</f>
        <v/>
      </c>
      <c r="D25" s="18" t="str">
        <f aca="false">IFERROR(INDEX(Equity!$E:$E,MATCH($B$2&amp;"#"&amp;10,Equity!$P:$P,0)),"")</f>
        <v/>
      </c>
      <c r="E25" s="13" t="str">
        <f aca="false">IFERROR(INDEX(Equity!$I:$I,MATCH($B$2&amp;"#"&amp;10,Equity!$P:$P,0)),"")</f>
        <v/>
      </c>
      <c r="F25" s="13" t="str">
        <f aca="false">IFERROR(INDEX(Equity!$K:$K,MATCH($B$2&amp;"#"&amp;10,Equity!$P:$P,0)),"")</f>
        <v/>
      </c>
      <c r="G25" s="19" t="str">
        <f aca="false">IFERROR(INDEX(Equity!$N:$N,MATCH($B$2&amp;"#"&amp;10,Equity!$P:$P,0)),"")</f>
        <v/>
      </c>
    </row>
    <row r="26" customFormat="false" ht="15" hidden="false" customHeight="true" outlineLevel="0" collapsed="false">
      <c r="A26" s="15" t="str">
        <f aca="false">IFERROR(INDEX(Equity!$B:$B,MATCH($B$2&amp;"#"&amp;11,Equity!$P:$P,0)),"")</f>
        <v/>
      </c>
      <c r="B26" s="15" t="str">
        <f aca="false">IFERROR(INDEX(Equity!$C:$C,MATCH($B$2&amp;"#"&amp;11,Equity!$P:$P,0)),"")</f>
        <v/>
      </c>
      <c r="C26" s="18" t="str">
        <f aca="false">IFERROR(INDEX(Equity!$D:$D,MATCH($B$2&amp;"#"&amp;11,Equity!$P:$P,0)),"")</f>
        <v/>
      </c>
      <c r="D26" s="18" t="str">
        <f aca="false">IFERROR(INDEX(Equity!$E:$E,MATCH($B$2&amp;"#"&amp;11,Equity!$P:$P,0)),"")</f>
        <v/>
      </c>
      <c r="E26" s="13" t="str">
        <f aca="false">IFERROR(INDEX(Equity!$I:$I,MATCH($B$2&amp;"#"&amp;11,Equity!$P:$P,0)),"")</f>
        <v/>
      </c>
      <c r="F26" s="13" t="str">
        <f aca="false">IFERROR(INDEX(Equity!$K:$K,MATCH($B$2&amp;"#"&amp;11,Equity!$P:$P,0)),"")</f>
        <v/>
      </c>
      <c r="G26" s="19" t="str">
        <f aca="false">IFERROR(INDEX(Equity!$N:$N,MATCH($B$2&amp;"#"&amp;11,Equity!$P:$P,0)),"")</f>
        <v/>
      </c>
    </row>
    <row r="27" customFormat="false" ht="15" hidden="false" customHeight="true" outlineLevel="0" collapsed="false">
      <c r="A27" s="15" t="str">
        <f aca="false">IFERROR(INDEX(Equity!$B:$B,MATCH($B$2&amp;"#"&amp;12,Equity!$P:$P,0)),"")</f>
        <v/>
      </c>
      <c r="B27" s="15" t="str">
        <f aca="false">IFERROR(INDEX(Equity!$C:$C,MATCH($B$2&amp;"#"&amp;12,Equity!$P:$P,0)),"")</f>
        <v/>
      </c>
      <c r="C27" s="18" t="str">
        <f aca="false">IFERROR(INDEX(Equity!$D:$D,MATCH($B$2&amp;"#"&amp;12,Equity!$P:$P,0)),"")</f>
        <v/>
      </c>
      <c r="D27" s="18" t="str">
        <f aca="false">IFERROR(INDEX(Equity!$E:$E,MATCH($B$2&amp;"#"&amp;12,Equity!$P:$P,0)),"")</f>
        <v/>
      </c>
      <c r="E27" s="13" t="str">
        <f aca="false">IFERROR(INDEX(Equity!$I:$I,MATCH($B$2&amp;"#"&amp;12,Equity!$P:$P,0)),"")</f>
        <v/>
      </c>
      <c r="F27" s="13" t="str">
        <f aca="false">IFERROR(INDEX(Equity!$K:$K,MATCH($B$2&amp;"#"&amp;12,Equity!$P:$P,0)),"")</f>
        <v/>
      </c>
      <c r="G27" s="19" t="str">
        <f aca="false">IFERROR(INDEX(Equity!$N:$N,MATCH($B$2&amp;"#"&amp;12,Equity!$P:$P,0)),"")</f>
        <v/>
      </c>
    </row>
    <row r="28" customFormat="false" ht="15" hidden="false" customHeight="true" outlineLevel="0" collapsed="false">
      <c r="A28" s="15" t="str">
        <f aca="false">IFERROR(INDEX(Equity!$B:$B,MATCH($B$2&amp;"#"&amp;13,Equity!$P:$P,0)),"")</f>
        <v/>
      </c>
      <c r="B28" s="15" t="str">
        <f aca="false">IFERROR(INDEX(Equity!$C:$C,MATCH($B$2&amp;"#"&amp;13,Equity!$P:$P,0)),"")</f>
        <v/>
      </c>
      <c r="C28" s="18" t="str">
        <f aca="false">IFERROR(INDEX(Equity!$D:$D,MATCH($B$2&amp;"#"&amp;13,Equity!$P:$P,0)),"")</f>
        <v/>
      </c>
      <c r="D28" s="18" t="str">
        <f aca="false">IFERROR(INDEX(Equity!$E:$E,MATCH($B$2&amp;"#"&amp;13,Equity!$P:$P,0)),"")</f>
        <v/>
      </c>
      <c r="E28" s="13" t="str">
        <f aca="false">IFERROR(INDEX(Equity!$I:$I,MATCH($B$2&amp;"#"&amp;13,Equity!$P:$P,0)),"")</f>
        <v/>
      </c>
      <c r="F28" s="13" t="str">
        <f aca="false">IFERROR(INDEX(Equity!$K:$K,MATCH($B$2&amp;"#"&amp;13,Equity!$P:$P,0)),"")</f>
        <v/>
      </c>
      <c r="G28" s="19" t="str">
        <f aca="false">IFERROR(INDEX(Equity!$N:$N,MATCH($B$2&amp;"#"&amp;13,Equity!$P:$P,0)),"")</f>
        <v/>
      </c>
    </row>
    <row r="29" customFormat="false" ht="15" hidden="false" customHeight="true" outlineLevel="0" collapsed="false">
      <c r="A29" s="15" t="str">
        <f aca="false">IFERROR(INDEX(Equity!$B:$B,MATCH($B$2&amp;"#"&amp;14,Equity!$P:$P,0)),"")</f>
        <v/>
      </c>
      <c r="B29" s="15" t="str">
        <f aca="false">IFERROR(INDEX(Equity!$C:$C,MATCH($B$2&amp;"#"&amp;14,Equity!$P:$P,0)),"")</f>
        <v/>
      </c>
      <c r="C29" s="18" t="str">
        <f aca="false">IFERROR(INDEX(Equity!$D:$D,MATCH($B$2&amp;"#"&amp;14,Equity!$P:$P,0)),"")</f>
        <v/>
      </c>
      <c r="D29" s="18" t="str">
        <f aca="false">IFERROR(INDEX(Equity!$E:$E,MATCH($B$2&amp;"#"&amp;14,Equity!$P:$P,0)),"")</f>
        <v/>
      </c>
      <c r="E29" s="13" t="str">
        <f aca="false">IFERROR(INDEX(Equity!$I:$I,MATCH($B$2&amp;"#"&amp;14,Equity!$P:$P,0)),"")</f>
        <v/>
      </c>
      <c r="F29" s="13" t="str">
        <f aca="false">IFERROR(INDEX(Equity!$K:$K,MATCH($B$2&amp;"#"&amp;14,Equity!$P:$P,0)),"")</f>
        <v/>
      </c>
      <c r="G29" s="19" t="str">
        <f aca="false">IFERROR(INDEX(Equity!$N:$N,MATCH($B$2&amp;"#"&amp;14,Equity!$P:$P,0)),"")</f>
        <v/>
      </c>
    </row>
    <row r="30" customFormat="false" ht="15" hidden="false" customHeight="true" outlineLevel="0" collapsed="false">
      <c r="A30" s="15" t="str">
        <f aca="false">IFERROR(INDEX(Equity!$B:$B,MATCH($B$2&amp;"#"&amp;15,Equity!$P:$P,0)),"")</f>
        <v/>
      </c>
      <c r="B30" s="15" t="str">
        <f aca="false">IFERROR(INDEX(Equity!$C:$C,MATCH($B$2&amp;"#"&amp;15,Equity!$P:$P,0)),"")</f>
        <v/>
      </c>
      <c r="C30" s="18" t="str">
        <f aca="false">IFERROR(INDEX(Equity!$D:$D,MATCH($B$2&amp;"#"&amp;15,Equity!$P:$P,0)),"")</f>
        <v/>
      </c>
      <c r="D30" s="18" t="str">
        <f aca="false">IFERROR(INDEX(Equity!$E:$E,MATCH($B$2&amp;"#"&amp;15,Equity!$P:$P,0)),"")</f>
        <v/>
      </c>
      <c r="E30" s="13" t="str">
        <f aca="false">IFERROR(INDEX(Equity!$I:$I,MATCH($B$2&amp;"#"&amp;15,Equity!$P:$P,0)),"")</f>
        <v/>
      </c>
      <c r="F30" s="13" t="str">
        <f aca="false">IFERROR(INDEX(Equity!$K:$K,MATCH($B$2&amp;"#"&amp;15,Equity!$P:$P,0)),"")</f>
        <v/>
      </c>
      <c r="G30" s="19" t="str">
        <f aca="false">IFERROR(INDEX(Equity!$N:$N,MATCH($B$2&amp;"#"&amp;15,Equity!$P:$P,0)),"")</f>
        <v/>
      </c>
    </row>
    <row r="31" customFormat="false" ht="15" hidden="false" customHeight="true" outlineLevel="0" collapsed="false">
      <c r="A31" s="15" t="str">
        <f aca="false">IFERROR(INDEX(Equity!$B:$B,MATCH($B$2&amp;"#"&amp;16,Equity!$P:$P,0)),"")</f>
        <v/>
      </c>
      <c r="B31" s="15" t="str">
        <f aca="false">IFERROR(INDEX(Equity!$C:$C,MATCH($B$2&amp;"#"&amp;16,Equity!$P:$P,0)),"")</f>
        <v/>
      </c>
      <c r="C31" s="18" t="str">
        <f aca="false">IFERROR(INDEX(Equity!$D:$D,MATCH($B$2&amp;"#"&amp;16,Equity!$P:$P,0)),"")</f>
        <v/>
      </c>
      <c r="D31" s="18" t="str">
        <f aca="false">IFERROR(INDEX(Equity!$E:$E,MATCH($B$2&amp;"#"&amp;16,Equity!$P:$P,0)),"")</f>
        <v/>
      </c>
      <c r="E31" s="13" t="str">
        <f aca="false">IFERROR(INDEX(Equity!$I:$I,MATCH($B$2&amp;"#"&amp;16,Equity!$P:$P,0)),"")</f>
        <v/>
      </c>
      <c r="F31" s="13" t="str">
        <f aca="false">IFERROR(INDEX(Equity!$K:$K,MATCH($B$2&amp;"#"&amp;16,Equity!$P:$P,0)),"")</f>
        <v/>
      </c>
      <c r="G31" s="19" t="str">
        <f aca="false">IFERROR(INDEX(Equity!$N:$N,MATCH($B$2&amp;"#"&amp;16,Equity!$P:$P,0)),"")</f>
        <v/>
      </c>
    </row>
    <row r="32" customFormat="false" ht="15" hidden="false" customHeight="true" outlineLevel="0" collapsed="false">
      <c r="A32" s="15" t="str">
        <f aca="false">IFERROR(INDEX(Equity!$B:$B,MATCH($B$2&amp;"#"&amp;17,Equity!$P:$P,0)),"")</f>
        <v/>
      </c>
      <c r="B32" s="15" t="str">
        <f aca="false">IFERROR(INDEX(Equity!$C:$C,MATCH($B$2&amp;"#"&amp;17,Equity!$P:$P,0)),"")</f>
        <v/>
      </c>
      <c r="C32" s="18" t="str">
        <f aca="false">IFERROR(INDEX(Equity!$D:$D,MATCH($B$2&amp;"#"&amp;17,Equity!$P:$P,0)),"")</f>
        <v/>
      </c>
      <c r="D32" s="18" t="str">
        <f aca="false">IFERROR(INDEX(Equity!$E:$E,MATCH($B$2&amp;"#"&amp;17,Equity!$P:$P,0)),"")</f>
        <v/>
      </c>
      <c r="E32" s="13" t="str">
        <f aca="false">IFERROR(INDEX(Equity!$I:$I,MATCH($B$2&amp;"#"&amp;17,Equity!$P:$P,0)),"")</f>
        <v/>
      </c>
      <c r="F32" s="13" t="str">
        <f aca="false">IFERROR(INDEX(Equity!$K:$K,MATCH($B$2&amp;"#"&amp;17,Equity!$P:$P,0)),"")</f>
        <v/>
      </c>
      <c r="G32" s="19" t="str">
        <f aca="false">IFERROR(INDEX(Equity!$N:$N,MATCH($B$2&amp;"#"&amp;17,Equity!$P:$P,0)),"")</f>
        <v/>
      </c>
    </row>
    <row r="33" customFormat="false" ht="15" hidden="false" customHeight="true" outlineLevel="0" collapsed="false">
      <c r="A33" s="15" t="str">
        <f aca="false">IFERROR(INDEX(Equity!$B:$B,MATCH($B$2&amp;"#"&amp;18,Equity!$P:$P,0)),"")</f>
        <v/>
      </c>
      <c r="B33" s="15" t="str">
        <f aca="false">IFERROR(INDEX(Equity!$C:$C,MATCH($B$2&amp;"#"&amp;18,Equity!$P:$P,0)),"")</f>
        <v/>
      </c>
      <c r="C33" s="18" t="str">
        <f aca="false">IFERROR(INDEX(Equity!$D:$D,MATCH($B$2&amp;"#"&amp;18,Equity!$P:$P,0)),"")</f>
        <v/>
      </c>
      <c r="D33" s="18" t="str">
        <f aca="false">IFERROR(INDEX(Equity!$E:$E,MATCH($B$2&amp;"#"&amp;18,Equity!$P:$P,0)),"")</f>
        <v/>
      </c>
      <c r="E33" s="13" t="str">
        <f aca="false">IFERROR(INDEX(Equity!$I:$I,MATCH($B$2&amp;"#"&amp;18,Equity!$P:$P,0)),"")</f>
        <v/>
      </c>
      <c r="F33" s="13" t="str">
        <f aca="false">IFERROR(INDEX(Equity!$K:$K,MATCH($B$2&amp;"#"&amp;18,Equity!$P:$P,0)),"")</f>
        <v/>
      </c>
      <c r="G33" s="19" t="str">
        <f aca="false">IFERROR(INDEX(Equity!$N:$N,MATCH($B$2&amp;"#"&amp;18,Equity!$P:$P,0)),"")</f>
        <v/>
      </c>
    </row>
    <row r="34" customFormat="false" ht="15" hidden="false" customHeight="true" outlineLevel="0" collapsed="false">
      <c r="A34" s="15" t="str">
        <f aca="false">IFERROR(INDEX(Equity!$B:$B,MATCH($B$2&amp;"#"&amp;19,Equity!$P:$P,0)),"")</f>
        <v/>
      </c>
      <c r="B34" s="15" t="str">
        <f aca="false">IFERROR(INDEX(Equity!$C:$C,MATCH($B$2&amp;"#"&amp;19,Equity!$P:$P,0)),"")</f>
        <v/>
      </c>
      <c r="C34" s="18" t="str">
        <f aca="false">IFERROR(INDEX(Equity!$D:$D,MATCH($B$2&amp;"#"&amp;19,Equity!$P:$P,0)),"")</f>
        <v/>
      </c>
      <c r="D34" s="18" t="str">
        <f aca="false">IFERROR(INDEX(Equity!$E:$E,MATCH($B$2&amp;"#"&amp;19,Equity!$P:$P,0)),"")</f>
        <v/>
      </c>
      <c r="E34" s="13" t="str">
        <f aca="false">IFERROR(INDEX(Equity!$I:$I,MATCH($B$2&amp;"#"&amp;19,Equity!$P:$P,0)),"")</f>
        <v/>
      </c>
      <c r="F34" s="13" t="str">
        <f aca="false">IFERROR(INDEX(Equity!$K:$K,MATCH($B$2&amp;"#"&amp;19,Equity!$P:$P,0)),"")</f>
        <v/>
      </c>
      <c r="G34" s="19" t="str">
        <f aca="false">IFERROR(INDEX(Equity!$N:$N,MATCH($B$2&amp;"#"&amp;19,Equity!$P:$P,0)),"")</f>
        <v/>
      </c>
    </row>
    <row r="35" customFormat="false" ht="15" hidden="false" customHeight="true" outlineLevel="0" collapsed="false">
      <c r="A35" s="15" t="str">
        <f aca="false">IFERROR(INDEX(Equity!$B:$B,MATCH($B$2&amp;"#"&amp;20,Equity!$P:$P,0)),"")</f>
        <v/>
      </c>
      <c r="B35" s="15" t="str">
        <f aca="false">IFERROR(INDEX(Equity!$C:$C,MATCH($B$2&amp;"#"&amp;20,Equity!$P:$P,0)),"")</f>
        <v/>
      </c>
      <c r="C35" s="18" t="str">
        <f aca="false">IFERROR(INDEX(Equity!$D:$D,MATCH($B$2&amp;"#"&amp;20,Equity!$P:$P,0)),"")</f>
        <v/>
      </c>
      <c r="D35" s="18" t="str">
        <f aca="false">IFERROR(INDEX(Equity!$E:$E,MATCH($B$2&amp;"#"&amp;20,Equity!$P:$P,0)),"")</f>
        <v/>
      </c>
      <c r="E35" s="13" t="str">
        <f aca="false">IFERROR(INDEX(Equity!$I:$I,MATCH($B$2&amp;"#"&amp;20,Equity!$P:$P,0)),"")</f>
        <v/>
      </c>
      <c r="F35" s="13" t="str">
        <f aca="false">IFERROR(INDEX(Equity!$K:$K,MATCH($B$2&amp;"#"&amp;20,Equity!$P:$P,0)),"")</f>
        <v/>
      </c>
      <c r="G35" s="19" t="str">
        <f aca="false">IFERROR(INDEX(Equity!$N:$N,MATCH($B$2&amp;"#"&amp;20,Equity!$P:$P,0)),"")</f>
        <v/>
      </c>
    </row>
    <row r="36" customFormat="false" ht="15" hidden="false" customHeight="true" outlineLevel="0" collapsed="false">
      <c r="A36" s="15" t="str">
        <f aca="false">IFERROR(INDEX(Equity!$B:$B,MATCH($B$2&amp;"#"&amp;21,Equity!$P:$P,0)),"")</f>
        <v/>
      </c>
      <c r="B36" s="15" t="str">
        <f aca="false">IFERROR(INDEX(Equity!$C:$C,MATCH($B$2&amp;"#"&amp;21,Equity!$P:$P,0)),"")</f>
        <v/>
      </c>
      <c r="C36" s="18" t="str">
        <f aca="false">IFERROR(INDEX(Equity!$D:$D,MATCH($B$2&amp;"#"&amp;21,Equity!$P:$P,0)),"")</f>
        <v/>
      </c>
      <c r="D36" s="18" t="str">
        <f aca="false">IFERROR(INDEX(Equity!$E:$E,MATCH($B$2&amp;"#"&amp;21,Equity!$P:$P,0)),"")</f>
        <v/>
      </c>
      <c r="E36" s="13" t="str">
        <f aca="false">IFERROR(INDEX(Equity!$I:$I,MATCH($B$2&amp;"#"&amp;21,Equity!$P:$P,0)),"")</f>
        <v/>
      </c>
      <c r="F36" s="13" t="str">
        <f aca="false">IFERROR(INDEX(Equity!$K:$K,MATCH($B$2&amp;"#"&amp;21,Equity!$P:$P,0)),"")</f>
        <v/>
      </c>
      <c r="G36" s="19" t="str">
        <f aca="false">IFERROR(INDEX(Equity!$N:$N,MATCH($B$2&amp;"#"&amp;21,Equity!$P:$P,0)),"")</f>
        <v/>
      </c>
    </row>
    <row r="37" customFormat="false" ht="15" hidden="false" customHeight="true" outlineLevel="0" collapsed="false">
      <c r="A37" s="15" t="str">
        <f aca="false">IFERROR(INDEX(Equity!$B:$B,MATCH($B$2&amp;"#"&amp;22,Equity!$P:$P,0)),"")</f>
        <v/>
      </c>
      <c r="B37" s="15" t="str">
        <f aca="false">IFERROR(INDEX(Equity!$C:$C,MATCH($B$2&amp;"#"&amp;22,Equity!$P:$P,0)),"")</f>
        <v/>
      </c>
      <c r="C37" s="18" t="str">
        <f aca="false">IFERROR(INDEX(Equity!$D:$D,MATCH($B$2&amp;"#"&amp;22,Equity!$P:$P,0)),"")</f>
        <v/>
      </c>
      <c r="D37" s="18" t="str">
        <f aca="false">IFERROR(INDEX(Equity!$E:$E,MATCH($B$2&amp;"#"&amp;22,Equity!$P:$P,0)),"")</f>
        <v/>
      </c>
      <c r="E37" s="13" t="str">
        <f aca="false">IFERROR(INDEX(Equity!$I:$I,MATCH($B$2&amp;"#"&amp;22,Equity!$P:$P,0)),"")</f>
        <v/>
      </c>
      <c r="F37" s="13" t="str">
        <f aca="false">IFERROR(INDEX(Equity!$K:$K,MATCH($B$2&amp;"#"&amp;22,Equity!$P:$P,0)),"")</f>
        <v/>
      </c>
      <c r="G37" s="19" t="str">
        <f aca="false">IFERROR(INDEX(Equity!$N:$N,MATCH($B$2&amp;"#"&amp;22,Equity!$P:$P,0)),"")</f>
        <v/>
      </c>
    </row>
    <row r="38" customFormat="false" ht="15" hidden="false" customHeight="true" outlineLevel="0" collapsed="false">
      <c r="A38" s="15" t="str">
        <f aca="false">IFERROR(INDEX(Equity!$B:$B,MATCH($B$2&amp;"#"&amp;23,Equity!$P:$P,0)),"")</f>
        <v/>
      </c>
      <c r="B38" s="15" t="str">
        <f aca="false">IFERROR(INDEX(Equity!$C:$C,MATCH($B$2&amp;"#"&amp;23,Equity!$P:$P,0)),"")</f>
        <v/>
      </c>
      <c r="C38" s="18" t="str">
        <f aca="false">IFERROR(INDEX(Equity!$D:$D,MATCH($B$2&amp;"#"&amp;23,Equity!$P:$P,0)),"")</f>
        <v/>
      </c>
      <c r="D38" s="18" t="str">
        <f aca="false">IFERROR(INDEX(Equity!$E:$E,MATCH($B$2&amp;"#"&amp;23,Equity!$P:$P,0)),"")</f>
        <v/>
      </c>
      <c r="E38" s="13" t="str">
        <f aca="false">IFERROR(INDEX(Equity!$I:$I,MATCH($B$2&amp;"#"&amp;23,Equity!$P:$P,0)),"")</f>
        <v/>
      </c>
      <c r="F38" s="13" t="str">
        <f aca="false">IFERROR(INDEX(Equity!$K:$K,MATCH($B$2&amp;"#"&amp;23,Equity!$P:$P,0)),"")</f>
        <v/>
      </c>
      <c r="G38" s="19" t="str">
        <f aca="false">IFERROR(INDEX(Equity!$N:$N,MATCH($B$2&amp;"#"&amp;23,Equity!$P:$P,0)),"")</f>
        <v/>
      </c>
    </row>
    <row r="39" customFormat="false" ht="15" hidden="false" customHeight="true" outlineLevel="0" collapsed="false">
      <c r="A39" s="15" t="str">
        <f aca="false">IFERROR(INDEX(Equity!$B:$B,MATCH($B$2&amp;"#"&amp;24,Equity!$P:$P,0)),"")</f>
        <v/>
      </c>
      <c r="B39" s="15" t="str">
        <f aca="false">IFERROR(INDEX(Equity!$C:$C,MATCH($B$2&amp;"#"&amp;24,Equity!$P:$P,0)),"")</f>
        <v/>
      </c>
      <c r="C39" s="18" t="str">
        <f aca="false">IFERROR(INDEX(Equity!$D:$D,MATCH($B$2&amp;"#"&amp;24,Equity!$P:$P,0)),"")</f>
        <v/>
      </c>
      <c r="D39" s="18" t="str">
        <f aca="false">IFERROR(INDEX(Equity!$E:$E,MATCH($B$2&amp;"#"&amp;24,Equity!$P:$P,0)),"")</f>
        <v/>
      </c>
      <c r="E39" s="13" t="str">
        <f aca="false">IFERROR(INDEX(Equity!$I:$I,MATCH($B$2&amp;"#"&amp;24,Equity!$P:$P,0)),"")</f>
        <v/>
      </c>
      <c r="F39" s="13" t="str">
        <f aca="false">IFERROR(INDEX(Equity!$K:$K,MATCH($B$2&amp;"#"&amp;24,Equity!$P:$P,0)),"")</f>
        <v/>
      </c>
      <c r="G39" s="19" t="str">
        <f aca="false">IFERROR(INDEX(Equity!$N:$N,MATCH($B$2&amp;"#"&amp;24,Equity!$P:$P,0)),"")</f>
        <v/>
      </c>
    </row>
    <row r="40" customFormat="false" ht="15" hidden="false" customHeight="true" outlineLevel="0" collapsed="false">
      <c r="A40" s="15" t="str">
        <f aca="false">IFERROR(INDEX(Equity!$B:$B,MATCH($B$2&amp;"#"&amp;25,Equity!$P:$P,0)),"")</f>
        <v/>
      </c>
      <c r="B40" s="15" t="str">
        <f aca="false">IFERROR(INDEX(Equity!$C:$C,MATCH($B$2&amp;"#"&amp;25,Equity!$P:$P,0)),"")</f>
        <v/>
      </c>
      <c r="C40" s="18" t="str">
        <f aca="false">IFERROR(INDEX(Equity!$D:$D,MATCH($B$2&amp;"#"&amp;25,Equity!$P:$P,0)),"")</f>
        <v/>
      </c>
      <c r="D40" s="18" t="str">
        <f aca="false">IFERROR(INDEX(Equity!$E:$E,MATCH($B$2&amp;"#"&amp;25,Equity!$P:$P,0)),"")</f>
        <v/>
      </c>
      <c r="E40" s="13" t="str">
        <f aca="false">IFERROR(INDEX(Equity!$I:$I,MATCH($B$2&amp;"#"&amp;25,Equity!$P:$P,0)),"")</f>
        <v/>
      </c>
      <c r="F40" s="13" t="str">
        <f aca="false">IFERROR(INDEX(Equity!$K:$K,MATCH($B$2&amp;"#"&amp;25,Equity!$P:$P,0)),"")</f>
        <v/>
      </c>
      <c r="G40" s="19" t="str">
        <f aca="false">IFERROR(INDEX(Equity!$N:$N,MATCH($B$2&amp;"#"&amp;25,Equity!$P:$P,0)),"")</f>
        <v/>
      </c>
    </row>
    <row r="41" customFormat="false" ht="15" hidden="false" customHeight="true" outlineLevel="0" collapsed="false">
      <c r="A41" s="15" t="str">
        <f aca="false">IFERROR(INDEX(Equity!$B:$B,MATCH($B$2&amp;"#"&amp;26,Equity!$P:$P,0)),"")</f>
        <v/>
      </c>
      <c r="B41" s="15" t="str">
        <f aca="false">IFERROR(INDEX(Equity!$C:$C,MATCH($B$2&amp;"#"&amp;26,Equity!$P:$P,0)),"")</f>
        <v/>
      </c>
      <c r="C41" s="18" t="str">
        <f aca="false">IFERROR(INDEX(Equity!$D:$D,MATCH($B$2&amp;"#"&amp;26,Equity!$P:$P,0)),"")</f>
        <v/>
      </c>
      <c r="D41" s="18" t="str">
        <f aca="false">IFERROR(INDEX(Equity!$E:$E,MATCH($B$2&amp;"#"&amp;26,Equity!$P:$P,0)),"")</f>
        <v/>
      </c>
      <c r="E41" s="13" t="str">
        <f aca="false">IFERROR(INDEX(Equity!$I:$I,MATCH($B$2&amp;"#"&amp;26,Equity!$P:$P,0)),"")</f>
        <v/>
      </c>
      <c r="F41" s="13" t="str">
        <f aca="false">IFERROR(INDEX(Equity!$K:$K,MATCH($B$2&amp;"#"&amp;26,Equity!$P:$P,0)),"")</f>
        <v/>
      </c>
      <c r="G41" s="19" t="str">
        <f aca="false">IFERROR(INDEX(Equity!$N:$N,MATCH($B$2&amp;"#"&amp;26,Equity!$P:$P,0)),"")</f>
        <v/>
      </c>
    </row>
    <row r="42" customFormat="false" ht="15" hidden="false" customHeight="true" outlineLevel="0" collapsed="false">
      <c r="A42" s="15" t="str">
        <f aca="false">IFERROR(INDEX(Equity!$B:$B,MATCH($B$2&amp;"#"&amp;27,Equity!$P:$P,0)),"")</f>
        <v/>
      </c>
      <c r="B42" s="15" t="str">
        <f aca="false">IFERROR(INDEX(Equity!$C:$C,MATCH($B$2&amp;"#"&amp;27,Equity!$P:$P,0)),"")</f>
        <v/>
      </c>
      <c r="C42" s="18" t="str">
        <f aca="false">IFERROR(INDEX(Equity!$D:$D,MATCH($B$2&amp;"#"&amp;27,Equity!$P:$P,0)),"")</f>
        <v/>
      </c>
      <c r="D42" s="18" t="str">
        <f aca="false">IFERROR(INDEX(Equity!$E:$E,MATCH($B$2&amp;"#"&amp;27,Equity!$P:$P,0)),"")</f>
        <v/>
      </c>
      <c r="E42" s="13" t="str">
        <f aca="false">IFERROR(INDEX(Equity!$I:$I,MATCH($B$2&amp;"#"&amp;27,Equity!$P:$P,0)),"")</f>
        <v/>
      </c>
      <c r="F42" s="13" t="str">
        <f aca="false">IFERROR(INDEX(Equity!$K:$K,MATCH($B$2&amp;"#"&amp;27,Equity!$P:$P,0)),"")</f>
        <v/>
      </c>
      <c r="G42" s="19" t="str">
        <f aca="false">IFERROR(INDEX(Equity!$N:$N,MATCH($B$2&amp;"#"&amp;27,Equity!$P:$P,0)),"")</f>
        <v/>
      </c>
    </row>
    <row r="43" customFormat="false" ht="15" hidden="false" customHeight="true" outlineLevel="0" collapsed="false">
      <c r="A43" s="15" t="str">
        <f aca="false">IFERROR(INDEX(Equity!$B:$B,MATCH($B$2&amp;"#"&amp;28,Equity!$P:$P,0)),"")</f>
        <v/>
      </c>
      <c r="B43" s="15" t="str">
        <f aca="false">IFERROR(INDEX(Equity!$C:$C,MATCH($B$2&amp;"#"&amp;28,Equity!$P:$P,0)),"")</f>
        <v/>
      </c>
      <c r="C43" s="18" t="str">
        <f aca="false">IFERROR(INDEX(Equity!$D:$D,MATCH($B$2&amp;"#"&amp;28,Equity!$P:$P,0)),"")</f>
        <v/>
      </c>
      <c r="D43" s="18" t="str">
        <f aca="false">IFERROR(INDEX(Equity!$E:$E,MATCH($B$2&amp;"#"&amp;28,Equity!$P:$P,0)),"")</f>
        <v/>
      </c>
      <c r="E43" s="13" t="str">
        <f aca="false">IFERROR(INDEX(Equity!$I:$I,MATCH($B$2&amp;"#"&amp;28,Equity!$P:$P,0)),"")</f>
        <v/>
      </c>
      <c r="F43" s="13" t="str">
        <f aca="false">IFERROR(INDEX(Equity!$K:$K,MATCH($B$2&amp;"#"&amp;28,Equity!$P:$P,0)),"")</f>
        <v/>
      </c>
      <c r="G43" s="19" t="str">
        <f aca="false">IFERROR(INDEX(Equity!$N:$N,MATCH($B$2&amp;"#"&amp;28,Equity!$P:$P,0)),"")</f>
        <v/>
      </c>
    </row>
    <row r="44" customFormat="false" ht="15" hidden="false" customHeight="true" outlineLevel="0" collapsed="false">
      <c r="A44" s="15" t="str">
        <f aca="false">IFERROR(INDEX(Equity!$B:$B,MATCH($B$2&amp;"#"&amp;29,Equity!$P:$P,0)),"")</f>
        <v/>
      </c>
      <c r="B44" s="15" t="str">
        <f aca="false">IFERROR(INDEX(Equity!$C:$C,MATCH($B$2&amp;"#"&amp;29,Equity!$P:$P,0)),"")</f>
        <v/>
      </c>
      <c r="C44" s="18" t="str">
        <f aca="false">IFERROR(INDEX(Equity!$D:$D,MATCH($B$2&amp;"#"&amp;29,Equity!$P:$P,0)),"")</f>
        <v/>
      </c>
      <c r="D44" s="18" t="str">
        <f aca="false">IFERROR(INDEX(Equity!$E:$E,MATCH($B$2&amp;"#"&amp;29,Equity!$P:$P,0)),"")</f>
        <v/>
      </c>
      <c r="E44" s="13" t="str">
        <f aca="false">IFERROR(INDEX(Equity!$I:$I,MATCH($B$2&amp;"#"&amp;29,Equity!$P:$P,0)),"")</f>
        <v/>
      </c>
      <c r="F44" s="13" t="str">
        <f aca="false">IFERROR(INDEX(Equity!$K:$K,MATCH($B$2&amp;"#"&amp;29,Equity!$P:$P,0)),"")</f>
        <v/>
      </c>
      <c r="G44" s="19" t="str">
        <f aca="false">IFERROR(INDEX(Equity!$N:$N,MATCH($B$2&amp;"#"&amp;29,Equity!$P:$P,0)),"")</f>
        <v/>
      </c>
    </row>
    <row r="45" customFormat="false" ht="15" hidden="false" customHeight="true" outlineLevel="0" collapsed="false">
      <c r="A45" s="15" t="str">
        <f aca="false">IFERROR(INDEX(Equity!$B:$B,MATCH($B$2&amp;"#"&amp;30,Equity!$P:$P,0)),"")</f>
        <v/>
      </c>
      <c r="B45" s="15" t="str">
        <f aca="false">IFERROR(INDEX(Equity!$C:$C,MATCH($B$2&amp;"#"&amp;30,Equity!$P:$P,0)),"")</f>
        <v/>
      </c>
      <c r="C45" s="18" t="str">
        <f aca="false">IFERROR(INDEX(Equity!$D:$D,MATCH($B$2&amp;"#"&amp;30,Equity!$P:$P,0)),"")</f>
        <v/>
      </c>
      <c r="D45" s="18" t="str">
        <f aca="false">IFERROR(INDEX(Equity!$E:$E,MATCH($B$2&amp;"#"&amp;30,Equity!$P:$P,0)),"")</f>
        <v/>
      </c>
      <c r="E45" s="13" t="str">
        <f aca="false">IFERROR(INDEX(Equity!$I:$I,MATCH($B$2&amp;"#"&amp;30,Equity!$P:$P,0)),"")</f>
        <v/>
      </c>
      <c r="F45" s="13" t="str">
        <f aca="false">IFERROR(INDEX(Equity!$K:$K,MATCH($B$2&amp;"#"&amp;30,Equity!$P:$P,0)),"")</f>
        <v/>
      </c>
      <c r="G45" s="19" t="str">
        <f aca="false">IFERROR(INDEX(Equity!$N:$N,MATCH($B$2&amp;"#"&amp;30,Equity!$P:$P,0)),"")</f>
        <v/>
      </c>
    </row>
    <row r="46" customFormat="false" ht="15" hidden="false" customHeight="true" outlineLevel="0" collapsed="false">
      <c r="A46" s="15" t="str">
        <f aca="false">IFERROR(INDEX(Equity!$B:$B,MATCH($B$2&amp;"#"&amp;31,Equity!$P:$P,0)),"")</f>
        <v/>
      </c>
      <c r="B46" s="15" t="str">
        <f aca="false">IFERROR(INDEX(Equity!$C:$C,MATCH($B$2&amp;"#"&amp;31,Equity!$P:$P,0)),"")</f>
        <v/>
      </c>
      <c r="C46" s="18" t="str">
        <f aca="false">IFERROR(INDEX(Equity!$D:$D,MATCH($B$2&amp;"#"&amp;31,Equity!$P:$P,0)),"")</f>
        <v/>
      </c>
      <c r="D46" s="18" t="str">
        <f aca="false">IFERROR(INDEX(Equity!$E:$E,MATCH($B$2&amp;"#"&amp;31,Equity!$P:$P,0)),"")</f>
        <v/>
      </c>
      <c r="E46" s="13" t="str">
        <f aca="false">IFERROR(INDEX(Equity!$I:$I,MATCH($B$2&amp;"#"&amp;31,Equity!$P:$P,0)),"")</f>
        <v/>
      </c>
      <c r="F46" s="13" t="str">
        <f aca="false">IFERROR(INDEX(Equity!$K:$K,MATCH($B$2&amp;"#"&amp;31,Equity!$P:$P,0)),"")</f>
        <v/>
      </c>
      <c r="G46" s="19" t="str">
        <f aca="false">IFERROR(INDEX(Equity!$N:$N,MATCH($B$2&amp;"#"&amp;31,Equity!$P:$P,0)),"")</f>
        <v/>
      </c>
    </row>
    <row r="47" customFormat="false" ht="15" hidden="false" customHeight="true" outlineLevel="0" collapsed="false">
      <c r="A47" s="15" t="str">
        <f aca="false">IFERROR(INDEX(Equity!$B:$B,MATCH($B$2&amp;"#"&amp;32,Equity!$P:$P,0)),"")</f>
        <v/>
      </c>
      <c r="B47" s="15" t="str">
        <f aca="false">IFERROR(INDEX(Equity!$C:$C,MATCH($B$2&amp;"#"&amp;32,Equity!$P:$P,0)),"")</f>
        <v/>
      </c>
      <c r="C47" s="18" t="str">
        <f aca="false">IFERROR(INDEX(Equity!$D:$D,MATCH($B$2&amp;"#"&amp;32,Equity!$P:$P,0)),"")</f>
        <v/>
      </c>
      <c r="D47" s="18" t="str">
        <f aca="false">IFERROR(INDEX(Equity!$E:$E,MATCH($B$2&amp;"#"&amp;32,Equity!$P:$P,0)),"")</f>
        <v/>
      </c>
      <c r="E47" s="13" t="str">
        <f aca="false">IFERROR(INDEX(Equity!$I:$I,MATCH($B$2&amp;"#"&amp;32,Equity!$P:$P,0)),"")</f>
        <v/>
      </c>
      <c r="F47" s="13" t="str">
        <f aca="false">IFERROR(INDEX(Equity!$K:$K,MATCH($B$2&amp;"#"&amp;32,Equity!$P:$P,0)),"")</f>
        <v/>
      </c>
      <c r="G47" s="19" t="str">
        <f aca="false">IFERROR(INDEX(Equity!$N:$N,MATCH($B$2&amp;"#"&amp;32,Equity!$P:$P,0)),"")</f>
        <v/>
      </c>
    </row>
    <row r="48" customFormat="false" ht="15" hidden="false" customHeight="true" outlineLevel="0" collapsed="false">
      <c r="A48" s="15" t="str">
        <f aca="false">IFERROR(INDEX(Equity!$B:$B,MATCH($B$2&amp;"#"&amp;33,Equity!$P:$P,0)),"")</f>
        <v/>
      </c>
      <c r="B48" s="15" t="str">
        <f aca="false">IFERROR(INDEX(Equity!$C:$C,MATCH($B$2&amp;"#"&amp;33,Equity!$P:$P,0)),"")</f>
        <v/>
      </c>
      <c r="C48" s="18" t="str">
        <f aca="false">IFERROR(INDEX(Equity!$D:$D,MATCH($B$2&amp;"#"&amp;33,Equity!$P:$P,0)),"")</f>
        <v/>
      </c>
      <c r="D48" s="18" t="str">
        <f aca="false">IFERROR(INDEX(Equity!$E:$E,MATCH($B$2&amp;"#"&amp;33,Equity!$P:$P,0)),"")</f>
        <v/>
      </c>
      <c r="E48" s="13" t="str">
        <f aca="false">IFERROR(INDEX(Equity!$I:$I,MATCH($B$2&amp;"#"&amp;33,Equity!$P:$P,0)),"")</f>
        <v/>
      </c>
      <c r="F48" s="13" t="str">
        <f aca="false">IFERROR(INDEX(Equity!$K:$K,MATCH($B$2&amp;"#"&amp;33,Equity!$P:$P,0)),"")</f>
        <v/>
      </c>
      <c r="G48" s="19" t="str">
        <f aca="false">IFERROR(INDEX(Equity!$N:$N,MATCH($B$2&amp;"#"&amp;33,Equity!$P:$P,0)),"")</f>
        <v/>
      </c>
    </row>
    <row r="49" customFormat="false" ht="15" hidden="false" customHeight="true" outlineLevel="0" collapsed="false">
      <c r="A49" s="15" t="str">
        <f aca="false">IFERROR(INDEX(Equity!$B:$B,MATCH($B$2&amp;"#"&amp;34,Equity!$P:$P,0)),"")</f>
        <v/>
      </c>
      <c r="B49" s="15" t="str">
        <f aca="false">IFERROR(INDEX(Equity!$C:$C,MATCH($B$2&amp;"#"&amp;34,Equity!$P:$P,0)),"")</f>
        <v/>
      </c>
      <c r="C49" s="18" t="str">
        <f aca="false">IFERROR(INDEX(Equity!$D:$D,MATCH($B$2&amp;"#"&amp;34,Equity!$P:$P,0)),"")</f>
        <v/>
      </c>
      <c r="D49" s="18" t="str">
        <f aca="false">IFERROR(INDEX(Equity!$E:$E,MATCH($B$2&amp;"#"&amp;34,Equity!$P:$P,0)),"")</f>
        <v/>
      </c>
      <c r="E49" s="13" t="str">
        <f aca="false">IFERROR(INDEX(Equity!$I:$I,MATCH($B$2&amp;"#"&amp;34,Equity!$P:$P,0)),"")</f>
        <v/>
      </c>
      <c r="F49" s="13" t="str">
        <f aca="false">IFERROR(INDEX(Equity!$K:$K,MATCH($B$2&amp;"#"&amp;34,Equity!$P:$P,0)),"")</f>
        <v/>
      </c>
      <c r="G49" s="19" t="str">
        <f aca="false">IFERROR(INDEX(Equity!$N:$N,MATCH($B$2&amp;"#"&amp;34,Equity!$P:$P,0)),"")</f>
        <v/>
      </c>
    </row>
    <row r="50" customFormat="false" ht="15" hidden="false" customHeight="true" outlineLevel="0" collapsed="false">
      <c r="A50" s="15" t="str">
        <f aca="false">IFERROR(INDEX(Equity!$B:$B,MATCH($B$2&amp;"#"&amp;35,Equity!$P:$P,0)),"")</f>
        <v/>
      </c>
      <c r="B50" s="15" t="str">
        <f aca="false">IFERROR(INDEX(Equity!$C:$C,MATCH($B$2&amp;"#"&amp;35,Equity!$P:$P,0)),"")</f>
        <v/>
      </c>
      <c r="C50" s="18" t="str">
        <f aca="false">IFERROR(INDEX(Equity!$D:$D,MATCH($B$2&amp;"#"&amp;35,Equity!$P:$P,0)),"")</f>
        <v/>
      </c>
      <c r="D50" s="18" t="str">
        <f aca="false">IFERROR(INDEX(Equity!$E:$E,MATCH($B$2&amp;"#"&amp;35,Equity!$P:$P,0)),"")</f>
        <v/>
      </c>
      <c r="E50" s="13" t="str">
        <f aca="false">IFERROR(INDEX(Equity!$I:$I,MATCH($B$2&amp;"#"&amp;35,Equity!$P:$P,0)),"")</f>
        <v/>
      </c>
      <c r="F50" s="13" t="str">
        <f aca="false">IFERROR(INDEX(Equity!$K:$K,MATCH($B$2&amp;"#"&amp;35,Equity!$P:$P,0)),"")</f>
        <v/>
      </c>
      <c r="G50" s="19" t="str">
        <f aca="false">IFERROR(INDEX(Equity!$N:$N,MATCH($B$2&amp;"#"&amp;35,Equity!$P:$P,0)),"")</f>
        <v/>
      </c>
    </row>
    <row r="51" customFormat="false" ht="15" hidden="false" customHeight="true" outlineLevel="0" collapsed="false">
      <c r="A51" s="15" t="str">
        <f aca="false">IFERROR(INDEX(Equity!$B:$B,MATCH($B$2&amp;"#"&amp;36,Equity!$P:$P,0)),"")</f>
        <v/>
      </c>
      <c r="B51" s="15" t="str">
        <f aca="false">IFERROR(INDEX(Equity!$C:$C,MATCH($B$2&amp;"#"&amp;36,Equity!$P:$P,0)),"")</f>
        <v/>
      </c>
      <c r="C51" s="18" t="str">
        <f aca="false">IFERROR(INDEX(Equity!$D:$D,MATCH($B$2&amp;"#"&amp;36,Equity!$P:$P,0)),"")</f>
        <v/>
      </c>
      <c r="D51" s="18" t="str">
        <f aca="false">IFERROR(INDEX(Equity!$E:$E,MATCH($B$2&amp;"#"&amp;36,Equity!$P:$P,0)),"")</f>
        <v/>
      </c>
      <c r="E51" s="13" t="str">
        <f aca="false">IFERROR(INDEX(Equity!$I:$I,MATCH($B$2&amp;"#"&amp;36,Equity!$P:$P,0)),"")</f>
        <v/>
      </c>
      <c r="F51" s="13" t="str">
        <f aca="false">IFERROR(INDEX(Equity!$K:$K,MATCH($B$2&amp;"#"&amp;36,Equity!$P:$P,0)),"")</f>
        <v/>
      </c>
      <c r="G51" s="19" t="str">
        <f aca="false">IFERROR(INDEX(Equity!$N:$N,MATCH($B$2&amp;"#"&amp;36,Equity!$P:$P,0)),"")</f>
        <v/>
      </c>
    </row>
    <row r="52" customFormat="false" ht="15" hidden="false" customHeight="true" outlineLevel="0" collapsed="false">
      <c r="A52" s="15" t="str">
        <f aca="false">IFERROR(INDEX(Equity!$B:$B,MATCH($B$2&amp;"#"&amp;37,Equity!$P:$P,0)),"")</f>
        <v/>
      </c>
      <c r="B52" s="15" t="str">
        <f aca="false">IFERROR(INDEX(Equity!$C:$C,MATCH($B$2&amp;"#"&amp;37,Equity!$P:$P,0)),"")</f>
        <v/>
      </c>
      <c r="C52" s="18" t="str">
        <f aca="false">IFERROR(INDEX(Equity!$D:$D,MATCH($B$2&amp;"#"&amp;37,Equity!$P:$P,0)),"")</f>
        <v/>
      </c>
      <c r="D52" s="18" t="str">
        <f aca="false">IFERROR(INDEX(Equity!$E:$E,MATCH($B$2&amp;"#"&amp;37,Equity!$P:$P,0)),"")</f>
        <v/>
      </c>
      <c r="E52" s="13" t="str">
        <f aca="false">IFERROR(INDEX(Equity!$I:$I,MATCH($B$2&amp;"#"&amp;37,Equity!$P:$P,0)),"")</f>
        <v/>
      </c>
      <c r="F52" s="13" t="str">
        <f aca="false">IFERROR(INDEX(Equity!$K:$K,MATCH($B$2&amp;"#"&amp;37,Equity!$P:$P,0)),"")</f>
        <v/>
      </c>
      <c r="G52" s="19" t="str">
        <f aca="false">IFERROR(INDEX(Equity!$N:$N,MATCH($B$2&amp;"#"&amp;37,Equity!$P:$P,0)),"")</f>
        <v/>
      </c>
    </row>
    <row r="53" customFormat="false" ht="15" hidden="false" customHeight="true" outlineLevel="0" collapsed="false">
      <c r="A53" s="15" t="str">
        <f aca="false">IFERROR(INDEX(Equity!$B:$B,MATCH($B$2&amp;"#"&amp;38,Equity!$P:$P,0)),"")</f>
        <v/>
      </c>
      <c r="B53" s="15" t="str">
        <f aca="false">IFERROR(INDEX(Equity!$C:$C,MATCH($B$2&amp;"#"&amp;38,Equity!$P:$P,0)),"")</f>
        <v/>
      </c>
      <c r="C53" s="18" t="str">
        <f aca="false">IFERROR(INDEX(Equity!$D:$D,MATCH($B$2&amp;"#"&amp;38,Equity!$P:$P,0)),"")</f>
        <v/>
      </c>
      <c r="D53" s="18" t="str">
        <f aca="false">IFERROR(INDEX(Equity!$E:$E,MATCH($B$2&amp;"#"&amp;38,Equity!$P:$P,0)),"")</f>
        <v/>
      </c>
      <c r="E53" s="13" t="str">
        <f aca="false">IFERROR(INDEX(Equity!$I:$I,MATCH($B$2&amp;"#"&amp;38,Equity!$P:$P,0)),"")</f>
        <v/>
      </c>
      <c r="F53" s="13" t="str">
        <f aca="false">IFERROR(INDEX(Equity!$K:$K,MATCH($B$2&amp;"#"&amp;38,Equity!$P:$P,0)),"")</f>
        <v/>
      </c>
      <c r="G53" s="19" t="str">
        <f aca="false">IFERROR(INDEX(Equity!$N:$N,MATCH($B$2&amp;"#"&amp;38,Equity!$P:$P,0)),"")</f>
        <v/>
      </c>
    </row>
    <row r="54" customFormat="false" ht="15" hidden="false" customHeight="true" outlineLevel="0" collapsed="false">
      <c r="A54" s="15" t="str">
        <f aca="false">IFERROR(INDEX(Equity!$B:$B,MATCH($B$2&amp;"#"&amp;39,Equity!$P:$P,0)),"")</f>
        <v/>
      </c>
      <c r="B54" s="15" t="str">
        <f aca="false">IFERROR(INDEX(Equity!$C:$C,MATCH($B$2&amp;"#"&amp;39,Equity!$P:$P,0)),"")</f>
        <v/>
      </c>
      <c r="C54" s="18" t="str">
        <f aca="false">IFERROR(INDEX(Equity!$D:$D,MATCH($B$2&amp;"#"&amp;39,Equity!$P:$P,0)),"")</f>
        <v/>
      </c>
      <c r="D54" s="18" t="str">
        <f aca="false">IFERROR(INDEX(Equity!$E:$E,MATCH($B$2&amp;"#"&amp;39,Equity!$P:$P,0)),"")</f>
        <v/>
      </c>
      <c r="E54" s="13" t="str">
        <f aca="false">IFERROR(INDEX(Equity!$I:$I,MATCH($B$2&amp;"#"&amp;39,Equity!$P:$P,0)),"")</f>
        <v/>
      </c>
      <c r="F54" s="13" t="str">
        <f aca="false">IFERROR(INDEX(Equity!$K:$K,MATCH($B$2&amp;"#"&amp;39,Equity!$P:$P,0)),"")</f>
        <v/>
      </c>
      <c r="G54" s="19" t="str">
        <f aca="false">IFERROR(INDEX(Equity!$N:$N,MATCH($B$2&amp;"#"&amp;39,Equity!$P:$P,0)),"")</f>
        <v/>
      </c>
    </row>
    <row r="55" customFormat="false" ht="15" hidden="false" customHeight="true" outlineLevel="0" collapsed="false">
      <c r="A55" s="15" t="str">
        <f aca="false">IFERROR(INDEX(Equity!$B:$B,MATCH($B$2&amp;"#"&amp;40,Equity!$P:$P,0)),"")</f>
        <v/>
      </c>
      <c r="B55" s="15" t="str">
        <f aca="false">IFERROR(INDEX(Equity!$C:$C,MATCH($B$2&amp;"#"&amp;40,Equity!$P:$P,0)),"")</f>
        <v/>
      </c>
      <c r="C55" s="18" t="str">
        <f aca="false">IFERROR(INDEX(Equity!$D:$D,MATCH($B$2&amp;"#"&amp;40,Equity!$P:$P,0)),"")</f>
        <v/>
      </c>
      <c r="D55" s="18" t="str">
        <f aca="false">IFERROR(INDEX(Equity!$E:$E,MATCH($B$2&amp;"#"&amp;40,Equity!$P:$P,0)),"")</f>
        <v/>
      </c>
      <c r="E55" s="13" t="str">
        <f aca="false">IFERROR(INDEX(Equity!$I:$I,MATCH($B$2&amp;"#"&amp;40,Equity!$P:$P,0)),"")</f>
        <v/>
      </c>
      <c r="F55" s="13" t="str">
        <f aca="false">IFERROR(INDEX(Equity!$K:$K,MATCH($B$2&amp;"#"&amp;40,Equity!$P:$P,0)),"")</f>
        <v/>
      </c>
      <c r="G55" s="19" t="str">
        <f aca="false">IFERROR(INDEX(Equity!$N:$N,MATCH($B$2&amp;"#"&amp;40,Equity!$P:$P,0)),"")</f>
        <v/>
      </c>
    </row>
    <row r="57" customFormat="false" ht="15" hidden="false" customHeight="true" outlineLevel="0" collapsed="false">
      <c r="A57" s="3" t="s">
        <v>29</v>
      </c>
    </row>
    <row r="58" customFormat="false" ht="15" hidden="false" customHeight="true" outlineLevel="0" collapsed="false">
      <c r="A58" s="17" t="s">
        <v>30</v>
      </c>
      <c r="B58" s="17" t="s">
        <v>31</v>
      </c>
      <c r="C58" s="17" t="s">
        <v>32</v>
      </c>
      <c r="D58" s="17" t="s">
        <v>33</v>
      </c>
      <c r="E58" s="17" t="s">
        <v>26</v>
      </c>
      <c r="F58" s="17" t="s">
        <v>27</v>
      </c>
      <c r="G58" s="17" t="s">
        <v>28</v>
      </c>
    </row>
    <row r="59" customFormat="false" ht="15" hidden="false" customHeight="true" outlineLevel="0" collapsed="false">
      <c r="A59" s="15" t="str">
        <f aca="false">IFERROR(INDEX(MutualFunds!$B:$B,MATCH($B$2&amp;"#"&amp;1,MutualFunds!$N:$N,0)),"")</f>
        <v>Parag Parikh Mutual Fund</v>
      </c>
      <c r="B59" s="15" t="str">
        <f aca="false">IFERROR(INDEX(MutualFunds!$C:$C,MATCH($B$2&amp;"#"&amp;1,MutualFunds!$N:$N,0)),"")</f>
        <v>Parag Parikh Flexi Cap Fund - Direct Plan</v>
      </c>
      <c r="C59" s="18" t="n">
        <f aca="false">IFERROR(INDEX(MutualFunds!$E:$E,MATCH($B$2&amp;"#"&amp;1,MutualFunds!$N:$N,0)),"")</f>
        <v>720.177920161128</v>
      </c>
      <c r="D59" s="18" t="n">
        <f aca="false">IFERROR(INDEX(MutualFunds!$G:$G,MATCH($B$2&amp;"#"&amp;1,MutualFunds!$N:$N,0)),"")</f>
        <v>91.2</v>
      </c>
      <c r="E59" s="13" t="n">
        <f aca="false">IFERROR(INDEX(MutualFunds!$I:$I,MATCH($B$2&amp;"#"&amp;1,MutualFunds!$N:$N,0)),"")</f>
        <v>65680.2263186949</v>
      </c>
      <c r="F59" s="13" t="n">
        <f aca="false">IFERROR(INDEX(MutualFunds!$J:$J,MATCH($B$2&amp;"#"&amp;1,MutualFunds!$N:$N,0)),"")</f>
        <v>5680.2263186949</v>
      </c>
      <c r="G59" s="19" t="n">
        <f aca="false">IFERROR(INDEX(MutualFunds!$L:$L,MATCH($B$2&amp;"#"&amp;1,MutualFunds!$N:$N,0)),"")</f>
        <v>0.36695</v>
      </c>
    </row>
    <row r="60" customFormat="false" ht="15" hidden="false" customHeight="true" outlineLevel="0" collapsed="false">
      <c r="A60" s="15" t="str">
        <f aca="false">IFERROR(INDEX(MutualFunds!$B:$B,MATCH($B$2&amp;"#"&amp;2,MutualFunds!$N:$N,0)),"")</f>
        <v/>
      </c>
      <c r="B60" s="15" t="str">
        <f aca="false">IFERROR(INDEX(MutualFunds!$C:$C,MATCH($B$2&amp;"#"&amp;2,MutualFunds!$N:$N,0)),"")</f>
        <v/>
      </c>
      <c r="C60" s="18" t="str">
        <f aca="false">IFERROR(INDEX(MutualFunds!$E:$E,MATCH($B$2&amp;"#"&amp;2,MutualFunds!$N:$N,0)),"")</f>
        <v/>
      </c>
      <c r="D60" s="18" t="str">
        <f aca="false">IFERROR(INDEX(MutualFunds!$G:$G,MATCH($B$2&amp;"#"&amp;2,MutualFunds!$N:$N,0)),"")</f>
        <v/>
      </c>
      <c r="E60" s="13" t="str">
        <f aca="false">IFERROR(INDEX(MutualFunds!$I:$I,MATCH($B$2&amp;"#"&amp;2,MutualFunds!$N:$N,0)),"")</f>
        <v/>
      </c>
      <c r="F60" s="13" t="str">
        <f aca="false">IFERROR(INDEX(MutualFunds!$J:$J,MATCH($B$2&amp;"#"&amp;2,MutualFunds!$N:$N,0)),"")</f>
        <v/>
      </c>
      <c r="G60" s="19" t="str">
        <f aca="false">IFERROR(INDEX(MutualFunds!$L:$L,MATCH($B$2&amp;"#"&amp;2,MutualFunds!$N:$N,0)),"")</f>
        <v/>
      </c>
    </row>
    <row r="61" customFormat="false" ht="15" hidden="false" customHeight="true" outlineLevel="0" collapsed="false">
      <c r="A61" s="15" t="str">
        <f aca="false">IFERROR(INDEX(MutualFunds!$B:$B,MATCH($B$2&amp;"#"&amp;3,MutualFunds!$N:$N,0)),"")</f>
        <v/>
      </c>
      <c r="B61" s="15" t="str">
        <f aca="false">IFERROR(INDEX(MutualFunds!$C:$C,MATCH($B$2&amp;"#"&amp;3,MutualFunds!$N:$N,0)),"")</f>
        <v/>
      </c>
      <c r="C61" s="18" t="str">
        <f aca="false">IFERROR(INDEX(MutualFunds!$E:$E,MATCH($B$2&amp;"#"&amp;3,MutualFunds!$N:$N,0)),"")</f>
        <v/>
      </c>
      <c r="D61" s="18" t="str">
        <f aca="false">IFERROR(INDEX(MutualFunds!$G:$G,MATCH($B$2&amp;"#"&amp;3,MutualFunds!$N:$N,0)),"")</f>
        <v/>
      </c>
      <c r="E61" s="13" t="str">
        <f aca="false">IFERROR(INDEX(MutualFunds!$I:$I,MATCH($B$2&amp;"#"&amp;3,MutualFunds!$N:$N,0)),"")</f>
        <v/>
      </c>
      <c r="F61" s="13" t="str">
        <f aca="false">IFERROR(INDEX(MutualFunds!$J:$J,MATCH($B$2&amp;"#"&amp;3,MutualFunds!$N:$N,0)),"")</f>
        <v/>
      </c>
      <c r="G61" s="19" t="str">
        <f aca="false">IFERROR(INDEX(MutualFunds!$L:$L,MATCH($B$2&amp;"#"&amp;3,MutualFunds!$N:$N,0)),"")</f>
        <v/>
      </c>
    </row>
    <row r="62" customFormat="false" ht="15" hidden="false" customHeight="true" outlineLevel="0" collapsed="false">
      <c r="A62" s="15" t="str">
        <f aca="false">IFERROR(INDEX(MutualFunds!$B:$B,MATCH($B$2&amp;"#"&amp;4,MutualFunds!$N:$N,0)),"")</f>
        <v/>
      </c>
      <c r="B62" s="15" t="str">
        <f aca="false">IFERROR(INDEX(MutualFunds!$C:$C,MATCH($B$2&amp;"#"&amp;4,MutualFunds!$N:$N,0)),"")</f>
        <v/>
      </c>
      <c r="C62" s="18" t="str">
        <f aca="false">IFERROR(INDEX(MutualFunds!$E:$E,MATCH($B$2&amp;"#"&amp;4,MutualFunds!$N:$N,0)),"")</f>
        <v/>
      </c>
      <c r="D62" s="18" t="str">
        <f aca="false">IFERROR(INDEX(MutualFunds!$G:$G,MATCH($B$2&amp;"#"&amp;4,MutualFunds!$N:$N,0)),"")</f>
        <v/>
      </c>
      <c r="E62" s="13" t="str">
        <f aca="false">IFERROR(INDEX(MutualFunds!$I:$I,MATCH($B$2&amp;"#"&amp;4,MutualFunds!$N:$N,0)),"")</f>
        <v/>
      </c>
      <c r="F62" s="13" t="str">
        <f aca="false">IFERROR(INDEX(MutualFunds!$J:$J,MATCH($B$2&amp;"#"&amp;4,MutualFunds!$N:$N,0)),"")</f>
        <v/>
      </c>
      <c r="G62" s="19" t="str">
        <f aca="false">IFERROR(INDEX(MutualFunds!$L:$L,MATCH($B$2&amp;"#"&amp;4,MutualFunds!$N:$N,0)),"")</f>
        <v/>
      </c>
    </row>
    <row r="63" customFormat="false" ht="15" hidden="false" customHeight="true" outlineLevel="0" collapsed="false">
      <c r="A63" s="15" t="str">
        <f aca="false">IFERROR(INDEX(MutualFunds!$B:$B,MATCH($B$2&amp;"#"&amp;5,MutualFunds!$N:$N,0)),"")</f>
        <v/>
      </c>
      <c r="B63" s="15" t="str">
        <f aca="false">IFERROR(INDEX(MutualFunds!$C:$C,MATCH($B$2&amp;"#"&amp;5,MutualFunds!$N:$N,0)),"")</f>
        <v/>
      </c>
      <c r="C63" s="18" t="str">
        <f aca="false">IFERROR(INDEX(MutualFunds!$E:$E,MATCH($B$2&amp;"#"&amp;5,MutualFunds!$N:$N,0)),"")</f>
        <v/>
      </c>
      <c r="D63" s="18" t="str">
        <f aca="false">IFERROR(INDEX(MutualFunds!$G:$G,MATCH($B$2&amp;"#"&amp;5,MutualFunds!$N:$N,0)),"")</f>
        <v/>
      </c>
      <c r="E63" s="13" t="str">
        <f aca="false">IFERROR(INDEX(MutualFunds!$I:$I,MATCH($B$2&amp;"#"&amp;5,MutualFunds!$N:$N,0)),"")</f>
        <v/>
      </c>
      <c r="F63" s="13" t="str">
        <f aca="false">IFERROR(INDEX(MutualFunds!$J:$J,MATCH($B$2&amp;"#"&amp;5,MutualFunds!$N:$N,0)),"")</f>
        <v/>
      </c>
      <c r="G63" s="19" t="str">
        <f aca="false">IFERROR(INDEX(MutualFunds!$L:$L,MATCH($B$2&amp;"#"&amp;5,MutualFunds!$N:$N,0)),"")</f>
        <v/>
      </c>
    </row>
    <row r="64" customFormat="false" ht="15" hidden="false" customHeight="true" outlineLevel="0" collapsed="false">
      <c r="A64" s="15" t="str">
        <f aca="false">IFERROR(INDEX(MutualFunds!$B:$B,MATCH($B$2&amp;"#"&amp;6,MutualFunds!$N:$N,0)),"")</f>
        <v/>
      </c>
      <c r="B64" s="15" t="str">
        <f aca="false">IFERROR(INDEX(MutualFunds!$C:$C,MATCH($B$2&amp;"#"&amp;6,MutualFunds!$N:$N,0)),"")</f>
        <v/>
      </c>
      <c r="C64" s="18" t="str">
        <f aca="false">IFERROR(INDEX(MutualFunds!$E:$E,MATCH($B$2&amp;"#"&amp;6,MutualFunds!$N:$N,0)),"")</f>
        <v/>
      </c>
      <c r="D64" s="18" t="str">
        <f aca="false">IFERROR(INDEX(MutualFunds!$G:$G,MATCH($B$2&amp;"#"&amp;6,MutualFunds!$N:$N,0)),"")</f>
        <v/>
      </c>
      <c r="E64" s="13" t="str">
        <f aca="false">IFERROR(INDEX(MutualFunds!$I:$I,MATCH($B$2&amp;"#"&amp;6,MutualFunds!$N:$N,0)),"")</f>
        <v/>
      </c>
      <c r="F64" s="13" t="str">
        <f aca="false">IFERROR(INDEX(MutualFunds!$J:$J,MATCH($B$2&amp;"#"&amp;6,MutualFunds!$N:$N,0)),"")</f>
        <v/>
      </c>
      <c r="G64" s="19" t="str">
        <f aca="false">IFERROR(INDEX(MutualFunds!$L:$L,MATCH($B$2&amp;"#"&amp;6,MutualFunds!$N:$N,0)),"")</f>
        <v/>
      </c>
    </row>
    <row r="65" customFormat="false" ht="15" hidden="false" customHeight="true" outlineLevel="0" collapsed="false">
      <c r="A65" s="15" t="str">
        <f aca="false">IFERROR(INDEX(MutualFunds!$B:$B,MATCH($B$2&amp;"#"&amp;7,MutualFunds!$N:$N,0)),"")</f>
        <v/>
      </c>
      <c r="B65" s="15" t="str">
        <f aca="false">IFERROR(INDEX(MutualFunds!$C:$C,MATCH($B$2&amp;"#"&amp;7,MutualFunds!$N:$N,0)),"")</f>
        <v/>
      </c>
      <c r="C65" s="18" t="str">
        <f aca="false">IFERROR(INDEX(MutualFunds!$E:$E,MATCH($B$2&amp;"#"&amp;7,MutualFunds!$N:$N,0)),"")</f>
        <v/>
      </c>
      <c r="D65" s="18" t="str">
        <f aca="false">IFERROR(INDEX(MutualFunds!$G:$G,MATCH($B$2&amp;"#"&amp;7,MutualFunds!$N:$N,0)),"")</f>
        <v/>
      </c>
      <c r="E65" s="13" t="str">
        <f aca="false">IFERROR(INDEX(MutualFunds!$I:$I,MATCH($B$2&amp;"#"&amp;7,MutualFunds!$N:$N,0)),"")</f>
        <v/>
      </c>
      <c r="F65" s="13" t="str">
        <f aca="false">IFERROR(INDEX(MutualFunds!$J:$J,MATCH($B$2&amp;"#"&amp;7,MutualFunds!$N:$N,0)),"")</f>
        <v/>
      </c>
      <c r="G65" s="19" t="str">
        <f aca="false">IFERROR(INDEX(MutualFunds!$L:$L,MATCH($B$2&amp;"#"&amp;7,MutualFunds!$N:$N,0)),"")</f>
        <v/>
      </c>
    </row>
    <row r="66" customFormat="false" ht="15" hidden="false" customHeight="true" outlineLevel="0" collapsed="false">
      <c r="A66" s="15" t="str">
        <f aca="false">IFERROR(INDEX(MutualFunds!$B:$B,MATCH($B$2&amp;"#"&amp;8,MutualFunds!$N:$N,0)),"")</f>
        <v/>
      </c>
      <c r="B66" s="15" t="str">
        <f aca="false">IFERROR(INDEX(MutualFunds!$C:$C,MATCH($B$2&amp;"#"&amp;8,MutualFunds!$N:$N,0)),"")</f>
        <v/>
      </c>
      <c r="C66" s="18" t="str">
        <f aca="false">IFERROR(INDEX(MutualFunds!$E:$E,MATCH($B$2&amp;"#"&amp;8,MutualFunds!$N:$N,0)),"")</f>
        <v/>
      </c>
      <c r="D66" s="18" t="str">
        <f aca="false">IFERROR(INDEX(MutualFunds!$G:$G,MATCH($B$2&amp;"#"&amp;8,MutualFunds!$N:$N,0)),"")</f>
        <v/>
      </c>
      <c r="E66" s="13" t="str">
        <f aca="false">IFERROR(INDEX(MutualFunds!$I:$I,MATCH($B$2&amp;"#"&amp;8,MutualFunds!$N:$N,0)),"")</f>
        <v/>
      </c>
      <c r="F66" s="13" t="str">
        <f aca="false">IFERROR(INDEX(MutualFunds!$J:$J,MATCH($B$2&amp;"#"&amp;8,MutualFunds!$N:$N,0)),"")</f>
        <v/>
      </c>
      <c r="G66" s="19" t="str">
        <f aca="false">IFERROR(INDEX(MutualFunds!$L:$L,MATCH($B$2&amp;"#"&amp;8,MutualFunds!$N:$N,0)),"")</f>
        <v/>
      </c>
    </row>
    <row r="67" customFormat="false" ht="15" hidden="false" customHeight="true" outlineLevel="0" collapsed="false">
      <c r="A67" s="15" t="str">
        <f aca="false">IFERROR(INDEX(MutualFunds!$B:$B,MATCH($B$2&amp;"#"&amp;9,MutualFunds!$N:$N,0)),"")</f>
        <v/>
      </c>
      <c r="B67" s="15" t="str">
        <f aca="false">IFERROR(INDEX(MutualFunds!$C:$C,MATCH($B$2&amp;"#"&amp;9,MutualFunds!$N:$N,0)),"")</f>
        <v/>
      </c>
      <c r="C67" s="18" t="str">
        <f aca="false">IFERROR(INDEX(MutualFunds!$E:$E,MATCH($B$2&amp;"#"&amp;9,MutualFunds!$N:$N,0)),"")</f>
        <v/>
      </c>
      <c r="D67" s="18" t="str">
        <f aca="false">IFERROR(INDEX(MutualFunds!$G:$G,MATCH($B$2&amp;"#"&amp;9,MutualFunds!$N:$N,0)),"")</f>
        <v/>
      </c>
      <c r="E67" s="13" t="str">
        <f aca="false">IFERROR(INDEX(MutualFunds!$I:$I,MATCH($B$2&amp;"#"&amp;9,MutualFunds!$N:$N,0)),"")</f>
        <v/>
      </c>
      <c r="F67" s="13" t="str">
        <f aca="false">IFERROR(INDEX(MutualFunds!$J:$J,MATCH($B$2&amp;"#"&amp;9,MutualFunds!$N:$N,0)),"")</f>
        <v/>
      </c>
      <c r="G67" s="19" t="str">
        <f aca="false">IFERROR(INDEX(MutualFunds!$L:$L,MATCH($B$2&amp;"#"&amp;9,MutualFunds!$N:$N,0)),"")</f>
        <v/>
      </c>
    </row>
    <row r="68" customFormat="false" ht="15" hidden="false" customHeight="true" outlineLevel="0" collapsed="false">
      <c r="A68" s="15" t="str">
        <f aca="false">IFERROR(INDEX(MutualFunds!$B:$B,MATCH($B$2&amp;"#"&amp;10,MutualFunds!$N:$N,0)),"")</f>
        <v/>
      </c>
      <c r="B68" s="15" t="str">
        <f aca="false">IFERROR(INDEX(MutualFunds!$C:$C,MATCH($B$2&amp;"#"&amp;10,MutualFunds!$N:$N,0)),"")</f>
        <v/>
      </c>
      <c r="C68" s="18" t="str">
        <f aca="false">IFERROR(INDEX(MutualFunds!$E:$E,MATCH($B$2&amp;"#"&amp;10,MutualFunds!$N:$N,0)),"")</f>
        <v/>
      </c>
      <c r="D68" s="18" t="str">
        <f aca="false">IFERROR(INDEX(MutualFunds!$G:$G,MATCH($B$2&amp;"#"&amp;10,MutualFunds!$N:$N,0)),"")</f>
        <v/>
      </c>
      <c r="E68" s="13" t="str">
        <f aca="false">IFERROR(INDEX(MutualFunds!$I:$I,MATCH($B$2&amp;"#"&amp;10,MutualFunds!$N:$N,0)),"")</f>
        <v/>
      </c>
      <c r="F68" s="13" t="str">
        <f aca="false">IFERROR(INDEX(MutualFunds!$J:$J,MATCH($B$2&amp;"#"&amp;10,MutualFunds!$N:$N,0)),"")</f>
        <v/>
      </c>
      <c r="G68" s="19" t="str">
        <f aca="false">IFERROR(INDEX(MutualFunds!$L:$L,MATCH($B$2&amp;"#"&amp;10,MutualFunds!$N:$N,0)),"")</f>
        <v/>
      </c>
    </row>
    <row r="69" customFormat="false" ht="15" hidden="false" customHeight="true" outlineLevel="0" collapsed="false">
      <c r="A69" s="15" t="str">
        <f aca="false">IFERROR(INDEX(MutualFunds!$B:$B,MATCH($B$2&amp;"#"&amp;11,MutualFunds!$N:$N,0)),"")</f>
        <v/>
      </c>
      <c r="B69" s="15" t="str">
        <f aca="false">IFERROR(INDEX(MutualFunds!$C:$C,MATCH($B$2&amp;"#"&amp;11,MutualFunds!$N:$N,0)),"")</f>
        <v/>
      </c>
      <c r="C69" s="18" t="str">
        <f aca="false">IFERROR(INDEX(MutualFunds!$E:$E,MATCH($B$2&amp;"#"&amp;11,MutualFunds!$N:$N,0)),"")</f>
        <v/>
      </c>
      <c r="D69" s="18" t="str">
        <f aca="false">IFERROR(INDEX(MutualFunds!$G:$G,MATCH($B$2&amp;"#"&amp;11,MutualFunds!$N:$N,0)),"")</f>
        <v/>
      </c>
      <c r="E69" s="13" t="str">
        <f aca="false">IFERROR(INDEX(MutualFunds!$I:$I,MATCH($B$2&amp;"#"&amp;11,MutualFunds!$N:$N,0)),"")</f>
        <v/>
      </c>
      <c r="F69" s="13" t="str">
        <f aca="false">IFERROR(INDEX(MutualFunds!$J:$J,MATCH($B$2&amp;"#"&amp;11,MutualFunds!$N:$N,0)),"")</f>
        <v/>
      </c>
      <c r="G69" s="19" t="str">
        <f aca="false">IFERROR(INDEX(MutualFunds!$L:$L,MATCH($B$2&amp;"#"&amp;11,MutualFunds!$N:$N,0)),"")</f>
        <v/>
      </c>
    </row>
    <row r="70" customFormat="false" ht="15" hidden="false" customHeight="true" outlineLevel="0" collapsed="false">
      <c r="A70" s="15" t="str">
        <f aca="false">IFERROR(INDEX(MutualFunds!$B:$B,MATCH($B$2&amp;"#"&amp;12,MutualFunds!$N:$N,0)),"")</f>
        <v/>
      </c>
      <c r="B70" s="15" t="str">
        <f aca="false">IFERROR(INDEX(MutualFunds!$C:$C,MATCH($B$2&amp;"#"&amp;12,MutualFunds!$N:$N,0)),"")</f>
        <v/>
      </c>
      <c r="C70" s="18" t="str">
        <f aca="false">IFERROR(INDEX(MutualFunds!$E:$E,MATCH($B$2&amp;"#"&amp;12,MutualFunds!$N:$N,0)),"")</f>
        <v/>
      </c>
      <c r="D70" s="18" t="str">
        <f aca="false">IFERROR(INDEX(MutualFunds!$G:$G,MATCH($B$2&amp;"#"&amp;12,MutualFunds!$N:$N,0)),"")</f>
        <v/>
      </c>
      <c r="E70" s="13" t="str">
        <f aca="false">IFERROR(INDEX(MutualFunds!$I:$I,MATCH($B$2&amp;"#"&amp;12,MutualFunds!$N:$N,0)),"")</f>
        <v/>
      </c>
      <c r="F70" s="13" t="str">
        <f aca="false">IFERROR(INDEX(MutualFunds!$J:$J,MATCH($B$2&amp;"#"&amp;12,MutualFunds!$N:$N,0)),"")</f>
        <v/>
      </c>
      <c r="G70" s="19" t="str">
        <f aca="false">IFERROR(INDEX(MutualFunds!$L:$L,MATCH($B$2&amp;"#"&amp;12,MutualFunds!$N:$N,0)),"")</f>
        <v/>
      </c>
    </row>
    <row r="71" customFormat="false" ht="15" hidden="false" customHeight="true" outlineLevel="0" collapsed="false">
      <c r="A71" s="15" t="str">
        <f aca="false">IFERROR(INDEX(MutualFunds!$B:$B,MATCH($B$2&amp;"#"&amp;13,MutualFunds!$N:$N,0)),"")</f>
        <v/>
      </c>
      <c r="B71" s="15" t="str">
        <f aca="false">IFERROR(INDEX(MutualFunds!$C:$C,MATCH($B$2&amp;"#"&amp;13,MutualFunds!$N:$N,0)),"")</f>
        <v/>
      </c>
      <c r="C71" s="18" t="str">
        <f aca="false">IFERROR(INDEX(MutualFunds!$E:$E,MATCH($B$2&amp;"#"&amp;13,MutualFunds!$N:$N,0)),"")</f>
        <v/>
      </c>
      <c r="D71" s="18" t="str">
        <f aca="false">IFERROR(INDEX(MutualFunds!$G:$G,MATCH($B$2&amp;"#"&amp;13,MutualFunds!$N:$N,0)),"")</f>
        <v/>
      </c>
      <c r="E71" s="13" t="str">
        <f aca="false">IFERROR(INDEX(MutualFunds!$I:$I,MATCH($B$2&amp;"#"&amp;13,MutualFunds!$N:$N,0)),"")</f>
        <v/>
      </c>
      <c r="F71" s="13" t="str">
        <f aca="false">IFERROR(INDEX(MutualFunds!$J:$J,MATCH($B$2&amp;"#"&amp;13,MutualFunds!$N:$N,0)),"")</f>
        <v/>
      </c>
      <c r="G71" s="19" t="str">
        <f aca="false">IFERROR(INDEX(MutualFunds!$L:$L,MATCH($B$2&amp;"#"&amp;13,MutualFunds!$N:$N,0)),"")</f>
        <v/>
      </c>
    </row>
    <row r="72" customFormat="false" ht="15" hidden="false" customHeight="true" outlineLevel="0" collapsed="false">
      <c r="A72" s="15" t="str">
        <f aca="false">IFERROR(INDEX(MutualFunds!$B:$B,MATCH($B$2&amp;"#"&amp;14,MutualFunds!$N:$N,0)),"")</f>
        <v/>
      </c>
      <c r="B72" s="15" t="str">
        <f aca="false">IFERROR(INDEX(MutualFunds!$C:$C,MATCH($B$2&amp;"#"&amp;14,MutualFunds!$N:$N,0)),"")</f>
        <v/>
      </c>
      <c r="C72" s="18" t="str">
        <f aca="false">IFERROR(INDEX(MutualFunds!$E:$E,MATCH($B$2&amp;"#"&amp;14,MutualFunds!$N:$N,0)),"")</f>
        <v/>
      </c>
      <c r="D72" s="18" t="str">
        <f aca="false">IFERROR(INDEX(MutualFunds!$G:$G,MATCH($B$2&amp;"#"&amp;14,MutualFunds!$N:$N,0)),"")</f>
        <v/>
      </c>
      <c r="E72" s="13" t="str">
        <f aca="false">IFERROR(INDEX(MutualFunds!$I:$I,MATCH($B$2&amp;"#"&amp;14,MutualFunds!$N:$N,0)),"")</f>
        <v/>
      </c>
      <c r="F72" s="13" t="str">
        <f aca="false">IFERROR(INDEX(MutualFunds!$J:$J,MATCH($B$2&amp;"#"&amp;14,MutualFunds!$N:$N,0)),"")</f>
        <v/>
      </c>
      <c r="G72" s="19" t="str">
        <f aca="false">IFERROR(INDEX(MutualFunds!$L:$L,MATCH($B$2&amp;"#"&amp;14,MutualFunds!$N:$N,0)),"")</f>
        <v/>
      </c>
    </row>
    <row r="73" customFormat="false" ht="15" hidden="false" customHeight="true" outlineLevel="0" collapsed="false">
      <c r="A73" s="15" t="str">
        <f aca="false">IFERROR(INDEX(MutualFunds!$B:$B,MATCH($B$2&amp;"#"&amp;15,MutualFunds!$N:$N,0)),"")</f>
        <v/>
      </c>
      <c r="B73" s="15" t="str">
        <f aca="false">IFERROR(INDEX(MutualFunds!$C:$C,MATCH($B$2&amp;"#"&amp;15,MutualFunds!$N:$N,0)),"")</f>
        <v/>
      </c>
      <c r="C73" s="18" t="str">
        <f aca="false">IFERROR(INDEX(MutualFunds!$E:$E,MATCH($B$2&amp;"#"&amp;15,MutualFunds!$N:$N,0)),"")</f>
        <v/>
      </c>
      <c r="D73" s="18" t="str">
        <f aca="false">IFERROR(INDEX(MutualFunds!$G:$G,MATCH($B$2&amp;"#"&amp;15,MutualFunds!$N:$N,0)),"")</f>
        <v/>
      </c>
      <c r="E73" s="13" t="str">
        <f aca="false">IFERROR(INDEX(MutualFunds!$I:$I,MATCH($B$2&amp;"#"&amp;15,MutualFunds!$N:$N,0)),"")</f>
        <v/>
      </c>
      <c r="F73" s="13" t="str">
        <f aca="false">IFERROR(INDEX(MutualFunds!$J:$J,MATCH($B$2&amp;"#"&amp;15,MutualFunds!$N:$N,0)),"")</f>
        <v/>
      </c>
      <c r="G73" s="19" t="str">
        <f aca="false">IFERROR(INDEX(MutualFunds!$L:$L,MATCH($B$2&amp;"#"&amp;15,MutualFunds!$N:$N,0)),"")</f>
        <v/>
      </c>
    </row>
    <row r="74" customFormat="false" ht="15" hidden="false" customHeight="true" outlineLevel="0" collapsed="false">
      <c r="A74" s="15" t="str">
        <f aca="false">IFERROR(INDEX(MutualFunds!$B:$B,MATCH($B$2&amp;"#"&amp;16,MutualFunds!$N:$N,0)),"")</f>
        <v/>
      </c>
      <c r="B74" s="15" t="str">
        <f aca="false">IFERROR(INDEX(MutualFunds!$C:$C,MATCH($B$2&amp;"#"&amp;16,MutualFunds!$N:$N,0)),"")</f>
        <v/>
      </c>
      <c r="C74" s="18" t="str">
        <f aca="false">IFERROR(INDEX(MutualFunds!$E:$E,MATCH($B$2&amp;"#"&amp;16,MutualFunds!$N:$N,0)),"")</f>
        <v/>
      </c>
      <c r="D74" s="18" t="str">
        <f aca="false">IFERROR(INDEX(MutualFunds!$G:$G,MATCH($B$2&amp;"#"&amp;16,MutualFunds!$N:$N,0)),"")</f>
        <v/>
      </c>
      <c r="E74" s="13" t="str">
        <f aca="false">IFERROR(INDEX(MutualFunds!$I:$I,MATCH($B$2&amp;"#"&amp;16,MutualFunds!$N:$N,0)),"")</f>
        <v/>
      </c>
      <c r="F74" s="13" t="str">
        <f aca="false">IFERROR(INDEX(MutualFunds!$J:$J,MATCH($B$2&amp;"#"&amp;16,MutualFunds!$N:$N,0)),"")</f>
        <v/>
      </c>
      <c r="G74" s="19" t="str">
        <f aca="false">IFERROR(INDEX(MutualFunds!$L:$L,MATCH($B$2&amp;"#"&amp;16,MutualFunds!$N:$N,0)),"")</f>
        <v/>
      </c>
    </row>
    <row r="75" customFormat="false" ht="15" hidden="false" customHeight="true" outlineLevel="0" collapsed="false">
      <c r="A75" s="15" t="str">
        <f aca="false">IFERROR(INDEX(MutualFunds!$B:$B,MATCH($B$2&amp;"#"&amp;17,MutualFunds!$N:$N,0)),"")</f>
        <v/>
      </c>
      <c r="B75" s="15" t="str">
        <f aca="false">IFERROR(INDEX(MutualFunds!$C:$C,MATCH($B$2&amp;"#"&amp;17,MutualFunds!$N:$N,0)),"")</f>
        <v/>
      </c>
      <c r="C75" s="18" t="str">
        <f aca="false">IFERROR(INDEX(MutualFunds!$E:$E,MATCH($B$2&amp;"#"&amp;17,MutualFunds!$N:$N,0)),"")</f>
        <v/>
      </c>
      <c r="D75" s="18" t="str">
        <f aca="false">IFERROR(INDEX(MutualFunds!$G:$G,MATCH($B$2&amp;"#"&amp;17,MutualFunds!$N:$N,0)),"")</f>
        <v/>
      </c>
      <c r="E75" s="13" t="str">
        <f aca="false">IFERROR(INDEX(MutualFunds!$I:$I,MATCH($B$2&amp;"#"&amp;17,MutualFunds!$N:$N,0)),"")</f>
        <v/>
      </c>
      <c r="F75" s="13" t="str">
        <f aca="false">IFERROR(INDEX(MutualFunds!$J:$J,MATCH($B$2&amp;"#"&amp;17,MutualFunds!$N:$N,0)),"")</f>
        <v/>
      </c>
      <c r="G75" s="19" t="str">
        <f aca="false">IFERROR(INDEX(MutualFunds!$L:$L,MATCH($B$2&amp;"#"&amp;17,MutualFunds!$N:$N,0)),"")</f>
        <v/>
      </c>
    </row>
    <row r="76" customFormat="false" ht="15" hidden="false" customHeight="true" outlineLevel="0" collapsed="false">
      <c r="A76" s="15" t="str">
        <f aca="false">IFERROR(INDEX(MutualFunds!$B:$B,MATCH($B$2&amp;"#"&amp;18,MutualFunds!$N:$N,0)),"")</f>
        <v/>
      </c>
      <c r="B76" s="15" t="str">
        <f aca="false">IFERROR(INDEX(MutualFunds!$C:$C,MATCH($B$2&amp;"#"&amp;18,MutualFunds!$N:$N,0)),"")</f>
        <v/>
      </c>
      <c r="C76" s="18" t="str">
        <f aca="false">IFERROR(INDEX(MutualFunds!$E:$E,MATCH($B$2&amp;"#"&amp;18,MutualFunds!$N:$N,0)),"")</f>
        <v/>
      </c>
      <c r="D76" s="18" t="str">
        <f aca="false">IFERROR(INDEX(MutualFunds!$G:$G,MATCH($B$2&amp;"#"&amp;18,MutualFunds!$N:$N,0)),"")</f>
        <v/>
      </c>
      <c r="E76" s="13" t="str">
        <f aca="false">IFERROR(INDEX(MutualFunds!$I:$I,MATCH($B$2&amp;"#"&amp;18,MutualFunds!$N:$N,0)),"")</f>
        <v/>
      </c>
      <c r="F76" s="13" t="str">
        <f aca="false">IFERROR(INDEX(MutualFunds!$J:$J,MATCH($B$2&amp;"#"&amp;18,MutualFunds!$N:$N,0)),"")</f>
        <v/>
      </c>
      <c r="G76" s="19" t="str">
        <f aca="false">IFERROR(INDEX(MutualFunds!$L:$L,MATCH($B$2&amp;"#"&amp;18,MutualFunds!$N:$N,0)),"")</f>
        <v/>
      </c>
    </row>
    <row r="77" customFormat="false" ht="15" hidden="false" customHeight="true" outlineLevel="0" collapsed="false">
      <c r="A77" s="15" t="str">
        <f aca="false">IFERROR(INDEX(MutualFunds!$B:$B,MATCH($B$2&amp;"#"&amp;19,MutualFunds!$N:$N,0)),"")</f>
        <v/>
      </c>
      <c r="B77" s="15" t="str">
        <f aca="false">IFERROR(INDEX(MutualFunds!$C:$C,MATCH($B$2&amp;"#"&amp;19,MutualFunds!$N:$N,0)),"")</f>
        <v/>
      </c>
      <c r="C77" s="18" t="str">
        <f aca="false">IFERROR(INDEX(MutualFunds!$E:$E,MATCH($B$2&amp;"#"&amp;19,MutualFunds!$N:$N,0)),"")</f>
        <v/>
      </c>
      <c r="D77" s="18" t="str">
        <f aca="false">IFERROR(INDEX(MutualFunds!$G:$G,MATCH($B$2&amp;"#"&amp;19,MutualFunds!$N:$N,0)),"")</f>
        <v/>
      </c>
      <c r="E77" s="13" t="str">
        <f aca="false">IFERROR(INDEX(MutualFunds!$I:$I,MATCH($B$2&amp;"#"&amp;19,MutualFunds!$N:$N,0)),"")</f>
        <v/>
      </c>
      <c r="F77" s="13" t="str">
        <f aca="false">IFERROR(INDEX(MutualFunds!$J:$J,MATCH($B$2&amp;"#"&amp;19,MutualFunds!$N:$N,0)),"")</f>
        <v/>
      </c>
      <c r="G77" s="19" t="str">
        <f aca="false">IFERROR(INDEX(MutualFunds!$L:$L,MATCH($B$2&amp;"#"&amp;19,MutualFunds!$N:$N,0)),"")</f>
        <v/>
      </c>
    </row>
    <row r="78" customFormat="false" ht="15" hidden="false" customHeight="true" outlineLevel="0" collapsed="false">
      <c r="A78" s="15" t="str">
        <f aca="false">IFERROR(INDEX(MutualFunds!$B:$B,MATCH($B$2&amp;"#"&amp;20,MutualFunds!$N:$N,0)),"")</f>
        <v/>
      </c>
      <c r="B78" s="15" t="str">
        <f aca="false">IFERROR(INDEX(MutualFunds!$C:$C,MATCH($B$2&amp;"#"&amp;20,MutualFunds!$N:$N,0)),"")</f>
        <v/>
      </c>
      <c r="C78" s="18" t="str">
        <f aca="false">IFERROR(INDEX(MutualFunds!$E:$E,MATCH($B$2&amp;"#"&amp;20,MutualFunds!$N:$N,0)),"")</f>
        <v/>
      </c>
      <c r="D78" s="18" t="str">
        <f aca="false">IFERROR(INDEX(MutualFunds!$G:$G,MATCH($B$2&amp;"#"&amp;20,MutualFunds!$N:$N,0)),"")</f>
        <v/>
      </c>
      <c r="E78" s="13" t="str">
        <f aca="false">IFERROR(INDEX(MutualFunds!$I:$I,MATCH($B$2&amp;"#"&amp;20,MutualFunds!$N:$N,0)),"")</f>
        <v/>
      </c>
      <c r="F78" s="13" t="str">
        <f aca="false">IFERROR(INDEX(MutualFunds!$J:$J,MATCH($B$2&amp;"#"&amp;20,MutualFunds!$N:$N,0)),"")</f>
        <v/>
      </c>
      <c r="G78" s="19" t="str">
        <f aca="false">IFERROR(INDEX(MutualFunds!$L:$L,MATCH($B$2&amp;"#"&amp;20,MutualFunds!$N:$N,0)),"")</f>
        <v/>
      </c>
    </row>
    <row r="80" customFormat="false" ht="15" hidden="false" customHeight="true" outlineLevel="0" collapsed="false">
      <c r="A80" s="3" t="s">
        <v>34</v>
      </c>
    </row>
    <row r="81" customFormat="false" ht="15" hidden="false" customHeight="true" outlineLevel="0" collapsed="false">
      <c r="A81" s="17" t="s">
        <v>35</v>
      </c>
      <c r="B81" s="17" t="s">
        <v>36</v>
      </c>
      <c r="C81" s="17" t="s">
        <v>37</v>
      </c>
      <c r="D81" s="17" t="s">
        <v>38</v>
      </c>
      <c r="E81" s="17" t="s">
        <v>39</v>
      </c>
    </row>
    <row r="82" customFormat="false" ht="15" hidden="false" customHeight="true" outlineLevel="0" collapsed="false">
      <c r="A82" s="15" t="str">
        <f aca="false">IFERROR(INDEX(FixedDeposits!$B:$B,MATCH($B$2&amp;"#"&amp;1,FixedDeposits!$L:$L,0)),"")</f>
        <v>HDFC Bank</v>
      </c>
      <c r="B82" s="13" t="n">
        <f aca="false">IFERROR(INDEX(FixedDeposits!$D:$D,MATCH($B$2&amp;"#"&amp;1,FixedDeposits!$L:$L,0)),"")</f>
        <v>500000</v>
      </c>
      <c r="C82" s="20" t="n">
        <f aca="false">IFERROR(INDEX(FixedDeposits!$E:$E,MATCH($B$2&amp;"#"&amp;1,FixedDeposits!$L:$L,0)),"")</f>
        <v>7.1</v>
      </c>
      <c r="D82" s="21" t="n">
        <f aca="false">IFERROR(INDEX(FixedDeposits!$G:$G,MATCH($B$2&amp;"#"&amp;1,FixedDeposits!$L:$L,0)),"")</f>
        <v>46478</v>
      </c>
      <c r="E82" s="13" t="n">
        <f aca="false">IFERROR(INDEX(FixedDeposits!$I:$I,MATCH($B$2&amp;"#"&amp;1,FixedDeposits!$L:$L,0)),"")</f>
        <v>587277.983478088</v>
      </c>
    </row>
    <row r="83" customFormat="false" ht="15" hidden="false" customHeight="true" outlineLevel="0" collapsed="false">
      <c r="A83" s="15" t="str">
        <f aca="false">IFERROR(INDEX(FixedDeposits!$B:$B,MATCH($B$2&amp;"#"&amp;2,FixedDeposits!$L:$L,0)),"")</f>
        <v/>
      </c>
      <c r="B83" s="13" t="str">
        <f aca="false">IFERROR(INDEX(FixedDeposits!$D:$D,MATCH($B$2&amp;"#"&amp;2,FixedDeposits!$L:$L,0)),"")</f>
        <v/>
      </c>
      <c r="C83" s="20" t="str">
        <f aca="false">IFERROR(INDEX(FixedDeposits!$E:$E,MATCH($B$2&amp;"#"&amp;2,FixedDeposits!$L:$L,0)),"")</f>
        <v/>
      </c>
      <c r="D83" s="21" t="str">
        <f aca="false">IFERROR(INDEX(FixedDeposits!$G:$G,MATCH($B$2&amp;"#"&amp;2,FixedDeposits!$L:$L,0)),"")</f>
        <v/>
      </c>
      <c r="E83" s="13" t="str">
        <f aca="false">IFERROR(INDEX(FixedDeposits!$I:$I,MATCH($B$2&amp;"#"&amp;2,FixedDeposits!$L:$L,0)),"")</f>
        <v/>
      </c>
    </row>
    <row r="84" customFormat="false" ht="15" hidden="false" customHeight="true" outlineLevel="0" collapsed="false">
      <c r="A84" s="15" t="str">
        <f aca="false">IFERROR(INDEX(FixedDeposits!$B:$B,MATCH($B$2&amp;"#"&amp;3,FixedDeposits!$L:$L,0)),"")</f>
        <v/>
      </c>
      <c r="B84" s="13" t="str">
        <f aca="false">IFERROR(INDEX(FixedDeposits!$D:$D,MATCH($B$2&amp;"#"&amp;3,FixedDeposits!$L:$L,0)),"")</f>
        <v/>
      </c>
      <c r="C84" s="20" t="str">
        <f aca="false">IFERROR(INDEX(FixedDeposits!$E:$E,MATCH($B$2&amp;"#"&amp;3,FixedDeposits!$L:$L,0)),"")</f>
        <v/>
      </c>
      <c r="D84" s="21" t="str">
        <f aca="false">IFERROR(INDEX(FixedDeposits!$G:$G,MATCH($B$2&amp;"#"&amp;3,FixedDeposits!$L:$L,0)),"")</f>
        <v/>
      </c>
      <c r="E84" s="13" t="str">
        <f aca="false">IFERROR(INDEX(FixedDeposits!$I:$I,MATCH($B$2&amp;"#"&amp;3,FixedDeposits!$L:$L,0)),"")</f>
        <v/>
      </c>
    </row>
    <row r="85" customFormat="false" ht="15" hidden="false" customHeight="true" outlineLevel="0" collapsed="false">
      <c r="A85" s="15" t="str">
        <f aca="false">IFERROR(INDEX(FixedDeposits!$B:$B,MATCH($B$2&amp;"#"&amp;4,FixedDeposits!$L:$L,0)),"")</f>
        <v/>
      </c>
      <c r="B85" s="13" t="str">
        <f aca="false">IFERROR(INDEX(FixedDeposits!$D:$D,MATCH($B$2&amp;"#"&amp;4,FixedDeposits!$L:$L,0)),"")</f>
        <v/>
      </c>
      <c r="C85" s="20" t="str">
        <f aca="false">IFERROR(INDEX(FixedDeposits!$E:$E,MATCH($B$2&amp;"#"&amp;4,FixedDeposits!$L:$L,0)),"")</f>
        <v/>
      </c>
      <c r="D85" s="21" t="str">
        <f aca="false">IFERROR(INDEX(FixedDeposits!$G:$G,MATCH($B$2&amp;"#"&amp;4,FixedDeposits!$L:$L,0)),"")</f>
        <v/>
      </c>
      <c r="E85" s="13" t="str">
        <f aca="false">IFERROR(INDEX(FixedDeposits!$I:$I,MATCH($B$2&amp;"#"&amp;4,FixedDeposits!$L:$L,0)),"")</f>
        <v/>
      </c>
    </row>
    <row r="86" customFormat="false" ht="15" hidden="false" customHeight="true" outlineLevel="0" collapsed="false">
      <c r="A86" s="15" t="str">
        <f aca="false">IFERROR(INDEX(FixedDeposits!$B:$B,MATCH($B$2&amp;"#"&amp;5,FixedDeposits!$L:$L,0)),"")</f>
        <v/>
      </c>
      <c r="B86" s="13" t="str">
        <f aca="false">IFERROR(INDEX(FixedDeposits!$D:$D,MATCH($B$2&amp;"#"&amp;5,FixedDeposits!$L:$L,0)),"")</f>
        <v/>
      </c>
      <c r="C86" s="20" t="str">
        <f aca="false">IFERROR(INDEX(FixedDeposits!$E:$E,MATCH($B$2&amp;"#"&amp;5,FixedDeposits!$L:$L,0)),"")</f>
        <v/>
      </c>
      <c r="D86" s="21" t="str">
        <f aca="false">IFERROR(INDEX(FixedDeposits!$G:$G,MATCH($B$2&amp;"#"&amp;5,FixedDeposits!$L:$L,0)),"")</f>
        <v/>
      </c>
      <c r="E86" s="13" t="str">
        <f aca="false">IFERROR(INDEX(FixedDeposits!$I:$I,MATCH($B$2&amp;"#"&amp;5,FixedDeposits!$L:$L,0)),"")</f>
        <v/>
      </c>
    </row>
    <row r="87" customFormat="false" ht="15" hidden="false" customHeight="true" outlineLevel="0" collapsed="false">
      <c r="A87" s="15" t="str">
        <f aca="false">IFERROR(INDEX(FixedDeposits!$B:$B,MATCH($B$2&amp;"#"&amp;6,FixedDeposits!$L:$L,0)),"")</f>
        <v/>
      </c>
      <c r="B87" s="13" t="str">
        <f aca="false">IFERROR(INDEX(FixedDeposits!$D:$D,MATCH($B$2&amp;"#"&amp;6,FixedDeposits!$L:$L,0)),"")</f>
        <v/>
      </c>
      <c r="C87" s="20" t="str">
        <f aca="false">IFERROR(INDEX(FixedDeposits!$E:$E,MATCH($B$2&amp;"#"&amp;6,FixedDeposits!$L:$L,0)),"")</f>
        <v/>
      </c>
      <c r="D87" s="21" t="str">
        <f aca="false">IFERROR(INDEX(FixedDeposits!$G:$G,MATCH($B$2&amp;"#"&amp;6,FixedDeposits!$L:$L,0)),"")</f>
        <v/>
      </c>
      <c r="E87" s="13" t="str">
        <f aca="false">IFERROR(INDEX(FixedDeposits!$I:$I,MATCH($B$2&amp;"#"&amp;6,FixedDeposits!$L:$L,0)),"")</f>
        <v/>
      </c>
    </row>
    <row r="88" customFormat="false" ht="15" hidden="false" customHeight="true" outlineLevel="0" collapsed="false">
      <c r="A88" s="15" t="str">
        <f aca="false">IFERROR(INDEX(FixedDeposits!$B:$B,MATCH($B$2&amp;"#"&amp;7,FixedDeposits!$L:$L,0)),"")</f>
        <v/>
      </c>
      <c r="B88" s="13" t="str">
        <f aca="false">IFERROR(INDEX(FixedDeposits!$D:$D,MATCH($B$2&amp;"#"&amp;7,FixedDeposits!$L:$L,0)),"")</f>
        <v/>
      </c>
      <c r="C88" s="20" t="str">
        <f aca="false">IFERROR(INDEX(FixedDeposits!$E:$E,MATCH($B$2&amp;"#"&amp;7,FixedDeposits!$L:$L,0)),"")</f>
        <v/>
      </c>
      <c r="D88" s="21" t="str">
        <f aca="false">IFERROR(INDEX(FixedDeposits!$G:$G,MATCH($B$2&amp;"#"&amp;7,FixedDeposits!$L:$L,0)),"")</f>
        <v/>
      </c>
      <c r="E88" s="13" t="str">
        <f aca="false">IFERROR(INDEX(FixedDeposits!$I:$I,MATCH($B$2&amp;"#"&amp;7,FixedDeposits!$L:$L,0)),"")</f>
        <v/>
      </c>
    </row>
    <row r="89" customFormat="false" ht="15" hidden="false" customHeight="true" outlineLevel="0" collapsed="false">
      <c r="A89" s="15" t="str">
        <f aca="false">IFERROR(INDEX(FixedDeposits!$B:$B,MATCH($B$2&amp;"#"&amp;8,FixedDeposits!$L:$L,0)),"")</f>
        <v/>
      </c>
      <c r="B89" s="13" t="str">
        <f aca="false">IFERROR(INDEX(FixedDeposits!$D:$D,MATCH($B$2&amp;"#"&amp;8,FixedDeposits!$L:$L,0)),"")</f>
        <v/>
      </c>
      <c r="C89" s="20" t="str">
        <f aca="false">IFERROR(INDEX(FixedDeposits!$E:$E,MATCH($B$2&amp;"#"&amp;8,FixedDeposits!$L:$L,0)),"")</f>
        <v/>
      </c>
      <c r="D89" s="21" t="str">
        <f aca="false">IFERROR(INDEX(FixedDeposits!$G:$G,MATCH($B$2&amp;"#"&amp;8,FixedDeposits!$L:$L,0)),"")</f>
        <v/>
      </c>
      <c r="E89" s="13" t="str">
        <f aca="false">IFERROR(INDEX(FixedDeposits!$I:$I,MATCH($B$2&amp;"#"&amp;8,FixedDeposits!$L:$L,0)),"")</f>
        <v/>
      </c>
    </row>
    <row r="90" customFormat="false" ht="15" hidden="false" customHeight="true" outlineLevel="0" collapsed="false">
      <c r="A90" s="15" t="str">
        <f aca="false">IFERROR(INDEX(FixedDeposits!$B:$B,MATCH($B$2&amp;"#"&amp;9,FixedDeposits!$L:$L,0)),"")</f>
        <v/>
      </c>
      <c r="B90" s="13" t="str">
        <f aca="false">IFERROR(INDEX(FixedDeposits!$D:$D,MATCH($B$2&amp;"#"&amp;9,FixedDeposits!$L:$L,0)),"")</f>
        <v/>
      </c>
      <c r="C90" s="20" t="str">
        <f aca="false">IFERROR(INDEX(FixedDeposits!$E:$E,MATCH($B$2&amp;"#"&amp;9,FixedDeposits!$L:$L,0)),"")</f>
        <v/>
      </c>
      <c r="D90" s="21" t="str">
        <f aca="false">IFERROR(INDEX(FixedDeposits!$G:$G,MATCH($B$2&amp;"#"&amp;9,FixedDeposits!$L:$L,0)),"")</f>
        <v/>
      </c>
      <c r="E90" s="13" t="str">
        <f aca="false">IFERROR(INDEX(FixedDeposits!$I:$I,MATCH($B$2&amp;"#"&amp;9,FixedDeposits!$L:$L,0)),"")</f>
        <v/>
      </c>
    </row>
    <row r="91" customFormat="false" ht="15" hidden="false" customHeight="true" outlineLevel="0" collapsed="false">
      <c r="A91" s="15" t="str">
        <f aca="false">IFERROR(INDEX(FixedDeposits!$B:$B,MATCH($B$2&amp;"#"&amp;10,FixedDeposits!$L:$L,0)),"")</f>
        <v/>
      </c>
      <c r="B91" s="13" t="str">
        <f aca="false">IFERROR(INDEX(FixedDeposits!$D:$D,MATCH($B$2&amp;"#"&amp;10,FixedDeposits!$L:$L,0)),"")</f>
        <v/>
      </c>
      <c r="C91" s="20" t="str">
        <f aca="false">IFERROR(INDEX(FixedDeposits!$E:$E,MATCH($B$2&amp;"#"&amp;10,FixedDeposits!$L:$L,0)),"")</f>
        <v/>
      </c>
      <c r="D91" s="21" t="str">
        <f aca="false">IFERROR(INDEX(FixedDeposits!$G:$G,MATCH($B$2&amp;"#"&amp;10,FixedDeposits!$L:$L,0)),"")</f>
        <v/>
      </c>
      <c r="E91" s="13" t="str">
        <f aca="false">IFERROR(INDEX(FixedDeposits!$I:$I,MATCH($B$2&amp;"#"&amp;10,FixedDeposits!$L:$L,0)),"")</f>
        <v/>
      </c>
    </row>
    <row r="92" customFormat="false" ht="15" hidden="false" customHeight="true" outlineLevel="0" collapsed="false">
      <c r="A92" s="15" t="str">
        <f aca="false">IFERROR(INDEX(FixedDeposits!$B:$B,MATCH($B$2&amp;"#"&amp;11,FixedDeposits!$L:$L,0)),"")</f>
        <v/>
      </c>
      <c r="B92" s="13" t="str">
        <f aca="false">IFERROR(INDEX(FixedDeposits!$D:$D,MATCH($B$2&amp;"#"&amp;11,FixedDeposits!$L:$L,0)),"")</f>
        <v/>
      </c>
      <c r="C92" s="20" t="str">
        <f aca="false">IFERROR(INDEX(FixedDeposits!$E:$E,MATCH($B$2&amp;"#"&amp;11,FixedDeposits!$L:$L,0)),"")</f>
        <v/>
      </c>
      <c r="D92" s="21" t="str">
        <f aca="false">IFERROR(INDEX(FixedDeposits!$G:$G,MATCH($B$2&amp;"#"&amp;11,FixedDeposits!$L:$L,0)),"")</f>
        <v/>
      </c>
      <c r="E92" s="13" t="str">
        <f aca="false">IFERROR(INDEX(FixedDeposits!$I:$I,MATCH($B$2&amp;"#"&amp;11,FixedDeposits!$L:$L,0)),"")</f>
        <v/>
      </c>
    </row>
    <row r="93" customFormat="false" ht="15" hidden="false" customHeight="true" outlineLevel="0" collapsed="false">
      <c r="A93" s="15" t="str">
        <f aca="false">IFERROR(INDEX(FixedDeposits!$B:$B,MATCH($B$2&amp;"#"&amp;12,FixedDeposits!$L:$L,0)),"")</f>
        <v/>
      </c>
      <c r="B93" s="13" t="str">
        <f aca="false">IFERROR(INDEX(FixedDeposits!$D:$D,MATCH($B$2&amp;"#"&amp;12,FixedDeposits!$L:$L,0)),"")</f>
        <v/>
      </c>
      <c r="C93" s="20" t="str">
        <f aca="false">IFERROR(INDEX(FixedDeposits!$E:$E,MATCH($B$2&amp;"#"&amp;12,FixedDeposits!$L:$L,0)),"")</f>
        <v/>
      </c>
      <c r="D93" s="21" t="str">
        <f aca="false">IFERROR(INDEX(FixedDeposits!$G:$G,MATCH($B$2&amp;"#"&amp;12,FixedDeposits!$L:$L,0)),"")</f>
        <v/>
      </c>
      <c r="E93" s="13" t="str">
        <f aca="false">IFERROR(INDEX(FixedDeposits!$I:$I,MATCH($B$2&amp;"#"&amp;12,FixedDeposits!$L:$L,0)),"")</f>
        <v/>
      </c>
    </row>
    <row r="94" customFormat="false" ht="15" hidden="false" customHeight="true" outlineLevel="0" collapsed="false">
      <c r="A94" s="15" t="str">
        <f aca="false">IFERROR(INDEX(FixedDeposits!$B:$B,MATCH($B$2&amp;"#"&amp;13,FixedDeposits!$L:$L,0)),"")</f>
        <v/>
      </c>
      <c r="B94" s="13" t="str">
        <f aca="false">IFERROR(INDEX(FixedDeposits!$D:$D,MATCH($B$2&amp;"#"&amp;13,FixedDeposits!$L:$L,0)),"")</f>
        <v/>
      </c>
      <c r="C94" s="20" t="str">
        <f aca="false">IFERROR(INDEX(FixedDeposits!$E:$E,MATCH($B$2&amp;"#"&amp;13,FixedDeposits!$L:$L,0)),"")</f>
        <v/>
      </c>
      <c r="D94" s="21" t="str">
        <f aca="false">IFERROR(INDEX(FixedDeposits!$G:$G,MATCH($B$2&amp;"#"&amp;13,FixedDeposits!$L:$L,0)),"")</f>
        <v/>
      </c>
      <c r="E94" s="13" t="str">
        <f aca="false">IFERROR(INDEX(FixedDeposits!$I:$I,MATCH($B$2&amp;"#"&amp;13,FixedDeposits!$L:$L,0)),"")</f>
        <v/>
      </c>
    </row>
    <row r="95" customFormat="false" ht="15" hidden="false" customHeight="true" outlineLevel="0" collapsed="false">
      <c r="A95" s="15" t="str">
        <f aca="false">IFERROR(INDEX(FixedDeposits!$B:$B,MATCH($B$2&amp;"#"&amp;14,FixedDeposits!$L:$L,0)),"")</f>
        <v/>
      </c>
      <c r="B95" s="13" t="str">
        <f aca="false">IFERROR(INDEX(FixedDeposits!$D:$D,MATCH($B$2&amp;"#"&amp;14,FixedDeposits!$L:$L,0)),"")</f>
        <v/>
      </c>
      <c r="C95" s="20" t="str">
        <f aca="false">IFERROR(INDEX(FixedDeposits!$E:$E,MATCH($B$2&amp;"#"&amp;14,FixedDeposits!$L:$L,0)),"")</f>
        <v/>
      </c>
      <c r="D95" s="21" t="str">
        <f aca="false">IFERROR(INDEX(FixedDeposits!$G:$G,MATCH($B$2&amp;"#"&amp;14,FixedDeposits!$L:$L,0)),"")</f>
        <v/>
      </c>
      <c r="E95" s="13" t="str">
        <f aca="false">IFERROR(INDEX(FixedDeposits!$I:$I,MATCH($B$2&amp;"#"&amp;14,FixedDeposits!$L:$L,0)),"")</f>
        <v/>
      </c>
    </row>
    <row r="96" customFormat="false" ht="15" hidden="false" customHeight="true" outlineLevel="0" collapsed="false">
      <c r="A96" s="15" t="str">
        <f aca="false">IFERROR(INDEX(FixedDeposits!$B:$B,MATCH($B$2&amp;"#"&amp;15,FixedDeposits!$L:$L,0)),"")</f>
        <v/>
      </c>
      <c r="B96" s="13" t="str">
        <f aca="false">IFERROR(INDEX(FixedDeposits!$D:$D,MATCH($B$2&amp;"#"&amp;15,FixedDeposits!$L:$L,0)),"")</f>
        <v/>
      </c>
      <c r="C96" s="20" t="str">
        <f aca="false">IFERROR(INDEX(FixedDeposits!$E:$E,MATCH($B$2&amp;"#"&amp;15,FixedDeposits!$L:$L,0)),"")</f>
        <v/>
      </c>
      <c r="D96" s="21" t="str">
        <f aca="false">IFERROR(INDEX(FixedDeposits!$G:$G,MATCH($B$2&amp;"#"&amp;15,FixedDeposits!$L:$L,0)),"")</f>
        <v/>
      </c>
      <c r="E96" s="13" t="str">
        <f aca="false">IFERROR(INDEX(FixedDeposits!$I:$I,MATCH($B$2&amp;"#"&amp;15,FixedDeposits!$L:$L,0)),"")</f>
        <v/>
      </c>
    </row>
    <row r="98" customFormat="false" ht="15" hidden="false" customHeight="true" outlineLevel="0" collapsed="false">
      <c r="A98" s="3" t="s">
        <v>7</v>
      </c>
    </row>
    <row r="99" customFormat="false" ht="15" hidden="false" customHeight="true" outlineLevel="0" collapsed="false">
      <c r="A99" s="17" t="s">
        <v>40</v>
      </c>
      <c r="B99" s="17" t="s">
        <v>41</v>
      </c>
      <c r="C99" s="17" t="s">
        <v>42</v>
      </c>
    </row>
    <row r="100" customFormat="false" ht="15" hidden="false" customHeight="true" outlineLevel="0" collapsed="false">
      <c r="A100" s="15" t="str">
        <f aca="false">IFERROR(INDEX(PPF!$B:$B,MATCH($B$2&amp;"#"&amp;1,PPF!$I:$I,0)),"")</f>
        <v>SBI</v>
      </c>
      <c r="B100" s="13" t="n">
        <f aca="false">IFERROR(INDEX(PPF!$D:$D,MATCH($B$2&amp;"#"&amp;1,PPF!$I:$I,0)),"")</f>
        <v>425000</v>
      </c>
      <c r="C100" s="21" t="n">
        <f aca="false">IFERROR(INDEX(PPF!$E:$E,MATCH($B$2&amp;"#"&amp;1,PPF!$I:$I,0)),"")</f>
        <v>46112</v>
      </c>
    </row>
    <row r="101" customFormat="false" ht="15" hidden="false" customHeight="true" outlineLevel="0" collapsed="false">
      <c r="A101" s="15" t="str">
        <f aca="false">IFERROR(INDEX(PPF!$B:$B,MATCH($B$2&amp;"#"&amp;2,PPF!$I:$I,0)),"")</f>
        <v/>
      </c>
      <c r="B101" s="13" t="str">
        <f aca="false">IFERROR(INDEX(PPF!$D:$D,MATCH($B$2&amp;"#"&amp;2,PPF!$I:$I,0)),"")</f>
        <v/>
      </c>
      <c r="C101" s="21" t="str">
        <f aca="false">IFERROR(INDEX(PPF!$E:$E,MATCH($B$2&amp;"#"&amp;2,PPF!$I:$I,0)),"")</f>
        <v/>
      </c>
    </row>
    <row r="102" customFormat="false" ht="15" hidden="false" customHeight="true" outlineLevel="0" collapsed="false">
      <c r="A102" s="15" t="str">
        <f aca="false">IFERROR(INDEX(PPF!$B:$B,MATCH($B$2&amp;"#"&amp;3,PPF!$I:$I,0)),"")</f>
        <v/>
      </c>
      <c r="B102" s="13" t="str">
        <f aca="false">IFERROR(INDEX(PPF!$D:$D,MATCH($B$2&amp;"#"&amp;3,PPF!$I:$I,0)),"")</f>
        <v/>
      </c>
      <c r="C102" s="21" t="str">
        <f aca="false">IFERROR(INDEX(PPF!$E:$E,MATCH($B$2&amp;"#"&amp;3,PPF!$I:$I,0)),"")</f>
        <v/>
      </c>
    </row>
    <row r="103" customFormat="false" ht="15" hidden="false" customHeight="true" outlineLevel="0" collapsed="false">
      <c r="A103" s="15" t="str">
        <f aca="false">IFERROR(INDEX(PPF!$B:$B,MATCH($B$2&amp;"#"&amp;4,PPF!$I:$I,0)),"")</f>
        <v/>
      </c>
      <c r="B103" s="13" t="str">
        <f aca="false">IFERROR(INDEX(PPF!$D:$D,MATCH($B$2&amp;"#"&amp;4,PPF!$I:$I,0)),"")</f>
        <v/>
      </c>
      <c r="C103" s="21" t="str">
        <f aca="false">IFERROR(INDEX(PPF!$E:$E,MATCH($B$2&amp;"#"&amp;4,PPF!$I:$I,0)),"")</f>
        <v/>
      </c>
    </row>
    <row r="104" customFormat="false" ht="15" hidden="false" customHeight="true" outlineLevel="0" collapsed="false">
      <c r="A104" s="15" t="str">
        <f aca="false">IFERROR(INDEX(PPF!$B:$B,MATCH($B$2&amp;"#"&amp;5,PPF!$I:$I,0)),"")</f>
        <v/>
      </c>
      <c r="B104" s="13" t="str">
        <f aca="false">IFERROR(INDEX(PPF!$D:$D,MATCH($B$2&amp;"#"&amp;5,PPF!$I:$I,0)),"")</f>
        <v/>
      </c>
      <c r="C104" s="21" t="str">
        <f aca="false">IFERROR(INDEX(PPF!$E:$E,MATCH($B$2&amp;"#"&amp;5,PPF!$I:$I,0)),"")</f>
        <v/>
      </c>
    </row>
    <row r="105" customFormat="false" ht="15" hidden="false" customHeight="true" outlineLevel="0" collapsed="false">
      <c r="A105" s="15" t="str">
        <f aca="false">IFERROR(INDEX(PPF!$B:$B,MATCH($B$2&amp;"#"&amp;6,PPF!$I:$I,0)),"")</f>
        <v/>
      </c>
      <c r="B105" s="13" t="str">
        <f aca="false">IFERROR(INDEX(PPF!$D:$D,MATCH($B$2&amp;"#"&amp;6,PPF!$I:$I,0)),"")</f>
        <v/>
      </c>
      <c r="C105" s="21" t="str">
        <f aca="false">IFERROR(INDEX(PPF!$E:$E,MATCH($B$2&amp;"#"&amp;6,PPF!$I:$I,0)),"")</f>
        <v/>
      </c>
    </row>
    <row r="106" customFormat="false" ht="15" hidden="false" customHeight="true" outlineLevel="0" collapsed="false">
      <c r="A106" s="15" t="str">
        <f aca="false">IFERROR(INDEX(PPF!$B:$B,MATCH($B$2&amp;"#"&amp;7,PPF!$I:$I,0)),"")</f>
        <v/>
      </c>
      <c r="B106" s="13" t="str">
        <f aca="false">IFERROR(INDEX(PPF!$D:$D,MATCH($B$2&amp;"#"&amp;7,PPF!$I:$I,0)),"")</f>
        <v/>
      </c>
      <c r="C106" s="21" t="str">
        <f aca="false">IFERROR(INDEX(PPF!$E:$E,MATCH($B$2&amp;"#"&amp;7,PPF!$I:$I,0)),"")</f>
        <v/>
      </c>
    </row>
    <row r="107" customFormat="false" ht="15" hidden="false" customHeight="true" outlineLevel="0" collapsed="false">
      <c r="A107" s="15" t="str">
        <f aca="false">IFERROR(INDEX(PPF!$B:$B,MATCH($B$2&amp;"#"&amp;8,PPF!$I:$I,0)),"")</f>
        <v/>
      </c>
      <c r="B107" s="13" t="str">
        <f aca="false">IFERROR(INDEX(PPF!$D:$D,MATCH($B$2&amp;"#"&amp;8,PPF!$I:$I,0)),"")</f>
        <v/>
      </c>
      <c r="C107" s="21" t="str">
        <f aca="false">IFERROR(INDEX(PPF!$E:$E,MATCH($B$2&amp;"#"&amp;8,PPF!$I:$I,0)),"")</f>
        <v/>
      </c>
    </row>
    <row r="108" customFormat="false" ht="15" hidden="false" customHeight="true" outlineLevel="0" collapsed="false">
      <c r="A108" s="15" t="str">
        <f aca="false">IFERROR(INDEX(PPF!$B:$B,MATCH($B$2&amp;"#"&amp;9,PPF!$I:$I,0)),"")</f>
        <v/>
      </c>
      <c r="B108" s="13" t="str">
        <f aca="false">IFERROR(INDEX(PPF!$D:$D,MATCH($B$2&amp;"#"&amp;9,PPF!$I:$I,0)),"")</f>
        <v/>
      </c>
      <c r="C108" s="21" t="str">
        <f aca="false">IFERROR(INDEX(PPF!$E:$E,MATCH($B$2&amp;"#"&amp;9,PPF!$I:$I,0)),"")</f>
        <v/>
      </c>
    </row>
    <row r="109" customFormat="false" ht="15" hidden="false" customHeight="true" outlineLevel="0" collapsed="false">
      <c r="A109" s="15" t="str">
        <f aca="false">IFERROR(INDEX(PPF!$B:$B,MATCH($B$2&amp;"#"&amp;10,PPF!$I:$I,0)),"")</f>
        <v/>
      </c>
      <c r="B109" s="13" t="str">
        <f aca="false">IFERROR(INDEX(PPF!$D:$D,MATCH($B$2&amp;"#"&amp;10,PPF!$I:$I,0)),"")</f>
        <v/>
      </c>
      <c r="C109" s="21" t="str">
        <f aca="false">IFERROR(INDEX(PPF!$E:$E,MATCH($B$2&amp;"#"&amp;10,PPF!$I:$I,0)),"")</f>
        <v/>
      </c>
    </row>
    <row r="111" customFormat="false" ht="15" hidden="false" customHeight="true" outlineLevel="0" collapsed="false">
      <c r="A111" s="3" t="s">
        <v>43</v>
      </c>
    </row>
    <row r="112" customFormat="false" ht="15" hidden="false" customHeight="true" outlineLevel="0" collapsed="false">
      <c r="A112" s="17" t="s">
        <v>44</v>
      </c>
      <c r="B112" s="17" t="s">
        <v>24</v>
      </c>
      <c r="C112" s="17" t="s">
        <v>45</v>
      </c>
      <c r="D112" s="17" t="s">
        <v>46</v>
      </c>
      <c r="E112" s="17" t="s">
        <v>26</v>
      </c>
      <c r="F112" s="17" t="s">
        <v>27</v>
      </c>
    </row>
    <row r="113" customFormat="false" ht="15" hidden="false" customHeight="true" outlineLevel="0" collapsed="false">
      <c r="A113" s="15" t="str">
        <f aca="false">IFERROR(INDEX(Bonds!$B:$B,MATCH($B$2&amp;"#"&amp;1,Bonds!$N:$N,0)),"")</f>
        <v/>
      </c>
      <c r="B113" s="18" t="str">
        <f aca="false">IFERROR(INDEX(Bonds!$D:$D,MATCH($B$2&amp;"#"&amp;1,Bonds!$N:$N,0)),"")</f>
        <v/>
      </c>
      <c r="C113" s="18" t="str">
        <f aca="false">IFERROR(INDEX(Bonds!$F:$F,MATCH($B$2&amp;"#"&amp;1,Bonds!$N:$N,0)),"")</f>
        <v/>
      </c>
      <c r="D113" s="18" t="str">
        <f aca="false">IFERROR(INDEX(Bonds!$G:$G,MATCH($B$2&amp;"#"&amp;1,Bonds!$N:$N,0)),"")</f>
        <v/>
      </c>
      <c r="E113" s="13" t="str">
        <f aca="false">IFERROR(INDEX(Bonds!$K:$K,MATCH($B$2&amp;"#"&amp;1,Bonds!$N:$N,0)),"")</f>
        <v/>
      </c>
      <c r="F113" s="13" t="str">
        <f aca="false">IFERROR(INDEX(Bonds!$L:$L,MATCH($B$2&amp;"#"&amp;1,Bonds!$N:$N,0)),"")</f>
        <v/>
      </c>
    </row>
    <row r="114" customFormat="false" ht="15" hidden="false" customHeight="true" outlineLevel="0" collapsed="false">
      <c r="A114" s="15" t="str">
        <f aca="false">IFERROR(INDEX(Bonds!$B:$B,MATCH($B$2&amp;"#"&amp;2,Bonds!$N:$N,0)),"")</f>
        <v/>
      </c>
      <c r="B114" s="18" t="str">
        <f aca="false">IFERROR(INDEX(Bonds!$D:$D,MATCH($B$2&amp;"#"&amp;2,Bonds!$N:$N,0)),"")</f>
        <v/>
      </c>
      <c r="C114" s="18" t="str">
        <f aca="false">IFERROR(INDEX(Bonds!$F:$F,MATCH($B$2&amp;"#"&amp;2,Bonds!$N:$N,0)),"")</f>
        <v/>
      </c>
      <c r="D114" s="18" t="str">
        <f aca="false">IFERROR(INDEX(Bonds!$G:$G,MATCH($B$2&amp;"#"&amp;2,Bonds!$N:$N,0)),"")</f>
        <v/>
      </c>
      <c r="E114" s="13" t="str">
        <f aca="false">IFERROR(INDEX(Bonds!$K:$K,MATCH($B$2&amp;"#"&amp;2,Bonds!$N:$N,0)),"")</f>
        <v/>
      </c>
      <c r="F114" s="13" t="str">
        <f aca="false">IFERROR(INDEX(Bonds!$L:$L,MATCH($B$2&amp;"#"&amp;2,Bonds!$N:$N,0)),"")</f>
        <v/>
      </c>
    </row>
    <row r="115" customFormat="false" ht="15" hidden="false" customHeight="true" outlineLevel="0" collapsed="false">
      <c r="A115" s="15" t="str">
        <f aca="false">IFERROR(INDEX(Bonds!$B:$B,MATCH($B$2&amp;"#"&amp;3,Bonds!$N:$N,0)),"")</f>
        <v/>
      </c>
      <c r="B115" s="18" t="str">
        <f aca="false">IFERROR(INDEX(Bonds!$D:$D,MATCH($B$2&amp;"#"&amp;3,Bonds!$N:$N,0)),"")</f>
        <v/>
      </c>
      <c r="C115" s="18" t="str">
        <f aca="false">IFERROR(INDEX(Bonds!$F:$F,MATCH($B$2&amp;"#"&amp;3,Bonds!$N:$N,0)),"")</f>
        <v/>
      </c>
      <c r="D115" s="18" t="str">
        <f aca="false">IFERROR(INDEX(Bonds!$G:$G,MATCH($B$2&amp;"#"&amp;3,Bonds!$N:$N,0)),"")</f>
        <v/>
      </c>
      <c r="E115" s="13" t="str">
        <f aca="false">IFERROR(INDEX(Bonds!$K:$K,MATCH($B$2&amp;"#"&amp;3,Bonds!$N:$N,0)),"")</f>
        <v/>
      </c>
      <c r="F115" s="13" t="str">
        <f aca="false">IFERROR(INDEX(Bonds!$L:$L,MATCH($B$2&amp;"#"&amp;3,Bonds!$N:$N,0)),"")</f>
        <v/>
      </c>
    </row>
    <row r="116" customFormat="false" ht="15" hidden="false" customHeight="true" outlineLevel="0" collapsed="false">
      <c r="A116" s="15" t="str">
        <f aca="false">IFERROR(INDEX(Bonds!$B:$B,MATCH($B$2&amp;"#"&amp;4,Bonds!$N:$N,0)),"")</f>
        <v/>
      </c>
      <c r="B116" s="18" t="str">
        <f aca="false">IFERROR(INDEX(Bonds!$D:$D,MATCH($B$2&amp;"#"&amp;4,Bonds!$N:$N,0)),"")</f>
        <v/>
      </c>
      <c r="C116" s="18" t="str">
        <f aca="false">IFERROR(INDEX(Bonds!$F:$F,MATCH($B$2&amp;"#"&amp;4,Bonds!$N:$N,0)),"")</f>
        <v/>
      </c>
      <c r="D116" s="18" t="str">
        <f aca="false">IFERROR(INDEX(Bonds!$G:$G,MATCH($B$2&amp;"#"&amp;4,Bonds!$N:$N,0)),"")</f>
        <v/>
      </c>
      <c r="E116" s="13" t="str">
        <f aca="false">IFERROR(INDEX(Bonds!$K:$K,MATCH($B$2&amp;"#"&amp;4,Bonds!$N:$N,0)),"")</f>
        <v/>
      </c>
      <c r="F116" s="13" t="str">
        <f aca="false">IFERROR(INDEX(Bonds!$L:$L,MATCH($B$2&amp;"#"&amp;4,Bonds!$N:$N,0)),"")</f>
        <v/>
      </c>
    </row>
    <row r="117" customFormat="false" ht="15" hidden="false" customHeight="true" outlineLevel="0" collapsed="false">
      <c r="A117" s="15" t="str">
        <f aca="false">IFERROR(INDEX(Bonds!$B:$B,MATCH($B$2&amp;"#"&amp;5,Bonds!$N:$N,0)),"")</f>
        <v/>
      </c>
      <c r="B117" s="18" t="str">
        <f aca="false">IFERROR(INDEX(Bonds!$D:$D,MATCH($B$2&amp;"#"&amp;5,Bonds!$N:$N,0)),"")</f>
        <v/>
      </c>
      <c r="C117" s="18" t="str">
        <f aca="false">IFERROR(INDEX(Bonds!$F:$F,MATCH($B$2&amp;"#"&amp;5,Bonds!$N:$N,0)),"")</f>
        <v/>
      </c>
      <c r="D117" s="18" t="str">
        <f aca="false">IFERROR(INDEX(Bonds!$G:$G,MATCH($B$2&amp;"#"&amp;5,Bonds!$N:$N,0)),"")</f>
        <v/>
      </c>
      <c r="E117" s="13" t="str">
        <f aca="false">IFERROR(INDEX(Bonds!$K:$K,MATCH($B$2&amp;"#"&amp;5,Bonds!$N:$N,0)),"")</f>
        <v/>
      </c>
      <c r="F117" s="13" t="str">
        <f aca="false">IFERROR(INDEX(Bonds!$L:$L,MATCH($B$2&amp;"#"&amp;5,Bonds!$N:$N,0)),"")</f>
        <v/>
      </c>
    </row>
    <row r="118" customFormat="false" ht="15" hidden="false" customHeight="true" outlineLevel="0" collapsed="false">
      <c r="A118" s="15" t="str">
        <f aca="false">IFERROR(INDEX(Bonds!$B:$B,MATCH($B$2&amp;"#"&amp;6,Bonds!$N:$N,0)),"")</f>
        <v/>
      </c>
      <c r="B118" s="18" t="str">
        <f aca="false">IFERROR(INDEX(Bonds!$D:$D,MATCH($B$2&amp;"#"&amp;6,Bonds!$N:$N,0)),"")</f>
        <v/>
      </c>
      <c r="C118" s="18" t="str">
        <f aca="false">IFERROR(INDEX(Bonds!$F:$F,MATCH($B$2&amp;"#"&amp;6,Bonds!$N:$N,0)),"")</f>
        <v/>
      </c>
      <c r="D118" s="18" t="str">
        <f aca="false">IFERROR(INDEX(Bonds!$G:$G,MATCH($B$2&amp;"#"&amp;6,Bonds!$N:$N,0)),"")</f>
        <v/>
      </c>
      <c r="E118" s="13" t="str">
        <f aca="false">IFERROR(INDEX(Bonds!$K:$K,MATCH($B$2&amp;"#"&amp;6,Bonds!$N:$N,0)),"")</f>
        <v/>
      </c>
      <c r="F118" s="13" t="str">
        <f aca="false">IFERROR(INDEX(Bonds!$L:$L,MATCH($B$2&amp;"#"&amp;6,Bonds!$N:$N,0)),"")</f>
        <v/>
      </c>
    </row>
    <row r="119" customFormat="false" ht="15" hidden="false" customHeight="true" outlineLevel="0" collapsed="false">
      <c r="A119" s="15" t="str">
        <f aca="false">IFERROR(INDEX(Bonds!$B:$B,MATCH($B$2&amp;"#"&amp;7,Bonds!$N:$N,0)),"")</f>
        <v/>
      </c>
      <c r="B119" s="18" t="str">
        <f aca="false">IFERROR(INDEX(Bonds!$D:$D,MATCH($B$2&amp;"#"&amp;7,Bonds!$N:$N,0)),"")</f>
        <v/>
      </c>
      <c r="C119" s="18" t="str">
        <f aca="false">IFERROR(INDEX(Bonds!$F:$F,MATCH($B$2&amp;"#"&amp;7,Bonds!$N:$N,0)),"")</f>
        <v/>
      </c>
      <c r="D119" s="18" t="str">
        <f aca="false">IFERROR(INDEX(Bonds!$G:$G,MATCH($B$2&amp;"#"&amp;7,Bonds!$N:$N,0)),"")</f>
        <v/>
      </c>
      <c r="E119" s="13" t="str">
        <f aca="false">IFERROR(INDEX(Bonds!$K:$K,MATCH($B$2&amp;"#"&amp;7,Bonds!$N:$N,0)),"")</f>
        <v/>
      </c>
      <c r="F119" s="13" t="str">
        <f aca="false">IFERROR(INDEX(Bonds!$L:$L,MATCH($B$2&amp;"#"&amp;7,Bonds!$N:$N,0)),"")</f>
        <v/>
      </c>
    </row>
    <row r="120" customFormat="false" ht="15" hidden="false" customHeight="true" outlineLevel="0" collapsed="false">
      <c r="A120" s="15" t="str">
        <f aca="false">IFERROR(INDEX(Bonds!$B:$B,MATCH($B$2&amp;"#"&amp;8,Bonds!$N:$N,0)),"")</f>
        <v/>
      </c>
      <c r="B120" s="18" t="str">
        <f aca="false">IFERROR(INDEX(Bonds!$D:$D,MATCH($B$2&amp;"#"&amp;8,Bonds!$N:$N,0)),"")</f>
        <v/>
      </c>
      <c r="C120" s="18" t="str">
        <f aca="false">IFERROR(INDEX(Bonds!$F:$F,MATCH($B$2&amp;"#"&amp;8,Bonds!$N:$N,0)),"")</f>
        <v/>
      </c>
      <c r="D120" s="18" t="str">
        <f aca="false">IFERROR(INDEX(Bonds!$G:$G,MATCH($B$2&amp;"#"&amp;8,Bonds!$N:$N,0)),"")</f>
        <v/>
      </c>
      <c r="E120" s="13" t="str">
        <f aca="false">IFERROR(INDEX(Bonds!$K:$K,MATCH($B$2&amp;"#"&amp;8,Bonds!$N:$N,0)),"")</f>
        <v/>
      </c>
      <c r="F120" s="13" t="str">
        <f aca="false">IFERROR(INDEX(Bonds!$L:$L,MATCH($B$2&amp;"#"&amp;8,Bonds!$N:$N,0)),"")</f>
        <v/>
      </c>
    </row>
    <row r="121" customFormat="false" ht="15" hidden="false" customHeight="true" outlineLevel="0" collapsed="false">
      <c r="A121" s="15" t="str">
        <f aca="false">IFERROR(INDEX(Bonds!$B:$B,MATCH($B$2&amp;"#"&amp;9,Bonds!$N:$N,0)),"")</f>
        <v/>
      </c>
      <c r="B121" s="18" t="str">
        <f aca="false">IFERROR(INDEX(Bonds!$D:$D,MATCH($B$2&amp;"#"&amp;9,Bonds!$N:$N,0)),"")</f>
        <v/>
      </c>
      <c r="C121" s="18" t="str">
        <f aca="false">IFERROR(INDEX(Bonds!$F:$F,MATCH($B$2&amp;"#"&amp;9,Bonds!$N:$N,0)),"")</f>
        <v/>
      </c>
      <c r="D121" s="18" t="str">
        <f aca="false">IFERROR(INDEX(Bonds!$G:$G,MATCH($B$2&amp;"#"&amp;9,Bonds!$N:$N,0)),"")</f>
        <v/>
      </c>
      <c r="E121" s="13" t="str">
        <f aca="false">IFERROR(INDEX(Bonds!$K:$K,MATCH($B$2&amp;"#"&amp;9,Bonds!$N:$N,0)),"")</f>
        <v/>
      </c>
      <c r="F121" s="13" t="str">
        <f aca="false">IFERROR(INDEX(Bonds!$L:$L,MATCH($B$2&amp;"#"&amp;9,Bonds!$N:$N,0)),"")</f>
        <v/>
      </c>
    </row>
    <row r="122" customFormat="false" ht="15" hidden="false" customHeight="true" outlineLevel="0" collapsed="false">
      <c r="A122" s="15" t="str">
        <f aca="false">IFERROR(INDEX(Bonds!$B:$B,MATCH($B$2&amp;"#"&amp;10,Bonds!$N:$N,0)),"")</f>
        <v/>
      </c>
      <c r="B122" s="18" t="str">
        <f aca="false">IFERROR(INDEX(Bonds!$D:$D,MATCH($B$2&amp;"#"&amp;10,Bonds!$N:$N,0)),"")</f>
        <v/>
      </c>
      <c r="C122" s="18" t="str">
        <f aca="false">IFERROR(INDEX(Bonds!$F:$F,MATCH($B$2&amp;"#"&amp;10,Bonds!$N:$N,0)),"")</f>
        <v/>
      </c>
      <c r="D122" s="18" t="str">
        <f aca="false">IFERROR(INDEX(Bonds!$G:$G,MATCH($B$2&amp;"#"&amp;10,Bonds!$N:$N,0)),"")</f>
        <v/>
      </c>
      <c r="E122" s="13" t="str">
        <f aca="false">IFERROR(INDEX(Bonds!$K:$K,MATCH($B$2&amp;"#"&amp;10,Bonds!$N:$N,0)),"")</f>
        <v/>
      </c>
      <c r="F122" s="13" t="str">
        <f aca="false">IFERROR(INDEX(Bonds!$L:$L,MATCH($B$2&amp;"#"&amp;10,Bonds!$N:$N,0)),"")</f>
        <v/>
      </c>
    </row>
    <row r="123" customFormat="false" ht="15" hidden="false" customHeight="true" outlineLevel="0" collapsed="false">
      <c r="A123" s="15" t="str">
        <f aca="false">IFERROR(INDEX(Bonds!$B:$B,MATCH($B$2&amp;"#"&amp;11,Bonds!$N:$N,0)),"")</f>
        <v/>
      </c>
      <c r="B123" s="18" t="str">
        <f aca="false">IFERROR(INDEX(Bonds!$D:$D,MATCH($B$2&amp;"#"&amp;11,Bonds!$N:$N,0)),"")</f>
        <v/>
      </c>
      <c r="C123" s="18" t="str">
        <f aca="false">IFERROR(INDEX(Bonds!$F:$F,MATCH($B$2&amp;"#"&amp;11,Bonds!$N:$N,0)),"")</f>
        <v/>
      </c>
      <c r="D123" s="18" t="str">
        <f aca="false">IFERROR(INDEX(Bonds!$G:$G,MATCH($B$2&amp;"#"&amp;11,Bonds!$N:$N,0)),"")</f>
        <v/>
      </c>
      <c r="E123" s="13" t="str">
        <f aca="false">IFERROR(INDEX(Bonds!$K:$K,MATCH($B$2&amp;"#"&amp;11,Bonds!$N:$N,0)),"")</f>
        <v/>
      </c>
      <c r="F123" s="13" t="str">
        <f aca="false">IFERROR(INDEX(Bonds!$L:$L,MATCH($B$2&amp;"#"&amp;11,Bonds!$N:$N,0)),"")</f>
        <v/>
      </c>
    </row>
    <row r="124" customFormat="false" ht="15" hidden="false" customHeight="true" outlineLevel="0" collapsed="false">
      <c r="A124" s="15" t="str">
        <f aca="false">IFERROR(INDEX(Bonds!$B:$B,MATCH($B$2&amp;"#"&amp;12,Bonds!$N:$N,0)),"")</f>
        <v/>
      </c>
      <c r="B124" s="18" t="str">
        <f aca="false">IFERROR(INDEX(Bonds!$D:$D,MATCH($B$2&amp;"#"&amp;12,Bonds!$N:$N,0)),"")</f>
        <v/>
      </c>
      <c r="C124" s="18" t="str">
        <f aca="false">IFERROR(INDEX(Bonds!$F:$F,MATCH($B$2&amp;"#"&amp;12,Bonds!$N:$N,0)),"")</f>
        <v/>
      </c>
      <c r="D124" s="18" t="str">
        <f aca="false">IFERROR(INDEX(Bonds!$G:$G,MATCH($B$2&amp;"#"&amp;12,Bonds!$N:$N,0)),"")</f>
        <v/>
      </c>
      <c r="E124" s="13" t="str">
        <f aca="false">IFERROR(INDEX(Bonds!$K:$K,MATCH($B$2&amp;"#"&amp;12,Bonds!$N:$N,0)),"")</f>
        <v/>
      </c>
      <c r="F124" s="13" t="str">
        <f aca="false">IFERROR(INDEX(Bonds!$L:$L,MATCH($B$2&amp;"#"&amp;12,Bonds!$N:$N,0)),"")</f>
        <v/>
      </c>
    </row>
    <row r="125" customFormat="false" ht="15" hidden="false" customHeight="true" outlineLevel="0" collapsed="false">
      <c r="A125" s="15" t="str">
        <f aca="false">IFERROR(INDEX(Bonds!$B:$B,MATCH($B$2&amp;"#"&amp;13,Bonds!$N:$N,0)),"")</f>
        <v/>
      </c>
      <c r="B125" s="18" t="str">
        <f aca="false">IFERROR(INDEX(Bonds!$D:$D,MATCH($B$2&amp;"#"&amp;13,Bonds!$N:$N,0)),"")</f>
        <v/>
      </c>
      <c r="C125" s="18" t="str">
        <f aca="false">IFERROR(INDEX(Bonds!$F:$F,MATCH($B$2&amp;"#"&amp;13,Bonds!$N:$N,0)),"")</f>
        <v/>
      </c>
      <c r="D125" s="18" t="str">
        <f aca="false">IFERROR(INDEX(Bonds!$G:$G,MATCH($B$2&amp;"#"&amp;13,Bonds!$N:$N,0)),"")</f>
        <v/>
      </c>
      <c r="E125" s="13" t="str">
        <f aca="false">IFERROR(INDEX(Bonds!$K:$K,MATCH($B$2&amp;"#"&amp;13,Bonds!$N:$N,0)),"")</f>
        <v/>
      </c>
      <c r="F125" s="13" t="str">
        <f aca="false">IFERROR(INDEX(Bonds!$L:$L,MATCH($B$2&amp;"#"&amp;13,Bonds!$N:$N,0)),"")</f>
        <v/>
      </c>
    </row>
    <row r="126" customFormat="false" ht="15" hidden="false" customHeight="true" outlineLevel="0" collapsed="false">
      <c r="A126" s="15" t="str">
        <f aca="false">IFERROR(INDEX(Bonds!$B:$B,MATCH($B$2&amp;"#"&amp;14,Bonds!$N:$N,0)),"")</f>
        <v/>
      </c>
      <c r="B126" s="18" t="str">
        <f aca="false">IFERROR(INDEX(Bonds!$D:$D,MATCH($B$2&amp;"#"&amp;14,Bonds!$N:$N,0)),"")</f>
        <v/>
      </c>
      <c r="C126" s="18" t="str">
        <f aca="false">IFERROR(INDEX(Bonds!$F:$F,MATCH($B$2&amp;"#"&amp;14,Bonds!$N:$N,0)),"")</f>
        <v/>
      </c>
      <c r="D126" s="18" t="str">
        <f aca="false">IFERROR(INDEX(Bonds!$G:$G,MATCH($B$2&amp;"#"&amp;14,Bonds!$N:$N,0)),"")</f>
        <v/>
      </c>
      <c r="E126" s="13" t="str">
        <f aca="false">IFERROR(INDEX(Bonds!$K:$K,MATCH($B$2&amp;"#"&amp;14,Bonds!$N:$N,0)),"")</f>
        <v/>
      </c>
      <c r="F126" s="13" t="str">
        <f aca="false">IFERROR(INDEX(Bonds!$L:$L,MATCH($B$2&amp;"#"&amp;14,Bonds!$N:$N,0)),"")</f>
        <v/>
      </c>
    </row>
    <row r="127" customFormat="false" ht="15" hidden="false" customHeight="true" outlineLevel="0" collapsed="false">
      <c r="A127" s="15" t="str">
        <f aca="false">IFERROR(INDEX(Bonds!$B:$B,MATCH($B$2&amp;"#"&amp;15,Bonds!$N:$N,0)),"")</f>
        <v/>
      </c>
      <c r="B127" s="18" t="str">
        <f aca="false">IFERROR(INDEX(Bonds!$D:$D,MATCH($B$2&amp;"#"&amp;15,Bonds!$N:$N,0)),"")</f>
        <v/>
      </c>
      <c r="C127" s="18" t="str">
        <f aca="false">IFERROR(INDEX(Bonds!$F:$F,MATCH($B$2&amp;"#"&amp;15,Bonds!$N:$N,0)),"")</f>
        <v/>
      </c>
      <c r="D127" s="18" t="str">
        <f aca="false">IFERROR(INDEX(Bonds!$G:$G,MATCH($B$2&amp;"#"&amp;15,Bonds!$N:$N,0)),"")</f>
        <v/>
      </c>
      <c r="E127" s="13" t="str">
        <f aca="false">IFERROR(INDEX(Bonds!$K:$K,MATCH($B$2&amp;"#"&amp;15,Bonds!$N:$N,0)),"")</f>
        <v/>
      </c>
      <c r="F127" s="13" t="str">
        <f aca="false">IFERROR(INDEX(Bonds!$L:$L,MATCH($B$2&amp;"#"&amp;15,Bonds!$N:$N,0)),"")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7" min="7" style="1" width="13"/>
  </cols>
  <sheetData>
    <row r="1" customFormat="false" ht="18" hidden="false" customHeight="true" outlineLevel="0" collapsed="false">
      <c r="A1" s="2" t="s">
        <v>47</v>
      </c>
    </row>
    <row r="2" customFormat="false" ht="15" hidden="false" customHeight="true" outlineLevel="0" collapsed="false">
      <c r="A2" s="3" t="s">
        <v>18</v>
      </c>
      <c r="B2" s="14" t="s">
        <v>11</v>
      </c>
    </row>
    <row r="3" customFormat="false" ht="15" hidden="false" customHeight="true" outlineLevel="0" collapsed="false">
      <c r="A3" s="3" t="s">
        <v>19</v>
      </c>
      <c r="B3" s="5" t="n">
        <f aca="false">B11</f>
        <v>1254683.96674584</v>
      </c>
    </row>
    <row r="5" customFormat="false" ht="15" hidden="false" customHeight="true" outlineLevel="0" collapsed="false">
      <c r="A5" s="6" t="s">
        <v>15</v>
      </c>
      <c r="B5" s="6" t="s">
        <v>16</v>
      </c>
      <c r="C5" s="6" t="s">
        <v>20</v>
      </c>
    </row>
    <row r="6" customFormat="false" ht="15" hidden="false" customHeight="true" outlineLevel="0" collapsed="false">
      <c r="A6" s="12" t="s">
        <v>4</v>
      </c>
      <c r="B6" s="13" t="n">
        <f aca="false">SUMIFS(Equity!$I:$I,Equity!$A:$A,$B$2)</f>
        <v>222950</v>
      </c>
      <c r="C6" s="15" t="n">
        <f aca="false">COUNTIF(Equity!$A:$A,$B$2)</f>
        <v>3</v>
      </c>
    </row>
    <row r="7" customFormat="false" ht="15" hidden="false" customHeight="true" outlineLevel="0" collapsed="false">
      <c r="A7" s="12" t="s">
        <v>5</v>
      </c>
      <c r="B7" s="13" t="n">
        <f aca="false">SUMIFS(MutualFunds!$I:$I,MutualFunds!$A:$A,$B$2)</f>
        <v>171733.966745843</v>
      </c>
      <c r="C7" s="15" t="n">
        <f aca="false">COUNTIF(MutualFunds!$A:$A,$B$2)</f>
        <v>1</v>
      </c>
    </row>
    <row r="8" customFormat="false" ht="15" hidden="false" customHeight="true" outlineLevel="0" collapsed="false">
      <c r="A8" s="12" t="s">
        <v>6</v>
      </c>
      <c r="B8" s="13" t="n">
        <f aca="false">SUMIFS(FixedDeposits!$I:$I,FixedDeposits!$A:$A,$B$2)</f>
        <v>0</v>
      </c>
      <c r="C8" s="15" t="n">
        <f aca="false">COUNTIF(FixedDeposits!$A:$A,$B$2)</f>
        <v>0</v>
      </c>
    </row>
    <row r="9" customFormat="false" ht="15" hidden="false" customHeight="true" outlineLevel="0" collapsed="false">
      <c r="A9" s="12" t="s">
        <v>7</v>
      </c>
      <c r="B9" s="13" t="n">
        <f aca="false">SUMIFS(PPF!$D:$D,PPF!$A:$A,$B$2)</f>
        <v>860000</v>
      </c>
      <c r="C9" s="15" t="n">
        <f aca="false">COUNTIF(PPF!$A:$A,$B$2)</f>
        <v>1</v>
      </c>
    </row>
    <row r="10" customFormat="false" ht="15" hidden="false" customHeight="true" outlineLevel="0" collapsed="false">
      <c r="A10" s="12" t="s">
        <v>8</v>
      </c>
      <c r="B10" s="13" t="n">
        <f aca="false">SUMIFS(Bonds!$K:$K,Bonds!$A:$A,$B$2)</f>
        <v>0</v>
      </c>
      <c r="C10" s="15" t="n">
        <f aca="false">COUNTIF(Bonds!$A:$A,$B$2)</f>
        <v>0</v>
      </c>
    </row>
    <row r="11" customFormat="false" ht="15" hidden="false" customHeight="true" outlineLevel="0" collapsed="false">
      <c r="A11" s="3" t="s">
        <v>9</v>
      </c>
      <c r="B11" s="16" t="n">
        <f aca="false">SUM(B6:B10)</f>
        <v>1254683.96674584</v>
      </c>
      <c r="C11" s="10" t="n">
        <f aca="false">SUM(C6:C10)</f>
        <v>5</v>
      </c>
    </row>
    <row r="14" customFormat="false" ht="15" hidden="false" customHeight="true" outlineLevel="0" collapsed="false">
      <c r="A14" s="3" t="s">
        <v>21</v>
      </c>
    </row>
    <row r="15" customFormat="false" ht="15" hidden="false" customHeight="true" outlineLevel="0" collapsed="false">
      <c r="A15" s="17" t="s">
        <v>22</v>
      </c>
      <c r="B15" s="17" t="s">
        <v>23</v>
      </c>
      <c r="C15" s="17" t="s">
        <v>24</v>
      </c>
      <c r="D15" s="17" t="s">
        <v>25</v>
      </c>
      <c r="E15" s="17" t="s">
        <v>26</v>
      </c>
      <c r="F15" s="17" t="s">
        <v>27</v>
      </c>
      <c r="G15" s="17" t="s">
        <v>28</v>
      </c>
    </row>
    <row r="16" customFormat="false" ht="15" hidden="false" customHeight="true" outlineLevel="0" collapsed="false">
      <c r="A16" s="15" t="str">
        <f aca="false">IFERROR(INDEX(Equity!$B:$B,MATCH($B$2&amp;"#"&amp;1,Equity!$P:$P,0)),"")</f>
        <v>INE154A01025</v>
      </c>
      <c r="B16" s="15" t="str">
        <f aca="false">IFERROR(INDEX(Equity!$C:$C,MATCH($B$2&amp;"#"&amp;1,Equity!$P:$P,0)),"")</f>
        <v>ITC LIMITED EQ</v>
      </c>
      <c r="C16" s="18" t="n">
        <f aca="false">IFERROR(INDEX(Equity!$D:$D,MATCH($B$2&amp;"#"&amp;1,Equity!$P:$P,0)),"")</f>
        <v>200</v>
      </c>
      <c r="D16" s="18" t="n">
        <f aca="false">IFERROR(INDEX(Equity!$E:$E,MATCH($B$2&amp;"#"&amp;1,Equity!$P:$P,0)),"")</f>
        <v>282.6</v>
      </c>
      <c r="E16" s="13" t="n">
        <f aca="false">IFERROR(INDEX(Equity!$I:$I,MATCH($B$2&amp;"#"&amp;1,Equity!$P:$P,0)),"")</f>
        <v>87000</v>
      </c>
      <c r="F16" s="13" t="n">
        <f aca="false">IFERROR(INDEX(Equity!$K:$K,MATCH($B$2&amp;"#"&amp;1,Equity!$P:$P,0)),"")</f>
        <v>30480</v>
      </c>
      <c r="G16" s="19" t="n">
        <f aca="false">IFERROR(INDEX(Equity!$N:$N,MATCH($B$2&amp;"#"&amp;1,Equity!$P:$P,0)),"")</f>
        <v>0.0523377096935007</v>
      </c>
    </row>
    <row r="17" customFormat="false" ht="15" hidden="false" customHeight="true" outlineLevel="0" collapsed="false">
      <c r="A17" s="15" t="str">
        <f aca="false">IFERROR(INDEX(Equity!$B:$B,MATCH($B$2&amp;"#"&amp;2,Equity!$P:$P,0)),"")</f>
        <v>INE090A01021</v>
      </c>
      <c r="B17" s="15" t="str">
        <f aca="false">IFERROR(INDEX(Equity!$C:$C,MATCH($B$2&amp;"#"&amp;2,Equity!$P:$P,0)),"")</f>
        <v>ICICI BANK LIMITED EQ</v>
      </c>
      <c r="C17" s="18" t="n">
        <f aca="false">IFERROR(INDEX(Equity!$D:$D,MATCH($B$2&amp;"#"&amp;2,Equity!$P:$P,0)),"")</f>
        <v>80</v>
      </c>
      <c r="D17" s="18" t="n">
        <f aca="false">IFERROR(INDEX(Equity!$E:$E,MATCH($B$2&amp;"#"&amp;2,Equity!$P:$P,0)),"")</f>
        <v>365</v>
      </c>
      <c r="E17" s="13" t="n">
        <f aca="false">IFERROR(INDEX(Equity!$I:$I,MATCH($B$2&amp;"#"&amp;2,Equity!$P:$P,0)),"")</f>
        <v>99200</v>
      </c>
      <c r="F17" s="13" t="n">
        <f aca="false">IFERROR(INDEX(Equity!$K:$K,MATCH($B$2&amp;"#"&amp;2,Equity!$P:$P,0)),"")</f>
        <v>70000</v>
      </c>
      <c r="G17" s="19" t="n">
        <f aca="false">IFERROR(INDEX(Equity!$N:$N,MATCH($B$2&amp;"#"&amp;2,Equity!$P:$P,0)),"")</f>
        <v>0.155632741538184</v>
      </c>
    </row>
    <row r="18" customFormat="false" ht="15" hidden="false" customHeight="true" outlineLevel="0" collapsed="false">
      <c r="A18" s="15" t="str">
        <f aca="false">IFERROR(INDEX(Equity!$B:$B,MATCH($B$2&amp;"#"&amp;3,Equity!$P:$P,0)),"")</f>
        <v>INE075A01022</v>
      </c>
      <c r="B18" s="15" t="str">
        <f aca="false">IFERROR(INDEX(Equity!$C:$C,MATCH($B$2&amp;"#"&amp;3,Equity!$P:$P,0)),"")</f>
        <v>WIPRO LIMITED EQ</v>
      </c>
      <c r="C18" s="18" t="n">
        <f aca="false">IFERROR(INDEX(Equity!$D:$D,MATCH($B$2&amp;"#"&amp;3,Equity!$P:$P,0)),"")</f>
        <v>150</v>
      </c>
      <c r="D18" s="18" t="n">
        <f aca="false">IFERROR(INDEX(Equity!$E:$E,MATCH($B$2&amp;"#"&amp;3,Equity!$P:$P,0)),"")</f>
        <v>317</v>
      </c>
      <c r="E18" s="13" t="n">
        <f aca="false">IFERROR(INDEX(Equity!$I:$I,MATCH($B$2&amp;"#"&amp;3,Equity!$P:$P,0)),"")</f>
        <v>36750</v>
      </c>
      <c r="F18" s="13" t="n">
        <f aca="false">IFERROR(INDEX(Equity!$K:$K,MATCH($B$2&amp;"#"&amp;3,Equity!$P:$P,0)),"")</f>
        <v>-10800</v>
      </c>
      <c r="G18" s="19" t="n">
        <f aca="false">IFERROR(INDEX(Equity!$N:$N,MATCH($B$2&amp;"#"&amp;3,Equity!$P:$P,0)),"")</f>
        <v>-0.0300134486199952</v>
      </c>
    </row>
    <row r="19" customFormat="false" ht="15" hidden="false" customHeight="true" outlineLevel="0" collapsed="false">
      <c r="A19" s="15" t="str">
        <f aca="false">IFERROR(INDEX(Equity!$B:$B,MATCH($B$2&amp;"#"&amp;4,Equity!$P:$P,0)),"")</f>
        <v/>
      </c>
      <c r="B19" s="15" t="str">
        <f aca="false">IFERROR(INDEX(Equity!$C:$C,MATCH($B$2&amp;"#"&amp;4,Equity!$P:$P,0)),"")</f>
        <v/>
      </c>
      <c r="C19" s="18" t="str">
        <f aca="false">IFERROR(INDEX(Equity!$D:$D,MATCH($B$2&amp;"#"&amp;4,Equity!$P:$P,0)),"")</f>
        <v/>
      </c>
      <c r="D19" s="18" t="str">
        <f aca="false">IFERROR(INDEX(Equity!$E:$E,MATCH($B$2&amp;"#"&amp;4,Equity!$P:$P,0)),"")</f>
        <v/>
      </c>
      <c r="E19" s="13" t="str">
        <f aca="false">IFERROR(INDEX(Equity!$I:$I,MATCH($B$2&amp;"#"&amp;4,Equity!$P:$P,0)),"")</f>
        <v/>
      </c>
      <c r="F19" s="13" t="str">
        <f aca="false">IFERROR(INDEX(Equity!$K:$K,MATCH($B$2&amp;"#"&amp;4,Equity!$P:$P,0)),"")</f>
        <v/>
      </c>
      <c r="G19" s="19" t="str">
        <f aca="false">IFERROR(INDEX(Equity!$N:$N,MATCH($B$2&amp;"#"&amp;4,Equity!$P:$P,0)),"")</f>
        <v/>
      </c>
    </row>
    <row r="20" customFormat="false" ht="15" hidden="false" customHeight="true" outlineLevel="0" collapsed="false">
      <c r="A20" s="15" t="str">
        <f aca="false">IFERROR(INDEX(Equity!$B:$B,MATCH($B$2&amp;"#"&amp;5,Equity!$P:$P,0)),"")</f>
        <v/>
      </c>
      <c r="B20" s="15" t="str">
        <f aca="false">IFERROR(INDEX(Equity!$C:$C,MATCH($B$2&amp;"#"&amp;5,Equity!$P:$P,0)),"")</f>
        <v/>
      </c>
      <c r="C20" s="18" t="str">
        <f aca="false">IFERROR(INDEX(Equity!$D:$D,MATCH($B$2&amp;"#"&amp;5,Equity!$P:$P,0)),"")</f>
        <v/>
      </c>
      <c r="D20" s="18" t="str">
        <f aca="false">IFERROR(INDEX(Equity!$E:$E,MATCH($B$2&amp;"#"&amp;5,Equity!$P:$P,0)),"")</f>
        <v/>
      </c>
      <c r="E20" s="13" t="str">
        <f aca="false">IFERROR(INDEX(Equity!$I:$I,MATCH($B$2&amp;"#"&amp;5,Equity!$P:$P,0)),"")</f>
        <v/>
      </c>
      <c r="F20" s="13" t="str">
        <f aca="false">IFERROR(INDEX(Equity!$K:$K,MATCH($B$2&amp;"#"&amp;5,Equity!$P:$P,0)),"")</f>
        <v/>
      </c>
      <c r="G20" s="19" t="str">
        <f aca="false">IFERROR(INDEX(Equity!$N:$N,MATCH($B$2&amp;"#"&amp;5,Equity!$P:$P,0)),"")</f>
        <v/>
      </c>
    </row>
    <row r="21" customFormat="false" ht="15" hidden="false" customHeight="true" outlineLevel="0" collapsed="false">
      <c r="A21" s="15" t="str">
        <f aca="false">IFERROR(INDEX(Equity!$B:$B,MATCH($B$2&amp;"#"&amp;6,Equity!$P:$P,0)),"")</f>
        <v/>
      </c>
      <c r="B21" s="15" t="str">
        <f aca="false">IFERROR(INDEX(Equity!$C:$C,MATCH($B$2&amp;"#"&amp;6,Equity!$P:$P,0)),"")</f>
        <v/>
      </c>
      <c r="C21" s="18" t="str">
        <f aca="false">IFERROR(INDEX(Equity!$D:$D,MATCH($B$2&amp;"#"&amp;6,Equity!$P:$P,0)),"")</f>
        <v/>
      </c>
      <c r="D21" s="18" t="str">
        <f aca="false">IFERROR(INDEX(Equity!$E:$E,MATCH($B$2&amp;"#"&amp;6,Equity!$P:$P,0)),"")</f>
        <v/>
      </c>
      <c r="E21" s="13" t="str">
        <f aca="false">IFERROR(INDEX(Equity!$I:$I,MATCH($B$2&amp;"#"&amp;6,Equity!$P:$P,0)),"")</f>
        <v/>
      </c>
      <c r="F21" s="13" t="str">
        <f aca="false">IFERROR(INDEX(Equity!$K:$K,MATCH($B$2&amp;"#"&amp;6,Equity!$P:$P,0)),"")</f>
        <v/>
      </c>
      <c r="G21" s="19" t="str">
        <f aca="false">IFERROR(INDEX(Equity!$N:$N,MATCH($B$2&amp;"#"&amp;6,Equity!$P:$P,0)),"")</f>
        <v/>
      </c>
    </row>
    <row r="22" customFormat="false" ht="15" hidden="false" customHeight="true" outlineLevel="0" collapsed="false">
      <c r="A22" s="15" t="str">
        <f aca="false">IFERROR(INDEX(Equity!$B:$B,MATCH($B$2&amp;"#"&amp;7,Equity!$P:$P,0)),"")</f>
        <v/>
      </c>
      <c r="B22" s="15" t="str">
        <f aca="false">IFERROR(INDEX(Equity!$C:$C,MATCH($B$2&amp;"#"&amp;7,Equity!$P:$P,0)),"")</f>
        <v/>
      </c>
      <c r="C22" s="18" t="str">
        <f aca="false">IFERROR(INDEX(Equity!$D:$D,MATCH($B$2&amp;"#"&amp;7,Equity!$P:$P,0)),"")</f>
        <v/>
      </c>
      <c r="D22" s="18" t="str">
        <f aca="false">IFERROR(INDEX(Equity!$E:$E,MATCH($B$2&amp;"#"&amp;7,Equity!$P:$P,0)),"")</f>
        <v/>
      </c>
      <c r="E22" s="13" t="str">
        <f aca="false">IFERROR(INDEX(Equity!$I:$I,MATCH($B$2&amp;"#"&amp;7,Equity!$P:$P,0)),"")</f>
        <v/>
      </c>
      <c r="F22" s="13" t="str">
        <f aca="false">IFERROR(INDEX(Equity!$K:$K,MATCH($B$2&amp;"#"&amp;7,Equity!$P:$P,0)),"")</f>
        <v/>
      </c>
      <c r="G22" s="19" t="str">
        <f aca="false">IFERROR(INDEX(Equity!$N:$N,MATCH($B$2&amp;"#"&amp;7,Equity!$P:$P,0)),"")</f>
        <v/>
      </c>
    </row>
    <row r="23" customFormat="false" ht="15" hidden="false" customHeight="true" outlineLevel="0" collapsed="false">
      <c r="A23" s="15" t="str">
        <f aca="false">IFERROR(INDEX(Equity!$B:$B,MATCH($B$2&amp;"#"&amp;8,Equity!$P:$P,0)),"")</f>
        <v/>
      </c>
      <c r="B23" s="15" t="str">
        <f aca="false">IFERROR(INDEX(Equity!$C:$C,MATCH($B$2&amp;"#"&amp;8,Equity!$P:$P,0)),"")</f>
        <v/>
      </c>
      <c r="C23" s="18" t="str">
        <f aca="false">IFERROR(INDEX(Equity!$D:$D,MATCH($B$2&amp;"#"&amp;8,Equity!$P:$P,0)),"")</f>
        <v/>
      </c>
      <c r="D23" s="18" t="str">
        <f aca="false">IFERROR(INDEX(Equity!$E:$E,MATCH($B$2&amp;"#"&amp;8,Equity!$P:$P,0)),"")</f>
        <v/>
      </c>
      <c r="E23" s="13" t="str">
        <f aca="false">IFERROR(INDEX(Equity!$I:$I,MATCH($B$2&amp;"#"&amp;8,Equity!$P:$P,0)),"")</f>
        <v/>
      </c>
      <c r="F23" s="13" t="str">
        <f aca="false">IFERROR(INDEX(Equity!$K:$K,MATCH($B$2&amp;"#"&amp;8,Equity!$P:$P,0)),"")</f>
        <v/>
      </c>
      <c r="G23" s="19" t="str">
        <f aca="false">IFERROR(INDEX(Equity!$N:$N,MATCH($B$2&amp;"#"&amp;8,Equity!$P:$P,0)),"")</f>
        <v/>
      </c>
    </row>
    <row r="24" customFormat="false" ht="15" hidden="false" customHeight="true" outlineLevel="0" collapsed="false">
      <c r="A24" s="15" t="str">
        <f aca="false">IFERROR(INDEX(Equity!$B:$B,MATCH($B$2&amp;"#"&amp;9,Equity!$P:$P,0)),"")</f>
        <v/>
      </c>
      <c r="B24" s="15" t="str">
        <f aca="false">IFERROR(INDEX(Equity!$C:$C,MATCH($B$2&amp;"#"&amp;9,Equity!$P:$P,0)),"")</f>
        <v/>
      </c>
      <c r="C24" s="18" t="str">
        <f aca="false">IFERROR(INDEX(Equity!$D:$D,MATCH($B$2&amp;"#"&amp;9,Equity!$P:$P,0)),"")</f>
        <v/>
      </c>
      <c r="D24" s="18" t="str">
        <f aca="false">IFERROR(INDEX(Equity!$E:$E,MATCH($B$2&amp;"#"&amp;9,Equity!$P:$P,0)),"")</f>
        <v/>
      </c>
      <c r="E24" s="13" t="str">
        <f aca="false">IFERROR(INDEX(Equity!$I:$I,MATCH($B$2&amp;"#"&amp;9,Equity!$P:$P,0)),"")</f>
        <v/>
      </c>
      <c r="F24" s="13" t="str">
        <f aca="false">IFERROR(INDEX(Equity!$K:$K,MATCH($B$2&amp;"#"&amp;9,Equity!$P:$P,0)),"")</f>
        <v/>
      </c>
      <c r="G24" s="19" t="str">
        <f aca="false">IFERROR(INDEX(Equity!$N:$N,MATCH($B$2&amp;"#"&amp;9,Equity!$P:$P,0)),"")</f>
        <v/>
      </c>
    </row>
    <row r="25" customFormat="false" ht="15" hidden="false" customHeight="true" outlineLevel="0" collapsed="false">
      <c r="A25" s="15" t="str">
        <f aca="false">IFERROR(INDEX(Equity!$B:$B,MATCH($B$2&amp;"#"&amp;10,Equity!$P:$P,0)),"")</f>
        <v/>
      </c>
      <c r="B25" s="15" t="str">
        <f aca="false">IFERROR(INDEX(Equity!$C:$C,MATCH($B$2&amp;"#"&amp;10,Equity!$P:$P,0)),"")</f>
        <v/>
      </c>
      <c r="C25" s="18" t="str">
        <f aca="false">IFERROR(INDEX(Equity!$D:$D,MATCH($B$2&amp;"#"&amp;10,Equity!$P:$P,0)),"")</f>
        <v/>
      </c>
      <c r="D25" s="18" t="str">
        <f aca="false">IFERROR(INDEX(Equity!$E:$E,MATCH($B$2&amp;"#"&amp;10,Equity!$P:$P,0)),"")</f>
        <v/>
      </c>
      <c r="E25" s="13" t="str">
        <f aca="false">IFERROR(INDEX(Equity!$I:$I,MATCH($B$2&amp;"#"&amp;10,Equity!$P:$P,0)),"")</f>
        <v/>
      </c>
      <c r="F25" s="13" t="str">
        <f aca="false">IFERROR(INDEX(Equity!$K:$K,MATCH($B$2&amp;"#"&amp;10,Equity!$P:$P,0)),"")</f>
        <v/>
      </c>
      <c r="G25" s="19" t="str">
        <f aca="false">IFERROR(INDEX(Equity!$N:$N,MATCH($B$2&amp;"#"&amp;10,Equity!$P:$P,0)),"")</f>
        <v/>
      </c>
    </row>
    <row r="26" customFormat="false" ht="15" hidden="false" customHeight="true" outlineLevel="0" collapsed="false">
      <c r="A26" s="15" t="str">
        <f aca="false">IFERROR(INDEX(Equity!$B:$B,MATCH($B$2&amp;"#"&amp;11,Equity!$P:$P,0)),"")</f>
        <v/>
      </c>
      <c r="B26" s="15" t="str">
        <f aca="false">IFERROR(INDEX(Equity!$C:$C,MATCH($B$2&amp;"#"&amp;11,Equity!$P:$P,0)),"")</f>
        <v/>
      </c>
      <c r="C26" s="18" t="str">
        <f aca="false">IFERROR(INDEX(Equity!$D:$D,MATCH($B$2&amp;"#"&amp;11,Equity!$P:$P,0)),"")</f>
        <v/>
      </c>
      <c r="D26" s="18" t="str">
        <f aca="false">IFERROR(INDEX(Equity!$E:$E,MATCH($B$2&amp;"#"&amp;11,Equity!$P:$P,0)),"")</f>
        <v/>
      </c>
      <c r="E26" s="13" t="str">
        <f aca="false">IFERROR(INDEX(Equity!$I:$I,MATCH($B$2&amp;"#"&amp;11,Equity!$P:$P,0)),"")</f>
        <v/>
      </c>
      <c r="F26" s="13" t="str">
        <f aca="false">IFERROR(INDEX(Equity!$K:$K,MATCH($B$2&amp;"#"&amp;11,Equity!$P:$P,0)),"")</f>
        <v/>
      </c>
      <c r="G26" s="19" t="str">
        <f aca="false">IFERROR(INDEX(Equity!$N:$N,MATCH($B$2&amp;"#"&amp;11,Equity!$P:$P,0)),"")</f>
        <v/>
      </c>
    </row>
    <row r="27" customFormat="false" ht="15" hidden="false" customHeight="true" outlineLevel="0" collapsed="false">
      <c r="A27" s="15" t="str">
        <f aca="false">IFERROR(INDEX(Equity!$B:$B,MATCH($B$2&amp;"#"&amp;12,Equity!$P:$P,0)),"")</f>
        <v/>
      </c>
      <c r="B27" s="15" t="str">
        <f aca="false">IFERROR(INDEX(Equity!$C:$C,MATCH($B$2&amp;"#"&amp;12,Equity!$P:$P,0)),"")</f>
        <v/>
      </c>
      <c r="C27" s="18" t="str">
        <f aca="false">IFERROR(INDEX(Equity!$D:$D,MATCH($B$2&amp;"#"&amp;12,Equity!$P:$P,0)),"")</f>
        <v/>
      </c>
      <c r="D27" s="18" t="str">
        <f aca="false">IFERROR(INDEX(Equity!$E:$E,MATCH($B$2&amp;"#"&amp;12,Equity!$P:$P,0)),"")</f>
        <v/>
      </c>
      <c r="E27" s="13" t="str">
        <f aca="false">IFERROR(INDEX(Equity!$I:$I,MATCH($B$2&amp;"#"&amp;12,Equity!$P:$P,0)),"")</f>
        <v/>
      </c>
      <c r="F27" s="13" t="str">
        <f aca="false">IFERROR(INDEX(Equity!$K:$K,MATCH($B$2&amp;"#"&amp;12,Equity!$P:$P,0)),"")</f>
        <v/>
      </c>
      <c r="G27" s="19" t="str">
        <f aca="false">IFERROR(INDEX(Equity!$N:$N,MATCH($B$2&amp;"#"&amp;12,Equity!$P:$P,0)),"")</f>
        <v/>
      </c>
    </row>
    <row r="28" customFormat="false" ht="15" hidden="false" customHeight="true" outlineLevel="0" collapsed="false">
      <c r="A28" s="15" t="str">
        <f aca="false">IFERROR(INDEX(Equity!$B:$B,MATCH($B$2&amp;"#"&amp;13,Equity!$P:$P,0)),"")</f>
        <v/>
      </c>
      <c r="B28" s="15" t="str">
        <f aca="false">IFERROR(INDEX(Equity!$C:$C,MATCH($B$2&amp;"#"&amp;13,Equity!$P:$P,0)),"")</f>
        <v/>
      </c>
      <c r="C28" s="18" t="str">
        <f aca="false">IFERROR(INDEX(Equity!$D:$D,MATCH($B$2&amp;"#"&amp;13,Equity!$P:$P,0)),"")</f>
        <v/>
      </c>
      <c r="D28" s="18" t="str">
        <f aca="false">IFERROR(INDEX(Equity!$E:$E,MATCH($B$2&amp;"#"&amp;13,Equity!$P:$P,0)),"")</f>
        <v/>
      </c>
      <c r="E28" s="13" t="str">
        <f aca="false">IFERROR(INDEX(Equity!$I:$I,MATCH($B$2&amp;"#"&amp;13,Equity!$P:$P,0)),"")</f>
        <v/>
      </c>
      <c r="F28" s="13" t="str">
        <f aca="false">IFERROR(INDEX(Equity!$K:$K,MATCH($B$2&amp;"#"&amp;13,Equity!$P:$P,0)),"")</f>
        <v/>
      </c>
      <c r="G28" s="19" t="str">
        <f aca="false">IFERROR(INDEX(Equity!$N:$N,MATCH($B$2&amp;"#"&amp;13,Equity!$P:$P,0)),"")</f>
        <v/>
      </c>
    </row>
    <row r="29" customFormat="false" ht="15" hidden="false" customHeight="true" outlineLevel="0" collapsed="false">
      <c r="A29" s="15" t="str">
        <f aca="false">IFERROR(INDEX(Equity!$B:$B,MATCH($B$2&amp;"#"&amp;14,Equity!$P:$P,0)),"")</f>
        <v/>
      </c>
      <c r="B29" s="15" t="str">
        <f aca="false">IFERROR(INDEX(Equity!$C:$C,MATCH($B$2&amp;"#"&amp;14,Equity!$P:$P,0)),"")</f>
        <v/>
      </c>
      <c r="C29" s="18" t="str">
        <f aca="false">IFERROR(INDEX(Equity!$D:$D,MATCH($B$2&amp;"#"&amp;14,Equity!$P:$P,0)),"")</f>
        <v/>
      </c>
      <c r="D29" s="18" t="str">
        <f aca="false">IFERROR(INDEX(Equity!$E:$E,MATCH($B$2&amp;"#"&amp;14,Equity!$P:$P,0)),"")</f>
        <v/>
      </c>
      <c r="E29" s="13" t="str">
        <f aca="false">IFERROR(INDEX(Equity!$I:$I,MATCH($B$2&amp;"#"&amp;14,Equity!$P:$P,0)),"")</f>
        <v/>
      </c>
      <c r="F29" s="13" t="str">
        <f aca="false">IFERROR(INDEX(Equity!$K:$K,MATCH($B$2&amp;"#"&amp;14,Equity!$P:$P,0)),"")</f>
        <v/>
      </c>
      <c r="G29" s="19" t="str">
        <f aca="false">IFERROR(INDEX(Equity!$N:$N,MATCH($B$2&amp;"#"&amp;14,Equity!$P:$P,0)),"")</f>
        <v/>
      </c>
    </row>
    <row r="30" customFormat="false" ht="15" hidden="false" customHeight="true" outlineLevel="0" collapsed="false">
      <c r="A30" s="15" t="str">
        <f aca="false">IFERROR(INDEX(Equity!$B:$B,MATCH($B$2&amp;"#"&amp;15,Equity!$P:$P,0)),"")</f>
        <v/>
      </c>
      <c r="B30" s="15" t="str">
        <f aca="false">IFERROR(INDEX(Equity!$C:$C,MATCH($B$2&amp;"#"&amp;15,Equity!$P:$P,0)),"")</f>
        <v/>
      </c>
      <c r="C30" s="18" t="str">
        <f aca="false">IFERROR(INDEX(Equity!$D:$D,MATCH($B$2&amp;"#"&amp;15,Equity!$P:$P,0)),"")</f>
        <v/>
      </c>
      <c r="D30" s="18" t="str">
        <f aca="false">IFERROR(INDEX(Equity!$E:$E,MATCH($B$2&amp;"#"&amp;15,Equity!$P:$P,0)),"")</f>
        <v/>
      </c>
      <c r="E30" s="13" t="str">
        <f aca="false">IFERROR(INDEX(Equity!$I:$I,MATCH($B$2&amp;"#"&amp;15,Equity!$P:$P,0)),"")</f>
        <v/>
      </c>
      <c r="F30" s="13" t="str">
        <f aca="false">IFERROR(INDEX(Equity!$K:$K,MATCH($B$2&amp;"#"&amp;15,Equity!$P:$P,0)),"")</f>
        <v/>
      </c>
      <c r="G30" s="19" t="str">
        <f aca="false">IFERROR(INDEX(Equity!$N:$N,MATCH($B$2&amp;"#"&amp;15,Equity!$P:$P,0)),"")</f>
        <v/>
      </c>
    </row>
    <row r="31" customFormat="false" ht="15" hidden="false" customHeight="true" outlineLevel="0" collapsed="false">
      <c r="A31" s="15" t="str">
        <f aca="false">IFERROR(INDEX(Equity!$B:$B,MATCH($B$2&amp;"#"&amp;16,Equity!$P:$P,0)),"")</f>
        <v/>
      </c>
      <c r="B31" s="15" t="str">
        <f aca="false">IFERROR(INDEX(Equity!$C:$C,MATCH($B$2&amp;"#"&amp;16,Equity!$P:$P,0)),"")</f>
        <v/>
      </c>
      <c r="C31" s="18" t="str">
        <f aca="false">IFERROR(INDEX(Equity!$D:$D,MATCH($B$2&amp;"#"&amp;16,Equity!$P:$P,0)),"")</f>
        <v/>
      </c>
      <c r="D31" s="18" t="str">
        <f aca="false">IFERROR(INDEX(Equity!$E:$E,MATCH($B$2&amp;"#"&amp;16,Equity!$P:$P,0)),"")</f>
        <v/>
      </c>
      <c r="E31" s="13" t="str">
        <f aca="false">IFERROR(INDEX(Equity!$I:$I,MATCH($B$2&amp;"#"&amp;16,Equity!$P:$P,0)),"")</f>
        <v/>
      </c>
      <c r="F31" s="13" t="str">
        <f aca="false">IFERROR(INDEX(Equity!$K:$K,MATCH($B$2&amp;"#"&amp;16,Equity!$P:$P,0)),"")</f>
        <v/>
      </c>
      <c r="G31" s="19" t="str">
        <f aca="false">IFERROR(INDEX(Equity!$N:$N,MATCH($B$2&amp;"#"&amp;16,Equity!$P:$P,0)),"")</f>
        <v/>
      </c>
    </row>
    <row r="32" customFormat="false" ht="15" hidden="false" customHeight="true" outlineLevel="0" collapsed="false">
      <c r="A32" s="15" t="str">
        <f aca="false">IFERROR(INDEX(Equity!$B:$B,MATCH($B$2&amp;"#"&amp;17,Equity!$P:$P,0)),"")</f>
        <v/>
      </c>
      <c r="B32" s="15" t="str">
        <f aca="false">IFERROR(INDEX(Equity!$C:$C,MATCH($B$2&amp;"#"&amp;17,Equity!$P:$P,0)),"")</f>
        <v/>
      </c>
      <c r="C32" s="18" t="str">
        <f aca="false">IFERROR(INDEX(Equity!$D:$D,MATCH($B$2&amp;"#"&amp;17,Equity!$P:$P,0)),"")</f>
        <v/>
      </c>
      <c r="D32" s="18" t="str">
        <f aca="false">IFERROR(INDEX(Equity!$E:$E,MATCH($B$2&amp;"#"&amp;17,Equity!$P:$P,0)),"")</f>
        <v/>
      </c>
      <c r="E32" s="13" t="str">
        <f aca="false">IFERROR(INDEX(Equity!$I:$I,MATCH($B$2&amp;"#"&amp;17,Equity!$P:$P,0)),"")</f>
        <v/>
      </c>
      <c r="F32" s="13" t="str">
        <f aca="false">IFERROR(INDEX(Equity!$K:$K,MATCH($B$2&amp;"#"&amp;17,Equity!$P:$P,0)),"")</f>
        <v/>
      </c>
      <c r="G32" s="19" t="str">
        <f aca="false">IFERROR(INDEX(Equity!$N:$N,MATCH($B$2&amp;"#"&amp;17,Equity!$P:$P,0)),"")</f>
        <v/>
      </c>
    </row>
    <row r="33" customFormat="false" ht="15" hidden="false" customHeight="true" outlineLevel="0" collapsed="false">
      <c r="A33" s="15" t="str">
        <f aca="false">IFERROR(INDEX(Equity!$B:$B,MATCH($B$2&amp;"#"&amp;18,Equity!$P:$P,0)),"")</f>
        <v/>
      </c>
      <c r="B33" s="15" t="str">
        <f aca="false">IFERROR(INDEX(Equity!$C:$C,MATCH($B$2&amp;"#"&amp;18,Equity!$P:$P,0)),"")</f>
        <v/>
      </c>
      <c r="C33" s="18" t="str">
        <f aca="false">IFERROR(INDEX(Equity!$D:$D,MATCH($B$2&amp;"#"&amp;18,Equity!$P:$P,0)),"")</f>
        <v/>
      </c>
      <c r="D33" s="18" t="str">
        <f aca="false">IFERROR(INDEX(Equity!$E:$E,MATCH($B$2&amp;"#"&amp;18,Equity!$P:$P,0)),"")</f>
        <v/>
      </c>
      <c r="E33" s="13" t="str">
        <f aca="false">IFERROR(INDEX(Equity!$I:$I,MATCH($B$2&amp;"#"&amp;18,Equity!$P:$P,0)),"")</f>
        <v/>
      </c>
      <c r="F33" s="13" t="str">
        <f aca="false">IFERROR(INDEX(Equity!$K:$K,MATCH($B$2&amp;"#"&amp;18,Equity!$P:$P,0)),"")</f>
        <v/>
      </c>
      <c r="G33" s="19" t="str">
        <f aca="false">IFERROR(INDEX(Equity!$N:$N,MATCH($B$2&amp;"#"&amp;18,Equity!$P:$P,0)),"")</f>
        <v/>
      </c>
    </row>
    <row r="34" customFormat="false" ht="15" hidden="false" customHeight="true" outlineLevel="0" collapsed="false">
      <c r="A34" s="15" t="str">
        <f aca="false">IFERROR(INDEX(Equity!$B:$B,MATCH($B$2&amp;"#"&amp;19,Equity!$P:$P,0)),"")</f>
        <v/>
      </c>
      <c r="B34" s="15" t="str">
        <f aca="false">IFERROR(INDEX(Equity!$C:$C,MATCH($B$2&amp;"#"&amp;19,Equity!$P:$P,0)),"")</f>
        <v/>
      </c>
      <c r="C34" s="18" t="str">
        <f aca="false">IFERROR(INDEX(Equity!$D:$D,MATCH($B$2&amp;"#"&amp;19,Equity!$P:$P,0)),"")</f>
        <v/>
      </c>
      <c r="D34" s="18" t="str">
        <f aca="false">IFERROR(INDEX(Equity!$E:$E,MATCH($B$2&amp;"#"&amp;19,Equity!$P:$P,0)),"")</f>
        <v/>
      </c>
      <c r="E34" s="13" t="str">
        <f aca="false">IFERROR(INDEX(Equity!$I:$I,MATCH($B$2&amp;"#"&amp;19,Equity!$P:$P,0)),"")</f>
        <v/>
      </c>
      <c r="F34" s="13" t="str">
        <f aca="false">IFERROR(INDEX(Equity!$K:$K,MATCH($B$2&amp;"#"&amp;19,Equity!$P:$P,0)),"")</f>
        <v/>
      </c>
      <c r="G34" s="19" t="str">
        <f aca="false">IFERROR(INDEX(Equity!$N:$N,MATCH($B$2&amp;"#"&amp;19,Equity!$P:$P,0)),"")</f>
        <v/>
      </c>
    </row>
    <row r="35" customFormat="false" ht="15" hidden="false" customHeight="true" outlineLevel="0" collapsed="false">
      <c r="A35" s="15" t="str">
        <f aca="false">IFERROR(INDEX(Equity!$B:$B,MATCH($B$2&amp;"#"&amp;20,Equity!$P:$P,0)),"")</f>
        <v/>
      </c>
      <c r="B35" s="15" t="str">
        <f aca="false">IFERROR(INDEX(Equity!$C:$C,MATCH($B$2&amp;"#"&amp;20,Equity!$P:$P,0)),"")</f>
        <v/>
      </c>
      <c r="C35" s="18" t="str">
        <f aca="false">IFERROR(INDEX(Equity!$D:$D,MATCH($B$2&amp;"#"&amp;20,Equity!$P:$P,0)),"")</f>
        <v/>
      </c>
      <c r="D35" s="18" t="str">
        <f aca="false">IFERROR(INDEX(Equity!$E:$E,MATCH($B$2&amp;"#"&amp;20,Equity!$P:$P,0)),"")</f>
        <v/>
      </c>
      <c r="E35" s="13" t="str">
        <f aca="false">IFERROR(INDEX(Equity!$I:$I,MATCH($B$2&amp;"#"&amp;20,Equity!$P:$P,0)),"")</f>
        <v/>
      </c>
      <c r="F35" s="13" t="str">
        <f aca="false">IFERROR(INDEX(Equity!$K:$K,MATCH($B$2&amp;"#"&amp;20,Equity!$P:$P,0)),"")</f>
        <v/>
      </c>
      <c r="G35" s="19" t="str">
        <f aca="false">IFERROR(INDEX(Equity!$N:$N,MATCH($B$2&amp;"#"&amp;20,Equity!$P:$P,0)),"")</f>
        <v/>
      </c>
    </row>
    <row r="36" customFormat="false" ht="15" hidden="false" customHeight="true" outlineLevel="0" collapsed="false">
      <c r="A36" s="15" t="str">
        <f aca="false">IFERROR(INDEX(Equity!$B:$B,MATCH($B$2&amp;"#"&amp;21,Equity!$P:$P,0)),"")</f>
        <v/>
      </c>
      <c r="B36" s="15" t="str">
        <f aca="false">IFERROR(INDEX(Equity!$C:$C,MATCH($B$2&amp;"#"&amp;21,Equity!$P:$P,0)),"")</f>
        <v/>
      </c>
      <c r="C36" s="18" t="str">
        <f aca="false">IFERROR(INDEX(Equity!$D:$D,MATCH($B$2&amp;"#"&amp;21,Equity!$P:$P,0)),"")</f>
        <v/>
      </c>
      <c r="D36" s="18" t="str">
        <f aca="false">IFERROR(INDEX(Equity!$E:$E,MATCH($B$2&amp;"#"&amp;21,Equity!$P:$P,0)),"")</f>
        <v/>
      </c>
      <c r="E36" s="13" t="str">
        <f aca="false">IFERROR(INDEX(Equity!$I:$I,MATCH($B$2&amp;"#"&amp;21,Equity!$P:$P,0)),"")</f>
        <v/>
      </c>
      <c r="F36" s="13" t="str">
        <f aca="false">IFERROR(INDEX(Equity!$K:$K,MATCH($B$2&amp;"#"&amp;21,Equity!$P:$P,0)),"")</f>
        <v/>
      </c>
      <c r="G36" s="19" t="str">
        <f aca="false">IFERROR(INDEX(Equity!$N:$N,MATCH($B$2&amp;"#"&amp;21,Equity!$P:$P,0)),"")</f>
        <v/>
      </c>
    </row>
    <row r="37" customFormat="false" ht="15" hidden="false" customHeight="true" outlineLevel="0" collapsed="false">
      <c r="A37" s="15" t="str">
        <f aca="false">IFERROR(INDEX(Equity!$B:$B,MATCH($B$2&amp;"#"&amp;22,Equity!$P:$P,0)),"")</f>
        <v/>
      </c>
      <c r="B37" s="15" t="str">
        <f aca="false">IFERROR(INDEX(Equity!$C:$C,MATCH($B$2&amp;"#"&amp;22,Equity!$P:$P,0)),"")</f>
        <v/>
      </c>
      <c r="C37" s="18" t="str">
        <f aca="false">IFERROR(INDEX(Equity!$D:$D,MATCH($B$2&amp;"#"&amp;22,Equity!$P:$P,0)),"")</f>
        <v/>
      </c>
      <c r="D37" s="18" t="str">
        <f aca="false">IFERROR(INDEX(Equity!$E:$E,MATCH($B$2&amp;"#"&amp;22,Equity!$P:$P,0)),"")</f>
        <v/>
      </c>
      <c r="E37" s="13" t="str">
        <f aca="false">IFERROR(INDEX(Equity!$I:$I,MATCH($B$2&amp;"#"&amp;22,Equity!$P:$P,0)),"")</f>
        <v/>
      </c>
      <c r="F37" s="13" t="str">
        <f aca="false">IFERROR(INDEX(Equity!$K:$K,MATCH($B$2&amp;"#"&amp;22,Equity!$P:$P,0)),"")</f>
        <v/>
      </c>
      <c r="G37" s="19" t="str">
        <f aca="false">IFERROR(INDEX(Equity!$N:$N,MATCH($B$2&amp;"#"&amp;22,Equity!$P:$P,0)),"")</f>
        <v/>
      </c>
    </row>
    <row r="38" customFormat="false" ht="15" hidden="false" customHeight="true" outlineLevel="0" collapsed="false">
      <c r="A38" s="15" t="str">
        <f aca="false">IFERROR(INDEX(Equity!$B:$B,MATCH($B$2&amp;"#"&amp;23,Equity!$P:$P,0)),"")</f>
        <v/>
      </c>
      <c r="B38" s="15" t="str">
        <f aca="false">IFERROR(INDEX(Equity!$C:$C,MATCH($B$2&amp;"#"&amp;23,Equity!$P:$P,0)),"")</f>
        <v/>
      </c>
      <c r="C38" s="18" t="str">
        <f aca="false">IFERROR(INDEX(Equity!$D:$D,MATCH($B$2&amp;"#"&amp;23,Equity!$P:$P,0)),"")</f>
        <v/>
      </c>
      <c r="D38" s="18" t="str">
        <f aca="false">IFERROR(INDEX(Equity!$E:$E,MATCH($B$2&amp;"#"&amp;23,Equity!$P:$P,0)),"")</f>
        <v/>
      </c>
      <c r="E38" s="13" t="str">
        <f aca="false">IFERROR(INDEX(Equity!$I:$I,MATCH($B$2&amp;"#"&amp;23,Equity!$P:$P,0)),"")</f>
        <v/>
      </c>
      <c r="F38" s="13" t="str">
        <f aca="false">IFERROR(INDEX(Equity!$K:$K,MATCH($B$2&amp;"#"&amp;23,Equity!$P:$P,0)),"")</f>
        <v/>
      </c>
      <c r="G38" s="19" t="str">
        <f aca="false">IFERROR(INDEX(Equity!$N:$N,MATCH($B$2&amp;"#"&amp;23,Equity!$P:$P,0)),"")</f>
        <v/>
      </c>
    </row>
    <row r="39" customFormat="false" ht="15" hidden="false" customHeight="true" outlineLevel="0" collapsed="false">
      <c r="A39" s="15" t="str">
        <f aca="false">IFERROR(INDEX(Equity!$B:$B,MATCH($B$2&amp;"#"&amp;24,Equity!$P:$P,0)),"")</f>
        <v/>
      </c>
      <c r="B39" s="15" t="str">
        <f aca="false">IFERROR(INDEX(Equity!$C:$C,MATCH($B$2&amp;"#"&amp;24,Equity!$P:$P,0)),"")</f>
        <v/>
      </c>
      <c r="C39" s="18" t="str">
        <f aca="false">IFERROR(INDEX(Equity!$D:$D,MATCH($B$2&amp;"#"&amp;24,Equity!$P:$P,0)),"")</f>
        <v/>
      </c>
      <c r="D39" s="18" t="str">
        <f aca="false">IFERROR(INDEX(Equity!$E:$E,MATCH($B$2&amp;"#"&amp;24,Equity!$P:$P,0)),"")</f>
        <v/>
      </c>
      <c r="E39" s="13" t="str">
        <f aca="false">IFERROR(INDEX(Equity!$I:$I,MATCH($B$2&amp;"#"&amp;24,Equity!$P:$P,0)),"")</f>
        <v/>
      </c>
      <c r="F39" s="13" t="str">
        <f aca="false">IFERROR(INDEX(Equity!$K:$K,MATCH($B$2&amp;"#"&amp;24,Equity!$P:$P,0)),"")</f>
        <v/>
      </c>
      <c r="G39" s="19" t="str">
        <f aca="false">IFERROR(INDEX(Equity!$N:$N,MATCH($B$2&amp;"#"&amp;24,Equity!$P:$P,0)),"")</f>
        <v/>
      </c>
    </row>
    <row r="40" customFormat="false" ht="15" hidden="false" customHeight="true" outlineLevel="0" collapsed="false">
      <c r="A40" s="15" t="str">
        <f aca="false">IFERROR(INDEX(Equity!$B:$B,MATCH($B$2&amp;"#"&amp;25,Equity!$P:$P,0)),"")</f>
        <v/>
      </c>
      <c r="B40" s="15" t="str">
        <f aca="false">IFERROR(INDEX(Equity!$C:$C,MATCH($B$2&amp;"#"&amp;25,Equity!$P:$P,0)),"")</f>
        <v/>
      </c>
      <c r="C40" s="18" t="str">
        <f aca="false">IFERROR(INDEX(Equity!$D:$D,MATCH($B$2&amp;"#"&amp;25,Equity!$P:$P,0)),"")</f>
        <v/>
      </c>
      <c r="D40" s="18" t="str">
        <f aca="false">IFERROR(INDEX(Equity!$E:$E,MATCH($B$2&amp;"#"&amp;25,Equity!$P:$P,0)),"")</f>
        <v/>
      </c>
      <c r="E40" s="13" t="str">
        <f aca="false">IFERROR(INDEX(Equity!$I:$I,MATCH($B$2&amp;"#"&amp;25,Equity!$P:$P,0)),"")</f>
        <v/>
      </c>
      <c r="F40" s="13" t="str">
        <f aca="false">IFERROR(INDEX(Equity!$K:$K,MATCH($B$2&amp;"#"&amp;25,Equity!$P:$P,0)),"")</f>
        <v/>
      </c>
      <c r="G40" s="19" t="str">
        <f aca="false">IFERROR(INDEX(Equity!$N:$N,MATCH($B$2&amp;"#"&amp;25,Equity!$P:$P,0)),"")</f>
        <v/>
      </c>
    </row>
    <row r="41" customFormat="false" ht="15" hidden="false" customHeight="true" outlineLevel="0" collapsed="false">
      <c r="A41" s="15" t="str">
        <f aca="false">IFERROR(INDEX(Equity!$B:$B,MATCH($B$2&amp;"#"&amp;26,Equity!$P:$P,0)),"")</f>
        <v/>
      </c>
      <c r="B41" s="15" t="str">
        <f aca="false">IFERROR(INDEX(Equity!$C:$C,MATCH($B$2&amp;"#"&amp;26,Equity!$P:$P,0)),"")</f>
        <v/>
      </c>
      <c r="C41" s="18" t="str">
        <f aca="false">IFERROR(INDEX(Equity!$D:$D,MATCH($B$2&amp;"#"&amp;26,Equity!$P:$P,0)),"")</f>
        <v/>
      </c>
      <c r="D41" s="18" t="str">
        <f aca="false">IFERROR(INDEX(Equity!$E:$E,MATCH($B$2&amp;"#"&amp;26,Equity!$P:$P,0)),"")</f>
        <v/>
      </c>
      <c r="E41" s="13" t="str">
        <f aca="false">IFERROR(INDEX(Equity!$I:$I,MATCH($B$2&amp;"#"&amp;26,Equity!$P:$P,0)),"")</f>
        <v/>
      </c>
      <c r="F41" s="13" t="str">
        <f aca="false">IFERROR(INDEX(Equity!$K:$K,MATCH($B$2&amp;"#"&amp;26,Equity!$P:$P,0)),"")</f>
        <v/>
      </c>
      <c r="G41" s="19" t="str">
        <f aca="false">IFERROR(INDEX(Equity!$N:$N,MATCH($B$2&amp;"#"&amp;26,Equity!$P:$P,0)),"")</f>
        <v/>
      </c>
    </row>
    <row r="42" customFormat="false" ht="15" hidden="false" customHeight="true" outlineLevel="0" collapsed="false">
      <c r="A42" s="15" t="str">
        <f aca="false">IFERROR(INDEX(Equity!$B:$B,MATCH($B$2&amp;"#"&amp;27,Equity!$P:$P,0)),"")</f>
        <v/>
      </c>
      <c r="B42" s="15" t="str">
        <f aca="false">IFERROR(INDEX(Equity!$C:$C,MATCH($B$2&amp;"#"&amp;27,Equity!$P:$P,0)),"")</f>
        <v/>
      </c>
      <c r="C42" s="18" t="str">
        <f aca="false">IFERROR(INDEX(Equity!$D:$D,MATCH($B$2&amp;"#"&amp;27,Equity!$P:$P,0)),"")</f>
        <v/>
      </c>
      <c r="D42" s="18" t="str">
        <f aca="false">IFERROR(INDEX(Equity!$E:$E,MATCH($B$2&amp;"#"&amp;27,Equity!$P:$P,0)),"")</f>
        <v/>
      </c>
      <c r="E42" s="13" t="str">
        <f aca="false">IFERROR(INDEX(Equity!$I:$I,MATCH($B$2&amp;"#"&amp;27,Equity!$P:$P,0)),"")</f>
        <v/>
      </c>
      <c r="F42" s="13" t="str">
        <f aca="false">IFERROR(INDEX(Equity!$K:$K,MATCH($B$2&amp;"#"&amp;27,Equity!$P:$P,0)),"")</f>
        <v/>
      </c>
      <c r="G42" s="19" t="str">
        <f aca="false">IFERROR(INDEX(Equity!$N:$N,MATCH($B$2&amp;"#"&amp;27,Equity!$P:$P,0)),"")</f>
        <v/>
      </c>
    </row>
    <row r="43" customFormat="false" ht="15" hidden="false" customHeight="true" outlineLevel="0" collapsed="false">
      <c r="A43" s="15" t="str">
        <f aca="false">IFERROR(INDEX(Equity!$B:$B,MATCH($B$2&amp;"#"&amp;28,Equity!$P:$P,0)),"")</f>
        <v/>
      </c>
      <c r="B43" s="15" t="str">
        <f aca="false">IFERROR(INDEX(Equity!$C:$C,MATCH($B$2&amp;"#"&amp;28,Equity!$P:$P,0)),"")</f>
        <v/>
      </c>
      <c r="C43" s="18" t="str">
        <f aca="false">IFERROR(INDEX(Equity!$D:$D,MATCH($B$2&amp;"#"&amp;28,Equity!$P:$P,0)),"")</f>
        <v/>
      </c>
      <c r="D43" s="18" t="str">
        <f aca="false">IFERROR(INDEX(Equity!$E:$E,MATCH($B$2&amp;"#"&amp;28,Equity!$P:$P,0)),"")</f>
        <v/>
      </c>
      <c r="E43" s="13" t="str">
        <f aca="false">IFERROR(INDEX(Equity!$I:$I,MATCH($B$2&amp;"#"&amp;28,Equity!$P:$P,0)),"")</f>
        <v/>
      </c>
      <c r="F43" s="13" t="str">
        <f aca="false">IFERROR(INDEX(Equity!$K:$K,MATCH($B$2&amp;"#"&amp;28,Equity!$P:$P,0)),"")</f>
        <v/>
      </c>
      <c r="G43" s="19" t="str">
        <f aca="false">IFERROR(INDEX(Equity!$N:$N,MATCH($B$2&amp;"#"&amp;28,Equity!$P:$P,0)),"")</f>
        <v/>
      </c>
    </row>
    <row r="44" customFormat="false" ht="15" hidden="false" customHeight="true" outlineLevel="0" collapsed="false">
      <c r="A44" s="15" t="str">
        <f aca="false">IFERROR(INDEX(Equity!$B:$B,MATCH($B$2&amp;"#"&amp;29,Equity!$P:$P,0)),"")</f>
        <v/>
      </c>
      <c r="B44" s="15" t="str">
        <f aca="false">IFERROR(INDEX(Equity!$C:$C,MATCH($B$2&amp;"#"&amp;29,Equity!$P:$P,0)),"")</f>
        <v/>
      </c>
      <c r="C44" s="18" t="str">
        <f aca="false">IFERROR(INDEX(Equity!$D:$D,MATCH($B$2&amp;"#"&amp;29,Equity!$P:$P,0)),"")</f>
        <v/>
      </c>
      <c r="D44" s="18" t="str">
        <f aca="false">IFERROR(INDEX(Equity!$E:$E,MATCH($B$2&amp;"#"&amp;29,Equity!$P:$P,0)),"")</f>
        <v/>
      </c>
      <c r="E44" s="13" t="str">
        <f aca="false">IFERROR(INDEX(Equity!$I:$I,MATCH($B$2&amp;"#"&amp;29,Equity!$P:$P,0)),"")</f>
        <v/>
      </c>
      <c r="F44" s="13" t="str">
        <f aca="false">IFERROR(INDEX(Equity!$K:$K,MATCH($B$2&amp;"#"&amp;29,Equity!$P:$P,0)),"")</f>
        <v/>
      </c>
      <c r="G44" s="19" t="str">
        <f aca="false">IFERROR(INDEX(Equity!$N:$N,MATCH($B$2&amp;"#"&amp;29,Equity!$P:$P,0)),"")</f>
        <v/>
      </c>
    </row>
    <row r="45" customFormat="false" ht="15" hidden="false" customHeight="true" outlineLevel="0" collapsed="false">
      <c r="A45" s="15" t="str">
        <f aca="false">IFERROR(INDEX(Equity!$B:$B,MATCH($B$2&amp;"#"&amp;30,Equity!$P:$P,0)),"")</f>
        <v/>
      </c>
      <c r="B45" s="15" t="str">
        <f aca="false">IFERROR(INDEX(Equity!$C:$C,MATCH($B$2&amp;"#"&amp;30,Equity!$P:$P,0)),"")</f>
        <v/>
      </c>
      <c r="C45" s="18" t="str">
        <f aca="false">IFERROR(INDEX(Equity!$D:$D,MATCH($B$2&amp;"#"&amp;30,Equity!$P:$P,0)),"")</f>
        <v/>
      </c>
      <c r="D45" s="18" t="str">
        <f aca="false">IFERROR(INDEX(Equity!$E:$E,MATCH($B$2&amp;"#"&amp;30,Equity!$P:$P,0)),"")</f>
        <v/>
      </c>
      <c r="E45" s="13" t="str">
        <f aca="false">IFERROR(INDEX(Equity!$I:$I,MATCH($B$2&amp;"#"&amp;30,Equity!$P:$P,0)),"")</f>
        <v/>
      </c>
      <c r="F45" s="13" t="str">
        <f aca="false">IFERROR(INDEX(Equity!$K:$K,MATCH($B$2&amp;"#"&amp;30,Equity!$P:$P,0)),"")</f>
        <v/>
      </c>
      <c r="G45" s="19" t="str">
        <f aca="false">IFERROR(INDEX(Equity!$N:$N,MATCH($B$2&amp;"#"&amp;30,Equity!$P:$P,0)),"")</f>
        <v/>
      </c>
    </row>
    <row r="46" customFormat="false" ht="15" hidden="false" customHeight="true" outlineLevel="0" collapsed="false">
      <c r="A46" s="15" t="str">
        <f aca="false">IFERROR(INDEX(Equity!$B:$B,MATCH($B$2&amp;"#"&amp;31,Equity!$P:$P,0)),"")</f>
        <v/>
      </c>
      <c r="B46" s="15" t="str">
        <f aca="false">IFERROR(INDEX(Equity!$C:$C,MATCH($B$2&amp;"#"&amp;31,Equity!$P:$P,0)),"")</f>
        <v/>
      </c>
      <c r="C46" s="18" t="str">
        <f aca="false">IFERROR(INDEX(Equity!$D:$D,MATCH($B$2&amp;"#"&amp;31,Equity!$P:$P,0)),"")</f>
        <v/>
      </c>
      <c r="D46" s="18" t="str">
        <f aca="false">IFERROR(INDEX(Equity!$E:$E,MATCH($B$2&amp;"#"&amp;31,Equity!$P:$P,0)),"")</f>
        <v/>
      </c>
      <c r="E46" s="13" t="str">
        <f aca="false">IFERROR(INDEX(Equity!$I:$I,MATCH($B$2&amp;"#"&amp;31,Equity!$P:$P,0)),"")</f>
        <v/>
      </c>
      <c r="F46" s="13" t="str">
        <f aca="false">IFERROR(INDEX(Equity!$K:$K,MATCH($B$2&amp;"#"&amp;31,Equity!$P:$P,0)),"")</f>
        <v/>
      </c>
      <c r="G46" s="19" t="str">
        <f aca="false">IFERROR(INDEX(Equity!$N:$N,MATCH($B$2&amp;"#"&amp;31,Equity!$P:$P,0)),"")</f>
        <v/>
      </c>
    </row>
    <row r="47" customFormat="false" ht="15" hidden="false" customHeight="true" outlineLevel="0" collapsed="false">
      <c r="A47" s="15" t="str">
        <f aca="false">IFERROR(INDEX(Equity!$B:$B,MATCH($B$2&amp;"#"&amp;32,Equity!$P:$P,0)),"")</f>
        <v/>
      </c>
      <c r="B47" s="15" t="str">
        <f aca="false">IFERROR(INDEX(Equity!$C:$C,MATCH($B$2&amp;"#"&amp;32,Equity!$P:$P,0)),"")</f>
        <v/>
      </c>
      <c r="C47" s="18" t="str">
        <f aca="false">IFERROR(INDEX(Equity!$D:$D,MATCH($B$2&amp;"#"&amp;32,Equity!$P:$P,0)),"")</f>
        <v/>
      </c>
      <c r="D47" s="18" t="str">
        <f aca="false">IFERROR(INDEX(Equity!$E:$E,MATCH($B$2&amp;"#"&amp;32,Equity!$P:$P,0)),"")</f>
        <v/>
      </c>
      <c r="E47" s="13" t="str">
        <f aca="false">IFERROR(INDEX(Equity!$I:$I,MATCH($B$2&amp;"#"&amp;32,Equity!$P:$P,0)),"")</f>
        <v/>
      </c>
      <c r="F47" s="13" t="str">
        <f aca="false">IFERROR(INDEX(Equity!$K:$K,MATCH($B$2&amp;"#"&amp;32,Equity!$P:$P,0)),"")</f>
        <v/>
      </c>
      <c r="G47" s="19" t="str">
        <f aca="false">IFERROR(INDEX(Equity!$N:$N,MATCH($B$2&amp;"#"&amp;32,Equity!$P:$P,0)),"")</f>
        <v/>
      </c>
    </row>
    <row r="48" customFormat="false" ht="15" hidden="false" customHeight="true" outlineLevel="0" collapsed="false">
      <c r="A48" s="15" t="str">
        <f aca="false">IFERROR(INDEX(Equity!$B:$B,MATCH($B$2&amp;"#"&amp;33,Equity!$P:$P,0)),"")</f>
        <v/>
      </c>
      <c r="B48" s="15" t="str">
        <f aca="false">IFERROR(INDEX(Equity!$C:$C,MATCH($B$2&amp;"#"&amp;33,Equity!$P:$P,0)),"")</f>
        <v/>
      </c>
      <c r="C48" s="18" t="str">
        <f aca="false">IFERROR(INDEX(Equity!$D:$D,MATCH($B$2&amp;"#"&amp;33,Equity!$P:$P,0)),"")</f>
        <v/>
      </c>
      <c r="D48" s="18" t="str">
        <f aca="false">IFERROR(INDEX(Equity!$E:$E,MATCH($B$2&amp;"#"&amp;33,Equity!$P:$P,0)),"")</f>
        <v/>
      </c>
      <c r="E48" s="13" t="str">
        <f aca="false">IFERROR(INDEX(Equity!$I:$I,MATCH($B$2&amp;"#"&amp;33,Equity!$P:$P,0)),"")</f>
        <v/>
      </c>
      <c r="F48" s="13" t="str">
        <f aca="false">IFERROR(INDEX(Equity!$K:$K,MATCH($B$2&amp;"#"&amp;33,Equity!$P:$P,0)),"")</f>
        <v/>
      </c>
      <c r="G48" s="19" t="str">
        <f aca="false">IFERROR(INDEX(Equity!$N:$N,MATCH($B$2&amp;"#"&amp;33,Equity!$P:$P,0)),"")</f>
        <v/>
      </c>
    </row>
    <row r="49" customFormat="false" ht="15" hidden="false" customHeight="true" outlineLevel="0" collapsed="false">
      <c r="A49" s="15" t="str">
        <f aca="false">IFERROR(INDEX(Equity!$B:$B,MATCH($B$2&amp;"#"&amp;34,Equity!$P:$P,0)),"")</f>
        <v/>
      </c>
      <c r="B49" s="15" t="str">
        <f aca="false">IFERROR(INDEX(Equity!$C:$C,MATCH($B$2&amp;"#"&amp;34,Equity!$P:$P,0)),"")</f>
        <v/>
      </c>
      <c r="C49" s="18" t="str">
        <f aca="false">IFERROR(INDEX(Equity!$D:$D,MATCH($B$2&amp;"#"&amp;34,Equity!$P:$P,0)),"")</f>
        <v/>
      </c>
      <c r="D49" s="18" t="str">
        <f aca="false">IFERROR(INDEX(Equity!$E:$E,MATCH($B$2&amp;"#"&amp;34,Equity!$P:$P,0)),"")</f>
        <v/>
      </c>
      <c r="E49" s="13" t="str">
        <f aca="false">IFERROR(INDEX(Equity!$I:$I,MATCH($B$2&amp;"#"&amp;34,Equity!$P:$P,0)),"")</f>
        <v/>
      </c>
      <c r="F49" s="13" t="str">
        <f aca="false">IFERROR(INDEX(Equity!$K:$K,MATCH($B$2&amp;"#"&amp;34,Equity!$P:$P,0)),"")</f>
        <v/>
      </c>
      <c r="G49" s="19" t="str">
        <f aca="false">IFERROR(INDEX(Equity!$N:$N,MATCH($B$2&amp;"#"&amp;34,Equity!$P:$P,0)),"")</f>
        <v/>
      </c>
    </row>
    <row r="50" customFormat="false" ht="15" hidden="false" customHeight="true" outlineLevel="0" collapsed="false">
      <c r="A50" s="15" t="str">
        <f aca="false">IFERROR(INDEX(Equity!$B:$B,MATCH($B$2&amp;"#"&amp;35,Equity!$P:$P,0)),"")</f>
        <v/>
      </c>
      <c r="B50" s="15" t="str">
        <f aca="false">IFERROR(INDEX(Equity!$C:$C,MATCH($B$2&amp;"#"&amp;35,Equity!$P:$P,0)),"")</f>
        <v/>
      </c>
      <c r="C50" s="18" t="str">
        <f aca="false">IFERROR(INDEX(Equity!$D:$D,MATCH($B$2&amp;"#"&amp;35,Equity!$P:$P,0)),"")</f>
        <v/>
      </c>
      <c r="D50" s="18" t="str">
        <f aca="false">IFERROR(INDEX(Equity!$E:$E,MATCH($B$2&amp;"#"&amp;35,Equity!$P:$P,0)),"")</f>
        <v/>
      </c>
      <c r="E50" s="13" t="str">
        <f aca="false">IFERROR(INDEX(Equity!$I:$I,MATCH($B$2&amp;"#"&amp;35,Equity!$P:$P,0)),"")</f>
        <v/>
      </c>
      <c r="F50" s="13" t="str">
        <f aca="false">IFERROR(INDEX(Equity!$K:$K,MATCH($B$2&amp;"#"&amp;35,Equity!$P:$P,0)),"")</f>
        <v/>
      </c>
      <c r="G50" s="19" t="str">
        <f aca="false">IFERROR(INDEX(Equity!$N:$N,MATCH($B$2&amp;"#"&amp;35,Equity!$P:$P,0)),"")</f>
        <v/>
      </c>
    </row>
    <row r="51" customFormat="false" ht="15" hidden="false" customHeight="true" outlineLevel="0" collapsed="false">
      <c r="A51" s="15" t="str">
        <f aca="false">IFERROR(INDEX(Equity!$B:$B,MATCH($B$2&amp;"#"&amp;36,Equity!$P:$P,0)),"")</f>
        <v/>
      </c>
      <c r="B51" s="15" t="str">
        <f aca="false">IFERROR(INDEX(Equity!$C:$C,MATCH($B$2&amp;"#"&amp;36,Equity!$P:$P,0)),"")</f>
        <v/>
      </c>
      <c r="C51" s="18" t="str">
        <f aca="false">IFERROR(INDEX(Equity!$D:$D,MATCH($B$2&amp;"#"&amp;36,Equity!$P:$P,0)),"")</f>
        <v/>
      </c>
      <c r="D51" s="18" t="str">
        <f aca="false">IFERROR(INDEX(Equity!$E:$E,MATCH($B$2&amp;"#"&amp;36,Equity!$P:$P,0)),"")</f>
        <v/>
      </c>
      <c r="E51" s="13" t="str">
        <f aca="false">IFERROR(INDEX(Equity!$I:$I,MATCH($B$2&amp;"#"&amp;36,Equity!$P:$P,0)),"")</f>
        <v/>
      </c>
      <c r="F51" s="13" t="str">
        <f aca="false">IFERROR(INDEX(Equity!$K:$K,MATCH($B$2&amp;"#"&amp;36,Equity!$P:$P,0)),"")</f>
        <v/>
      </c>
      <c r="G51" s="19" t="str">
        <f aca="false">IFERROR(INDEX(Equity!$N:$N,MATCH($B$2&amp;"#"&amp;36,Equity!$P:$P,0)),"")</f>
        <v/>
      </c>
    </row>
    <row r="52" customFormat="false" ht="15" hidden="false" customHeight="true" outlineLevel="0" collapsed="false">
      <c r="A52" s="15" t="str">
        <f aca="false">IFERROR(INDEX(Equity!$B:$B,MATCH($B$2&amp;"#"&amp;37,Equity!$P:$P,0)),"")</f>
        <v/>
      </c>
      <c r="B52" s="15" t="str">
        <f aca="false">IFERROR(INDEX(Equity!$C:$C,MATCH($B$2&amp;"#"&amp;37,Equity!$P:$P,0)),"")</f>
        <v/>
      </c>
      <c r="C52" s="18" t="str">
        <f aca="false">IFERROR(INDEX(Equity!$D:$D,MATCH($B$2&amp;"#"&amp;37,Equity!$P:$P,0)),"")</f>
        <v/>
      </c>
      <c r="D52" s="18" t="str">
        <f aca="false">IFERROR(INDEX(Equity!$E:$E,MATCH($B$2&amp;"#"&amp;37,Equity!$P:$P,0)),"")</f>
        <v/>
      </c>
      <c r="E52" s="13" t="str">
        <f aca="false">IFERROR(INDEX(Equity!$I:$I,MATCH($B$2&amp;"#"&amp;37,Equity!$P:$P,0)),"")</f>
        <v/>
      </c>
      <c r="F52" s="13" t="str">
        <f aca="false">IFERROR(INDEX(Equity!$K:$K,MATCH($B$2&amp;"#"&amp;37,Equity!$P:$P,0)),"")</f>
        <v/>
      </c>
      <c r="G52" s="19" t="str">
        <f aca="false">IFERROR(INDEX(Equity!$N:$N,MATCH($B$2&amp;"#"&amp;37,Equity!$P:$P,0)),"")</f>
        <v/>
      </c>
    </row>
    <row r="53" customFormat="false" ht="15" hidden="false" customHeight="true" outlineLevel="0" collapsed="false">
      <c r="A53" s="15" t="str">
        <f aca="false">IFERROR(INDEX(Equity!$B:$B,MATCH($B$2&amp;"#"&amp;38,Equity!$P:$P,0)),"")</f>
        <v/>
      </c>
      <c r="B53" s="15" t="str">
        <f aca="false">IFERROR(INDEX(Equity!$C:$C,MATCH($B$2&amp;"#"&amp;38,Equity!$P:$P,0)),"")</f>
        <v/>
      </c>
      <c r="C53" s="18" t="str">
        <f aca="false">IFERROR(INDEX(Equity!$D:$D,MATCH($B$2&amp;"#"&amp;38,Equity!$P:$P,0)),"")</f>
        <v/>
      </c>
      <c r="D53" s="18" t="str">
        <f aca="false">IFERROR(INDEX(Equity!$E:$E,MATCH($B$2&amp;"#"&amp;38,Equity!$P:$P,0)),"")</f>
        <v/>
      </c>
      <c r="E53" s="13" t="str">
        <f aca="false">IFERROR(INDEX(Equity!$I:$I,MATCH($B$2&amp;"#"&amp;38,Equity!$P:$P,0)),"")</f>
        <v/>
      </c>
      <c r="F53" s="13" t="str">
        <f aca="false">IFERROR(INDEX(Equity!$K:$K,MATCH($B$2&amp;"#"&amp;38,Equity!$P:$P,0)),"")</f>
        <v/>
      </c>
      <c r="G53" s="19" t="str">
        <f aca="false">IFERROR(INDEX(Equity!$N:$N,MATCH($B$2&amp;"#"&amp;38,Equity!$P:$P,0)),"")</f>
        <v/>
      </c>
    </row>
    <row r="54" customFormat="false" ht="15" hidden="false" customHeight="true" outlineLevel="0" collapsed="false">
      <c r="A54" s="15" t="str">
        <f aca="false">IFERROR(INDEX(Equity!$B:$B,MATCH($B$2&amp;"#"&amp;39,Equity!$P:$P,0)),"")</f>
        <v/>
      </c>
      <c r="B54" s="15" t="str">
        <f aca="false">IFERROR(INDEX(Equity!$C:$C,MATCH($B$2&amp;"#"&amp;39,Equity!$P:$P,0)),"")</f>
        <v/>
      </c>
      <c r="C54" s="18" t="str">
        <f aca="false">IFERROR(INDEX(Equity!$D:$D,MATCH($B$2&amp;"#"&amp;39,Equity!$P:$P,0)),"")</f>
        <v/>
      </c>
      <c r="D54" s="18" t="str">
        <f aca="false">IFERROR(INDEX(Equity!$E:$E,MATCH($B$2&amp;"#"&amp;39,Equity!$P:$P,0)),"")</f>
        <v/>
      </c>
      <c r="E54" s="13" t="str">
        <f aca="false">IFERROR(INDEX(Equity!$I:$I,MATCH($B$2&amp;"#"&amp;39,Equity!$P:$P,0)),"")</f>
        <v/>
      </c>
      <c r="F54" s="13" t="str">
        <f aca="false">IFERROR(INDEX(Equity!$K:$K,MATCH($B$2&amp;"#"&amp;39,Equity!$P:$P,0)),"")</f>
        <v/>
      </c>
      <c r="G54" s="19" t="str">
        <f aca="false">IFERROR(INDEX(Equity!$N:$N,MATCH($B$2&amp;"#"&amp;39,Equity!$P:$P,0)),"")</f>
        <v/>
      </c>
    </row>
    <row r="55" customFormat="false" ht="15" hidden="false" customHeight="true" outlineLevel="0" collapsed="false">
      <c r="A55" s="15" t="str">
        <f aca="false">IFERROR(INDEX(Equity!$B:$B,MATCH($B$2&amp;"#"&amp;40,Equity!$P:$P,0)),"")</f>
        <v/>
      </c>
      <c r="B55" s="15" t="str">
        <f aca="false">IFERROR(INDEX(Equity!$C:$C,MATCH($B$2&amp;"#"&amp;40,Equity!$P:$P,0)),"")</f>
        <v/>
      </c>
      <c r="C55" s="18" t="str">
        <f aca="false">IFERROR(INDEX(Equity!$D:$D,MATCH($B$2&amp;"#"&amp;40,Equity!$P:$P,0)),"")</f>
        <v/>
      </c>
      <c r="D55" s="18" t="str">
        <f aca="false">IFERROR(INDEX(Equity!$E:$E,MATCH($B$2&amp;"#"&amp;40,Equity!$P:$P,0)),"")</f>
        <v/>
      </c>
      <c r="E55" s="13" t="str">
        <f aca="false">IFERROR(INDEX(Equity!$I:$I,MATCH($B$2&amp;"#"&amp;40,Equity!$P:$P,0)),"")</f>
        <v/>
      </c>
      <c r="F55" s="13" t="str">
        <f aca="false">IFERROR(INDEX(Equity!$K:$K,MATCH($B$2&amp;"#"&amp;40,Equity!$P:$P,0)),"")</f>
        <v/>
      </c>
      <c r="G55" s="19" t="str">
        <f aca="false">IFERROR(INDEX(Equity!$N:$N,MATCH($B$2&amp;"#"&amp;40,Equity!$P:$P,0)),"")</f>
        <v/>
      </c>
    </row>
    <row r="57" customFormat="false" ht="15" hidden="false" customHeight="true" outlineLevel="0" collapsed="false">
      <c r="A57" s="3" t="s">
        <v>29</v>
      </c>
    </row>
    <row r="58" customFormat="false" ht="15" hidden="false" customHeight="true" outlineLevel="0" collapsed="false">
      <c r="A58" s="17" t="s">
        <v>30</v>
      </c>
      <c r="B58" s="17" t="s">
        <v>31</v>
      </c>
      <c r="C58" s="17" t="s">
        <v>32</v>
      </c>
      <c r="D58" s="17" t="s">
        <v>33</v>
      </c>
      <c r="E58" s="17" t="s">
        <v>26</v>
      </c>
      <c r="F58" s="17" t="s">
        <v>27</v>
      </c>
      <c r="G58" s="17" t="s">
        <v>28</v>
      </c>
    </row>
    <row r="59" customFormat="false" ht="15" hidden="false" customHeight="true" outlineLevel="0" collapsed="false">
      <c r="A59" s="15" t="str">
        <f aca="false">IFERROR(INDEX(MutualFunds!$B:$B,MATCH($B$2&amp;"#"&amp;1,MutualFunds!$N:$N,0)),"")</f>
        <v>SBI Mutual Fund</v>
      </c>
      <c r="B59" s="15" t="str">
        <f aca="false">IFERROR(INDEX(MutualFunds!$C:$C,MATCH($B$2&amp;"#"&amp;1,MutualFunds!$N:$N,0)),"")</f>
        <v>SBI Bluechip Fund - Direct Growth</v>
      </c>
      <c r="C59" s="18" t="n">
        <f aca="false">IFERROR(INDEX(MutualFunds!$E:$E,MATCH($B$2&amp;"#"&amp;1,MutualFunds!$N:$N,0)),"")</f>
        <v>1781.47268408551</v>
      </c>
      <c r="D59" s="18" t="n">
        <f aca="false">IFERROR(INDEX(MutualFunds!$G:$G,MATCH($B$2&amp;"#"&amp;1,MutualFunds!$N:$N,0)),"")</f>
        <v>96.4</v>
      </c>
      <c r="E59" s="13" t="n">
        <f aca="false">IFERROR(INDEX(MutualFunds!$I:$I,MATCH($B$2&amp;"#"&amp;1,MutualFunds!$N:$N,0)),"")</f>
        <v>171733.966745843</v>
      </c>
      <c r="F59" s="13" t="n">
        <f aca="false">IFERROR(INDEX(MutualFunds!$J:$J,MATCH($B$2&amp;"#"&amp;1,MutualFunds!$N:$N,0)),"")</f>
        <v>21733.9667458432</v>
      </c>
      <c r="G59" s="19" t="n">
        <f aca="false">IFERROR(INDEX(MutualFunds!$L:$L,MATCH($B$2&amp;"#"&amp;1,MutualFunds!$N:$N,0)),"")</f>
        <v>0.073869</v>
      </c>
    </row>
    <row r="60" customFormat="false" ht="15" hidden="false" customHeight="true" outlineLevel="0" collapsed="false">
      <c r="A60" s="15" t="str">
        <f aca="false">IFERROR(INDEX(MutualFunds!$B:$B,MATCH($B$2&amp;"#"&amp;2,MutualFunds!$N:$N,0)),"")</f>
        <v/>
      </c>
      <c r="B60" s="15" t="str">
        <f aca="false">IFERROR(INDEX(MutualFunds!$C:$C,MATCH($B$2&amp;"#"&amp;2,MutualFunds!$N:$N,0)),"")</f>
        <v/>
      </c>
      <c r="C60" s="18" t="str">
        <f aca="false">IFERROR(INDEX(MutualFunds!$E:$E,MATCH($B$2&amp;"#"&amp;2,MutualFunds!$N:$N,0)),"")</f>
        <v/>
      </c>
      <c r="D60" s="18" t="str">
        <f aca="false">IFERROR(INDEX(MutualFunds!$G:$G,MATCH($B$2&amp;"#"&amp;2,MutualFunds!$N:$N,0)),"")</f>
        <v/>
      </c>
      <c r="E60" s="13" t="str">
        <f aca="false">IFERROR(INDEX(MutualFunds!$I:$I,MATCH($B$2&amp;"#"&amp;2,MutualFunds!$N:$N,0)),"")</f>
        <v/>
      </c>
      <c r="F60" s="13" t="str">
        <f aca="false">IFERROR(INDEX(MutualFunds!$J:$J,MATCH($B$2&amp;"#"&amp;2,MutualFunds!$N:$N,0)),"")</f>
        <v/>
      </c>
      <c r="G60" s="19" t="str">
        <f aca="false">IFERROR(INDEX(MutualFunds!$L:$L,MATCH($B$2&amp;"#"&amp;2,MutualFunds!$N:$N,0)),"")</f>
        <v/>
      </c>
    </row>
    <row r="61" customFormat="false" ht="15" hidden="false" customHeight="true" outlineLevel="0" collapsed="false">
      <c r="A61" s="15" t="str">
        <f aca="false">IFERROR(INDEX(MutualFunds!$B:$B,MATCH($B$2&amp;"#"&amp;3,MutualFunds!$N:$N,0)),"")</f>
        <v/>
      </c>
      <c r="B61" s="15" t="str">
        <f aca="false">IFERROR(INDEX(MutualFunds!$C:$C,MATCH($B$2&amp;"#"&amp;3,MutualFunds!$N:$N,0)),"")</f>
        <v/>
      </c>
      <c r="C61" s="18" t="str">
        <f aca="false">IFERROR(INDEX(MutualFunds!$E:$E,MATCH($B$2&amp;"#"&amp;3,MutualFunds!$N:$N,0)),"")</f>
        <v/>
      </c>
      <c r="D61" s="18" t="str">
        <f aca="false">IFERROR(INDEX(MutualFunds!$G:$G,MATCH($B$2&amp;"#"&amp;3,MutualFunds!$N:$N,0)),"")</f>
        <v/>
      </c>
      <c r="E61" s="13" t="str">
        <f aca="false">IFERROR(INDEX(MutualFunds!$I:$I,MATCH($B$2&amp;"#"&amp;3,MutualFunds!$N:$N,0)),"")</f>
        <v/>
      </c>
      <c r="F61" s="13" t="str">
        <f aca="false">IFERROR(INDEX(MutualFunds!$J:$J,MATCH($B$2&amp;"#"&amp;3,MutualFunds!$N:$N,0)),"")</f>
        <v/>
      </c>
      <c r="G61" s="19" t="str">
        <f aca="false">IFERROR(INDEX(MutualFunds!$L:$L,MATCH($B$2&amp;"#"&amp;3,MutualFunds!$N:$N,0)),"")</f>
        <v/>
      </c>
    </row>
    <row r="62" customFormat="false" ht="15" hidden="false" customHeight="true" outlineLevel="0" collapsed="false">
      <c r="A62" s="15" t="str">
        <f aca="false">IFERROR(INDEX(MutualFunds!$B:$B,MATCH($B$2&amp;"#"&amp;4,MutualFunds!$N:$N,0)),"")</f>
        <v/>
      </c>
      <c r="B62" s="15" t="str">
        <f aca="false">IFERROR(INDEX(MutualFunds!$C:$C,MATCH($B$2&amp;"#"&amp;4,MutualFunds!$N:$N,0)),"")</f>
        <v/>
      </c>
      <c r="C62" s="18" t="str">
        <f aca="false">IFERROR(INDEX(MutualFunds!$E:$E,MATCH($B$2&amp;"#"&amp;4,MutualFunds!$N:$N,0)),"")</f>
        <v/>
      </c>
      <c r="D62" s="18" t="str">
        <f aca="false">IFERROR(INDEX(MutualFunds!$G:$G,MATCH($B$2&amp;"#"&amp;4,MutualFunds!$N:$N,0)),"")</f>
        <v/>
      </c>
      <c r="E62" s="13" t="str">
        <f aca="false">IFERROR(INDEX(MutualFunds!$I:$I,MATCH($B$2&amp;"#"&amp;4,MutualFunds!$N:$N,0)),"")</f>
        <v/>
      </c>
      <c r="F62" s="13" t="str">
        <f aca="false">IFERROR(INDEX(MutualFunds!$J:$J,MATCH($B$2&amp;"#"&amp;4,MutualFunds!$N:$N,0)),"")</f>
        <v/>
      </c>
      <c r="G62" s="19" t="str">
        <f aca="false">IFERROR(INDEX(MutualFunds!$L:$L,MATCH($B$2&amp;"#"&amp;4,MutualFunds!$N:$N,0)),"")</f>
        <v/>
      </c>
    </row>
    <row r="63" customFormat="false" ht="15" hidden="false" customHeight="true" outlineLevel="0" collapsed="false">
      <c r="A63" s="15" t="str">
        <f aca="false">IFERROR(INDEX(MutualFunds!$B:$B,MATCH($B$2&amp;"#"&amp;5,MutualFunds!$N:$N,0)),"")</f>
        <v/>
      </c>
      <c r="B63" s="15" t="str">
        <f aca="false">IFERROR(INDEX(MutualFunds!$C:$C,MATCH($B$2&amp;"#"&amp;5,MutualFunds!$N:$N,0)),"")</f>
        <v/>
      </c>
      <c r="C63" s="18" t="str">
        <f aca="false">IFERROR(INDEX(MutualFunds!$E:$E,MATCH($B$2&amp;"#"&amp;5,MutualFunds!$N:$N,0)),"")</f>
        <v/>
      </c>
      <c r="D63" s="18" t="str">
        <f aca="false">IFERROR(INDEX(MutualFunds!$G:$G,MATCH($B$2&amp;"#"&amp;5,MutualFunds!$N:$N,0)),"")</f>
        <v/>
      </c>
      <c r="E63" s="13" t="str">
        <f aca="false">IFERROR(INDEX(MutualFunds!$I:$I,MATCH($B$2&amp;"#"&amp;5,MutualFunds!$N:$N,0)),"")</f>
        <v/>
      </c>
      <c r="F63" s="13" t="str">
        <f aca="false">IFERROR(INDEX(MutualFunds!$J:$J,MATCH($B$2&amp;"#"&amp;5,MutualFunds!$N:$N,0)),"")</f>
        <v/>
      </c>
      <c r="G63" s="19" t="str">
        <f aca="false">IFERROR(INDEX(MutualFunds!$L:$L,MATCH($B$2&amp;"#"&amp;5,MutualFunds!$N:$N,0)),"")</f>
        <v/>
      </c>
    </row>
    <row r="64" customFormat="false" ht="15" hidden="false" customHeight="true" outlineLevel="0" collapsed="false">
      <c r="A64" s="15" t="str">
        <f aca="false">IFERROR(INDEX(MutualFunds!$B:$B,MATCH($B$2&amp;"#"&amp;6,MutualFunds!$N:$N,0)),"")</f>
        <v/>
      </c>
      <c r="B64" s="15" t="str">
        <f aca="false">IFERROR(INDEX(MutualFunds!$C:$C,MATCH($B$2&amp;"#"&amp;6,MutualFunds!$N:$N,0)),"")</f>
        <v/>
      </c>
      <c r="C64" s="18" t="str">
        <f aca="false">IFERROR(INDEX(MutualFunds!$E:$E,MATCH($B$2&amp;"#"&amp;6,MutualFunds!$N:$N,0)),"")</f>
        <v/>
      </c>
      <c r="D64" s="18" t="str">
        <f aca="false">IFERROR(INDEX(MutualFunds!$G:$G,MATCH($B$2&amp;"#"&amp;6,MutualFunds!$N:$N,0)),"")</f>
        <v/>
      </c>
      <c r="E64" s="13" t="str">
        <f aca="false">IFERROR(INDEX(MutualFunds!$I:$I,MATCH($B$2&amp;"#"&amp;6,MutualFunds!$N:$N,0)),"")</f>
        <v/>
      </c>
      <c r="F64" s="13" t="str">
        <f aca="false">IFERROR(INDEX(MutualFunds!$J:$J,MATCH($B$2&amp;"#"&amp;6,MutualFunds!$N:$N,0)),"")</f>
        <v/>
      </c>
      <c r="G64" s="19" t="str">
        <f aca="false">IFERROR(INDEX(MutualFunds!$L:$L,MATCH($B$2&amp;"#"&amp;6,MutualFunds!$N:$N,0)),"")</f>
        <v/>
      </c>
    </row>
    <row r="65" customFormat="false" ht="15" hidden="false" customHeight="true" outlineLevel="0" collapsed="false">
      <c r="A65" s="15" t="str">
        <f aca="false">IFERROR(INDEX(MutualFunds!$B:$B,MATCH($B$2&amp;"#"&amp;7,MutualFunds!$N:$N,0)),"")</f>
        <v/>
      </c>
      <c r="B65" s="15" t="str">
        <f aca="false">IFERROR(INDEX(MutualFunds!$C:$C,MATCH($B$2&amp;"#"&amp;7,MutualFunds!$N:$N,0)),"")</f>
        <v/>
      </c>
      <c r="C65" s="18" t="str">
        <f aca="false">IFERROR(INDEX(MutualFunds!$E:$E,MATCH($B$2&amp;"#"&amp;7,MutualFunds!$N:$N,0)),"")</f>
        <v/>
      </c>
      <c r="D65" s="18" t="str">
        <f aca="false">IFERROR(INDEX(MutualFunds!$G:$G,MATCH($B$2&amp;"#"&amp;7,MutualFunds!$N:$N,0)),"")</f>
        <v/>
      </c>
      <c r="E65" s="13" t="str">
        <f aca="false">IFERROR(INDEX(MutualFunds!$I:$I,MATCH($B$2&amp;"#"&amp;7,MutualFunds!$N:$N,0)),"")</f>
        <v/>
      </c>
      <c r="F65" s="13" t="str">
        <f aca="false">IFERROR(INDEX(MutualFunds!$J:$J,MATCH($B$2&amp;"#"&amp;7,MutualFunds!$N:$N,0)),"")</f>
        <v/>
      </c>
      <c r="G65" s="19" t="str">
        <f aca="false">IFERROR(INDEX(MutualFunds!$L:$L,MATCH($B$2&amp;"#"&amp;7,MutualFunds!$N:$N,0)),"")</f>
        <v/>
      </c>
    </row>
    <row r="66" customFormat="false" ht="15" hidden="false" customHeight="true" outlineLevel="0" collapsed="false">
      <c r="A66" s="15" t="str">
        <f aca="false">IFERROR(INDEX(MutualFunds!$B:$B,MATCH($B$2&amp;"#"&amp;8,MutualFunds!$N:$N,0)),"")</f>
        <v/>
      </c>
      <c r="B66" s="15" t="str">
        <f aca="false">IFERROR(INDEX(MutualFunds!$C:$C,MATCH($B$2&amp;"#"&amp;8,MutualFunds!$N:$N,0)),"")</f>
        <v/>
      </c>
      <c r="C66" s="18" t="str">
        <f aca="false">IFERROR(INDEX(MutualFunds!$E:$E,MATCH($B$2&amp;"#"&amp;8,MutualFunds!$N:$N,0)),"")</f>
        <v/>
      </c>
      <c r="D66" s="18" t="str">
        <f aca="false">IFERROR(INDEX(MutualFunds!$G:$G,MATCH($B$2&amp;"#"&amp;8,MutualFunds!$N:$N,0)),"")</f>
        <v/>
      </c>
      <c r="E66" s="13" t="str">
        <f aca="false">IFERROR(INDEX(MutualFunds!$I:$I,MATCH($B$2&amp;"#"&amp;8,MutualFunds!$N:$N,0)),"")</f>
        <v/>
      </c>
      <c r="F66" s="13" t="str">
        <f aca="false">IFERROR(INDEX(MutualFunds!$J:$J,MATCH($B$2&amp;"#"&amp;8,MutualFunds!$N:$N,0)),"")</f>
        <v/>
      </c>
      <c r="G66" s="19" t="str">
        <f aca="false">IFERROR(INDEX(MutualFunds!$L:$L,MATCH($B$2&amp;"#"&amp;8,MutualFunds!$N:$N,0)),"")</f>
        <v/>
      </c>
    </row>
    <row r="67" customFormat="false" ht="15" hidden="false" customHeight="true" outlineLevel="0" collapsed="false">
      <c r="A67" s="15" t="str">
        <f aca="false">IFERROR(INDEX(MutualFunds!$B:$B,MATCH($B$2&amp;"#"&amp;9,MutualFunds!$N:$N,0)),"")</f>
        <v/>
      </c>
      <c r="B67" s="15" t="str">
        <f aca="false">IFERROR(INDEX(MutualFunds!$C:$C,MATCH($B$2&amp;"#"&amp;9,MutualFunds!$N:$N,0)),"")</f>
        <v/>
      </c>
      <c r="C67" s="18" t="str">
        <f aca="false">IFERROR(INDEX(MutualFunds!$E:$E,MATCH($B$2&amp;"#"&amp;9,MutualFunds!$N:$N,0)),"")</f>
        <v/>
      </c>
      <c r="D67" s="18" t="str">
        <f aca="false">IFERROR(INDEX(MutualFunds!$G:$G,MATCH($B$2&amp;"#"&amp;9,MutualFunds!$N:$N,0)),"")</f>
        <v/>
      </c>
      <c r="E67" s="13" t="str">
        <f aca="false">IFERROR(INDEX(MutualFunds!$I:$I,MATCH($B$2&amp;"#"&amp;9,MutualFunds!$N:$N,0)),"")</f>
        <v/>
      </c>
      <c r="F67" s="13" t="str">
        <f aca="false">IFERROR(INDEX(MutualFunds!$J:$J,MATCH($B$2&amp;"#"&amp;9,MutualFunds!$N:$N,0)),"")</f>
        <v/>
      </c>
      <c r="G67" s="19" t="str">
        <f aca="false">IFERROR(INDEX(MutualFunds!$L:$L,MATCH($B$2&amp;"#"&amp;9,MutualFunds!$N:$N,0)),"")</f>
        <v/>
      </c>
    </row>
    <row r="68" customFormat="false" ht="15" hidden="false" customHeight="true" outlineLevel="0" collapsed="false">
      <c r="A68" s="15" t="str">
        <f aca="false">IFERROR(INDEX(MutualFunds!$B:$B,MATCH($B$2&amp;"#"&amp;10,MutualFunds!$N:$N,0)),"")</f>
        <v/>
      </c>
      <c r="B68" s="15" t="str">
        <f aca="false">IFERROR(INDEX(MutualFunds!$C:$C,MATCH($B$2&amp;"#"&amp;10,MutualFunds!$N:$N,0)),"")</f>
        <v/>
      </c>
      <c r="C68" s="18" t="str">
        <f aca="false">IFERROR(INDEX(MutualFunds!$E:$E,MATCH($B$2&amp;"#"&amp;10,MutualFunds!$N:$N,0)),"")</f>
        <v/>
      </c>
      <c r="D68" s="18" t="str">
        <f aca="false">IFERROR(INDEX(MutualFunds!$G:$G,MATCH($B$2&amp;"#"&amp;10,MutualFunds!$N:$N,0)),"")</f>
        <v/>
      </c>
      <c r="E68" s="13" t="str">
        <f aca="false">IFERROR(INDEX(MutualFunds!$I:$I,MATCH($B$2&amp;"#"&amp;10,MutualFunds!$N:$N,0)),"")</f>
        <v/>
      </c>
      <c r="F68" s="13" t="str">
        <f aca="false">IFERROR(INDEX(MutualFunds!$J:$J,MATCH($B$2&amp;"#"&amp;10,MutualFunds!$N:$N,0)),"")</f>
        <v/>
      </c>
      <c r="G68" s="19" t="str">
        <f aca="false">IFERROR(INDEX(MutualFunds!$L:$L,MATCH($B$2&amp;"#"&amp;10,MutualFunds!$N:$N,0)),"")</f>
        <v/>
      </c>
    </row>
    <row r="69" customFormat="false" ht="15" hidden="false" customHeight="true" outlineLevel="0" collapsed="false">
      <c r="A69" s="15" t="str">
        <f aca="false">IFERROR(INDEX(MutualFunds!$B:$B,MATCH($B$2&amp;"#"&amp;11,MutualFunds!$N:$N,0)),"")</f>
        <v/>
      </c>
      <c r="B69" s="15" t="str">
        <f aca="false">IFERROR(INDEX(MutualFunds!$C:$C,MATCH($B$2&amp;"#"&amp;11,MutualFunds!$N:$N,0)),"")</f>
        <v/>
      </c>
      <c r="C69" s="18" t="str">
        <f aca="false">IFERROR(INDEX(MutualFunds!$E:$E,MATCH($B$2&amp;"#"&amp;11,MutualFunds!$N:$N,0)),"")</f>
        <v/>
      </c>
      <c r="D69" s="18" t="str">
        <f aca="false">IFERROR(INDEX(MutualFunds!$G:$G,MATCH($B$2&amp;"#"&amp;11,MutualFunds!$N:$N,0)),"")</f>
        <v/>
      </c>
      <c r="E69" s="13" t="str">
        <f aca="false">IFERROR(INDEX(MutualFunds!$I:$I,MATCH($B$2&amp;"#"&amp;11,MutualFunds!$N:$N,0)),"")</f>
        <v/>
      </c>
      <c r="F69" s="13" t="str">
        <f aca="false">IFERROR(INDEX(MutualFunds!$J:$J,MATCH($B$2&amp;"#"&amp;11,MutualFunds!$N:$N,0)),"")</f>
        <v/>
      </c>
      <c r="G69" s="19" t="str">
        <f aca="false">IFERROR(INDEX(MutualFunds!$L:$L,MATCH($B$2&amp;"#"&amp;11,MutualFunds!$N:$N,0)),"")</f>
        <v/>
      </c>
    </row>
    <row r="70" customFormat="false" ht="15" hidden="false" customHeight="true" outlineLevel="0" collapsed="false">
      <c r="A70" s="15" t="str">
        <f aca="false">IFERROR(INDEX(MutualFunds!$B:$B,MATCH($B$2&amp;"#"&amp;12,MutualFunds!$N:$N,0)),"")</f>
        <v/>
      </c>
      <c r="B70" s="15" t="str">
        <f aca="false">IFERROR(INDEX(MutualFunds!$C:$C,MATCH($B$2&amp;"#"&amp;12,MutualFunds!$N:$N,0)),"")</f>
        <v/>
      </c>
      <c r="C70" s="18" t="str">
        <f aca="false">IFERROR(INDEX(MutualFunds!$E:$E,MATCH($B$2&amp;"#"&amp;12,MutualFunds!$N:$N,0)),"")</f>
        <v/>
      </c>
      <c r="D70" s="18" t="str">
        <f aca="false">IFERROR(INDEX(MutualFunds!$G:$G,MATCH($B$2&amp;"#"&amp;12,MutualFunds!$N:$N,0)),"")</f>
        <v/>
      </c>
      <c r="E70" s="13" t="str">
        <f aca="false">IFERROR(INDEX(MutualFunds!$I:$I,MATCH($B$2&amp;"#"&amp;12,MutualFunds!$N:$N,0)),"")</f>
        <v/>
      </c>
      <c r="F70" s="13" t="str">
        <f aca="false">IFERROR(INDEX(MutualFunds!$J:$J,MATCH($B$2&amp;"#"&amp;12,MutualFunds!$N:$N,0)),"")</f>
        <v/>
      </c>
      <c r="G70" s="19" t="str">
        <f aca="false">IFERROR(INDEX(MutualFunds!$L:$L,MATCH($B$2&amp;"#"&amp;12,MutualFunds!$N:$N,0)),"")</f>
        <v/>
      </c>
    </row>
    <row r="71" customFormat="false" ht="15" hidden="false" customHeight="true" outlineLevel="0" collapsed="false">
      <c r="A71" s="15" t="str">
        <f aca="false">IFERROR(INDEX(MutualFunds!$B:$B,MATCH($B$2&amp;"#"&amp;13,MutualFunds!$N:$N,0)),"")</f>
        <v/>
      </c>
      <c r="B71" s="15" t="str">
        <f aca="false">IFERROR(INDEX(MutualFunds!$C:$C,MATCH($B$2&amp;"#"&amp;13,MutualFunds!$N:$N,0)),"")</f>
        <v/>
      </c>
      <c r="C71" s="18" t="str">
        <f aca="false">IFERROR(INDEX(MutualFunds!$E:$E,MATCH($B$2&amp;"#"&amp;13,MutualFunds!$N:$N,0)),"")</f>
        <v/>
      </c>
      <c r="D71" s="18" t="str">
        <f aca="false">IFERROR(INDEX(MutualFunds!$G:$G,MATCH($B$2&amp;"#"&amp;13,MutualFunds!$N:$N,0)),"")</f>
        <v/>
      </c>
      <c r="E71" s="13" t="str">
        <f aca="false">IFERROR(INDEX(MutualFunds!$I:$I,MATCH($B$2&amp;"#"&amp;13,MutualFunds!$N:$N,0)),"")</f>
        <v/>
      </c>
      <c r="F71" s="13" t="str">
        <f aca="false">IFERROR(INDEX(MutualFunds!$J:$J,MATCH($B$2&amp;"#"&amp;13,MutualFunds!$N:$N,0)),"")</f>
        <v/>
      </c>
      <c r="G71" s="19" t="str">
        <f aca="false">IFERROR(INDEX(MutualFunds!$L:$L,MATCH($B$2&amp;"#"&amp;13,MutualFunds!$N:$N,0)),"")</f>
        <v/>
      </c>
    </row>
    <row r="72" customFormat="false" ht="15" hidden="false" customHeight="true" outlineLevel="0" collapsed="false">
      <c r="A72" s="15" t="str">
        <f aca="false">IFERROR(INDEX(MutualFunds!$B:$B,MATCH($B$2&amp;"#"&amp;14,MutualFunds!$N:$N,0)),"")</f>
        <v/>
      </c>
      <c r="B72" s="15" t="str">
        <f aca="false">IFERROR(INDEX(MutualFunds!$C:$C,MATCH($B$2&amp;"#"&amp;14,MutualFunds!$N:$N,0)),"")</f>
        <v/>
      </c>
      <c r="C72" s="18" t="str">
        <f aca="false">IFERROR(INDEX(MutualFunds!$E:$E,MATCH($B$2&amp;"#"&amp;14,MutualFunds!$N:$N,0)),"")</f>
        <v/>
      </c>
      <c r="D72" s="18" t="str">
        <f aca="false">IFERROR(INDEX(MutualFunds!$G:$G,MATCH($B$2&amp;"#"&amp;14,MutualFunds!$N:$N,0)),"")</f>
        <v/>
      </c>
      <c r="E72" s="13" t="str">
        <f aca="false">IFERROR(INDEX(MutualFunds!$I:$I,MATCH($B$2&amp;"#"&amp;14,MutualFunds!$N:$N,0)),"")</f>
        <v/>
      </c>
      <c r="F72" s="13" t="str">
        <f aca="false">IFERROR(INDEX(MutualFunds!$J:$J,MATCH($B$2&amp;"#"&amp;14,MutualFunds!$N:$N,0)),"")</f>
        <v/>
      </c>
      <c r="G72" s="19" t="str">
        <f aca="false">IFERROR(INDEX(MutualFunds!$L:$L,MATCH($B$2&amp;"#"&amp;14,MutualFunds!$N:$N,0)),"")</f>
        <v/>
      </c>
    </row>
    <row r="73" customFormat="false" ht="15" hidden="false" customHeight="true" outlineLevel="0" collapsed="false">
      <c r="A73" s="15" t="str">
        <f aca="false">IFERROR(INDEX(MutualFunds!$B:$B,MATCH($B$2&amp;"#"&amp;15,MutualFunds!$N:$N,0)),"")</f>
        <v/>
      </c>
      <c r="B73" s="15" t="str">
        <f aca="false">IFERROR(INDEX(MutualFunds!$C:$C,MATCH($B$2&amp;"#"&amp;15,MutualFunds!$N:$N,0)),"")</f>
        <v/>
      </c>
      <c r="C73" s="18" t="str">
        <f aca="false">IFERROR(INDEX(MutualFunds!$E:$E,MATCH($B$2&amp;"#"&amp;15,MutualFunds!$N:$N,0)),"")</f>
        <v/>
      </c>
      <c r="D73" s="18" t="str">
        <f aca="false">IFERROR(INDEX(MutualFunds!$G:$G,MATCH($B$2&amp;"#"&amp;15,MutualFunds!$N:$N,0)),"")</f>
        <v/>
      </c>
      <c r="E73" s="13" t="str">
        <f aca="false">IFERROR(INDEX(MutualFunds!$I:$I,MATCH($B$2&amp;"#"&amp;15,MutualFunds!$N:$N,0)),"")</f>
        <v/>
      </c>
      <c r="F73" s="13" t="str">
        <f aca="false">IFERROR(INDEX(MutualFunds!$J:$J,MATCH($B$2&amp;"#"&amp;15,MutualFunds!$N:$N,0)),"")</f>
        <v/>
      </c>
      <c r="G73" s="19" t="str">
        <f aca="false">IFERROR(INDEX(MutualFunds!$L:$L,MATCH($B$2&amp;"#"&amp;15,MutualFunds!$N:$N,0)),"")</f>
        <v/>
      </c>
    </row>
    <row r="74" customFormat="false" ht="15" hidden="false" customHeight="true" outlineLevel="0" collapsed="false">
      <c r="A74" s="15" t="str">
        <f aca="false">IFERROR(INDEX(MutualFunds!$B:$B,MATCH($B$2&amp;"#"&amp;16,MutualFunds!$N:$N,0)),"")</f>
        <v/>
      </c>
      <c r="B74" s="15" t="str">
        <f aca="false">IFERROR(INDEX(MutualFunds!$C:$C,MATCH($B$2&amp;"#"&amp;16,MutualFunds!$N:$N,0)),"")</f>
        <v/>
      </c>
      <c r="C74" s="18" t="str">
        <f aca="false">IFERROR(INDEX(MutualFunds!$E:$E,MATCH($B$2&amp;"#"&amp;16,MutualFunds!$N:$N,0)),"")</f>
        <v/>
      </c>
      <c r="D74" s="18" t="str">
        <f aca="false">IFERROR(INDEX(MutualFunds!$G:$G,MATCH($B$2&amp;"#"&amp;16,MutualFunds!$N:$N,0)),"")</f>
        <v/>
      </c>
      <c r="E74" s="13" t="str">
        <f aca="false">IFERROR(INDEX(MutualFunds!$I:$I,MATCH($B$2&amp;"#"&amp;16,MutualFunds!$N:$N,0)),"")</f>
        <v/>
      </c>
      <c r="F74" s="13" t="str">
        <f aca="false">IFERROR(INDEX(MutualFunds!$J:$J,MATCH($B$2&amp;"#"&amp;16,MutualFunds!$N:$N,0)),"")</f>
        <v/>
      </c>
      <c r="G74" s="19" t="str">
        <f aca="false">IFERROR(INDEX(MutualFunds!$L:$L,MATCH($B$2&amp;"#"&amp;16,MutualFunds!$N:$N,0)),"")</f>
        <v/>
      </c>
    </row>
    <row r="75" customFormat="false" ht="15" hidden="false" customHeight="true" outlineLevel="0" collapsed="false">
      <c r="A75" s="15" t="str">
        <f aca="false">IFERROR(INDEX(MutualFunds!$B:$B,MATCH($B$2&amp;"#"&amp;17,MutualFunds!$N:$N,0)),"")</f>
        <v/>
      </c>
      <c r="B75" s="15" t="str">
        <f aca="false">IFERROR(INDEX(MutualFunds!$C:$C,MATCH($B$2&amp;"#"&amp;17,MutualFunds!$N:$N,0)),"")</f>
        <v/>
      </c>
      <c r="C75" s="18" t="str">
        <f aca="false">IFERROR(INDEX(MutualFunds!$E:$E,MATCH($B$2&amp;"#"&amp;17,MutualFunds!$N:$N,0)),"")</f>
        <v/>
      </c>
      <c r="D75" s="18" t="str">
        <f aca="false">IFERROR(INDEX(MutualFunds!$G:$G,MATCH($B$2&amp;"#"&amp;17,MutualFunds!$N:$N,0)),"")</f>
        <v/>
      </c>
      <c r="E75" s="13" t="str">
        <f aca="false">IFERROR(INDEX(MutualFunds!$I:$I,MATCH($B$2&amp;"#"&amp;17,MutualFunds!$N:$N,0)),"")</f>
        <v/>
      </c>
      <c r="F75" s="13" t="str">
        <f aca="false">IFERROR(INDEX(MutualFunds!$J:$J,MATCH($B$2&amp;"#"&amp;17,MutualFunds!$N:$N,0)),"")</f>
        <v/>
      </c>
      <c r="G75" s="19" t="str">
        <f aca="false">IFERROR(INDEX(MutualFunds!$L:$L,MATCH($B$2&amp;"#"&amp;17,MutualFunds!$N:$N,0)),"")</f>
        <v/>
      </c>
    </row>
    <row r="76" customFormat="false" ht="15" hidden="false" customHeight="true" outlineLevel="0" collapsed="false">
      <c r="A76" s="15" t="str">
        <f aca="false">IFERROR(INDEX(MutualFunds!$B:$B,MATCH($B$2&amp;"#"&amp;18,MutualFunds!$N:$N,0)),"")</f>
        <v/>
      </c>
      <c r="B76" s="15" t="str">
        <f aca="false">IFERROR(INDEX(MutualFunds!$C:$C,MATCH($B$2&amp;"#"&amp;18,MutualFunds!$N:$N,0)),"")</f>
        <v/>
      </c>
      <c r="C76" s="18" t="str">
        <f aca="false">IFERROR(INDEX(MutualFunds!$E:$E,MATCH($B$2&amp;"#"&amp;18,MutualFunds!$N:$N,0)),"")</f>
        <v/>
      </c>
      <c r="D76" s="18" t="str">
        <f aca="false">IFERROR(INDEX(MutualFunds!$G:$G,MATCH($B$2&amp;"#"&amp;18,MutualFunds!$N:$N,0)),"")</f>
        <v/>
      </c>
      <c r="E76" s="13" t="str">
        <f aca="false">IFERROR(INDEX(MutualFunds!$I:$I,MATCH($B$2&amp;"#"&amp;18,MutualFunds!$N:$N,0)),"")</f>
        <v/>
      </c>
      <c r="F76" s="13" t="str">
        <f aca="false">IFERROR(INDEX(MutualFunds!$J:$J,MATCH($B$2&amp;"#"&amp;18,MutualFunds!$N:$N,0)),"")</f>
        <v/>
      </c>
      <c r="G76" s="19" t="str">
        <f aca="false">IFERROR(INDEX(MutualFunds!$L:$L,MATCH($B$2&amp;"#"&amp;18,MutualFunds!$N:$N,0)),"")</f>
        <v/>
      </c>
    </row>
    <row r="77" customFormat="false" ht="15" hidden="false" customHeight="true" outlineLevel="0" collapsed="false">
      <c r="A77" s="15" t="str">
        <f aca="false">IFERROR(INDEX(MutualFunds!$B:$B,MATCH($B$2&amp;"#"&amp;19,MutualFunds!$N:$N,0)),"")</f>
        <v/>
      </c>
      <c r="B77" s="15" t="str">
        <f aca="false">IFERROR(INDEX(MutualFunds!$C:$C,MATCH($B$2&amp;"#"&amp;19,MutualFunds!$N:$N,0)),"")</f>
        <v/>
      </c>
      <c r="C77" s="18" t="str">
        <f aca="false">IFERROR(INDEX(MutualFunds!$E:$E,MATCH($B$2&amp;"#"&amp;19,MutualFunds!$N:$N,0)),"")</f>
        <v/>
      </c>
      <c r="D77" s="18" t="str">
        <f aca="false">IFERROR(INDEX(MutualFunds!$G:$G,MATCH($B$2&amp;"#"&amp;19,MutualFunds!$N:$N,0)),"")</f>
        <v/>
      </c>
      <c r="E77" s="13" t="str">
        <f aca="false">IFERROR(INDEX(MutualFunds!$I:$I,MATCH($B$2&amp;"#"&amp;19,MutualFunds!$N:$N,0)),"")</f>
        <v/>
      </c>
      <c r="F77" s="13" t="str">
        <f aca="false">IFERROR(INDEX(MutualFunds!$J:$J,MATCH($B$2&amp;"#"&amp;19,MutualFunds!$N:$N,0)),"")</f>
        <v/>
      </c>
      <c r="G77" s="19" t="str">
        <f aca="false">IFERROR(INDEX(MutualFunds!$L:$L,MATCH($B$2&amp;"#"&amp;19,MutualFunds!$N:$N,0)),"")</f>
        <v/>
      </c>
    </row>
    <row r="78" customFormat="false" ht="15" hidden="false" customHeight="true" outlineLevel="0" collapsed="false">
      <c r="A78" s="15" t="str">
        <f aca="false">IFERROR(INDEX(MutualFunds!$B:$B,MATCH($B$2&amp;"#"&amp;20,MutualFunds!$N:$N,0)),"")</f>
        <v/>
      </c>
      <c r="B78" s="15" t="str">
        <f aca="false">IFERROR(INDEX(MutualFunds!$C:$C,MATCH($B$2&amp;"#"&amp;20,MutualFunds!$N:$N,0)),"")</f>
        <v/>
      </c>
      <c r="C78" s="18" t="str">
        <f aca="false">IFERROR(INDEX(MutualFunds!$E:$E,MATCH($B$2&amp;"#"&amp;20,MutualFunds!$N:$N,0)),"")</f>
        <v/>
      </c>
      <c r="D78" s="18" t="str">
        <f aca="false">IFERROR(INDEX(MutualFunds!$G:$G,MATCH($B$2&amp;"#"&amp;20,MutualFunds!$N:$N,0)),"")</f>
        <v/>
      </c>
      <c r="E78" s="13" t="str">
        <f aca="false">IFERROR(INDEX(MutualFunds!$I:$I,MATCH($B$2&amp;"#"&amp;20,MutualFunds!$N:$N,0)),"")</f>
        <v/>
      </c>
      <c r="F78" s="13" t="str">
        <f aca="false">IFERROR(INDEX(MutualFunds!$J:$J,MATCH($B$2&amp;"#"&amp;20,MutualFunds!$N:$N,0)),"")</f>
        <v/>
      </c>
      <c r="G78" s="19" t="str">
        <f aca="false">IFERROR(INDEX(MutualFunds!$L:$L,MATCH($B$2&amp;"#"&amp;20,MutualFunds!$N:$N,0)),"")</f>
        <v/>
      </c>
    </row>
    <row r="80" customFormat="false" ht="15" hidden="false" customHeight="true" outlineLevel="0" collapsed="false">
      <c r="A80" s="3" t="s">
        <v>34</v>
      </c>
    </row>
    <row r="81" customFormat="false" ht="15" hidden="false" customHeight="true" outlineLevel="0" collapsed="false">
      <c r="A81" s="17" t="s">
        <v>35</v>
      </c>
      <c r="B81" s="17" t="s">
        <v>36</v>
      </c>
      <c r="C81" s="17" t="s">
        <v>37</v>
      </c>
      <c r="D81" s="17" t="s">
        <v>38</v>
      </c>
      <c r="E81" s="17" t="s">
        <v>39</v>
      </c>
    </row>
    <row r="82" customFormat="false" ht="15" hidden="false" customHeight="true" outlineLevel="0" collapsed="false">
      <c r="A82" s="15" t="str">
        <f aca="false">IFERROR(INDEX(FixedDeposits!$B:$B,MATCH($B$2&amp;"#"&amp;1,FixedDeposits!$L:$L,0)),"")</f>
        <v/>
      </c>
      <c r="B82" s="13" t="str">
        <f aca="false">IFERROR(INDEX(FixedDeposits!$D:$D,MATCH($B$2&amp;"#"&amp;1,FixedDeposits!$L:$L,0)),"")</f>
        <v/>
      </c>
      <c r="C82" s="20" t="str">
        <f aca="false">IFERROR(INDEX(FixedDeposits!$E:$E,MATCH($B$2&amp;"#"&amp;1,FixedDeposits!$L:$L,0)),"")</f>
        <v/>
      </c>
      <c r="D82" s="21" t="str">
        <f aca="false">IFERROR(INDEX(FixedDeposits!$G:$G,MATCH($B$2&amp;"#"&amp;1,FixedDeposits!$L:$L,0)),"")</f>
        <v/>
      </c>
      <c r="E82" s="13" t="str">
        <f aca="false">IFERROR(INDEX(FixedDeposits!$I:$I,MATCH($B$2&amp;"#"&amp;1,FixedDeposits!$L:$L,0)),"")</f>
        <v/>
      </c>
    </row>
    <row r="83" customFormat="false" ht="15" hidden="false" customHeight="true" outlineLevel="0" collapsed="false">
      <c r="A83" s="15" t="str">
        <f aca="false">IFERROR(INDEX(FixedDeposits!$B:$B,MATCH($B$2&amp;"#"&amp;2,FixedDeposits!$L:$L,0)),"")</f>
        <v/>
      </c>
      <c r="B83" s="13" t="str">
        <f aca="false">IFERROR(INDEX(FixedDeposits!$D:$D,MATCH($B$2&amp;"#"&amp;2,FixedDeposits!$L:$L,0)),"")</f>
        <v/>
      </c>
      <c r="C83" s="20" t="str">
        <f aca="false">IFERROR(INDEX(FixedDeposits!$E:$E,MATCH($B$2&amp;"#"&amp;2,FixedDeposits!$L:$L,0)),"")</f>
        <v/>
      </c>
      <c r="D83" s="21" t="str">
        <f aca="false">IFERROR(INDEX(FixedDeposits!$G:$G,MATCH($B$2&amp;"#"&amp;2,FixedDeposits!$L:$L,0)),"")</f>
        <v/>
      </c>
      <c r="E83" s="13" t="str">
        <f aca="false">IFERROR(INDEX(FixedDeposits!$I:$I,MATCH($B$2&amp;"#"&amp;2,FixedDeposits!$L:$L,0)),"")</f>
        <v/>
      </c>
    </row>
    <row r="84" customFormat="false" ht="15" hidden="false" customHeight="true" outlineLevel="0" collapsed="false">
      <c r="A84" s="15" t="str">
        <f aca="false">IFERROR(INDEX(FixedDeposits!$B:$B,MATCH($B$2&amp;"#"&amp;3,FixedDeposits!$L:$L,0)),"")</f>
        <v/>
      </c>
      <c r="B84" s="13" t="str">
        <f aca="false">IFERROR(INDEX(FixedDeposits!$D:$D,MATCH($B$2&amp;"#"&amp;3,FixedDeposits!$L:$L,0)),"")</f>
        <v/>
      </c>
      <c r="C84" s="20" t="str">
        <f aca="false">IFERROR(INDEX(FixedDeposits!$E:$E,MATCH($B$2&amp;"#"&amp;3,FixedDeposits!$L:$L,0)),"")</f>
        <v/>
      </c>
      <c r="D84" s="21" t="str">
        <f aca="false">IFERROR(INDEX(FixedDeposits!$G:$G,MATCH($B$2&amp;"#"&amp;3,FixedDeposits!$L:$L,0)),"")</f>
        <v/>
      </c>
      <c r="E84" s="13" t="str">
        <f aca="false">IFERROR(INDEX(FixedDeposits!$I:$I,MATCH($B$2&amp;"#"&amp;3,FixedDeposits!$L:$L,0)),"")</f>
        <v/>
      </c>
    </row>
    <row r="85" customFormat="false" ht="15" hidden="false" customHeight="true" outlineLevel="0" collapsed="false">
      <c r="A85" s="15" t="str">
        <f aca="false">IFERROR(INDEX(FixedDeposits!$B:$B,MATCH($B$2&amp;"#"&amp;4,FixedDeposits!$L:$L,0)),"")</f>
        <v/>
      </c>
      <c r="B85" s="13" t="str">
        <f aca="false">IFERROR(INDEX(FixedDeposits!$D:$D,MATCH($B$2&amp;"#"&amp;4,FixedDeposits!$L:$L,0)),"")</f>
        <v/>
      </c>
      <c r="C85" s="20" t="str">
        <f aca="false">IFERROR(INDEX(FixedDeposits!$E:$E,MATCH($B$2&amp;"#"&amp;4,FixedDeposits!$L:$L,0)),"")</f>
        <v/>
      </c>
      <c r="D85" s="21" t="str">
        <f aca="false">IFERROR(INDEX(FixedDeposits!$G:$G,MATCH($B$2&amp;"#"&amp;4,FixedDeposits!$L:$L,0)),"")</f>
        <v/>
      </c>
      <c r="E85" s="13" t="str">
        <f aca="false">IFERROR(INDEX(FixedDeposits!$I:$I,MATCH($B$2&amp;"#"&amp;4,FixedDeposits!$L:$L,0)),"")</f>
        <v/>
      </c>
    </row>
    <row r="86" customFormat="false" ht="15" hidden="false" customHeight="true" outlineLevel="0" collapsed="false">
      <c r="A86" s="15" t="str">
        <f aca="false">IFERROR(INDEX(FixedDeposits!$B:$B,MATCH($B$2&amp;"#"&amp;5,FixedDeposits!$L:$L,0)),"")</f>
        <v/>
      </c>
      <c r="B86" s="13" t="str">
        <f aca="false">IFERROR(INDEX(FixedDeposits!$D:$D,MATCH($B$2&amp;"#"&amp;5,FixedDeposits!$L:$L,0)),"")</f>
        <v/>
      </c>
      <c r="C86" s="20" t="str">
        <f aca="false">IFERROR(INDEX(FixedDeposits!$E:$E,MATCH($B$2&amp;"#"&amp;5,FixedDeposits!$L:$L,0)),"")</f>
        <v/>
      </c>
      <c r="D86" s="21" t="str">
        <f aca="false">IFERROR(INDEX(FixedDeposits!$G:$G,MATCH($B$2&amp;"#"&amp;5,FixedDeposits!$L:$L,0)),"")</f>
        <v/>
      </c>
      <c r="E86" s="13" t="str">
        <f aca="false">IFERROR(INDEX(FixedDeposits!$I:$I,MATCH($B$2&amp;"#"&amp;5,FixedDeposits!$L:$L,0)),"")</f>
        <v/>
      </c>
    </row>
    <row r="87" customFormat="false" ht="15" hidden="false" customHeight="true" outlineLevel="0" collapsed="false">
      <c r="A87" s="15" t="str">
        <f aca="false">IFERROR(INDEX(FixedDeposits!$B:$B,MATCH($B$2&amp;"#"&amp;6,FixedDeposits!$L:$L,0)),"")</f>
        <v/>
      </c>
      <c r="B87" s="13" t="str">
        <f aca="false">IFERROR(INDEX(FixedDeposits!$D:$D,MATCH($B$2&amp;"#"&amp;6,FixedDeposits!$L:$L,0)),"")</f>
        <v/>
      </c>
      <c r="C87" s="20" t="str">
        <f aca="false">IFERROR(INDEX(FixedDeposits!$E:$E,MATCH($B$2&amp;"#"&amp;6,FixedDeposits!$L:$L,0)),"")</f>
        <v/>
      </c>
      <c r="D87" s="21" t="str">
        <f aca="false">IFERROR(INDEX(FixedDeposits!$G:$G,MATCH($B$2&amp;"#"&amp;6,FixedDeposits!$L:$L,0)),"")</f>
        <v/>
      </c>
      <c r="E87" s="13" t="str">
        <f aca="false">IFERROR(INDEX(FixedDeposits!$I:$I,MATCH($B$2&amp;"#"&amp;6,FixedDeposits!$L:$L,0)),"")</f>
        <v/>
      </c>
    </row>
    <row r="88" customFormat="false" ht="15" hidden="false" customHeight="true" outlineLevel="0" collapsed="false">
      <c r="A88" s="15" t="str">
        <f aca="false">IFERROR(INDEX(FixedDeposits!$B:$B,MATCH($B$2&amp;"#"&amp;7,FixedDeposits!$L:$L,0)),"")</f>
        <v/>
      </c>
      <c r="B88" s="13" t="str">
        <f aca="false">IFERROR(INDEX(FixedDeposits!$D:$D,MATCH($B$2&amp;"#"&amp;7,FixedDeposits!$L:$L,0)),"")</f>
        <v/>
      </c>
      <c r="C88" s="20" t="str">
        <f aca="false">IFERROR(INDEX(FixedDeposits!$E:$E,MATCH($B$2&amp;"#"&amp;7,FixedDeposits!$L:$L,0)),"")</f>
        <v/>
      </c>
      <c r="D88" s="21" t="str">
        <f aca="false">IFERROR(INDEX(FixedDeposits!$G:$G,MATCH($B$2&amp;"#"&amp;7,FixedDeposits!$L:$L,0)),"")</f>
        <v/>
      </c>
      <c r="E88" s="13" t="str">
        <f aca="false">IFERROR(INDEX(FixedDeposits!$I:$I,MATCH($B$2&amp;"#"&amp;7,FixedDeposits!$L:$L,0)),"")</f>
        <v/>
      </c>
    </row>
    <row r="89" customFormat="false" ht="15" hidden="false" customHeight="true" outlineLevel="0" collapsed="false">
      <c r="A89" s="15" t="str">
        <f aca="false">IFERROR(INDEX(FixedDeposits!$B:$B,MATCH($B$2&amp;"#"&amp;8,FixedDeposits!$L:$L,0)),"")</f>
        <v/>
      </c>
      <c r="B89" s="13" t="str">
        <f aca="false">IFERROR(INDEX(FixedDeposits!$D:$D,MATCH($B$2&amp;"#"&amp;8,FixedDeposits!$L:$L,0)),"")</f>
        <v/>
      </c>
      <c r="C89" s="20" t="str">
        <f aca="false">IFERROR(INDEX(FixedDeposits!$E:$E,MATCH($B$2&amp;"#"&amp;8,FixedDeposits!$L:$L,0)),"")</f>
        <v/>
      </c>
      <c r="D89" s="21" t="str">
        <f aca="false">IFERROR(INDEX(FixedDeposits!$G:$G,MATCH($B$2&amp;"#"&amp;8,FixedDeposits!$L:$L,0)),"")</f>
        <v/>
      </c>
      <c r="E89" s="13" t="str">
        <f aca="false">IFERROR(INDEX(FixedDeposits!$I:$I,MATCH($B$2&amp;"#"&amp;8,FixedDeposits!$L:$L,0)),"")</f>
        <v/>
      </c>
    </row>
    <row r="90" customFormat="false" ht="15" hidden="false" customHeight="true" outlineLevel="0" collapsed="false">
      <c r="A90" s="15" t="str">
        <f aca="false">IFERROR(INDEX(FixedDeposits!$B:$B,MATCH($B$2&amp;"#"&amp;9,FixedDeposits!$L:$L,0)),"")</f>
        <v/>
      </c>
      <c r="B90" s="13" t="str">
        <f aca="false">IFERROR(INDEX(FixedDeposits!$D:$D,MATCH($B$2&amp;"#"&amp;9,FixedDeposits!$L:$L,0)),"")</f>
        <v/>
      </c>
      <c r="C90" s="20" t="str">
        <f aca="false">IFERROR(INDEX(FixedDeposits!$E:$E,MATCH($B$2&amp;"#"&amp;9,FixedDeposits!$L:$L,0)),"")</f>
        <v/>
      </c>
      <c r="D90" s="21" t="str">
        <f aca="false">IFERROR(INDEX(FixedDeposits!$G:$G,MATCH($B$2&amp;"#"&amp;9,FixedDeposits!$L:$L,0)),"")</f>
        <v/>
      </c>
      <c r="E90" s="13" t="str">
        <f aca="false">IFERROR(INDEX(FixedDeposits!$I:$I,MATCH($B$2&amp;"#"&amp;9,FixedDeposits!$L:$L,0)),"")</f>
        <v/>
      </c>
    </row>
    <row r="91" customFormat="false" ht="15" hidden="false" customHeight="true" outlineLevel="0" collapsed="false">
      <c r="A91" s="15" t="str">
        <f aca="false">IFERROR(INDEX(FixedDeposits!$B:$B,MATCH($B$2&amp;"#"&amp;10,FixedDeposits!$L:$L,0)),"")</f>
        <v/>
      </c>
      <c r="B91" s="13" t="str">
        <f aca="false">IFERROR(INDEX(FixedDeposits!$D:$D,MATCH($B$2&amp;"#"&amp;10,FixedDeposits!$L:$L,0)),"")</f>
        <v/>
      </c>
      <c r="C91" s="20" t="str">
        <f aca="false">IFERROR(INDEX(FixedDeposits!$E:$E,MATCH($B$2&amp;"#"&amp;10,FixedDeposits!$L:$L,0)),"")</f>
        <v/>
      </c>
      <c r="D91" s="21" t="str">
        <f aca="false">IFERROR(INDEX(FixedDeposits!$G:$G,MATCH($B$2&amp;"#"&amp;10,FixedDeposits!$L:$L,0)),"")</f>
        <v/>
      </c>
      <c r="E91" s="13" t="str">
        <f aca="false">IFERROR(INDEX(FixedDeposits!$I:$I,MATCH($B$2&amp;"#"&amp;10,FixedDeposits!$L:$L,0)),"")</f>
        <v/>
      </c>
    </row>
    <row r="92" customFormat="false" ht="15" hidden="false" customHeight="true" outlineLevel="0" collapsed="false">
      <c r="A92" s="15" t="str">
        <f aca="false">IFERROR(INDEX(FixedDeposits!$B:$B,MATCH($B$2&amp;"#"&amp;11,FixedDeposits!$L:$L,0)),"")</f>
        <v/>
      </c>
      <c r="B92" s="13" t="str">
        <f aca="false">IFERROR(INDEX(FixedDeposits!$D:$D,MATCH($B$2&amp;"#"&amp;11,FixedDeposits!$L:$L,0)),"")</f>
        <v/>
      </c>
      <c r="C92" s="20" t="str">
        <f aca="false">IFERROR(INDEX(FixedDeposits!$E:$E,MATCH($B$2&amp;"#"&amp;11,FixedDeposits!$L:$L,0)),"")</f>
        <v/>
      </c>
      <c r="D92" s="21" t="str">
        <f aca="false">IFERROR(INDEX(FixedDeposits!$G:$G,MATCH($B$2&amp;"#"&amp;11,FixedDeposits!$L:$L,0)),"")</f>
        <v/>
      </c>
      <c r="E92" s="13" t="str">
        <f aca="false">IFERROR(INDEX(FixedDeposits!$I:$I,MATCH($B$2&amp;"#"&amp;11,FixedDeposits!$L:$L,0)),"")</f>
        <v/>
      </c>
    </row>
    <row r="93" customFormat="false" ht="15" hidden="false" customHeight="true" outlineLevel="0" collapsed="false">
      <c r="A93" s="15" t="str">
        <f aca="false">IFERROR(INDEX(FixedDeposits!$B:$B,MATCH($B$2&amp;"#"&amp;12,FixedDeposits!$L:$L,0)),"")</f>
        <v/>
      </c>
      <c r="B93" s="13" t="str">
        <f aca="false">IFERROR(INDEX(FixedDeposits!$D:$D,MATCH($B$2&amp;"#"&amp;12,FixedDeposits!$L:$L,0)),"")</f>
        <v/>
      </c>
      <c r="C93" s="20" t="str">
        <f aca="false">IFERROR(INDEX(FixedDeposits!$E:$E,MATCH($B$2&amp;"#"&amp;12,FixedDeposits!$L:$L,0)),"")</f>
        <v/>
      </c>
      <c r="D93" s="21" t="str">
        <f aca="false">IFERROR(INDEX(FixedDeposits!$G:$G,MATCH($B$2&amp;"#"&amp;12,FixedDeposits!$L:$L,0)),"")</f>
        <v/>
      </c>
      <c r="E93" s="13" t="str">
        <f aca="false">IFERROR(INDEX(FixedDeposits!$I:$I,MATCH($B$2&amp;"#"&amp;12,FixedDeposits!$L:$L,0)),"")</f>
        <v/>
      </c>
    </row>
    <row r="94" customFormat="false" ht="15" hidden="false" customHeight="true" outlineLevel="0" collapsed="false">
      <c r="A94" s="15" t="str">
        <f aca="false">IFERROR(INDEX(FixedDeposits!$B:$B,MATCH($B$2&amp;"#"&amp;13,FixedDeposits!$L:$L,0)),"")</f>
        <v/>
      </c>
      <c r="B94" s="13" t="str">
        <f aca="false">IFERROR(INDEX(FixedDeposits!$D:$D,MATCH($B$2&amp;"#"&amp;13,FixedDeposits!$L:$L,0)),"")</f>
        <v/>
      </c>
      <c r="C94" s="20" t="str">
        <f aca="false">IFERROR(INDEX(FixedDeposits!$E:$E,MATCH($B$2&amp;"#"&amp;13,FixedDeposits!$L:$L,0)),"")</f>
        <v/>
      </c>
      <c r="D94" s="21" t="str">
        <f aca="false">IFERROR(INDEX(FixedDeposits!$G:$G,MATCH($B$2&amp;"#"&amp;13,FixedDeposits!$L:$L,0)),"")</f>
        <v/>
      </c>
      <c r="E94" s="13" t="str">
        <f aca="false">IFERROR(INDEX(FixedDeposits!$I:$I,MATCH($B$2&amp;"#"&amp;13,FixedDeposits!$L:$L,0)),"")</f>
        <v/>
      </c>
    </row>
    <row r="95" customFormat="false" ht="15" hidden="false" customHeight="true" outlineLevel="0" collapsed="false">
      <c r="A95" s="15" t="str">
        <f aca="false">IFERROR(INDEX(FixedDeposits!$B:$B,MATCH($B$2&amp;"#"&amp;14,FixedDeposits!$L:$L,0)),"")</f>
        <v/>
      </c>
      <c r="B95" s="13" t="str">
        <f aca="false">IFERROR(INDEX(FixedDeposits!$D:$D,MATCH($B$2&amp;"#"&amp;14,FixedDeposits!$L:$L,0)),"")</f>
        <v/>
      </c>
      <c r="C95" s="20" t="str">
        <f aca="false">IFERROR(INDEX(FixedDeposits!$E:$E,MATCH($B$2&amp;"#"&amp;14,FixedDeposits!$L:$L,0)),"")</f>
        <v/>
      </c>
      <c r="D95" s="21" t="str">
        <f aca="false">IFERROR(INDEX(FixedDeposits!$G:$G,MATCH($B$2&amp;"#"&amp;14,FixedDeposits!$L:$L,0)),"")</f>
        <v/>
      </c>
      <c r="E95" s="13" t="str">
        <f aca="false">IFERROR(INDEX(FixedDeposits!$I:$I,MATCH($B$2&amp;"#"&amp;14,FixedDeposits!$L:$L,0)),"")</f>
        <v/>
      </c>
    </row>
    <row r="96" customFormat="false" ht="15" hidden="false" customHeight="true" outlineLevel="0" collapsed="false">
      <c r="A96" s="15" t="str">
        <f aca="false">IFERROR(INDEX(FixedDeposits!$B:$B,MATCH($B$2&amp;"#"&amp;15,FixedDeposits!$L:$L,0)),"")</f>
        <v/>
      </c>
      <c r="B96" s="13" t="str">
        <f aca="false">IFERROR(INDEX(FixedDeposits!$D:$D,MATCH($B$2&amp;"#"&amp;15,FixedDeposits!$L:$L,0)),"")</f>
        <v/>
      </c>
      <c r="C96" s="20" t="str">
        <f aca="false">IFERROR(INDEX(FixedDeposits!$E:$E,MATCH($B$2&amp;"#"&amp;15,FixedDeposits!$L:$L,0)),"")</f>
        <v/>
      </c>
      <c r="D96" s="21" t="str">
        <f aca="false">IFERROR(INDEX(FixedDeposits!$G:$G,MATCH($B$2&amp;"#"&amp;15,FixedDeposits!$L:$L,0)),"")</f>
        <v/>
      </c>
      <c r="E96" s="13" t="str">
        <f aca="false">IFERROR(INDEX(FixedDeposits!$I:$I,MATCH($B$2&amp;"#"&amp;15,FixedDeposits!$L:$L,0)),"")</f>
        <v/>
      </c>
    </row>
    <row r="98" customFormat="false" ht="15" hidden="false" customHeight="true" outlineLevel="0" collapsed="false">
      <c r="A98" s="3" t="s">
        <v>7</v>
      </c>
    </row>
    <row r="99" customFormat="false" ht="15" hidden="false" customHeight="true" outlineLevel="0" collapsed="false">
      <c r="A99" s="17" t="s">
        <v>40</v>
      </c>
      <c r="B99" s="17" t="s">
        <v>41</v>
      </c>
      <c r="C99" s="17" t="s">
        <v>42</v>
      </c>
    </row>
    <row r="100" customFormat="false" ht="15" hidden="false" customHeight="true" outlineLevel="0" collapsed="false">
      <c r="A100" s="15" t="str">
        <f aca="false">IFERROR(INDEX(PPF!$B:$B,MATCH($B$2&amp;"#"&amp;1,PPF!$I:$I,0)),"")</f>
        <v>Post Office</v>
      </c>
      <c r="B100" s="13" t="n">
        <f aca="false">IFERROR(INDEX(PPF!$D:$D,MATCH($B$2&amp;"#"&amp;1,PPF!$I:$I,0)),"")</f>
        <v>860000</v>
      </c>
      <c r="C100" s="21" t="n">
        <f aca="false">IFERROR(INDEX(PPF!$E:$E,MATCH($B$2&amp;"#"&amp;1,PPF!$I:$I,0)),"")</f>
        <v>46112</v>
      </c>
    </row>
    <row r="101" customFormat="false" ht="15" hidden="false" customHeight="true" outlineLevel="0" collapsed="false">
      <c r="A101" s="15" t="str">
        <f aca="false">IFERROR(INDEX(PPF!$B:$B,MATCH($B$2&amp;"#"&amp;2,PPF!$I:$I,0)),"")</f>
        <v/>
      </c>
      <c r="B101" s="13" t="str">
        <f aca="false">IFERROR(INDEX(PPF!$D:$D,MATCH($B$2&amp;"#"&amp;2,PPF!$I:$I,0)),"")</f>
        <v/>
      </c>
      <c r="C101" s="21" t="str">
        <f aca="false">IFERROR(INDEX(PPF!$E:$E,MATCH($B$2&amp;"#"&amp;2,PPF!$I:$I,0)),"")</f>
        <v/>
      </c>
    </row>
    <row r="102" customFormat="false" ht="15" hidden="false" customHeight="true" outlineLevel="0" collapsed="false">
      <c r="A102" s="15" t="str">
        <f aca="false">IFERROR(INDEX(PPF!$B:$B,MATCH($B$2&amp;"#"&amp;3,PPF!$I:$I,0)),"")</f>
        <v/>
      </c>
      <c r="B102" s="13" t="str">
        <f aca="false">IFERROR(INDEX(PPF!$D:$D,MATCH($B$2&amp;"#"&amp;3,PPF!$I:$I,0)),"")</f>
        <v/>
      </c>
      <c r="C102" s="21" t="str">
        <f aca="false">IFERROR(INDEX(PPF!$E:$E,MATCH($B$2&amp;"#"&amp;3,PPF!$I:$I,0)),"")</f>
        <v/>
      </c>
    </row>
    <row r="103" customFormat="false" ht="15" hidden="false" customHeight="true" outlineLevel="0" collapsed="false">
      <c r="A103" s="15" t="str">
        <f aca="false">IFERROR(INDEX(PPF!$B:$B,MATCH($B$2&amp;"#"&amp;4,PPF!$I:$I,0)),"")</f>
        <v/>
      </c>
      <c r="B103" s="13" t="str">
        <f aca="false">IFERROR(INDEX(PPF!$D:$D,MATCH($B$2&amp;"#"&amp;4,PPF!$I:$I,0)),"")</f>
        <v/>
      </c>
      <c r="C103" s="21" t="str">
        <f aca="false">IFERROR(INDEX(PPF!$E:$E,MATCH($B$2&amp;"#"&amp;4,PPF!$I:$I,0)),"")</f>
        <v/>
      </c>
    </row>
    <row r="104" customFormat="false" ht="15" hidden="false" customHeight="true" outlineLevel="0" collapsed="false">
      <c r="A104" s="15" t="str">
        <f aca="false">IFERROR(INDEX(PPF!$B:$B,MATCH($B$2&amp;"#"&amp;5,PPF!$I:$I,0)),"")</f>
        <v/>
      </c>
      <c r="B104" s="13" t="str">
        <f aca="false">IFERROR(INDEX(PPF!$D:$D,MATCH($B$2&amp;"#"&amp;5,PPF!$I:$I,0)),"")</f>
        <v/>
      </c>
      <c r="C104" s="21" t="str">
        <f aca="false">IFERROR(INDEX(PPF!$E:$E,MATCH($B$2&amp;"#"&amp;5,PPF!$I:$I,0)),"")</f>
        <v/>
      </c>
    </row>
    <row r="105" customFormat="false" ht="15" hidden="false" customHeight="true" outlineLevel="0" collapsed="false">
      <c r="A105" s="15" t="str">
        <f aca="false">IFERROR(INDEX(PPF!$B:$B,MATCH($B$2&amp;"#"&amp;6,PPF!$I:$I,0)),"")</f>
        <v/>
      </c>
      <c r="B105" s="13" t="str">
        <f aca="false">IFERROR(INDEX(PPF!$D:$D,MATCH($B$2&amp;"#"&amp;6,PPF!$I:$I,0)),"")</f>
        <v/>
      </c>
      <c r="C105" s="21" t="str">
        <f aca="false">IFERROR(INDEX(PPF!$E:$E,MATCH($B$2&amp;"#"&amp;6,PPF!$I:$I,0)),"")</f>
        <v/>
      </c>
    </row>
    <row r="106" customFormat="false" ht="15" hidden="false" customHeight="true" outlineLevel="0" collapsed="false">
      <c r="A106" s="15" t="str">
        <f aca="false">IFERROR(INDEX(PPF!$B:$B,MATCH($B$2&amp;"#"&amp;7,PPF!$I:$I,0)),"")</f>
        <v/>
      </c>
      <c r="B106" s="13" t="str">
        <f aca="false">IFERROR(INDEX(PPF!$D:$D,MATCH($B$2&amp;"#"&amp;7,PPF!$I:$I,0)),"")</f>
        <v/>
      </c>
      <c r="C106" s="21" t="str">
        <f aca="false">IFERROR(INDEX(PPF!$E:$E,MATCH($B$2&amp;"#"&amp;7,PPF!$I:$I,0)),"")</f>
        <v/>
      </c>
    </row>
    <row r="107" customFormat="false" ht="15" hidden="false" customHeight="true" outlineLevel="0" collapsed="false">
      <c r="A107" s="15" t="str">
        <f aca="false">IFERROR(INDEX(PPF!$B:$B,MATCH($B$2&amp;"#"&amp;8,PPF!$I:$I,0)),"")</f>
        <v/>
      </c>
      <c r="B107" s="13" t="str">
        <f aca="false">IFERROR(INDEX(PPF!$D:$D,MATCH($B$2&amp;"#"&amp;8,PPF!$I:$I,0)),"")</f>
        <v/>
      </c>
      <c r="C107" s="21" t="str">
        <f aca="false">IFERROR(INDEX(PPF!$E:$E,MATCH($B$2&amp;"#"&amp;8,PPF!$I:$I,0)),"")</f>
        <v/>
      </c>
    </row>
    <row r="108" customFormat="false" ht="15" hidden="false" customHeight="true" outlineLevel="0" collapsed="false">
      <c r="A108" s="15" t="str">
        <f aca="false">IFERROR(INDEX(PPF!$B:$B,MATCH($B$2&amp;"#"&amp;9,PPF!$I:$I,0)),"")</f>
        <v/>
      </c>
      <c r="B108" s="13" t="str">
        <f aca="false">IFERROR(INDEX(PPF!$D:$D,MATCH($B$2&amp;"#"&amp;9,PPF!$I:$I,0)),"")</f>
        <v/>
      </c>
      <c r="C108" s="21" t="str">
        <f aca="false">IFERROR(INDEX(PPF!$E:$E,MATCH($B$2&amp;"#"&amp;9,PPF!$I:$I,0)),"")</f>
        <v/>
      </c>
    </row>
    <row r="109" customFormat="false" ht="15" hidden="false" customHeight="true" outlineLevel="0" collapsed="false">
      <c r="A109" s="15" t="str">
        <f aca="false">IFERROR(INDEX(PPF!$B:$B,MATCH($B$2&amp;"#"&amp;10,PPF!$I:$I,0)),"")</f>
        <v/>
      </c>
      <c r="B109" s="13" t="str">
        <f aca="false">IFERROR(INDEX(PPF!$D:$D,MATCH($B$2&amp;"#"&amp;10,PPF!$I:$I,0)),"")</f>
        <v/>
      </c>
      <c r="C109" s="21" t="str">
        <f aca="false">IFERROR(INDEX(PPF!$E:$E,MATCH($B$2&amp;"#"&amp;10,PPF!$I:$I,0)),"")</f>
        <v/>
      </c>
    </row>
    <row r="111" customFormat="false" ht="15" hidden="false" customHeight="true" outlineLevel="0" collapsed="false">
      <c r="A111" s="3" t="s">
        <v>43</v>
      </c>
    </row>
    <row r="112" customFormat="false" ht="15" hidden="false" customHeight="true" outlineLevel="0" collapsed="false">
      <c r="A112" s="17" t="s">
        <v>44</v>
      </c>
      <c r="B112" s="17" t="s">
        <v>24</v>
      </c>
      <c r="C112" s="17" t="s">
        <v>45</v>
      </c>
      <c r="D112" s="17" t="s">
        <v>46</v>
      </c>
      <c r="E112" s="17" t="s">
        <v>26</v>
      </c>
      <c r="F112" s="17" t="s">
        <v>27</v>
      </c>
    </row>
    <row r="113" customFormat="false" ht="15" hidden="false" customHeight="true" outlineLevel="0" collapsed="false">
      <c r="A113" s="15" t="str">
        <f aca="false">IFERROR(INDEX(Bonds!$B:$B,MATCH($B$2&amp;"#"&amp;1,Bonds!$N:$N,0)),"")</f>
        <v/>
      </c>
      <c r="B113" s="18" t="str">
        <f aca="false">IFERROR(INDEX(Bonds!$D:$D,MATCH($B$2&amp;"#"&amp;1,Bonds!$N:$N,0)),"")</f>
        <v/>
      </c>
      <c r="C113" s="18" t="str">
        <f aca="false">IFERROR(INDEX(Bonds!$F:$F,MATCH($B$2&amp;"#"&amp;1,Bonds!$N:$N,0)),"")</f>
        <v/>
      </c>
      <c r="D113" s="18" t="str">
        <f aca="false">IFERROR(INDEX(Bonds!$G:$G,MATCH($B$2&amp;"#"&amp;1,Bonds!$N:$N,0)),"")</f>
        <v/>
      </c>
      <c r="E113" s="13" t="str">
        <f aca="false">IFERROR(INDEX(Bonds!$K:$K,MATCH($B$2&amp;"#"&amp;1,Bonds!$N:$N,0)),"")</f>
        <v/>
      </c>
      <c r="F113" s="13" t="str">
        <f aca="false">IFERROR(INDEX(Bonds!$L:$L,MATCH($B$2&amp;"#"&amp;1,Bonds!$N:$N,0)),"")</f>
        <v/>
      </c>
    </row>
    <row r="114" customFormat="false" ht="15" hidden="false" customHeight="true" outlineLevel="0" collapsed="false">
      <c r="A114" s="15" t="str">
        <f aca="false">IFERROR(INDEX(Bonds!$B:$B,MATCH($B$2&amp;"#"&amp;2,Bonds!$N:$N,0)),"")</f>
        <v/>
      </c>
      <c r="B114" s="18" t="str">
        <f aca="false">IFERROR(INDEX(Bonds!$D:$D,MATCH($B$2&amp;"#"&amp;2,Bonds!$N:$N,0)),"")</f>
        <v/>
      </c>
      <c r="C114" s="18" t="str">
        <f aca="false">IFERROR(INDEX(Bonds!$F:$F,MATCH($B$2&amp;"#"&amp;2,Bonds!$N:$N,0)),"")</f>
        <v/>
      </c>
      <c r="D114" s="18" t="str">
        <f aca="false">IFERROR(INDEX(Bonds!$G:$G,MATCH($B$2&amp;"#"&amp;2,Bonds!$N:$N,0)),"")</f>
        <v/>
      </c>
      <c r="E114" s="13" t="str">
        <f aca="false">IFERROR(INDEX(Bonds!$K:$K,MATCH($B$2&amp;"#"&amp;2,Bonds!$N:$N,0)),"")</f>
        <v/>
      </c>
      <c r="F114" s="13" t="str">
        <f aca="false">IFERROR(INDEX(Bonds!$L:$L,MATCH($B$2&amp;"#"&amp;2,Bonds!$N:$N,0)),"")</f>
        <v/>
      </c>
    </row>
    <row r="115" customFormat="false" ht="15" hidden="false" customHeight="true" outlineLevel="0" collapsed="false">
      <c r="A115" s="15" t="str">
        <f aca="false">IFERROR(INDEX(Bonds!$B:$B,MATCH($B$2&amp;"#"&amp;3,Bonds!$N:$N,0)),"")</f>
        <v/>
      </c>
      <c r="B115" s="18" t="str">
        <f aca="false">IFERROR(INDEX(Bonds!$D:$D,MATCH($B$2&amp;"#"&amp;3,Bonds!$N:$N,0)),"")</f>
        <v/>
      </c>
      <c r="C115" s="18" t="str">
        <f aca="false">IFERROR(INDEX(Bonds!$F:$F,MATCH($B$2&amp;"#"&amp;3,Bonds!$N:$N,0)),"")</f>
        <v/>
      </c>
      <c r="D115" s="18" t="str">
        <f aca="false">IFERROR(INDEX(Bonds!$G:$G,MATCH($B$2&amp;"#"&amp;3,Bonds!$N:$N,0)),"")</f>
        <v/>
      </c>
      <c r="E115" s="13" t="str">
        <f aca="false">IFERROR(INDEX(Bonds!$K:$K,MATCH($B$2&amp;"#"&amp;3,Bonds!$N:$N,0)),"")</f>
        <v/>
      </c>
      <c r="F115" s="13" t="str">
        <f aca="false">IFERROR(INDEX(Bonds!$L:$L,MATCH($B$2&amp;"#"&amp;3,Bonds!$N:$N,0)),"")</f>
        <v/>
      </c>
    </row>
    <row r="116" customFormat="false" ht="15" hidden="false" customHeight="true" outlineLevel="0" collapsed="false">
      <c r="A116" s="15" t="str">
        <f aca="false">IFERROR(INDEX(Bonds!$B:$B,MATCH($B$2&amp;"#"&amp;4,Bonds!$N:$N,0)),"")</f>
        <v/>
      </c>
      <c r="B116" s="18" t="str">
        <f aca="false">IFERROR(INDEX(Bonds!$D:$D,MATCH($B$2&amp;"#"&amp;4,Bonds!$N:$N,0)),"")</f>
        <v/>
      </c>
      <c r="C116" s="18" t="str">
        <f aca="false">IFERROR(INDEX(Bonds!$F:$F,MATCH($B$2&amp;"#"&amp;4,Bonds!$N:$N,0)),"")</f>
        <v/>
      </c>
      <c r="D116" s="18" t="str">
        <f aca="false">IFERROR(INDEX(Bonds!$G:$G,MATCH($B$2&amp;"#"&amp;4,Bonds!$N:$N,0)),"")</f>
        <v/>
      </c>
      <c r="E116" s="13" t="str">
        <f aca="false">IFERROR(INDEX(Bonds!$K:$K,MATCH($B$2&amp;"#"&amp;4,Bonds!$N:$N,0)),"")</f>
        <v/>
      </c>
      <c r="F116" s="13" t="str">
        <f aca="false">IFERROR(INDEX(Bonds!$L:$L,MATCH($B$2&amp;"#"&amp;4,Bonds!$N:$N,0)),"")</f>
        <v/>
      </c>
    </row>
    <row r="117" customFormat="false" ht="15" hidden="false" customHeight="true" outlineLevel="0" collapsed="false">
      <c r="A117" s="15" t="str">
        <f aca="false">IFERROR(INDEX(Bonds!$B:$B,MATCH($B$2&amp;"#"&amp;5,Bonds!$N:$N,0)),"")</f>
        <v/>
      </c>
      <c r="B117" s="18" t="str">
        <f aca="false">IFERROR(INDEX(Bonds!$D:$D,MATCH($B$2&amp;"#"&amp;5,Bonds!$N:$N,0)),"")</f>
        <v/>
      </c>
      <c r="C117" s="18" t="str">
        <f aca="false">IFERROR(INDEX(Bonds!$F:$F,MATCH($B$2&amp;"#"&amp;5,Bonds!$N:$N,0)),"")</f>
        <v/>
      </c>
      <c r="D117" s="18" t="str">
        <f aca="false">IFERROR(INDEX(Bonds!$G:$G,MATCH($B$2&amp;"#"&amp;5,Bonds!$N:$N,0)),"")</f>
        <v/>
      </c>
      <c r="E117" s="13" t="str">
        <f aca="false">IFERROR(INDEX(Bonds!$K:$K,MATCH($B$2&amp;"#"&amp;5,Bonds!$N:$N,0)),"")</f>
        <v/>
      </c>
      <c r="F117" s="13" t="str">
        <f aca="false">IFERROR(INDEX(Bonds!$L:$L,MATCH($B$2&amp;"#"&amp;5,Bonds!$N:$N,0)),"")</f>
        <v/>
      </c>
    </row>
    <row r="118" customFormat="false" ht="15" hidden="false" customHeight="true" outlineLevel="0" collapsed="false">
      <c r="A118" s="15" t="str">
        <f aca="false">IFERROR(INDEX(Bonds!$B:$B,MATCH($B$2&amp;"#"&amp;6,Bonds!$N:$N,0)),"")</f>
        <v/>
      </c>
      <c r="B118" s="18" t="str">
        <f aca="false">IFERROR(INDEX(Bonds!$D:$D,MATCH($B$2&amp;"#"&amp;6,Bonds!$N:$N,0)),"")</f>
        <v/>
      </c>
      <c r="C118" s="18" t="str">
        <f aca="false">IFERROR(INDEX(Bonds!$F:$F,MATCH($B$2&amp;"#"&amp;6,Bonds!$N:$N,0)),"")</f>
        <v/>
      </c>
      <c r="D118" s="18" t="str">
        <f aca="false">IFERROR(INDEX(Bonds!$G:$G,MATCH($B$2&amp;"#"&amp;6,Bonds!$N:$N,0)),"")</f>
        <v/>
      </c>
      <c r="E118" s="13" t="str">
        <f aca="false">IFERROR(INDEX(Bonds!$K:$K,MATCH($B$2&amp;"#"&amp;6,Bonds!$N:$N,0)),"")</f>
        <v/>
      </c>
      <c r="F118" s="13" t="str">
        <f aca="false">IFERROR(INDEX(Bonds!$L:$L,MATCH($B$2&amp;"#"&amp;6,Bonds!$N:$N,0)),"")</f>
        <v/>
      </c>
    </row>
    <row r="119" customFormat="false" ht="15" hidden="false" customHeight="true" outlineLevel="0" collapsed="false">
      <c r="A119" s="15" t="str">
        <f aca="false">IFERROR(INDEX(Bonds!$B:$B,MATCH($B$2&amp;"#"&amp;7,Bonds!$N:$N,0)),"")</f>
        <v/>
      </c>
      <c r="B119" s="18" t="str">
        <f aca="false">IFERROR(INDEX(Bonds!$D:$D,MATCH($B$2&amp;"#"&amp;7,Bonds!$N:$N,0)),"")</f>
        <v/>
      </c>
      <c r="C119" s="18" t="str">
        <f aca="false">IFERROR(INDEX(Bonds!$F:$F,MATCH($B$2&amp;"#"&amp;7,Bonds!$N:$N,0)),"")</f>
        <v/>
      </c>
      <c r="D119" s="18" t="str">
        <f aca="false">IFERROR(INDEX(Bonds!$G:$G,MATCH($B$2&amp;"#"&amp;7,Bonds!$N:$N,0)),"")</f>
        <v/>
      </c>
      <c r="E119" s="13" t="str">
        <f aca="false">IFERROR(INDEX(Bonds!$K:$K,MATCH($B$2&amp;"#"&amp;7,Bonds!$N:$N,0)),"")</f>
        <v/>
      </c>
      <c r="F119" s="13" t="str">
        <f aca="false">IFERROR(INDEX(Bonds!$L:$L,MATCH($B$2&amp;"#"&amp;7,Bonds!$N:$N,0)),"")</f>
        <v/>
      </c>
    </row>
    <row r="120" customFormat="false" ht="15" hidden="false" customHeight="true" outlineLevel="0" collapsed="false">
      <c r="A120" s="15" t="str">
        <f aca="false">IFERROR(INDEX(Bonds!$B:$B,MATCH($B$2&amp;"#"&amp;8,Bonds!$N:$N,0)),"")</f>
        <v/>
      </c>
      <c r="B120" s="18" t="str">
        <f aca="false">IFERROR(INDEX(Bonds!$D:$D,MATCH($B$2&amp;"#"&amp;8,Bonds!$N:$N,0)),"")</f>
        <v/>
      </c>
      <c r="C120" s="18" t="str">
        <f aca="false">IFERROR(INDEX(Bonds!$F:$F,MATCH($B$2&amp;"#"&amp;8,Bonds!$N:$N,0)),"")</f>
        <v/>
      </c>
      <c r="D120" s="18" t="str">
        <f aca="false">IFERROR(INDEX(Bonds!$G:$G,MATCH($B$2&amp;"#"&amp;8,Bonds!$N:$N,0)),"")</f>
        <v/>
      </c>
      <c r="E120" s="13" t="str">
        <f aca="false">IFERROR(INDEX(Bonds!$K:$K,MATCH($B$2&amp;"#"&amp;8,Bonds!$N:$N,0)),"")</f>
        <v/>
      </c>
      <c r="F120" s="13" t="str">
        <f aca="false">IFERROR(INDEX(Bonds!$L:$L,MATCH($B$2&amp;"#"&amp;8,Bonds!$N:$N,0)),"")</f>
        <v/>
      </c>
    </row>
    <row r="121" customFormat="false" ht="15" hidden="false" customHeight="true" outlineLevel="0" collapsed="false">
      <c r="A121" s="15" t="str">
        <f aca="false">IFERROR(INDEX(Bonds!$B:$B,MATCH($B$2&amp;"#"&amp;9,Bonds!$N:$N,0)),"")</f>
        <v/>
      </c>
      <c r="B121" s="18" t="str">
        <f aca="false">IFERROR(INDEX(Bonds!$D:$D,MATCH($B$2&amp;"#"&amp;9,Bonds!$N:$N,0)),"")</f>
        <v/>
      </c>
      <c r="C121" s="18" t="str">
        <f aca="false">IFERROR(INDEX(Bonds!$F:$F,MATCH($B$2&amp;"#"&amp;9,Bonds!$N:$N,0)),"")</f>
        <v/>
      </c>
      <c r="D121" s="18" t="str">
        <f aca="false">IFERROR(INDEX(Bonds!$G:$G,MATCH($B$2&amp;"#"&amp;9,Bonds!$N:$N,0)),"")</f>
        <v/>
      </c>
      <c r="E121" s="13" t="str">
        <f aca="false">IFERROR(INDEX(Bonds!$K:$K,MATCH($B$2&amp;"#"&amp;9,Bonds!$N:$N,0)),"")</f>
        <v/>
      </c>
      <c r="F121" s="13" t="str">
        <f aca="false">IFERROR(INDEX(Bonds!$L:$L,MATCH($B$2&amp;"#"&amp;9,Bonds!$N:$N,0)),"")</f>
        <v/>
      </c>
    </row>
    <row r="122" customFormat="false" ht="15" hidden="false" customHeight="true" outlineLevel="0" collapsed="false">
      <c r="A122" s="15" t="str">
        <f aca="false">IFERROR(INDEX(Bonds!$B:$B,MATCH($B$2&amp;"#"&amp;10,Bonds!$N:$N,0)),"")</f>
        <v/>
      </c>
      <c r="B122" s="18" t="str">
        <f aca="false">IFERROR(INDEX(Bonds!$D:$D,MATCH($B$2&amp;"#"&amp;10,Bonds!$N:$N,0)),"")</f>
        <v/>
      </c>
      <c r="C122" s="18" t="str">
        <f aca="false">IFERROR(INDEX(Bonds!$F:$F,MATCH($B$2&amp;"#"&amp;10,Bonds!$N:$N,0)),"")</f>
        <v/>
      </c>
      <c r="D122" s="18" t="str">
        <f aca="false">IFERROR(INDEX(Bonds!$G:$G,MATCH($B$2&amp;"#"&amp;10,Bonds!$N:$N,0)),"")</f>
        <v/>
      </c>
      <c r="E122" s="13" t="str">
        <f aca="false">IFERROR(INDEX(Bonds!$K:$K,MATCH($B$2&amp;"#"&amp;10,Bonds!$N:$N,0)),"")</f>
        <v/>
      </c>
      <c r="F122" s="13" t="str">
        <f aca="false">IFERROR(INDEX(Bonds!$L:$L,MATCH($B$2&amp;"#"&amp;10,Bonds!$N:$N,0)),"")</f>
        <v/>
      </c>
    </row>
    <row r="123" customFormat="false" ht="15" hidden="false" customHeight="true" outlineLevel="0" collapsed="false">
      <c r="A123" s="15" t="str">
        <f aca="false">IFERROR(INDEX(Bonds!$B:$B,MATCH($B$2&amp;"#"&amp;11,Bonds!$N:$N,0)),"")</f>
        <v/>
      </c>
      <c r="B123" s="18" t="str">
        <f aca="false">IFERROR(INDEX(Bonds!$D:$D,MATCH($B$2&amp;"#"&amp;11,Bonds!$N:$N,0)),"")</f>
        <v/>
      </c>
      <c r="C123" s="18" t="str">
        <f aca="false">IFERROR(INDEX(Bonds!$F:$F,MATCH($B$2&amp;"#"&amp;11,Bonds!$N:$N,0)),"")</f>
        <v/>
      </c>
      <c r="D123" s="18" t="str">
        <f aca="false">IFERROR(INDEX(Bonds!$G:$G,MATCH($B$2&amp;"#"&amp;11,Bonds!$N:$N,0)),"")</f>
        <v/>
      </c>
      <c r="E123" s="13" t="str">
        <f aca="false">IFERROR(INDEX(Bonds!$K:$K,MATCH($B$2&amp;"#"&amp;11,Bonds!$N:$N,0)),"")</f>
        <v/>
      </c>
      <c r="F123" s="13" t="str">
        <f aca="false">IFERROR(INDEX(Bonds!$L:$L,MATCH($B$2&amp;"#"&amp;11,Bonds!$N:$N,0)),"")</f>
        <v/>
      </c>
    </row>
    <row r="124" customFormat="false" ht="15" hidden="false" customHeight="true" outlineLevel="0" collapsed="false">
      <c r="A124" s="15" t="str">
        <f aca="false">IFERROR(INDEX(Bonds!$B:$B,MATCH($B$2&amp;"#"&amp;12,Bonds!$N:$N,0)),"")</f>
        <v/>
      </c>
      <c r="B124" s="18" t="str">
        <f aca="false">IFERROR(INDEX(Bonds!$D:$D,MATCH($B$2&amp;"#"&amp;12,Bonds!$N:$N,0)),"")</f>
        <v/>
      </c>
      <c r="C124" s="18" t="str">
        <f aca="false">IFERROR(INDEX(Bonds!$F:$F,MATCH($B$2&amp;"#"&amp;12,Bonds!$N:$N,0)),"")</f>
        <v/>
      </c>
      <c r="D124" s="18" t="str">
        <f aca="false">IFERROR(INDEX(Bonds!$G:$G,MATCH($B$2&amp;"#"&amp;12,Bonds!$N:$N,0)),"")</f>
        <v/>
      </c>
      <c r="E124" s="13" t="str">
        <f aca="false">IFERROR(INDEX(Bonds!$K:$K,MATCH($B$2&amp;"#"&amp;12,Bonds!$N:$N,0)),"")</f>
        <v/>
      </c>
      <c r="F124" s="13" t="str">
        <f aca="false">IFERROR(INDEX(Bonds!$L:$L,MATCH($B$2&amp;"#"&amp;12,Bonds!$N:$N,0)),"")</f>
        <v/>
      </c>
    </row>
    <row r="125" customFormat="false" ht="15" hidden="false" customHeight="true" outlineLevel="0" collapsed="false">
      <c r="A125" s="15" t="str">
        <f aca="false">IFERROR(INDEX(Bonds!$B:$B,MATCH($B$2&amp;"#"&amp;13,Bonds!$N:$N,0)),"")</f>
        <v/>
      </c>
      <c r="B125" s="18" t="str">
        <f aca="false">IFERROR(INDEX(Bonds!$D:$D,MATCH($B$2&amp;"#"&amp;13,Bonds!$N:$N,0)),"")</f>
        <v/>
      </c>
      <c r="C125" s="18" t="str">
        <f aca="false">IFERROR(INDEX(Bonds!$F:$F,MATCH($B$2&amp;"#"&amp;13,Bonds!$N:$N,0)),"")</f>
        <v/>
      </c>
      <c r="D125" s="18" t="str">
        <f aca="false">IFERROR(INDEX(Bonds!$G:$G,MATCH($B$2&amp;"#"&amp;13,Bonds!$N:$N,0)),"")</f>
        <v/>
      </c>
      <c r="E125" s="13" t="str">
        <f aca="false">IFERROR(INDEX(Bonds!$K:$K,MATCH($B$2&amp;"#"&amp;13,Bonds!$N:$N,0)),"")</f>
        <v/>
      </c>
      <c r="F125" s="13" t="str">
        <f aca="false">IFERROR(INDEX(Bonds!$L:$L,MATCH($B$2&amp;"#"&amp;13,Bonds!$N:$N,0)),"")</f>
        <v/>
      </c>
    </row>
    <row r="126" customFormat="false" ht="15" hidden="false" customHeight="true" outlineLevel="0" collapsed="false">
      <c r="A126" s="15" t="str">
        <f aca="false">IFERROR(INDEX(Bonds!$B:$B,MATCH($B$2&amp;"#"&amp;14,Bonds!$N:$N,0)),"")</f>
        <v/>
      </c>
      <c r="B126" s="18" t="str">
        <f aca="false">IFERROR(INDEX(Bonds!$D:$D,MATCH($B$2&amp;"#"&amp;14,Bonds!$N:$N,0)),"")</f>
        <v/>
      </c>
      <c r="C126" s="18" t="str">
        <f aca="false">IFERROR(INDEX(Bonds!$F:$F,MATCH($B$2&amp;"#"&amp;14,Bonds!$N:$N,0)),"")</f>
        <v/>
      </c>
      <c r="D126" s="18" t="str">
        <f aca="false">IFERROR(INDEX(Bonds!$G:$G,MATCH($B$2&amp;"#"&amp;14,Bonds!$N:$N,0)),"")</f>
        <v/>
      </c>
      <c r="E126" s="13" t="str">
        <f aca="false">IFERROR(INDEX(Bonds!$K:$K,MATCH($B$2&amp;"#"&amp;14,Bonds!$N:$N,0)),"")</f>
        <v/>
      </c>
      <c r="F126" s="13" t="str">
        <f aca="false">IFERROR(INDEX(Bonds!$L:$L,MATCH($B$2&amp;"#"&amp;14,Bonds!$N:$N,0)),"")</f>
        <v/>
      </c>
    </row>
    <row r="127" customFormat="false" ht="15" hidden="false" customHeight="true" outlineLevel="0" collapsed="false">
      <c r="A127" s="15" t="str">
        <f aca="false">IFERROR(INDEX(Bonds!$B:$B,MATCH($B$2&amp;"#"&amp;15,Bonds!$N:$N,0)),"")</f>
        <v/>
      </c>
      <c r="B127" s="18" t="str">
        <f aca="false">IFERROR(INDEX(Bonds!$D:$D,MATCH($B$2&amp;"#"&amp;15,Bonds!$N:$N,0)),"")</f>
        <v/>
      </c>
      <c r="C127" s="18" t="str">
        <f aca="false">IFERROR(INDEX(Bonds!$F:$F,MATCH($B$2&amp;"#"&amp;15,Bonds!$N:$N,0)),"")</f>
        <v/>
      </c>
      <c r="D127" s="18" t="str">
        <f aca="false">IFERROR(INDEX(Bonds!$G:$G,MATCH($B$2&amp;"#"&amp;15,Bonds!$N:$N,0)),"")</f>
        <v/>
      </c>
      <c r="E127" s="13" t="str">
        <f aca="false">IFERROR(INDEX(Bonds!$K:$K,MATCH($B$2&amp;"#"&amp;15,Bonds!$N:$N,0)),"")</f>
        <v/>
      </c>
      <c r="F127" s="13" t="str">
        <f aca="false">IFERROR(INDEX(Bonds!$L:$L,MATCH($B$2&amp;"#"&amp;15,Bonds!$N:$N,0)),"")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7" min="7" style="1" width="13"/>
  </cols>
  <sheetData>
    <row r="1" customFormat="false" ht="18" hidden="false" customHeight="true" outlineLevel="0" collapsed="false">
      <c r="A1" s="2" t="s">
        <v>48</v>
      </c>
    </row>
    <row r="2" customFormat="false" ht="15" hidden="false" customHeight="true" outlineLevel="0" collapsed="false">
      <c r="A2" s="3" t="s">
        <v>18</v>
      </c>
      <c r="B2" s="14" t="s">
        <v>12</v>
      </c>
    </row>
    <row r="3" customFormat="false" ht="15" hidden="false" customHeight="true" outlineLevel="0" collapsed="false">
      <c r="A3" s="3" t="s">
        <v>19</v>
      </c>
      <c r="B3" s="5" t="n">
        <f aca="false">B11</f>
        <v>643218.191241964</v>
      </c>
    </row>
    <row r="5" customFormat="false" ht="15" hidden="false" customHeight="true" outlineLevel="0" collapsed="false">
      <c r="A5" s="6" t="s">
        <v>15</v>
      </c>
      <c r="B5" s="6" t="s">
        <v>16</v>
      </c>
      <c r="C5" s="6" t="s">
        <v>20</v>
      </c>
    </row>
    <row r="6" customFormat="false" ht="15" hidden="false" customHeight="true" outlineLevel="0" collapsed="false">
      <c r="A6" s="12" t="s">
        <v>4</v>
      </c>
      <c r="B6" s="13" t="n">
        <f aca="false">SUMIFS(Equity!$I:$I,Equity!$A:$A,$B$2)</f>
        <v>260600</v>
      </c>
      <c r="C6" s="15" t="n">
        <f aca="false">COUNTIF(Equity!$A:$A,$B$2)</f>
        <v>3</v>
      </c>
    </row>
    <row r="7" customFormat="false" ht="15" hidden="false" customHeight="true" outlineLevel="0" collapsed="false">
      <c r="A7" s="12" t="s">
        <v>5</v>
      </c>
      <c r="B7" s="13" t="n">
        <f aca="false">SUMIFS(MutualFunds!$I:$I,MutualFunds!$A:$A,$B$2)</f>
        <v>0</v>
      </c>
      <c r="C7" s="15" t="n">
        <f aca="false">COUNTIF(MutualFunds!$A:$A,$B$2)</f>
        <v>0</v>
      </c>
    </row>
    <row r="8" customFormat="false" ht="15" hidden="false" customHeight="true" outlineLevel="0" collapsed="false">
      <c r="A8" s="12" t="s">
        <v>6</v>
      </c>
      <c r="B8" s="13" t="n">
        <f aca="false">SUMIFS(FixedDeposits!$I:$I,FixedDeposits!$A:$A,$B$2)</f>
        <v>331868.191241964</v>
      </c>
      <c r="C8" s="15" t="n">
        <f aca="false">COUNTIF(FixedDeposits!$A:$A,$B$2)</f>
        <v>1</v>
      </c>
    </row>
    <row r="9" customFormat="false" ht="15" hidden="false" customHeight="true" outlineLevel="0" collapsed="false">
      <c r="A9" s="12" t="s">
        <v>7</v>
      </c>
      <c r="B9" s="13" t="n">
        <f aca="false">SUMIFS(PPF!$D:$D,PPF!$A:$A,$B$2)</f>
        <v>0</v>
      </c>
      <c r="C9" s="15" t="n">
        <f aca="false">COUNTIF(PPF!$A:$A,$B$2)</f>
        <v>0</v>
      </c>
    </row>
    <row r="10" customFormat="false" ht="15" hidden="false" customHeight="true" outlineLevel="0" collapsed="false">
      <c r="A10" s="12" t="s">
        <v>8</v>
      </c>
      <c r="B10" s="13" t="n">
        <f aca="false">SUMIFS(Bonds!$K:$K,Bonds!$A:$A,$B$2)</f>
        <v>50750</v>
      </c>
      <c r="C10" s="15" t="n">
        <f aca="false">COUNTIF(Bonds!$A:$A,$B$2)</f>
        <v>1</v>
      </c>
    </row>
    <row r="11" customFormat="false" ht="15" hidden="false" customHeight="true" outlineLevel="0" collapsed="false">
      <c r="A11" s="3" t="s">
        <v>9</v>
      </c>
      <c r="B11" s="16" t="n">
        <f aca="false">SUM(B6:B10)</f>
        <v>643218.191241964</v>
      </c>
      <c r="C11" s="10" t="n">
        <f aca="false">SUM(C6:C10)</f>
        <v>5</v>
      </c>
    </row>
    <row r="14" customFormat="false" ht="15" hidden="false" customHeight="true" outlineLevel="0" collapsed="false">
      <c r="A14" s="3" t="s">
        <v>21</v>
      </c>
    </row>
    <row r="15" customFormat="false" ht="15" hidden="false" customHeight="true" outlineLevel="0" collapsed="false">
      <c r="A15" s="17" t="s">
        <v>22</v>
      </c>
      <c r="B15" s="17" t="s">
        <v>23</v>
      </c>
      <c r="C15" s="17" t="s">
        <v>24</v>
      </c>
      <c r="D15" s="17" t="s">
        <v>25</v>
      </c>
      <c r="E15" s="17" t="s">
        <v>26</v>
      </c>
      <c r="F15" s="17" t="s">
        <v>27</v>
      </c>
      <c r="G15" s="17" t="s">
        <v>28</v>
      </c>
    </row>
    <row r="16" customFormat="false" ht="15" hidden="false" customHeight="true" outlineLevel="0" collapsed="false">
      <c r="A16" s="15" t="str">
        <f aca="false">IFERROR(INDEX(Equity!$B:$B,MATCH($B$2&amp;"#"&amp;1,Equity!$P:$P,0)),"")</f>
        <v>INE018A01030</v>
      </c>
      <c r="B16" s="15" t="str">
        <f aca="false">IFERROR(INDEX(Equity!$C:$C,MATCH($B$2&amp;"#"&amp;1,Equity!$P:$P,0)),"")</f>
        <v>LARSEN &amp; TOUBRO LIMITED EQ</v>
      </c>
      <c r="C16" s="18" t="n">
        <f aca="false">IFERROR(INDEX(Equity!$D:$D,MATCH($B$2&amp;"#"&amp;1,Equity!$P:$P,0)),"")</f>
        <v>25</v>
      </c>
      <c r="D16" s="18" t="n">
        <f aca="false">IFERROR(INDEX(Equity!$E:$E,MATCH($B$2&amp;"#"&amp;1,Equity!$P:$P,0)),"")</f>
        <v>1470</v>
      </c>
      <c r="E16" s="13" t="n">
        <f aca="false">IFERROR(INDEX(Equity!$I:$I,MATCH($B$2&amp;"#"&amp;1,Equity!$P:$P,0)),"")</f>
        <v>90500</v>
      </c>
      <c r="F16" s="13" t="n">
        <f aca="false">IFERROR(INDEX(Equity!$K:$K,MATCH($B$2&amp;"#"&amp;1,Equity!$P:$P,0)),"")</f>
        <v>53750</v>
      </c>
      <c r="G16" s="19" t="n">
        <f aca="false">IFERROR(INDEX(Equity!$N:$N,MATCH($B$2&amp;"#"&amp;1,Equity!$P:$P,0)),"")</f>
        <v>0.112480028804349</v>
      </c>
    </row>
    <row r="17" customFormat="false" ht="15" hidden="false" customHeight="true" outlineLevel="0" collapsed="false">
      <c r="A17" s="15" t="str">
        <f aca="false">IFERROR(INDEX(Equity!$B:$B,MATCH($B$2&amp;"#"&amp;2,Equity!$P:$P,0)),"")</f>
        <v>INE062A01020</v>
      </c>
      <c r="B17" s="15" t="str">
        <f aca="false">IFERROR(INDEX(Equity!$C:$C,MATCH($B$2&amp;"#"&amp;2,Equity!$P:$P,0)),"")</f>
        <v>STATE BANK OF INDIA EQ</v>
      </c>
      <c r="C17" s="18" t="n">
        <f aca="false">IFERROR(INDEX(Equity!$D:$D,MATCH($B$2&amp;"#"&amp;2,Equity!$P:$P,0)),"")</f>
        <v>120</v>
      </c>
      <c r="D17" s="18" t="n">
        <f aca="false">IFERROR(INDEX(Equity!$E:$E,MATCH($B$2&amp;"#"&amp;2,Equity!$P:$P,0)),"")</f>
        <v>327</v>
      </c>
      <c r="E17" s="13" t="n">
        <f aca="false">IFERROR(INDEX(Equity!$I:$I,MATCH($B$2&amp;"#"&amp;2,Equity!$P:$P,0)),"")</f>
        <v>97800</v>
      </c>
      <c r="F17" s="13" t="n">
        <f aca="false">IFERROR(INDEX(Equity!$K:$K,MATCH($B$2&amp;"#"&amp;2,Equity!$P:$P,0)),"")</f>
        <v>58560</v>
      </c>
      <c r="G17" s="19" t="n">
        <f aca="false">IFERROR(INDEX(Equity!$N:$N,MATCH($B$2&amp;"#"&amp;2,Equity!$P:$P,0)),"")</f>
        <v>0.114062257326627</v>
      </c>
    </row>
    <row r="18" customFormat="false" ht="15" hidden="false" customHeight="true" outlineLevel="0" collapsed="false">
      <c r="A18" s="15" t="str">
        <f aca="false">IFERROR(INDEX(Equity!$B:$B,MATCH($B$2&amp;"#"&amp;3,Equity!$P:$P,0)),"")</f>
        <v>INE030A01027</v>
      </c>
      <c r="B18" s="15" t="str">
        <f aca="false">IFERROR(INDEX(Equity!$C:$C,MATCH($B$2&amp;"#"&amp;3,Equity!$P:$P,0)),"")</f>
        <v>HINDUSTAN UNILEVER LIMITED EQ</v>
      </c>
      <c r="C18" s="18" t="n">
        <f aca="false">IFERROR(INDEX(Equity!$D:$D,MATCH($B$2&amp;"#"&amp;3,Equity!$P:$P,0)),"")</f>
        <v>30</v>
      </c>
      <c r="D18" s="18" t="n">
        <f aca="false">IFERROR(INDEX(Equity!$E:$E,MATCH($B$2&amp;"#"&amp;3,Equity!$P:$P,0)),"")</f>
        <v>1370</v>
      </c>
      <c r="E18" s="13" t="n">
        <f aca="false">IFERROR(INDEX(Equity!$I:$I,MATCH($B$2&amp;"#"&amp;3,Equity!$P:$P,0)),"")</f>
        <v>72300</v>
      </c>
      <c r="F18" s="13" t="n">
        <f aca="false">IFERROR(INDEX(Equity!$K:$K,MATCH($B$2&amp;"#"&amp;3,Equity!$P:$P,0)),"")</f>
        <v>31200</v>
      </c>
      <c r="G18" s="19" t="n">
        <f aca="false">IFERROR(INDEX(Equity!$N:$N,MATCH($B$2&amp;"#"&amp;3,Equity!$P:$P,0)),"")</f>
        <v>0.0690861588834397</v>
      </c>
    </row>
    <row r="19" customFormat="false" ht="15" hidden="false" customHeight="true" outlineLevel="0" collapsed="false">
      <c r="A19" s="15" t="str">
        <f aca="false">IFERROR(INDEX(Equity!$B:$B,MATCH($B$2&amp;"#"&amp;4,Equity!$P:$P,0)),"")</f>
        <v/>
      </c>
      <c r="B19" s="15" t="str">
        <f aca="false">IFERROR(INDEX(Equity!$C:$C,MATCH($B$2&amp;"#"&amp;4,Equity!$P:$P,0)),"")</f>
        <v/>
      </c>
      <c r="C19" s="18" t="str">
        <f aca="false">IFERROR(INDEX(Equity!$D:$D,MATCH($B$2&amp;"#"&amp;4,Equity!$P:$P,0)),"")</f>
        <v/>
      </c>
      <c r="D19" s="18" t="str">
        <f aca="false">IFERROR(INDEX(Equity!$E:$E,MATCH($B$2&amp;"#"&amp;4,Equity!$P:$P,0)),"")</f>
        <v/>
      </c>
      <c r="E19" s="13" t="str">
        <f aca="false">IFERROR(INDEX(Equity!$I:$I,MATCH($B$2&amp;"#"&amp;4,Equity!$P:$P,0)),"")</f>
        <v/>
      </c>
      <c r="F19" s="13" t="str">
        <f aca="false">IFERROR(INDEX(Equity!$K:$K,MATCH($B$2&amp;"#"&amp;4,Equity!$P:$P,0)),"")</f>
        <v/>
      </c>
      <c r="G19" s="19" t="str">
        <f aca="false">IFERROR(INDEX(Equity!$N:$N,MATCH($B$2&amp;"#"&amp;4,Equity!$P:$P,0)),"")</f>
        <v/>
      </c>
    </row>
    <row r="20" customFormat="false" ht="15" hidden="false" customHeight="true" outlineLevel="0" collapsed="false">
      <c r="A20" s="15" t="str">
        <f aca="false">IFERROR(INDEX(Equity!$B:$B,MATCH($B$2&amp;"#"&amp;5,Equity!$P:$P,0)),"")</f>
        <v/>
      </c>
      <c r="B20" s="15" t="str">
        <f aca="false">IFERROR(INDEX(Equity!$C:$C,MATCH($B$2&amp;"#"&amp;5,Equity!$P:$P,0)),"")</f>
        <v/>
      </c>
      <c r="C20" s="18" t="str">
        <f aca="false">IFERROR(INDEX(Equity!$D:$D,MATCH($B$2&amp;"#"&amp;5,Equity!$P:$P,0)),"")</f>
        <v/>
      </c>
      <c r="D20" s="18" t="str">
        <f aca="false">IFERROR(INDEX(Equity!$E:$E,MATCH($B$2&amp;"#"&amp;5,Equity!$P:$P,0)),"")</f>
        <v/>
      </c>
      <c r="E20" s="13" t="str">
        <f aca="false">IFERROR(INDEX(Equity!$I:$I,MATCH($B$2&amp;"#"&amp;5,Equity!$P:$P,0)),"")</f>
        <v/>
      </c>
      <c r="F20" s="13" t="str">
        <f aca="false">IFERROR(INDEX(Equity!$K:$K,MATCH($B$2&amp;"#"&amp;5,Equity!$P:$P,0)),"")</f>
        <v/>
      </c>
      <c r="G20" s="19" t="str">
        <f aca="false">IFERROR(INDEX(Equity!$N:$N,MATCH($B$2&amp;"#"&amp;5,Equity!$P:$P,0)),"")</f>
        <v/>
      </c>
    </row>
    <row r="21" customFormat="false" ht="15" hidden="false" customHeight="true" outlineLevel="0" collapsed="false">
      <c r="A21" s="15" t="str">
        <f aca="false">IFERROR(INDEX(Equity!$B:$B,MATCH($B$2&amp;"#"&amp;6,Equity!$P:$P,0)),"")</f>
        <v/>
      </c>
      <c r="B21" s="15" t="str">
        <f aca="false">IFERROR(INDEX(Equity!$C:$C,MATCH($B$2&amp;"#"&amp;6,Equity!$P:$P,0)),"")</f>
        <v/>
      </c>
      <c r="C21" s="18" t="str">
        <f aca="false">IFERROR(INDEX(Equity!$D:$D,MATCH($B$2&amp;"#"&amp;6,Equity!$P:$P,0)),"")</f>
        <v/>
      </c>
      <c r="D21" s="18" t="str">
        <f aca="false">IFERROR(INDEX(Equity!$E:$E,MATCH($B$2&amp;"#"&amp;6,Equity!$P:$P,0)),"")</f>
        <v/>
      </c>
      <c r="E21" s="13" t="str">
        <f aca="false">IFERROR(INDEX(Equity!$I:$I,MATCH($B$2&amp;"#"&amp;6,Equity!$P:$P,0)),"")</f>
        <v/>
      </c>
      <c r="F21" s="13" t="str">
        <f aca="false">IFERROR(INDEX(Equity!$K:$K,MATCH($B$2&amp;"#"&amp;6,Equity!$P:$P,0)),"")</f>
        <v/>
      </c>
      <c r="G21" s="19" t="str">
        <f aca="false">IFERROR(INDEX(Equity!$N:$N,MATCH($B$2&amp;"#"&amp;6,Equity!$P:$P,0)),"")</f>
        <v/>
      </c>
    </row>
    <row r="22" customFormat="false" ht="15" hidden="false" customHeight="true" outlineLevel="0" collapsed="false">
      <c r="A22" s="15" t="str">
        <f aca="false">IFERROR(INDEX(Equity!$B:$B,MATCH($B$2&amp;"#"&amp;7,Equity!$P:$P,0)),"")</f>
        <v/>
      </c>
      <c r="B22" s="15" t="str">
        <f aca="false">IFERROR(INDEX(Equity!$C:$C,MATCH($B$2&amp;"#"&amp;7,Equity!$P:$P,0)),"")</f>
        <v/>
      </c>
      <c r="C22" s="18" t="str">
        <f aca="false">IFERROR(INDEX(Equity!$D:$D,MATCH($B$2&amp;"#"&amp;7,Equity!$P:$P,0)),"")</f>
        <v/>
      </c>
      <c r="D22" s="18" t="str">
        <f aca="false">IFERROR(INDEX(Equity!$E:$E,MATCH($B$2&amp;"#"&amp;7,Equity!$P:$P,0)),"")</f>
        <v/>
      </c>
      <c r="E22" s="13" t="str">
        <f aca="false">IFERROR(INDEX(Equity!$I:$I,MATCH($B$2&amp;"#"&amp;7,Equity!$P:$P,0)),"")</f>
        <v/>
      </c>
      <c r="F22" s="13" t="str">
        <f aca="false">IFERROR(INDEX(Equity!$K:$K,MATCH($B$2&amp;"#"&amp;7,Equity!$P:$P,0)),"")</f>
        <v/>
      </c>
      <c r="G22" s="19" t="str">
        <f aca="false">IFERROR(INDEX(Equity!$N:$N,MATCH($B$2&amp;"#"&amp;7,Equity!$P:$P,0)),"")</f>
        <v/>
      </c>
    </row>
    <row r="23" customFormat="false" ht="15" hidden="false" customHeight="true" outlineLevel="0" collapsed="false">
      <c r="A23" s="15" t="str">
        <f aca="false">IFERROR(INDEX(Equity!$B:$B,MATCH($B$2&amp;"#"&amp;8,Equity!$P:$P,0)),"")</f>
        <v/>
      </c>
      <c r="B23" s="15" t="str">
        <f aca="false">IFERROR(INDEX(Equity!$C:$C,MATCH($B$2&amp;"#"&amp;8,Equity!$P:$P,0)),"")</f>
        <v/>
      </c>
      <c r="C23" s="18" t="str">
        <f aca="false">IFERROR(INDEX(Equity!$D:$D,MATCH($B$2&amp;"#"&amp;8,Equity!$P:$P,0)),"")</f>
        <v/>
      </c>
      <c r="D23" s="18" t="str">
        <f aca="false">IFERROR(INDEX(Equity!$E:$E,MATCH($B$2&amp;"#"&amp;8,Equity!$P:$P,0)),"")</f>
        <v/>
      </c>
      <c r="E23" s="13" t="str">
        <f aca="false">IFERROR(INDEX(Equity!$I:$I,MATCH($B$2&amp;"#"&amp;8,Equity!$P:$P,0)),"")</f>
        <v/>
      </c>
      <c r="F23" s="13" t="str">
        <f aca="false">IFERROR(INDEX(Equity!$K:$K,MATCH($B$2&amp;"#"&amp;8,Equity!$P:$P,0)),"")</f>
        <v/>
      </c>
      <c r="G23" s="19" t="str">
        <f aca="false">IFERROR(INDEX(Equity!$N:$N,MATCH($B$2&amp;"#"&amp;8,Equity!$P:$P,0)),"")</f>
        <v/>
      </c>
    </row>
    <row r="24" customFormat="false" ht="15" hidden="false" customHeight="true" outlineLevel="0" collapsed="false">
      <c r="A24" s="15" t="str">
        <f aca="false">IFERROR(INDEX(Equity!$B:$B,MATCH($B$2&amp;"#"&amp;9,Equity!$P:$P,0)),"")</f>
        <v/>
      </c>
      <c r="B24" s="15" t="str">
        <f aca="false">IFERROR(INDEX(Equity!$C:$C,MATCH($B$2&amp;"#"&amp;9,Equity!$P:$P,0)),"")</f>
        <v/>
      </c>
      <c r="C24" s="18" t="str">
        <f aca="false">IFERROR(INDEX(Equity!$D:$D,MATCH($B$2&amp;"#"&amp;9,Equity!$P:$P,0)),"")</f>
        <v/>
      </c>
      <c r="D24" s="18" t="str">
        <f aca="false">IFERROR(INDEX(Equity!$E:$E,MATCH($B$2&amp;"#"&amp;9,Equity!$P:$P,0)),"")</f>
        <v/>
      </c>
      <c r="E24" s="13" t="str">
        <f aca="false">IFERROR(INDEX(Equity!$I:$I,MATCH($B$2&amp;"#"&amp;9,Equity!$P:$P,0)),"")</f>
        <v/>
      </c>
      <c r="F24" s="13" t="str">
        <f aca="false">IFERROR(INDEX(Equity!$K:$K,MATCH($B$2&amp;"#"&amp;9,Equity!$P:$P,0)),"")</f>
        <v/>
      </c>
      <c r="G24" s="19" t="str">
        <f aca="false">IFERROR(INDEX(Equity!$N:$N,MATCH($B$2&amp;"#"&amp;9,Equity!$P:$P,0)),"")</f>
        <v/>
      </c>
    </row>
    <row r="25" customFormat="false" ht="15" hidden="false" customHeight="true" outlineLevel="0" collapsed="false">
      <c r="A25" s="15" t="str">
        <f aca="false">IFERROR(INDEX(Equity!$B:$B,MATCH($B$2&amp;"#"&amp;10,Equity!$P:$P,0)),"")</f>
        <v/>
      </c>
      <c r="B25" s="15" t="str">
        <f aca="false">IFERROR(INDEX(Equity!$C:$C,MATCH($B$2&amp;"#"&amp;10,Equity!$P:$P,0)),"")</f>
        <v/>
      </c>
      <c r="C25" s="18" t="str">
        <f aca="false">IFERROR(INDEX(Equity!$D:$D,MATCH($B$2&amp;"#"&amp;10,Equity!$P:$P,0)),"")</f>
        <v/>
      </c>
      <c r="D25" s="18" t="str">
        <f aca="false">IFERROR(INDEX(Equity!$E:$E,MATCH($B$2&amp;"#"&amp;10,Equity!$P:$P,0)),"")</f>
        <v/>
      </c>
      <c r="E25" s="13" t="str">
        <f aca="false">IFERROR(INDEX(Equity!$I:$I,MATCH($B$2&amp;"#"&amp;10,Equity!$P:$P,0)),"")</f>
        <v/>
      </c>
      <c r="F25" s="13" t="str">
        <f aca="false">IFERROR(INDEX(Equity!$K:$K,MATCH($B$2&amp;"#"&amp;10,Equity!$P:$P,0)),"")</f>
        <v/>
      </c>
      <c r="G25" s="19" t="str">
        <f aca="false">IFERROR(INDEX(Equity!$N:$N,MATCH($B$2&amp;"#"&amp;10,Equity!$P:$P,0)),"")</f>
        <v/>
      </c>
    </row>
    <row r="26" customFormat="false" ht="15" hidden="false" customHeight="true" outlineLevel="0" collapsed="false">
      <c r="A26" s="15" t="str">
        <f aca="false">IFERROR(INDEX(Equity!$B:$B,MATCH($B$2&amp;"#"&amp;11,Equity!$P:$P,0)),"")</f>
        <v/>
      </c>
      <c r="B26" s="15" t="str">
        <f aca="false">IFERROR(INDEX(Equity!$C:$C,MATCH($B$2&amp;"#"&amp;11,Equity!$P:$P,0)),"")</f>
        <v/>
      </c>
      <c r="C26" s="18" t="str">
        <f aca="false">IFERROR(INDEX(Equity!$D:$D,MATCH($B$2&amp;"#"&amp;11,Equity!$P:$P,0)),"")</f>
        <v/>
      </c>
      <c r="D26" s="18" t="str">
        <f aca="false">IFERROR(INDEX(Equity!$E:$E,MATCH($B$2&amp;"#"&amp;11,Equity!$P:$P,0)),"")</f>
        <v/>
      </c>
      <c r="E26" s="13" t="str">
        <f aca="false">IFERROR(INDEX(Equity!$I:$I,MATCH($B$2&amp;"#"&amp;11,Equity!$P:$P,0)),"")</f>
        <v/>
      </c>
      <c r="F26" s="13" t="str">
        <f aca="false">IFERROR(INDEX(Equity!$K:$K,MATCH($B$2&amp;"#"&amp;11,Equity!$P:$P,0)),"")</f>
        <v/>
      </c>
      <c r="G26" s="19" t="str">
        <f aca="false">IFERROR(INDEX(Equity!$N:$N,MATCH($B$2&amp;"#"&amp;11,Equity!$P:$P,0)),"")</f>
        <v/>
      </c>
    </row>
    <row r="27" customFormat="false" ht="15" hidden="false" customHeight="true" outlineLevel="0" collapsed="false">
      <c r="A27" s="15" t="str">
        <f aca="false">IFERROR(INDEX(Equity!$B:$B,MATCH($B$2&amp;"#"&amp;12,Equity!$P:$P,0)),"")</f>
        <v/>
      </c>
      <c r="B27" s="15" t="str">
        <f aca="false">IFERROR(INDEX(Equity!$C:$C,MATCH($B$2&amp;"#"&amp;12,Equity!$P:$P,0)),"")</f>
        <v/>
      </c>
      <c r="C27" s="18" t="str">
        <f aca="false">IFERROR(INDEX(Equity!$D:$D,MATCH($B$2&amp;"#"&amp;12,Equity!$P:$P,0)),"")</f>
        <v/>
      </c>
      <c r="D27" s="18" t="str">
        <f aca="false">IFERROR(INDEX(Equity!$E:$E,MATCH($B$2&amp;"#"&amp;12,Equity!$P:$P,0)),"")</f>
        <v/>
      </c>
      <c r="E27" s="13" t="str">
        <f aca="false">IFERROR(INDEX(Equity!$I:$I,MATCH($B$2&amp;"#"&amp;12,Equity!$P:$P,0)),"")</f>
        <v/>
      </c>
      <c r="F27" s="13" t="str">
        <f aca="false">IFERROR(INDEX(Equity!$K:$K,MATCH($B$2&amp;"#"&amp;12,Equity!$P:$P,0)),"")</f>
        <v/>
      </c>
      <c r="G27" s="19" t="str">
        <f aca="false">IFERROR(INDEX(Equity!$N:$N,MATCH($B$2&amp;"#"&amp;12,Equity!$P:$P,0)),"")</f>
        <v/>
      </c>
    </row>
    <row r="28" customFormat="false" ht="15" hidden="false" customHeight="true" outlineLevel="0" collapsed="false">
      <c r="A28" s="15" t="str">
        <f aca="false">IFERROR(INDEX(Equity!$B:$B,MATCH($B$2&amp;"#"&amp;13,Equity!$P:$P,0)),"")</f>
        <v/>
      </c>
      <c r="B28" s="15" t="str">
        <f aca="false">IFERROR(INDEX(Equity!$C:$C,MATCH($B$2&amp;"#"&amp;13,Equity!$P:$P,0)),"")</f>
        <v/>
      </c>
      <c r="C28" s="18" t="str">
        <f aca="false">IFERROR(INDEX(Equity!$D:$D,MATCH($B$2&amp;"#"&amp;13,Equity!$P:$P,0)),"")</f>
        <v/>
      </c>
      <c r="D28" s="18" t="str">
        <f aca="false">IFERROR(INDEX(Equity!$E:$E,MATCH($B$2&amp;"#"&amp;13,Equity!$P:$P,0)),"")</f>
        <v/>
      </c>
      <c r="E28" s="13" t="str">
        <f aca="false">IFERROR(INDEX(Equity!$I:$I,MATCH($B$2&amp;"#"&amp;13,Equity!$P:$P,0)),"")</f>
        <v/>
      </c>
      <c r="F28" s="13" t="str">
        <f aca="false">IFERROR(INDEX(Equity!$K:$K,MATCH($B$2&amp;"#"&amp;13,Equity!$P:$P,0)),"")</f>
        <v/>
      </c>
      <c r="G28" s="19" t="str">
        <f aca="false">IFERROR(INDEX(Equity!$N:$N,MATCH($B$2&amp;"#"&amp;13,Equity!$P:$P,0)),"")</f>
        <v/>
      </c>
    </row>
    <row r="29" customFormat="false" ht="15" hidden="false" customHeight="true" outlineLevel="0" collapsed="false">
      <c r="A29" s="15" t="str">
        <f aca="false">IFERROR(INDEX(Equity!$B:$B,MATCH($B$2&amp;"#"&amp;14,Equity!$P:$P,0)),"")</f>
        <v/>
      </c>
      <c r="B29" s="15" t="str">
        <f aca="false">IFERROR(INDEX(Equity!$C:$C,MATCH($B$2&amp;"#"&amp;14,Equity!$P:$P,0)),"")</f>
        <v/>
      </c>
      <c r="C29" s="18" t="str">
        <f aca="false">IFERROR(INDEX(Equity!$D:$D,MATCH($B$2&amp;"#"&amp;14,Equity!$P:$P,0)),"")</f>
        <v/>
      </c>
      <c r="D29" s="18" t="str">
        <f aca="false">IFERROR(INDEX(Equity!$E:$E,MATCH($B$2&amp;"#"&amp;14,Equity!$P:$P,0)),"")</f>
        <v/>
      </c>
      <c r="E29" s="13" t="str">
        <f aca="false">IFERROR(INDEX(Equity!$I:$I,MATCH($B$2&amp;"#"&amp;14,Equity!$P:$P,0)),"")</f>
        <v/>
      </c>
      <c r="F29" s="13" t="str">
        <f aca="false">IFERROR(INDEX(Equity!$K:$K,MATCH($B$2&amp;"#"&amp;14,Equity!$P:$P,0)),"")</f>
        <v/>
      </c>
      <c r="G29" s="19" t="str">
        <f aca="false">IFERROR(INDEX(Equity!$N:$N,MATCH($B$2&amp;"#"&amp;14,Equity!$P:$P,0)),"")</f>
        <v/>
      </c>
    </row>
    <row r="30" customFormat="false" ht="15" hidden="false" customHeight="true" outlineLevel="0" collapsed="false">
      <c r="A30" s="15" t="str">
        <f aca="false">IFERROR(INDEX(Equity!$B:$B,MATCH($B$2&amp;"#"&amp;15,Equity!$P:$P,0)),"")</f>
        <v/>
      </c>
      <c r="B30" s="15" t="str">
        <f aca="false">IFERROR(INDEX(Equity!$C:$C,MATCH($B$2&amp;"#"&amp;15,Equity!$P:$P,0)),"")</f>
        <v/>
      </c>
      <c r="C30" s="18" t="str">
        <f aca="false">IFERROR(INDEX(Equity!$D:$D,MATCH($B$2&amp;"#"&amp;15,Equity!$P:$P,0)),"")</f>
        <v/>
      </c>
      <c r="D30" s="18" t="str">
        <f aca="false">IFERROR(INDEX(Equity!$E:$E,MATCH($B$2&amp;"#"&amp;15,Equity!$P:$P,0)),"")</f>
        <v/>
      </c>
      <c r="E30" s="13" t="str">
        <f aca="false">IFERROR(INDEX(Equity!$I:$I,MATCH($B$2&amp;"#"&amp;15,Equity!$P:$P,0)),"")</f>
        <v/>
      </c>
      <c r="F30" s="13" t="str">
        <f aca="false">IFERROR(INDEX(Equity!$K:$K,MATCH($B$2&amp;"#"&amp;15,Equity!$P:$P,0)),"")</f>
        <v/>
      </c>
      <c r="G30" s="19" t="str">
        <f aca="false">IFERROR(INDEX(Equity!$N:$N,MATCH($B$2&amp;"#"&amp;15,Equity!$P:$P,0)),"")</f>
        <v/>
      </c>
    </row>
    <row r="31" customFormat="false" ht="15" hidden="false" customHeight="true" outlineLevel="0" collapsed="false">
      <c r="A31" s="15" t="str">
        <f aca="false">IFERROR(INDEX(Equity!$B:$B,MATCH($B$2&amp;"#"&amp;16,Equity!$P:$P,0)),"")</f>
        <v/>
      </c>
      <c r="B31" s="15" t="str">
        <f aca="false">IFERROR(INDEX(Equity!$C:$C,MATCH($B$2&amp;"#"&amp;16,Equity!$P:$P,0)),"")</f>
        <v/>
      </c>
      <c r="C31" s="18" t="str">
        <f aca="false">IFERROR(INDEX(Equity!$D:$D,MATCH($B$2&amp;"#"&amp;16,Equity!$P:$P,0)),"")</f>
        <v/>
      </c>
      <c r="D31" s="18" t="str">
        <f aca="false">IFERROR(INDEX(Equity!$E:$E,MATCH($B$2&amp;"#"&amp;16,Equity!$P:$P,0)),"")</f>
        <v/>
      </c>
      <c r="E31" s="13" t="str">
        <f aca="false">IFERROR(INDEX(Equity!$I:$I,MATCH($B$2&amp;"#"&amp;16,Equity!$P:$P,0)),"")</f>
        <v/>
      </c>
      <c r="F31" s="13" t="str">
        <f aca="false">IFERROR(INDEX(Equity!$K:$K,MATCH($B$2&amp;"#"&amp;16,Equity!$P:$P,0)),"")</f>
        <v/>
      </c>
      <c r="G31" s="19" t="str">
        <f aca="false">IFERROR(INDEX(Equity!$N:$N,MATCH($B$2&amp;"#"&amp;16,Equity!$P:$P,0)),"")</f>
        <v/>
      </c>
    </row>
    <row r="32" customFormat="false" ht="15" hidden="false" customHeight="true" outlineLevel="0" collapsed="false">
      <c r="A32" s="15" t="str">
        <f aca="false">IFERROR(INDEX(Equity!$B:$B,MATCH($B$2&amp;"#"&amp;17,Equity!$P:$P,0)),"")</f>
        <v/>
      </c>
      <c r="B32" s="15" t="str">
        <f aca="false">IFERROR(INDEX(Equity!$C:$C,MATCH($B$2&amp;"#"&amp;17,Equity!$P:$P,0)),"")</f>
        <v/>
      </c>
      <c r="C32" s="18" t="str">
        <f aca="false">IFERROR(INDEX(Equity!$D:$D,MATCH($B$2&amp;"#"&amp;17,Equity!$P:$P,0)),"")</f>
        <v/>
      </c>
      <c r="D32" s="18" t="str">
        <f aca="false">IFERROR(INDEX(Equity!$E:$E,MATCH($B$2&amp;"#"&amp;17,Equity!$P:$P,0)),"")</f>
        <v/>
      </c>
      <c r="E32" s="13" t="str">
        <f aca="false">IFERROR(INDEX(Equity!$I:$I,MATCH($B$2&amp;"#"&amp;17,Equity!$P:$P,0)),"")</f>
        <v/>
      </c>
      <c r="F32" s="13" t="str">
        <f aca="false">IFERROR(INDEX(Equity!$K:$K,MATCH($B$2&amp;"#"&amp;17,Equity!$P:$P,0)),"")</f>
        <v/>
      </c>
      <c r="G32" s="19" t="str">
        <f aca="false">IFERROR(INDEX(Equity!$N:$N,MATCH($B$2&amp;"#"&amp;17,Equity!$P:$P,0)),"")</f>
        <v/>
      </c>
    </row>
    <row r="33" customFormat="false" ht="15" hidden="false" customHeight="true" outlineLevel="0" collapsed="false">
      <c r="A33" s="15" t="str">
        <f aca="false">IFERROR(INDEX(Equity!$B:$B,MATCH($B$2&amp;"#"&amp;18,Equity!$P:$P,0)),"")</f>
        <v/>
      </c>
      <c r="B33" s="15" t="str">
        <f aca="false">IFERROR(INDEX(Equity!$C:$C,MATCH($B$2&amp;"#"&amp;18,Equity!$P:$P,0)),"")</f>
        <v/>
      </c>
      <c r="C33" s="18" t="str">
        <f aca="false">IFERROR(INDEX(Equity!$D:$D,MATCH($B$2&amp;"#"&amp;18,Equity!$P:$P,0)),"")</f>
        <v/>
      </c>
      <c r="D33" s="18" t="str">
        <f aca="false">IFERROR(INDEX(Equity!$E:$E,MATCH($B$2&amp;"#"&amp;18,Equity!$P:$P,0)),"")</f>
        <v/>
      </c>
      <c r="E33" s="13" t="str">
        <f aca="false">IFERROR(INDEX(Equity!$I:$I,MATCH($B$2&amp;"#"&amp;18,Equity!$P:$P,0)),"")</f>
        <v/>
      </c>
      <c r="F33" s="13" t="str">
        <f aca="false">IFERROR(INDEX(Equity!$K:$K,MATCH($B$2&amp;"#"&amp;18,Equity!$P:$P,0)),"")</f>
        <v/>
      </c>
      <c r="G33" s="19" t="str">
        <f aca="false">IFERROR(INDEX(Equity!$N:$N,MATCH($B$2&amp;"#"&amp;18,Equity!$P:$P,0)),"")</f>
        <v/>
      </c>
    </row>
    <row r="34" customFormat="false" ht="15" hidden="false" customHeight="true" outlineLevel="0" collapsed="false">
      <c r="A34" s="15" t="str">
        <f aca="false">IFERROR(INDEX(Equity!$B:$B,MATCH($B$2&amp;"#"&amp;19,Equity!$P:$P,0)),"")</f>
        <v/>
      </c>
      <c r="B34" s="15" t="str">
        <f aca="false">IFERROR(INDEX(Equity!$C:$C,MATCH($B$2&amp;"#"&amp;19,Equity!$P:$P,0)),"")</f>
        <v/>
      </c>
      <c r="C34" s="18" t="str">
        <f aca="false">IFERROR(INDEX(Equity!$D:$D,MATCH($B$2&amp;"#"&amp;19,Equity!$P:$P,0)),"")</f>
        <v/>
      </c>
      <c r="D34" s="18" t="str">
        <f aca="false">IFERROR(INDEX(Equity!$E:$E,MATCH($B$2&amp;"#"&amp;19,Equity!$P:$P,0)),"")</f>
        <v/>
      </c>
      <c r="E34" s="13" t="str">
        <f aca="false">IFERROR(INDEX(Equity!$I:$I,MATCH($B$2&amp;"#"&amp;19,Equity!$P:$P,0)),"")</f>
        <v/>
      </c>
      <c r="F34" s="13" t="str">
        <f aca="false">IFERROR(INDEX(Equity!$K:$K,MATCH($B$2&amp;"#"&amp;19,Equity!$P:$P,0)),"")</f>
        <v/>
      </c>
      <c r="G34" s="19" t="str">
        <f aca="false">IFERROR(INDEX(Equity!$N:$N,MATCH($B$2&amp;"#"&amp;19,Equity!$P:$P,0)),"")</f>
        <v/>
      </c>
    </row>
    <row r="35" customFormat="false" ht="15" hidden="false" customHeight="true" outlineLevel="0" collapsed="false">
      <c r="A35" s="15" t="str">
        <f aca="false">IFERROR(INDEX(Equity!$B:$B,MATCH($B$2&amp;"#"&amp;20,Equity!$P:$P,0)),"")</f>
        <v/>
      </c>
      <c r="B35" s="15" t="str">
        <f aca="false">IFERROR(INDEX(Equity!$C:$C,MATCH($B$2&amp;"#"&amp;20,Equity!$P:$P,0)),"")</f>
        <v/>
      </c>
      <c r="C35" s="18" t="str">
        <f aca="false">IFERROR(INDEX(Equity!$D:$D,MATCH($B$2&amp;"#"&amp;20,Equity!$P:$P,0)),"")</f>
        <v/>
      </c>
      <c r="D35" s="18" t="str">
        <f aca="false">IFERROR(INDEX(Equity!$E:$E,MATCH($B$2&amp;"#"&amp;20,Equity!$P:$P,0)),"")</f>
        <v/>
      </c>
      <c r="E35" s="13" t="str">
        <f aca="false">IFERROR(INDEX(Equity!$I:$I,MATCH($B$2&amp;"#"&amp;20,Equity!$P:$P,0)),"")</f>
        <v/>
      </c>
      <c r="F35" s="13" t="str">
        <f aca="false">IFERROR(INDEX(Equity!$K:$K,MATCH($B$2&amp;"#"&amp;20,Equity!$P:$P,0)),"")</f>
        <v/>
      </c>
      <c r="G35" s="19" t="str">
        <f aca="false">IFERROR(INDEX(Equity!$N:$N,MATCH($B$2&amp;"#"&amp;20,Equity!$P:$P,0)),"")</f>
        <v/>
      </c>
    </row>
    <row r="36" customFormat="false" ht="15" hidden="false" customHeight="true" outlineLevel="0" collapsed="false">
      <c r="A36" s="15" t="str">
        <f aca="false">IFERROR(INDEX(Equity!$B:$B,MATCH($B$2&amp;"#"&amp;21,Equity!$P:$P,0)),"")</f>
        <v/>
      </c>
      <c r="B36" s="15" t="str">
        <f aca="false">IFERROR(INDEX(Equity!$C:$C,MATCH($B$2&amp;"#"&amp;21,Equity!$P:$P,0)),"")</f>
        <v/>
      </c>
      <c r="C36" s="18" t="str">
        <f aca="false">IFERROR(INDEX(Equity!$D:$D,MATCH($B$2&amp;"#"&amp;21,Equity!$P:$P,0)),"")</f>
        <v/>
      </c>
      <c r="D36" s="18" t="str">
        <f aca="false">IFERROR(INDEX(Equity!$E:$E,MATCH($B$2&amp;"#"&amp;21,Equity!$P:$P,0)),"")</f>
        <v/>
      </c>
      <c r="E36" s="13" t="str">
        <f aca="false">IFERROR(INDEX(Equity!$I:$I,MATCH($B$2&amp;"#"&amp;21,Equity!$P:$P,0)),"")</f>
        <v/>
      </c>
      <c r="F36" s="13" t="str">
        <f aca="false">IFERROR(INDEX(Equity!$K:$K,MATCH($B$2&amp;"#"&amp;21,Equity!$P:$P,0)),"")</f>
        <v/>
      </c>
      <c r="G36" s="19" t="str">
        <f aca="false">IFERROR(INDEX(Equity!$N:$N,MATCH($B$2&amp;"#"&amp;21,Equity!$P:$P,0)),"")</f>
        <v/>
      </c>
    </row>
    <row r="37" customFormat="false" ht="15" hidden="false" customHeight="true" outlineLevel="0" collapsed="false">
      <c r="A37" s="15" t="str">
        <f aca="false">IFERROR(INDEX(Equity!$B:$B,MATCH($B$2&amp;"#"&amp;22,Equity!$P:$P,0)),"")</f>
        <v/>
      </c>
      <c r="B37" s="15" t="str">
        <f aca="false">IFERROR(INDEX(Equity!$C:$C,MATCH($B$2&amp;"#"&amp;22,Equity!$P:$P,0)),"")</f>
        <v/>
      </c>
      <c r="C37" s="18" t="str">
        <f aca="false">IFERROR(INDEX(Equity!$D:$D,MATCH($B$2&amp;"#"&amp;22,Equity!$P:$P,0)),"")</f>
        <v/>
      </c>
      <c r="D37" s="18" t="str">
        <f aca="false">IFERROR(INDEX(Equity!$E:$E,MATCH($B$2&amp;"#"&amp;22,Equity!$P:$P,0)),"")</f>
        <v/>
      </c>
      <c r="E37" s="13" t="str">
        <f aca="false">IFERROR(INDEX(Equity!$I:$I,MATCH($B$2&amp;"#"&amp;22,Equity!$P:$P,0)),"")</f>
        <v/>
      </c>
      <c r="F37" s="13" t="str">
        <f aca="false">IFERROR(INDEX(Equity!$K:$K,MATCH($B$2&amp;"#"&amp;22,Equity!$P:$P,0)),"")</f>
        <v/>
      </c>
      <c r="G37" s="19" t="str">
        <f aca="false">IFERROR(INDEX(Equity!$N:$N,MATCH($B$2&amp;"#"&amp;22,Equity!$P:$P,0)),"")</f>
        <v/>
      </c>
    </row>
    <row r="38" customFormat="false" ht="15" hidden="false" customHeight="true" outlineLevel="0" collapsed="false">
      <c r="A38" s="15" t="str">
        <f aca="false">IFERROR(INDEX(Equity!$B:$B,MATCH($B$2&amp;"#"&amp;23,Equity!$P:$P,0)),"")</f>
        <v/>
      </c>
      <c r="B38" s="15" t="str">
        <f aca="false">IFERROR(INDEX(Equity!$C:$C,MATCH($B$2&amp;"#"&amp;23,Equity!$P:$P,0)),"")</f>
        <v/>
      </c>
      <c r="C38" s="18" t="str">
        <f aca="false">IFERROR(INDEX(Equity!$D:$D,MATCH($B$2&amp;"#"&amp;23,Equity!$P:$P,0)),"")</f>
        <v/>
      </c>
      <c r="D38" s="18" t="str">
        <f aca="false">IFERROR(INDEX(Equity!$E:$E,MATCH($B$2&amp;"#"&amp;23,Equity!$P:$P,0)),"")</f>
        <v/>
      </c>
      <c r="E38" s="13" t="str">
        <f aca="false">IFERROR(INDEX(Equity!$I:$I,MATCH($B$2&amp;"#"&amp;23,Equity!$P:$P,0)),"")</f>
        <v/>
      </c>
      <c r="F38" s="13" t="str">
        <f aca="false">IFERROR(INDEX(Equity!$K:$K,MATCH($B$2&amp;"#"&amp;23,Equity!$P:$P,0)),"")</f>
        <v/>
      </c>
      <c r="G38" s="19" t="str">
        <f aca="false">IFERROR(INDEX(Equity!$N:$N,MATCH($B$2&amp;"#"&amp;23,Equity!$P:$P,0)),"")</f>
        <v/>
      </c>
    </row>
    <row r="39" customFormat="false" ht="15" hidden="false" customHeight="true" outlineLevel="0" collapsed="false">
      <c r="A39" s="15" t="str">
        <f aca="false">IFERROR(INDEX(Equity!$B:$B,MATCH($B$2&amp;"#"&amp;24,Equity!$P:$P,0)),"")</f>
        <v/>
      </c>
      <c r="B39" s="15" t="str">
        <f aca="false">IFERROR(INDEX(Equity!$C:$C,MATCH($B$2&amp;"#"&amp;24,Equity!$P:$P,0)),"")</f>
        <v/>
      </c>
      <c r="C39" s="18" t="str">
        <f aca="false">IFERROR(INDEX(Equity!$D:$D,MATCH($B$2&amp;"#"&amp;24,Equity!$P:$P,0)),"")</f>
        <v/>
      </c>
      <c r="D39" s="18" t="str">
        <f aca="false">IFERROR(INDEX(Equity!$E:$E,MATCH($B$2&amp;"#"&amp;24,Equity!$P:$P,0)),"")</f>
        <v/>
      </c>
      <c r="E39" s="13" t="str">
        <f aca="false">IFERROR(INDEX(Equity!$I:$I,MATCH($B$2&amp;"#"&amp;24,Equity!$P:$P,0)),"")</f>
        <v/>
      </c>
      <c r="F39" s="13" t="str">
        <f aca="false">IFERROR(INDEX(Equity!$K:$K,MATCH($B$2&amp;"#"&amp;24,Equity!$P:$P,0)),"")</f>
        <v/>
      </c>
      <c r="G39" s="19" t="str">
        <f aca="false">IFERROR(INDEX(Equity!$N:$N,MATCH($B$2&amp;"#"&amp;24,Equity!$P:$P,0)),"")</f>
        <v/>
      </c>
    </row>
    <row r="40" customFormat="false" ht="15" hidden="false" customHeight="true" outlineLevel="0" collapsed="false">
      <c r="A40" s="15" t="str">
        <f aca="false">IFERROR(INDEX(Equity!$B:$B,MATCH($B$2&amp;"#"&amp;25,Equity!$P:$P,0)),"")</f>
        <v/>
      </c>
      <c r="B40" s="15" t="str">
        <f aca="false">IFERROR(INDEX(Equity!$C:$C,MATCH($B$2&amp;"#"&amp;25,Equity!$P:$P,0)),"")</f>
        <v/>
      </c>
      <c r="C40" s="18" t="str">
        <f aca="false">IFERROR(INDEX(Equity!$D:$D,MATCH($B$2&amp;"#"&amp;25,Equity!$P:$P,0)),"")</f>
        <v/>
      </c>
      <c r="D40" s="18" t="str">
        <f aca="false">IFERROR(INDEX(Equity!$E:$E,MATCH($B$2&amp;"#"&amp;25,Equity!$P:$P,0)),"")</f>
        <v/>
      </c>
      <c r="E40" s="13" t="str">
        <f aca="false">IFERROR(INDEX(Equity!$I:$I,MATCH($B$2&amp;"#"&amp;25,Equity!$P:$P,0)),"")</f>
        <v/>
      </c>
      <c r="F40" s="13" t="str">
        <f aca="false">IFERROR(INDEX(Equity!$K:$K,MATCH($B$2&amp;"#"&amp;25,Equity!$P:$P,0)),"")</f>
        <v/>
      </c>
      <c r="G40" s="19" t="str">
        <f aca="false">IFERROR(INDEX(Equity!$N:$N,MATCH($B$2&amp;"#"&amp;25,Equity!$P:$P,0)),"")</f>
        <v/>
      </c>
    </row>
    <row r="41" customFormat="false" ht="15" hidden="false" customHeight="true" outlineLevel="0" collapsed="false">
      <c r="A41" s="15" t="str">
        <f aca="false">IFERROR(INDEX(Equity!$B:$B,MATCH($B$2&amp;"#"&amp;26,Equity!$P:$P,0)),"")</f>
        <v/>
      </c>
      <c r="B41" s="15" t="str">
        <f aca="false">IFERROR(INDEX(Equity!$C:$C,MATCH($B$2&amp;"#"&amp;26,Equity!$P:$P,0)),"")</f>
        <v/>
      </c>
      <c r="C41" s="18" t="str">
        <f aca="false">IFERROR(INDEX(Equity!$D:$D,MATCH($B$2&amp;"#"&amp;26,Equity!$P:$P,0)),"")</f>
        <v/>
      </c>
      <c r="D41" s="18" t="str">
        <f aca="false">IFERROR(INDEX(Equity!$E:$E,MATCH($B$2&amp;"#"&amp;26,Equity!$P:$P,0)),"")</f>
        <v/>
      </c>
      <c r="E41" s="13" t="str">
        <f aca="false">IFERROR(INDEX(Equity!$I:$I,MATCH($B$2&amp;"#"&amp;26,Equity!$P:$P,0)),"")</f>
        <v/>
      </c>
      <c r="F41" s="13" t="str">
        <f aca="false">IFERROR(INDEX(Equity!$K:$K,MATCH($B$2&amp;"#"&amp;26,Equity!$P:$P,0)),"")</f>
        <v/>
      </c>
      <c r="G41" s="19" t="str">
        <f aca="false">IFERROR(INDEX(Equity!$N:$N,MATCH($B$2&amp;"#"&amp;26,Equity!$P:$P,0)),"")</f>
        <v/>
      </c>
    </row>
    <row r="42" customFormat="false" ht="15" hidden="false" customHeight="true" outlineLevel="0" collapsed="false">
      <c r="A42" s="15" t="str">
        <f aca="false">IFERROR(INDEX(Equity!$B:$B,MATCH($B$2&amp;"#"&amp;27,Equity!$P:$P,0)),"")</f>
        <v/>
      </c>
      <c r="B42" s="15" t="str">
        <f aca="false">IFERROR(INDEX(Equity!$C:$C,MATCH($B$2&amp;"#"&amp;27,Equity!$P:$P,0)),"")</f>
        <v/>
      </c>
      <c r="C42" s="18" t="str">
        <f aca="false">IFERROR(INDEX(Equity!$D:$D,MATCH($B$2&amp;"#"&amp;27,Equity!$P:$P,0)),"")</f>
        <v/>
      </c>
      <c r="D42" s="18" t="str">
        <f aca="false">IFERROR(INDEX(Equity!$E:$E,MATCH($B$2&amp;"#"&amp;27,Equity!$P:$P,0)),"")</f>
        <v/>
      </c>
      <c r="E42" s="13" t="str">
        <f aca="false">IFERROR(INDEX(Equity!$I:$I,MATCH($B$2&amp;"#"&amp;27,Equity!$P:$P,0)),"")</f>
        <v/>
      </c>
      <c r="F42" s="13" t="str">
        <f aca="false">IFERROR(INDEX(Equity!$K:$K,MATCH($B$2&amp;"#"&amp;27,Equity!$P:$P,0)),"")</f>
        <v/>
      </c>
      <c r="G42" s="19" t="str">
        <f aca="false">IFERROR(INDEX(Equity!$N:$N,MATCH($B$2&amp;"#"&amp;27,Equity!$P:$P,0)),"")</f>
        <v/>
      </c>
    </row>
    <row r="43" customFormat="false" ht="15" hidden="false" customHeight="true" outlineLevel="0" collapsed="false">
      <c r="A43" s="15" t="str">
        <f aca="false">IFERROR(INDEX(Equity!$B:$B,MATCH($B$2&amp;"#"&amp;28,Equity!$P:$P,0)),"")</f>
        <v/>
      </c>
      <c r="B43" s="15" t="str">
        <f aca="false">IFERROR(INDEX(Equity!$C:$C,MATCH($B$2&amp;"#"&amp;28,Equity!$P:$P,0)),"")</f>
        <v/>
      </c>
      <c r="C43" s="18" t="str">
        <f aca="false">IFERROR(INDEX(Equity!$D:$D,MATCH($B$2&amp;"#"&amp;28,Equity!$P:$P,0)),"")</f>
        <v/>
      </c>
      <c r="D43" s="18" t="str">
        <f aca="false">IFERROR(INDEX(Equity!$E:$E,MATCH($B$2&amp;"#"&amp;28,Equity!$P:$P,0)),"")</f>
        <v/>
      </c>
      <c r="E43" s="13" t="str">
        <f aca="false">IFERROR(INDEX(Equity!$I:$I,MATCH($B$2&amp;"#"&amp;28,Equity!$P:$P,0)),"")</f>
        <v/>
      </c>
      <c r="F43" s="13" t="str">
        <f aca="false">IFERROR(INDEX(Equity!$K:$K,MATCH($B$2&amp;"#"&amp;28,Equity!$P:$P,0)),"")</f>
        <v/>
      </c>
      <c r="G43" s="19" t="str">
        <f aca="false">IFERROR(INDEX(Equity!$N:$N,MATCH($B$2&amp;"#"&amp;28,Equity!$P:$P,0)),"")</f>
        <v/>
      </c>
    </row>
    <row r="44" customFormat="false" ht="15" hidden="false" customHeight="true" outlineLevel="0" collapsed="false">
      <c r="A44" s="15" t="str">
        <f aca="false">IFERROR(INDEX(Equity!$B:$B,MATCH($B$2&amp;"#"&amp;29,Equity!$P:$P,0)),"")</f>
        <v/>
      </c>
      <c r="B44" s="15" t="str">
        <f aca="false">IFERROR(INDEX(Equity!$C:$C,MATCH($B$2&amp;"#"&amp;29,Equity!$P:$P,0)),"")</f>
        <v/>
      </c>
      <c r="C44" s="18" t="str">
        <f aca="false">IFERROR(INDEX(Equity!$D:$D,MATCH($B$2&amp;"#"&amp;29,Equity!$P:$P,0)),"")</f>
        <v/>
      </c>
      <c r="D44" s="18" t="str">
        <f aca="false">IFERROR(INDEX(Equity!$E:$E,MATCH($B$2&amp;"#"&amp;29,Equity!$P:$P,0)),"")</f>
        <v/>
      </c>
      <c r="E44" s="13" t="str">
        <f aca="false">IFERROR(INDEX(Equity!$I:$I,MATCH($B$2&amp;"#"&amp;29,Equity!$P:$P,0)),"")</f>
        <v/>
      </c>
      <c r="F44" s="13" t="str">
        <f aca="false">IFERROR(INDEX(Equity!$K:$K,MATCH($B$2&amp;"#"&amp;29,Equity!$P:$P,0)),"")</f>
        <v/>
      </c>
      <c r="G44" s="19" t="str">
        <f aca="false">IFERROR(INDEX(Equity!$N:$N,MATCH($B$2&amp;"#"&amp;29,Equity!$P:$P,0)),"")</f>
        <v/>
      </c>
    </row>
    <row r="45" customFormat="false" ht="15" hidden="false" customHeight="true" outlineLevel="0" collapsed="false">
      <c r="A45" s="15" t="str">
        <f aca="false">IFERROR(INDEX(Equity!$B:$B,MATCH($B$2&amp;"#"&amp;30,Equity!$P:$P,0)),"")</f>
        <v/>
      </c>
      <c r="B45" s="15" t="str">
        <f aca="false">IFERROR(INDEX(Equity!$C:$C,MATCH($B$2&amp;"#"&amp;30,Equity!$P:$P,0)),"")</f>
        <v/>
      </c>
      <c r="C45" s="18" t="str">
        <f aca="false">IFERROR(INDEX(Equity!$D:$D,MATCH($B$2&amp;"#"&amp;30,Equity!$P:$P,0)),"")</f>
        <v/>
      </c>
      <c r="D45" s="18" t="str">
        <f aca="false">IFERROR(INDEX(Equity!$E:$E,MATCH($B$2&amp;"#"&amp;30,Equity!$P:$P,0)),"")</f>
        <v/>
      </c>
      <c r="E45" s="13" t="str">
        <f aca="false">IFERROR(INDEX(Equity!$I:$I,MATCH($B$2&amp;"#"&amp;30,Equity!$P:$P,0)),"")</f>
        <v/>
      </c>
      <c r="F45" s="13" t="str">
        <f aca="false">IFERROR(INDEX(Equity!$K:$K,MATCH($B$2&amp;"#"&amp;30,Equity!$P:$P,0)),"")</f>
        <v/>
      </c>
      <c r="G45" s="19" t="str">
        <f aca="false">IFERROR(INDEX(Equity!$N:$N,MATCH($B$2&amp;"#"&amp;30,Equity!$P:$P,0)),"")</f>
        <v/>
      </c>
    </row>
    <row r="46" customFormat="false" ht="15" hidden="false" customHeight="true" outlineLevel="0" collapsed="false">
      <c r="A46" s="15" t="str">
        <f aca="false">IFERROR(INDEX(Equity!$B:$B,MATCH($B$2&amp;"#"&amp;31,Equity!$P:$P,0)),"")</f>
        <v/>
      </c>
      <c r="B46" s="15" t="str">
        <f aca="false">IFERROR(INDEX(Equity!$C:$C,MATCH($B$2&amp;"#"&amp;31,Equity!$P:$P,0)),"")</f>
        <v/>
      </c>
      <c r="C46" s="18" t="str">
        <f aca="false">IFERROR(INDEX(Equity!$D:$D,MATCH($B$2&amp;"#"&amp;31,Equity!$P:$P,0)),"")</f>
        <v/>
      </c>
      <c r="D46" s="18" t="str">
        <f aca="false">IFERROR(INDEX(Equity!$E:$E,MATCH($B$2&amp;"#"&amp;31,Equity!$P:$P,0)),"")</f>
        <v/>
      </c>
      <c r="E46" s="13" t="str">
        <f aca="false">IFERROR(INDEX(Equity!$I:$I,MATCH($B$2&amp;"#"&amp;31,Equity!$P:$P,0)),"")</f>
        <v/>
      </c>
      <c r="F46" s="13" t="str">
        <f aca="false">IFERROR(INDEX(Equity!$K:$K,MATCH($B$2&amp;"#"&amp;31,Equity!$P:$P,0)),"")</f>
        <v/>
      </c>
      <c r="G46" s="19" t="str">
        <f aca="false">IFERROR(INDEX(Equity!$N:$N,MATCH($B$2&amp;"#"&amp;31,Equity!$P:$P,0)),"")</f>
        <v/>
      </c>
    </row>
    <row r="47" customFormat="false" ht="15" hidden="false" customHeight="true" outlineLevel="0" collapsed="false">
      <c r="A47" s="15" t="str">
        <f aca="false">IFERROR(INDEX(Equity!$B:$B,MATCH($B$2&amp;"#"&amp;32,Equity!$P:$P,0)),"")</f>
        <v/>
      </c>
      <c r="B47" s="15" t="str">
        <f aca="false">IFERROR(INDEX(Equity!$C:$C,MATCH($B$2&amp;"#"&amp;32,Equity!$P:$P,0)),"")</f>
        <v/>
      </c>
      <c r="C47" s="18" t="str">
        <f aca="false">IFERROR(INDEX(Equity!$D:$D,MATCH($B$2&amp;"#"&amp;32,Equity!$P:$P,0)),"")</f>
        <v/>
      </c>
      <c r="D47" s="18" t="str">
        <f aca="false">IFERROR(INDEX(Equity!$E:$E,MATCH($B$2&amp;"#"&amp;32,Equity!$P:$P,0)),"")</f>
        <v/>
      </c>
      <c r="E47" s="13" t="str">
        <f aca="false">IFERROR(INDEX(Equity!$I:$I,MATCH($B$2&amp;"#"&amp;32,Equity!$P:$P,0)),"")</f>
        <v/>
      </c>
      <c r="F47" s="13" t="str">
        <f aca="false">IFERROR(INDEX(Equity!$K:$K,MATCH($B$2&amp;"#"&amp;32,Equity!$P:$P,0)),"")</f>
        <v/>
      </c>
      <c r="G47" s="19" t="str">
        <f aca="false">IFERROR(INDEX(Equity!$N:$N,MATCH($B$2&amp;"#"&amp;32,Equity!$P:$P,0)),"")</f>
        <v/>
      </c>
    </row>
    <row r="48" customFormat="false" ht="15" hidden="false" customHeight="true" outlineLevel="0" collapsed="false">
      <c r="A48" s="15" t="str">
        <f aca="false">IFERROR(INDEX(Equity!$B:$B,MATCH($B$2&amp;"#"&amp;33,Equity!$P:$P,0)),"")</f>
        <v/>
      </c>
      <c r="B48" s="15" t="str">
        <f aca="false">IFERROR(INDEX(Equity!$C:$C,MATCH($B$2&amp;"#"&amp;33,Equity!$P:$P,0)),"")</f>
        <v/>
      </c>
      <c r="C48" s="18" t="str">
        <f aca="false">IFERROR(INDEX(Equity!$D:$D,MATCH($B$2&amp;"#"&amp;33,Equity!$P:$P,0)),"")</f>
        <v/>
      </c>
      <c r="D48" s="18" t="str">
        <f aca="false">IFERROR(INDEX(Equity!$E:$E,MATCH($B$2&amp;"#"&amp;33,Equity!$P:$P,0)),"")</f>
        <v/>
      </c>
      <c r="E48" s="13" t="str">
        <f aca="false">IFERROR(INDEX(Equity!$I:$I,MATCH($B$2&amp;"#"&amp;33,Equity!$P:$P,0)),"")</f>
        <v/>
      </c>
      <c r="F48" s="13" t="str">
        <f aca="false">IFERROR(INDEX(Equity!$K:$K,MATCH($B$2&amp;"#"&amp;33,Equity!$P:$P,0)),"")</f>
        <v/>
      </c>
      <c r="G48" s="19" t="str">
        <f aca="false">IFERROR(INDEX(Equity!$N:$N,MATCH($B$2&amp;"#"&amp;33,Equity!$P:$P,0)),"")</f>
        <v/>
      </c>
    </row>
    <row r="49" customFormat="false" ht="15" hidden="false" customHeight="true" outlineLevel="0" collapsed="false">
      <c r="A49" s="15" t="str">
        <f aca="false">IFERROR(INDEX(Equity!$B:$B,MATCH($B$2&amp;"#"&amp;34,Equity!$P:$P,0)),"")</f>
        <v/>
      </c>
      <c r="B49" s="15" t="str">
        <f aca="false">IFERROR(INDEX(Equity!$C:$C,MATCH($B$2&amp;"#"&amp;34,Equity!$P:$P,0)),"")</f>
        <v/>
      </c>
      <c r="C49" s="18" t="str">
        <f aca="false">IFERROR(INDEX(Equity!$D:$D,MATCH($B$2&amp;"#"&amp;34,Equity!$P:$P,0)),"")</f>
        <v/>
      </c>
      <c r="D49" s="18" t="str">
        <f aca="false">IFERROR(INDEX(Equity!$E:$E,MATCH($B$2&amp;"#"&amp;34,Equity!$P:$P,0)),"")</f>
        <v/>
      </c>
      <c r="E49" s="13" t="str">
        <f aca="false">IFERROR(INDEX(Equity!$I:$I,MATCH($B$2&amp;"#"&amp;34,Equity!$P:$P,0)),"")</f>
        <v/>
      </c>
      <c r="F49" s="13" t="str">
        <f aca="false">IFERROR(INDEX(Equity!$K:$K,MATCH($B$2&amp;"#"&amp;34,Equity!$P:$P,0)),"")</f>
        <v/>
      </c>
      <c r="G49" s="19" t="str">
        <f aca="false">IFERROR(INDEX(Equity!$N:$N,MATCH($B$2&amp;"#"&amp;34,Equity!$P:$P,0)),"")</f>
        <v/>
      </c>
    </row>
    <row r="50" customFormat="false" ht="15" hidden="false" customHeight="true" outlineLevel="0" collapsed="false">
      <c r="A50" s="15" t="str">
        <f aca="false">IFERROR(INDEX(Equity!$B:$B,MATCH($B$2&amp;"#"&amp;35,Equity!$P:$P,0)),"")</f>
        <v/>
      </c>
      <c r="B50" s="15" t="str">
        <f aca="false">IFERROR(INDEX(Equity!$C:$C,MATCH($B$2&amp;"#"&amp;35,Equity!$P:$P,0)),"")</f>
        <v/>
      </c>
      <c r="C50" s="18" t="str">
        <f aca="false">IFERROR(INDEX(Equity!$D:$D,MATCH($B$2&amp;"#"&amp;35,Equity!$P:$P,0)),"")</f>
        <v/>
      </c>
      <c r="D50" s="18" t="str">
        <f aca="false">IFERROR(INDEX(Equity!$E:$E,MATCH($B$2&amp;"#"&amp;35,Equity!$P:$P,0)),"")</f>
        <v/>
      </c>
      <c r="E50" s="13" t="str">
        <f aca="false">IFERROR(INDEX(Equity!$I:$I,MATCH($B$2&amp;"#"&amp;35,Equity!$P:$P,0)),"")</f>
        <v/>
      </c>
      <c r="F50" s="13" t="str">
        <f aca="false">IFERROR(INDEX(Equity!$K:$K,MATCH($B$2&amp;"#"&amp;35,Equity!$P:$P,0)),"")</f>
        <v/>
      </c>
      <c r="G50" s="19" t="str">
        <f aca="false">IFERROR(INDEX(Equity!$N:$N,MATCH($B$2&amp;"#"&amp;35,Equity!$P:$P,0)),"")</f>
        <v/>
      </c>
    </row>
    <row r="51" customFormat="false" ht="15" hidden="false" customHeight="true" outlineLevel="0" collapsed="false">
      <c r="A51" s="15" t="str">
        <f aca="false">IFERROR(INDEX(Equity!$B:$B,MATCH($B$2&amp;"#"&amp;36,Equity!$P:$P,0)),"")</f>
        <v/>
      </c>
      <c r="B51" s="15" t="str">
        <f aca="false">IFERROR(INDEX(Equity!$C:$C,MATCH($B$2&amp;"#"&amp;36,Equity!$P:$P,0)),"")</f>
        <v/>
      </c>
      <c r="C51" s="18" t="str">
        <f aca="false">IFERROR(INDEX(Equity!$D:$D,MATCH($B$2&amp;"#"&amp;36,Equity!$P:$P,0)),"")</f>
        <v/>
      </c>
      <c r="D51" s="18" t="str">
        <f aca="false">IFERROR(INDEX(Equity!$E:$E,MATCH($B$2&amp;"#"&amp;36,Equity!$P:$P,0)),"")</f>
        <v/>
      </c>
      <c r="E51" s="13" t="str">
        <f aca="false">IFERROR(INDEX(Equity!$I:$I,MATCH($B$2&amp;"#"&amp;36,Equity!$P:$P,0)),"")</f>
        <v/>
      </c>
      <c r="F51" s="13" t="str">
        <f aca="false">IFERROR(INDEX(Equity!$K:$K,MATCH($B$2&amp;"#"&amp;36,Equity!$P:$P,0)),"")</f>
        <v/>
      </c>
      <c r="G51" s="19" t="str">
        <f aca="false">IFERROR(INDEX(Equity!$N:$N,MATCH($B$2&amp;"#"&amp;36,Equity!$P:$P,0)),"")</f>
        <v/>
      </c>
    </row>
    <row r="52" customFormat="false" ht="15" hidden="false" customHeight="true" outlineLevel="0" collapsed="false">
      <c r="A52" s="15" t="str">
        <f aca="false">IFERROR(INDEX(Equity!$B:$B,MATCH($B$2&amp;"#"&amp;37,Equity!$P:$P,0)),"")</f>
        <v/>
      </c>
      <c r="B52" s="15" t="str">
        <f aca="false">IFERROR(INDEX(Equity!$C:$C,MATCH($B$2&amp;"#"&amp;37,Equity!$P:$P,0)),"")</f>
        <v/>
      </c>
      <c r="C52" s="18" t="str">
        <f aca="false">IFERROR(INDEX(Equity!$D:$D,MATCH($B$2&amp;"#"&amp;37,Equity!$P:$P,0)),"")</f>
        <v/>
      </c>
      <c r="D52" s="18" t="str">
        <f aca="false">IFERROR(INDEX(Equity!$E:$E,MATCH($B$2&amp;"#"&amp;37,Equity!$P:$P,0)),"")</f>
        <v/>
      </c>
      <c r="E52" s="13" t="str">
        <f aca="false">IFERROR(INDEX(Equity!$I:$I,MATCH($B$2&amp;"#"&amp;37,Equity!$P:$P,0)),"")</f>
        <v/>
      </c>
      <c r="F52" s="13" t="str">
        <f aca="false">IFERROR(INDEX(Equity!$K:$K,MATCH($B$2&amp;"#"&amp;37,Equity!$P:$P,0)),"")</f>
        <v/>
      </c>
      <c r="G52" s="19" t="str">
        <f aca="false">IFERROR(INDEX(Equity!$N:$N,MATCH($B$2&amp;"#"&amp;37,Equity!$P:$P,0)),"")</f>
        <v/>
      </c>
    </row>
    <row r="53" customFormat="false" ht="15" hidden="false" customHeight="true" outlineLevel="0" collapsed="false">
      <c r="A53" s="15" t="str">
        <f aca="false">IFERROR(INDEX(Equity!$B:$B,MATCH($B$2&amp;"#"&amp;38,Equity!$P:$P,0)),"")</f>
        <v/>
      </c>
      <c r="B53" s="15" t="str">
        <f aca="false">IFERROR(INDEX(Equity!$C:$C,MATCH($B$2&amp;"#"&amp;38,Equity!$P:$P,0)),"")</f>
        <v/>
      </c>
      <c r="C53" s="18" t="str">
        <f aca="false">IFERROR(INDEX(Equity!$D:$D,MATCH($B$2&amp;"#"&amp;38,Equity!$P:$P,0)),"")</f>
        <v/>
      </c>
      <c r="D53" s="18" t="str">
        <f aca="false">IFERROR(INDEX(Equity!$E:$E,MATCH($B$2&amp;"#"&amp;38,Equity!$P:$P,0)),"")</f>
        <v/>
      </c>
      <c r="E53" s="13" t="str">
        <f aca="false">IFERROR(INDEX(Equity!$I:$I,MATCH($B$2&amp;"#"&amp;38,Equity!$P:$P,0)),"")</f>
        <v/>
      </c>
      <c r="F53" s="13" t="str">
        <f aca="false">IFERROR(INDEX(Equity!$K:$K,MATCH($B$2&amp;"#"&amp;38,Equity!$P:$P,0)),"")</f>
        <v/>
      </c>
      <c r="G53" s="19" t="str">
        <f aca="false">IFERROR(INDEX(Equity!$N:$N,MATCH($B$2&amp;"#"&amp;38,Equity!$P:$P,0)),"")</f>
        <v/>
      </c>
    </row>
    <row r="54" customFormat="false" ht="15" hidden="false" customHeight="true" outlineLevel="0" collapsed="false">
      <c r="A54" s="15" t="str">
        <f aca="false">IFERROR(INDEX(Equity!$B:$B,MATCH($B$2&amp;"#"&amp;39,Equity!$P:$P,0)),"")</f>
        <v/>
      </c>
      <c r="B54" s="15" t="str">
        <f aca="false">IFERROR(INDEX(Equity!$C:$C,MATCH($B$2&amp;"#"&amp;39,Equity!$P:$P,0)),"")</f>
        <v/>
      </c>
      <c r="C54" s="18" t="str">
        <f aca="false">IFERROR(INDEX(Equity!$D:$D,MATCH($B$2&amp;"#"&amp;39,Equity!$P:$P,0)),"")</f>
        <v/>
      </c>
      <c r="D54" s="18" t="str">
        <f aca="false">IFERROR(INDEX(Equity!$E:$E,MATCH($B$2&amp;"#"&amp;39,Equity!$P:$P,0)),"")</f>
        <v/>
      </c>
      <c r="E54" s="13" t="str">
        <f aca="false">IFERROR(INDEX(Equity!$I:$I,MATCH($B$2&amp;"#"&amp;39,Equity!$P:$P,0)),"")</f>
        <v/>
      </c>
      <c r="F54" s="13" t="str">
        <f aca="false">IFERROR(INDEX(Equity!$K:$K,MATCH($B$2&amp;"#"&amp;39,Equity!$P:$P,0)),"")</f>
        <v/>
      </c>
      <c r="G54" s="19" t="str">
        <f aca="false">IFERROR(INDEX(Equity!$N:$N,MATCH($B$2&amp;"#"&amp;39,Equity!$P:$P,0)),"")</f>
        <v/>
      </c>
    </row>
    <row r="55" customFormat="false" ht="15" hidden="false" customHeight="true" outlineLevel="0" collapsed="false">
      <c r="A55" s="15" t="str">
        <f aca="false">IFERROR(INDEX(Equity!$B:$B,MATCH($B$2&amp;"#"&amp;40,Equity!$P:$P,0)),"")</f>
        <v/>
      </c>
      <c r="B55" s="15" t="str">
        <f aca="false">IFERROR(INDEX(Equity!$C:$C,MATCH($B$2&amp;"#"&amp;40,Equity!$P:$P,0)),"")</f>
        <v/>
      </c>
      <c r="C55" s="18" t="str">
        <f aca="false">IFERROR(INDEX(Equity!$D:$D,MATCH($B$2&amp;"#"&amp;40,Equity!$P:$P,0)),"")</f>
        <v/>
      </c>
      <c r="D55" s="18" t="str">
        <f aca="false">IFERROR(INDEX(Equity!$E:$E,MATCH($B$2&amp;"#"&amp;40,Equity!$P:$P,0)),"")</f>
        <v/>
      </c>
      <c r="E55" s="13" t="str">
        <f aca="false">IFERROR(INDEX(Equity!$I:$I,MATCH($B$2&amp;"#"&amp;40,Equity!$P:$P,0)),"")</f>
        <v/>
      </c>
      <c r="F55" s="13" t="str">
        <f aca="false">IFERROR(INDEX(Equity!$K:$K,MATCH($B$2&amp;"#"&amp;40,Equity!$P:$P,0)),"")</f>
        <v/>
      </c>
      <c r="G55" s="19" t="str">
        <f aca="false">IFERROR(INDEX(Equity!$N:$N,MATCH($B$2&amp;"#"&amp;40,Equity!$P:$P,0)),"")</f>
        <v/>
      </c>
    </row>
    <row r="57" customFormat="false" ht="15" hidden="false" customHeight="true" outlineLevel="0" collapsed="false">
      <c r="A57" s="3" t="s">
        <v>29</v>
      </c>
    </row>
    <row r="58" customFormat="false" ht="15" hidden="false" customHeight="true" outlineLevel="0" collapsed="false">
      <c r="A58" s="17" t="s">
        <v>30</v>
      </c>
      <c r="B58" s="17" t="s">
        <v>31</v>
      </c>
      <c r="C58" s="17" t="s">
        <v>32</v>
      </c>
      <c r="D58" s="17" t="s">
        <v>33</v>
      </c>
      <c r="E58" s="17" t="s">
        <v>26</v>
      </c>
      <c r="F58" s="17" t="s">
        <v>27</v>
      </c>
      <c r="G58" s="17" t="s">
        <v>28</v>
      </c>
    </row>
    <row r="59" customFormat="false" ht="15" hidden="false" customHeight="true" outlineLevel="0" collapsed="false">
      <c r="A59" s="15" t="str">
        <f aca="false">IFERROR(INDEX(MutualFunds!$B:$B,MATCH($B$2&amp;"#"&amp;1,MutualFunds!$N:$N,0)),"")</f>
        <v/>
      </c>
      <c r="B59" s="15" t="str">
        <f aca="false">IFERROR(INDEX(MutualFunds!$C:$C,MATCH($B$2&amp;"#"&amp;1,MutualFunds!$N:$N,0)),"")</f>
        <v/>
      </c>
      <c r="C59" s="18" t="str">
        <f aca="false">IFERROR(INDEX(MutualFunds!$E:$E,MATCH($B$2&amp;"#"&amp;1,MutualFunds!$N:$N,0)),"")</f>
        <v/>
      </c>
      <c r="D59" s="18" t="str">
        <f aca="false">IFERROR(INDEX(MutualFunds!$G:$G,MATCH($B$2&amp;"#"&amp;1,MutualFunds!$N:$N,0)),"")</f>
        <v/>
      </c>
      <c r="E59" s="13" t="str">
        <f aca="false">IFERROR(INDEX(MutualFunds!$I:$I,MATCH($B$2&amp;"#"&amp;1,MutualFunds!$N:$N,0)),"")</f>
        <v/>
      </c>
      <c r="F59" s="13" t="str">
        <f aca="false">IFERROR(INDEX(MutualFunds!$J:$J,MATCH($B$2&amp;"#"&amp;1,MutualFunds!$N:$N,0)),"")</f>
        <v/>
      </c>
      <c r="G59" s="19" t="str">
        <f aca="false">IFERROR(INDEX(MutualFunds!$L:$L,MATCH($B$2&amp;"#"&amp;1,MutualFunds!$N:$N,0)),"")</f>
        <v/>
      </c>
    </row>
    <row r="60" customFormat="false" ht="15" hidden="false" customHeight="true" outlineLevel="0" collapsed="false">
      <c r="A60" s="15" t="str">
        <f aca="false">IFERROR(INDEX(MutualFunds!$B:$B,MATCH($B$2&amp;"#"&amp;2,MutualFunds!$N:$N,0)),"")</f>
        <v/>
      </c>
      <c r="B60" s="15" t="str">
        <f aca="false">IFERROR(INDEX(MutualFunds!$C:$C,MATCH($B$2&amp;"#"&amp;2,MutualFunds!$N:$N,0)),"")</f>
        <v/>
      </c>
      <c r="C60" s="18" t="str">
        <f aca="false">IFERROR(INDEX(MutualFunds!$E:$E,MATCH($B$2&amp;"#"&amp;2,MutualFunds!$N:$N,0)),"")</f>
        <v/>
      </c>
      <c r="D60" s="18" t="str">
        <f aca="false">IFERROR(INDEX(MutualFunds!$G:$G,MATCH($B$2&amp;"#"&amp;2,MutualFunds!$N:$N,0)),"")</f>
        <v/>
      </c>
      <c r="E60" s="13" t="str">
        <f aca="false">IFERROR(INDEX(MutualFunds!$I:$I,MATCH($B$2&amp;"#"&amp;2,MutualFunds!$N:$N,0)),"")</f>
        <v/>
      </c>
      <c r="F60" s="13" t="str">
        <f aca="false">IFERROR(INDEX(MutualFunds!$J:$J,MATCH($B$2&amp;"#"&amp;2,MutualFunds!$N:$N,0)),"")</f>
        <v/>
      </c>
      <c r="G60" s="19" t="str">
        <f aca="false">IFERROR(INDEX(MutualFunds!$L:$L,MATCH($B$2&amp;"#"&amp;2,MutualFunds!$N:$N,0)),"")</f>
        <v/>
      </c>
    </row>
    <row r="61" customFormat="false" ht="15" hidden="false" customHeight="true" outlineLevel="0" collapsed="false">
      <c r="A61" s="15" t="str">
        <f aca="false">IFERROR(INDEX(MutualFunds!$B:$B,MATCH($B$2&amp;"#"&amp;3,MutualFunds!$N:$N,0)),"")</f>
        <v/>
      </c>
      <c r="B61" s="15" t="str">
        <f aca="false">IFERROR(INDEX(MutualFunds!$C:$C,MATCH($B$2&amp;"#"&amp;3,MutualFunds!$N:$N,0)),"")</f>
        <v/>
      </c>
      <c r="C61" s="18" t="str">
        <f aca="false">IFERROR(INDEX(MutualFunds!$E:$E,MATCH($B$2&amp;"#"&amp;3,MutualFunds!$N:$N,0)),"")</f>
        <v/>
      </c>
      <c r="D61" s="18" t="str">
        <f aca="false">IFERROR(INDEX(MutualFunds!$G:$G,MATCH($B$2&amp;"#"&amp;3,MutualFunds!$N:$N,0)),"")</f>
        <v/>
      </c>
      <c r="E61" s="13" t="str">
        <f aca="false">IFERROR(INDEX(MutualFunds!$I:$I,MATCH($B$2&amp;"#"&amp;3,MutualFunds!$N:$N,0)),"")</f>
        <v/>
      </c>
      <c r="F61" s="13" t="str">
        <f aca="false">IFERROR(INDEX(MutualFunds!$J:$J,MATCH($B$2&amp;"#"&amp;3,MutualFunds!$N:$N,0)),"")</f>
        <v/>
      </c>
      <c r="G61" s="19" t="str">
        <f aca="false">IFERROR(INDEX(MutualFunds!$L:$L,MATCH($B$2&amp;"#"&amp;3,MutualFunds!$N:$N,0)),"")</f>
        <v/>
      </c>
    </row>
    <row r="62" customFormat="false" ht="15" hidden="false" customHeight="true" outlineLevel="0" collapsed="false">
      <c r="A62" s="15" t="str">
        <f aca="false">IFERROR(INDEX(MutualFunds!$B:$B,MATCH($B$2&amp;"#"&amp;4,MutualFunds!$N:$N,0)),"")</f>
        <v/>
      </c>
      <c r="B62" s="15" t="str">
        <f aca="false">IFERROR(INDEX(MutualFunds!$C:$C,MATCH($B$2&amp;"#"&amp;4,MutualFunds!$N:$N,0)),"")</f>
        <v/>
      </c>
      <c r="C62" s="18" t="str">
        <f aca="false">IFERROR(INDEX(MutualFunds!$E:$E,MATCH($B$2&amp;"#"&amp;4,MutualFunds!$N:$N,0)),"")</f>
        <v/>
      </c>
      <c r="D62" s="18" t="str">
        <f aca="false">IFERROR(INDEX(MutualFunds!$G:$G,MATCH($B$2&amp;"#"&amp;4,MutualFunds!$N:$N,0)),"")</f>
        <v/>
      </c>
      <c r="E62" s="13" t="str">
        <f aca="false">IFERROR(INDEX(MutualFunds!$I:$I,MATCH($B$2&amp;"#"&amp;4,MutualFunds!$N:$N,0)),"")</f>
        <v/>
      </c>
      <c r="F62" s="13" t="str">
        <f aca="false">IFERROR(INDEX(MutualFunds!$J:$J,MATCH($B$2&amp;"#"&amp;4,MutualFunds!$N:$N,0)),"")</f>
        <v/>
      </c>
      <c r="G62" s="19" t="str">
        <f aca="false">IFERROR(INDEX(MutualFunds!$L:$L,MATCH($B$2&amp;"#"&amp;4,MutualFunds!$N:$N,0)),"")</f>
        <v/>
      </c>
    </row>
    <row r="63" customFormat="false" ht="15" hidden="false" customHeight="true" outlineLevel="0" collapsed="false">
      <c r="A63" s="15" t="str">
        <f aca="false">IFERROR(INDEX(MutualFunds!$B:$B,MATCH($B$2&amp;"#"&amp;5,MutualFunds!$N:$N,0)),"")</f>
        <v/>
      </c>
      <c r="B63" s="15" t="str">
        <f aca="false">IFERROR(INDEX(MutualFunds!$C:$C,MATCH($B$2&amp;"#"&amp;5,MutualFunds!$N:$N,0)),"")</f>
        <v/>
      </c>
      <c r="C63" s="18" t="str">
        <f aca="false">IFERROR(INDEX(MutualFunds!$E:$E,MATCH($B$2&amp;"#"&amp;5,MutualFunds!$N:$N,0)),"")</f>
        <v/>
      </c>
      <c r="D63" s="18" t="str">
        <f aca="false">IFERROR(INDEX(MutualFunds!$G:$G,MATCH($B$2&amp;"#"&amp;5,MutualFunds!$N:$N,0)),"")</f>
        <v/>
      </c>
      <c r="E63" s="13" t="str">
        <f aca="false">IFERROR(INDEX(MutualFunds!$I:$I,MATCH($B$2&amp;"#"&amp;5,MutualFunds!$N:$N,0)),"")</f>
        <v/>
      </c>
      <c r="F63" s="13" t="str">
        <f aca="false">IFERROR(INDEX(MutualFunds!$J:$J,MATCH($B$2&amp;"#"&amp;5,MutualFunds!$N:$N,0)),"")</f>
        <v/>
      </c>
      <c r="G63" s="19" t="str">
        <f aca="false">IFERROR(INDEX(MutualFunds!$L:$L,MATCH($B$2&amp;"#"&amp;5,MutualFunds!$N:$N,0)),"")</f>
        <v/>
      </c>
    </row>
    <row r="64" customFormat="false" ht="15" hidden="false" customHeight="true" outlineLevel="0" collapsed="false">
      <c r="A64" s="15" t="str">
        <f aca="false">IFERROR(INDEX(MutualFunds!$B:$B,MATCH($B$2&amp;"#"&amp;6,MutualFunds!$N:$N,0)),"")</f>
        <v/>
      </c>
      <c r="B64" s="15" t="str">
        <f aca="false">IFERROR(INDEX(MutualFunds!$C:$C,MATCH($B$2&amp;"#"&amp;6,MutualFunds!$N:$N,0)),"")</f>
        <v/>
      </c>
      <c r="C64" s="18" t="str">
        <f aca="false">IFERROR(INDEX(MutualFunds!$E:$E,MATCH($B$2&amp;"#"&amp;6,MutualFunds!$N:$N,0)),"")</f>
        <v/>
      </c>
      <c r="D64" s="18" t="str">
        <f aca="false">IFERROR(INDEX(MutualFunds!$G:$G,MATCH($B$2&amp;"#"&amp;6,MutualFunds!$N:$N,0)),"")</f>
        <v/>
      </c>
      <c r="E64" s="13" t="str">
        <f aca="false">IFERROR(INDEX(MutualFunds!$I:$I,MATCH($B$2&amp;"#"&amp;6,MutualFunds!$N:$N,0)),"")</f>
        <v/>
      </c>
      <c r="F64" s="13" t="str">
        <f aca="false">IFERROR(INDEX(MutualFunds!$J:$J,MATCH($B$2&amp;"#"&amp;6,MutualFunds!$N:$N,0)),"")</f>
        <v/>
      </c>
      <c r="G64" s="19" t="str">
        <f aca="false">IFERROR(INDEX(MutualFunds!$L:$L,MATCH($B$2&amp;"#"&amp;6,MutualFunds!$N:$N,0)),"")</f>
        <v/>
      </c>
    </row>
    <row r="65" customFormat="false" ht="15" hidden="false" customHeight="true" outlineLevel="0" collapsed="false">
      <c r="A65" s="15" t="str">
        <f aca="false">IFERROR(INDEX(MutualFunds!$B:$B,MATCH($B$2&amp;"#"&amp;7,MutualFunds!$N:$N,0)),"")</f>
        <v/>
      </c>
      <c r="B65" s="15" t="str">
        <f aca="false">IFERROR(INDEX(MutualFunds!$C:$C,MATCH($B$2&amp;"#"&amp;7,MutualFunds!$N:$N,0)),"")</f>
        <v/>
      </c>
      <c r="C65" s="18" t="str">
        <f aca="false">IFERROR(INDEX(MutualFunds!$E:$E,MATCH($B$2&amp;"#"&amp;7,MutualFunds!$N:$N,0)),"")</f>
        <v/>
      </c>
      <c r="D65" s="18" t="str">
        <f aca="false">IFERROR(INDEX(MutualFunds!$G:$G,MATCH($B$2&amp;"#"&amp;7,MutualFunds!$N:$N,0)),"")</f>
        <v/>
      </c>
      <c r="E65" s="13" t="str">
        <f aca="false">IFERROR(INDEX(MutualFunds!$I:$I,MATCH($B$2&amp;"#"&amp;7,MutualFunds!$N:$N,0)),"")</f>
        <v/>
      </c>
      <c r="F65" s="13" t="str">
        <f aca="false">IFERROR(INDEX(MutualFunds!$J:$J,MATCH($B$2&amp;"#"&amp;7,MutualFunds!$N:$N,0)),"")</f>
        <v/>
      </c>
      <c r="G65" s="19" t="str">
        <f aca="false">IFERROR(INDEX(MutualFunds!$L:$L,MATCH($B$2&amp;"#"&amp;7,MutualFunds!$N:$N,0)),"")</f>
        <v/>
      </c>
    </row>
    <row r="66" customFormat="false" ht="15" hidden="false" customHeight="true" outlineLevel="0" collapsed="false">
      <c r="A66" s="15" t="str">
        <f aca="false">IFERROR(INDEX(MutualFunds!$B:$B,MATCH($B$2&amp;"#"&amp;8,MutualFunds!$N:$N,0)),"")</f>
        <v/>
      </c>
      <c r="B66" s="15" t="str">
        <f aca="false">IFERROR(INDEX(MutualFunds!$C:$C,MATCH($B$2&amp;"#"&amp;8,MutualFunds!$N:$N,0)),"")</f>
        <v/>
      </c>
      <c r="C66" s="18" t="str">
        <f aca="false">IFERROR(INDEX(MutualFunds!$E:$E,MATCH($B$2&amp;"#"&amp;8,MutualFunds!$N:$N,0)),"")</f>
        <v/>
      </c>
      <c r="D66" s="18" t="str">
        <f aca="false">IFERROR(INDEX(MutualFunds!$G:$G,MATCH($B$2&amp;"#"&amp;8,MutualFunds!$N:$N,0)),"")</f>
        <v/>
      </c>
      <c r="E66" s="13" t="str">
        <f aca="false">IFERROR(INDEX(MutualFunds!$I:$I,MATCH($B$2&amp;"#"&amp;8,MutualFunds!$N:$N,0)),"")</f>
        <v/>
      </c>
      <c r="F66" s="13" t="str">
        <f aca="false">IFERROR(INDEX(MutualFunds!$J:$J,MATCH($B$2&amp;"#"&amp;8,MutualFunds!$N:$N,0)),"")</f>
        <v/>
      </c>
      <c r="G66" s="19" t="str">
        <f aca="false">IFERROR(INDEX(MutualFunds!$L:$L,MATCH($B$2&amp;"#"&amp;8,MutualFunds!$N:$N,0)),"")</f>
        <v/>
      </c>
    </row>
    <row r="67" customFormat="false" ht="15" hidden="false" customHeight="true" outlineLevel="0" collapsed="false">
      <c r="A67" s="15" t="str">
        <f aca="false">IFERROR(INDEX(MutualFunds!$B:$B,MATCH($B$2&amp;"#"&amp;9,MutualFunds!$N:$N,0)),"")</f>
        <v/>
      </c>
      <c r="B67" s="15" t="str">
        <f aca="false">IFERROR(INDEX(MutualFunds!$C:$C,MATCH($B$2&amp;"#"&amp;9,MutualFunds!$N:$N,0)),"")</f>
        <v/>
      </c>
      <c r="C67" s="18" t="str">
        <f aca="false">IFERROR(INDEX(MutualFunds!$E:$E,MATCH($B$2&amp;"#"&amp;9,MutualFunds!$N:$N,0)),"")</f>
        <v/>
      </c>
      <c r="D67" s="18" t="str">
        <f aca="false">IFERROR(INDEX(MutualFunds!$G:$G,MATCH($B$2&amp;"#"&amp;9,MutualFunds!$N:$N,0)),"")</f>
        <v/>
      </c>
      <c r="E67" s="13" t="str">
        <f aca="false">IFERROR(INDEX(MutualFunds!$I:$I,MATCH($B$2&amp;"#"&amp;9,MutualFunds!$N:$N,0)),"")</f>
        <v/>
      </c>
      <c r="F67" s="13" t="str">
        <f aca="false">IFERROR(INDEX(MutualFunds!$J:$J,MATCH($B$2&amp;"#"&amp;9,MutualFunds!$N:$N,0)),"")</f>
        <v/>
      </c>
      <c r="G67" s="19" t="str">
        <f aca="false">IFERROR(INDEX(MutualFunds!$L:$L,MATCH($B$2&amp;"#"&amp;9,MutualFunds!$N:$N,0)),"")</f>
        <v/>
      </c>
    </row>
    <row r="68" customFormat="false" ht="15" hidden="false" customHeight="true" outlineLevel="0" collapsed="false">
      <c r="A68" s="15" t="str">
        <f aca="false">IFERROR(INDEX(MutualFunds!$B:$B,MATCH($B$2&amp;"#"&amp;10,MutualFunds!$N:$N,0)),"")</f>
        <v/>
      </c>
      <c r="B68" s="15" t="str">
        <f aca="false">IFERROR(INDEX(MutualFunds!$C:$C,MATCH($B$2&amp;"#"&amp;10,MutualFunds!$N:$N,0)),"")</f>
        <v/>
      </c>
      <c r="C68" s="18" t="str">
        <f aca="false">IFERROR(INDEX(MutualFunds!$E:$E,MATCH($B$2&amp;"#"&amp;10,MutualFunds!$N:$N,0)),"")</f>
        <v/>
      </c>
      <c r="D68" s="18" t="str">
        <f aca="false">IFERROR(INDEX(MutualFunds!$G:$G,MATCH($B$2&amp;"#"&amp;10,MutualFunds!$N:$N,0)),"")</f>
        <v/>
      </c>
      <c r="E68" s="13" t="str">
        <f aca="false">IFERROR(INDEX(MutualFunds!$I:$I,MATCH($B$2&amp;"#"&amp;10,MutualFunds!$N:$N,0)),"")</f>
        <v/>
      </c>
      <c r="F68" s="13" t="str">
        <f aca="false">IFERROR(INDEX(MutualFunds!$J:$J,MATCH($B$2&amp;"#"&amp;10,MutualFunds!$N:$N,0)),"")</f>
        <v/>
      </c>
      <c r="G68" s="19" t="str">
        <f aca="false">IFERROR(INDEX(MutualFunds!$L:$L,MATCH($B$2&amp;"#"&amp;10,MutualFunds!$N:$N,0)),"")</f>
        <v/>
      </c>
    </row>
    <row r="69" customFormat="false" ht="15" hidden="false" customHeight="true" outlineLevel="0" collapsed="false">
      <c r="A69" s="15" t="str">
        <f aca="false">IFERROR(INDEX(MutualFunds!$B:$B,MATCH($B$2&amp;"#"&amp;11,MutualFunds!$N:$N,0)),"")</f>
        <v/>
      </c>
      <c r="B69" s="15" t="str">
        <f aca="false">IFERROR(INDEX(MutualFunds!$C:$C,MATCH($B$2&amp;"#"&amp;11,MutualFunds!$N:$N,0)),"")</f>
        <v/>
      </c>
      <c r="C69" s="18" t="str">
        <f aca="false">IFERROR(INDEX(MutualFunds!$E:$E,MATCH($B$2&amp;"#"&amp;11,MutualFunds!$N:$N,0)),"")</f>
        <v/>
      </c>
      <c r="D69" s="18" t="str">
        <f aca="false">IFERROR(INDEX(MutualFunds!$G:$G,MATCH($B$2&amp;"#"&amp;11,MutualFunds!$N:$N,0)),"")</f>
        <v/>
      </c>
      <c r="E69" s="13" t="str">
        <f aca="false">IFERROR(INDEX(MutualFunds!$I:$I,MATCH($B$2&amp;"#"&amp;11,MutualFunds!$N:$N,0)),"")</f>
        <v/>
      </c>
      <c r="F69" s="13" t="str">
        <f aca="false">IFERROR(INDEX(MutualFunds!$J:$J,MATCH($B$2&amp;"#"&amp;11,MutualFunds!$N:$N,0)),"")</f>
        <v/>
      </c>
      <c r="G69" s="19" t="str">
        <f aca="false">IFERROR(INDEX(MutualFunds!$L:$L,MATCH($B$2&amp;"#"&amp;11,MutualFunds!$N:$N,0)),"")</f>
        <v/>
      </c>
    </row>
    <row r="70" customFormat="false" ht="15" hidden="false" customHeight="true" outlineLevel="0" collapsed="false">
      <c r="A70" s="15" t="str">
        <f aca="false">IFERROR(INDEX(MutualFunds!$B:$B,MATCH($B$2&amp;"#"&amp;12,MutualFunds!$N:$N,0)),"")</f>
        <v/>
      </c>
      <c r="B70" s="15" t="str">
        <f aca="false">IFERROR(INDEX(MutualFunds!$C:$C,MATCH($B$2&amp;"#"&amp;12,MutualFunds!$N:$N,0)),"")</f>
        <v/>
      </c>
      <c r="C70" s="18" t="str">
        <f aca="false">IFERROR(INDEX(MutualFunds!$E:$E,MATCH($B$2&amp;"#"&amp;12,MutualFunds!$N:$N,0)),"")</f>
        <v/>
      </c>
      <c r="D70" s="18" t="str">
        <f aca="false">IFERROR(INDEX(MutualFunds!$G:$G,MATCH($B$2&amp;"#"&amp;12,MutualFunds!$N:$N,0)),"")</f>
        <v/>
      </c>
      <c r="E70" s="13" t="str">
        <f aca="false">IFERROR(INDEX(MutualFunds!$I:$I,MATCH($B$2&amp;"#"&amp;12,MutualFunds!$N:$N,0)),"")</f>
        <v/>
      </c>
      <c r="F70" s="13" t="str">
        <f aca="false">IFERROR(INDEX(MutualFunds!$J:$J,MATCH($B$2&amp;"#"&amp;12,MutualFunds!$N:$N,0)),"")</f>
        <v/>
      </c>
      <c r="G70" s="19" t="str">
        <f aca="false">IFERROR(INDEX(MutualFunds!$L:$L,MATCH($B$2&amp;"#"&amp;12,MutualFunds!$N:$N,0)),"")</f>
        <v/>
      </c>
    </row>
    <row r="71" customFormat="false" ht="15" hidden="false" customHeight="true" outlineLevel="0" collapsed="false">
      <c r="A71" s="15" t="str">
        <f aca="false">IFERROR(INDEX(MutualFunds!$B:$B,MATCH($B$2&amp;"#"&amp;13,MutualFunds!$N:$N,0)),"")</f>
        <v/>
      </c>
      <c r="B71" s="15" t="str">
        <f aca="false">IFERROR(INDEX(MutualFunds!$C:$C,MATCH($B$2&amp;"#"&amp;13,MutualFunds!$N:$N,0)),"")</f>
        <v/>
      </c>
      <c r="C71" s="18" t="str">
        <f aca="false">IFERROR(INDEX(MutualFunds!$E:$E,MATCH($B$2&amp;"#"&amp;13,MutualFunds!$N:$N,0)),"")</f>
        <v/>
      </c>
      <c r="D71" s="18" t="str">
        <f aca="false">IFERROR(INDEX(MutualFunds!$G:$G,MATCH($B$2&amp;"#"&amp;13,MutualFunds!$N:$N,0)),"")</f>
        <v/>
      </c>
      <c r="E71" s="13" t="str">
        <f aca="false">IFERROR(INDEX(MutualFunds!$I:$I,MATCH($B$2&amp;"#"&amp;13,MutualFunds!$N:$N,0)),"")</f>
        <v/>
      </c>
      <c r="F71" s="13" t="str">
        <f aca="false">IFERROR(INDEX(MutualFunds!$J:$J,MATCH($B$2&amp;"#"&amp;13,MutualFunds!$N:$N,0)),"")</f>
        <v/>
      </c>
      <c r="G71" s="19" t="str">
        <f aca="false">IFERROR(INDEX(MutualFunds!$L:$L,MATCH($B$2&amp;"#"&amp;13,MutualFunds!$N:$N,0)),"")</f>
        <v/>
      </c>
    </row>
    <row r="72" customFormat="false" ht="15" hidden="false" customHeight="true" outlineLevel="0" collapsed="false">
      <c r="A72" s="15" t="str">
        <f aca="false">IFERROR(INDEX(MutualFunds!$B:$B,MATCH($B$2&amp;"#"&amp;14,MutualFunds!$N:$N,0)),"")</f>
        <v/>
      </c>
      <c r="B72" s="15" t="str">
        <f aca="false">IFERROR(INDEX(MutualFunds!$C:$C,MATCH($B$2&amp;"#"&amp;14,MutualFunds!$N:$N,0)),"")</f>
        <v/>
      </c>
      <c r="C72" s="18" t="str">
        <f aca="false">IFERROR(INDEX(MutualFunds!$E:$E,MATCH($B$2&amp;"#"&amp;14,MutualFunds!$N:$N,0)),"")</f>
        <v/>
      </c>
      <c r="D72" s="18" t="str">
        <f aca="false">IFERROR(INDEX(MutualFunds!$G:$G,MATCH($B$2&amp;"#"&amp;14,MutualFunds!$N:$N,0)),"")</f>
        <v/>
      </c>
      <c r="E72" s="13" t="str">
        <f aca="false">IFERROR(INDEX(MutualFunds!$I:$I,MATCH($B$2&amp;"#"&amp;14,MutualFunds!$N:$N,0)),"")</f>
        <v/>
      </c>
      <c r="F72" s="13" t="str">
        <f aca="false">IFERROR(INDEX(MutualFunds!$J:$J,MATCH($B$2&amp;"#"&amp;14,MutualFunds!$N:$N,0)),"")</f>
        <v/>
      </c>
      <c r="G72" s="19" t="str">
        <f aca="false">IFERROR(INDEX(MutualFunds!$L:$L,MATCH($B$2&amp;"#"&amp;14,MutualFunds!$N:$N,0)),"")</f>
        <v/>
      </c>
    </row>
    <row r="73" customFormat="false" ht="15" hidden="false" customHeight="true" outlineLevel="0" collapsed="false">
      <c r="A73" s="15" t="str">
        <f aca="false">IFERROR(INDEX(MutualFunds!$B:$B,MATCH($B$2&amp;"#"&amp;15,MutualFunds!$N:$N,0)),"")</f>
        <v/>
      </c>
      <c r="B73" s="15" t="str">
        <f aca="false">IFERROR(INDEX(MutualFunds!$C:$C,MATCH($B$2&amp;"#"&amp;15,MutualFunds!$N:$N,0)),"")</f>
        <v/>
      </c>
      <c r="C73" s="18" t="str">
        <f aca="false">IFERROR(INDEX(MutualFunds!$E:$E,MATCH($B$2&amp;"#"&amp;15,MutualFunds!$N:$N,0)),"")</f>
        <v/>
      </c>
      <c r="D73" s="18" t="str">
        <f aca="false">IFERROR(INDEX(MutualFunds!$G:$G,MATCH($B$2&amp;"#"&amp;15,MutualFunds!$N:$N,0)),"")</f>
        <v/>
      </c>
      <c r="E73" s="13" t="str">
        <f aca="false">IFERROR(INDEX(MutualFunds!$I:$I,MATCH($B$2&amp;"#"&amp;15,MutualFunds!$N:$N,0)),"")</f>
        <v/>
      </c>
      <c r="F73" s="13" t="str">
        <f aca="false">IFERROR(INDEX(MutualFunds!$J:$J,MATCH($B$2&amp;"#"&amp;15,MutualFunds!$N:$N,0)),"")</f>
        <v/>
      </c>
      <c r="G73" s="19" t="str">
        <f aca="false">IFERROR(INDEX(MutualFunds!$L:$L,MATCH($B$2&amp;"#"&amp;15,MutualFunds!$N:$N,0)),"")</f>
        <v/>
      </c>
    </row>
    <row r="74" customFormat="false" ht="15" hidden="false" customHeight="true" outlineLevel="0" collapsed="false">
      <c r="A74" s="15" t="str">
        <f aca="false">IFERROR(INDEX(MutualFunds!$B:$B,MATCH($B$2&amp;"#"&amp;16,MutualFunds!$N:$N,0)),"")</f>
        <v/>
      </c>
      <c r="B74" s="15" t="str">
        <f aca="false">IFERROR(INDEX(MutualFunds!$C:$C,MATCH($B$2&amp;"#"&amp;16,MutualFunds!$N:$N,0)),"")</f>
        <v/>
      </c>
      <c r="C74" s="18" t="str">
        <f aca="false">IFERROR(INDEX(MutualFunds!$E:$E,MATCH($B$2&amp;"#"&amp;16,MutualFunds!$N:$N,0)),"")</f>
        <v/>
      </c>
      <c r="D74" s="18" t="str">
        <f aca="false">IFERROR(INDEX(MutualFunds!$G:$G,MATCH($B$2&amp;"#"&amp;16,MutualFunds!$N:$N,0)),"")</f>
        <v/>
      </c>
      <c r="E74" s="13" t="str">
        <f aca="false">IFERROR(INDEX(MutualFunds!$I:$I,MATCH($B$2&amp;"#"&amp;16,MutualFunds!$N:$N,0)),"")</f>
        <v/>
      </c>
      <c r="F74" s="13" t="str">
        <f aca="false">IFERROR(INDEX(MutualFunds!$J:$J,MATCH($B$2&amp;"#"&amp;16,MutualFunds!$N:$N,0)),"")</f>
        <v/>
      </c>
      <c r="G74" s="19" t="str">
        <f aca="false">IFERROR(INDEX(MutualFunds!$L:$L,MATCH($B$2&amp;"#"&amp;16,MutualFunds!$N:$N,0)),"")</f>
        <v/>
      </c>
    </row>
    <row r="75" customFormat="false" ht="15" hidden="false" customHeight="true" outlineLevel="0" collapsed="false">
      <c r="A75" s="15" t="str">
        <f aca="false">IFERROR(INDEX(MutualFunds!$B:$B,MATCH($B$2&amp;"#"&amp;17,MutualFunds!$N:$N,0)),"")</f>
        <v/>
      </c>
      <c r="B75" s="15" t="str">
        <f aca="false">IFERROR(INDEX(MutualFunds!$C:$C,MATCH($B$2&amp;"#"&amp;17,MutualFunds!$N:$N,0)),"")</f>
        <v/>
      </c>
      <c r="C75" s="18" t="str">
        <f aca="false">IFERROR(INDEX(MutualFunds!$E:$E,MATCH($B$2&amp;"#"&amp;17,MutualFunds!$N:$N,0)),"")</f>
        <v/>
      </c>
      <c r="D75" s="18" t="str">
        <f aca="false">IFERROR(INDEX(MutualFunds!$G:$G,MATCH($B$2&amp;"#"&amp;17,MutualFunds!$N:$N,0)),"")</f>
        <v/>
      </c>
      <c r="E75" s="13" t="str">
        <f aca="false">IFERROR(INDEX(MutualFunds!$I:$I,MATCH($B$2&amp;"#"&amp;17,MutualFunds!$N:$N,0)),"")</f>
        <v/>
      </c>
      <c r="F75" s="13" t="str">
        <f aca="false">IFERROR(INDEX(MutualFunds!$J:$J,MATCH($B$2&amp;"#"&amp;17,MutualFunds!$N:$N,0)),"")</f>
        <v/>
      </c>
      <c r="G75" s="19" t="str">
        <f aca="false">IFERROR(INDEX(MutualFunds!$L:$L,MATCH($B$2&amp;"#"&amp;17,MutualFunds!$N:$N,0)),"")</f>
        <v/>
      </c>
    </row>
    <row r="76" customFormat="false" ht="15" hidden="false" customHeight="true" outlineLevel="0" collapsed="false">
      <c r="A76" s="15" t="str">
        <f aca="false">IFERROR(INDEX(MutualFunds!$B:$B,MATCH($B$2&amp;"#"&amp;18,MutualFunds!$N:$N,0)),"")</f>
        <v/>
      </c>
      <c r="B76" s="15" t="str">
        <f aca="false">IFERROR(INDEX(MutualFunds!$C:$C,MATCH($B$2&amp;"#"&amp;18,MutualFunds!$N:$N,0)),"")</f>
        <v/>
      </c>
      <c r="C76" s="18" t="str">
        <f aca="false">IFERROR(INDEX(MutualFunds!$E:$E,MATCH($B$2&amp;"#"&amp;18,MutualFunds!$N:$N,0)),"")</f>
        <v/>
      </c>
      <c r="D76" s="18" t="str">
        <f aca="false">IFERROR(INDEX(MutualFunds!$G:$G,MATCH($B$2&amp;"#"&amp;18,MutualFunds!$N:$N,0)),"")</f>
        <v/>
      </c>
      <c r="E76" s="13" t="str">
        <f aca="false">IFERROR(INDEX(MutualFunds!$I:$I,MATCH($B$2&amp;"#"&amp;18,MutualFunds!$N:$N,0)),"")</f>
        <v/>
      </c>
      <c r="F76" s="13" t="str">
        <f aca="false">IFERROR(INDEX(MutualFunds!$J:$J,MATCH($B$2&amp;"#"&amp;18,MutualFunds!$N:$N,0)),"")</f>
        <v/>
      </c>
      <c r="G76" s="19" t="str">
        <f aca="false">IFERROR(INDEX(MutualFunds!$L:$L,MATCH($B$2&amp;"#"&amp;18,MutualFunds!$N:$N,0)),"")</f>
        <v/>
      </c>
    </row>
    <row r="77" customFormat="false" ht="15" hidden="false" customHeight="true" outlineLevel="0" collapsed="false">
      <c r="A77" s="15" t="str">
        <f aca="false">IFERROR(INDEX(MutualFunds!$B:$B,MATCH($B$2&amp;"#"&amp;19,MutualFunds!$N:$N,0)),"")</f>
        <v/>
      </c>
      <c r="B77" s="15" t="str">
        <f aca="false">IFERROR(INDEX(MutualFunds!$C:$C,MATCH($B$2&amp;"#"&amp;19,MutualFunds!$N:$N,0)),"")</f>
        <v/>
      </c>
      <c r="C77" s="18" t="str">
        <f aca="false">IFERROR(INDEX(MutualFunds!$E:$E,MATCH($B$2&amp;"#"&amp;19,MutualFunds!$N:$N,0)),"")</f>
        <v/>
      </c>
      <c r="D77" s="18" t="str">
        <f aca="false">IFERROR(INDEX(MutualFunds!$G:$G,MATCH($B$2&amp;"#"&amp;19,MutualFunds!$N:$N,0)),"")</f>
        <v/>
      </c>
      <c r="E77" s="13" t="str">
        <f aca="false">IFERROR(INDEX(MutualFunds!$I:$I,MATCH($B$2&amp;"#"&amp;19,MutualFunds!$N:$N,0)),"")</f>
        <v/>
      </c>
      <c r="F77" s="13" t="str">
        <f aca="false">IFERROR(INDEX(MutualFunds!$J:$J,MATCH($B$2&amp;"#"&amp;19,MutualFunds!$N:$N,0)),"")</f>
        <v/>
      </c>
      <c r="G77" s="19" t="str">
        <f aca="false">IFERROR(INDEX(MutualFunds!$L:$L,MATCH($B$2&amp;"#"&amp;19,MutualFunds!$N:$N,0)),"")</f>
        <v/>
      </c>
    </row>
    <row r="78" customFormat="false" ht="15" hidden="false" customHeight="true" outlineLevel="0" collapsed="false">
      <c r="A78" s="15" t="str">
        <f aca="false">IFERROR(INDEX(MutualFunds!$B:$B,MATCH($B$2&amp;"#"&amp;20,MutualFunds!$N:$N,0)),"")</f>
        <v/>
      </c>
      <c r="B78" s="15" t="str">
        <f aca="false">IFERROR(INDEX(MutualFunds!$C:$C,MATCH($B$2&amp;"#"&amp;20,MutualFunds!$N:$N,0)),"")</f>
        <v/>
      </c>
      <c r="C78" s="18" t="str">
        <f aca="false">IFERROR(INDEX(MutualFunds!$E:$E,MATCH($B$2&amp;"#"&amp;20,MutualFunds!$N:$N,0)),"")</f>
        <v/>
      </c>
      <c r="D78" s="18" t="str">
        <f aca="false">IFERROR(INDEX(MutualFunds!$G:$G,MATCH($B$2&amp;"#"&amp;20,MutualFunds!$N:$N,0)),"")</f>
        <v/>
      </c>
      <c r="E78" s="13" t="str">
        <f aca="false">IFERROR(INDEX(MutualFunds!$I:$I,MATCH($B$2&amp;"#"&amp;20,MutualFunds!$N:$N,0)),"")</f>
        <v/>
      </c>
      <c r="F78" s="13" t="str">
        <f aca="false">IFERROR(INDEX(MutualFunds!$J:$J,MATCH($B$2&amp;"#"&amp;20,MutualFunds!$N:$N,0)),"")</f>
        <v/>
      </c>
      <c r="G78" s="19" t="str">
        <f aca="false">IFERROR(INDEX(MutualFunds!$L:$L,MATCH($B$2&amp;"#"&amp;20,MutualFunds!$N:$N,0)),"")</f>
        <v/>
      </c>
    </row>
    <row r="80" customFormat="false" ht="15" hidden="false" customHeight="true" outlineLevel="0" collapsed="false">
      <c r="A80" s="3" t="s">
        <v>34</v>
      </c>
    </row>
    <row r="81" customFormat="false" ht="15" hidden="false" customHeight="true" outlineLevel="0" collapsed="false">
      <c r="A81" s="17" t="s">
        <v>35</v>
      </c>
      <c r="B81" s="17" t="s">
        <v>36</v>
      </c>
      <c r="C81" s="17" t="s">
        <v>37</v>
      </c>
      <c r="D81" s="17" t="s">
        <v>38</v>
      </c>
      <c r="E81" s="17" t="s">
        <v>39</v>
      </c>
    </row>
    <row r="82" customFormat="false" ht="15" hidden="false" customHeight="true" outlineLevel="0" collapsed="false">
      <c r="A82" s="15" t="str">
        <f aca="false">IFERROR(INDEX(FixedDeposits!$B:$B,MATCH($B$2&amp;"#"&amp;1,FixedDeposits!$L:$L,0)),"")</f>
        <v>SBI</v>
      </c>
      <c r="B82" s="13" t="n">
        <f aca="false">IFERROR(INDEX(FixedDeposits!$D:$D,MATCH($B$2&amp;"#"&amp;1,FixedDeposits!$L:$L,0)),"")</f>
        <v>300000</v>
      </c>
      <c r="C82" s="20" t="n">
        <f aca="false">IFERROR(INDEX(FixedDeposits!$E:$E,MATCH($B$2&amp;"#"&amp;1,FixedDeposits!$L:$L,0)),"")</f>
        <v>6.8</v>
      </c>
      <c r="D82" s="21" t="n">
        <f aca="false">IFERROR(INDEX(FixedDeposits!$G:$G,MATCH($B$2&amp;"#"&amp;1,FixedDeposits!$L:$L,0)),"")</f>
        <v>46767</v>
      </c>
      <c r="E82" s="13" t="n">
        <f aca="false">IFERROR(INDEX(FixedDeposits!$I:$I,MATCH($B$2&amp;"#"&amp;1,FixedDeposits!$L:$L,0)),"")</f>
        <v>331868.191241964</v>
      </c>
    </row>
    <row r="83" customFormat="false" ht="15" hidden="false" customHeight="true" outlineLevel="0" collapsed="false">
      <c r="A83" s="15" t="str">
        <f aca="false">IFERROR(INDEX(FixedDeposits!$B:$B,MATCH($B$2&amp;"#"&amp;2,FixedDeposits!$L:$L,0)),"")</f>
        <v/>
      </c>
      <c r="B83" s="13" t="str">
        <f aca="false">IFERROR(INDEX(FixedDeposits!$D:$D,MATCH($B$2&amp;"#"&amp;2,FixedDeposits!$L:$L,0)),"")</f>
        <v/>
      </c>
      <c r="C83" s="20" t="str">
        <f aca="false">IFERROR(INDEX(FixedDeposits!$E:$E,MATCH($B$2&amp;"#"&amp;2,FixedDeposits!$L:$L,0)),"")</f>
        <v/>
      </c>
      <c r="D83" s="21" t="str">
        <f aca="false">IFERROR(INDEX(FixedDeposits!$G:$G,MATCH($B$2&amp;"#"&amp;2,FixedDeposits!$L:$L,0)),"")</f>
        <v/>
      </c>
      <c r="E83" s="13" t="str">
        <f aca="false">IFERROR(INDEX(FixedDeposits!$I:$I,MATCH($B$2&amp;"#"&amp;2,FixedDeposits!$L:$L,0)),"")</f>
        <v/>
      </c>
    </row>
    <row r="84" customFormat="false" ht="15" hidden="false" customHeight="true" outlineLevel="0" collapsed="false">
      <c r="A84" s="15" t="str">
        <f aca="false">IFERROR(INDEX(FixedDeposits!$B:$B,MATCH($B$2&amp;"#"&amp;3,FixedDeposits!$L:$L,0)),"")</f>
        <v/>
      </c>
      <c r="B84" s="13" t="str">
        <f aca="false">IFERROR(INDEX(FixedDeposits!$D:$D,MATCH($B$2&amp;"#"&amp;3,FixedDeposits!$L:$L,0)),"")</f>
        <v/>
      </c>
      <c r="C84" s="20" t="str">
        <f aca="false">IFERROR(INDEX(FixedDeposits!$E:$E,MATCH($B$2&amp;"#"&amp;3,FixedDeposits!$L:$L,0)),"")</f>
        <v/>
      </c>
      <c r="D84" s="21" t="str">
        <f aca="false">IFERROR(INDEX(FixedDeposits!$G:$G,MATCH($B$2&amp;"#"&amp;3,FixedDeposits!$L:$L,0)),"")</f>
        <v/>
      </c>
      <c r="E84" s="13" t="str">
        <f aca="false">IFERROR(INDEX(FixedDeposits!$I:$I,MATCH($B$2&amp;"#"&amp;3,FixedDeposits!$L:$L,0)),"")</f>
        <v/>
      </c>
    </row>
    <row r="85" customFormat="false" ht="15" hidden="false" customHeight="true" outlineLevel="0" collapsed="false">
      <c r="A85" s="15" t="str">
        <f aca="false">IFERROR(INDEX(FixedDeposits!$B:$B,MATCH($B$2&amp;"#"&amp;4,FixedDeposits!$L:$L,0)),"")</f>
        <v/>
      </c>
      <c r="B85" s="13" t="str">
        <f aca="false">IFERROR(INDEX(FixedDeposits!$D:$D,MATCH($B$2&amp;"#"&amp;4,FixedDeposits!$L:$L,0)),"")</f>
        <v/>
      </c>
      <c r="C85" s="20" t="str">
        <f aca="false">IFERROR(INDEX(FixedDeposits!$E:$E,MATCH($B$2&amp;"#"&amp;4,FixedDeposits!$L:$L,0)),"")</f>
        <v/>
      </c>
      <c r="D85" s="21" t="str">
        <f aca="false">IFERROR(INDEX(FixedDeposits!$G:$G,MATCH($B$2&amp;"#"&amp;4,FixedDeposits!$L:$L,0)),"")</f>
        <v/>
      </c>
      <c r="E85" s="13" t="str">
        <f aca="false">IFERROR(INDEX(FixedDeposits!$I:$I,MATCH($B$2&amp;"#"&amp;4,FixedDeposits!$L:$L,0)),"")</f>
        <v/>
      </c>
    </row>
    <row r="86" customFormat="false" ht="15" hidden="false" customHeight="true" outlineLevel="0" collapsed="false">
      <c r="A86" s="15" t="str">
        <f aca="false">IFERROR(INDEX(FixedDeposits!$B:$B,MATCH($B$2&amp;"#"&amp;5,FixedDeposits!$L:$L,0)),"")</f>
        <v/>
      </c>
      <c r="B86" s="13" t="str">
        <f aca="false">IFERROR(INDEX(FixedDeposits!$D:$D,MATCH($B$2&amp;"#"&amp;5,FixedDeposits!$L:$L,0)),"")</f>
        <v/>
      </c>
      <c r="C86" s="20" t="str">
        <f aca="false">IFERROR(INDEX(FixedDeposits!$E:$E,MATCH($B$2&amp;"#"&amp;5,FixedDeposits!$L:$L,0)),"")</f>
        <v/>
      </c>
      <c r="D86" s="21" t="str">
        <f aca="false">IFERROR(INDEX(FixedDeposits!$G:$G,MATCH($B$2&amp;"#"&amp;5,FixedDeposits!$L:$L,0)),"")</f>
        <v/>
      </c>
      <c r="E86" s="13" t="str">
        <f aca="false">IFERROR(INDEX(FixedDeposits!$I:$I,MATCH($B$2&amp;"#"&amp;5,FixedDeposits!$L:$L,0)),"")</f>
        <v/>
      </c>
    </row>
    <row r="87" customFormat="false" ht="15" hidden="false" customHeight="true" outlineLevel="0" collapsed="false">
      <c r="A87" s="15" t="str">
        <f aca="false">IFERROR(INDEX(FixedDeposits!$B:$B,MATCH($B$2&amp;"#"&amp;6,FixedDeposits!$L:$L,0)),"")</f>
        <v/>
      </c>
      <c r="B87" s="13" t="str">
        <f aca="false">IFERROR(INDEX(FixedDeposits!$D:$D,MATCH($B$2&amp;"#"&amp;6,FixedDeposits!$L:$L,0)),"")</f>
        <v/>
      </c>
      <c r="C87" s="20" t="str">
        <f aca="false">IFERROR(INDEX(FixedDeposits!$E:$E,MATCH($B$2&amp;"#"&amp;6,FixedDeposits!$L:$L,0)),"")</f>
        <v/>
      </c>
      <c r="D87" s="21" t="str">
        <f aca="false">IFERROR(INDEX(FixedDeposits!$G:$G,MATCH($B$2&amp;"#"&amp;6,FixedDeposits!$L:$L,0)),"")</f>
        <v/>
      </c>
      <c r="E87" s="13" t="str">
        <f aca="false">IFERROR(INDEX(FixedDeposits!$I:$I,MATCH($B$2&amp;"#"&amp;6,FixedDeposits!$L:$L,0)),"")</f>
        <v/>
      </c>
    </row>
    <row r="88" customFormat="false" ht="15" hidden="false" customHeight="true" outlineLevel="0" collapsed="false">
      <c r="A88" s="15" t="str">
        <f aca="false">IFERROR(INDEX(FixedDeposits!$B:$B,MATCH($B$2&amp;"#"&amp;7,FixedDeposits!$L:$L,0)),"")</f>
        <v/>
      </c>
      <c r="B88" s="13" t="str">
        <f aca="false">IFERROR(INDEX(FixedDeposits!$D:$D,MATCH($B$2&amp;"#"&amp;7,FixedDeposits!$L:$L,0)),"")</f>
        <v/>
      </c>
      <c r="C88" s="20" t="str">
        <f aca="false">IFERROR(INDEX(FixedDeposits!$E:$E,MATCH($B$2&amp;"#"&amp;7,FixedDeposits!$L:$L,0)),"")</f>
        <v/>
      </c>
      <c r="D88" s="21" t="str">
        <f aca="false">IFERROR(INDEX(FixedDeposits!$G:$G,MATCH($B$2&amp;"#"&amp;7,FixedDeposits!$L:$L,0)),"")</f>
        <v/>
      </c>
      <c r="E88" s="13" t="str">
        <f aca="false">IFERROR(INDEX(FixedDeposits!$I:$I,MATCH($B$2&amp;"#"&amp;7,FixedDeposits!$L:$L,0)),"")</f>
        <v/>
      </c>
    </row>
    <row r="89" customFormat="false" ht="15" hidden="false" customHeight="true" outlineLevel="0" collapsed="false">
      <c r="A89" s="15" t="str">
        <f aca="false">IFERROR(INDEX(FixedDeposits!$B:$B,MATCH($B$2&amp;"#"&amp;8,FixedDeposits!$L:$L,0)),"")</f>
        <v/>
      </c>
      <c r="B89" s="13" t="str">
        <f aca="false">IFERROR(INDEX(FixedDeposits!$D:$D,MATCH($B$2&amp;"#"&amp;8,FixedDeposits!$L:$L,0)),"")</f>
        <v/>
      </c>
      <c r="C89" s="20" t="str">
        <f aca="false">IFERROR(INDEX(FixedDeposits!$E:$E,MATCH($B$2&amp;"#"&amp;8,FixedDeposits!$L:$L,0)),"")</f>
        <v/>
      </c>
      <c r="D89" s="21" t="str">
        <f aca="false">IFERROR(INDEX(FixedDeposits!$G:$G,MATCH($B$2&amp;"#"&amp;8,FixedDeposits!$L:$L,0)),"")</f>
        <v/>
      </c>
      <c r="E89" s="13" t="str">
        <f aca="false">IFERROR(INDEX(FixedDeposits!$I:$I,MATCH($B$2&amp;"#"&amp;8,FixedDeposits!$L:$L,0)),"")</f>
        <v/>
      </c>
    </row>
    <row r="90" customFormat="false" ht="15" hidden="false" customHeight="true" outlineLevel="0" collapsed="false">
      <c r="A90" s="15" t="str">
        <f aca="false">IFERROR(INDEX(FixedDeposits!$B:$B,MATCH($B$2&amp;"#"&amp;9,FixedDeposits!$L:$L,0)),"")</f>
        <v/>
      </c>
      <c r="B90" s="13" t="str">
        <f aca="false">IFERROR(INDEX(FixedDeposits!$D:$D,MATCH($B$2&amp;"#"&amp;9,FixedDeposits!$L:$L,0)),"")</f>
        <v/>
      </c>
      <c r="C90" s="20" t="str">
        <f aca="false">IFERROR(INDEX(FixedDeposits!$E:$E,MATCH($B$2&amp;"#"&amp;9,FixedDeposits!$L:$L,0)),"")</f>
        <v/>
      </c>
      <c r="D90" s="21" t="str">
        <f aca="false">IFERROR(INDEX(FixedDeposits!$G:$G,MATCH($B$2&amp;"#"&amp;9,FixedDeposits!$L:$L,0)),"")</f>
        <v/>
      </c>
      <c r="E90" s="13" t="str">
        <f aca="false">IFERROR(INDEX(FixedDeposits!$I:$I,MATCH($B$2&amp;"#"&amp;9,FixedDeposits!$L:$L,0)),"")</f>
        <v/>
      </c>
    </row>
    <row r="91" customFormat="false" ht="15" hidden="false" customHeight="true" outlineLevel="0" collapsed="false">
      <c r="A91" s="15" t="str">
        <f aca="false">IFERROR(INDEX(FixedDeposits!$B:$B,MATCH($B$2&amp;"#"&amp;10,FixedDeposits!$L:$L,0)),"")</f>
        <v/>
      </c>
      <c r="B91" s="13" t="str">
        <f aca="false">IFERROR(INDEX(FixedDeposits!$D:$D,MATCH($B$2&amp;"#"&amp;10,FixedDeposits!$L:$L,0)),"")</f>
        <v/>
      </c>
      <c r="C91" s="20" t="str">
        <f aca="false">IFERROR(INDEX(FixedDeposits!$E:$E,MATCH($B$2&amp;"#"&amp;10,FixedDeposits!$L:$L,0)),"")</f>
        <v/>
      </c>
      <c r="D91" s="21" t="str">
        <f aca="false">IFERROR(INDEX(FixedDeposits!$G:$G,MATCH($B$2&amp;"#"&amp;10,FixedDeposits!$L:$L,0)),"")</f>
        <v/>
      </c>
      <c r="E91" s="13" t="str">
        <f aca="false">IFERROR(INDEX(FixedDeposits!$I:$I,MATCH($B$2&amp;"#"&amp;10,FixedDeposits!$L:$L,0)),"")</f>
        <v/>
      </c>
    </row>
    <row r="92" customFormat="false" ht="15" hidden="false" customHeight="true" outlineLevel="0" collapsed="false">
      <c r="A92" s="15" t="str">
        <f aca="false">IFERROR(INDEX(FixedDeposits!$B:$B,MATCH($B$2&amp;"#"&amp;11,FixedDeposits!$L:$L,0)),"")</f>
        <v/>
      </c>
      <c r="B92" s="13" t="str">
        <f aca="false">IFERROR(INDEX(FixedDeposits!$D:$D,MATCH($B$2&amp;"#"&amp;11,FixedDeposits!$L:$L,0)),"")</f>
        <v/>
      </c>
      <c r="C92" s="20" t="str">
        <f aca="false">IFERROR(INDEX(FixedDeposits!$E:$E,MATCH($B$2&amp;"#"&amp;11,FixedDeposits!$L:$L,0)),"")</f>
        <v/>
      </c>
      <c r="D92" s="21" t="str">
        <f aca="false">IFERROR(INDEX(FixedDeposits!$G:$G,MATCH($B$2&amp;"#"&amp;11,FixedDeposits!$L:$L,0)),"")</f>
        <v/>
      </c>
      <c r="E92" s="13" t="str">
        <f aca="false">IFERROR(INDEX(FixedDeposits!$I:$I,MATCH($B$2&amp;"#"&amp;11,FixedDeposits!$L:$L,0)),"")</f>
        <v/>
      </c>
    </row>
    <row r="93" customFormat="false" ht="15" hidden="false" customHeight="true" outlineLevel="0" collapsed="false">
      <c r="A93" s="15" t="str">
        <f aca="false">IFERROR(INDEX(FixedDeposits!$B:$B,MATCH($B$2&amp;"#"&amp;12,FixedDeposits!$L:$L,0)),"")</f>
        <v/>
      </c>
      <c r="B93" s="13" t="str">
        <f aca="false">IFERROR(INDEX(FixedDeposits!$D:$D,MATCH($B$2&amp;"#"&amp;12,FixedDeposits!$L:$L,0)),"")</f>
        <v/>
      </c>
      <c r="C93" s="20" t="str">
        <f aca="false">IFERROR(INDEX(FixedDeposits!$E:$E,MATCH($B$2&amp;"#"&amp;12,FixedDeposits!$L:$L,0)),"")</f>
        <v/>
      </c>
      <c r="D93" s="21" t="str">
        <f aca="false">IFERROR(INDEX(FixedDeposits!$G:$G,MATCH($B$2&amp;"#"&amp;12,FixedDeposits!$L:$L,0)),"")</f>
        <v/>
      </c>
      <c r="E93" s="13" t="str">
        <f aca="false">IFERROR(INDEX(FixedDeposits!$I:$I,MATCH($B$2&amp;"#"&amp;12,FixedDeposits!$L:$L,0)),"")</f>
        <v/>
      </c>
    </row>
    <row r="94" customFormat="false" ht="15" hidden="false" customHeight="true" outlineLevel="0" collapsed="false">
      <c r="A94" s="15" t="str">
        <f aca="false">IFERROR(INDEX(FixedDeposits!$B:$B,MATCH($B$2&amp;"#"&amp;13,FixedDeposits!$L:$L,0)),"")</f>
        <v/>
      </c>
      <c r="B94" s="13" t="str">
        <f aca="false">IFERROR(INDEX(FixedDeposits!$D:$D,MATCH($B$2&amp;"#"&amp;13,FixedDeposits!$L:$L,0)),"")</f>
        <v/>
      </c>
      <c r="C94" s="20" t="str">
        <f aca="false">IFERROR(INDEX(FixedDeposits!$E:$E,MATCH($B$2&amp;"#"&amp;13,FixedDeposits!$L:$L,0)),"")</f>
        <v/>
      </c>
      <c r="D94" s="21" t="str">
        <f aca="false">IFERROR(INDEX(FixedDeposits!$G:$G,MATCH($B$2&amp;"#"&amp;13,FixedDeposits!$L:$L,0)),"")</f>
        <v/>
      </c>
      <c r="E94" s="13" t="str">
        <f aca="false">IFERROR(INDEX(FixedDeposits!$I:$I,MATCH($B$2&amp;"#"&amp;13,FixedDeposits!$L:$L,0)),"")</f>
        <v/>
      </c>
    </row>
    <row r="95" customFormat="false" ht="15" hidden="false" customHeight="true" outlineLevel="0" collapsed="false">
      <c r="A95" s="15" t="str">
        <f aca="false">IFERROR(INDEX(FixedDeposits!$B:$B,MATCH($B$2&amp;"#"&amp;14,FixedDeposits!$L:$L,0)),"")</f>
        <v/>
      </c>
      <c r="B95" s="13" t="str">
        <f aca="false">IFERROR(INDEX(FixedDeposits!$D:$D,MATCH($B$2&amp;"#"&amp;14,FixedDeposits!$L:$L,0)),"")</f>
        <v/>
      </c>
      <c r="C95" s="20" t="str">
        <f aca="false">IFERROR(INDEX(FixedDeposits!$E:$E,MATCH($B$2&amp;"#"&amp;14,FixedDeposits!$L:$L,0)),"")</f>
        <v/>
      </c>
      <c r="D95" s="21" t="str">
        <f aca="false">IFERROR(INDEX(FixedDeposits!$G:$G,MATCH($B$2&amp;"#"&amp;14,FixedDeposits!$L:$L,0)),"")</f>
        <v/>
      </c>
      <c r="E95" s="13" t="str">
        <f aca="false">IFERROR(INDEX(FixedDeposits!$I:$I,MATCH($B$2&amp;"#"&amp;14,FixedDeposits!$L:$L,0)),"")</f>
        <v/>
      </c>
    </row>
    <row r="96" customFormat="false" ht="15" hidden="false" customHeight="true" outlineLevel="0" collapsed="false">
      <c r="A96" s="15" t="str">
        <f aca="false">IFERROR(INDEX(FixedDeposits!$B:$B,MATCH($B$2&amp;"#"&amp;15,FixedDeposits!$L:$L,0)),"")</f>
        <v/>
      </c>
      <c r="B96" s="13" t="str">
        <f aca="false">IFERROR(INDEX(FixedDeposits!$D:$D,MATCH($B$2&amp;"#"&amp;15,FixedDeposits!$L:$L,0)),"")</f>
        <v/>
      </c>
      <c r="C96" s="20" t="str">
        <f aca="false">IFERROR(INDEX(FixedDeposits!$E:$E,MATCH($B$2&amp;"#"&amp;15,FixedDeposits!$L:$L,0)),"")</f>
        <v/>
      </c>
      <c r="D96" s="21" t="str">
        <f aca="false">IFERROR(INDEX(FixedDeposits!$G:$G,MATCH($B$2&amp;"#"&amp;15,FixedDeposits!$L:$L,0)),"")</f>
        <v/>
      </c>
      <c r="E96" s="13" t="str">
        <f aca="false">IFERROR(INDEX(FixedDeposits!$I:$I,MATCH($B$2&amp;"#"&amp;15,FixedDeposits!$L:$L,0)),"")</f>
        <v/>
      </c>
    </row>
    <row r="98" customFormat="false" ht="15" hidden="false" customHeight="true" outlineLevel="0" collapsed="false">
      <c r="A98" s="3" t="s">
        <v>7</v>
      </c>
    </row>
    <row r="99" customFormat="false" ht="15" hidden="false" customHeight="true" outlineLevel="0" collapsed="false">
      <c r="A99" s="17" t="s">
        <v>40</v>
      </c>
      <c r="B99" s="17" t="s">
        <v>41</v>
      </c>
      <c r="C99" s="17" t="s">
        <v>42</v>
      </c>
    </row>
    <row r="100" customFormat="false" ht="15" hidden="false" customHeight="true" outlineLevel="0" collapsed="false">
      <c r="A100" s="15" t="str">
        <f aca="false">IFERROR(INDEX(PPF!$B:$B,MATCH($B$2&amp;"#"&amp;1,PPF!$I:$I,0)),"")</f>
        <v/>
      </c>
      <c r="B100" s="13" t="str">
        <f aca="false">IFERROR(INDEX(PPF!$D:$D,MATCH($B$2&amp;"#"&amp;1,PPF!$I:$I,0)),"")</f>
        <v/>
      </c>
      <c r="C100" s="21" t="str">
        <f aca="false">IFERROR(INDEX(PPF!$E:$E,MATCH($B$2&amp;"#"&amp;1,PPF!$I:$I,0)),"")</f>
        <v/>
      </c>
    </row>
    <row r="101" customFormat="false" ht="15" hidden="false" customHeight="true" outlineLevel="0" collapsed="false">
      <c r="A101" s="15" t="str">
        <f aca="false">IFERROR(INDEX(PPF!$B:$B,MATCH($B$2&amp;"#"&amp;2,PPF!$I:$I,0)),"")</f>
        <v/>
      </c>
      <c r="B101" s="13" t="str">
        <f aca="false">IFERROR(INDEX(PPF!$D:$D,MATCH($B$2&amp;"#"&amp;2,PPF!$I:$I,0)),"")</f>
        <v/>
      </c>
      <c r="C101" s="21" t="str">
        <f aca="false">IFERROR(INDEX(PPF!$E:$E,MATCH($B$2&amp;"#"&amp;2,PPF!$I:$I,0)),"")</f>
        <v/>
      </c>
    </row>
    <row r="102" customFormat="false" ht="15" hidden="false" customHeight="true" outlineLevel="0" collapsed="false">
      <c r="A102" s="15" t="str">
        <f aca="false">IFERROR(INDEX(PPF!$B:$B,MATCH($B$2&amp;"#"&amp;3,PPF!$I:$I,0)),"")</f>
        <v/>
      </c>
      <c r="B102" s="13" t="str">
        <f aca="false">IFERROR(INDEX(PPF!$D:$D,MATCH($B$2&amp;"#"&amp;3,PPF!$I:$I,0)),"")</f>
        <v/>
      </c>
      <c r="C102" s="21" t="str">
        <f aca="false">IFERROR(INDEX(PPF!$E:$E,MATCH($B$2&amp;"#"&amp;3,PPF!$I:$I,0)),"")</f>
        <v/>
      </c>
    </row>
    <row r="103" customFormat="false" ht="15" hidden="false" customHeight="true" outlineLevel="0" collapsed="false">
      <c r="A103" s="15" t="str">
        <f aca="false">IFERROR(INDEX(PPF!$B:$B,MATCH($B$2&amp;"#"&amp;4,PPF!$I:$I,0)),"")</f>
        <v/>
      </c>
      <c r="B103" s="13" t="str">
        <f aca="false">IFERROR(INDEX(PPF!$D:$D,MATCH($B$2&amp;"#"&amp;4,PPF!$I:$I,0)),"")</f>
        <v/>
      </c>
      <c r="C103" s="21" t="str">
        <f aca="false">IFERROR(INDEX(PPF!$E:$E,MATCH($B$2&amp;"#"&amp;4,PPF!$I:$I,0)),"")</f>
        <v/>
      </c>
    </row>
    <row r="104" customFormat="false" ht="15" hidden="false" customHeight="true" outlineLevel="0" collapsed="false">
      <c r="A104" s="15" t="str">
        <f aca="false">IFERROR(INDEX(PPF!$B:$B,MATCH($B$2&amp;"#"&amp;5,PPF!$I:$I,0)),"")</f>
        <v/>
      </c>
      <c r="B104" s="13" t="str">
        <f aca="false">IFERROR(INDEX(PPF!$D:$D,MATCH($B$2&amp;"#"&amp;5,PPF!$I:$I,0)),"")</f>
        <v/>
      </c>
      <c r="C104" s="21" t="str">
        <f aca="false">IFERROR(INDEX(PPF!$E:$E,MATCH($B$2&amp;"#"&amp;5,PPF!$I:$I,0)),"")</f>
        <v/>
      </c>
    </row>
    <row r="105" customFormat="false" ht="15" hidden="false" customHeight="true" outlineLevel="0" collapsed="false">
      <c r="A105" s="15" t="str">
        <f aca="false">IFERROR(INDEX(PPF!$B:$B,MATCH($B$2&amp;"#"&amp;6,PPF!$I:$I,0)),"")</f>
        <v/>
      </c>
      <c r="B105" s="13" t="str">
        <f aca="false">IFERROR(INDEX(PPF!$D:$D,MATCH($B$2&amp;"#"&amp;6,PPF!$I:$I,0)),"")</f>
        <v/>
      </c>
      <c r="C105" s="21" t="str">
        <f aca="false">IFERROR(INDEX(PPF!$E:$E,MATCH($B$2&amp;"#"&amp;6,PPF!$I:$I,0)),"")</f>
        <v/>
      </c>
    </row>
    <row r="106" customFormat="false" ht="15" hidden="false" customHeight="true" outlineLevel="0" collapsed="false">
      <c r="A106" s="15" t="str">
        <f aca="false">IFERROR(INDEX(PPF!$B:$B,MATCH($B$2&amp;"#"&amp;7,PPF!$I:$I,0)),"")</f>
        <v/>
      </c>
      <c r="B106" s="13" t="str">
        <f aca="false">IFERROR(INDEX(PPF!$D:$D,MATCH($B$2&amp;"#"&amp;7,PPF!$I:$I,0)),"")</f>
        <v/>
      </c>
      <c r="C106" s="21" t="str">
        <f aca="false">IFERROR(INDEX(PPF!$E:$E,MATCH($B$2&amp;"#"&amp;7,PPF!$I:$I,0)),"")</f>
        <v/>
      </c>
    </row>
    <row r="107" customFormat="false" ht="15" hidden="false" customHeight="true" outlineLevel="0" collapsed="false">
      <c r="A107" s="15" t="str">
        <f aca="false">IFERROR(INDEX(PPF!$B:$B,MATCH($B$2&amp;"#"&amp;8,PPF!$I:$I,0)),"")</f>
        <v/>
      </c>
      <c r="B107" s="13" t="str">
        <f aca="false">IFERROR(INDEX(PPF!$D:$D,MATCH($B$2&amp;"#"&amp;8,PPF!$I:$I,0)),"")</f>
        <v/>
      </c>
      <c r="C107" s="21" t="str">
        <f aca="false">IFERROR(INDEX(PPF!$E:$E,MATCH($B$2&amp;"#"&amp;8,PPF!$I:$I,0)),"")</f>
        <v/>
      </c>
    </row>
    <row r="108" customFormat="false" ht="15" hidden="false" customHeight="true" outlineLevel="0" collapsed="false">
      <c r="A108" s="15" t="str">
        <f aca="false">IFERROR(INDEX(PPF!$B:$B,MATCH($B$2&amp;"#"&amp;9,PPF!$I:$I,0)),"")</f>
        <v/>
      </c>
      <c r="B108" s="13" t="str">
        <f aca="false">IFERROR(INDEX(PPF!$D:$D,MATCH($B$2&amp;"#"&amp;9,PPF!$I:$I,0)),"")</f>
        <v/>
      </c>
      <c r="C108" s="21" t="str">
        <f aca="false">IFERROR(INDEX(PPF!$E:$E,MATCH($B$2&amp;"#"&amp;9,PPF!$I:$I,0)),"")</f>
        <v/>
      </c>
    </row>
    <row r="109" customFormat="false" ht="15" hidden="false" customHeight="true" outlineLevel="0" collapsed="false">
      <c r="A109" s="15" t="str">
        <f aca="false">IFERROR(INDEX(PPF!$B:$B,MATCH($B$2&amp;"#"&amp;10,PPF!$I:$I,0)),"")</f>
        <v/>
      </c>
      <c r="B109" s="13" t="str">
        <f aca="false">IFERROR(INDEX(PPF!$D:$D,MATCH($B$2&amp;"#"&amp;10,PPF!$I:$I,0)),"")</f>
        <v/>
      </c>
      <c r="C109" s="21" t="str">
        <f aca="false">IFERROR(INDEX(PPF!$E:$E,MATCH($B$2&amp;"#"&amp;10,PPF!$I:$I,0)),"")</f>
        <v/>
      </c>
    </row>
    <row r="111" customFormat="false" ht="15" hidden="false" customHeight="true" outlineLevel="0" collapsed="false">
      <c r="A111" s="3" t="s">
        <v>43</v>
      </c>
    </row>
    <row r="112" customFormat="false" ht="15" hidden="false" customHeight="true" outlineLevel="0" collapsed="false">
      <c r="A112" s="17" t="s">
        <v>44</v>
      </c>
      <c r="B112" s="17" t="s">
        <v>24</v>
      </c>
      <c r="C112" s="17" t="s">
        <v>45</v>
      </c>
      <c r="D112" s="17" t="s">
        <v>46</v>
      </c>
      <c r="E112" s="17" t="s">
        <v>26</v>
      </c>
      <c r="F112" s="17" t="s">
        <v>27</v>
      </c>
    </row>
    <row r="113" customFormat="false" ht="15" hidden="false" customHeight="true" outlineLevel="0" collapsed="false">
      <c r="A113" s="15" t="str">
        <f aca="false">IFERROR(INDEX(Bonds!$B:$B,MATCH($B$2&amp;"#"&amp;1,Bonds!$N:$N,0)),"")</f>
        <v>8.5% NHAI Bond 2029</v>
      </c>
      <c r="B113" s="18" t="n">
        <f aca="false">IFERROR(INDEX(Bonds!$D:$D,MATCH($B$2&amp;"#"&amp;1,Bonds!$N:$N,0)),"")</f>
        <v>50</v>
      </c>
      <c r="C113" s="18" t="n">
        <f aca="false">IFERROR(INDEX(Bonds!$F:$F,MATCH($B$2&amp;"#"&amp;1,Bonds!$N:$N,0)),"")</f>
        <v>1000</v>
      </c>
      <c r="D113" s="18" t="n">
        <f aca="false">IFERROR(INDEX(Bonds!$G:$G,MATCH($B$2&amp;"#"&amp;1,Bonds!$N:$N,0)),"")</f>
        <v>1015</v>
      </c>
      <c r="E113" s="13" t="n">
        <f aca="false">IFERROR(INDEX(Bonds!$K:$K,MATCH($B$2&amp;"#"&amp;1,Bonds!$N:$N,0)),"")</f>
        <v>50750</v>
      </c>
      <c r="F113" s="13" t="n">
        <f aca="false">IFERROR(INDEX(Bonds!$L:$L,MATCH($B$2&amp;"#"&amp;1,Bonds!$N:$N,0)),"")</f>
        <v>750</v>
      </c>
    </row>
    <row r="114" customFormat="false" ht="15" hidden="false" customHeight="true" outlineLevel="0" collapsed="false">
      <c r="A114" s="15" t="str">
        <f aca="false">IFERROR(INDEX(Bonds!$B:$B,MATCH($B$2&amp;"#"&amp;2,Bonds!$N:$N,0)),"")</f>
        <v/>
      </c>
      <c r="B114" s="18" t="str">
        <f aca="false">IFERROR(INDEX(Bonds!$D:$D,MATCH($B$2&amp;"#"&amp;2,Bonds!$N:$N,0)),"")</f>
        <v/>
      </c>
      <c r="C114" s="18" t="str">
        <f aca="false">IFERROR(INDEX(Bonds!$F:$F,MATCH($B$2&amp;"#"&amp;2,Bonds!$N:$N,0)),"")</f>
        <v/>
      </c>
      <c r="D114" s="18" t="str">
        <f aca="false">IFERROR(INDEX(Bonds!$G:$G,MATCH($B$2&amp;"#"&amp;2,Bonds!$N:$N,0)),"")</f>
        <v/>
      </c>
      <c r="E114" s="13" t="str">
        <f aca="false">IFERROR(INDEX(Bonds!$K:$K,MATCH($B$2&amp;"#"&amp;2,Bonds!$N:$N,0)),"")</f>
        <v/>
      </c>
      <c r="F114" s="13" t="str">
        <f aca="false">IFERROR(INDEX(Bonds!$L:$L,MATCH($B$2&amp;"#"&amp;2,Bonds!$N:$N,0)),"")</f>
        <v/>
      </c>
    </row>
    <row r="115" customFormat="false" ht="15" hidden="false" customHeight="true" outlineLevel="0" collapsed="false">
      <c r="A115" s="15" t="str">
        <f aca="false">IFERROR(INDEX(Bonds!$B:$B,MATCH($B$2&amp;"#"&amp;3,Bonds!$N:$N,0)),"")</f>
        <v/>
      </c>
      <c r="B115" s="18" t="str">
        <f aca="false">IFERROR(INDEX(Bonds!$D:$D,MATCH($B$2&amp;"#"&amp;3,Bonds!$N:$N,0)),"")</f>
        <v/>
      </c>
      <c r="C115" s="18" t="str">
        <f aca="false">IFERROR(INDEX(Bonds!$F:$F,MATCH($B$2&amp;"#"&amp;3,Bonds!$N:$N,0)),"")</f>
        <v/>
      </c>
      <c r="D115" s="18" t="str">
        <f aca="false">IFERROR(INDEX(Bonds!$G:$G,MATCH($B$2&amp;"#"&amp;3,Bonds!$N:$N,0)),"")</f>
        <v/>
      </c>
      <c r="E115" s="13" t="str">
        <f aca="false">IFERROR(INDEX(Bonds!$K:$K,MATCH($B$2&amp;"#"&amp;3,Bonds!$N:$N,0)),"")</f>
        <v/>
      </c>
      <c r="F115" s="13" t="str">
        <f aca="false">IFERROR(INDEX(Bonds!$L:$L,MATCH($B$2&amp;"#"&amp;3,Bonds!$N:$N,0)),"")</f>
        <v/>
      </c>
    </row>
    <row r="116" customFormat="false" ht="15" hidden="false" customHeight="true" outlineLevel="0" collapsed="false">
      <c r="A116" s="15" t="str">
        <f aca="false">IFERROR(INDEX(Bonds!$B:$B,MATCH($B$2&amp;"#"&amp;4,Bonds!$N:$N,0)),"")</f>
        <v/>
      </c>
      <c r="B116" s="18" t="str">
        <f aca="false">IFERROR(INDEX(Bonds!$D:$D,MATCH($B$2&amp;"#"&amp;4,Bonds!$N:$N,0)),"")</f>
        <v/>
      </c>
      <c r="C116" s="18" t="str">
        <f aca="false">IFERROR(INDEX(Bonds!$F:$F,MATCH($B$2&amp;"#"&amp;4,Bonds!$N:$N,0)),"")</f>
        <v/>
      </c>
      <c r="D116" s="18" t="str">
        <f aca="false">IFERROR(INDEX(Bonds!$G:$G,MATCH($B$2&amp;"#"&amp;4,Bonds!$N:$N,0)),"")</f>
        <v/>
      </c>
      <c r="E116" s="13" t="str">
        <f aca="false">IFERROR(INDEX(Bonds!$K:$K,MATCH($B$2&amp;"#"&amp;4,Bonds!$N:$N,0)),"")</f>
        <v/>
      </c>
      <c r="F116" s="13" t="str">
        <f aca="false">IFERROR(INDEX(Bonds!$L:$L,MATCH($B$2&amp;"#"&amp;4,Bonds!$N:$N,0)),"")</f>
        <v/>
      </c>
    </row>
    <row r="117" customFormat="false" ht="15" hidden="false" customHeight="true" outlineLevel="0" collapsed="false">
      <c r="A117" s="15" t="str">
        <f aca="false">IFERROR(INDEX(Bonds!$B:$B,MATCH($B$2&amp;"#"&amp;5,Bonds!$N:$N,0)),"")</f>
        <v/>
      </c>
      <c r="B117" s="18" t="str">
        <f aca="false">IFERROR(INDEX(Bonds!$D:$D,MATCH($B$2&amp;"#"&amp;5,Bonds!$N:$N,0)),"")</f>
        <v/>
      </c>
      <c r="C117" s="18" t="str">
        <f aca="false">IFERROR(INDEX(Bonds!$F:$F,MATCH($B$2&amp;"#"&amp;5,Bonds!$N:$N,0)),"")</f>
        <v/>
      </c>
      <c r="D117" s="18" t="str">
        <f aca="false">IFERROR(INDEX(Bonds!$G:$G,MATCH($B$2&amp;"#"&amp;5,Bonds!$N:$N,0)),"")</f>
        <v/>
      </c>
      <c r="E117" s="13" t="str">
        <f aca="false">IFERROR(INDEX(Bonds!$K:$K,MATCH($B$2&amp;"#"&amp;5,Bonds!$N:$N,0)),"")</f>
        <v/>
      </c>
      <c r="F117" s="13" t="str">
        <f aca="false">IFERROR(INDEX(Bonds!$L:$L,MATCH($B$2&amp;"#"&amp;5,Bonds!$N:$N,0)),"")</f>
        <v/>
      </c>
    </row>
    <row r="118" customFormat="false" ht="15" hidden="false" customHeight="true" outlineLevel="0" collapsed="false">
      <c r="A118" s="15" t="str">
        <f aca="false">IFERROR(INDEX(Bonds!$B:$B,MATCH($B$2&amp;"#"&amp;6,Bonds!$N:$N,0)),"")</f>
        <v/>
      </c>
      <c r="B118" s="18" t="str">
        <f aca="false">IFERROR(INDEX(Bonds!$D:$D,MATCH($B$2&amp;"#"&amp;6,Bonds!$N:$N,0)),"")</f>
        <v/>
      </c>
      <c r="C118" s="18" t="str">
        <f aca="false">IFERROR(INDEX(Bonds!$F:$F,MATCH($B$2&amp;"#"&amp;6,Bonds!$N:$N,0)),"")</f>
        <v/>
      </c>
      <c r="D118" s="18" t="str">
        <f aca="false">IFERROR(INDEX(Bonds!$G:$G,MATCH($B$2&amp;"#"&amp;6,Bonds!$N:$N,0)),"")</f>
        <v/>
      </c>
      <c r="E118" s="13" t="str">
        <f aca="false">IFERROR(INDEX(Bonds!$K:$K,MATCH($B$2&amp;"#"&amp;6,Bonds!$N:$N,0)),"")</f>
        <v/>
      </c>
      <c r="F118" s="13" t="str">
        <f aca="false">IFERROR(INDEX(Bonds!$L:$L,MATCH($B$2&amp;"#"&amp;6,Bonds!$N:$N,0)),"")</f>
        <v/>
      </c>
    </row>
    <row r="119" customFormat="false" ht="15" hidden="false" customHeight="true" outlineLevel="0" collapsed="false">
      <c r="A119" s="15" t="str">
        <f aca="false">IFERROR(INDEX(Bonds!$B:$B,MATCH($B$2&amp;"#"&amp;7,Bonds!$N:$N,0)),"")</f>
        <v/>
      </c>
      <c r="B119" s="18" t="str">
        <f aca="false">IFERROR(INDEX(Bonds!$D:$D,MATCH($B$2&amp;"#"&amp;7,Bonds!$N:$N,0)),"")</f>
        <v/>
      </c>
      <c r="C119" s="18" t="str">
        <f aca="false">IFERROR(INDEX(Bonds!$F:$F,MATCH($B$2&amp;"#"&amp;7,Bonds!$N:$N,0)),"")</f>
        <v/>
      </c>
      <c r="D119" s="18" t="str">
        <f aca="false">IFERROR(INDEX(Bonds!$G:$G,MATCH($B$2&amp;"#"&amp;7,Bonds!$N:$N,0)),"")</f>
        <v/>
      </c>
      <c r="E119" s="13" t="str">
        <f aca="false">IFERROR(INDEX(Bonds!$K:$K,MATCH($B$2&amp;"#"&amp;7,Bonds!$N:$N,0)),"")</f>
        <v/>
      </c>
      <c r="F119" s="13" t="str">
        <f aca="false">IFERROR(INDEX(Bonds!$L:$L,MATCH($B$2&amp;"#"&amp;7,Bonds!$N:$N,0)),"")</f>
        <v/>
      </c>
    </row>
    <row r="120" customFormat="false" ht="15" hidden="false" customHeight="true" outlineLevel="0" collapsed="false">
      <c r="A120" s="15" t="str">
        <f aca="false">IFERROR(INDEX(Bonds!$B:$B,MATCH($B$2&amp;"#"&amp;8,Bonds!$N:$N,0)),"")</f>
        <v/>
      </c>
      <c r="B120" s="18" t="str">
        <f aca="false">IFERROR(INDEX(Bonds!$D:$D,MATCH($B$2&amp;"#"&amp;8,Bonds!$N:$N,0)),"")</f>
        <v/>
      </c>
      <c r="C120" s="18" t="str">
        <f aca="false">IFERROR(INDEX(Bonds!$F:$F,MATCH($B$2&amp;"#"&amp;8,Bonds!$N:$N,0)),"")</f>
        <v/>
      </c>
      <c r="D120" s="18" t="str">
        <f aca="false">IFERROR(INDEX(Bonds!$G:$G,MATCH($B$2&amp;"#"&amp;8,Bonds!$N:$N,0)),"")</f>
        <v/>
      </c>
      <c r="E120" s="13" t="str">
        <f aca="false">IFERROR(INDEX(Bonds!$K:$K,MATCH($B$2&amp;"#"&amp;8,Bonds!$N:$N,0)),"")</f>
        <v/>
      </c>
      <c r="F120" s="13" t="str">
        <f aca="false">IFERROR(INDEX(Bonds!$L:$L,MATCH($B$2&amp;"#"&amp;8,Bonds!$N:$N,0)),"")</f>
        <v/>
      </c>
    </row>
    <row r="121" customFormat="false" ht="15" hidden="false" customHeight="true" outlineLevel="0" collapsed="false">
      <c r="A121" s="15" t="str">
        <f aca="false">IFERROR(INDEX(Bonds!$B:$B,MATCH($B$2&amp;"#"&amp;9,Bonds!$N:$N,0)),"")</f>
        <v/>
      </c>
      <c r="B121" s="18" t="str">
        <f aca="false">IFERROR(INDEX(Bonds!$D:$D,MATCH($B$2&amp;"#"&amp;9,Bonds!$N:$N,0)),"")</f>
        <v/>
      </c>
      <c r="C121" s="18" t="str">
        <f aca="false">IFERROR(INDEX(Bonds!$F:$F,MATCH($B$2&amp;"#"&amp;9,Bonds!$N:$N,0)),"")</f>
        <v/>
      </c>
      <c r="D121" s="18" t="str">
        <f aca="false">IFERROR(INDEX(Bonds!$G:$G,MATCH($B$2&amp;"#"&amp;9,Bonds!$N:$N,0)),"")</f>
        <v/>
      </c>
      <c r="E121" s="13" t="str">
        <f aca="false">IFERROR(INDEX(Bonds!$K:$K,MATCH($B$2&amp;"#"&amp;9,Bonds!$N:$N,0)),"")</f>
        <v/>
      </c>
      <c r="F121" s="13" t="str">
        <f aca="false">IFERROR(INDEX(Bonds!$L:$L,MATCH($B$2&amp;"#"&amp;9,Bonds!$N:$N,0)),"")</f>
        <v/>
      </c>
    </row>
    <row r="122" customFormat="false" ht="15" hidden="false" customHeight="true" outlineLevel="0" collapsed="false">
      <c r="A122" s="15" t="str">
        <f aca="false">IFERROR(INDEX(Bonds!$B:$B,MATCH($B$2&amp;"#"&amp;10,Bonds!$N:$N,0)),"")</f>
        <v/>
      </c>
      <c r="B122" s="18" t="str">
        <f aca="false">IFERROR(INDEX(Bonds!$D:$D,MATCH($B$2&amp;"#"&amp;10,Bonds!$N:$N,0)),"")</f>
        <v/>
      </c>
      <c r="C122" s="18" t="str">
        <f aca="false">IFERROR(INDEX(Bonds!$F:$F,MATCH($B$2&amp;"#"&amp;10,Bonds!$N:$N,0)),"")</f>
        <v/>
      </c>
      <c r="D122" s="18" t="str">
        <f aca="false">IFERROR(INDEX(Bonds!$G:$G,MATCH($B$2&amp;"#"&amp;10,Bonds!$N:$N,0)),"")</f>
        <v/>
      </c>
      <c r="E122" s="13" t="str">
        <f aca="false">IFERROR(INDEX(Bonds!$K:$K,MATCH($B$2&amp;"#"&amp;10,Bonds!$N:$N,0)),"")</f>
        <v/>
      </c>
      <c r="F122" s="13" t="str">
        <f aca="false">IFERROR(INDEX(Bonds!$L:$L,MATCH($B$2&amp;"#"&amp;10,Bonds!$N:$N,0)),"")</f>
        <v/>
      </c>
    </row>
    <row r="123" customFormat="false" ht="15" hidden="false" customHeight="true" outlineLevel="0" collapsed="false">
      <c r="A123" s="15" t="str">
        <f aca="false">IFERROR(INDEX(Bonds!$B:$B,MATCH($B$2&amp;"#"&amp;11,Bonds!$N:$N,0)),"")</f>
        <v/>
      </c>
      <c r="B123" s="18" t="str">
        <f aca="false">IFERROR(INDEX(Bonds!$D:$D,MATCH($B$2&amp;"#"&amp;11,Bonds!$N:$N,0)),"")</f>
        <v/>
      </c>
      <c r="C123" s="18" t="str">
        <f aca="false">IFERROR(INDEX(Bonds!$F:$F,MATCH($B$2&amp;"#"&amp;11,Bonds!$N:$N,0)),"")</f>
        <v/>
      </c>
      <c r="D123" s="18" t="str">
        <f aca="false">IFERROR(INDEX(Bonds!$G:$G,MATCH($B$2&amp;"#"&amp;11,Bonds!$N:$N,0)),"")</f>
        <v/>
      </c>
      <c r="E123" s="13" t="str">
        <f aca="false">IFERROR(INDEX(Bonds!$K:$K,MATCH($B$2&amp;"#"&amp;11,Bonds!$N:$N,0)),"")</f>
        <v/>
      </c>
      <c r="F123" s="13" t="str">
        <f aca="false">IFERROR(INDEX(Bonds!$L:$L,MATCH($B$2&amp;"#"&amp;11,Bonds!$N:$N,0)),"")</f>
        <v/>
      </c>
    </row>
    <row r="124" customFormat="false" ht="15" hidden="false" customHeight="true" outlineLevel="0" collapsed="false">
      <c r="A124" s="15" t="str">
        <f aca="false">IFERROR(INDEX(Bonds!$B:$B,MATCH($B$2&amp;"#"&amp;12,Bonds!$N:$N,0)),"")</f>
        <v/>
      </c>
      <c r="B124" s="18" t="str">
        <f aca="false">IFERROR(INDEX(Bonds!$D:$D,MATCH($B$2&amp;"#"&amp;12,Bonds!$N:$N,0)),"")</f>
        <v/>
      </c>
      <c r="C124" s="18" t="str">
        <f aca="false">IFERROR(INDEX(Bonds!$F:$F,MATCH($B$2&amp;"#"&amp;12,Bonds!$N:$N,0)),"")</f>
        <v/>
      </c>
      <c r="D124" s="18" t="str">
        <f aca="false">IFERROR(INDEX(Bonds!$G:$G,MATCH($B$2&amp;"#"&amp;12,Bonds!$N:$N,0)),"")</f>
        <v/>
      </c>
      <c r="E124" s="13" t="str">
        <f aca="false">IFERROR(INDEX(Bonds!$K:$K,MATCH($B$2&amp;"#"&amp;12,Bonds!$N:$N,0)),"")</f>
        <v/>
      </c>
      <c r="F124" s="13" t="str">
        <f aca="false">IFERROR(INDEX(Bonds!$L:$L,MATCH($B$2&amp;"#"&amp;12,Bonds!$N:$N,0)),"")</f>
        <v/>
      </c>
    </row>
    <row r="125" customFormat="false" ht="15" hidden="false" customHeight="true" outlineLevel="0" collapsed="false">
      <c r="A125" s="15" t="str">
        <f aca="false">IFERROR(INDEX(Bonds!$B:$B,MATCH($B$2&amp;"#"&amp;13,Bonds!$N:$N,0)),"")</f>
        <v/>
      </c>
      <c r="B125" s="18" t="str">
        <f aca="false">IFERROR(INDEX(Bonds!$D:$D,MATCH($B$2&amp;"#"&amp;13,Bonds!$N:$N,0)),"")</f>
        <v/>
      </c>
      <c r="C125" s="18" t="str">
        <f aca="false">IFERROR(INDEX(Bonds!$F:$F,MATCH($B$2&amp;"#"&amp;13,Bonds!$N:$N,0)),"")</f>
        <v/>
      </c>
      <c r="D125" s="18" t="str">
        <f aca="false">IFERROR(INDEX(Bonds!$G:$G,MATCH($B$2&amp;"#"&amp;13,Bonds!$N:$N,0)),"")</f>
        <v/>
      </c>
      <c r="E125" s="13" t="str">
        <f aca="false">IFERROR(INDEX(Bonds!$K:$K,MATCH($B$2&amp;"#"&amp;13,Bonds!$N:$N,0)),"")</f>
        <v/>
      </c>
      <c r="F125" s="13" t="str">
        <f aca="false">IFERROR(INDEX(Bonds!$L:$L,MATCH($B$2&amp;"#"&amp;13,Bonds!$N:$N,0)),"")</f>
        <v/>
      </c>
    </row>
    <row r="126" customFormat="false" ht="15" hidden="false" customHeight="true" outlineLevel="0" collapsed="false">
      <c r="A126" s="15" t="str">
        <f aca="false">IFERROR(INDEX(Bonds!$B:$B,MATCH($B$2&amp;"#"&amp;14,Bonds!$N:$N,0)),"")</f>
        <v/>
      </c>
      <c r="B126" s="18" t="str">
        <f aca="false">IFERROR(INDEX(Bonds!$D:$D,MATCH($B$2&amp;"#"&amp;14,Bonds!$N:$N,0)),"")</f>
        <v/>
      </c>
      <c r="C126" s="18" t="str">
        <f aca="false">IFERROR(INDEX(Bonds!$F:$F,MATCH($B$2&amp;"#"&amp;14,Bonds!$N:$N,0)),"")</f>
        <v/>
      </c>
      <c r="D126" s="18" t="str">
        <f aca="false">IFERROR(INDEX(Bonds!$G:$G,MATCH($B$2&amp;"#"&amp;14,Bonds!$N:$N,0)),"")</f>
        <v/>
      </c>
      <c r="E126" s="13" t="str">
        <f aca="false">IFERROR(INDEX(Bonds!$K:$K,MATCH($B$2&amp;"#"&amp;14,Bonds!$N:$N,0)),"")</f>
        <v/>
      </c>
      <c r="F126" s="13" t="str">
        <f aca="false">IFERROR(INDEX(Bonds!$L:$L,MATCH($B$2&amp;"#"&amp;14,Bonds!$N:$N,0)),"")</f>
        <v/>
      </c>
    </row>
    <row r="127" customFormat="false" ht="15" hidden="false" customHeight="true" outlineLevel="0" collapsed="false">
      <c r="A127" s="15" t="str">
        <f aca="false">IFERROR(INDEX(Bonds!$B:$B,MATCH($B$2&amp;"#"&amp;15,Bonds!$N:$N,0)),"")</f>
        <v/>
      </c>
      <c r="B127" s="18" t="str">
        <f aca="false">IFERROR(INDEX(Bonds!$D:$D,MATCH($B$2&amp;"#"&amp;15,Bonds!$N:$N,0)),"")</f>
        <v/>
      </c>
      <c r="C127" s="18" t="str">
        <f aca="false">IFERROR(INDEX(Bonds!$F:$F,MATCH($B$2&amp;"#"&amp;15,Bonds!$N:$N,0)),"")</f>
        <v/>
      </c>
      <c r="D127" s="18" t="str">
        <f aca="false">IFERROR(INDEX(Bonds!$G:$G,MATCH($B$2&amp;"#"&amp;15,Bonds!$N:$N,0)),"")</f>
        <v/>
      </c>
      <c r="E127" s="13" t="str">
        <f aca="false">IFERROR(INDEX(Bonds!$K:$K,MATCH($B$2&amp;"#"&amp;15,Bonds!$N:$N,0)),"")</f>
        <v/>
      </c>
      <c r="F127" s="13" t="str">
        <f aca="false">IFERROR(INDEX(Bonds!$L:$L,MATCH($B$2&amp;"#"&amp;15,Bonds!$N:$N,0)),"")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10" min="9" style="1" width="14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4" min="14" style="1" width="9"/>
    <col collapsed="false" customWidth="true" hidden="true" outlineLevel="0" max="16" min="16" style="1" width="13"/>
  </cols>
  <sheetData>
    <row r="1" customFormat="false" ht="18" hidden="false" customHeight="true" outlineLevel="0" collapsed="false">
      <c r="A1" s="2" t="s">
        <v>49</v>
      </c>
    </row>
    <row r="2" customFormat="false" ht="15" hidden="false" customHeight="true" outlineLevel="0" collapsed="false">
      <c r="A2" s="22" t="inlineStr">
        <is>
          <t xml:space="preserve">Enter Owner, then PICK the Scrip from the dropdown — ISIN fills itself from Stock_Master (type it only for delisted scrips). Enter Qty, Avg cost and Cost date (drives XIRR); prices refresh via UpdatePrices.bat. Grey columns compute themselves.</t>
        </is>
      </c>
    </row>
    <row r="3" customFormat="false" ht="23.25" hidden="false" customHeight="true" outlineLevel="0" collapsed="false">
      <c r="A3" s="6" t="s">
        <v>18</v>
      </c>
      <c r="B3" s="6" t="s">
        <v>22</v>
      </c>
      <c r="C3" s="6" t="s">
        <v>23</v>
      </c>
      <c r="D3" s="6" t="s">
        <v>51</v>
      </c>
      <c r="E3" s="6" t="s">
        <v>52</v>
      </c>
      <c r="F3" s="6" t="s">
        <v>53</v>
      </c>
      <c r="G3" s="6" t="s">
        <v>54</v>
      </c>
      <c r="H3" s="6" t="s">
        <v>55</v>
      </c>
      <c r="I3" s="6" t="s">
        <v>26</v>
      </c>
      <c r="J3" s="6" t="s">
        <v>56</v>
      </c>
      <c r="K3" s="6" t="s">
        <v>27</v>
      </c>
      <c r="L3" s="6" t="s">
        <v>57</v>
      </c>
      <c r="M3" s="6" t="s">
        <v>58</v>
      </c>
      <c r="N3" s="6" t="s">
        <v>28</v>
      </c>
      <c r="P3" s="23" t="s">
        <v>59</v>
      </c>
    </row>
    <row r="4" customFormat="false" ht="15" hidden="false" customHeight="true" outlineLevel="0" collapsed="false">
      <c r="A4" s="24" t="s">
        <v>10</v>
      </c>
      <c r="B4" s="24" t="str">
        <f aca="false">IF($C4="","",IFERROR(INDEX(Stock_Master!$C:$C,MATCH($C4,Stock_Master!$B:$B,0)),""))</f>
        <v>INE002A01018</v>
      </c>
      <c r="C4" s="24" t="inlineStr">
        <is>
          <t xml:space="preserve">RELIANCE INDUSTRIES LTD.</t>
        </is>
      </c>
      <c r="D4" s="25" t="n">
        <v>50</v>
      </c>
      <c r="E4" s="25" t="n">
        <v>964.9</v>
      </c>
      <c r="F4" s="25" t="n">
        <v>1520</v>
      </c>
      <c r="G4" s="25" t="n">
        <v>1512.3</v>
      </c>
      <c r="H4" s="24" t="s">
        <v>62</v>
      </c>
      <c r="I4" s="8" t="n">
        <f aca="false">IF($D4="","",$D4*$F4)</f>
        <v>76000</v>
      </c>
      <c r="J4" s="8" t="n">
        <f aca="false">IF(OR($D4="",$E4=""),"",$D4*$E4)</f>
        <v>48245</v>
      </c>
      <c r="K4" s="8" t="n">
        <f aca="false">IF(OR($E4="",$D4=""),"",$I4-$J4)</f>
        <v>27755</v>
      </c>
      <c r="L4" s="8" t="n">
        <f aca="false">IF(OR($G4="",$D4=""),"",$D4*($F4-$G4))</f>
        <v>385.000000000002</v>
      </c>
      <c r="M4" s="26" t="n">
        <v>43131</v>
      </c>
      <c r="N4" s="19" t="n">
        <f aca="true">IF(OR($M4="",N($J4)=0,$I4="",TODAY()&lt;=$M4),"",($I4/$J4)^(365/(TODAY()-$M4))-1)</f>
        <v>0.0552202571847846</v>
      </c>
      <c r="P4" s="23" t="str">
        <f aca="false">IF($A4="","",$A4&amp;"#"&amp;COUNTIF($A$4:$A4,$A4))</f>
        <v>Amit#1</v>
      </c>
    </row>
    <row r="5" customFormat="false" ht="15" hidden="false" customHeight="true" outlineLevel="0" collapsed="false">
      <c r="A5" s="24" t="s">
        <v>10</v>
      </c>
      <c r="B5" s="24" t="str">
        <f aca="false">IF($C5="","",IFERROR(INDEX(Stock_Master!$C:$C,MATCH($C5,Stock_Master!$B:$B,0)),""))</f>
        <v>INE467B01029</v>
      </c>
      <c r="C5" s="24" t="inlineStr">
        <is>
          <t xml:space="preserve">TATA CONSULTANCY SERVICES LTD.</t>
        </is>
      </c>
      <c r="D5" s="25" t="n">
        <v>12</v>
      </c>
      <c r="E5" s="27" t="n">
        <v>2916.05</v>
      </c>
      <c r="F5" s="25" t="n">
        <v>3450</v>
      </c>
      <c r="G5" s="25" t="n">
        <v>3462.1</v>
      </c>
      <c r="H5" s="24" t="s">
        <v>62</v>
      </c>
      <c r="I5" s="8" t="n">
        <f aca="false">IF($D5="","",$D5*$F5)</f>
        <v>41400</v>
      </c>
      <c r="J5" s="8" t="n">
        <f aca="false">IF(OR($D5="",$E5=""),"",$D5*$E5)</f>
        <v>34992.6</v>
      </c>
      <c r="K5" s="8" t="n">
        <f aca="false">IF(OR($E5="",$D5=""),"",$I5-$J5)</f>
        <v>6407.39999999999</v>
      </c>
      <c r="L5" s="8" t="n">
        <f aca="false">IF(OR($G5="",$D5=""),"",$D5*($F5-$G5))</f>
        <v>-145.199999999999</v>
      </c>
      <c r="M5" s="26" t="n">
        <v>43131</v>
      </c>
      <c r="N5" s="19" t="n">
        <f aca="true">IF(OR($M5="",N($J5)=0,$I5="",TODAY()&lt;=$M5),"",($I5/$J5)^(365/(TODAY()-$M5))-1)</f>
        <v>0.0200865188434449</v>
      </c>
      <c r="P5" s="23" t="str">
        <f aca="false">IF($A5="","",$A5&amp;"#"&amp;COUNTIF($A$4:$A5,$A5))</f>
        <v>Amit#2</v>
      </c>
    </row>
    <row r="6" customFormat="false" ht="15" hidden="false" customHeight="true" outlineLevel="0" collapsed="false">
      <c r="A6" s="24" t="s">
        <v>10</v>
      </c>
      <c r="B6" s="24" t="str">
        <f aca="false">IF($C6="","",IFERROR(INDEX(Stock_Master!$C:$C,MATCH($C6,Stock_Master!$B:$B,0)),""))</f>
        <v>INE009A01021</v>
      </c>
      <c r="C6" s="24" t="inlineStr">
        <is>
          <t xml:space="preserve">INFOSYS LTD.</t>
        </is>
      </c>
      <c r="D6" s="25" t="n">
        <v>40</v>
      </c>
      <c r="E6" s="25" t="n">
        <v>1173.85</v>
      </c>
      <c r="F6" s="25" t="n">
        <v>1610</v>
      </c>
      <c r="G6" s="25" t="n">
        <v>1598.7</v>
      </c>
      <c r="H6" s="24" t="s">
        <v>62</v>
      </c>
      <c r="I6" s="8" t="n">
        <f aca="false">IF($D6="","",$D6*$F6)</f>
        <v>64400</v>
      </c>
      <c r="J6" s="8" t="n">
        <f aca="false">IF(OR($D6="",$E6=""),"",$D6*$E6)</f>
        <v>46954</v>
      </c>
      <c r="K6" s="8" t="n">
        <f aca="false">IF(OR($E6="",$D6=""),"",$I6-$J6)</f>
        <v>17446</v>
      </c>
      <c r="L6" s="8" t="n">
        <f aca="false">IF(OR($G6="",$D6=""),"",$D6*($F6-$G6))</f>
        <v>451.999999999998</v>
      </c>
      <c r="M6" s="26" t="n">
        <v>43131</v>
      </c>
      <c r="N6" s="19" t="n">
        <f aca="true">IF(OR($M6="",N($J6)=0,$I6="",TODAY()&lt;=$M6),"",($I6/$J6)^(365/(TODAY()-$M6))-1)</f>
        <v>0.0380757568235295</v>
      </c>
      <c r="P6" s="23" t="str">
        <f aca="false">IF($A6="","",$A6&amp;"#"&amp;COUNTIF($A$4:$A6,$A6))</f>
        <v>Amit#3</v>
      </c>
    </row>
    <row r="7" customFormat="false" ht="15" hidden="false" customHeight="true" outlineLevel="0" collapsed="false">
      <c r="A7" s="24" t="s">
        <v>10</v>
      </c>
      <c r="B7" s="24" t="str">
        <f aca="false">IF($C7="","",IFERROR(INDEX(Stock_Master!$C:$C,MATCH($C7,Stock_Master!$B:$B,0)),""))</f>
        <v>INE040A01034</v>
      </c>
      <c r="C7" s="24" t="inlineStr">
        <is>
          <t xml:space="preserve">HDFC BANK LTD.</t>
        </is>
      </c>
      <c r="D7" s="25" t="n">
        <v>60</v>
      </c>
      <c r="E7" s="25" t="n">
        <v>1076</v>
      </c>
      <c r="F7" s="25" t="n">
        <v>1690</v>
      </c>
      <c r="G7" s="25" t="n">
        <v>1701.5</v>
      </c>
      <c r="H7" s="24" t="s">
        <v>62</v>
      </c>
      <c r="I7" s="8" t="n">
        <f aca="false">IF($D7="","",$D7*$F7)</f>
        <v>101400</v>
      </c>
      <c r="J7" s="8" t="n">
        <f aca="false">IF(OR($D7="",$E7=""),"",$D7*$E7)</f>
        <v>64560</v>
      </c>
      <c r="K7" s="8" t="n">
        <f aca="false">IF(OR($E7="",$D7=""),"",$I7-$J7)</f>
        <v>36840</v>
      </c>
      <c r="L7" s="8" t="n">
        <f aca="false">IF(OR($G7="",$D7=""),"",$D7*($F7-$G7))</f>
        <v>-690</v>
      </c>
      <c r="M7" s="26" t="n">
        <v>43131</v>
      </c>
      <c r="N7" s="19" t="n">
        <f aca="true">IF(OR($M7="",N($J7)=0,$I7="",TODAY()&lt;=$M7),"",($I7/$J7)^(365/(TODAY()-$M7))-1)</f>
        <v>0.0548505081992019</v>
      </c>
      <c r="P7" s="23" t="str">
        <f aca="false">IF($A7="","",$A7&amp;"#"&amp;COUNTIF($A$4:$A7,$A7))</f>
        <v>Amit#4</v>
      </c>
    </row>
    <row r="8" customFormat="false" ht="15" hidden="false" customHeight="true" outlineLevel="0" collapsed="false">
      <c r="A8" s="24" t="s">
        <v>11</v>
      </c>
      <c r="B8" s="24" t="str">
        <f aca="false">IF($C8="","",IFERROR(INDEX(Stock_Master!$C:$C,MATCH($C8,Stock_Master!$B:$B,0)),""))</f>
        <v>INE154A01025</v>
      </c>
      <c r="C8" s="24" t="inlineStr">
        <is>
          <t xml:space="preserve">ITC LTD.</t>
        </is>
      </c>
      <c r="D8" s="25" t="n">
        <v>200</v>
      </c>
      <c r="E8" s="25" t="n">
        <v>282.6</v>
      </c>
      <c r="F8" s="25" t="n">
        <v>435</v>
      </c>
      <c r="G8" s="25" t="n">
        <v>432.9</v>
      </c>
      <c r="H8" s="24" t="s">
        <v>62</v>
      </c>
      <c r="I8" s="8" t="n">
        <f aca="false">IF($D8="","",$D8*$F8)</f>
        <v>87000</v>
      </c>
      <c r="J8" s="8" t="n">
        <f aca="false">IF(OR($D8="",$E8=""),"",$D8*$E8)</f>
        <v>56520</v>
      </c>
      <c r="K8" s="8" t="n">
        <f aca="false">IF(OR($E8="",$D8=""),"",$I8-$J8)</f>
        <v>30480</v>
      </c>
      <c r="L8" s="8" t="n">
        <f aca="false">IF(OR($G8="",$D8=""),"",$D8*($F8-$G8))</f>
        <v>420.000000000005</v>
      </c>
      <c r="M8" s="26" t="n">
        <v>43131</v>
      </c>
      <c r="N8" s="19" t="n">
        <f aca="true">IF(OR($M8="",N($J8)=0,$I8="",TODAY()&lt;=$M8),"",($I8/$J8)^(365/(TODAY()-$M8))-1)</f>
        <v>0.0523377096935007</v>
      </c>
      <c r="P8" s="23" t="str">
        <f aca="false">IF($A8="","",$A8&amp;"#"&amp;COUNTIF($A$4:$A8,$A8))</f>
        <v>Priya#1</v>
      </c>
    </row>
    <row r="9" customFormat="false" ht="15" hidden="false" customHeight="true" outlineLevel="0" collapsed="false">
      <c r="A9" s="24" t="s">
        <v>11</v>
      </c>
      <c r="B9" s="24" t="str">
        <f aca="false">IF($C9="","",IFERROR(INDEX(Stock_Master!$C:$C,MATCH($C9,Stock_Master!$B:$B,0)),""))</f>
        <v>INE090A01021</v>
      </c>
      <c r="C9" s="24" t="inlineStr">
        <is>
          <t xml:space="preserve">ICICI BANK LTD.</t>
        </is>
      </c>
      <c r="D9" s="25" t="n">
        <v>80</v>
      </c>
      <c r="E9" s="25" t="n">
        <v>365</v>
      </c>
      <c r="F9" s="25" t="n">
        <v>1240</v>
      </c>
      <c r="G9" s="25" t="n">
        <v>1231</v>
      </c>
      <c r="H9" s="24" t="s">
        <v>62</v>
      </c>
      <c r="I9" s="8" t="n">
        <f aca="false">IF($D9="","",$D9*$F9)</f>
        <v>99200</v>
      </c>
      <c r="J9" s="8" t="n">
        <f aca="false">IF(OR($D9="",$E9=""),"",$D9*$E9)</f>
        <v>29200</v>
      </c>
      <c r="K9" s="8" t="n">
        <f aca="false">IF(OR($E9="",$D9=""),"",$I9-$J9)</f>
        <v>70000</v>
      </c>
      <c r="L9" s="8" t="n">
        <f aca="false">IF(OR($G9="",$D9=""),"",$D9*($F9-$G9))</f>
        <v>720</v>
      </c>
      <c r="M9" s="26" t="n">
        <v>43131</v>
      </c>
      <c r="N9" s="19" t="n">
        <f aca="true">IF(OR($M9="",N($J9)=0,$I9="",TODAY()&lt;=$M9),"",($I9/$J9)^(365/(TODAY()-$M9))-1)</f>
        <v>0.155632741538184</v>
      </c>
      <c r="P9" s="23" t="str">
        <f aca="false">IF($A9="","",$A9&amp;"#"&amp;COUNTIF($A$4:$A9,$A9))</f>
        <v>Priya#2</v>
      </c>
    </row>
    <row r="10" customFormat="false" ht="15" hidden="false" customHeight="true" outlineLevel="0" collapsed="false">
      <c r="A10" s="24" t="s">
        <v>11</v>
      </c>
      <c r="B10" s="24" t="str">
        <f aca="false">IF($C10="","",IFERROR(INDEX(Stock_Master!$C:$C,MATCH($C10,Stock_Master!$B:$B,0)),""))</f>
        <v>INE075A01022</v>
      </c>
      <c r="C10" s="24" t="inlineStr">
        <is>
          <t xml:space="preserve">WIPRO LTD.</t>
        </is>
      </c>
      <c r="D10" s="25" t="n">
        <v>150</v>
      </c>
      <c r="E10" s="25" t="n">
        <v>317</v>
      </c>
      <c r="F10" s="25" t="n">
        <v>245</v>
      </c>
      <c r="G10" s="25" t="n">
        <v>247.2</v>
      </c>
      <c r="H10" s="24" t="s">
        <v>62</v>
      </c>
      <c r="I10" s="8" t="n">
        <f aca="false">IF($D10="","",$D10*$F10)</f>
        <v>36750</v>
      </c>
      <c r="J10" s="8" t="n">
        <f aca="false">IF(OR($D10="",$E10=""),"",$D10*$E10)</f>
        <v>47550</v>
      </c>
      <c r="K10" s="8" t="n">
        <f aca="false">IF(OR($E10="",$D10=""),"",$I10-$J10)</f>
        <v>-10800</v>
      </c>
      <c r="L10" s="8" t="n">
        <f aca="false">IF(OR($G10="",$D10=""),"",$D10*($F10-$G10))</f>
        <v>-329.999999999998</v>
      </c>
      <c r="M10" s="26" t="n">
        <v>43131</v>
      </c>
      <c r="N10" s="19" t="n">
        <f aca="true">IF(OR($M10="",N($J10)=0,$I10="",TODAY()&lt;=$M10),"",($I10/$J10)^(365/(TODAY()-$M10))-1)</f>
        <v>-0.0300134486199952</v>
      </c>
      <c r="P10" s="23" t="str">
        <f aca="false">IF($A10="","",$A10&amp;"#"&amp;COUNTIF($A$4:$A10,$A10))</f>
        <v>Priya#3</v>
      </c>
    </row>
    <row r="11" customFormat="false" ht="15" hidden="false" customHeight="true" outlineLevel="0" collapsed="false">
      <c r="A11" s="24" t="s">
        <v>12</v>
      </c>
      <c r="B11" s="24" t="str">
        <f aca="false">IF($C11="","",IFERROR(INDEX(Stock_Master!$C:$C,MATCH($C11,Stock_Master!$B:$B,0)),""))</f>
        <v>INE018A01030</v>
      </c>
      <c r="C11" s="24" t="inlineStr">
        <is>
          <t xml:space="preserve">LARSEN &amp; TOUBRO LTD.</t>
        </is>
      </c>
      <c r="D11" s="25" t="n">
        <v>25</v>
      </c>
      <c r="E11" s="25" t="n">
        <v>1470</v>
      </c>
      <c r="F11" s="25" t="n">
        <v>3620</v>
      </c>
      <c r="G11" s="25" t="n">
        <v>3608.4</v>
      </c>
      <c r="H11" s="24" t="s">
        <v>62</v>
      </c>
      <c r="I11" s="8" t="n">
        <f aca="false">IF($D11="","",$D11*$F11)</f>
        <v>90500</v>
      </c>
      <c r="J11" s="8" t="n">
        <f aca="false">IF(OR($D11="",$E11=""),"",$D11*$E11)</f>
        <v>36750</v>
      </c>
      <c r="K11" s="8" t="n">
        <f aca="false">IF(OR($E11="",$D11=""),"",$I11-$J11)</f>
        <v>53750</v>
      </c>
      <c r="L11" s="8" t="n">
        <f aca="false">IF(OR($G11="",$D11=""),"",$D11*($F11-$G11))</f>
        <v>289.999999999998</v>
      </c>
      <c r="M11" s="26" t="n">
        <v>43131</v>
      </c>
      <c r="N11" s="19" t="n">
        <f aca="true">IF(OR($M11="",N($J11)=0,$I11="",TODAY()&lt;=$M11),"",($I11/$J11)^(365/(TODAY()-$M11))-1)</f>
        <v>0.112480028804349</v>
      </c>
      <c r="P11" s="23" t="str">
        <f aca="false">IF($A11="","",$A11&amp;"#"&amp;COUNTIF($A$4:$A11,$A11))</f>
        <v>Rahul#1</v>
      </c>
    </row>
    <row r="12" customFormat="false" ht="15" hidden="false" customHeight="true" outlineLevel="0" collapsed="false">
      <c r="A12" s="24" t="s">
        <v>12</v>
      </c>
      <c r="B12" s="24" t="str">
        <f aca="false">IF($C12="","",IFERROR(INDEX(Stock_Master!$C:$C,MATCH($C12,Stock_Master!$B:$B,0)),""))</f>
        <v>INE062A01020</v>
      </c>
      <c r="C12" s="24" t="inlineStr">
        <is>
          <t xml:space="preserve">STATE BANK OF INDIA</t>
        </is>
      </c>
      <c r="D12" s="25" t="n">
        <v>120</v>
      </c>
      <c r="E12" s="25" t="n">
        <v>327</v>
      </c>
      <c r="F12" s="25" t="n">
        <v>815</v>
      </c>
      <c r="G12" s="25" t="n">
        <v>812.5</v>
      </c>
      <c r="H12" s="24" t="s">
        <v>62</v>
      </c>
      <c r="I12" s="8" t="n">
        <f aca="false">IF($D12="","",$D12*$F12)</f>
        <v>97800</v>
      </c>
      <c r="J12" s="8" t="n">
        <f aca="false">IF(OR($D12="",$E12=""),"",$D12*$E12)</f>
        <v>39240</v>
      </c>
      <c r="K12" s="8" t="n">
        <f aca="false">IF(OR($E12="",$D12=""),"",$I12-$J12)</f>
        <v>58560</v>
      </c>
      <c r="L12" s="8" t="n">
        <f aca="false">IF(OR($G12="",$D12=""),"",$D12*($F12-$G12))</f>
        <v>300</v>
      </c>
      <c r="M12" s="26" t="n">
        <v>43131</v>
      </c>
      <c r="N12" s="19" t="n">
        <f aca="true">IF(OR($M12="",N($J12)=0,$I12="",TODAY()&lt;=$M12),"",($I12/$J12)^(365/(TODAY()-$M12))-1)</f>
        <v>0.114062257326627</v>
      </c>
      <c r="P12" s="23" t="str">
        <f aca="false">IF($A12="","",$A12&amp;"#"&amp;COUNTIF($A$4:$A12,$A12))</f>
        <v>Rahul#2</v>
      </c>
    </row>
    <row r="13" customFormat="false" ht="15" hidden="false" customHeight="true" outlineLevel="0" collapsed="false">
      <c r="A13" s="24" t="s">
        <v>12</v>
      </c>
      <c r="B13" s="24" t="str">
        <f aca="false">IF($C13="","",IFERROR(INDEX(Stock_Master!$C:$C,MATCH($C13,Stock_Master!$B:$B,0)),""))</f>
        <v>INE030A01027</v>
      </c>
      <c r="C13" s="24" t="inlineStr">
        <is>
          <t xml:space="preserve">HINDUSTAN UNILEVER LTD.</t>
        </is>
      </c>
      <c r="D13" s="25" t="n">
        <v>30</v>
      </c>
      <c r="E13" s="25" t="n">
        <v>1370</v>
      </c>
      <c r="F13" s="25" t="n">
        <v>2410</v>
      </c>
      <c r="G13" s="25" t="n">
        <v>2422.8</v>
      </c>
      <c r="H13" s="24" t="s">
        <v>62</v>
      </c>
      <c r="I13" s="8" t="n">
        <f aca="false">IF($D13="","",$D13*$F13)</f>
        <v>72300</v>
      </c>
      <c r="J13" s="8" t="n">
        <f aca="false">IF(OR($D13="",$E13=""),"",$D13*$E13)</f>
        <v>41100</v>
      </c>
      <c r="K13" s="8" t="n">
        <f aca="false">IF(OR($E13="",$D13=""),"",$I13-$J13)</f>
        <v>31200</v>
      </c>
      <c r="L13" s="8" t="n">
        <f aca="false">IF(OR($G13="",$D13=""),"",$D13*($F13-$G13))</f>
        <v>-384.000000000005</v>
      </c>
      <c r="M13" s="26" t="n">
        <v>43131</v>
      </c>
      <c r="N13" s="19" t="n">
        <f aca="true">IF(OR($M13="",N($J13)=0,$I13="",TODAY()&lt;=$M13),"",($I13/$J13)^(365/(TODAY()-$M13))-1)</f>
        <v>0.0690861588834397</v>
      </c>
      <c r="P13" s="23" t="str">
        <f aca="false">IF($A13="","",$A13&amp;"#"&amp;COUNTIF($A$4:$A13,$A13))</f>
        <v>Rahul#3</v>
      </c>
    </row>
    <row r="14" customFormat="false" ht="15" hidden="false" customHeight="true" outlineLevel="0" collapsed="false">
      <c r="B14" s="15" t="str">
        <f aca="false">IF($C14="","",IFERROR(INDEX(Stock_Master!$C:$C,MATCH($C14,Stock_Master!$B:$B,0)),""))</f>
        <v/>
      </c>
      <c r="D14" s="28"/>
      <c r="E14" s="28"/>
      <c r="F14" s="28"/>
      <c r="G14" s="28"/>
      <c r="I14" s="13" t="str">
        <f aca="false">IF($D14="","",$D14*$F14)</f>
        <v/>
      </c>
      <c r="J14" s="13" t="str">
        <f aca="false">IF(OR($D14="",$E14=""),"",$D14*$E14)</f>
        <v/>
      </c>
      <c r="K14" s="13" t="str">
        <f aca="false">IF(OR($E14="",$D14=""),"",$I14-$J14)</f>
        <v/>
      </c>
      <c r="L14" s="13" t="str">
        <f aca="false">IF(OR($G14="",$D14=""),"",$D14*($F14-$G14))</f>
        <v/>
      </c>
      <c r="M14" s="29"/>
      <c r="N14" s="19" t="str">
        <f aca="true">IF(OR($M14="",N($J14)=0,$I14="",TODAY()&lt;=$M14),"",($I14/$J14)^(365/(TODAY()-$M14))-1)</f>
        <v/>
      </c>
      <c r="P14" s="23" t="str">
        <f aca="false">IF($A14="","",$A14&amp;"#"&amp;COUNTIF($A$4:$A14,$A14))</f>
        <v/>
      </c>
    </row>
    <row r="15" customFormat="false" ht="15" hidden="false" customHeight="true" outlineLevel="0" collapsed="false">
      <c r="B15" s="15" t="str">
        <f aca="false">IF($C15="","",IFERROR(INDEX(Stock_Master!$C:$C,MATCH($C15,Stock_Master!$B:$B,0)),""))</f>
        <v/>
      </c>
      <c r="D15" s="28"/>
      <c r="E15" s="28"/>
      <c r="F15" s="28"/>
      <c r="G15" s="28"/>
      <c r="I15" s="13" t="str">
        <f aca="false">IF($D15="","",$D15*$F15)</f>
        <v/>
      </c>
      <c r="J15" s="13" t="str">
        <f aca="false">IF(OR($D15="",$E15=""),"",$D15*$E15)</f>
        <v/>
      </c>
      <c r="K15" s="13" t="str">
        <f aca="false">IF(OR($E15="",$D15=""),"",$I15-$J15)</f>
        <v/>
      </c>
      <c r="L15" s="13" t="str">
        <f aca="false">IF(OR($G15="",$D15=""),"",$D15*($F15-$G15))</f>
        <v/>
      </c>
      <c r="M15" s="29"/>
      <c r="N15" s="19" t="str">
        <f aca="true">IF(OR($M15="",N($J15)=0,$I15="",TODAY()&lt;=$M15),"",($I15/$J15)^(365/(TODAY()-$M15))-1)</f>
        <v/>
      </c>
      <c r="P15" s="23" t="str">
        <f aca="false">IF($A15="","",$A15&amp;"#"&amp;COUNTIF($A$4:$A15,$A15))</f>
        <v/>
      </c>
    </row>
    <row r="16" customFormat="false" ht="15" hidden="false" customHeight="true" outlineLevel="0" collapsed="false">
      <c r="B16" s="15" t="str">
        <f aca="false">IF($C16="","",IFERROR(INDEX(Stock_Master!$C:$C,MATCH($C16,Stock_Master!$B:$B,0)),""))</f>
        <v/>
      </c>
      <c r="D16" s="28"/>
      <c r="E16" s="28"/>
      <c r="F16" s="28"/>
      <c r="G16" s="28"/>
      <c r="I16" s="13" t="str">
        <f aca="false">IF($D16="","",$D16*$F16)</f>
        <v/>
      </c>
      <c r="J16" s="13" t="str">
        <f aca="false">IF(OR($D16="",$E16=""),"",$D16*$E16)</f>
        <v/>
      </c>
      <c r="K16" s="13" t="str">
        <f aca="false">IF(OR($E16="",$D16=""),"",$I16-$J16)</f>
        <v/>
      </c>
      <c r="L16" s="13" t="str">
        <f aca="false">IF(OR($G16="",$D16=""),"",$D16*($F16-$G16))</f>
        <v/>
      </c>
      <c r="M16" s="29"/>
      <c r="N16" s="19" t="str">
        <f aca="true">IF(OR($M16="",N($J16)=0,$I16="",TODAY()&lt;=$M16),"",($I16/$J16)^(365/(TODAY()-$M16))-1)</f>
        <v/>
      </c>
      <c r="P16" s="23" t="str">
        <f aca="false">IF($A16="","",$A16&amp;"#"&amp;COUNTIF($A$4:$A16,$A16))</f>
        <v/>
      </c>
    </row>
    <row r="17" customFormat="false" ht="15" hidden="false" customHeight="true" outlineLevel="0" collapsed="false">
      <c r="B17" s="15" t="str">
        <f aca="false">IF($C17="","",IFERROR(INDEX(Stock_Master!$C:$C,MATCH($C17,Stock_Master!$B:$B,0)),""))</f>
        <v/>
      </c>
      <c r="D17" s="28"/>
      <c r="E17" s="28"/>
      <c r="F17" s="28"/>
      <c r="G17" s="28"/>
      <c r="I17" s="13" t="str">
        <f aca="false">IF($D17="","",$D17*$F17)</f>
        <v/>
      </c>
      <c r="J17" s="13" t="str">
        <f aca="false">IF(OR($D17="",$E17=""),"",$D17*$E17)</f>
        <v/>
      </c>
      <c r="K17" s="13" t="str">
        <f aca="false">IF(OR($E17="",$D17=""),"",$I17-$J17)</f>
        <v/>
      </c>
      <c r="L17" s="13" t="str">
        <f aca="false">IF(OR($G17="",$D17=""),"",$D17*($F17-$G17))</f>
        <v/>
      </c>
      <c r="M17" s="29"/>
      <c r="N17" s="19" t="str">
        <f aca="true">IF(OR($M17="",N($J17)=0,$I17="",TODAY()&lt;=$M17),"",($I17/$J17)^(365/(TODAY()-$M17))-1)</f>
        <v/>
      </c>
      <c r="P17" s="23" t="str">
        <f aca="false">IF($A17="","",$A17&amp;"#"&amp;COUNTIF($A$4:$A17,$A17))</f>
        <v/>
      </c>
    </row>
    <row r="18" customFormat="false" ht="15" hidden="false" customHeight="true" outlineLevel="0" collapsed="false">
      <c r="B18" s="15" t="str">
        <f aca="false">IF($C18="","",IFERROR(INDEX(Stock_Master!$C:$C,MATCH($C18,Stock_Master!$B:$B,0)),""))</f>
        <v/>
      </c>
      <c r="D18" s="28"/>
      <c r="E18" s="28"/>
      <c r="F18" s="28"/>
      <c r="G18" s="28"/>
      <c r="I18" s="13" t="str">
        <f aca="false">IF($D18="","",$D18*$F18)</f>
        <v/>
      </c>
      <c r="J18" s="13" t="str">
        <f aca="false">IF(OR($D18="",$E18=""),"",$D18*$E18)</f>
        <v/>
      </c>
      <c r="K18" s="13" t="str">
        <f aca="false">IF(OR($E18="",$D18=""),"",$I18-$J18)</f>
        <v/>
      </c>
      <c r="L18" s="13" t="str">
        <f aca="false">IF(OR($G18="",$D18=""),"",$D18*($F18-$G18))</f>
        <v/>
      </c>
      <c r="M18" s="29"/>
      <c r="N18" s="19" t="str">
        <f aca="true">IF(OR($M18="",N($J18)=0,$I18="",TODAY()&lt;=$M18),"",($I18/$J18)^(365/(TODAY()-$M18))-1)</f>
        <v/>
      </c>
      <c r="P18" s="23" t="str">
        <f aca="false">IF($A18="","",$A18&amp;"#"&amp;COUNTIF($A$4:$A18,$A18))</f>
        <v/>
      </c>
    </row>
    <row r="19" customFormat="false" ht="15" hidden="false" customHeight="true" outlineLevel="0" collapsed="false">
      <c r="B19" s="15" t="str">
        <f aca="false">IF($C19="","",IFERROR(INDEX(Stock_Master!$C:$C,MATCH($C19,Stock_Master!$B:$B,0)),""))</f>
        <v/>
      </c>
      <c r="D19" s="28"/>
      <c r="E19" s="28"/>
      <c r="F19" s="28"/>
      <c r="G19" s="28"/>
      <c r="I19" s="13" t="str">
        <f aca="false">IF($D19="","",$D19*$F19)</f>
        <v/>
      </c>
      <c r="J19" s="13" t="str">
        <f aca="false">IF(OR($D19="",$E19=""),"",$D19*$E19)</f>
        <v/>
      </c>
      <c r="K19" s="13" t="str">
        <f aca="false">IF(OR($E19="",$D19=""),"",$I19-$J19)</f>
        <v/>
      </c>
      <c r="L19" s="13" t="str">
        <f aca="false">IF(OR($G19="",$D19=""),"",$D19*($F19-$G19))</f>
        <v/>
      </c>
      <c r="M19" s="29"/>
      <c r="N19" s="19" t="str">
        <f aca="true">IF(OR($M19="",N($J19)=0,$I19="",TODAY()&lt;=$M19),"",($I19/$J19)^(365/(TODAY()-$M19))-1)</f>
        <v/>
      </c>
      <c r="P19" s="23" t="str">
        <f aca="false">IF($A19="","",$A19&amp;"#"&amp;COUNTIF($A$4:$A19,$A19))</f>
        <v/>
      </c>
    </row>
    <row r="20" customFormat="false" ht="15" hidden="false" customHeight="true" outlineLevel="0" collapsed="false">
      <c r="B20" s="15" t="str">
        <f aca="false">IF($C20="","",IFERROR(INDEX(Stock_Master!$C:$C,MATCH($C20,Stock_Master!$B:$B,0)),""))</f>
        <v/>
      </c>
      <c r="D20" s="28"/>
      <c r="E20" s="28"/>
      <c r="F20" s="28"/>
      <c r="G20" s="28"/>
      <c r="I20" s="13" t="str">
        <f aca="false">IF($D20="","",$D20*$F20)</f>
        <v/>
      </c>
      <c r="J20" s="13" t="str">
        <f aca="false">IF(OR($D20="",$E20=""),"",$D20*$E20)</f>
        <v/>
      </c>
      <c r="K20" s="13" t="str">
        <f aca="false">IF(OR($E20="",$D20=""),"",$I20-$J20)</f>
        <v/>
      </c>
      <c r="L20" s="13" t="str">
        <f aca="false">IF(OR($G20="",$D20=""),"",$D20*($F20-$G20))</f>
        <v/>
      </c>
      <c r="M20" s="29"/>
      <c r="N20" s="19" t="str">
        <f aca="true">IF(OR($M20="",N($J20)=0,$I20="",TODAY()&lt;=$M20),"",($I20/$J20)^(365/(TODAY()-$M20))-1)</f>
        <v/>
      </c>
      <c r="P20" s="23" t="str">
        <f aca="false">IF($A20="","",$A20&amp;"#"&amp;COUNTIF($A$4:$A20,$A20))</f>
        <v/>
      </c>
    </row>
    <row r="21" customFormat="false" ht="15" hidden="false" customHeight="true" outlineLevel="0" collapsed="false">
      <c r="B21" s="15" t="str">
        <f aca="false">IF($C21="","",IFERROR(INDEX(Stock_Master!$C:$C,MATCH($C21,Stock_Master!$B:$B,0)),""))</f>
        <v/>
      </c>
      <c r="D21" s="28"/>
      <c r="E21" s="28"/>
      <c r="F21" s="28"/>
      <c r="G21" s="28"/>
      <c r="I21" s="13" t="str">
        <f aca="false">IF($D21="","",$D21*$F21)</f>
        <v/>
      </c>
      <c r="J21" s="13" t="str">
        <f aca="false">IF(OR($D21="",$E21=""),"",$D21*$E21)</f>
        <v/>
      </c>
      <c r="K21" s="13" t="str">
        <f aca="false">IF(OR($E21="",$D21=""),"",$I21-$J21)</f>
        <v/>
      </c>
      <c r="L21" s="13" t="str">
        <f aca="false">IF(OR($G21="",$D21=""),"",$D21*($F21-$G21))</f>
        <v/>
      </c>
      <c r="M21" s="29"/>
      <c r="N21" s="19" t="str">
        <f aca="true">IF(OR($M21="",N($J21)=0,$I21="",TODAY()&lt;=$M21),"",($I21/$J21)^(365/(TODAY()-$M21))-1)</f>
        <v/>
      </c>
      <c r="P21" s="23" t="str">
        <f aca="false">IF($A21="","",$A21&amp;"#"&amp;COUNTIF($A$4:$A21,$A21))</f>
        <v/>
      </c>
    </row>
    <row r="22" customFormat="false" ht="15" hidden="false" customHeight="true" outlineLevel="0" collapsed="false">
      <c r="B22" s="15" t="str">
        <f aca="false">IF($C22="","",IFERROR(INDEX(Stock_Master!$C:$C,MATCH($C22,Stock_Master!$B:$B,0)),""))</f>
        <v/>
      </c>
      <c r="D22" s="28"/>
      <c r="E22" s="28"/>
      <c r="F22" s="28"/>
      <c r="G22" s="28"/>
      <c r="I22" s="13" t="str">
        <f aca="false">IF($D22="","",$D22*$F22)</f>
        <v/>
      </c>
      <c r="J22" s="13" t="str">
        <f aca="false">IF(OR($D22="",$E22=""),"",$D22*$E22)</f>
        <v/>
      </c>
      <c r="K22" s="13" t="str">
        <f aca="false">IF(OR($E22="",$D22=""),"",$I22-$J22)</f>
        <v/>
      </c>
      <c r="L22" s="13" t="str">
        <f aca="false">IF(OR($G22="",$D22=""),"",$D22*($F22-$G22))</f>
        <v/>
      </c>
      <c r="M22" s="29"/>
      <c r="N22" s="19" t="str">
        <f aca="true">IF(OR($M22="",N($J22)=0,$I22="",TODAY()&lt;=$M22),"",($I22/$J22)^(365/(TODAY()-$M22))-1)</f>
        <v/>
      </c>
      <c r="P22" s="23" t="str">
        <f aca="false">IF($A22="","",$A22&amp;"#"&amp;COUNTIF($A$4:$A22,$A22))</f>
        <v/>
      </c>
    </row>
    <row r="23" customFormat="false" ht="15" hidden="false" customHeight="true" outlineLevel="0" collapsed="false">
      <c r="B23" s="15" t="str">
        <f aca="false">IF($C23="","",IFERROR(INDEX(Stock_Master!$C:$C,MATCH($C23,Stock_Master!$B:$B,0)),""))</f>
        <v/>
      </c>
      <c r="D23" s="28"/>
      <c r="E23" s="28"/>
      <c r="F23" s="28"/>
      <c r="G23" s="28"/>
      <c r="I23" s="13" t="str">
        <f aca="false">IF($D23="","",$D23*$F23)</f>
        <v/>
      </c>
      <c r="J23" s="13" t="str">
        <f aca="false">IF(OR($D23="",$E23=""),"",$D23*$E23)</f>
        <v/>
      </c>
      <c r="K23" s="13" t="str">
        <f aca="false">IF(OR($E23="",$D23=""),"",$I23-$J23)</f>
        <v/>
      </c>
      <c r="L23" s="13" t="str">
        <f aca="false">IF(OR($G23="",$D23=""),"",$D23*($F23-$G23))</f>
        <v/>
      </c>
      <c r="M23" s="29"/>
      <c r="N23" s="19" t="str">
        <f aca="true">IF(OR($M23="",N($J23)=0,$I23="",TODAY()&lt;=$M23),"",($I23/$J23)^(365/(TODAY()-$M23))-1)</f>
        <v/>
      </c>
      <c r="P23" s="23" t="str">
        <f aca="false">IF($A23="","",$A23&amp;"#"&amp;COUNTIF($A$4:$A23,$A23))</f>
        <v/>
      </c>
    </row>
    <row r="24" customFormat="false" ht="15" hidden="false" customHeight="true" outlineLevel="0" collapsed="false">
      <c r="B24" s="15" t="str">
        <f aca="false">IF($C24="","",IFERROR(INDEX(Stock_Master!$C:$C,MATCH($C24,Stock_Master!$B:$B,0)),""))</f>
        <v/>
      </c>
      <c r="D24" s="28"/>
      <c r="E24" s="28"/>
      <c r="F24" s="28"/>
      <c r="G24" s="28"/>
      <c r="I24" s="13" t="str">
        <f aca="false">IF($D24="","",$D24*$F24)</f>
        <v/>
      </c>
      <c r="J24" s="13" t="str">
        <f aca="false">IF(OR($D24="",$E24=""),"",$D24*$E24)</f>
        <v/>
      </c>
      <c r="K24" s="13" t="str">
        <f aca="false">IF(OR($E24="",$D24=""),"",$I24-$J24)</f>
        <v/>
      </c>
      <c r="L24" s="13" t="str">
        <f aca="false">IF(OR($G24="",$D24=""),"",$D24*($F24-$G24))</f>
        <v/>
      </c>
      <c r="M24" s="29"/>
      <c r="N24" s="19" t="str">
        <f aca="true">IF(OR($M24="",N($J24)=0,$I24="",TODAY()&lt;=$M24),"",($I24/$J24)^(365/(TODAY()-$M24))-1)</f>
        <v/>
      </c>
      <c r="P24" s="23" t="str">
        <f aca="false">IF($A24="","",$A24&amp;"#"&amp;COUNTIF($A$4:$A24,$A24))</f>
        <v/>
      </c>
    </row>
    <row r="25" customFormat="false" ht="15" hidden="false" customHeight="true" outlineLevel="0" collapsed="false">
      <c r="B25" s="15" t="str">
        <f aca="false">IF($C25="","",IFERROR(INDEX(Stock_Master!$C:$C,MATCH($C25,Stock_Master!$B:$B,0)),""))</f>
        <v/>
      </c>
      <c r="D25" s="28"/>
      <c r="E25" s="28"/>
      <c r="F25" s="28"/>
      <c r="G25" s="28"/>
      <c r="I25" s="13" t="str">
        <f aca="false">IF($D25="","",$D25*$F25)</f>
        <v/>
      </c>
      <c r="J25" s="13" t="str">
        <f aca="false">IF(OR($D25="",$E25=""),"",$D25*$E25)</f>
        <v/>
      </c>
      <c r="K25" s="13" t="str">
        <f aca="false">IF(OR($E25="",$D25=""),"",$I25-$J25)</f>
        <v/>
      </c>
      <c r="L25" s="13" t="str">
        <f aca="false">IF(OR($G25="",$D25=""),"",$D25*($F25-$G25))</f>
        <v/>
      </c>
      <c r="M25" s="29"/>
      <c r="N25" s="19" t="str">
        <f aca="true">IF(OR($M25="",N($J25)=0,$I25="",TODAY()&lt;=$M25),"",($I25/$J25)^(365/(TODAY()-$M25))-1)</f>
        <v/>
      </c>
      <c r="P25" s="23" t="str">
        <f aca="false">IF($A25="","",$A25&amp;"#"&amp;COUNTIF($A$4:$A25,$A25))</f>
        <v/>
      </c>
    </row>
    <row r="26" customFormat="false" ht="15" hidden="false" customHeight="true" outlineLevel="0" collapsed="false">
      <c r="B26" s="15" t="str">
        <f aca="false">IF($C26="","",IFERROR(INDEX(Stock_Master!$C:$C,MATCH($C26,Stock_Master!$B:$B,0)),""))</f>
        <v/>
      </c>
      <c r="D26" s="28"/>
      <c r="E26" s="28"/>
      <c r="F26" s="28"/>
      <c r="G26" s="28"/>
      <c r="I26" s="13" t="str">
        <f aca="false">IF($D26="","",$D26*$F26)</f>
        <v/>
      </c>
      <c r="J26" s="13" t="str">
        <f aca="false">IF(OR($D26="",$E26=""),"",$D26*$E26)</f>
        <v/>
      </c>
      <c r="K26" s="13" t="str">
        <f aca="false">IF(OR($E26="",$D26=""),"",$I26-$J26)</f>
        <v/>
      </c>
      <c r="L26" s="13" t="str">
        <f aca="false">IF(OR($G26="",$D26=""),"",$D26*($F26-$G26))</f>
        <v/>
      </c>
      <c r="M26" s="29"/>
      <c r="N26" s="19" t="str">
        <f aca="true">IF(OR($M26="",N($J26)=0,$I26="",TODAY()&lt;=$M26),"",($I26/$J26)^(365/(TODAY()-$M26))-1)</f>
        <v/>
      </c>
      <c r="P26" s="23" t="str">
        <f aca="false">IF($A26="","",$A26&amp;"#"&amp;COUNTIF($A$4:$A26,$A26))</f>
        <v/>
      </c>
    </row>
    <row r="27" customFormat="false" ht="15" hidden="false" customHeight="true" outlineLevel="0" collapsed="false">
      <c r="B27" s="15" t="str">
        <f aca="false">IF($C27="","",IFERROR(INDEX(Stock_Master!$C:$C,MATCH($C27,Stock_Master!$B:$B,0)),""))</f>
        <v/>
      </c>
      <c r="D27" s="28"/>
      <c r="E27" s="28"/>
      <c r="F27" s="28"/>
      <c r="G27" s="28"/>
      <c r="I27" s="13" t="str">
        <f aca="false">IF($D27="","",$D27*$F27)</f>
        <v/>
      </c>
      <c r="J27" s="13" t="str">
        <f aca="false">IF(OR($D27="",$E27=""),"",$D27*$E27)</f>
        <v/>
      </c>
      <c r="K27" s="13" t="str">
        <f aca="false">IF(OR($E27="",$D27=""),"",$I27-$J27)</f>
        <v/>
      </c>
      <c r="L27" s="13" t="str">
        <f aca="false">IF(OR($G27="",$D27=""),"",$D27*($F27-$G27))</f>
        <v/>
      </c>
      <c r="M27" s="29"/>
      <c r="N27" s="19" t="str">
        <f aca="true">IF(OR($M27="",N($J27)=0,$I27="",TODAY()&lt;=$M27),"",($I27/$J27)^(365/(TODAY()-$M27))-1)</f>
        <v/>
      </c>
      <c r="P27" s="23" t="str">
        <f aca="false">IF($A27="","",$A27&amp;"#"&amp;COUNTIF($A$4:$A27,$A27))</f>
        <v/>
      </c>
    </row>
    <row r="28" customFormat="false" ht="15" hidden="false" customHeight="true" outlineLevel="0" collapsed="false">
      <c r="B28" s="15" t="str">
        <f aca="false">IF($C28="","",IFERROR(INDEX(Stock_Master!$C:$C,MATCH($C28,Stock_Master!$B:$B,0)),""))</f>
        <v/>
      </c>
      <c r="D28" s="28"/>
      <c r="E28" s="28"/>
      <c r="F28" s="28"/>
      <c r="G28" s="28"/>
      <c r="I28" s="13" t="str">
        <f aca="false">IF($D28="","",$D28*$F28)</f>
        <v/>
      </c>
      <c r="J28" s="13" t="str">
        <f aca="false">IF(OR($D28="",$E28=""),"",$D28*$E28)</f>
        <v/>
      </c>
      <c r="K28" s="13" t="str">
        <f aca="false">IF(OR($E28="",$D28=""),"",$I28-$J28)</f>
        <v/>
      </c>
      <c r="L28" s="13" t="str">
        <f aca="false">IF(OR($G28="",$D28=""),"",$D28*($F28-$G28))</f>
        <v/>
      </c>
      <c r="M28" s="29"/>
      <c r="N28" s="19" t="str">
        <f aca="true">IF(OR($M28="",N($J28)=0,$I28="",TODAY()&lt;=$M28),"",($I28/$J28)^(365/(TODAY()-$M28))-1)</f>
        <v/>
      </c>
      <c r="P28" s="23" t="str">
        <f aca="false">IF($A28="","",$A28&amp;"#"&amp;COUNTIF($A$4:$A28,$A28))</f>
        <v/>
      </c>
    </row>
    <row r="29" customFormat="false" ht="15" hidden="false" customHeight="true" outlineLevel="0" collapsed="false">
      <c r="B29" s="15" t="str">
        <f aca="false">IF($C29="","",IFERROR(INDEX(Stock_Master!$C:$C,MATCH($C29,Stock_Master!$B:$B,0)),""))</f>
        <v/>
      </c>
      <c r="D29" s="28"/>
      <c r="E29" s="28"/>
      <c r="F29" s="28"/>
      <c r="G29" s="28"/>
      <c r="I29" s="13" t="str">
        <f aca="false">IF($D29="","",$D29*$F29)</f>
        <v/>
      </c>
      <c r="J29" s="13" t="str">
        <f aca="false">IF(OR($D29="",$E29=""),"",$D29*$E29)</f>
        <v/>
      </c>
      <c r="K29" s="13" t="str">
        <f aca="false">IF(OR($E29="",$D29=""),"",$I29-$J29)</f>
        <v/>
      </c>
      <c r="L29" s="13" t="str">
        <f aca="false">IF(OR($G29="",$D29=""),"",$D29*($F29-$G29))</f>
        <v/>
      </c>
      <c r="M29" s="29"/>
      <c r="N29" s="19" t="str">
        <f aca="true">IF(OR($M29="",N($J29)=0,$I29="",TODAY()&lt;=$M29),"",($I29/$J29)^(365/(TODAY()-$M29))-1)</f>
        <v/>
      </c>
      <c r="P29" s="23" t="str">
        <f aca="false">IF($A29="","",$A29&amp;"#"&amp;COUNTIF($A$4:$A29,$A29))</f>
        <v/>
      </c>
    </row>
    <row r="30" customFormat="false" ht="15" hidden="false" customHeight="true" outlineLevel="0" collapsed="false">
      <c r="B30" s="15" t="str">
        <f aca="false">IF($C30="","",IFERROR(INDEX(Stock_Master!$C:$C,MATCH($C30,Stock_Master!$B:$B,0)),""))</f>
        <v/>
      </c>
      <c r="D30" s="28"/>
      <c r="E30" s="28"/>
      <c r="F30" s="28"/>
      <c r="G30" s="28"/>
      <c r="I30" s="13" t="str">
        <f aca="false">IF($D30="","",$D30*$F30)</f>
        <v/>
      </c>
      <c r="J30" s="13" t="str">
        <f aca="false">IF(OR($D30="",$E30=""),"",$D30*$E30)</f>
        <v/>
      </c>
      <c r="K30" s="13" t="str">
        <f aca="false">IF(OR($E30="",$D30=""),"",$I30-$J30)</f>
        <v/>
      </c>
      <c r="L30" s="13" t="str">
        <f aca="false">IF(OR($G30="",$D30=""),"",$D30*($F30-$G30))</f>
        <v/>
      </c>
      <c r="M30" s="29"/>
      <c r="N30" s="19" t="str">
        <f aca="true">IF(OR($M30="",N($J30)=0,$I30="",TODAY()&lt;=$M30),"",($I30/$J30)^(365/(TODAY()-$M30))-1)</f>
        <v/>
      </c>
      <c r="P30" s="23" t="str">
        <f aca="false">IF($A30="","",$A30&amp;"#"&amp;COUNTIF($A$4:$A30,$A30))</f>
        <v/>
      </c>
    </row>
    <row r="31" customFormat="false" ht="15" hidden="false" customHeight="true" outlineLevel="0" collapsed="false">
      <c r="B31" s="15" t="str">
        <f aca="false">IF($C31="","",IFERROR(INDEX(Stock_Master!$C:$C,MATCH($C31,Stock_Master!$B:$B,0)),""))</f>
        <v/>
      </c>
      <c r="D31" s="28"/>
      <c r="E31" s="28"/>
      <c r="F31" s="28"/>
      <c r="G31" s="28"/>
      <c r="I31" s="13" t="str">
        <f aca="false">IF($D31="","",$D31*$F31)</f>
        <v/>
      </c>
      <c r="J31" s="13" t="str">
        <f aca="false">IF(OR($D31="",$E31=""),"",$D31*$E31)</f>
        <v/>
      </c>
      <c r="K31" s="13" t="str">
        <f aca="false">IF(OR($E31="",$D31=""),"",$I31-$J31)</f>
        <v/>
      </c>
      <c r="L31" s="13" t="str">
        <f aca="false">IF(OR($G31="",$D31=""),"",$D31*($F31-$G31))</f>
        <v/>
      </c>
      <c r="M31" s="29"/>
      <c r="N31" s="19" t="str">
        <f aca="true">IF(OR($M31="",N($J31)=0,$I31="",TODAY()&lt;=$M31),"",($I31/$J31)^(365/(TODAY()-$M31))-1)</f>
        <v/>
      </c>
      <c r="P31" s="23" t="str">
        <f aca="false">IF($A31="","",$A31&amp;"#"&amp;COUNTIF($A$4:$A31,$A31))</f>
        <v/>
      </c>
    </row>
    <row r="32" customFormat="false" ht="15" hidden="false" customHeight="true" outlineLevel="0" collapsed="false">
      <c r="B32" s="15" t="str">
        <f aca="false">IF($C32="","",IFERROR(INDEX(Stock_Master!$C:$C,MATCH($C32,Stock_Master!$B:$B,0)),""))</f>
        <v/>
      </c>
      <c r="D32" s="28"/>
      <c r="E32" s="28"/>
      <c r="F32" s="28"/>
      <c r="G32" s="28"/>
      <c r="I32" s="13" t="str">
        <f aca="false">IF($D32="","",$D32*$F32)</f>
        <v/>
      </c>
      <c r="J32" s="13" t="str">
        <f aca="false">IF(OR($D32="",$E32=""),"",$D32*$E32)</f>
        <v/>
      </c>
      <c r="K32" s="13" t="str">
        <f aca="false">IF(OR($E32="",$D32=""),"",$I32-$J32)</f>
        <v/>
      </c>
      <c r="L32" s="13" t="str">
        <f aca="false">IF(OR($G32="",$D32=""),"",$D32*($F32-$G32))</f>
        <v/>
      </c>
      <c r="M32" s="29"/>
      <c r="N32" s="19" t="str">
        <f aca="true">IF(OR($M32="",N($J32)=0,$I32="",TODAY()&lt;=$M32),"",($I32/$J32)^(365/(TODAY()-$M32))-1)</f>
        <v/>
      </c>
      <c r="P32" s="23" t="str">
        <f aca="false">IF($A32="","",$A32&amp;"#"&amp;COUNTIF($A$4:$A32,$A32))</f>
        <v/>
      </c>
    </row>
    <row r="33" customFormat="false" ht="15" hidden="false" customHeight="true" outlineLevel="0" collapsed="false">
      <c r="B33" s="15" t="str">
        <f aca="false">IF($C33="","",IFERROR(INDEX(Stock_Master!$C:$C,MATCH($C33,Stock_Master!$B:$B,0)),""))</f>
        <v/>
      </c>
      <c r="D33" s="28"/>
      <c r="E33" s="28"/>
      <c r="F33" s="28"/>
      <c r="G33" s="28"/>
      <c r="I33" s="13" t="str">
        <f aca="false">IF($D33="","",$D33*$F33)</f>
        <v/>
      </c>
      <c r="J33" s="13" t="str">
        <f aca="false">IF(OR($D33="",$E33=""),"",$D33*$E33)</f>
        <v/>
      </c>
      <c r="K33" s="13" t="str">
        <f aca="false">IF(OR($E33="",$D33=""),"",$I33-$J33)</f>
        <v/>
      </c>
      <c r="L33" s="13" t="str">
        <f aca="false">IF(OR($G33="",$D33=""),"",$D33*($F33-$G33))</f>
        <v/>
      </c>
      <c r="M33" s="29"/>
      <c r="N33" s="19" t="str">
        <f aca="true">IF(OR($M33="",N($J33)=0,$I33="",TODAY()&lt;=$M33),"",($I33/$J33)^(365/(TODAY()-$M33))-1)</f>
        <v/>
      </c>
      <c r="P33" s="23" t="str">
        <f aca="false">IF($A33="","",$A33&amp;"#"&amp;COUNTIF($A$4:$A33,$A33))</f>
        <v/>
      </c>
    </row>
    <row r="34" customFormat="false" ht="15" hidden="false" customHeight="true" outlineLevel="0" collapsed="false">
      <c r="B34" s="15" t="str">
        <f aca="false">IF($C34="","",IFERROR(INDEX(Stock_Master!$C:$C,MATCH($C34,Stock_Master!$B:$B,0)),""))</f>
        <v/>
      </c>
      <c r="D34" s="28"/>
      <c r="E34" s="28"/>
      <c r="F34" s="28"/>
      <c r="G34" s="28"/>
      <c r="I34" s="13" t="str">
        <f aca="false">IF($D34="","",$D34*$F34)</f>
        <v/>
      </c>
      <c r="J34" s="13" t="str">
        <f aca="false">IF(OR($D34="",$E34=""),"",$D34*$E34)</f>
        <v/>
      </c>
      <c r="K34" s="13" t="str">
        <f aca="false">IF(OR($E34="",$D34=""),"",$I34-$J34)</f>
        <v/>
      </c>
      <c r="L34" s="13" t="str">
        <f aca="false">IF(OR($G34="",$D34=""),"",$D34*($F34-$G34))</f>
        <v/>
      </c>
      <c r="M34" s="29"/>
      <c r="N34" s="19" t="str">
        <f aca="true">IF(OR($M34="",N($J34)=0,$I34="",TODAY()&lt;=$M34),"",($I34/$J34)^(365/(TODAY()-$M34))-1)</f>
        <v/>
      </c>
      <c r="P34" s="23" t="str">
        <f aca="false">IF($A34="","",$A34&amp;"#"&amp;COUNTIF($A$4:$A34,$A34))</f>
        <v/>
      </c>
    </row>
    <row r="35" customFormat="false" ht="15" hidden="false" customHeight="true" outlineLevel="0" collapsed="false">
      <c r="B35" s="15" t="str">
        <f aca="false">IF($C35="","",IFERROR(INDEX(Stock_Master!$C:$C,MATCH($C35,Stock_Master!$B:$B,0)),""))</f>
        <v/>
      </c>
      <c r="D35" s="28"/>
      <c r="E35" s="28"/>
      <c r="F35" s="28"/>
      <c r="G35" s="28"/>
      <c r="I35" s="13" t="str">
        <f aca="false">IF($D35="","",$D35*$F35)</f>
        <v/>
      </c>
      <c r="J35" s="13" t="str">
        <f aca="false">IF(OR($D35="",$E35=""),"",$D35*$E35)</f>
        <v/>
      </c>
      <c r="K35" s="13" t="str">
        <f aca="false">IF(OR($E35="",$D35=""),"",$I35-$J35)</f>
        <v/>
      </c>
      <c r="L35" s="13" t="str">
        <f aca="false">IF(OR($G35="",$D35=""),"",$D35*($F35-$G35))</f>
        <v/>
      </c>
      <c r="M35" s="29"/>
      <c r="N35" s="19" t="str">
        <f aca="true">IF(OR($M35="",N($J35)=0,$I35="",TODAY()&lt;=$M35),"",($I35/$J35)^(365/(TODAY()-$M35))-1)</f>
        <v/>
      </c>
      <c r="P35" s="23" t="str">
        <f aca="false">IF($A35="","",$A35&amp;"#"&amp;COUNTIF($A$4:$A35,$A35))</f>
        <v/>
      </c>
    </row>
    <row r="36" customFormat="false" ht="15" hidden="false" customHeight="true" outlineLevel="0" collapsed="false">
      <c r="B36" s="15" t="str">
        <f aca="false">IF($C36="","",IFERROR(INDEX(Stock_Master!$C:$C,MATCH($C36,Stock_Master!$B:$B,0)),""))</f>
        <v/>
      </c>
      <c r="D36" s="28"/>
      <c r="E36" s="28"/>
      <c r="F36" s="28"/>
      <c r="G36" s="28"/>
      <c r="I36" s="13" t="str">
        <f aca="false">IF($D36="","",$D36*$F36)</f>
        <v/>
      </c>
      <c r="J36" s="13" t="str">
        <f aca="false">IF(OR($D36="",$E36=""),"",$D36*$E36)</f>
        <v/>
      </c>
      <c r="K36" s="13" t="str">
        <f aca="false">IF(OR($E36="",$D36=""),"",$I36-$J36)</f>
        <v/>
      </c>
      <c r="L36" s="13" t="str">
        <f aca="false">IF(OR($G36="",$D36=""),"",$D36*($F36-$G36))</f>
        <v/>
      </c>
      <c r="M36" s="29"/>
      <c r="N36" s="19" t="str">
        <f aca="true">IF(OR($M36="",N($J36)=0,$I36="",TODAY()&lt;=$M36),"",($I36/$J36)^(365/(TODAY()-$M36))-1)</f>
        <v/>
      </c>
      <c r="P36" s="23" t="str">
        <f aca="false">IF($A36="","",$A36&amp;"#"&amp;COUNTIF($A$4:$A36,$A36))</f>
        <v/>
      </c>
    </row>
    <row r="37" customFormat="false" ht="15" hidden="false" customHeight="true" outlineLevel="0" collapsed="false">
      <c r="B37" s="15" t="str">
        <f aca="false">IF($C37="","",IFERROR(INDEX(Stock_Master!$C:$C,MATCH($C37,Stock_Master!$B:$B,0)),""))</f>
        <v/>
      </c>
      <c r="D37" s="28"/>
      <c r="E37" s="28"/>
      <c r="F37" s="28"/>
      <c r="G37" s="28"/>
      <c r="I37" s="13" t="str">
        <f aca="false">IF($D37="","",$D37*$F37)</f>
        <v/>
      </c>
      <c r="J37" s="13" t="str">
        <f aca="false">IF(OR($D37="",$E37=""),"",$D37*$E37)</f>
        <v/>
      </c>
      <c r="K37" s="13" t="str">
        <f aca="false">IF(OR($E37="",$D37=""),"",$I37-$J37)</f>
        <v/>
      </c>
      <c r="L37" s="13" t="str">
        <f aca="false">IF(OR($G37="",$D37=""),"",$D37*($F37-$G37))</f>
        <v/>
      </c>
      <c r="M37" s="29"/>
      <c r="N37" s="19" t="str">
        <f aca="true">IF(OR($M37="",N($J37)=0,$I37="",TODAY()&lt;=$M37),"",($I37/$J37)^(365/(TODAY()-$M37))-1)</f>
        <v/>
      </c>
      <c r="P37" s="23" t="str">
        <f aca="false">IF($A37="","",$A37&amp;"#"&amp;COUNTIF($A$4:$A37,$A37))</f>
        <v/>
      </c>
    </row>
    <row r="38" customFormat="false" ht="15" hidden="false" customHeight="true" outlineLevel="0" collapsed="false">
      <c r="B38" s="15" t="str">
        <f aca="false">IF($C38="","",IFERROR(INDEX(Stock_Master!$C:$C,MATCH($C38,Stock_Master!$B:$B,0)),""))</f>
        <v/>
      </c>
      <c r="D38" s="28"/>
      <c r="E38" s="28"/>
      <c r="F38" s="28"/>
      <c r="G38" s="28"/>
      <c r="I38" s="13" t="str">
        <f aca="false">IF($D38="","",$D38*$F38)</f>
        <v/>
      </c>
      <c r="J38" s="13" t="str">
        <f aca="false">IF(OR($D38="",$E38=""),"",$D38*$E38)</f>
        <v/>
      </c>
      <c r="K38" s="13" t="str">
        <f aca="false">IF(OR($E38="",$D38=""),"",$I38-$J38)</f>
        <v/>
      </c>
      <c r="L38" s="13" t="str">
        <f aca="false">IF(OR($G38="",$D38=""),"",$D38*($F38-$G38))</f>
        <v/>
      </c>
      <c r="M38" s="29"/>
      <c r="N38" s="19" t="str">
        <f aca="true">IF(OR($M38="",N($J38)=0,$I38="",TODAY()&lt;=$M38),"",($I38/$J38)^(365/(TODAY()-$M38))-1)</f>
        <v/>
      </c>
      <c r="P38" s="23" t="str">
        <f aca="false">IF($A38="","",$A38&amp;"#"&amp;COUNTIF($A$4:$A38,$A38))</f>
        <v/>
      </c>
    </row>
    <row r="39" customFormat="false" ht="15" hidden="false" customHeight="true" outlineLevel="0" collapsed="false">
      <c r="B39" s="15" t="str">
        <f aca="false">IF($C39="","",IFERROR(INDEX(Stock_Master!$C:$C,MATCH($C39,Stock_Master!$B:$B,0)),""))</f>
        <v/>
      </c>
      <c r="D39" s="28"/>
      <c r="E39" s="28"/>
      <c r="F39" s="28"/>
      <c r="G39" s="28"/>
      <c r="I39" s="13" t="str">
        <f aca="false">IF($D39="","",$D39*$F39)</f>
        <v/>
      </c>
      <c r="J39" s="13" t="str">
        <f aca="false">IF(OR($D39="",$E39=""),"",$D39*$E39)</f>
        <v/>
      </c>
      <c r="K39" s="13" t="str">
        <f aca="false">IF(OR($E39="",$D39=""),"",$I39-$J39)</f>
        <v/>
      </c>
      <c r="L39" s="13" t="str">
        <f aca="false">IF(OR($G39="",$D39=""),"",$D39*($F39-$G39))</f>
        <v/>
      </c>
      <c r="M39" s="29"/>
      <c r="N39" s="19" t="str">
        <f aca="true">IF(OR($M39="",N($J39)=0,$I39="",TODAY()&lt;=$M39),"",($I39/$J39)^(365/(TODAY()-$M39))-1)</f>
        <v/>
      </c>
      <c r="P39" s="23" t="str">
        <f aca="false">IF($A39="","",$A39&amp;"#"&amp;COUNTIF($A$4:$A39,$A39))</f>
        <v/>
      </c>
    </row>
    <row r="40" customFormat="false" ht="15" hidden="false" customHeight="true" outlineLevel="0" collapsed="false">
      <c r="B40" s="15" t="str">
        <f aca="false">IF($C40="","",IFERROR(INDEX(Stock_Master!$C:$C,MATCH($C40,Stock_Master!$B:$B,0)),""))</f>
        <v/>
      </c>
      <c r="D40" s="28"/>
      <c r="E40" s="28"/>
      <c r="F40" s="28"/>
      <c r="G40" s="28"/>
      <c r="I40" s="13" t="str">
        <f aca="false">IF($D40="","",$D40*$F40)</f>
        <v/>
      </c>
      <c r="J40" s="13" t="str">
        <f aca="false">IF(OR($D40="",$E40=""),"",$D40*$E40)</f>
        <v/>
      </c>
      <c r="K40" s="13" t="str">
        <f aca="false">IF(OR($E40="",$D40=""),"",$I40-$J40)</f>
        <v/>
      </c>
      <c r="L40" s="13" t="str">
        <f aca="false">IF(OR($G40="",$D40=""),"",$D40*($F40-$G40))</f>
        <v/>
      </c>
      <c r="M40" s="29"/>
      <c r="N40" s="19" t="str">
        <f aca="true">IF(OR($M40="",N($J40)=0,$I40="",TODAY()&lt;=$M40),"",($I40/$J40)^(365/(TODAY()-$M40))-1)</f>
        <v/>
      </c>
      <c r="P40" s="23" t="str">
        <f aca="false">IF($A40="","",$A40&amp;"#"&amp;COUNTIF($A$4:$A40,$A40))</f>
        <v/>
      </c>
    </row>
    <row r="41" customFormat="false" ht="15" hidden="false" customHeight="true" outlineLevel="0" collapsed="false">
      <c r="B41" s="15" t="str">
        <f aca="false">IF($C41="","",IFERROR(INDEX(Stock_Master!$C:$C,MATCH($C41,Stock_Master!$B:$B,0)),""))</f>
        <v/>
      </c>
      <c r="D41" s="28"/>
      <c r="E41" s="28"/>
      <c r="F41" s="28"/>
      <c r="G41" s="28"/>
      <c r="I41" s="13" t="str">
        <f aca="false">IF($D41="","",$D41*$F41)</f>
        <v/>
      </c>
      <c r="J41" s="13" t="str">
        <f aca="false">IF(OR($D41="",$E41=""),"",$D41*$E41)</f>
        <v/>
      </c>
      <c r="K41" s="13" t="str">
        <f aca="false">IF(OR($E41="",$D41=""),"",$I41-$J41)</f>
        <v/>
      </c>
      <c r="L41" s="13" t="str">
        <f aca="false">IF(OR($G41="",$D41=""),"",$D41*($F41-$G41))</f>
        <v/>
      </c>
      <c r="M41" s="29"/>
      <c r="N41" s="19" t="str">
        <f aca="true">IF(OR($M41="",N($J41)=0,$I41="",TODAY()&lt;=$M41),"",($I41/$J41)^(365/(TODAY()-$M41))-1)</f>
        <v/>
      </c>
      <c r="P41" s="23" t="str">
        <f aca="false">IF($A41="","",$A41&amp;"#"&amp;COUNTIF($A$4:$A41,$A41))</f>
        <v/>
      </c>
    </row>
    <row r="42" customFormat="false" ht="15" hidden="false" customHeight="true" outlineLevel="0" collapsed="false">
      <c r="B42" s="15" t="str">
        <f aca="false">IF($C42="","",IFERROR(INDEX(Stock_Master!$C:$C,MATCH($C42,Stock_Master!$B:$B,0)),""))</f>
        <v/>
      </c>
      <c r="D42" s="28"/>
      <c r="E42" s="28"/>
      <c r="F42" s="28"/>
      <c r="G42" s="28"/>
      <c r="I42" s="13" t="str">
        <f aca="false">IF($D42="","",$D42*$F42)</f>
        <v/>
      </c>
      <c r="J42" s="13" t="str">
        <f aca="false">IF(OR($D42="",$E42=""),"",$D42*$E42)</f>
        <v/>
      </c>
      <c r="K42" s="13" t="str">
        <f aca="false">IF(OR($E42="",$D42=""),"",$I42-$J42)</f>
        <v/>
      </c>
      <c r="L42" s="13" t="str">
        <f aca="false">IF(OR($G42="",$D42=""),"",$D42*($F42-$G42))</f>
        <v/>
      </c>
      <c r="M42" s="29"/>
      <c r="N42" s="19" t="str">
        <f aca="true">IF(OR($M42="",N($J42)=0,$I42="",TODAY()&lt;=$M42),"",($I42/$J42)^(365/(TODAY()-$M42))-1)</f>
        <v/>
      </c>
      <c r="P42" s="23" t="str">
        <f aca="false">IF($A42="","",$A42&amp;"#"&amp;COUNTIF($A$4:$A42,$A42))</f>
        <v/>
      </c>
    </row>
    <row r="43" customFormat="false" ht="15" hidden="false" customHeight="true" outlineLevel="0" collapsed="false">
      <c r="B43" s="15" t="str">
        <f aca="false">IF($C43="","",IFERROR(INDEX(Stock_Master!$C:$C,MATCH($C43,Stock_Master!$B:$B,0)),""))</f>
        <v/>
      </c>
      <c r="D43" s="28"/>
      <c r="E43" s="28"/>
      <c r="F43" s="28"/>
      <c r="G43" s="28"/>
      <c r="I43" s="13" t="str">
        <f aca="false">IF($D43="","",$D43*$F43)</f>
        <v/>
      </c>
      <c r="J43" s="13" t="str">
        <f aca="false">IF(OR($D43="",$E43=""),"",$D43*$E43)</f>
        <v/>
      </c>
      <c r="K43" s="13" t="str">
        <f aca="false">IF(OR($E43="",$D43=""),"",$I43-$J43)</f>
        <v/>
      </c>
      <c r="L43" s="13" t="str">
        <f aca="false">IF(OR($G43="",$D43=""),"",$D43*($F43-$G43))</f>
        <v/>
      </c>
      <c r="M43" s="29"/>
      <c r="N43" s="19" t="str">
        <f aca="true">IF(OR($M43="",N($J43)=0,$I43="",TODAY()&lt;=$M43),"",($I43/$J43)^(365/(TODAY()-$M43))-1)</f>
        <v/>
      </c>
      <c r="P43" s="23" t="str">
        <f aca="false">IF($A43="","",$A43&amp;"#"&amp;COUNTIF($A$4:$A43,$A43))</f>
        <v/>
      </c>
    </row>
    <row r="44" customFormat="false" ht="15" hidden="false" customHeight="true" outlineLevel="0" collapsed="false">
      <c r="B44" s="15" t="str">
        <f aca="false">IF($C44="","",IFERROR(INDEX(Stock_Master!$C:$C,MATCH($C44,Stock_Master!$B:$B,0)),""))</f>
        <v/>
      </c>
      <c r="D44" s="28"/>
      <c r="E44" s="28"/>
      <c r="F44" s="28"/>
      <c r="G44" s="28"/>
      <c r="I44" s="13" t="str">
        <f aca="false">IF($D44="","",$D44*$F44)</f>
        <v/>
      </c>
      <c r="J44" s="13" t="str">
        <f aca="false">IF(OR($D44="",$E44=""),"",$D44*$E44)</f>
        <v/>
      </c>
      <c r="K44" s="13" t="str">
        <f aca="false">IF(OR($E44="",$D44=""),"",$I44-$J44)</f>
        <v/>
      </c>
      <c r="L44" s="13" t="str">
        <f aca="false">IF(OR($G44="",$D44=""),"",$D44*($F44-$G44))</f>
        <v/>
      </c>
      <c r="M44" s="29"/>
      <c r="N44" s="19" t="str">
        <f aca="true">IF(OR($M44="",N($J44)=0,$I44="",TODAY()&lt;=$M44),"",($I44/$J44)^(365/(TODAY()-$M44))-1)</f>
        <v/>
      </c>
      <c r="P44" s="23" t="str">
        <f aca="false">IF($A44="","",$A44&amp;"#"&amp;COUNTIF($A$4:$A44,$A44))</f>
        <v/>
      </c>
    </row>
    <row r="45" customFormat="false" ht="15" hidden="false" customHeight="true" outlineLevel="0" collapsed="false">
      <c r="B45" s="15" t="str">
        <f aca="false">IF($C45="","",IFERROR(INDEX(Stock_Master!$C:$C,MATCH($C45,Stock_Master!$B:$B,0)),""))</f>
        <v/>
      </c>
      <c r="D45" s="28"/>
      <c r="E45" s="28"/>
      <c r="F45" s="28"/>
      <c r="G45" s="28"/>
      <c r="I45" s="13" t="str">
        <f aca="false">IF($D45="","",$D45*$F45)</f>
        <v/>
      </c>
      <c r="J45" s="13" t="str">
        <f aca="false">IF(OR($D45="",$E45=""),"",$D45*$E45)</f>
        <v/>
      </c>
      <c r="K45" s="13" t="str">
        <f aca="false">IF(OR($E45="",$D45=""),"",$I45-$J45)</f>
        <v/>
      </c>
      <c r="L45" s="13" t="str">
        <f aca="false">IF(OR($G45="",$D45=""),"",$D45*($F45-$G45))</f>
        <v/>
      </c>
      <c r="M45" s="29"/>
      <c r="N45" s="19" t="str">
        <f aca="true">IF(OR($M45="",N($J45)=0,$I45="",TODAY()&lt;=$M45),"",($I45/$J45)^(365/(TODAY()-$M45))-1)</f>
        <v/>
      </c>
      <c r="P45" s="23" t="str">
        <f aca="false">IF($A45="","",$A45&amp;"#"&amp;COUNTIF($A$4:$A45,$A45))</f>
        <v/>
      </c>
    </row>
    <row r="46" customFormat="false" ht="15" hidden="false" customHeight="true" outlineLevel="0" collapsed="false">
      <c r="B46" s="15" t="str">
        <f aca="false">IF($C46="","",IFERROR(INDEX(Stock_Master!$C:$C,MATCH($C46,Stock_Master!$B:$B,0)),""))</f>
        <v/>
      </c>
      <c r="D46" s="28"/>
      <c r="E46" s="28"/>
      <c r="F46" s="28"/>
      <c r="G46" s="28"/>
      <c r="I46" s="13" t="str">
        <f aca="false">IF($D46="","",$D46*$F46)</f>
        <v/>
      </c>
      <c r="J46" s="13" t="str">
        <f aca="false">IF(OR($D46="",$E46=""),"",$D46*$E46)</f>
        <v/>
      </c>
      <c r="K46" s="13" t="str">
        <f aca="false">IF(OR($E46="",$D46=""),"",$I46-$J46)</f>
        <v/>
      </c>
      <c r="L46" s="13" t="str">
        <f aca="false">IF(OR($G46="",$D46=""),"",$D46*($F46-$G46))</f>
        <v/>
      </c>
      <c r="M46" s="29"/>
      <c r="N46" s="19" t="str">
        <f aca="true">IF(OR($M46="",N($J46)=0,$I46="",TODAY()&lt;=$M46),"",($I46/$J46)^(365/(TODAY()-$M46))-1)</f>
        <v/>
      </c>
      <c r="P46" s="23" t="str">
        <f aca="false">IF($A46="","",$A46&amp;"#"&amp;COUNTIF($A$4:$A46,$A46))</f>
        <v/>
      </c>
    </row>
    <row r="47" customFormat="false" ht="15" hidden="false" customHeight="true" outlineLevel="0" collapsed="false">
      <c r="B47" s="15" t="str">
        <f aca="false">IF($C47="","",IFERROR(INDEX(Stock_Master!$C:$C,MATCH($C47,Stock_Master!$B:$B,0)),""))</f>
        <v/>
      </c>
      <c r="D47" s="28"/>
      <c r="E47" s="28"/>
      <c r="F47" s="28"/>
      <c r="G47" s="28"/>
      <c r="I47" s="13" t="str">
        <f aca="false">IF($D47="","",$D47*$F47)</f>
        <v/>
      </c>
      <c r="J47" s="13" t="str">
        <f aca="false">IF(OR($D47="",$E47=""),"",$D47*$E47)</f>
        <v/>
      </c>
      <c r="K47" s="13" t="str">
        <f aca="false">IF(OR($E47="",$D47=""),"",$I47-$J47)</f>
        <v/>
      </c>
      <c r="L47" s="13" t="str">
        <f aca="false">IF(OR($G47="",$D47=""),"",$D47*($F47-$G47))</f>
        <v/>
      </c>
      <c r="M47" s="29"/>
      <c r="N47" s="19" t="str">
        <f aca="true">IF(OR($M47="",N($J47)=0,$I47="",TODAY()&lt;=$M47),"",($I47/$J47)^(365/(TODAY()-$M47))-1)</f>
        <v/>
      </c>
      <c r="P47" s="23" t="str">
        <f aca="false">IF($A47="","",$A47&amp;"#"&amp;COUNTIF($A$4:$A47,$A47))</f>
        <v/>
      </c>
    </row>
    <row r="48" customFormat="false" ht="15" hidden="false" customHeight="true" outlineLevel="0" collapsed="false">
      <c r="B48" s="15" t="str">
        <f aca="false">IF($C48="","",IFERROR(INDEX(Stock_Master!$C:$C,MATCH($C48,Stock_Master!$B:$B,0)),""))</f>
        <v/>
      </c>
      <c r="D48" s="28"/>
      <c r="E48" s="28"/>
      <c r="F48" s="28"/>
      <c r="G48" s="28"/>
      <c r="I48" s="13" t="str">
        <f aca="false">IF($D48="","",$D48*$F48)</f>
        <v/>
      </c>
      <c r="J48" s="13" t="str">
        <f aca="false">IF(OR($D48="",$E48=""),"",$D48*$E48)</f>
        <v/>
      </c>
      <c r="K48" s="13" t="str">
        <f aca="false">IF(OR($E48="",$D48=""),"",$I48-$J48)</f>
        <v/>
      </c>
      <c r="L48" s="13" t="str">
        <f aca="false">IF(OR($G48="",$D48=""),"",$D48*($F48-$G48))</f>
        <v/>
      </c>
      <c r="M48" s="29"/>
      <c r="N48" s="19" t="str">
        <f aca="true">IF(OR($M48="",N($J48)=0,$I48="",TODAY()&lt;=$M48),"",($I48/$J48)^(365/(TODAY()-$M48))-1)</f>
        <v/>
      </c>
      <c r="P48" s="23" t="str">
        <f aca="false">IF($A48="","",$A48&amp;"#"&amp;COUNTIF($A$4:$A48,$A48))</f>
        <v/>
      </c>
    </row>
    <row r="49" customFormat="false" ht="15" hidden="false" customHeight="true" outlineLevel="0" collapsed="false">
      <c r="B49" s="15" t="str">
        <f aca="false">IF($C49="","",IFERROR(INDEX(Stock_Master!$C:$C,MATCH($C49,Stock_Master!$B:$B,0)),""))</f>
        <v/>
      </c>
      <c r="D49" s="28"/>
      <c r="E49" s="28"/>
      <c r="F49" s="28"/>
      <c r="G49" s="28"/>
      <c r="I49" s="13" t="str">
        <f aca="false">IF($D49="","",$D49*$F49)</f>
        <v/>
      </c>
      <c r="J49" s="13" t="str">
        <f aca="false">IF(OR($D49="",$E49=""),"",$D49*$E49)</f>
        <v/>
      </c>
      <c r="K49" s="13" t="str">
        <f aca="false">IF(OR($E49="",$D49=""),"",$I49-$J49)</f>
        <v/>
      </c>
      <c r="L49" s="13" t="str">
        <f aca="false">IF(OR($G49="",$D49=""),"",$D49*($F49-$G49))</f>
        <v/>
      </c>
      <c r="M49" s="29"/>
      <c r="N49" s="19" t="str">
        <f aca="true">IF(OR($M49="",N($J49)=0,$I49="",TODAY()&lt;=$M49),"",($I49/$J49)^(365/(TODAY()-$M49))-1)</f>
        <v/>
      </c>
      <c r="P49" s="23" t="str">
        <f aca="false">IF($A49="","",$A49&amp;"#"&amp;COUNTIF($A$4:$A49,$A49))</f>
        <v/>
      </c>
    </row>
    <row r="50" customFormat="false" ht="15" hidden="false" customHeight="true" outlineLevel="0" collapsed="false">
      <c r="B50" s="15" t="str">
        <f aca="false">IF($C50="","",IFERROR(INDEX(Stock_Master!$C:$C,MATCH($C50,Stock_Master!$B:$B,0)),""))</f>
        <v/>
      </c>
      <c r="D50" s="28"/>
      <c r="E50" s="28"/>
      <c r="F50" s="28"/>
      <c r="G50" s="28"/>
      <c r="I50" s="13" t="str">
        <f aca="false">IF($D50="","",$D50*$F50)</f>
        <v/>
      </c>
      <c r="J50" s="13" t="str">
        <f aca="false">IF(OR($D50="",$E50=""),"",$D50*$E50)</f>
        <v/>
      </c>
      <c r="K50" s="13" t="str">
        <f aca="false">IF(OR($E50="",$D50=""),"",$I50-$J50)</f>
        <v/>
      </c>
      <c r="L50" s="13" t="str">
        <f aca="false">IF(OR($G50="",$D50=""),"",$D50*($F50-$G50))</f>
        <v/>
      </c>
      <c r="M50" s="29"/>
      <c r="N50" s="19" t="str">
        <f aca="true">IF(OR($M50="",N($J50)=0,$I50="",TODAY()&lt;=$M50),"",($I50/$J50)^(365/(TODAY()-$M50))-1)</f>
        <v/>
      </c>
      <c r="P50" s="23" t="str">
        <f aca="false">IF($A50="","",$A50&amp;"#"&amp;COUNTIF($A$4:$A50,$A50))</f>
        <v/>
      </c>
    </row>
    <row r="51" customFormat="false" ht="15" hidden="false" customHeight="true" outlineLevel="0" collapsed="false">
      <c r="B51" s="15" t="str">
        <f aca="false">IF($C51="","",IFERROR(INDEX(Stock_Master!$C:$C,MATCH($C51,Stock_Master!$B:$B,0)),""))</f>
        <v/>
      </c>
      <c r="D51" s="28"/>
      <c r="E51" s="28"/>
      <c r="F51" s="28"/>
      <c r="G51" s="28"/>
      <c r="I51" s="13" t="str">
        <f aca="false">IF($D51="","",$D51*$F51)</f>
        <v/>
      </c>
      <c r="J51" s="13" t="str">
        <f aca="false">IF(OR($D51="",$E51=""),"",$D51*$E51)</f>
        <v/>
      </c>
      <c r="K51" s="13" t="str">
        <f aca="false">IF(OR($E51="",$D51=""),"",$I51-$J51)</f>
        <v/>
      </c>
      <c r="L51" s="13" t="str">
        <f aca="false">IF(OR($G51="",$D51=""),"",$D51*($F51-$G51))</f>
        <v/>
      </c>
      <c r="M51" s="29"/>
      <c r="N51" s="19" t="str">
        <f aca="true">IF(OR($M51="",N($J51)=0,$I51="",TODAY()&lt;=$M51),"",($I51/$J51)^(365/(TODAY()-$M51))-1)</f>
        <v/>
      </c>
      <c r="P51" s="23" t="str">
        <f aca="false">IF($A51="","",$A51&amp;"#"&amp;COUNTIF($A$4:$A51,$A51))</f>
        <v/>
      </c>
    </row>
    <row r="52" customFormat="false" ht="15" hidden="false" customHeight="true" outlineLevel="0" collapsed="false">
      <c r="B52" s="15" t="str">
        <f aca="false">IF($C52="","",IFERROR(INDEX(Stock_Master!$C:$C,MATCH($C52,Stock_Master!$B:$B,0)),""))</f>
        <v/>
      </c>
      <c r="D52" s="28"/>
      <c r="E52" s="28"/>
      <c r="F52" s="28"/>
      <c r="G52" s="28"/>
      <c r="I52" s="13" t="str">
        <f aca="false">IF($D52="","",$D52*$F52)</f>
        <v/>
      </c>
      <c r="J52" s="13" t="str">
        <f aca="false">IF(OR($D52="",$E52=""),"",$D52*$E52)</f>
        <v/>
      </c>
      <c r="K52" s="13" t="str">
        <f aca="false">IF(OR($E52="",$D52=""),"",$I52-$J52)</f>
        <v/>
      </c>
      <c r="L52" s="13" t="str">
        <f aca="false">IF(OR($G52="",$D52=""),"",$D52*($F52-$G52))</f>
        <v/>
      </c>
      <c r="M52" s="29"/>
      <c r="N52" s="19" t="str">
        <f aca="true">IF(OR($M52="",N($J52)=0,$I52="",TODAY()&lt;=$M52),"",($I52/$J52)^(365/(TODAY()-$M52))-1)</f>
        <v/>
      </c>
      <c r="P52" s="23" t="str">
        <f aca="false">IF($A52="","",$A52&amp;"#"&amp;COUNTIF($A$4:$A52,$A52))</f>
        <v/>
      </c>
    </row>
    <row r="53" customFormat="false" ht="15" hidden="false" customHeight="true" outlineLevel="0" collapsed="false">
      <c r="B53" s="15" t="str">
        <f aca="false">IF($C53="","",IFERROR(INDEX(Stock_Master!$C:$C,MATCH($C53,Stock_Master!$B:$B,0)),""))</f>
        <v/>
      </c>
      <c r="D53" s="28"/>
      <c r="E53" s="28"/>
      <c r="F53" s="28"/>
      <c r="G53" s="28"/>
      <c r="I53" s="13" t="str">
        <f aca="false">IF($D53="","",$D53*$F53)</f>
        <v/>
      </c>
      <c r="J53" s="13" t="str">
        <f aca="false">IF(OR($D53="",$E53=""),"",$D53*$E53)</f>
        <v/>
      </c>
      <c r="K53" s="13" t="str">
        <f aca="false">IF(OR($E53="",$D53=""),"",$I53-$J53)</f>
        <v/>
      </c>
      <c r="L53" s="13" t="str">
        <f aca="false">IF(OR($G53="",$D53=""),"",$D53*($F53-$G53))</f>
        <v/>
      </c>
      <c r="M53" s="29"/>
      <c r="N53" s="19" t="str">
        <f aca="true">IF(OR($M53="",N($J53)=0,$I53="",TODAY()&lt;=$M53),"",($I53/$J53)^(365/(TODAY()-$M53))-1)</f>
        <v/>
      </c>
      <c r="P53" s="23" t="str">
        <f aca="false">IF($A53="","",$A53&amp;"#"&amp;COUNTIF($A$4:$A53,$A53))</f>
        <v/>
      </c>
    </row>
    <row r="54" customFormat="false" ht="15" hidden="false" customHeight="true" outlineLevel="0" collapsed="false">
      <c r="B54" s="15" t="str">
        <f aca="false">IF($C54="","",IFERROR(INDEX(Stock_Master!$C:$C,MATCH($C54,Stock_Master!$B:$B,0)),""))</f>
        <v/>
      </c>
      <c r="D54" s="28"/>
      <c r="E54" s="28"/>
      <c r="F54" s="28"/>
      <c r="G54" s="28"/>
      <c r="I54" s="13" t="str">
        <f aca="false">IF($D54="","",$D54*$F54)</f>
        <v/>
      </c>
      <c r="J54" s="13" t="str">
        <f aca="false">IF(OR($D54="",$E54=""),"",$D54*$E54)</f>
        <v/>
      </c>
      <c r="K54" s="13" t="str">
        <f aca="false">IF(OR($E54="",$D54=""),"",$I54-$J54)</f>
        <v/>
      </c>
      <c r="L54" s="13" t="str">
        <f aca="false">IF(OR($G54="",$D54=""),"",$D54*($F54-$G54))</f>
        <v/>
      </c>
      <c r="M54" s="29"/>
      <c r="N54" s="19" t="str">
        <f aca="true">IF(OR($M54="",N($J54)=0,$I54="",TODAY()&lt;=$M54),"",($I54/$J54)^(365/(TODAY()-$M54))-1)</f>
        <v/>
      </c>
      <c r="P54" s="23" t="str">
        <f aca="false">IF($A54="","",$A54&amp;"#"&amp;COUNTIF($A$4:$A54,$A54))</f>
        <v/>
      </c>
    </row>
    <row r="55" customFormat="false" ht="15" hidden="false" customHeight="true" outlineLevel="0" collapsed="false">
      <c r="B55" s="15" t="str">
        <f aca="false">IF($C55="","",IFERROR(INDEX(Stock_Master!$C:$C,MATCH($C55,Stock_Master!$B:$B,0)),""))</f>
        <v/>
      </c>
      <c r="D55" s="28"/>
      <c r="E55" s="28"/>
      <c r="F55" s="28"/>
      <c r="G55" s="28"/>
      <c r="I55" s="13" t="str">
        <f aca="false">IF($D55="","",$D55*$F55)</f>
        <v/>
      </c>
      <c r="J55" s="13" t="str">
        <f aca="false">IF(OR($D55="",$E55=""),"",$D55*$E55)</f>
        <v/>
      </c>
      <c r="K55" s="13" t="str">
        <f aca="false">IF(OR($E55="",$D55=""),"",$I55-$J55)</f>
        <v/>
      </c>
      <c r="L55" s="13" t="str">
        <f aca="false">IF(OR($G55="",$D55=""),"",$D55*($F55-$G55))</f>
        <v/>
      </c>
      <c r="M55" s="29"/>
      <c r="N55" s="19" t="str">
        <f aca="true">IF(OR($M55="",N($J55)=0,$I55="",TODAY()&lt;=$M55),"",($I55/$J55)^(365/(TODAY()-$M55))-1)</f>
        <v/>
      </c>
      <c r="P55" s="23" t="str">
        <f aca="false">IF($A55="","",$A55&amp;"#"&amp;COUNTIF($A$4:$A55,$A55))</f>
        <v/>
      </c>
    </row>
    <row r="56" customFormat="false" ht="15" hidden="false" customHeight="true" outlineLevel="0" collapsed="false">
      <c r="B56" s="15" t="str">
        <f aca="false">IF($C56="","",IFERROR(INDEX(Stock_Master!$C:$C,MATCH($C56,Stock_Master!$B:$B,0)),""))</f>
        <v/>
      </c>
      <c r="D56" s="28"/>
      <c r="E56" s="28"/>
      <c r="F56" s="28"/>
      <c r="G56" s="28"/>
      <c r="I56" s="13" t="str">
        <f aca="false">IF($D56="","",$D56*$F56)</f>
        <v/>
      </c>
      <c r="J56" s="13" t="str">
        <f aca="false">IF(OR($D56="",$E56=""),"",$D56*$E56)</f>
        <v/>
      </c>
      <c r="K56" s="13" t="str">
        <f aca="false">IF(OR($E56="",$D56=""),"",$I56-$J56)</f>
        <v/>
      </c>
      <c r="L56" s="13" t="str">
        <f aca="false">IF(OR($G56="",$D56=""),"",$D56*($F56-$G56))</f>
        <v/>
      </c>
      <c r="M56" s="29"/>
      <c r="N56" s="19" t="str">
        <f aca="true">IF(OR($M56="",N($J56)=0,$I56="",TODAY()&lt;=$M56),"",($I56/$J56)^(365/(TODAY()-$M56))-1)</f>
        <v/>
      </c>
      <c r="P56" s="23" t="str">
        <f aca="false">IF($A56="","",$A56&amp;"#"&amp;COUNTIF($A$4:$A56,$A56))</f>
        <v/>
      </c>
    </row>
    <row r="57" customFormat="false" ht="15" hidden="false" customHeight="true" outlineLevel="0" collapsed="false">
      <c r="B57" s="15" t="str">
        <f aca="false">IF($C57="","",IFERROR(INDEX(Stock_Master!$C:$C,MATCH($C57,Stock_Master!$B:$B,0)),""))</f>
        <v/>
      </c>
      <c r="D57" s="28"/>
      <c r="E57" s="28"/>
      <c r="F57" s="28"/>
      <c r="G57" s="28"/>
      <c r="I57" s="13" t="str">
        <f aca="false">IF($D57="","",$D57*$F57)</f>
        <v/>
      </c>
      <c r="J57" s="13" t="str">
        <f aca="false">IF(OR($D57="",$E57=""),"",$D57*$E57)</f>
        <v/>
      </c>
      <c r="K57" s="13" t="str">
        <f aca="false">IF(OR($E57="",$D57=""),"",$I57-$J57)</f>
        <v/>
      </c>
      <c r="L57" s="13" t="str">
        <f aca="false">IF(OR($G57="",$D57=""),"",$D57*($F57-$G57))</f>
        <v/>
      </c>
      <c r="M57" s="29"/>
      <c r="N57" s="19" t="str">
        <f aca="true">IF(OR($M57="",N($J57)=0,$I57="",TODAY()&lt;=$M57),"",($I57/$J57)^(365/(TODAY()-$M57))-1)</f>
        <v/>
      </c>
      <c r="P57" s="23" t="str">
        <f aca="false">IF($A57="","",$A57&amp;"#"&amp;COUNTIF($A$4:$A57,$A57))</f>
        <v/>
      </c>
    </row>
    <row r="58" customFormat="false" ht="15" hidden="false" customHeight="true" outlineLevel="0" collapsed="false">
      <c r="B58" s="15" t="str">
        <f aca="false">IF($C58="","",IFERROR(INDEX(Stock_Master!$C:$C,MATCH($C58,Stock_Master!$B:$B,0)),""))</f>
        <v/>
      </c>
      <c r="D58" s="28"/>
      <c r="E58" s="28"/>
      <c r="F58" s="28"/>
      <c r="G58" s="28"/>
      <c r="I58" s="13" t="str">
        <f aca="false">IF($D58="","",$D58*$F58)</f>
        <v/>
      </c>
      <c r="J58" s="13" t="str">
        <f aca="false">IF(OR($D58="",$E58=""),"",$D58*$E58)</f>
        <v/>
      </c>
      <c r="K58" s="13" t="str">
        <f aca="false">IF(OR($E58="",$D58=""),"",$I58-$J58)</f>
        <v/>
      </c>
      <c r="L58" s="13" t="str">
        <f aca="false">IF(OR($G58="",$D58=""),"",$D58*($F58-$G58))</f>
        <v/>
      </c>
      <c r="M58" s="29"/>
      <c r="N58" s="19" t="str">
        <f aca="true">IF(OR($M58="",N($J58)=0,$I58="",TODAY()&lt;=$M58),"",($I58/$J58)^(365/(TODAY()-$M58))-1)</f>
        <v/>
      </c>
      <c r="P58" s="23" t="str">
        <f aca="false">IF($A58="","",$A58&amp;"#"&amp;COUNTIF($A$4:$A58,$A58))</f>
        <v/>
      </c>
    </row>
    <row r="59" customFormat="false" ht="15" hidden="false" customHeight="true" outlineLevel="0" collapsed="false">
      <c r="B59" s="15" t="str">
        <f aca="false">IF($C59="","",IFERROR(INDEX(Stock_Master!$C:$C,MATCH($C59,Stock_Master!$B:$B,0)),""))</f>
        <v/>
      </c>
      <c r="D59" s="28"/>
      <c r="E59" s="28"/>
      <c r="F59" s="28"/>
      <c r="G59" s="28"/>
      <c r="I59" s="13" t="str">
        <f aca="false">IF($D59="","",$D59*$F59)</f>
        <v/>
      </c>
      <c r="J59" s="13" t="str">
        <f aca="false">IF(OR($D59="",$E59=""),"",$D59*$E59)</f>
        <v/>
      </c>
      <c r="K59" s="13" t="str">
        <f aca="false">IF(OR($E59="",$D59=""),"",$I59-$J59)</f>
        <v/>
      </c>
      <c r="L59" s="13" t="str">
        <f aca="false">IF(OR($G59="",$D59=""),"",$D59*($F59-$G59))</f>
        <v/>
      </c>
      <c r="M59" s="29"/>
      <c r="N59" s="19" t="str">
        <f aca="true">IF(OR($M59="",N($J59)=0,$I59="",TODAY()&lt;=$M59),"",($I59/$J59)^(365/(TODAY()-$M59))-1)</f>
        <v/>
      </c>
      <c r="P59" s="23" t="str">
        <f aca="false">IF($A59="","",$A59&amp;"#"&amp;COUNTIF($A$4:$A59,$A59))</f>
        <v/>
      </c>
    </row>
    <row r="60" customFormat="false" ht="15" hidden="false" customHeight="true" outlineLevel="0" collapsed="false">
      <c r="B60" s="15" t="str">
        <f aca="false">IF($C60="","",IFERROR(INDEX(Stock_Master!$C:$C,MATCH($C60,Stock_Master!$B:$B,0)),""))</f>
        <v/>
      </c>
      <c r="D60" s="28"/>
      <c r="E60" s="28"/>
      <c r="F60" s="28"/>
      <c r="G60" s="28"/>
      <c r="I60" s="13" t="str">
        <f aca="false">IF($D60="","",$D60*$F60)</f>
        <v/>
      </c>
      <c r="J60" s="13" t="str">
        <f aca="false">IF(OR($D60="",$E60=""),"",$D60*$E60)</f>
        <v/>
      </c>
      <c r="K60" s="13" t="str">
        <f aca="false">IF(OR($E60="",$D60=""),"",$I60-$J60)</f>
        <v/>
      </c>
      <c r="L60" s="13" t="str">
        <f aca="false">IF(OR($G60="",$D60=""),"",$D60*($F60-$G60))</f>
        <v/>
      </c>
      <c r="M60" s="29"/>
      <c r="N60" s="19" t="str">
        <f aca="true">IF(OR($M60="",N($J60)=0,$I60="",TODAY()&lt;=$M60),"",($I60/$J60)^(365/(TODAY()-$M60))-1)</f>
        <v/>
      </c>
      <c r="P60" s="23" t="str">
        <f aca="false">IF($A60="","",$A60&amp;"#"&amp;COUNTIF($A$4:$A60,$A60))</f>
        <v/>
      </c>
    </row>
    <row r="61" customFormat="false" ht="15" hidden="false" customHeight="true" outlineLevel="0" collapsed="false">
      <c r="B61" s="15" t="str">
        <f aca="false">IF($C61="","",IFERROR(INDEX(Stock_Master!$C:$C,MATCH($C61,Stock_Master!$B:$B,0)),""))</f>
        <v/>
      </c>
      <c r="D61" s="28"/>
      <c r="E61" s="28"/>
      <c r="F61" s="28"/>
      <c r="G61" s="28"/>
      <c r="I61" s="13" t="str">
        <f aca="false">IF($D61="","",$D61*$F61)</f>
        <v/>
      </c>
      <c r="J61" s="13" t="str">
        <f aca="false">IF(OR($D61="",$E61=""),"",$D61*$E61)</f>
        <v/>
      </c>
      <c r="K61" s="13" t="str">
        <f aca="false">IF(OR($E61="",$D61=""),"",$I61-$J61)</f>
        <v/>
      </c>
      <c r="L61" s="13" t="str">
        <f aca="false">IF(OR($G61="",$D61=""),"",$D61*($F61-$G61))</f>
        <v/>
      </c>
      <c r="M61" s="29"/>
      <c r="N61" s="19" t="str">
        <f aca="true">IF(OR($M61="",N($J61)=0,$I61="",TODAY()&lt;=$M61),"",($I61/$J61)^(365/(TODAY()-$M61))-1)</f>
        <v/>
      </c>
      <c r="P61" s="23" t="str">
        <f aca="false">IF($A61="","",$A61&amp;"#"&amp;COUNTIF($A$4:$A61,$A61))</f>
        <v/>
      </c>
    </row>
    <row r="62" customFormat="false" ht="15" hidden="false" customHeight="true" outlineLevel="0" collapsed="false">
      <c r="B62" s="15" t="str">
        <f aca="false">IF($C62="","",IFERROR(INDEX(Stock_Master!$C:$C,MATCH($C62,Stock_Master!$B:$B,0)),""))</f>
        <v/>
      </c>
      <c r="D62" s="28"/>
      <c r="E62" s="28"/>
      <c r="F62" s="28"/>
      <c r="G62" s="28"/>
      <c r="I62" s="13" t="str">
        <f aca="false">IF($D62="","",$D62*$F62)</f>
        <v/>
      </c>
      <c r="J62" s="13" t="str">
        <f aca="false">IF(OR($D62="",$E62=""),"",$D62*$E62)</f>
        <v/>
      </c>
      <c r="K62" s="13" t="str">
        <f aca="false">IF(OR($E62="",$D62=""),"",$I62-$J62)</f>
        <v/>
      </c>
      <c r="L62" s="13" t="str">
        <f aca="false">IF(OR($G62="",$D62=""),"",$D62*($F62-$G62))</f>
        <v/>
      </c>
      <c r="M62" s="29"/>
      <c r="N62" s="19" t="str">
        <f aca="true">IF(OR($M62="",N($J62)=0,$I62="",TODAY()&lt;=$M62),"",($I62/$J62)^(365/(TODAY()-$M62))-1)</f>
        <v/>
      </c>
      <c r="P62" s="23" t="str">
        <f aca="false">IF($A62="","",$A62&amp;"#"&amp;COUNTIF($A$4:$A62,$A62))</f>
        <v/>
      </c>
    </row>
    <row r="63" customFormat="false" ht="15" hidden="false" customHeight="true" outlineLevel="0" collapsed="false">
      <c r="B63" s="15" t="str">
        <f aca="false">IF($C63="","",IFERROR(INDEX(Stock_Master!$C:$C,MATCH($C63,Stock_Master!$B:$B,0)),""))</f>
        <v/>
      </c>
      <c r="D63" s="28"/>
      <c r="E63" s="28"/>
      <c r="F63" s="28"/>
      <c r="G63" s="28"/>
      <c r="I63" s="13" t="str">
        <f aca="false">IF($D63="","",$D63*$F63)</f>
        <v/>
      </c>
      <c r="J63" s="13" t="str">
        <f aca="false">IF(OR($D63="",$E63=""),"",$D63*$E63)</f>
        <v/>
      </c>
      <c r="K63" s="13" t="str">
        <f aca="false">IF(OR($E63="",$D63=""),"",$I63-$J63)</f>
        <v/>
      </c>
      <c r="L63" s="13" t="str">
        <f aca="false">IF(OR($G63="",$D63=""),"",$D63*($F63-$G63))</f>
        <v/>
      </c>
      <c r="M63" s="29"/>
      <c r="N63" s="19" t="str">
        <f aca="true">IF(OR($M63="",N($J63)=0,$I63="",TODAY()&lt;=$M63),"",($I63/$J63)^(365/(TODAY()-$M63))-1)</f>
        <v/>
      </c>
      <c r="P63" s="23" t="str">
        <f aca="false">IF($A63="","",$A63&amp;"#"&amp;COUNTIF($A$4:$A63,$A63))</f>
        <v/>
      </c>
    </row>
    <row r="64" customFormat="false" ht="15" hidden="false" customHeight="true" outlineLevel="0" collapsed="false">
      <c r="B64" s="15" t="str">
        <f aca="false">IF($C64="","",IFERROR(INDEX(Stock_Master!$C:$C,MATCH($C64,Stock_Master!$B:$B,0)),""))</f>
        <v/>
      </c>
      <c r="D64" s="28"/>
      <c r="E64" s="28"/>
      <c r="F64" s="28"/>
      <c r="G64" s="28"/>
      <c r="I64" s="13" t="str">
        <f aca="false">IF($D64="","",$D64*$F64)</f>
        <v/>
      </c>
      <c r="J64" s="13" t="str">
        <f aca="false">IF(OR($D64="",$E64=""),"",$D64*$E64)</f>
        <v/>
      </c>
      <c r="K64" s="13" t="str">
        <f aca="false">IF(OR($E64="",$D64=""),"",$I64-$J64)</f>
        <v/>
      </c>
      <c r="L64" s="13" t="str">
        <f aca="false">IF(OR($G64="",$D64=""),"",$D64*($F64-$G64))</f>
        <v/>
      </c>
      <c r="M64" s="29"/>
      <c r="N64" s="19" t="str">
        <f aca="true">IF(OR($M64="",N($J64)=0,$I64="",TODAY()&lt;=$M64),"",($I64/$J64)^(365/(TODAY()-$M64))-1)</f>
        <v/>
      </c>
      <c r="P64" s="23" t="str">
        <f aca="false">IF($A64="","",$A64&amp;"#"&amp;COUNTIF($A$4:$A64,$A64))</f>
        <v/>
      </c>
    </row>
    <row r="65" customFormat="false" ht="15" hidden="false" customHeight="true" outlineLevel="0" collapsed="false">
      <c r="B65" s="15" t="str">
        <f aca="false">IF($C65="","",IFERROR(INDEX(Stock_Master!$C:$C,MATCH($C65,Stock_Master!$B:$B,0)),""))</f>
        <v/>
      </c>
      <c r="D65" s="28"/>
      <c r="E65" s="28"/>
      <c r="F65" s="28"/>
      <c r="G65" s="28"/>
      <c r="I65" s="13" t="str">
        <f aca="false">IF($D65="","",$D65*$F65)</f>
        <v/>
      </c>
      <c r="J65" s="13" t="str">
        <f aca="false">IF(OR($D65="",$E65=""),"",$D65*$E65)</f>
        <v/>
      </c>
      <c r="K65" s="13" t="str">
        <f aca="false">IF(OR($E65="",$D65=""),"",$I65-$J65)</f>
        <v/>
      </c>
      <c r="L65" s="13" t="str">
        <f aca="false">IF(OR($G65="",$D65=""),"",$D65*($F65-$G65))</f>
        <v/>
      </c>
      <c r="M65" s="29"/>
      <c r="N65" s="19" t="str">
        <f aca="true">IF(OR($M65="",N($J65)=0,$I65="",TODAY()&lt;=$M65),"",($I65/$J65)^(365/(TODAY()-$M65))-1)</f>
        <v/>
      </c>
      <c r="P65" s="23" t="str">
        <f aca="false">IF($A65="","",$A65&amp;"#"&amp;COUNTIF($A$4:$A65,$A65))</f>
        <v/>
      </c>
    </row>
    <row r="66" customFormat="false" ht="15" hidden="false" customHeight="true" outlineLevel="0" collapsed="false">
      <c r="B66" s="15" t="str">
        <f aca="false">IF($C66="","",IFERROR(INDEX(Stock_Master!$C:$C,MATCH($C66,Stock_Master!$B:$B,0)),""))</f>
        <v/>
      </c>
      <c r="D66" s="28"/>
      <c r="E66" s="28"/>
      <c r="F66" s="28"/>
      <c r="G66" s="28"/>
      <c r="I66" s="13" t="str">
        <f aca="false">IF($D66="","",$D66*$F66)</f>
        <v/>
      </c>
      <c r="J66" s="13" t="str">
        <f aca="false">IF(OR($D66="",$E66=""),"",$D66*$E66)</f>
        <v/>
      </c>
      <c r="K66" s="13" t="str">
        <f aca="false">IF(OR($E66="",$D66=""),"",$I66-$J66)</f>
        <v/>
      </c>
      <c r="L66" s="13" t="str">
        <f aca="false">IF(OR($G66="",$D66=""),"",$D66*($F66-$G66))</f>
        <v/>
      </c>
      <c r="M66" s="29"/>
      <c r="N66" s="19" t="str">
        <f aca="true">IF(OR($M66="",N($J66)=0,$I66="",TODAY()&lt;=$M66),"",($I66/$J66)^(365/(TODAY()-$M66))-1)</f>
        <v/>
      </c>
      <c r="P66" s="23" t="str">
        <f aca="false">IF($A66="","",$A66&amp;"#"&amp;COUNTIF($A$4:$A66,$A66))</f>
        <v/>
      </c>
    </row>
    <row r="67" customFormat="false" ht="15" hidden="false" customHeight="true" outlineLevel="0" collapsed="false">
      <c r="B67" s="15" t="str">
        <f aca="false">IF($C67="","",IFERROR(INDEX(Stock_Master!$C:$C,MATCH($C67,Stock_Master!$B:$B,0)),""))</f>
        <v/>
      </c>
      <c r="D67" s="28"/>
      <c r="E67" s="28"/>
      <c r="F67" s="28"/>
      <c r="G67" s="28"/>
      <c r="I67" s="13" t="str">
        <f aca="false">IF($D67="","",$D67*$F67)</f>
        <v/>
      </c>
      <c r="J67" s="13" t="str">
        <f aca="false">IF(OR($D67="",$E67=""),"",$D67*$E67)</f>
        <v/>
      </c>
      <c r="K67" s="13" t="str">
        <f aca="false">IF(OR($E67="",$D67=""),"",$I67-$J67)</f>
        <v/>
      </c>
      <c r="L67" s="13" t="str">
        <f aca="false">IF(OR($G67="",$D67=""),"",$D67*($F67-$G67))</f>
        <v/>
      </c>
      <c r="M67" s="29"/>
      <c r="N67" s="19" t="str">
        <f aca="true">IF(OR($M67="",N($J67)=0,$I67="",TODAY()&lt;=$M67),"",($I67/$J67)^(365/(TODAY()-$M67))-1)</f>
        <v/>
      </c>
      <c r="P67" s="23" t="str">
        <f aca="false">IF($A67="","",$A67&amp;"#"&amp;COUNTIF($A$4:$A67,$A67))</f>
        <v/>
      </c>
    </row>
    <row r="68" customFormat="false" ht="15" hidden="false" customHeight="true" outlineLevel="0" collapsed="false">
      <c r="B68" s="15" t="str">
        <f aca="false">IF($C68="","",IFERROR(INDEX(Stock_Master!$C:$C,MATCH($C68,Stock_Master!$B:$B,0)),""))</f>
        <v/>
      </c>
      <c r="D68" s="28"/>
      <c r="E68" s="28"/>
      <c r="F68" s="28"/>
      <c r="G68" s="28"/>
      <c r="I68" s="13" t="str">
        <f aca="false">IF($D68="","",$D68*$F68)</f>
        <v/>
      </c>
      <c r="J68" s="13" t="str">
        <f aca="false">IF(OR($D68="",$E68=""),"",$D68*$E68)</f>
        <v/>
      </c>
      <c r="K68" s="13" t="str">
        <f aca="false">IF(OR($E68="",$D68=""),"",$I68-$J68)</f>
        <v/>
      </c>
      <c r="L68" s="13" t="str">
        <f aca="false">IF(OR($G68="",$D68=""),"",$D68*($F68-$G68))</f>
        <v/>
      </c>
      <c r="M68" s="29"/>
      <c r="N68" s="19" t="str">
        <f aca="true">IF(OR($M68="",N($J68)=0,$I68="",TODAY()&lt;=$M68),"",($I68/$J68)^(365/(TODAY()-$M68))-1)</f>
        <v/>
      </c>
      <c r="P68" s="23" t="str">
        <f aca="false">IF($A68="","",$A68&amp;"#"&amp;COUNTIF($A$4:$A68,$A68))</f>
        <v/>
      </c>
    </row>
    <row r="69" customFormat="false" ht="15" hidden="false" customHeight="true" outlineLevel="0" collapsed="false">
      <c r="B69" s="15" t="str">
        <f aca="false">IF($C69="","",IFERROR(INDEX(Stock_Master!$C:$C,MATCH($C69,Stock_Master!$B:$B,0)),""))</f>
        <v/>
      </c>
      <c r="D69" s="28"/>
      <c r="E69" s="28"/>
      <c r="F69" s="28"/>
      <c r="G69" s="28"/>
      <c r="I69" s="13" t="str">
        <f aca="false">IF($D69="","",$D69*$F69)</f>
        <v/>
      </c>
      <c r="J69" s="13" t="str">
        <f aca="false">IF(OR($D69="",$E69=""),"",$D69*$E69)</f>
        <v/>
      </c>
      <c r="K69" s="13" t="str">
        <f aca="false">IF(OR($E69="",$D69=""),"",$I69-$J69)</f>
        <v/>
      </c>
      <c r="L69" s="13" t="str">
        <f aca="false">IF(OR($G69="",$D69=""),"",$D69*($F69-$G69))</f>
        <v/>
      </c>
      <c r="M69" s="29"/>
      <c r="N69" s="19" t="str">
        <f aca="true">IF(OR($M69="",N($J69)=0,$I69="",TODAY()&lt;=$M69),"",($I69/$J69)^(365/(TODAY()-$M69))-1)</f>
        <v/>
      </c>
      <c r="P69" s="23" t="str">
        <f aca="false">IF($A69="","",$A69&amp;"#"&amp;COUNTIF($A$4:$A69,$A69))</f>
        <v/>
      </c>
    </row>
    <row r="70" customFormat="false" ht="15" hidden="false" customHeight="true" outlineLevel="0" collapsed="false">
      <c r="B70" s="15" t="str">
        <f aca="false">IF($C70="","",IFERROR(INDEX(Stock_Master!$C:$C,MATCH($C70,Stock_Master!$B:$B,0)),""))</f>
        <v/>
      </c>
      <c r="D70" s="28"/>
      <c r="E70" s="28"/>
      <c r="F70" s="28"/>
      <c r="G70" s="28"/>
      <c r="I70" s="13" t="str">
        <f aca="false">IF($D70="","",$D70*$F70)</f>
        <v/>
      </c>
      <c r="J70" s="13" t="str">
        <f aca="false">IF(OR($D70="",$E70=""),"",$D70*$E70)</f>
        <v/>
      </c>
      <c r="K70" s="13" t="str">
        <f aca="false">IF(OR($E70="",$D70=""),"",$I70-$J70)</f>
        <v/>
      </c>
      <c r="L70" s="13" t="str">
        <f aca="false">IF(OR($G70="",$D70=""),"",$D70*($F70-$G70))</f>
        <v/>
      </c>
      <c r="M70" s="29"/>
      <c r="N70" s="19" t="str">
        <f aca="true">IF(OR($M70="",N($J70)=0,$I70="",TODAY()&lt;=$M70),"",($I70/$J70)^(365/(TODAY()-$M70))-1)</f>
        <v/>
      </c>
      <c r="P70" s="23" t="str">
        <f aca="false">IF($A70="","",$A70&amp;"#"&amp;COUNTIF($A$4:$A70,$A70))</f>
        <v/>
      </c>
    </row>
    <row r="71" customFormat="false" ht="15" hidden="false" customHeight="true" outlineLevel="0" collapsed="false">
      <c r="B71" s="15" t="str">
        <f aca="false">IF($C71="","",IFERROR(INDEX(Stock_Master!$C:$C,MATCH($C71,Stock_Master!$B:$B,0)),""))</f>
        <v/>
      </c>
      <c r="D71" s="28"/>
      <c r="E71" s="28"/>
      <c r="F71" s="28"/>
      <c r="G71" s="28"/>
      <c r="I71" s="13" t="str">
        <f aca="false">IF($D71="","",$D71*$F71)</f>
        <v/>
      </c>
      <c r="J71" s="13" t="str">
        <f aca="false">IF(OR($D71="",$E71=""),"",$D71*$E71)</f>
        <v/>
      </c>
      <c r="K71" s="13" t="str">
        <f aca="false">IF(OR($E71="",$D71=""),"",$I71-$J71)</f>
        <v/>
      </c>
      <c r="L71" s="13" t="str">
        <f aca="false">IF(OR($G71="",$D71=""),"",$D71*($F71-$G71))</f>
        <v/>
      </c>
      <c r="M71" s="29"/>
      <c r="N71" s="19" t="str">
        <f aca="true">IF(OR($M71="",N($J71)=0,$I71="",TODAY()&lt;=$M71),"",($I71/$J71)^(365/(TODAY()-$M71))-1)</f>
        <v/>
      </c>
      <c r="P71" s="23" t="str">
        <f aca="false">IF($A71="","",$A71&amp;"#"&amp;COUNTIF($A$4:$A71,$A71))</f>
        <v/>
      </c>
    </row>
    <row r="72" customFormat="false" ht="15" hidden="false" customHeight="true" outlineLevel="0" collapsed="false">
      <c r="B72" s="15" t="str">
        <f aca="false">IF($C72="","",IFERROR(INDEX(Stock_Master!$C:$C,MATCH($C72,Stock_Master!$B:$B,0)),""))</f>
        <v/>
      </c>
      <c r="D72" s="28"/>
      <c r="E72" s="28"/>
      <c r="F72" s="28"/>
      <c r="G72" s="28"/>
      <c r="I72" s="13" t="str">
        <f aca="false">IF($D72="","",$D72*$F72)</f>
        <v/>
      </c>
      <c r="J72" s="13" t="str">
        <f aca="false">IF(OR($D72="",$E72=""),"",$D72*$E72)</f>
        <v/>
      </c>
      <c r="K72" s="13" t="str">
        <f aca="false">IF(OR($E72="",$D72=""),"",$I72-$J72)</f>
        <v/>
      </c>
      <c r="L72" s="13" t="str">
        <f aca="false">IF(OR($G72="",$D72=""),"",$D72*($F72-$G72))</f>
        <v/>
      </c>
      <c r="M72" s="29"/>
      <c r="N72" s="19" t="str">
        <f aca="true">IF(OR($M72="",N($J72)=0,$I72="",TODAY()&lt;=$M72),"",($I72/$J72)^(365/(TODAY()-$M72))-1)</f>
        <v/>
      </c>
      <c r="P72" s="23" t="str">
        <f aca="false">IF($A72="","",$A72&amp;"#"&amp;COUNTIF($A$4:$A72,$A72))</f>
        <v/>
      </c>
    </row>
    <row r="73" customFormat="false" ht="15" hidden="false" customHeight="true" outlineLevel="0" collapsed="false">
      <c r="B73" s="15" t="str">
        <f aca="false">IF($C73="","",IFERROR(INDEX(Stock_Master!$C:$C,MATCH($C73,Stock_Master!$B:$B,0)),""))</f>
        <v/>
      </c>
      <c r="D73" s="28"/>
      <c r="E73" s="28"/>
      <c r="F73" s="28"/>
      <c r="G73" s="28"/>
      <c r="I73" s="13" t="str">
        <f aca="false">IF($D73="","",$D73*$F73)</f>
        <v/>
      </c>
      <c r="J73" s="13" t="str">
        <f aca="false">IF(OR($D73="",$E73=""),"",$D73*$E73)</f>
        <v/>
      </c>
      <c r="K73" s="13" t="str">
        <f aca="false">IF(OR($E73="",$D73=""),"",$I73-$J73)</f>
        <v/>
      </c>
      <c r="L73" s="13" t="str">
        <f aca="false">IF(OR($G73="",$D73=""),"",$D73*($F73-$G73))</f>
        <v/>
      </c>
      <c r="M73" s="29"/>
      <c r="N73" s="19" t="str">
        <f aca="true">IF(OR($M73="",N($J73)=0,$I73="",TODAY()&lt;=$M73),"",($I73/$J73)^(365/(TODAY()-$M73))-1)</f>
        <v/>
      </c>
      <c r="P73" s="23" t="str">
        <f aca="false">IF($A73="","",$A73&amp;"#"&amp;COUNTIF($A$4:$A73,$A73))</f>
        <v/>
      </c>
    </row>
    <row r="74" customFormat="false" ht="15" hidden="false" customHeight="true" outlineLevel="0" collapsed="false">
      <c r="B74" s="15" t="str">
        <f aca="false">IF($C74="","",IFERROR(INDEX(Stock_Master!$C:$C,MATCH($C74,Stock_Master!$B:$B,0)),""))</f>
        <v/>
      </c>
      <c r="D74" s="28"/>
      <c r="E74" s="28"/>
      <c r="F74" s="28"/>
      <c r="G74" s="28"/>
      <c r="I74" s="13" t="str">
        <f aca="false">IF($D74="","",$D74*$F74)</f>
        <v/>
      </c>
      <c r="J74" s="13" t="str">
        <f aca="false">IF(OR($D74="",$E74=""),"",$D74*$E74)</f>
        <v/>
      </c>
      <c r="K74" s="13" t="str">
        <f aca="false">IF(OR($E74="",$D74=""),"",$I74-$J74)</f>
        <v/>
      </c>
      <c r="L74" s="13" t="str">
        <f aca="false">IF(OR($G74="",$D74=""),"",$D74*($F74-$G74))</f>
        <v/>
      </c>
      <c r="M74" s="29"/>
      <c r="N74" s="19" t="str">
        <f aca="true">IF(OR($M74="",N($J74)=0,$I74="",TODAY()&lt;=$M74),"",($I74/$J74)^(365/(TODAY()-$M74))-1)</f>
        <v/>
      </c>
      <c r="P74" s="23" t="str">
        <f aca="false">IF($A74="","",$A74&amp;"#"&amp;COUNTIF($A$4:$A74,$A74))</f>
        <v/>
      </c>
    </row>
    <row r="75" customFormat="false" ht="15" hidden="false" customHeight="true" outlineLevel="0" collapsed="false">
      <c r="B75" s="15" t="str">
        <f aca="false">IF($C75="","",IFERROR(INDEX(Stock_Master!$C:$C,MATCH($C75,Stock_Master!$B:$B,0)),""))</f>
        <v/>
      </c>
      <c r="D75" s="28"/>
      <c r="E75" s="28"/>
      <c r="F75" s="28"/>
      <c r="G75" s="28"/>
      <c r="I75" s="13" t="str">
        <f aca="false">IF($D75="","",$D75*$F75)</f>
        <v/>
      </c>
      <c r="J75" s="13" t="str">
        <f aca="false">IF(OR($D75="",$E75=""),"",$D75*$E75)</f>
        <v/>
      </c>
      <c r="K75" s="13" t="str">
        <f aca="false">IF(OR($E75="",$D75=""),"",$I75-$J75)</f>
        <v/>
      </c>
      <c r="L75" s="13" t="str">
        <f aca="false">IF(OR($G75="",$D75=""),"",$D75*($F75-$G75))</f>
        <v/>
      </c>
      <c r="M75" s="29"/>
      <c r="N75" s="19" t="str">
        <f aca="true">IF(OR($M75="",N($J75)=0,$I75="",TODAY()&lt;=$M75),"",($I75/$J75)^(365/(TODAY()-$M75))-1)</f>
        <v/>
      </c>
      <c r="P75" s="23" t="str">
        <f aca="false">IF($A75="","",$A75&amp;"#"&amp;COUNTIF($A$4:$A75,$A75))</f>
        <v/>
      </c>
    </row>
    <row r="76" customFormat="false" ht="15" hidden="false" customHeight="true" outlineLevel="0" collapsed="false">
      <c r="B76" s="15" t="str">
        <f aca="false">IF($C76="","",IFERROR(INDEX(Stock_Master!$C:$C,MATCH($C76,Stock_Master!$B:$B,0)),""))</f>
        <v/>
      </c>
      <c r="D76" s="28"/>
      <c r="E76" s="28"/>
      <c r="F76" s="28"/>
      <c r="G76" s="28"/>
      <c r="I76" s="13" t="str">
        <f aca="false">IF($D76="","",$D76*$F76)</f>
        <v/>
      </c>
      <c r="J76" s="13" t="str">
        <f aca="false">IF(OR($D76="",$E76=""),"",$D76*$E76)</f>
        <v/>
      </c>
      <c r="K76" s="13" t="str">
        <f aca="false">IF(OR($E76="",$D76=""),"",$I76-$J76)</f>
        <v/>
      </c>
      <c r="L76" s="13" t="str">
        <f aca="false">IF(OR($G76="",$D76=""),"",$D76*($F76-$G76))</f>
        <v/>
      </c>
      <c r="M76" s="29"/>
      <c r="N76" s="19" t="str">
        <f aca="true">IF(OR($M76="",N($J76)=0,$I76="",TODAY()&lt;=$M76),"",($I76/$J76)^(365/(TODAY()-$M76))-1)</f>
        <v/>
      </c>
      <c r="P76" s="23" t="str">
        <f aca="false">IF($A76="","",$A76&amp;"#"&amp;COUNTIF($A$4:$A76,$A76))</f>
        <v/>
      </c>
    </row>
    <row r="77" customFormat="false" ht="15" hidden="false" customHeight="true" outlineLevel="0" collapsed="false">
      <c r="B77" s="15" t="str">
        <f aca="false">IF($C77="","",IFERROR(INDEX(Stock_Master!$C:$C,MATCH($C77,Stock_Master!$B:$B,0)),""))</f>
        <v/>
      </c>
      <c r="D77" s="28"/>
      <c r="E77" s="28"/>
      <c r="F77" s="28"/>
      <c r="G77" s="28"/>
      <c r="I77" s="13" t="str">
        <f aca="false">IF($D77="","",$D77*$F77)</f>
        <v/>
      </c>
      <c r="J77" s="13" t="str">
        <f aca="false">IF(OR($D77="",$E77=""),"",$D77*$E77)</f>
        <v/>
      </c>
      <c r="K77" s="13" t="str">
        <f aca="false">IF(OR($E77="",$D77=""),"",$I77-$J77)</f>
        <v/>
      </c>
      <c r="L77" s="13" t="str">
        <f aca="false">IF(OR($G77="",$D77=""),"",$D77*($F77-$G77))</f>
        <v/>
      </c>
      <c r="M77" s="29"/>
      <c r="N77" s="19" t="str">
        <f aca="true">IF(OR($M77="",N($J77)=0,$I77="",TODAY()&lt;=$M77),"",($I77/$J77)^(365/(TODAY()-$M77))-1)</f>
        <v/>
      </c>
      <c r="P77" s="23" t="str">
        <f aca="false">IF($A77="","",$A77&amp;"#"&amp;COUNTIF($A$4:$A77,$A77))</f>
        <v/>
      </c>
    </row>
    <row r="78" customFormat="false" ht="15" hidden="false" customHeight="true" outlineLevel="0" collapsed="false">
      <c r="B78" s="15" t="str">
        <f aca="false">IF($C78="","",IFERROR(INDEX(Stock_Master!$C:$C,MATCH($C78,Stock_Master!$B:$B,0)),""))</f>
        <v/>
      </c>
      <c r="D78" s="28"/>
      <c r="E78" s="28"/>
      <c r="F78" s="28"/>
      <c r="G78" s="28"/>
      <c r="I78" s="13" t="str">
        <f aca="false">IF($D78="","",$D78*$F78)</f>
        <v/>
      </c>
      <c r="J78" s="13" t="str">
        <f aca="false">IF(OR($D78="",$E78=""),"",$D78*$E78)</f>
        <v/>
      </c>
      <c r="K78" s="13" t="str">
        <f aca="false">IF(OR($E78="",$D78=""),"",$I78-$J78)</f>
        <v/>
      </c>
      <c r="L78" s="13" t="str">
        <f aca="false">IF(OR($G78="",$D78=""),"",$D78*($F78-$G78))</f>
        <v/>
      </c>
      <c r="M78" s="29"/>
      <c r="N78" s="19" t="str">
        <f aca="true">IF(OR($M78="",N($J78)=0,$I78="",TODAY()&lt;=$M78),"",($I78/$J78)^(365/(TODAY()-$M78))-1)</f>
        <v/>
      </c>
      <c r="P78" s="23" t="str">
        <f aca="false">IF($A78="","",$A78&amp;"#"&amp;COUNTIF($A$4:$A78,$A78))</f>
        <v/>
      </c>
    </row>
    <row r="79" customFormat="false" ht="15" hidden="false" customHeight="true" outlineLevel="0" collapsed="false">
      <c r="B79" s="15" t="str">
        <f aca="false">IF($C79="","",IFERROR(INDEX(Stock_Master!$C:$C,MATCH($C79,Stock_Master!$B:$B,0)),""))</f>
        <v/>
      </c>
      <c r="D79" s="28"/>
      <c r="E79" s="28"/>
      <c r="F79" s="28"/>
      <c r="G79" s="28"/>
      <c r="I79" s="13" t="str">
        <f aca="false">IF($D79="","",$D79*$F79)</f>
        <v/>
      </c>
      <c r="J79" s="13" t="str">
        <f aca="false">IF(OR($D79="",$E79=""),"",$D79*$E79)</f>
        <v/>
      </c>
      <c r="K79" s="13" t="str">
        <f aca="false">IF(OR($E79="",$D79=""),"",$I79-$J79)</f>
        <v/>
      </c>
      <c r="L79" s="13" t="str">
        <f aca="false">IF(OR($G79="",$D79=""),"",$D79*($F79-$G79))</f>
        <v/>
      </c>
      <c r="M79" s="29"/>
      <c r="N79" s="19" t="str">
        <f aca="true">IF(OR($M79="",N($J79)=0,$I79="",TODAY()&lt;=$M79),"",($I79/$J79)^(365/(TODAY()-$M79))-1)</f>
        <v/>
      </c>
      <c r="P79" s="23" t="str">
        <f aca="false">IF($A79="","",$A79&amp;"#"&amp;COUNTIF($A$4:$A79,$A79))</f>
        <v/>
      </c>
    </row>
    <row r="80" customFormat="false" ht="15" hidden="false" customHeight="true" outlineLevel="0" collapsed="false">
      <c r="B80" s="15" t="str">
        <f aca="false">IF($C80="","",IFERROR(INDEX(Stock_Master!$C:$C,MATCH($C80,Stock_Master!$B:$B,0)),""))</f>
        <v/>
      </c>
      <c r="D80" s="28"/>
      <c r="E80" s="28"/>
      <c r="F80" s="28"/>
      <c r="G80" s="28"/>
      <c r="I80" s="13" t="str">
        <f aca="false">IF($D80="","",$D80*$F80)</f>
        <v/>
      </c>
      <c r="J80" s="13" t="str">
        <f aca="false">IF(OR($D80="",$E80=""),"",$D80*$E80)</f>
        <v/>
      </c>
      <c r="K80" s="13" t="str">
        <f aca="false">IF(OR($E80="",$D80=""),"",$I80-$J80)</f>
        <v/>
      </c>
      <c r="L80" s="13" t="str">
        <f aca="false">IF(OR($G80="",$D80=""),"",$D80*($F80-$G80))</f>
        <v/>
      </c>
      <c r="M80" s="29"/>
      <c r="N80" s="19" t="str">
        <f aca="true">IF(OR($M80="",N($J80)=0,$I80="",TODAY()&lt;=$M80),"",($I80/$J80)^(365/(TODAY()-$M80))-1)</f>
        <v/>
      </c>
      <c r="P80" s="23" t="str">
        <f aca="false">IF($A80="","",$A80&amp;"#"&amp;COUNTIF($A$4:$A80,$A80))</f>
        <v/>
      </c>
    </row>
    <row r="81" customFormat="false" ht="15" hidden="false" customHeight="true" outlineLevel="0" collapsed="false">
      <c r="B81" s="15" t="str">
        <f aca="false">IF($C81="","",IFERROR(INDEX(Stock_Master!$C:$C,MATCH($C81,Stock_Master!$B:$B,0)),""))</f>
        <v/>
      </c>
      <c r="D81" s="28"/>
      <c r="E81" s="28"/>
      <c r="F81" s="28"/>
      <c r="G81" s="28"/>
      <c r="I81" s="13" t="str">
        <f aca="false">IF($D81="","",$D81*$F81)</f>
        <v/>
      </c>
      <c r="J81" s="13" t="str">
        <f aca="false">IF(OR($D81="",$E81=""),"",$D81*$E81)</f>
        <v/>
      </c>
      <c r="K81" s="13" t="str">
        <f aca="false">IF(OR($E81="",$D81=""),"",$I81-$J81)</f>
        <v/>
      </c>
      <c r="L81" s="13" t="str">
        <f aca="false">IF(OR($G81="",$D81=""),"",$D81*($F81-$G81))</f>
        <v/>
      </c>
      <c r="M81" s="29"/>
      <c r="N81" s="19" t="str">
        <f aca="true">IF(OR($M81="",N($J81)=0,$I81="",TODAY()&lt;=$M81),"",($I81/$J81)^(365/(TODAY()-$M81))-1)</f>
        <v/>
      </c>
      <c r="P81" s="23" t="str">
        <f aca="false">IF($A81="","",$A81&amp;"#"&amp;COUNTIF($A$4:$A81,$A81))</f>
        <v/>
      </c>
    </row>
    <row r="82" customFormat="false" ht="15" hidden="false" customHeight="true" outlineLevel="0" collapsed="false">
      <c r="B82" s="15" t="str">
        <f aca="false">IF($C82="","",IFERROR(INDEX(Stock_Master!$C:$C,MATCH($C82,Stock_Master!$B:$B,0)),""))</f>
        <v/>
      </c>
      <c r="D82" s="28"/>
      <c r="E82" s="28"/>
      <c r="F82" s="28"/>
      <c r="G82" s="28"/>
      <c r="I82" s="13" t="str">
        <f aca="false">IF($D82="","",$D82*$F82)</f>
        <v/>
      </c>
      <c r="J82" s="13" t="str">
        <f aca="false">IF(OR($D82="",$E82=""),"",$D82*$E82)</f>
        <v/>
      </c>
      <c r="K82" s="13" t="str">
        <f aca="false">IF(OR($E82="",$D82=""),"",$I82-$J82)</f>
        <v/>
      </c>
      <c r="L82" s="13" t="str">
        <f aca="false">IF(OR($G82="",$D82=""),"",$D82*($F82-$G82))</f>
        <v/>
      </c>
      <c r="M82" s="29"/>
      <c r="N82" s="19" t="str">
        <f aca="true">IF(OR($M82="",N($J82)=0,$I82="",TODAY()&lt;=$M82),"",($I82/$J82)^(365/(TODAY()-$M82))-1)</f>
        <v/>
      </c>
      <c r="P82" s="23" t="str">
        <f aca="false">IF($A82="","",$A82&amp;"#"&amp;COUNTIF($A$4:$A82,$A82))</f>
        <v/>
      </c>
    </row>
    <row r="83" customFormat="false" ht="15" hidden="false" customHeight="true" outlineLevel="0" collapsed="false">
      <c r="B83" s="15" t="str">
        <f aca="false">IF($C83="","",IFERROR(INDEX(Stock_Master!$C:$C,MATCH($C83,Stock_Master!$B:$B,0)),""))</f>
        <v/>
      </c>
      <c r="D83" s="28"/>
      <c r="E83" s="28"/>
      <c r="F83" s="28"/>
      <c r="G83" s="28"/>
      <c r="I83" s="13" t="str">
        <f aca="false">IF($D83="","",$D83*$F83)</f>
        <v/>
      </c>
      <c r="J83" s="13" t="str">
        <f aca="false">IF(OR($D83="",$E83=""),"",$D83*$E83)</f>
        <v/>
      </c>
      <c r="K83" s="13" t="str">
        <f aca="false">IF(OR($E83="",$D83=""),"",$I83-$J83)</f>
        <v/>
      </c>
      <c r="L83" s="13" t="str">
        <f aca="false">IF(OR($G83="",$D83=""),"",$D83*($F83-$G83))</f>
        <v/>
      </c>
      <c r="M83" s="29"/>
      <c r="N83" s="19" t="str">
        <f aca="true">IF(OR($M83="",N($J83)=0,$I83="",TODAY()&lt;=$M83),"",($I83/$J83)^(365/(TODAY()-$M83))-1)</f>
        <v/>
      </c>
      <c r="P83" s="23" t="str">
        <f aca="false">IF($A83="","",$A83&amp;"#"&amp;COUNTIF($A$4:$A83,$A83))</f>
        <v/>
      </c>
    </row>
    <row r="84" customFormat="false" ht="15" hidden="false" customHeight="true" outlineLevel="0" collapsed="false">
      <c r="B84" s="15" t="str">
        <f aca="false">IF($C84="","",IFERROR(INDEX(Stock_Master!$C:$C,MATCH($C84,Stock_Master!$B:$B,0)),""))</f>
        <v/>
      </c>
      <c r="D84" s="28"/>
      <c r="E84" s="28"/>
      <c r="F84" s="28"/>
      <c r="G84" s="28"/>
      <c r="I84" s="13" t="str">
        <f aca="false">IF($D84="","",$D84*$F84)</f>
        <v/>
      </c>
      <c r="J84" s="13" t="str">
        <f aca="false">IF(OR($D84="",$E84=""),"",$D84*$E84)</f>
        <v/>
      </c>
      <c r="K84" s="13" t="str">
        <f aca="false">IF(OR($E84="",$D84=""),"",$I84-$J84)</f>
        <v/>
      </c>
      <c r="L84" s="13" t="str">
        <f aca="false">IF(OR($G84="",$D84=""),"",$D84*($F84-$G84))</f>
        <v/>
      </c>
      <c r="M84" s="29"/>
      <c r="N84" s="19" t="str">
        <f aca="true">IF(OR($M84="",N($J84)=0,$I84="",TODAY()&lt;=$M84),"",($I84/$J84)^(365/(TODAY()-$M84))-1)</f>
        <v/>
      </c>
      <c r="P84" s="23" t="str">
        <f aca="false">IF($A84="","",$A84&amp;"#"&amp;COUNTIF($A$4:$A84,$A84))</f>
        <v/>
      </c>
    </row>
    <row r="85" customFormat="false" ht="15" hidden="false" customHeight="true" outlineLevel="0" collapsed="false">
      <c r="B85" s="15" t="str">
        <f aca="false">IF($C85="","",IFERROR(INDEX(Stock_Master!$C:$C,MATCH($C85,Stock_Master!$B:$B,0)),""))</f>
        <v/>
      </c>
      <c r="D85" s="28"/>
      <c r="E85" s="28"/>
      <c r="F85" s="28"/>
      <c r="G85" s="28"/>
      <c r="I85" s="13" t="str">
        <f aca="false">IF($D85="","",$D85*$F85)</f>
        <v/>
      </c>
      <c r="J85" s="13" t="str">
        <f aca="false">IF(OR($D85="",$E85=""),"",$D85*$E85)</f>
        <v/>
      </c>
      <c r="K85" s="13" t="str">
        <f aca="false">IF(OR($E85="",$D85=""),"",$I85-$J85)</f>
        <v/>
      </c>
      <c r="L85" s="13" t="str">
        <f aca="false">IF(OR($G85="",$D85=""),"",$D85*($F85-$G85))</f>
        <v/>
      </c>
      <c r="M85" s="29"/>
      <c r="N85" s="19" t="str">
        <f aca="true">IF(OR($M85="",N($J85)=0,$I85="",TODAY()&lt;=$M85),"",($I85/$J85)^(365/(TODAY()-$M85))-1)</f>
        <v/>
      </c>
      <c r="P85" s="23" t="str">
        <f aca="false">IF($A85="","",$A85&amp;"#"&amp;COUNTIF($A$4:$A85,$A85))</f>
        <v/>
      </c>
    </row>
    <row r="86" customFormat="false" ht="15" hidden="false" customHeight="true" outlineLevel="0" collapsed="false">
      <c r="B86" s="15" t="str">
        <f aca="false">IF($C86="","",IFERROR(INDEX(Stock_Master!$C:$C,MATCH($C86,Stock_Master!$B:$B,0)),""))</f>
        <v/>
      </c>
      <c r="D86" s="28"/>
      <c r="E86" s="28"/>
      <c r="F86" s="28"/>
      <c r="G86" s="28"/>
      <c r="I86" s="13" t="str">
        <f aca="false">IF($D86="","",$D86*$F86)</f>
        <v/>
      </c>
      <c r="J86" s="13" t="str">
        <f aca="false">IF(OR($D86="",$E86=""),"",$D86*$E86)</f>
        <v/>
      </c>
      <c r="K86" s="13" t="str">
        <f aca="false">IF(OR($E86="",$D86=""),"",$I86-$J86)</f>
        <v/>
      </c>
      <c r="L86" s="13" t="str">
        <f aca="false">IF(OR($G86="",$D86=""),"",$D86*($F86-$G86))</f>
        <v/>
      </c>
      <c r="M86" s="29"/>
      <c r="N86" s="19" t="str">
        <f aca="true">IF(OR($M86="",N($J86)=0,$I86="",TODAY()&lt;=$M86),"",($I86/$J86)^(365/(TODAY()-$M86))-1)</f>
        <v/>
      </c>
      <c r="P86" s="23" t="str">
        <f aca="false">IF($A86="","",$A86&amp;"#"&amp;COUNTIF($A$4:$A86,$A86))</f>
        <v/>
      </c>
    </row>
    <row r="87" customFormat="false" ht="15" hidden="false" customHeight="true" outlineLevel="0" collapsed="false">
      <c r="B87" s="15" t="str">
        <f aca="false">IF($C87="","",IFERROR(INDEX(Stock_Master!$C:$C,MATCH($C87,Stock_Master!$B:$B,0)),""))</f>
        <v/>
      </c>
      <c r="D87" s="28"/>
      <c r="E87" s="28"/>
      <c r="F87" s="28"/>
      <c r="G87" s="28"/>
      <c r="I87" s="13" t="str">
        <f aca="false">IF($D87="","",$D87*$F87)</f>
        <v/>
      </c>
      <c r="J87" s="13" t="str">
        <f aca="false">IF(OR($D87="",$E87=""),"",$D87*$E87)</f>
        <v/>
      </c>
      <c r="K87" s="13" t="str">
        <f aca="false">IF(OR($E87="",$D87=""),"",$I87-$J87)</f>
        <v/>
      </c>
      <c r="L87" s="13" t="str">
        <f aca="false">IF(OR($G87="",$D87=""),"",$D87*($F87-$G87))</f>
        <v/>
      </c>
      <c r="M87" s="29"/>
      <c r="N87" s="19" t="str">
        <f aca="true">IF(OR($M87="",N($J87)=0,$I87="",TODAY()&lt;=$M87),"",($I87/$J87)^(365/(TODAY()-$M87))-1)</f>
        <v/>
      </c>
      <c r="P87" s="23" t="str">
        <f aca="false">IF($A87="","",$A87&amp;"#"&amp;COUNTIF($A$4:$A87,$A87))</f>
        <v/>
      </c>
    </row>
    <row r="88" customFormat="false" ht="15" hidden="false" customHeight="true" outlineLevel="0" collapsed="false">
      <c r="B88" s="15" t="str">
        <f aca="false">IF($C88="","",IFERROR(INDEX(Stock_Master!$C:$C,MATCH($C88,Stock_Master!$B:$B,0)),""))</f>
        <v/>
      </c>
      <c r="D88" s="28"/>
      <c r="E88" s="28"/>
      <c r="F88" s="28"/>
      <c r="G88" s="28"/>
      <c r="I88" s="13" t="str">
        <f aca="false">IF($D88="","",$D88*$F88)</f>
        <v/>
      </c>
      <c r="J88" s="13" t="str">
        <f aca="false">IF(OR($D88="",$E88=""),"",$D88*$E88)</f>
        <v/>
      </c>
      <c r="K88" s="13" t="str">
        <f aca="false">IF(OR($E88="",$D88=""),"",$I88-$J88)</f>
        <v/>
      </c>
      <c r="L88" s="13" t="str">
        <f aca="false">IF(OR($G88="",$D88=""),"",$D88*($F88-$G88))</f>
        <v/>
      </c>
      <c r="M88" s="29"/>
      <c r="N88" s="19" t="str">
        <f aca="true">IF(OR($M88="",N($J88)=0,$I88="",TODAY()&lt;=$M88),"",($I88/$J88)^(365/(TODAY()-$M88))-1)</f>
        <v/>
      </c>
      <c r="P88" s="23" t="str">
        <f aca="false">IF($A88="","",$A88&amp;"#"&amp;COUNTIF($A$4:$A88,$A88))</f>
        <v/>
      </c>
    </row>
    <row r="89" customFormat="false" ht="15" hidden="false" customHeight="true" outlineLevel="0" collapsed="false">
      <c r="B89" s="15" t="str">
        <f aca="false">IF($C89="","",IFERROR(INDEX(Stock_Master!$C:$C,MATCH($C89,Stock_Master!$B:$B,0)),""))</f>
        <v/>
      </c>
      <c r="D89" s="28"/>
      <c r="E89" s="28"/>
      <c r="F89" s="28"/>
      <c r="G89" s="28"/>
      <c r="I89" s="13" t="str">
        <f aca="false">IF($D89="","",$D89*$F89)</f>
        <v/>
      </c>
      <c r="J89" s="13" t="str">
        <f aca="false">IF(OR($D89="",$E89=""),"",$D89*$E89)</f>
        <v/>
      </c>
      <c r="K89" s="13" t="str">
        <f aca="false">IF(OR($E89="",$D89=""),"",$I89-$J89)</f>
        <v/>
      </c>
      <c r="L89" s="13" t="str">
        <f aca="false">IF(OR($G89="",$D89=""),"",$D89*($F89-$G89))</f>
        <v/>
      </c>
      <c r="M89" s="29"/>
      <c r="N89" s="19" t="str">
        <f aca="true">IF(OR($M89="",N($J89)=0,$I89="",TODAY()&lt;=$M89),"",($I89/$J89)^(365/(TODAY()-$M89))-1)</f>
        <v/>
      </c>
      <c r="P89" s="23" t="str">
        <f aca="false">IF($A89="","",$A89&amp;"#"&amp;COUNTIF($A$4:$A89,$A89))</f>
        <v/>
      </c>
    </row>
    <row r="90" customFormat="false" ht="15" hidden="false" customHeight="true" outlineLevel="0" collapsed="false">
      <c r="B90" s="15" t="str">
        <f aca="false">IF($C90="","",IFERROR(INDEX(Stock_Master!$C:$C,MATCH($C90,Stock_Master!$B:$B,0)),""))</f>
        <v/>
      </c>
      <c r="D90" s="28"/>
      <c r="E90" s="28"/>
      <c r="F90" s="28"/>
      <c r="G90" s="28"/>
      <c r="I90" s="13" t="str">
        <f aca="false">IF($D90="","",$D90*$F90)</f>
        <v/>
      </c>
      <c r="J90" s="13" t="str">
        <f aca="false">IF(OR($D90="",$E90=""),"",$D90*$E90)</f>
        <v/>
      </c>
      <c r="K90" s="13" t="str">
        <f aca="false">IF(OR($E90="",$D90=""),"",$I90-$J90)</f>
        <v/>
      </c>
      <c r="L90" s="13" t="str">
        <f aca="false">IF(OR($G90="",$D90=""),"",$D90*($F90-$G90))</f>
        <v/>
      </c>
      <c r="M90" s="29"/>
      <c r="N90" s="19" t="str">
        <f aca="true">IF(OR($M90="",N($J90)=0,$I90="",TODAY()&lt;=$M90),"",($I90/$J90)^(365/(TODAY()-$M90))-1)</f>
        <v/>
      </c>
      <c r="P90" s="23" t="str">
        <f aca="false">IF($A90="","",$A90&amp;"#"&amp;COUNTIF($A$4:$A90,$A90))</f>
        <v/>
      </c>
    </row>
    <row r="91" customFormat="false" ht="15" hidden="false" customHeight="true" outlineLevel="0" collapsed="false">
      <c r="B91" s="15" t="str">
        <f aca="false">IF($C91="","",IFERROR(INDEX(Stock_Master!$C:$C,MATCH($C91,Stock_Master!$B:$B,0)),""))</f>
        <v/>
      </c>
      <c r="D91" s="28"/>
      <c r="E91" s="28"/>
      <c r="F91" s="28"/>
      <c r="G91" s="28"/>
      <c r="I91" s="13" t="str">
        <f aca="false">IF($D91="","",$D91*$F91)</f>
        <v/>
      </c>
      <c r="J91" s="13" t="str">
        <f aca="false">IF(OR($D91="",$E91=""),"",$D91*$E91)</f>
        <v/>
      </c>
      <c r="K91" s="13" t="str">
        <f aca="false">IF(OR($E91="",$D91=""),"",$I91-$J91)</f>
        <v/>
      </c>
      <c r="L91" s="13" t="str">
        <f aca="false">IF(OR($G91="",$D91=""),"",$D91*($F91-$G91))</f>
        <v/>
      </c>
      <c r="M91" s="29"/>
      <c r="N91" s="19" t="str">
        <f aca="true">IF(OR($M91="",N($J91)=0,$I91="",TODAY()&lt;=$M91),"",($I91/$J91)^(365/(TODAY()-$M91))-1)</f>
        <v/>
      </c>
      <c r="P91" s="23" t="str">
        <f aca="false">IF($A91="","",$A91&amp;"#"&amp;COUNTIF($A$4:$A91,$A91))</f>
        <v/>
      </c>
    </row>
    <row r="92" customFormat="false" ht="15" hidden="false" customHeight="true" outlineLevel="0" collapsed="false">
      <c r="B92" s="15" t="str">
        <f aca="false">IF($C92="","",IFERROR(INDEX(Stock_Master!$C:$C,MATCH($C92,Stock_Master!$B:$B,0)),""))</f>
        <v/>
      </c>
      <c r="D92" s="28"/>
      <c r="E92" s="28"/>
      <c r="F92" s="28"/>
      <c r="G92" s="28"/>
      <c r="I92" s="13" t="str">
        <f aca="false">IF($D92="","",$D92*$F92)</f>
        <v/>
      </c>
      <c r="J92" s="13" t="str">
        <f aca="false">IF(OR($D92="",$E92=""),"",$D92*$E92)</f>
        <v/>
      </c>
      <c r="K92" s="13" t="str">
        <f aca="false">IF(OR($E92="",$D92=""),"",$I92-$J92)</f>
        <v/>
      </c>
      <c r="L92" s="13" t="str">
        <f aca="false">IF(OR($G92="",$D92=""),"",$D92*($F92-$G92))</f>
        <v/>
      </c>
      <c r="M92" s="29"/>
      <c r="N92" s="19" t="str">
        <f aca="true">IF(OR($M92="",N($J92)=0,$I92="",TODAY()&lt;=$M92),"",($I92/$J92)^(365/(TODAY()-$M92))-1)</f>
        <v/>
      </c>
      <c r="P92" s="23" t="str">
        <f aca="false">IF($A92="","",$A92&amp;"#"&amp;COUNTIF($A$4:$A92,$A92))</f>
        <v/>
      </c>
    </row>
    <row r="93" customFormat="false" ht="15" hidden="false" customHeight="true" outlineLevel="0" collapsed="false">
      <c r="B93" s="15" t="str">
        <f aca="false">IF($C93="","",IFERROR(INDEX(Stock_Master!$C:$C,MATCH($C93,Stock_Master!$B:$B,0)),""))</f>
        <v/>
      </c>
      <c r="D93" s="28"/>
      <c r="E93" s="28"/>
      <c r="F93" s="28"/>
      <c r="G93" s="28"/>
      <c r="I93" s="13" t="str">
        <f aca="false">IF($D93="","",$D93*$F93)</f>
        <v/>
      </c>
      <c r="J93" s="13" t="str">
        <f aca="false">IF(OR($D93="",$E93=""),"",$D93*$E93)</f>
        <v/>
      </c>
      <c r="K93" s="13" t="str">
        <f aca="false">IF(OR($E93="",$D93=""),"",$I93-$J93)</f>
        <v/>
      </c>
      <c r="L93" s="13" t="str">
        <f aca="false">IF(OR($G93="",$D93=""),"",$D93*($F93-$G93))</f>
        <v/>
      </c>
      <c r="M93" s="29"/>
      <c r="N93" s="19" t="str">
        <f aca="true">IF(OR($M93="",N($J93)=0,$I93="",TODAY()&lt;=$M93),"",($I93/$J93)^(365/(TODAY()-$M93))-1)</f>
        <v/>
      </c>
      <c r="P93" s="23" t="str">
        <f aca="false">IF($A93="","",$A93&amp;"#"&amp;COUNTIF($A$4:$A93,$A93))</f>
        <v/>
      </c>
    </row>
    <row r="94" customFormat="false" ht="15" hidden="false" customHeight="true" outlineLevel="0" collapsed="false">
      <c r="B94" s="15" t="str">
        <f aca="false">IF($C94="","",IFERROR(INDEX(Stock_Master!$C:$C,MATCH($C94,Stock_Master!$B:$B,0)),""))</f>
        <v/>
      </c>
      <c r="D94" s="28"/>
      <c r="E94" s="28"/>
      <c r="F94" s="28"/>
      <c r="G94" s="28"/>
      <c r="I94" s="13" t="str">
        <f aca="false">IF($D94="","",$D94*$F94)</f>
        <v/>
      </c>
      <c r="J94" s="13" t="str">
        <f aca="false">IF(OR($D94="",$E94=""),"",$D94*$E94)</f>
        <v/>
      </c>
      <c r="K94" s="13" t="str">
        <f aca="false">IF(OR($E94="",$D94=""),"",$I94-$J94)</f>
        <v/>
      </c>
      <c r="L94" s="13" t="str">
        <f aca="false">IF(OR($G94="",$D94=""),"",$D94*($F94-$G94))</f>
        <v/>
      </c>
      <c r="M94" s="29"/>
      <c r="N94" s="19" t="str">
        <f aca="true">IF(OR($M94="",N($J94)=0,$I94="",TODAY()&lt;=$M94),"",($I94/$J94)^(365/(TODAY()-$M94))-1)</f>
        <v/>
      </c>
      <c r="P94" s="23" t="str">
        <f aca="false">IF($A94="","",$A94&amp;"#"&amp;COUNTIF($A$4:$A94,$A94))</f>
        <v/>
      </c>
    </row>
    <row r="95" customFormat="false" ht="15" hidden="false" customHeight="true" outlineLevel="0" collapsed="false">
      <c r="B95" s="15" t="str">
        <f aca="false">IF($C95="","",IFERROR(INDEX(Stock_Master!$C:$C,MATCH($C95,Stock_Master!$B:$B,0)),""))</f>
        <v/>
      </c>
      <c r="D95" s="28"/>
      <c r="E95" s="28"/>
      <c r="F95" s="28"/>
      <c r="G95" s="28"/>
      <c r="I95" s="13" t="str">
        <f aca="false">IF($D95="","",$D95*$F95)</f>
        <v/>
      </c>
      <c r="J95" s="13" t="str">
        <f aca="false">IF(OR($D95="",$E95=""),"",$D95*$E95)</f>
        <v/>
      </c>
      <c r="K95" s="13" t="str">
        <f aca="false">IF(OR($E95="",$D95=""),"",$I95-$J95)</f>
        <v/>
      </c>
      <c r="L95" s="13" t="str">
        <f aca="false">IF(OR($G95="",$D95=""),"",$D95*($F95-$G95))</f>
        <v/>
      </c>
      <c r="M95" s="29"/>
      <c r="N95" s="19" t="str">
        <f aca="true">IF(OR($M95="",N($J95)=0,$I95="",TODAY()&lt;=$M95),"",($I95/$J95)^(365/(TODAY()-$M95))-1)</f>
        <v/>
      </c>
      <c r="P95" s="23" t="str">
        <f aca="false">IF($A95="","",$A95&amp;"#"&amp;COUNTIF($A$4:$A95,$A95))</f>
        <v/>
      </c>
    </row>
    <row r="96" customFormat="false" ht="15" hidden="false" customHeight="true" outlineLevel="0" collapsed="false">
      <c r="B96" s="15" t="str">
        <f aca="false">IF($C96="","",IFERROR(INDEX(Stock_Master!$C:$C,MATCH($C96,Stock_Master!$B:$B,0)),""))</f>
        <v/>
      </c>
      <c r="D96" s="28"/>
      <c r="E96" s="28"/>
      <c r="F96" s="28"/>
      <c r="G96" s="28"/>
      <c r="I96" s="13" t="str">
        <f aca="false">IF($D96="","",$D96*$F96)</f>
        <v/>
      </c>
      <c r="J96" s="13" t="str">
        <f aca="false">IF(OR($D96="",$E96=""),"",$D96*$E96)</f>
        <v/>
      </c>
      <c r="K96" s="13" t="str">
        <f aca="false">IF(OR($E96="",$D96=""),"",$I96-$J96)</f>
        <v/>
      </c>
      <c r="L96" s="13" t="str">
        <f aca="false">IF(OR($G96="",$D96=""),"",$D96*($F96-$G96))</f>
        <v/>
      </c>
      <c r="M96" s="29"/>
      <c r="N96" s="19" t="str">
        <f aca="true">IF(OR($M96="",N($J96)=0,$I96="",TODAY()&lt;=$M96),"",($I96/$J96)^(365/(TODAY()-$M96))-1)</f>
        <v/>
      </c>
      <c r="P96" s="23" t="str">
        <f aca="false">IF($A96="","",$A96&amp;"#"&amp;COUNTIF($A$4:$A96,$A96))</f>
        <v/>
      </c>
    </row>
    <row r="97" customFormat="false" ht="15" hidden="false" customHeight="true" outlineLevel="0" collapsed="false">
      <c r="B97" s="15" t="str">
        <f aca="false">IF($C97="","",IFERROR(INDEX(Stock_Master!$C:$C,MATCH($C97,Stock_Master!$B:$B,0)),""))</f>
        <v/>
      </c>
      <c r="D97" s="28"/>
      <c r="E97" s="28"/>
      <c r="F97" s="28"/>
      <c r="G97" s="28"/>
      <c r="I97" s="13" t="str">
        <f aca="false">IF($D97="","",$D97*$F97)</f>
        <v/>
      </c>
      <c r="J97" s="13" t="str">
        <f aca="false">IF(OR($D97="",$E97=""),"",$D97*$E97)</f>
        <v/>
      </c>
      <c r="K97" s="13" t="str">
        <f aca="false">IF(OR($E97="",$D97=""),"",$I97-$J97)</f>
        <v/>
      </c>
      <c r="L97" s="13" t="str">
        <f aca="false">IF(OR($G97="",$D97=""),"",$D97*($F97-$G97))</f>
        <v/>
      </c>
      <c r="M97" s="29"/>
      <c r="N97" s="19" t="str">
        <f aca="true">IF(OR($M97="",N($J97)=0,$I97="",TODAY()&lt;=$M97),"",($I97/$J97)^(365/(TODAY()-$M97))-1)</f>
        <v/>
      </c>
      <c r="P97" s="23" t="str">
        <f aca="false">IF($A97="","",$A97&amp;"#"&amp;COUNTIF($A$4:$A97,$A97))</f>
        <v/>
      </c>
    </row>
    <row r="98" customFormat="false" ht="15" hidden="false" customHeight="true" outlineLevel="0" collapsed="false">
      <c r="B98" s="15" t="str">
        <f aca="false">IF($C98="","",IFERROR(INDEX(Stock_Master!$C:$C,MATCH($C98,Stock_Master!$B:$B,0)),""))</f>
        <v/>
      </c>
      <c r="D98" s="28"/>
      <c r="E98" s="28"/>
      <c r="F98" s="28"/>
      <c r="G98" s="28"/>
      <c r="I98" s="13" t="str">
        <f aca="false">IF($D98="","",$D98*$F98)</f>
        <v/>
      </c>
      <c r="J98" s="13" t="str">
        <f aca="false">IF(OR($D98="",$E98=""),"",$D98*$E98)</f>
        <v/>
      </c>
      <c r="K98" s="13" t="str">
        <f aca="false">IF(OR($E98="",$D98=""),"",$I98-$J98)</f>
        <v/>
      </c>
      <c r="L98" s="13" t="str">
        <f aca="false">IF(OR($G98="",$D98=""),"",$D98*($F98-$G98))</f>
        <v/>
      </c>
      <c r="M98" s="29"/>
      <c r="N98" s="19" t="str">
        <f aca="true">IF(OR($M98="",N($J98)=0,$I98="",TODAY()&lt;=$M98),"",($I98/$J98)^(365/(TODAY()-$M98))-1)</f>
        <v/>
      </c>
      <c r="P98" s="23" t="str">
        <f aca="false">IF($A98="","",$A98&amp;"#"&amp;COUNTIF($A$4:$A98,$A98))</f>
        <v/>
      </c>
    </row>
    <row r="99" customFormat="false" ht="15" hidden="false" customHeight="true" outlineLevel="0" collapsed="false">
      <c r="B99" s="15" t="str">
        <f aca="false">IF($C99="","",IFERROR(INDEX(Stock_Master!$C:$C,MATCH($C99,Stock_Master!$B:$B,0)),""))</f>
        <v/>
      </c>
      <c r="D99" s="28"/>
      <c r="E99" s="28"/>
      <c r="F99" s="28"/>
      <c r="G99" s="28"/>
      <c r="I99" s="13" t="str">
        <f aca="false">IF($D99="","",$D99*$F99)</f>
        <v/>
      </c>
      <c r="J99" s="13" t="str">
        <f aca="false">IF(OR($D99="",$E99=""),"",$D99*$E99)</f>
        <v/>
      </c>
      <c r="K99" s="13" t="str">
        <f aca="false">IF(OR($E99="",$D99=""),"",$I99-$J99)</f>
        <v/>
      </c>
      <c r="L99" s="13" t="str">
        <f aca="false">IF(OR($G99="",$D99=""),"",$D99*($F99-$G99))</f>
        <v/>
      </c>
      <c r="M99" s="29"/>
      <c r="N99" s="19" t="str">
        <f aca="true">IF(OR($M99="",N($J99)=0,$I99="",TODAY()&lt;=$M99),"",($I99/$J99)^(365/(TODAY()-$M99))-1)</f>
        <v/>
      </c>
      <c r="P99" s="23" t="str">
        <f aca="false">IF($A99="","",$A99&amp;"#"&amp;COUNTIF($A$4:$A99,$A99))</f>
        <v/>
      </c>
    </row>
    <row r="100" customFormat="false" ht="15" hidden="false" customHeight="true" outlineLevel="0" collapsed="false">
      <c r="B100" s="15" t="str">
        <f aca="false">IF($C100="","",IFERROR(INDEX(Stock_Master!$C:$C,MATCH($C100,Stock_Master!$B:$B,0)),""))</f>
        <v/>
      </c>
      <c r="D100" s="28"/>
      <c r="E100" s="28"/>
      <c r="F100" s="28"/>
      <c r="G100" s="28"/>
      <c r="I100" s="13" t="str">
        <f aca="false">IF($D100="","",$D100*$F100)</f>
        <v/>
      </c>
      <c r="J100" s="13" t="str">
        <f aca="false">IF(OR($D100="",$E100=""),"",$D100*$E100)</f>
        <v/>
      </c>
      <c r="K100" s="13" t="str">
        <f aca="false">IF(OR($E100="",$D100=""),"",$I100-$J100)</f>
        <v/>
      </c>
      <c r="L100" s="13" t="str">
        <f aca="false">IF(OR($G100="",$D100=""),"",$D100*($F100-$G100))</f>
        <v/>
      </c>
      <c r="M100" s="29"/>
      <c r="N100" s="19" t="str">
        <f aca="true">IF(OR($M100="",N($J100)=0,$I100="",TODAY()&lt;=$M100),"",($I100/$J100)^(365/(TODAY()-$M100))-1)</f>
        <v/>
      </c>
      <c r="P100" s="23" t="str">
        <f aca="false">IF($A100="","",$A100&amp;"#"&amp;COUNTIF($A$4:$A100,$A100))</f>
        <v/>
      </c>
    </row>
    <row r="101" customFormat="false" ht="15" hidden="false" customHeight="true" outlineLevel="0" collapsed="false">
      <c r="B101" s="15" t="str">
        <f aca="false">IF($C101="","",IFERROR(INDEX(Stock_Master!$C:$C,MATCH($C101,Stock_Master!$B:$B,0)),""))</f>
        <v/>
      </c>
      <c r="D101" s="28"/>
      <c r="E101" s="28"/>
      <c r="F101" s="28"/>
      <c r="G101" s="28"/>
      <c r="I101" s="13" t="str">
        <f aca="false">IF($D101="","",$D101*$F101)</f>
        <v/>
      </c>
      <c r="J101" s="13" t="str">
        <f aca="false">IF(OR($D101="",$E101=""),"",$D101*$E101)</f>
        <v/>
      </c>
      <c r="K101" s="13" t="str">
        <f aca="false">IF(OR($E101="",$D101=""),"",$I101-$J101)</f>
        <v/>
      </c>
      <c r="L101" s="13" t="str">
        <f aca="false">IF(OR($G101="",$D101=""),"",$D101*($F101-$G101))</f>
        <v/>
      </c>
      <c r="M101" s="29"/>
      <c r="N101" s="19" t="str">
        <f aca="true">IF(OR($M101="",N($J101)=0,$I101="",TODAY()&lt;=$M101),"",($I101/$J101)^(365/(TODAY()-$M101))-1)</f>
        <v/>
      </c>
      <c r="P101" s="23" t="str">
        <f aca="false">IF($A101="","",$A101&amp;"#"&amp;COUNTIF($A$4:$A101,$A101))</f>
        <v/>
      </c>
    </row>
    <row r="102" customFormat="false" ht="15" hidden="false" customHeight="true" outlineLevel="0" collapsed="false">
      <c r="B102" s="15" t="str">
        <f aca="false">IF($C102="","",IFERROR(INDEX(Stock_Master!$C:$C,MATCH($C102,Stock_Master!$B:$B,0)),""))</f>
        <v/>
      </c>
      <c r="D102" s="28"/>
      <c r="E102" s="28"/>
      <c r="F102" s="28"/>
      <c r="G102" s="28"/>
      <c r="I102" s="13" t="str">
        <f aca="false">IF($D102="","",$D102*$F102)</f>
        <v/>
      </c>
      <c r="J102" s="13" t="str">
        <f aca="false">IF(OR($D102="",$E102=""),"",$D102*$E102)</f>
        <v/>
      </c>
      <c r="K102" s="13" t="str">
        <f aca="false">IF(OR($E102="",$D102=""),"",$I102-$J102)</f>
        <v/>
      </c>
      <c r="L102" s="13" t="str">
        <f aca="false">IF(OR($G102="",$D102=""),"",$D102*($F102-$G102))</f>
        <v/>
      </c>
      <c r="M102" s="29"/>
      <c r="N102" s="19" t="str">
        <f aca="true">IF(OR($M102="",N($J102)=0,$I102="",TODAY()&lt;=$M102),"",($I102/$J102)^(365/(TODAY()-$M102))-1)</f>
        <v/>
      </c>
      <c r="P102" s="23" t="str">
        <f aca="false">IF($A102="","",$A102&amp;"#"&amp;COUNTIF($A$4:$A102,$A102))</f>
        <v/>
      </c>
    </row>
    <row r="103" customFormat="false" ht="15" hidden="false" customHeight="true" outlineLevel="0" collapsed="false">
      <c r="B103" s="15" t="str">
        <f aca="false">IF($C103="","",IFERROR(INDEX(Stock_Master!$C:$C,MATCH($C103,Stock_Master!$B:$B,0)),""))</f>
        <v/>
      </c>
      <c r="D103" s="28"/>
      <c r="E103" s="28"/>
      <c r="F103" s="28"/>
      <c r="G103" s="28"/>
      <c r="I103" s="13" t="str">
        <f aca="false">IF($D103="","",$D103*$F103)</f>
        <v/>
      </c>
      <c r="J103" s="13" t="str">
        <f aca="false">IF(OR($D103="",$E103=""),"",$D103*$E103)</f>
        <v/>
      </c>
      <c r="K103" s="13" t="str">
        <f aca="false">IF(OR($E103="",$D103=""),"",$I103-$J103)</f>
        <v/>
      </c>
      <c r="L103" s="13" t="str">
        <f aca="false">IF(OR($G103="",$D103=""),"",$D103*($F103-$G103))</f>
        <v/>
      </c>
      <c r="M103" s="29"/>
      <c r="N103" s="19" t="str">
        <f aca="true">IF(OR($M103="",N($J103)=0,$I103="",TODAY()&lt;=$M103),"",($I103/$J103)^(365/(TODAY()-$M103))-1)</f>
        <v/>
      </c>
      <c r="P103" s="23" t="str">
        <f aca="false">IF($A103="","",$A103&amp;"#"&amp;COUNTIF($A$4:$A103,$A103))</f>
        <v/>
      </c>
    </row>
    <row r="104" customFormat="false" ht="15" hidden="false" customHeight="true" outlineLevel="0" collapsed="false">
      <c r="B104" s="15" t="str">
        <f aca="false">IF($C104="","",IFERROR(INDEX(Stock_Master!$C:$C,MATCH($C104,Stock_Master!$B:$B,0)),""))</f>
        <v/>
      </c>
      <c r="D104" s="28"/>
      <c r="E104" s="28"/>
      <c r="F104" s="28"/>
      <c r="G104" s="28"/>
      <c r="I104" s="13" t="str">
        <f aca="false">IF($D104="","",$D104*$F104)</f>
        <v/>
      </c>
      <c r="J104" s="13" t="str">
        <f aca="false">IF(OR($D104="",$E104=""),"",$D104*$E104)</f>
        <v/>
      </c>
      <c r="K104" s="13" t="str">
        <f aca="false">IF(OR($E104="",$D104=""),"",$I104-$J104)</f>
        <v/>
      </c>
      <c r="L104" s="13" t="str">
        <f aca="false">IF(OR($G104="",$D104=""),"",$D104*($F104-$G104))</f>
        <v/>
      </c>
      <c r="M104" s="29"/>
      <c r="N104" s="19" t="str">
        <f aca="true">IF(OR($M104="",N($J104)=0,$I104="",TODAY()&lt;=$M104),"",($I104/$J104)^(365/(TODAY()-$M104))-1)</f>
        <v/>
      </c>
      <c r="P104" s="23" t="str">
        <f aca="false">IF($A104="","",$A104&amp;"#"&amp;COUNTIF($A$4:$A104,$A104))</f>
        <v/>
      </c>
    </row>
    <row r="105" customFormat="false" ht="15" hidden="false" customHeight="true" outlineLevel="0" collapsed="false">
      <c r="B105" s="15" t="str">
        <f aca="false">IF($C105="","",IFERROR(INDEX(Stock_Master!$C:$C,MATCH($C105,Stock_Master!$B:$B,0)),""))</f>
        <v/>
      </c>
      <c r="D105" s="28"/>
      <c r="E105" s="28"/>
      <c r="F105" s="28"/>
      <c r="G105" s="28"/>
      <c r="I105" s="13" t="str">
        <f aca="false">IF($D105="","",$D105*$F105)</f>
        <v/>
      </c>
      <c r="J105" s="13" t="str">
        <f aca="false">IF(OR($D105="",$E105=""),"",$D105*$E105)</f>
        <v/>
      </c>
      <c r="K105" s="13" t="str">
        <f aca="false">IF(OR($E105="",$D105=""),"",$I105-$J105)</f>
        <v/>
      </c>
      <c r="L105" s="13" t="str">
        <f aca="false">IF(OR($G105="",$D105=""),"",$D105*($F105-$G105))</f>
        <v/>
      </c>
      <c r="M105" s="29"/>
      <c r="N105" s="19" t="str">
        <f aca="true">IF(OR($M105="",N($J105)=0,$I105="",TODAY()&lt;=$M105),"",($I105/$J105)^(365/(TODAY()-$M105))-1)</f>
        <v/>
      </c>
      <c r="P105" s="23" t="str">
        <f aca="false">IF($A105="","",$A105&amp;"#"&amp;COUNTIF($A$4:$A105,$A105))</f>
        <v/>
      </c>
    </row>
    <row r="106" customFormat="false" ht="15" hidden="false" customHeight="true" outlineLevel="0" collapsed="false">
      <c r="B106" s="15" t="str">
        <f aca="false">IF($C106="","",IFERROR(INDEX(Stock_Master!$C:$C,MATCH($C106,Stock_Master!$B:$B,0)),""))</f>
        <v/>
      </c>
      <c r="D106" s="28"/>
      <c r="E106" s="28"/>
      <c r="F106" s="28"/>
      <c r="G106" s="28"/>
      <c r="I106" s="13" t="str">
        <f aca="false">IF($D106="","",$D106*$F106)</f>
        <v/>
      </c>
      <c r="J106" s="13" t="str">
        <f aca="false">IF(OR($D106="",$E106=""),"",$D106*$E106)</f>
        <v/>
      </c>
      <c r="K106" s="13" t="str">
        <f aca="false">IF(OR($E106="",$D106=""),"",$I106-$J106)</f>
        <v/>
      </c>
      <c r="L106" s="13" t="str">
        <f aca="false">IF(OR($G106="",$D106=""),"",$D106*($F106-$G106))</f>
        <v/>
      </c>
      <c r="M106" s="29"/>
      <c r="N106" s="19" t="str">
        <f aca="true">IF(OR($M106="",N($J106)=0,$I106="",TODAY()&lt;=$M106),"",($I106/$J106)^(365/(TODAY()-$M106))-1)</f>
        <v/>
      </c>
      <c r="P106" s="23" t="str">
        <f aca="false">IF($A106="","",$A106&amp;"#"&amp;COUNTIF($A$4:$A106,$A106))</f>
        <v/>
      </c>
    </row>
    <row r="107" customFormat="false" ht="15" hidden="false" customHeight="true" outlineLevel="0" collapsed="false">
      <c r="B107" s="15" t="str">
        <f aca="false">IF($C107="","",IFERROR(INDEX(Stock_Master!$C:$C,MATCH($C107,Stock_Master!$B:$B,0)),""))</f>
        <v/>
      </c>
      <c r="D107" s="28"/>
      <c r="E107" s="28"/>
      <c r="F107" s="28"/>
      <c r="G107" s="28"/>
      <c r="I107" s="13" t="str">
        <f aca="false">IF($D107="","",$D107*$F107)</f>
        <v/>
      </c>
      <c r="J107" s="13" t="str">
        <f aca="false">IF(OR($D107="",$E107=""),"",$D107*$E107)</f>
        <v/>
      </c>
      <c r="K107" s="13" t="str">
        <f aca="false">IF(OR($E107="",$D107=""),"",$I107-$J107)</f>
        <v/>
      </c>
      <c r="L107" s="13" t="str">
        <f aca="false">IF(OR($G107="",$D107=""),"",$D107*($F107-$G107))</f>
        <v/>
      </c>
      <c r="M107" s="29"/>
      <c r="N107" s="19" t="str">
        <f aca="true">IF(OR($M107="",N($J107)=0,$I107="",TODAY()&lt;=$M107),"",($I107/$J107)^(365/(TODAY()-$M107))-1)</f>
        <v/>
      </c>
      <c r="P107" s="23" t="str">
        <f aca="false">IF($A107="","",$A107&amp;"#"&amp;COUNTIF($A$4:$A107,$A107))</f>
        <v/>
      </c>
    </row>
    <row r="108" customFormat="false" ht="15" hidden="false" customHeight="true" outlineLevel="0" collapsed="false">
      <c r="B108" s="15" t="str">
        <f aca="false">IF($C108="","",IFERROR(INDEX(Stock_Master!$C:$C,MATCH($C108,Stock_Master!$B:$B,0)),""))</f>
        <v/>
      </c>
      <c r="D108" s="28"/>
      <c r="E108" s="28"/>
      <c r="F108" s="28"/>
      <c r="G108" s="28"/>
      <c r="I108" s="13" t="str">
        <f aca="false">IF($D108="","",$D108*$F108)</f>
        <v/>
      </c>
      <c r="J108" s="13" t="str">
        <f aca="false">IF(OR($D108="",$E108=""),"",$D108*$E108)</f>
        <v/>
      </c>
      <c r="K108" s="13" t="str">
        <f aca="false">IF(OR($E108="",$D108=""),"",$I108-$J108)</f>
        <v/>
      </c>
      <c r="L108" s="13" t="str">
        <f aca="false">IF(OR($G108="",$D108=""),"",$D108*($F108-$G108))</f>
        <v/>
      </c>
      <c r="M108" s="29"/>
      <c r="N108" s="19" t="str">
        <f aca="true">IF(OR($M108="",N($J108)=0,$I108="",TODAY()&lt;=$M108),"",($I108/$J108)^(365/(TODAY()-$M108))-1)</f>
        <v/>
      </c>
      <c r="P108" s="23" t="str">
        <f aca="false">IF($A108="","",$A108&amp;"#"&amp;COUNTIF($A$4:$A108,$A108))</f>
        <v/>
      </c>
    </row>
    <row r="109" customFormat="false" ht="15" hidden="false" customHeight="true" outlineLevel="0" collapsed="false">
      <c r="B109" s="15" t="str">
        <f aca="false">IF($C109="","",IFERROR(INDEX(Stock_Master!$C:$C,MATCH($C109,Stock_Master!$B:$B,0)),""))</f>
        <v/>
      </c>
      <c r="D109" s="28"/>
      <c r="E109" s="28"/>
      <c r="F109" s="28"/>
      <c r="G109" s="28"/>
      <c r="I109" s="13" t="str">
        <f aca="false">IF($D109="","",$D109*$F109)</f>
        <v/>
      </c>
      <c r="J109" s="13" t="str">
        <f aca="false">IF(OR($D109="",$E109=""),"",$D109*$E109)</f>
        <v/>
      </c>
      <c r="K109" s="13" t="str">
        <f aca="false">IF(OR($E109="",$D109=""),"",$I109-$J109)</f>
        <v/>
      </c>
      <c r="L109" s="13" t="str">
        <f aca="false">IF(OR($G109="",$D109=""),"",$D109*($F109-$G109))</f>
        <v/>
      </c>
      <c r="M109" s="29"/>
      <c r="N109" s="19" t="str">
        <f aca="true">IF(OR($M109="",N($J109)=0,$I109="",TODAY()&lt;=$M109),"",($I109/$J109)^(365/(TODAY()-$M109))-1)</f>
        <v/>
      </c>
      <c r="P109" s="23" t="str">
        <f aca="false">IF($A109="","",$A109&amp;"#"&amp;COUNTIF($A$4:$A109,$A109))</f>
        <v/>
      </c>
    </row>
    <row r="110" customFormat="false" ht="15" hidden="false" customHeight="true" outlineLevel="0" collapsed="false">
      <c r="B110" s="15" t="str">
        <f aca="false">IF($C110="","",IFERROR(INDEX(Stock_Master!$C:$C,MATCH($C110,Stock_Master!$B:$B,0)),""))</f>
        <v/>
      </c>
      <c r="D110" s="28"/>
      <c r="E110" s="28"/>
      <c r="F110" s="28"/>
      <c r="G110" s="28"/>
      <c r="I110" s="13" t="str">
        <f aca="false">IF($D110="","",$D110*$F110)</f>
        <v/>
      </c>
      <c r="J110" s="13" t="str">
        <f aca="false">IF(OR($D110="",$E110=""),"",$D110*$E110)</f>
        <v/>
      </c>
      <c r="K110" s="13" t="str">
        <f aca="false">IF(OR($E110="",$D110=""),"",$I110-$J110)</f>
        <v/>
      </c>
      <c r="L110" s="13" t="str">
        <f aca="false">IF(OR($G110="",$D110=""),"",$D110*($F110-$G110))</f>
        <v/>
      </c>
      <c r="M110" s="29"/>
      <c r="N110" s="19" t="str">
        <f aca="true">IF(OR($M110="",N($J110)=0,$I110="",TODAY()&lt;=$M110),"",($I110/$J110)^(365/(TODAY()-$M110))-1)</f>
        <v/>
      </c>
      <c r="P110" s="23" t="str">
        <f aca="false">IF($A110="","",$A110&amp;"#"&amp;COUNTIF($A$4:$A110,$A110))</f>
        <v/>
      </c>
    </row>
    <row r="111" customFormat="false" ht="15" hidden="false" customHeight="true" outlineLevel="0" collapsed="false">
      <c r="B111" s="15" t="str">
        <f aca="false">IF($C111="","",IFERROR(INDEX(Stock_Master!$C:$C,MATCH($C111,Stock_Master!$B:$B,0)),""))</f>
        <v/>
      </c>
      <c r="D111" s="28"/>
      <c r="E111" s="28"/>
      <c r="F111" s="28"/>
      <c r="G111" s="28"/>
      <c r="I111" s="13" t="str">
        <f aca="false">IF($D111="","",$D111*$F111)</f>
        <v/>
      </c>
      <c r="J111" s="13" t="str">
        <f aca="false">IF(OR($D111="",$E111=""),"",$D111*$E111)</f>
        <v/>
      </c>
      <c r="K111" s="13" t="str">
        <f aca="false">IF(OR($E111="",$D111=""),"",$I111-$J111)</f>
        <v/>
      </c>
      <c r="L111" s="13" t="str">
        <f aca="false">IF(OR($G111="",$D111=""),"",$D111*($F111-$G111))</f>
        <v/>
      </c>
      <c r="M111" s="29"/>
      <c r="N111" s="19" t="str">
        <f aca="true">IF(OR($M111="",N($J111)=0,$I111="",TODAY()&lt;=$M111),"",($I111/$J111)^(365/(TODAY()-$M111))-1)</f>
        <v/>
      </c>
      <c r="P111" s="23" t="str">
        <f aca="false">IF($A111="","",$A111&amp;"#"&amp;COUNTIF($A$4:$A111,$A111))</f>
        <v/>
      </c>
    </row>
    <row r="112" customFormat="false" ht="15" hidden="false" customHeight="true" outlineLevel="0" collapsed="false">
      <c r="B112" s="15" t="str">
        <f aca="false">IF($C112="","",IFERROR(INDEX(Stock_Master!$C:$C,MATCH($C112,Stock_Master!$B:$B,0)),""))</f>
        <v/>
      </c>
      <c r="D112" s="28"/>
      <c r="E112" s="28"/>
      <c r="F112" s="28"/>
      <c r="G112" s="28"/>
      <c r="I112" s="13" t="str">
        <f aca="false">IF($D112="","",$D112*$F112)</f>
        <v/>
      </c>
      <c r="J112" s="13" t="str">
        <f aca="false">IF(OR($D112="",$E112=""),"",$D112*$E112)</f>
        <v/>
      </c>
      <c r="K112" s="13" t="str">
        <f aca="false">IF(OR($E112="",$D112=""),"",$I112-$J112)</f>
        <v/>
      </c>
      <c r="L112" s="13" t="str">
        <f aca="false">IF(OR($G112="",$D112=""),"",$D112*($F112-$G112))</f>
        <v/>
      </c>
      <c r="M112" s="29"/>
      <c r="N112" s="19" t="str">
        <f aca="true">IF(OR($M112="",N($J112)=0,$I112="",TODAY()&lt;=$M112),"",($I112/$J112)^(365/(TODAY()-$M112))-1)</f>
        <v/>
      </c>
      <c r="P112" s="23" t="str">
        <f aca="false">IF($A112="","",$A112&amp;"#"&amp;COUNTIF($A$4:$A112,$A112))</f>
        <v/>
      </c>
    </row>
    <row r="113" customFormat="false" ht="15" hidden="false" customHeight="true" outlineLevel="0" collapsed="false">
      <c r="B113" s="15" t="str">
        <f aca="false">IF($C113="","",IFERROR(INDEX(Stock_Master!$C:$C,MATCH($C113,Stock_Master!$B:$B,0)),""))</f>
        <v/>
      </c>
      <c r="D113" s="28"/>
      <c r="E113" s="28"/>
      <c r="F113" s="28"/>
      <c r="G113" s="28"/>
      <c r="I113" s="13" t="str">
        <f aca="false">IF($D113="","",$D113*$F113)</f>
        <v/>
      </c>
      <c r="J113" s="13" t="str">
        <f aca="false">IF(OR($D113="",$E113=""),"",$D113*$E113)</f>
        <v/>
      </c>
      <c r="K113" s="13" t="str">
        <f aca="false">IF(OR($E113="",$D113=""),"",$I113-$J113)</f>
        <v/>
      </c>
      <c r="L113" s="13" t="str">
        <f aca="false">IF(OR($G113="",$D113=""),"",$D113*($F113-$G113))</f>
        <v/>
      </c>
      <c r="M113" s="29"/>
      <c r="N113" s="19" t="str">
        <f aca="true">IF(OR($M113="",N($J113)=0,$I113="",TODAY()&lt;=$M113),"",($I113/$J113)^(365/(TODAY()-$M113))-1)</f>
        <v/>
      </c>
      <c r="P113" s="23" t="str">
        <f aca="false">IF($A113="","",$A113&amp;"#"&amp;COUNTIF($A$4:$A113,$A113))</f>
        <v/>
      </c>
    </row>
    <row r="114" customFormat="false" ht="15" hidden="false" customHeight="true" outlineLevel="0" collapsed="false">
      <c r="B114" s="15" t="str">
        <f aca="false">IF($C114="","",IFERROR(INDEX(Stock_Master!$C:$C,MATCH($C114,Stock_Master!$B:$B,0)),""))</f>
        <v/>
      </c>
      <c r="D114" s="28"/>
      <c r="E114" s="28"/>
      <c r="F114" s="28"/>
      <c r="G114" s="28"/>
      <c r="I114" s="13" t="str">
        <f aca="false">IF($D114="","",$D114*$F114)</f>
        <v/>
      </c>
      <c r="J114" s="13" t="str">
        <f aca="false">IF(OR($D114="",$E114=""),"",$D114*$E114)</f>
        <v/>
      </c>
      <c r="K114" s="13" t="str">
        <f aca="false">IF(OR($E114="",$D114=""),"",$I114-$J114)</f>
        <v/>
      </c>
      <c r="L114" s="13" t="str">
        <f aca="false">IF(OR($G114="",$D114=""),"",$D114*($F114-$G114))</f>
        <v/>
      </c>
      <c r="M114" s="29"/>
      <c r="N114" s="19" t="str">
        <f aca="true">IF(OR($M114="",N($J114)=0,$I114="",TODAY()&lt;=$M114),"",($I114/$J114)^(365/(TODAY()-$M114))-1)</f>
        <v/>
      </c>
      <c r="P114" s="23" t="str">
        <f aca="false">IF($A114="","",$A114&amp;"#"&amp;COUNTIF($A$4:$A114,$A114))</f>
        <v/>
      </c>
    </row>
    <row r="115" customFormat="false" ht="15" hidden="false" customHeight="true" outlineLevel="0" collapsed="false">
      <c r="B115" s="15" t="str">
        <f aca="false">IF($C115="","",IFERROR(INDEX(Stock_Master!$C:$C,MATCH($C115,Stock_Master!$B:$B,0)),""))</f>
        <v/>
      </c>
      <c r="D115" s="28"/>
      <c r="E115" s="28"/>
      <c r="F115" s="28"/>
      <c r="G115" s="28"/>
      <c r="I115" s="13" t="str">
        <f aca="false">IF($D115="","",$D115*$F115)</f>
        <v/>
      </c>
      <c r="J115" s="13" t="str">
        <f aca="false">IF(OR($D115="",$E115=""),"",$D115*$E115)</f>
        <v/>
      </c>
      <c r="K115" s="13" t="str">
        <f aca="false">IF(OR($E115="",$D115=""),"",$I115-$J115)</f>
        <v/>
      </c>
      <c r="L115" s="13" t="str">
        <f aca="false">IF(OR($G115="",$D115=""),"",$D115*($F115-$G115))</f>
        <v/>
      </c>
      <c r="M115" s="29"/>
      <c r="N115" s="19" t="str">
        <f aca="true">IF(OR($M115="",N($J115)=0,$I115="",TODAY()&lt;=$M115),"",($I115/$J115)^(365/(TODAY()-$M115))-1)</f>
        <v/>
      </c>
      <c r="P115" s="23" t="str">
        <f aca="false">IF($A115="","",$A115&amp;"#"&amp;COUNTIF($A$4:$A115,$A115))</f>
        <v/>
      </c>
    </row>
    <row r="116" customFormat="false" ht="15" hidden="false" customHeight="true" outlineLevel="0" collapsed="false">
      <c r="B116" s="15" t="str">
        <f aca="false">IF($C116="","",IFERROR(INDEX(Stock_Master!$C:$C,MATCH($C116,Stock_Master!$B:$B,0)),""))</f>
        <v/>
      </c>
      <c r="D116" s="28"/>
      <c r="E116" s="28"/>
      <c r="F116" s="28"/>
      <c r="G116" s="28"/>
      <c r="I116" s="13" t="str">
        <f aca="false">IF($D116="","",$D116*$F116)</f>
        <v/>
      </c>
      <c r="J116" s="13" t="str">
        <f aca="false">IF(OR($D116="",$E116=""),"",$D116*$E116)</f>
        <v/>
      </c>
      <c r="K116" s="13" t="str">
        <f aca="false">IF(OR($E116="",$D116=""),"",$I116-$J116)</f>
        <v/>
      </c>
      <c r="L116" s="13" t="str">
        <f aca="false">IF(OR($G116="",$D116=""),"",$D116*($F116-$G116))</f>
        <v/>
      </c>
      <c r="M116" s="29"/>
      <c r="N116" s="19" t="str">
        <f aca="true">IF(OR($M116="",N($J116)=0,$I116="",TODAY()&lt;=$M116),"",($I116/$J116)^(365/(TODAY()-$M116))-1)</f>
        <v/>
      </c>
      <c r="P116" s="23" t="str">
        <f aca="false">IF($A116="","",$A116&amp;"#"&amp;COUNTIF($A$4:$A116,$A116))</f>
        <v/>
      </c>
    </row>
    <row r="117" customFormat="false" ht="15" hidden="false" customHeight="true" outlineLevel="0" collapsed="false">
      <c r="B117" s="15" t="str">
        <f aca="false">IF($C117="","",IFERROR(INDEX(Stock_Master!$C:$C,MATCH($C117,Stock_Master!$B:$B,0)),""))</f>
        <v/>
      </c>
      <c r="D117" s="28"/>
      <c r="E117" s="28"/>
      <c r="F117" s="28"/>
      <c r="G117" s="28"/>
      <c r="I117" s="13" t="str">
        <f aca="false">IF($D117="","",$D117*$F117)</f>
        <v/>
      </c>
      <c r="J117" s="13" t="str">
        <f aca="false">IF(OR($D117="",$E117=""),"",$D117*$E117)</f>
        <v/>
      </c>
      <c r="K117" s="13" t="str">
        <f aca="false">IF(OR($E117="",$D117=""),"",$I117-$J117)</f>
        <v/>
      </c>
      <c r="L117" s="13" t="str">
        <f aca="false">IF(OR($G117="",$D117=""),"",$D117*($F117-$G117))</f>
        <v/>
      </c>
      <c r="M117" s="29"/>
      <c r="N117" s="19" t="str">
        <f aca="true">IF(OR($M117="",N($J117)=0,$I117="",TODAY()&lt;=$M117),"",($I117/$J117)^(365/(TODAY()-$M117))-1)</f>
        <v/>
      </c>
      <c r="P117" s="23" t="str">
        <f aca="false">IF($A117="","",$A117&amp;"#"&amp;COUNTIF($A$4:$A117,$A117))</f>
        <v/>
      </c>
    </row>
    <row r="118" customFormat="false" ht="15" hidden="false" customHeight="true" outlineLevel="0" collapsed="false">
      <c r="B118" s="15" t="str">
        <f aca="false">IF($C118="","",IFERROR(INDEX(Stock_Master!$C:$C,MATCH($C118,Stock_Master!$B:$B,0)),""))</f>
        <v/>
      </c>
      <c r="D118" s="28"/>
      <c r="E118" s="28"/>
      <c r="F118" s="28"/>
      <c r="G118" s="28"/>
      <c r="I118" s="13" t="str">
        <f aca="false">IF($D118="","",$D118*$F118)</f>
        <v/>
      </c>
      <c r="J118" s="13" t="str">
        <f aca="false">IF(OR($D118="",$E118=""),"",$D118*$E118)</f>
        <v/>
      </c>
      <c r="K118" s="13" t="str">
        <f aca="false">IF(OR($E118="",$D118=""),"",$I118-$J118)</f>
        <v/>
      </c>
      <c r="L118" s="13" t="str">
        <f aca="false">IF(OR($G118="",$D118=""),"",$D118*($F118-$G118))</f>
        <v/>
      </c>
      <c r="M118" s="29"/>
      <c r="N118" s="19" t="str">
        <f aca="true">IF(OR($M118="",N($J118)=0,$I118="",TODAY()&lt;=$M118),"",($I118/$J118)^(365/(TODAY()-$M118))-1)</f>
        <v/>
      </c>
      <c r="P118" s="23" t="str">
        <f aca="false">IF($A118="","",$A118&amp;"#"&amp;COUNTIF($A$4:$A118,$A118))</f>
        <v/>
      </c>
    </row>
    <row r="119" customFormat="false" ht="15" hidden="false" customHeight="true" outlineLevel="0" collapsed="false">
      <c r="B119" s="15" t="str">
        <f aca="false">IF($C119="","",IFERROR(INDEX(Stock_Master!$C:$C,MATCH($C119,Stock_Master!$B:$B,0)),""))</f>
        <v/>
      </c>
      <c r="D119" s="28"/>
      <c r="E119" s="28"/>
      <c r="F119" s="28"/>
      <c r="G119" s="28"/>
      <c r="I119" s="13" t="str">
        <f aca="false">IF($D119="","",$D119*$F119)</f>
        <v/>
      </c>
      <c r="J119" s="13" t="str">
        <f aca="false">IF(OR($D119="",$E119=""),"",$D119*$E119)</f>
        <v/>
      </c>
      <c r="K119" s="13" t="str">
        <f aca="false">IF(OR($E119="",$D119=""),"",$I119-$J119)</f>
        <v/>
      </c>
      <c r="L119" s="13" t="str">
        <f aca="false">IF(OR($G119="",$D119=""),"",$D119*($F119-$G119))</f>
        <v/>
      </c>
      <c r="M119" s="29"/>
      <c r="N119" s="19" t="str">
        <f aca="true">IF(OR($M119="",N($J119)=0,$I119="",TODAY()&lt;=$M119),"",($I119/$J119)^(365/(TODAY()-$M119))-1)</f>
        <v/>
      </c>
      <c r="P119" s="23" t="str">
        <f aca="false">IF($A119="","",$A119&amp;"#"&amp;COUNTIF($A$4:$A119,$A119))</f>
        <v/>
      </c>
    </row>
    <row r="120" customFormat="false" ht="15" hidden="false" customHeight="true" outlineLevel="0" collapsed="false">
      <c r="B120" s="15" t="str">
        <f aca="false">IF($C120="","",IFERROR(INDEX(Stock_Master!$C:$C,MATCH($C120,Stock_Master!$B:$B,0)),""))</f>
        <v/>
      </c>
      <c r="D120" s="28"/>
      <c r="E120" s="28"/>
      <c r="F120" s="28"/>
      <c r="G120" s="28"/>
      <c r="I120" s="13" t="str">
        <f aca="false">IF($D120="","",$D120*$F120)</f>
        <v/>
      </c>
      <c r="J120" s="13" t="str">
        <f aca="false">IF(OR($D120="",$E120=""),"",$D120*$E120)</f>
        <v/>
      </c>
      <c r="K120" s="13" t="str">
        <f aca="false">IF(OR($E120="",$D120=""),"",$I120-$J120)</f>
        <v/>
      </c>
      <c r="L120" s="13" t="str">
        <f aca="false">IF(OR($G120="",$D120=""),"",$D120*($F120-$G120))</f>
        <v/>
      </c>
      <c r="M120" s="29"/>
      <c r="N120" s="19" t="str">
        <f aca="true">IF(OR($M120="",N($J120)=0,$I120="",TODAY()&lt;=$M120),"",($I120/$J120)^(365/(TODAY()-$M120))-1)</f>
        <v/>
      </c>
      <c r="P120" s="23" t="str">
        <f aca="false">IF($A120="","",$A120&amp;"#"&amp;COUNTIF($A$4:$A120,$A120))</f>
        <v/>
      </c>
    </row>
    <row r="121" customFormat="false" ht="15" hidden="false" customHeight="true" outlineLevel="0" collapsed="false">
      <c r="B121" s="15" t="str">
        <f aca="false">IF($C121="","",IFERROR(INDEX(Stock_Master!$C:$C,MATCH($C121,Stock_Master!$B:$B,0)),""))</f>
        <v/>
      </c>
      <c r="D121" s="28"/>
      <c r="E121" s="28"/>
      <c r="F121" s="28"/>
      <c r="G121" s="28"/>
      <c r="I121" s="13" t="str">
        <f aca="false">IF($D121="","",$D121*$F121)</f>
        <v/>
      </c>
      <c r="J121" s="13" t="str">
        <f aca="false">IF(OR($D121="",$E121=""),"",$D121*$E121)</f>
        <v/>
      </c>
      <c r="K121" s="13" t="str">
        <f aca="false">IF(OR($E121="",$D121=""),"",$I121-$J121)</f>
        <v/>
      </c>
      <c r="L121" s="13" t="str">
        <f aca="false">IF(OR($G121="",$D121=""),"",$D121*($F121-$G121))</f>
        <v/>
      </c>
      <c r="M121" s="29"/>
      <c r="N121" s="19" t="str">
        <f aca="true">IF(OR($M121="",N($J121)=0,$I121="",TODAY()&lt;=$M121),"",($I121/$J121)^(365/(TODAY()-$M121))-1)</f>
        <v/>
      </c>
      <c r="P121" s="23" t="str">
        <f aca="false">IF($A121="","",$A121&amp;"#"&amp;COUNTIF($A$4:$A121,$A121))</f>
        <v/>
      </c>
    </row>
    <row r="122" customFormat="false" ht="15" hidden="false" customHeight="true" outlineLevel="0" collapsed="false">
      <c r="B122" s="15" t="str">
        <f aca="false">IF($C122="","",IFERROR(INDEX(Stock_Master!$C:$C,MATCH($C122,Stock_Master!$B:$B,0)),""))</f>
        <v/>
      </c>
      <c r="D122" s="28"/>
      <c r="E122" s="28"/>
      <c r="F122" s="28"/>
      <c r="G122" s="28"/>
      <c r="I122" s="13" t="str">
        <f aca="false">IF($D122="","",$D122*$F122)</f>
        <v/>
      </c>
      <c r="J122" s="13" t="str">
        <f aca="false">IF(OR($D122="",$E122=""),"",$D122*$E122)</f>
        <v/>
      </c>
      <c r="K122" s="13" t="str">
        <f aca="false">IF(OR($E122="",$D122=""),"",$I122-$J122)</f>
        <v/>
      </c>
      <c r="L122" s="13" t="str">
        <f aca="false">IF(OR($G122="",$D122=""),"",$D122*($F122-$G122))</f>
        <v/>
      </c>
      <c r="M122" s="29"/>
      <c r="N122" s="19" t="str">
        <f aca="true">IF(OR($M122="",N($J122)=0,$I122="",TODAY()&lt;=$M122),"",($I122/$J122)^(365/(TODAY()-$M122))-1)</f>
        <v/>
      </c>
      <c r="P122" s="23" t="str">
        <f aca="false">IF($A122="","",$A122&amp;"#"&amp;COUNTIF($A$4:$A122,$A122))</f>
        <v/>
      </c>
    </row>
    <row r="123" customFormat="false" ht="15" hidden="false" customHeight="true" outlineLevel="0" collapsed="false">
      <c r="B123" s="15" t="str">
        <f aca="false">IF($C123="","",IFERROR(INDEX(Stock_Master!$C:$C,MATCH($C123,Stock_Master!$B:$B,0)),""))</f>
        <v/>
      </c>
      <c r="D123" s="28"/>
      <c r="E123" s="28"/>
      <c r="F123" s="28"/>
      <c r="G123" s="28"/>
      <c r="I123" s="13" t="str">
        <f aca="false">IF($D123="","",$D123*$F123)</f>
        <v/>
      </c>
      <c r="J123" s="13" t="str">
        <f aca="false">IF(OR($D123="",$E123=""),"",$D123*$E123)</f>
        <v/>
      </c>
      <c r="K123" s="13" t="str">
        <f aca="false">IF(OR($E123="",$D123=""),"",$I123-$J123)</f>
        <v/>
      </c>
      <c r="L123" s="13" t="str">
        <f aca="false">IF(OR($G123="",$D123=""),"",$D123*($F123-$G123))</f>
        <v/>
      </c>
      <c r="M123" s="29"/>
      <c r="N123" s="19" t="str">
        <f aca="true">IF(OR($M123="",N($J123)=0,$I123="",TODAY()&lt;=$M123),"",($I123/$J123)^(365/(TODAY()-$M123))-1)</f>
        <v/>
      </c>
      <c r="P123" s="23" t="str">
        <f aca="false">IF($A123="","",$A123&amp;"#"&amp;COUNTIF($A$4:$A123,$A123))</f>
        <v/>
      </c>
    </row>
    <row r="124" customFormat="false" ht="15" hidden="false" customHeight="true" outlineLevel="0" collapsed="false">
      <c r="B124" s="15" t="str">
        <f aca="false">IF($C124="","",IFERROR(INDEX(Stock_Master!$C:$C,MATCH($C124,Stock_Master!$B:$B,0)),""))</f>
        <v/>
      </c>
      <c r="D124" s="28"/>
      <c r="E124" s="28"/>
      <c r="F124" s="28"/>
      <c r="G124" s="28"/>
      <c r="I124" s="13" t="str">
        <f aca="false">IF($D124="","",$D124*$F124)</f>
        <v/>
      </c>
      <c r="J124" s="13" t="str">
        <f aca="false">IF(OR($D124="",$E124=""),"",$D124*$E124)</f>
        <v/>
      </c>
      <c r="K124" s="13" t="str">
        <f aca="false">IF(OR($E124="",$D124=""),"",$I124-$J124)</f>
        <v/>
      </c>
      <c r="L124" s="13" t="str">
        <f aca="false">IF(OR($G124="",$D124=""),"",$D124*($F124-$G124))</f>
        <v/>
      </c>
      <c r="M124" s="29"/>
      <c r="N124" s="19" t="str">
        <f aca="true">IF(OR($M124="",N($J124)=0,$I124="",TODAY()&lt;=$M124),"",($I124/$J124)^(365/(TODAY()-$M124))-1)</f>
        <v/>
      </c>
      <c r="P124" s="23" t="str">
        <f aca="false">IF($A124="","",$A124&amp;"#"&amp;COUNTIF($A$4:$A124,$A124))</f>
        <v/>
      </c>
    </row>
    <row r="125" customFormat="false" ht="15" hidden="false" customHeight="true" outlineLevel="0" collapsed="false">
      <c r="B125" s="15" t="str">
        <f aca="false">IF($C125="","",IFERROR(INDEX(Stock_Master!$C:$C,MATCH($C125,Stock_Master!$B:$B,0)),""))</f>
        <v/>
      </c>
      <c r="D125" s="28"/>
      <c r="E125" s="28"/>
      <c r="F125" s="28"/>
      <c r="G125" s="28"/>
      <c r="I125" s="13" t="str">
        <f aca="false">IF($D125="","",$D125*$F125)</f>
        <v/>
      </c>
      <c r="J125" s="13" t="str">
        <f aca="false">IF(OR($D125="",$E125=""),"",$D125*$E125)</f>
        <v/>
      </c>
      <c r="K125" s="13" t="str">
        <f aca="false">IF(OR($E125="",$D125=""),"",$I125-$J125)</f>
        <v/>
      </c>
      <c r="L125" s="13" t="str">
        <f aca="false">IF(OR($G125="",$D125=""),"",$D125*($F125-$G125))</f>
        <v/>
      </c>
      <c r="M125" s="29"/>
      <c r="N125" s="19" t="str">
        <f aca="true">IF(OR($M125="",N($J125)=0,$I125="",TODAY()&lt;=$M125),"",($I125/$J125)^(365/(TODAY()-$M125))-1)</f>
        <v/>
      </c>
      <c r="P125" s="23" t="str">
        <f aca="false">IF($A125="","",$A125&amp;"#"&amp;COUNTIF($A$4:$A125,$A125))</f>
        <v/>
      </c>
    </row>
    <row r="126" customFormat="false" ht="15" hidden="false" customHeight="true" outlineLevel="0" collapsed="false">
      <c r="B126" s="15" t="str">
        <f aca="false">IF($C126="","",IFERROR(INDEX(Stock_Master!$C:$C,MATCH($C126,Stock_Master!$B:$B,0)),""))</f>
        <v/>
      </c>
      <c r="D126" s="28"/>
      <c r="E126" s="28"/>
      <c r="F126" s="28"/>
      <c r="G126" s="28"/>
      <c r="I126" s="13" t="str">
        <f aca="false">IF($D126="","",$D126*$F126)</f>
        <v/>
      </c>
      <c r="J126" s="13" t="str">
        <f aca="false">IF(OR($D126="",$E126=""),"",$D126*$E126)</f>
        <v/>
      </c>
      <c r="K126" s="13" t="str">
        <f aca="false">IF(OR($E126="",$D126=""),"",$I126-$J126)</f>
        <v/>
      </c>
      <c r="L126" s="13" t="str">
        <f aca="false">IF(OR($G126="",$D126=""),"",$D126*($F126-$G126))</f>
        <v/>
      </c>
      <c r="M126" s="29"/>
      <c r="N126" s="19" t="str">
        <f aca="true">IF(OR($M126="",N($J126)=0,$I126="",TODAY()&lt;=$M126),"",($I126/$J126)^(365/(TODAY()-$M126))-1)</f>
        <v/>
      </c>
      <c r="P126" s="23" t="str">
        <f aca="false">IF($A126="","",$A126&amp;"#"&amp;COUNTIF($A$4:$A126,$A126))</f>
        <v/>
      </c>
    </row>
    <row r="127" customFormat="false" ht="15" hidden="false" customHeight="true" outlineLevel="0" collapsed="false">
      <c r="B127" s="15" t="str">
        <f aca="false">IF($C127="","",IFERROR(INDEX(Stock_Master!$C:$C,MATCH($C127,Stock_Master!$B:$B,0)),""))</f>
        <v/>
      </c>
      <c r="D127" s="28"/>
      <c r="E127" s="28"/>
      <c r="F127" s="28"/>
      <c r="G127" s="28"/>
      <c r="I127" s="13" t="str">
        <f aca="false">IF($D127="","",$D127*$F127)</f>
        <v/>
      </c>
      <c r="J127" s="13" t="str">
        <f aca="false">IF(OR($D127="",$E127=""),"",$D127*$E127)</f>
        <v/>
      </c>
      <c r="K127" s="13" t="str">
        <f aca="false">IF(OR($E127="",$D127=""),"",$I127-$J127)</f>
        <v/>
      </c>
      <c r="L127" s="13" t="str">
        <f aca="false">IF(OR($G127="",$D127=""),"",$D127*($F127-$G127))</f>
        <v/>
      </c>
      <c r="M127" s="29"/>
      <c r="N127" s="19" t="str">
        <f aca="true">IF(OR($M127="",N($J127)=0,$I127="",TODAY()&lt;=$M127),"",($I127/$J127)^(365/(TODAY()-$M127))-1)</f>
        <v/>
      </c>
      <c r="P127" s="23" t="str">
        <f aca="false">IF($A127="","",$A127&amp;"#"&amp;COUNTIF($A$4:$A127,$A127))</f>
        <v/>
      </c>
    </row>
    <row r="128" customFormat="false" ht="15" hidden="false" customHeight="true" outlineLevel="0" collapsed="false">
      <c r="B128" s="15" t="str">
        <f aca="false">IF($C128="","",IFERROR(INDEX(Stock_Master!$C:$C,MATCH($C128,Stock_Master!$B:$B,0)),""))</f>
        <v/>
      </c>
      <c r="D128" s="28"/>
      <c r="E128" s="28"/>
      <c r="F128" s="28"/>
      <c r="G128" s="28"/>
      <c r="I128" s="13" t="str">
        <f aca="false">IF($D128="","",$D128*$F128)</f>
        <v/>
      </c>
      <c r="J128" s="13" t="str">
        <f aca="false">IF(OR($D128="",$E128=""),"",$D128*$E128)</f>
        <v/>
      </c>
      <c r="K128" s="13" t="str">
        <f aca="false">IF(OR($E128="",$D128=""),"",$I128-$J128)</f>
        <v/>
      </c>
      <c r="L128" s="13" t="str">
        <f aca="false">IF(OR($G128="",$D128=""),"",$D128*($F128-$G128))</f>
        <v/>
      </c>
      <c r="M128" s="29"/>
      <c r="N128" s="19" t="str">
        <f aca="true">IF(OR($M128="",N($J128)=0,$I128="",TODAY()&lt;=$M128),"",($I128/$J128)^(365/(TODAY()-$M128))-1)</f>
        <v/>
      </c>
      <c r="P128" s="23" t="str">
        <f aca="false">IF($A128="","",$A128&amp;"#"&amp;COUNTIF($A$4:$A128,$A128))</f>
        <v/>
      </c>
    </row>
    <row r="129" customFormat="false" ht="15" hidden="false" customHeight="true" outlineLevel="0" collapsed="false">
      <c r="B129" s="15" t="str">
        <f aca="false">IF($C129="","",IFERROR(INDEX(Stock_Master!$C:$C,MATCH($C129,Stock_Master!$B:$B,0)),""))</f>
        <v/>
      </c>
      <c r="D129" s="28"/>
      <c r="E129" s="28"/>
      <c r="F129" s="28"/>
      <c r="G129" s="28"/>
      <c r="I129" s="13" t="str">
        <f aca="false">IF($D129="","",$D129*$F129)</f>
        <v/>
      </c>
      <c r="J129" s="13" t="str">
        <f aca="false">IF(OR($D129="",$E129=""),"",$D129*$E129)</f>
        <v/>
      </c>
      <c r="K129" s="13" t="str">
        <f aca="false">IF(OR($E129="",$D129=""),"",$I129-$J129)</f>
        <v/>
      </c>
      <c r="L129" s="13" t="str">
        <f aca="false">IF(OR($G129="",$D129=""),"",$D129*($F129-$G129))</f>
        <v/>
      </c>
      <c r="M129" s="29"/>
      <c r="N129" s="19" t="str">
        <f aca="true">IF(OR($M129="",N($J129)=0,$I129="",TODAY()&lt;=$M129),"",($I129/$J129)^(365/(TODAY()-$M129))-1)</f>
        <v/>
      </c>
      <c r="P129" s="23" t="str">
        <f aca="false">IF($A129="","",$A129&amp;"#"&amp;COUNTIF($A$4:$A129,$A129))</f>
        <v/>
      </c>
    </row>
    <row r="130" customFormat="false" ht="15" hidden="false" customHeight="true" outlineLevel="0" collapsed="false">
      <c r="B130" s="15" t="str">
        <f aca="false">IF($C130="","",IFERROR(INDEX(Stock_Master!$C:$C,MATCH($C130,Stock_Master!$B:$B,0)),""))</f>
        <v/>
      </c>
      <c r="D130" s="28"/>
      <c r="E130" s="28"/>
      <c r="F130" s="28"/>
      <c r="G130" s="28"/>
      <c r="I130" s="13" t="str">
        <f aca="false">IF($D130="","",$D130*$F130)</f>
        <v/>
      </c>
      <c r="J130" s="13" t="str">
        <f aca="false">IF(OR($D130="",$E130=""),"",$D130*$E130)</f>
        <v/>
      </c>
      <c r="K130" s="13" t="str">
        <f aca="false">IF(OR($E130="",$D130=""),"",$I130-$J130)</f>
        <v/>
      </c>
      <c r="L130" s="13" t="str">
        <f aca="false">IF(OR($G130="",$D130=""),"",$D130*($F130-$G130))</f>
        <v/>
      </c>
      <c r="M130" s="29"/>
      <c r="N130" s="19" t="str">
        <f aca="true">IF(OR($M130="",N($J130)=0,$I130="",TODAY()&lt;=$M130),"",($I130/$J130)^(365/(TODAY()-$M130))-1)</f>
        <v/>
      </c>
      <c r="P130" s="23" t="str">
        <f aca="false">IF($A130="","",$A130&amp;"#"&amp;COUNTIF($A$4:$A130,$A130))</f>
        <v/>
      </c>
    </row>
    <row r="131" customFormat="false" ht="15" hidden="false" customHeight="true" outlineLevel="0" collapsed="false">
      <c r="B131" s="15" t="str">
        <f aca="false">IF($C131="","",IFERROR(INDEX(Stock_Master!$C:$C,MATCH($C131,Stock_Master!$B:$B,0)),""))</f>
        <v/>
      </c>
      <c r="D131" s="28"/>
      <c r="E131" s="28"/>
      <c r="F131" s="28"/>
      <c r="G131" s="28"/>
      <c r="I131" s="13" t="str">
        <f aca="false">IF($D131="","",$D131*$F131)</f>
        <v/>
      </c>
      <c r="J131" s="13" t="str">
        <f aca="false">IF(OR($D131="",$E131=""),"",$D131*$E131)</f>
        <v/>
      </c>
      <c r="K131" s="13" t="str">
        <f aca="false">IF(OR($E131="",$D131=""),"",$I131-$J131)</f>
        <v/>
      </c>
      <c r="L131" s="13" t="str">
        <f aca="false">IF(OR($G131="",$D131=""),"",$D131*($F131-$G131))</f>
        <v/>
      </c>
      <c r="M131" s="29"/>
      <c r="N131" s="19" t="str">
        <f aca="true">IF(OR($M131="",N($J131)=0,$I131="",TODAY()&lt;=$M131),"",($I131/$J131)^(365/(TODAY()-$M131))-1)</f>
        <v/>
      </c>
      <c r="P131" s="23" t="str">
        <f aca="false">IF($A131="","",$A131&amp;"#"&amp;COUNTIF($A$4:$A131,$A131))</f>
        <v/>
      </c>
    </row>
    <row r="132" customFormat="false" ht="15" hidden="false" customHeight="true" outlineLevel="0" collapsed="false">
      <c r="B132" s="15" t="str">
        <f aca="false">IF($C132="","",IFERROR(INDEX(Stock_Master!$C:$C,MATCH($C132,Stock_Master!$B:$B,0)),""))</f>
        <v/>
      </c>
      <c r="D132" s="28"/>
      <c r="E132" s="28"/>
      <c r="F132" s="28"/>
      <c r="G132" s="28"/>
      <c r="I132" s="13" t="str">
        <f aca="false">IF($D132="","",$D132*$F132)</f>
        <v/>
      </c>
      <c r="J132" s="13" t="str">
        <f aca="false">IF(OR($D132="",$E132=""),"",$D132*$E132)</f>
        <v/>
      </c>
      <c r="K132" s="13" t="str">
        <f aca="false">IF(OR($E132="",$D132=""),"",$I132-$J132)</f>
        <v/>
      </c>
      <c r="L132" s="13" t="str">
        <f aca="false">IF(OR($G132="",$D132=""),"",$D132*($F132-$G132))</f>
        <v/>
      </c>
      <c r="M132" s="29"/>
      <c r="N132" s="19" t="str">
        <f aca="true">IF(OR($M132="",N($J132)=0,$I132="",TODAY()&lt;=$M132),"",($I132/$J132)^(365/(TODAY()-$M132))-1)</f>
        <v/>
      </c>
      <c r="P132" s="23" t="str">
        <f aca="false">IF($A132="","",$A132&amp;"#"&amp;COUNTIF($A$4:$A132,$A132))</f>
        <v/>
      </c>
    </row>
    <row r="133" customFormat="false" ht="15" hidden="false" customHeight="true" outlineLevel="0" collapsed="false">
      <c r="B133" s="15" t="str">
        <f aca="false">IF($C133="","",IFERROR(INDEX(Stock_Master!$C:$C,MATCH($C133,Stock_Master!$B:$B,0)),""))</f>
        <v/>
      </c>
      <c r="D133" s="28"/>
      <c r="E133" s="28"/>
      <c r="F133" s="28"/>
      <c r="G133" s="28"/>
      <c r="I133" s="13" t="str">
        <f aca="false">IF($D133="","",$D133*$F133)</f>
        <v/>
      </c>
      <c r="J133" s="13" t="str">
        <f aca="false">IF(OR($D133="",$E133=""),"",$D133*$E133)</f>
        <v/>
      </c>
      <c r="K133" s="13" t="str">
        <f aca="false">IF(OR($E133="",$D133=""),"",$I133-$J133)</f>
        <v/>
      </c>
      <c r="L133" s="13" t="str">
        <f aca="false">IF(OR($G133="",$D133=""),"",$D133*($F133-$G133))</f>
        <v/>
      </c>
      <c r="M133" s="29"/>
      <c r="N133" s="19" t="str">
        <f aca="true">IF(OR($M133="",N($J133)=0,$I133="",TODAY()&lt;=$M133),"",($I133/$J133)^(365/(TODAY()-$M133))-1)</f>
        <v/>
      </c>
      <c r="P133" s="23" t="str">
        <f aca="false">IF($A133="","",$A133&amp;"#"&amp;COUNTIF($A$4:$A133,$A133))</f>
        <v/>
      </c>
    </row>
    <row r="134" customFormat="false" ht="15" hidden="false" customHeight="true" outlineLevel="0" collapsed="false">
      <c r="B134" s="15" t="str">
        <f aca="false">IF($C134="","",IFERROR(INDEX(Stock_Master!$C:$C,MATCH($C134,Stock_Master!$B:$B,0)),""))</f>
        <v/>
      </c>
      <c r="D134" s="28"/>
      <c r="E134" s="28"/>
      <c r="F134" s="28"/>
      <c r="G134" s="28"/>
      <c r="I134" s="13" t="str">
        <f aca="false">IF($D134="","",$D134*$F134)</f>
        <v/>
      </c>
      <c r="J134" s="13" t="str">
        <f aca="false">IF(OR($D134="",$E134=""),"",$D134*$E134)</f>
        <v/>
      </c>
      <c r="K134" s="13" t="str">
        <f aca="false">IF(OR($E134="",$D134=""),"",$I134-$J134)</f>
        <v/>
      </c>
      <c r="L134" s="13" t="str">
        <f aca="false">IF(OR($G134="",$D134=""),"",$D134*($F134-$G134))</f>
        <v/>
      </c>
      <c r="M134" s="29"/>
      <c r="N134" s="19" t="str">
        <f aca="true">IF(OR($M134="",N($J134)=0,$I134="",TODAY()&lt;=$M134),"",($I134/$J134)^(365/(TODAY()-$M134))-1)</f>
        <v/>
      </c>
      <c r="P134" s="23" t="str">
        <f aca="false">IF($A134="","",$A134&amp;"#"&amp;COUNTIF($A$4:$A134,$A134))</f>
        <v/>
      </c>
    </row>
    <row r="135" customFormat="false" ht="15" hidden="false" customHeight="true" outlineLevel="0" collapsed="false">
      <c r="B135" s="15" t="str">
        <f aca="false">IF($C135="","",IFERROR(INDEX(Stock_Master!$C:$C,MATCH($C135,Stock_Master!$B:$B,0)),""))</f>
        <v/>
      </c>
      <c r="D135" s="28"/>
      <c r="E135" s="28"/>
      <c r="F135" s="28"/>
      <c r="G135" s="28"/>
      <c r="I135" s="13" t="str">
        <f aca="false">IF($D135="","",$D135*$F135)</f>
        <v/>
      </c>
      <c r="J135" s="13" t="str">
        <f aca="false">IF(OR($D135="",$E135=""),"",$D135*$E135)</f>
        <v/>
      </c>
      <c r="K135" s="13" t="str">
        <f aca="false">IF(OR($E135="",$D135=""),"",$I135-$J135)</f>
        <v/>
      </c>
      <c r="L135" s="13" t="str">
        <f aca="false">IF(OR($G135="",$D135=""),"",$D135*($F135-$G135))</f>
        <v/>
      </c>
      <c r="M135" s="29"/>
      <c r="N135" s="19" t="str">
        <f aca="true">IF(OR($M135="",N($J135)=0,$I135="",TODAY()&lt;=$M135),"",($I135/$J135)^(365/(TODAY()-$M135))-1)</f>
        <v/>
      </c>
      <c r="P135" s="23" t="str">
        <f aca="false">IF($A135="","",$A135&amp;"#"&amp;COUNTIF($A$4:$A135,$A135))</f>
        <v/>
      </c>
    </row>
    <row r="136" customFormat="false" ht="15" hidden="false" customHeight="true" outlineLevel="0" collapsed="false">
      <c r="B136" s="15" t="str">
        <f aca="false">IF($C136="","",IFERROR(INDEX(Stock_Master!$C:$C,MATCH($C136,Stock_Master!$B:$B,0)),""))</f>
        <v/>
      </c>
      <c r="D136" s="28"/>
      <c r="E136" s="28"/>
      <c r="F136" s="28"/>
      <c r="G136" s="28"/>
      <c r="I136" s="13" t="str">
        <f aca="false">IF($D136="","",$D136*$F136)</f>
        <v/>
      </c>
      <c r="J136" s="13" t="str">
        <f aca="false">IF(OR($D136="",$E136=""),"",$D136*$E136)</f>
        <v/>
      </c>
      <c r="K136" s="13" t="str">
        <f aca="false">IF(OR($E136="",$D136=""),"",$I136-$J136)</f>
        <v/>
      </c>
      <c r="L136" s="13" t="str">
        <f aca="false">IF(OR($G136="",$D136=""),"",$D136*($F136-$G136))</f>
        <v/>
      </c>
      <c r="M136" s="29"/>
      <c r="N136" s="19" t="str">
        <f aca="true">IF(OR($M136="",N($J136)=0,$I136="",TODAY()&lt;=$M136),"",($I136/$J136)^(365/(TODAY()-$M136))-1)</f>
        <v/>
      </c>
      <c r="P136" s="23" t="str">
        <f aca="false">IF($A136="","",$A136&amp;"#"&amp;COUNTIF($A$4:$A136,$A136))</f>
        <v/>
      </c>
    </row>
    <row r="137" customFormat="false" ht="15" hidden="false" customHeight="true" outlineLevel="0" collapsed="false">
      <c r="B137" s="15" t="str">
        <f aca="false">IF($C137="","",IFERROR(INDEX(Stock_Master!$C:$C,MATCH($C137,Stock_Master!$B:$B,0)),""))</f>
        <v/>
      </c>
      <c r="D137" s="28"/>
      <c r="E137" s="28"/>
      <c r="F137" s="28"/>
      <c r="G137" s="28"/>
      <c r="I137" s="13" t="str">
        <f aca="false">IF($D137="","",$D137*$F137)</f>
        <v/>
      </c>
      <c r="J137" s="13" t="str">
        <f aca="false">IF(OR($D137="",$E137=""),"",$D137*$E137)</f>
        <v/>
      </c>
      <c r="K137" s="13" t="str">
        <f aca="false">IF(OR($E137="",$D137=""),"",$I137-$J137)</f>
        <v/>
      </c>
      <c r="L137" s="13" t="str">
        <f aca="false">IF(OR($G137="",$D137=""),"",$D137*($F137-$G137))</f>
        <v/>
      </c>
      <c r="M137" s="29"/>
      <c r="N137" s="19" t="str">
        <f aca="true">IF(OR($M137="",N($J137)=0,$I137="",TODAY()&lt;=$M137),"",($I137/$J137)^(365/(TODAY()-$M137))-1)</f>
        <v/>
      </c>
      <c r="P137" s="23" t="str">
        <f aca="false">IF($A137="","",$A137&amp;"#"&amp;COUNTIF($A$4:$A137,$A137))</f>
        <v/>
      </c>
    </row>
    <row r="138" customFormat="false" ht="15" hidden="false" customHeight="true" outlineLevel="0" collapsed="false">
      <c r="B138" s="15" t="str">
        <f aca="false">IF($C138="","",IFERROR(INDEX(Stock_Master!$C:$C,MATCH($C138,Stock_Master!$B:$B,0)),""))</f>
        <v/>
      </c>
      <c r="D138" s="28"/>
      <c r="E138" s="28"/>
      <c r="F138" s="28"/>
      <c r="G138" s="28"/>
      <c r="I138" s="13" t="str">
        <f aca="false">IF($D138="","",$D138*$F138)</f>
        <v/>
      </c>
      <c r="J138" s="13" t="str">
        <f aca="false">IF(OR($D138="",$E138=""),"",$D138*$E138)</f>
        <v/>
      </c>
      <c r="K138" s="13" t="str">
        <f aca="false">IF(OR($E138="",$D138=""),"",$I138-$J138)</f>
        <v/>
      </c>
      <c r="L138" s="13" t="str">
        <f aca="false">IF(OR($G138="",$D138=""),"",$D138*($F138-$G138))</f>
        <v/>
      </c>
      <c r="M138" s="29"/>
      <c r="N138" s="19" t="str">
        <f aca="true">IF(OR($M138="",N($J138)=0,$I138="",TODAY()&lt;=$M138),"",($I138/$J138)^(365/(TODAY()-$M138))-1)</f>
        <v/>
      </c>
      <c r="P138" s="23" t="str">
        <f aca="false">IF($A138="","",$A138&amp;"#"&amp;COUNTIF($A$4:$A138,$A138))</f>
        <v/>
      </c>
    </row>
    <row r="139" customFormat="false" ht="15" hidden="false" customHeight="true" outlineLevel="0" collapsed="false">
      <c r="B139" s="15" t="str">
        <f aca="false">IF($C139="","",IFERROR(INDEX(Stock_Master!$C:$C,MATCH($C139,Stock_Master!$B:$B,0)),""))</f>
        <v/>
      </c>
      <c r="D139" s="28"/>
      <c r="E139" s="28"/>
      <c r="F139" s="28"/>
      <c r="G139" s="28"/>
      <c r="I139" s="13" t="str">
        <f aca="false">IF($D139="","",$D139*$F139)</f>
        <v/>
      </c>
      <c r="J139" s="13" t="str">
        <f aca="false">IF(OR($D139="",$E139=""),"",$D139*$E139)</f>
        <v/>
      </c>
      <c r="K139" s="13" t="str">
        <f aca="false">IF(OR($E139="",$D139=""),"",$I139-$J139)</f>
        <v/>
      </c>
      <c r="L139" s="13" t="str">
        <f aca="false">IF(OR($G139="",$D139=""),"",$D139*($F139-$G139))</f>
        <v/>
      </c>
      <c r="M139" s="29"/>
      <c r="N139" s="19" t="str">
        <f aca="true">IF(OR($M139="",N($J139)=0,$I139="",TODAY()&lt;=$M139),"",($I139/$J139)^(365/(TODAY()-$M139))-1)</f>
        <v/>
      </c>
      <c r="P139" s="23" t="str">
        <f aca="false">IF($A139="","",$A139&amp;"#"&amp;COUNTIF($A$4:$A139,$A139))</f>
        <v/>
      </c>
    </row>
    <row r="140" customFormat="false" ht="15" hidden="false" customHeight="true" outlineLevel="0" collapsed="false">
      <c r="B140" s="15" t="str">
        <f aca="false">IF($C140="","",IFERROR(INDEX(Stock_Master!$C:$C,MATCH($C140,Stock_Master!$B:$B,0)),""))</f>
        <v/>
      </c>
      <c r="D140" s="28"/>
      <c r="E140" s="28"/>
      <c r="F140" s="28"/>
      <c r="G140" s="28"/>
      <c r="I140" s="13" t="str">
        <f aca="false">IF($D140="","",$D140*$F140)</f>
        <v/>
      </c>
      <c r="J140" s="13" t="str">
        <f aca="false">IF(OR($D140="",$E140=""),"",$D140*$E140)</f>
        <v/>
      </c>
      <c r="K140" s="13" t="str">
        <f aca="false">IF(OR($E140="",$D140=""),"",$I140-$J140)</f>
        <v/>
      </c>
      <c r="L140" s="13" t="str">
        <f aca="false">IF(OR($G140="",$D140=""),"",$D140*($F140-$G140))</f>
        <v/>
      </c>
      <c r="M140" s="29"/>
      <c r="N140" s="19" t="str">
        <f aca="true">IF(OR($M140="",N($J140)=0,$I140="",TODAY()&lt;=$M140),"",($I140/$J140)^(365/(TODAY()-$M140))-1)</f>
        <v/>
      </c>
      <c r="P140" s="23" t="str">
        <f aca="false">IF($A140="","",$A140&amp;"#"&amp;COUNTIF($A$4:$A140,$A140))</f>
        <v/>
      </c>
    </row>
    <row r="142" customFormat="false" ht="15" hidden="false" customHeight="true" outlineLevel="0" collapsed="false">
      <c r="C142" s="3" t="s">
        <v>13</v>
      </c>
      <c r="I142" s="16" t="n">
        <f aca="false">SUM(I4:I140)</f>
        <v>766750</v>
      </c>
      <c r="J142" s="16" t="n">
        <f aca="false">SUM(J4:J140)</f>
        <v>445111.6</v>
      </c>
      <c r="K142" s="16" t="n">
        <f aca="false">SUM(K4:K140)</f>
        <v>321638.4</v>
      </c>
      <c r="L142" s="16" t="n">
        <f aca="false">SUM(L4:L140)</f>
        <v>1017.8</v>
      </c>
      <c r="M142" s="3" t="s">
        <v>81</v>
      </c>
      <c r="N142" s="30" t="n">
        <v>0.066437</v>
      </c>
    </row>
  </sheetData>
  <dataValidations count="1">
    <dataValidation type="list" operator="between" allowBlank="true" showDropDown="false" showInputMessage="true" showErrorMessage="false" promptTitle="Pick a scrip" prompt="Type the first letters, then click the arrow: the list shows only matching names." sqref="C4:C140">
      <formula1>OFFSET(Stock_Master!$B$3,IFERROR(MATCH($C4&amp;"*",Stock_NameList,0),1),0,MAX(1,COUNTIF(Stock_NameList,$C4&amp;"*")),1)</formula1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0" min="10" style="1" width="13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true" outlineLevel="0" max="14" min="14" style="1" width="13"/>
  </cols>
  <sheetData>
    <row r="1" customFormat="false" ht="18" hidden="false" customHeight="true" outlineLevel="0" collapsed="false">
      <c r="A1" s="2" t="s">
        <v>29</v>
      </c>
    </row>
    <row r="2" customFormat="false" ht="15" hidden="false" customHeight="true" outlineLevel="0" collapsed="false">
      <c r="A2" s="22" t="inlineStr">
        <is>
          <t xml:space="preserve">One row per scheme. Enter Owner, then PICK the Scheme Name from the dropdown — Fund House and ISIN fill themselves from the MF_Master sheet (type them only for schemes missing there). Enter Current NAV or run UpdateNAV.bat. Units / Invested / Avg cost NAV / Return % / XIRR compute from the MF_SIP ledger.</t>
        </is>
      </c>
    </row>
    <row r="3" customFormat="false" ht="15" hidden="false" customHeight="true" outlineLevel="0" collapsed="false">
      <c r="A3" s="6" t="s">
        <v>18</v>
      </c>
      <c r="B3" s="6" t="s">
        <v>30</v>
      </c>
      <c r="C3" s="6" t="s">
        <v>83</v>
      </c>
      <c r="D3" s="6" t="s">
        <v>22</v>
      </c>
      <c r="E3" s="6" t="s">
        <v>32</v>
      </c>
      <c r="F3" s="6" t="s">
        <v>84</v>
      </c>
      <c r="G3" s="6" t="s">
        <v>85</v>
      </c>
      <c r="H3" s="6" t="s">
        <v>56</v>
      </c>
      <c r="I3" s="6" t="s">
        <v>26</v>
      </c>
      <c r="J3" s="6" t="s">
        <v>27</v>
      </c>
      <c r="K3" s="6" t="s">
        <v>86</v>
      </c>
      <c r="L3" s="6" t="s">
        <v>28</v>
      </c>
      <c r="N3" s="23" t="s">
        <v>59</v>
      </c>
    </row>
    <row r="4" customFormat="false" ht="15" hidden="false" customHeight="true" outlineLevel="0" collapsed="false">
      <c r="A4" s="14" t="s">
        <v>10</v>
      </c>
      <c r="B4" s="15" t="str">
        <f aca="false">IF($C4="","",IFERROR(INDEX(MF_Master!$A:$A,MATCH($C4,MF_Master!$B:$B,0)),""))</f>
        <v>PPFAS Mutual Fund</v>
      </c>
      <c r="C4" s="14" t="inlineStr">
        <is>
          <t xml:space="preserve">Parag Parikh Flexi Cap Fund - Direct Plan - Growth</t>
        </is>
      </c>
      <c r="D4" s="15" t="str">
        <f aca="false">IF($C4="","",IFERROR(INDEX(MF_Master!$C:$C,MATCH($C4,MF_Master!$B:$B,0)),""))</f>
        <v>INF879O01027</v>
      </c>
      <c r="E4" s="31" t="n">
        <f aca="false">IF($A4="","",SUMIFS(MF_SIP!$H:$H,MF_SIP!$A:$A,$A4,MF_SIP!$D:$D,$D4))</f>
        <v>720.177920161128</v>
      </c>
      <c r="F4" s="18" t="n">
        <f aca="false">IF(OR($A4="",N($E4)=0),"",$H4/$E4)</f>
        <v>83.3127458095021</v>
      </c>
      <c r="G4" s="32" t="n">
        <v>91.2</v>
      </c>
      <c r="H4" s="13" t="n">
        <f aca="false">IF($A4="","",SUMIFS(MF_SIP!$F:$F,MF_SIP!$A:$A,$A4,MF_SIP!$D:$D,$D4))</f>
        <v>60000</v>
      </c>
      <c r="I4" s="13" t="n">
        <f aca="false">IF(OR(N($E4)=0,$G4=""),"",$E4*$G4)</f>
        <v>65680.2263186949</v>
      </c>
      <c r="J4" s="13" t="n">
        <f aca="false">IF(N($E4)=0,"",$I4-$H4)</f>
        <v>5680.2263186949</v>
      </c>
      <c r="K4" s="19" t="n">
        <f aca="false">IF(OR(N($H4)=0,N($J4)=0),"",$J4/$H4)</f>
        <v>0.094670438644915</v>
      </c>
      <c r="L4" s="19" t="n">
        <v>0.36695</v>
      </c>
      <c r="N4" s="23" t="str">
        <f aca="false">IF($A4="","",$A4&amp;"#"&amp;COUNTIF($A$4:$A4,$A4))</f>
        <v>Amit#1</v>
      </c>
    </row>
    <row r="5" customFormat="false" ht="15" hidden="false" customHeight="true" outlineLevel="0" collapsed="false">
      <c r="A5" s="14" t="s">
        <v>11</v>
      </c>
      <c r="B5" s="15" t="str">
        <f aca="false">IF($C5="","",IFERROR(INDEX(MF_Master!$A:$A,MATCH($C5,MF_Master!$B:$B,0)),""))</f>
        <v>SBI Mutual Fund</v>
      </c>
      <c r="C5" s="14" t="inlineStr">
        <is>
          <t xml:space="preserve">SBI Large Cap FUND-DIRECT PLAN -GROWTH</t>
        </is>
      </c>
      <c r="D5" s="15" t="str">
        <f aca="false">IF($C5="","",IFERROR(INDEX(MF_Master!$C:$C,MATCH($C5,MF_Master!$B:$B,0)),""))</f>
        <v>INF200K01QX4</v>
      </c>
      <c r="E5" s="31" t="n">
        <f aca="false">IF($A5="","",SUMIFS(MF_SIP!$H:$H,MF_SIP!$A:$A,$A5,MF_SIP!$D:$D,$D5))</f>
        <v>1781.47268408551</v>
      </c>
      <c r="F5" s="18" t="n">
        <f aca="false">IF(OR($A5="",N($E5)=0),"",$H5/$E5)</f>
        <v>84.2</v>
      </c>
      <c r="G5" s="32" t="n">
        <v>96.4</v>
      </c>
      <c r="H5" s="13" t="n">
        <f aca="false">IF($A5="","",SUMIFS(MF_SIP!$F:$F,MF_SIP!$A:$A,$A5,MF_SIP!$D:$D,$D5))</f>
        <v>150000</v>
      </c>
      <c r="I5" s="13" t="n">
        <f aca="false">IF(OR(N($E5)=0,$G5=""),"",$E5*$G5)</f>
        <v>171733.966745843</v>
      </c>
      <c r="J5" s="13" t="n">
        <f aca="false">IF(N($E5)=0,"",$I5-$H5)</f>
        <v>21733.9667458432</v>
      </c>
      <c r="K5" s="19" t="n">
        <f aca="false">IF(OR(N($H5)=0,N($J5)=0),"",$J5/$H5)</f>
        <v>0.144893111638955</v>
      </c>
      <c r="L5" s="19" t="n">
        <v>0.073869</v>
      </c>
      <c r="N5" s="23" t="str">
        <f aca="false">IF($A5="","",$A5&amp;"#"&amp;COUNTIF($A$4:$A5,$A5))</f>
        <v>Priya#1</v>
      </c>
    </row>
    <row r="6" customFormat="false" ht="15" hidden="false" customHeight="true" outlineLevel="0" collapsed="false">
      <c r="B6" s="15" t="str">
        <f aca="false">IF($C6="","",IFERROR(INDEX(MF_Master!$A:$A,MATCH($C6,MF_Master!$B:$B,0)),""))</f>
        <v/>
      </c>
      <c r="D6" s="15" t="str">
        <f aca="false">IF($C6="","",IFERROR(INDEX(MF_Master!$C:$C,MATCH($C6,MF_Master!$B:$B,0)),""))</f>
        <v/>
      </c>
      <c r="E6" s="31" t="str">
        <f aca="false">IF($A6="","",SUMIFS(MF_SIP!$H:$H,MF_SIP!$A:$A,$A6,MF_SIP!$D:$D,$D6))</f>
        <v/>
      </c>
      <c r="F6" s="18" t="str">
        <f aca="false">IF(OR($A6="",N($E6)=0),"",$H6/$E6)</f>
        <v/>
      </c>
      <c r="G6" s="28"/>
      <c r="H6" s="13" t="str">
        <f aca="false">IF($A6="","",SUMIFS(MF_SIP!$F:$F,MF_SIP!$A:$A,$A6,MF_SIP!$D:$D,$D6))</f>
        <v/>
      </c>
      <c r="I6" s="13" t="str">
        <f aca="false">IF(OR(N($E6)=0,$G6=""),"",$E6*$G6)</f>
        <v/>
      </c>
      <c r="J6" s="13" t="str">
        <f aca="false">IF(N($E6)=0,"",$I6-$H6)</f>
        <v/>
      </c>
      <c r="K6" s="19" t="str">
        <f aca="false">IF(OR(N($H6)=0,N($J6)=0),"",$J6/$H6)</f>
        <v/>
      </c>
      <c r="L6" s="19"/>
      <c r="N6" s="23" t="str">
        <f aca="false">IF($A6="","",$A6&amp;"#"&amp;COUNTIF($A$4:$A6,$A6))</f>
        <v/>
      </c>
    </row>
    <row r="7" customFormat="false" ht="15" hidden="false" customHeight="true" outlineLevel="0" collapsed="false">
      <c r="B7" s="15" t="str">
        <f aca="false">IF($C7="","",IFERROR(INDEX(MF_Master!$A:$A,MATCH($C7,MF_Master!$B:$B,0)),""))</f>
        <v/>
      </c>
      <c r="D7" s="15" t="str">
        <f aca="false">IF($C7="","",IFERROR(INDEX(MF_Master!$C:$C,MATCH($C7,MF_Master!$B:$B,0)),""))</f>
        <v/>
      </c>
      <c r="E7" s="31" t="str">
        <f aca="false">IF($A7="","",SUMIFS(MF_SIP!$H:$H,MF_SIP!$A:$A,$A7,MF_SIP!$D:$D,$D7))</f>
        <v/>
      </c>
      <c r="F7" s="18" t="str">
        <f aca="false">IF(OR($A7="",N($E7)=0),"",$H7/$E7)</f>
        <v/>
      </c>
      <c r="G7" s="28"/>
      <c r="H7" s="13" t="str">
        <f aca="false">IF($A7="","",SUMIFS(MF_SIP!$F:$F,MF_SIP!$A:$A,$A7,MF_SIP!$D:$D,$D7))</f>
        <v/>
      </c>
      <c r="I7" s="13" t="str">
        <f aca="false">IF(OR(N($E7)=0,$G7=""),"",$E7*$G7)</f>
        <v/>
      </c>
      <c r="J7" s="13" t="str">
        <f aca="false">IF(N($E7)=0,"",$I7-$H7)</f>
        <v/>
      </c>
      <c r="K7" s="19" t="str">
        <f aca="false">IF(OR(N($H7)=0,N($J7)=0),"",$J7/$H7)</f>
        <v/>
      </c>
      <c r="L7" s="19"/>
      <c r="N7" s="23" t="str">
        <f aca="false">IF($A7="","",$A7&amp;"#"&amp;COUNTIF($A$4:$A7,$A7))</f>
        <v/>
      </c>
    </row>
    <row r="8" customFormat="false" ht="15" hidden="false" customHeight="true" outlineLevel="0" collapsed="false">
      <c r="B8" s="15" t="str">
        <f aca="false">IF($C8="","",IFERROR(INDEX(MF_Master!$A:$A,MATCH($C8,MF_Master!$B:$B,0)),""))</f>
        <v/>
      </c>
      <c r="D8" s="15" t="str">
        <f aca="false">IF($C8="","",IFERROR(INDEX(MF_Master!$C:$C,MATCH($C8,MF_Master!$B:$B,0)),""))</f>
        <v/>
      </c>
      <c r="E8" s="31" t="str">
        <f aca="false">IF($A8="","",SUMIFS(MF_SIP!$H:$H,MF_SIP!$A:$A,$A8,MF_SIP!$D:$D,$D8))</f>
        <v/>
      </c>
      <c r="F8" s="18" t="str">
        <f aca="false">IF(OR($A8="",N($E8)=0),"",$H8/$E8)</f>
        <v/>
      </c>
      <c r="G8" s="28"/>
      <c r="H8" s="13" t="str">
        <f aca="false">IF($A8="","",SUMIFS(MF_SIP!$F:$F,MF_SIP!$A:$A,$A8,MF_SIP!$D:$D,$D8))</f>
        <v/>
      </c>
      <c r="I8" s="13" t="str">
        <f aca="false">IF(OR(N($E8)=0,$G8=""),"",$E8*$G8)</f>
        <v/>
      </c>
      <c r="J8" s="13" t="str">
        <f aca="false">IF(N($E8)=0,"",$I8-$H8)</f>
        <v/>
      </c>
      <c r="K8" s="19" t="str">
        <f aca="false">IF(OR(N($H8)=0,N($J8)=0),"",$J8/$H8)</f>
        <v/>
      </c>
      <c r="L8" s="19"/>
      <c r="N8" s="23" t="str">
        <f aca="false">IF($A8="","",$A8&amp;"#"&amp;COUNTIF($A$4:$A8,$A8))</f>
        <v/>
      </c>
    </row>
    <row r="9" customFormat="false" ht="15" hidden="false" customHeight="true" outlineLevel="0" collapsed="false">
      <c r="B9" s="15" t="str">
        <f aca="false">IF($C9="","",IFERROR(INDEX(MF_Master!$A:$A,MATCH($C9,MF_Master!$B:$B,0)),""))</f>
        <v/>
      </c>
      <c r="D9" s="15" t="str">
        <f aca="false">IF($C9="","",IFERROR(INDEX(MF_Master!$C:$C,MATCH($C9,MF_Master!$B:$B,0)),""))</f>
        <v/>
      </c>
      <c r="E9" s="31" t="str">
        <f aca="false">IF($A9="","",SUMIFS(MF_SIP!$H:$H,MF_SIP!$A:$A,$A9,MF_SIP!$D:$D,$D9))</f>
        <v/>
      </c>
      <c r="F9" s="18" t="str">
        <f aca="false">IF(OR($A9="",N($E9)=0),"",$H9/$E9)</f>
        <v/>
      </c>
      <c r="G9" s="28"/>
      <c r="H9" s="13" t="str">
        <f aca="false">IF($A9="","",SUMIFS(MF_SIP!$F:$F,MF_SIP!$A:$A,$A9,MF_SIP!$D:$D,$D9))</f>
        <v/>
      </c>
      <c r="I9" s="13" t="str">
        <f aca="false">IF(OR(N($E9)=0,$G9=""),"",$E9*$G9)</f>
        <v/>
      </c>
      <c r="J9" s="13" t="str">
        <f aca="false">IF(N($E9)=0,"",$I9-$H9)</f>
        <v/>
      </c>
      <c r="K9" s="19" t="str">
        <f aca="false">IF(OR(N($H9)=0,N($J9)=0),"",$J9/$H9)</f>
        <v/>
      </c>
      <c r="L9" s="19"/>
      <c r="N9" s="23" t="str">
        <f aca="false">IF($A9="","",$A9&amp;"#"&amp;COUNTIF($A$4:$A9,$A9))</f>
        <v/>
      </c>
    </row>
    <row r="10" customFormat="false" ht="15" hidden="false" customHeight="true" outlineLevel="0" collapsed="false">
      <c r="B10" s="15" t="str">
        <f aca="false">IF($C10="","",IFERROR(INDEX(MF_Master!$A:$A,MATCH($C10,MF_Master!$B:$B,0)),""))</f>
        <v/>
      </c>
      <c r="D10" s="15" t="str">
        <f aca="false">IF($C10="","",IFERROR(INDEX(MF_Master!$C:$C,MATCH($C10,MF_Master!$B:$B,0)),""))</f>
        <v/>
      </c>
      <c r="E10" s="31" t="str">
        <f aca="false">IF($A10="","",SUMIFS(MF_SIP!$H:$H,MF_SIP!$A:$A,$A10,MF_SIP!$D:$D,$D10))</f>
        <v/>
      </c>
      <c r="F10" s="18" t="str">
        <f aca="false">IF(OR($A10="",N($E10)=0),"",$H10/$E10)</f>
        <v/>
      </c>
      <c r="G10" s="28"/>
      <c r="H10" s="13" t="str">
        <f aca="false">IF($A10="","",SUMIFS(MF_SIP!$F:$F,MF_SIP!$A:$A,$A10,MF_SIP!$D:$D,$D10))</f>
        <v/>
      </c>
      <c r="I10" s="13" t="str">
        <f aca="false">IF(OR(N($E10)=0,$G10=""),"",$E10*$G10)</f>
        <v/>
      </c>
      <c r="J10" s="13" t="str">
        <f aca="false">IF(N($E10)=0,"",$I10-$H10)</f>
        <v/>
      </c>
      <c r="K10" s="19" t="str">
        <f aca="false">IF(OR(N($H10)=0,N($J10)=0),"",$J10/$H10)</f>
        <v/>
      </c>
      <c r="L10" s="19"/>
      <c r="N10" s="23" t="str">
        <f aca="false">IF($A10="","",$A10&amp;"#"&amp;COUNTIF($A$4:$A10,$A10))</f>
        <v/>
      </c>
    </row>
    <row r="11" customFormat="false" ht="15" hidden="false" customHeight="true" outlineLevel="0" collapsed="false">
      <c r="B11" s="15" t="str">
        <f aca="false">IF($C11="","",IFERROR(INDEX(MF_Master!$A:$A,MATCH($C11,MF_Master!$B:$B,0)),""))</f>
        <v/>
      </c>
      <c r="D11" s="15" t="str">
        <f aca="false">IF($C11="","",IFERROR(INDEX(MF_Master!$C:$C,MATCH($C11,MF_Master!$B:$B,0)),""))</f>
        <v/>
      </c>
      <c r="E11" s="31" t="str">
        <f aca="false">IF($A11="","",SUMIFS(MF_SIP!$H:$H,MF_SIP!$A:$A,$A11,MF_SIP!$D:$D,$D11))</f>
        <v/>
      </c>
      <c r="F11" s="18" t="str">
        <f aca="false">IF(OR($A11="",N($E11)=0),"",$H11/$E11)</f>
        <v/>
      </c>
      <c r="G11" s="28"/>
      <c r="H11" s="13" t="str">
        <f aca="false">IF($A11="","",SUMIFS(MF_SIP!$F:$F,MF_SIP!$A:$A,$A11,MF_SIP!$D:$D,$D11))</f>
        <v/>
      </c>
      <c r="I11" s="13" t="str">
        <f aca="false">IF(OR(N($E11)=0,$G11=""),"",$E11*$G11)</f>
        <v/>
      </c>
      <c r="J11" s="13" t="str">
        <f aca="false">IF(N($E11)=0,"",$I11-$H11)</f>
        <v/>
      </c>
      <c r="K11" s="19" t="str">
        <f aca="false">IF(OR(N($H11)=0,N($J11)=0),"",$J11/$H11)</f>
        <v/>
      </c>
      <c r="L11" s="19"/>
      <c r="N11" s="23" t="str">
        <f aca="false">IF($A11="","",$A11&amp;"#"&amp;COUNTIF($A$4:$A11,$A11))</f>
        <v/>
      </c>
    </row>
    <row r="12" customFormat="false" ht="15" hidden="false" customHeight="true" outlineLevel="0" collapsed="false">
      <c r="B12" s="15" t="str">
        <f aca="false">IF($C12="","",IFERROR(INDEX(MF_Master!$A:$A,MATCH($C12,MF_Master!$B:$B,0)),""))</f>
        <v/>
      </c>
      <c r="D12" s="15" t="str">
        <f aca="false">IF($C12="","",IFERROR(INDEX(MF_Master!$C:$C,MATCH($C12,MF_Master!$B:$B,0)),""))</f>
        <v/>
      </c>
      <c r="E12" s="31" t="str">
        <f aca="false">IF($A12="","",SUMIFS(MF_SIP!$H:$H,MF_SIP!$A:$A,$A12,MF_SIP!$D:$D,$D12))</f>
        <v/>
      </c>
      <c r="F12" s="18" t="str">
        <f aca="false">IF(OR($A12="",N($E12)=0),"",$H12/$E12)</f>
        <v/>
      </c>
      <c r="G12" s="28"/>
      <c r="H12" s="13" t="str">
        <f aca="false">IF($A12="","",SUMIFS(MF_SIP!$F:$F,MF_SIP!$A:$A,$A12,MF_SIP!$D:$D,$D12))</f>
        <v/>
      </c>
      <c r="I12" s="13" t="str">
        <f aca="false">IF(OR(N($E12)=0,$G12=""),"",$E12*$G12)</f>
        <v/>
      </c>
      <c r="J12" s="13" t="str">
        <f aca="false">IF(N($E12)=0,"",$I12-$H12)</f>
        <v/>
      </c>
      <c r="K12" s="19" t="str">
        <f aca="false">IF(OR(N($H12)=0,N($J12)=0),"",$J12/$H12)</f>
        <v/>
      </c>
      <c r="L12" s="19"/>
      <c r="N12" s="23" t="str">
        <f aca="false">IF($A12="","",$A12&amp;"#"&amp;COUNTIF($A$4:$A12,$A12))</f>
        <v/>
      </c>
    </row>
    <row r="13" customFormat="false" ht="15" hidden="false" customHeight="true" outlineLevel="0" collapsed="false">
      <c r="B13" s="15" t="str">
        <f aca="false">IF($C13="","",IFERROR(INDEX(MF_Master!$A:$A,MATCH($C13,MF_Master!$B:$B,0)),""))</f>
        <v/>
      </c>
      <c r="D13" s="15" t="str">
        <f aca="false">IF($C13="","",IFERROR(INDEX(MF_Master!$C:$C,MATCH($C13,MF_Master!$B:$B,0)),""))</f>
        <v/>
      </c>
      <c r="E13" s="31" t="str">
        <f aca="false">IF($A13="","",SUMIFS(MF_SIP!$H:$H,MF_SIP!$A:$A,$A13,MF_SIP!$D:$D,$D13))</f>
        <v/>
      </c>
      <c r="F13" s="18" t="str">
        <f aca="false">IF(OR($A13="",N($E13)=0),"",$H13/$E13)</f>
        <v/>
      </c>
      <c r="G13" s="28"/>
      <c r="H13" s="13" t="str">
        <f aca="false">IF($A13="","",SUMIFS(MF_SIP!$F:$F,MF_SIP!$A:$A,$A13,MF_SIP!$D:$D,$D13))</f>
        <v/>
      </c>
      <c r="I13" s="13" t="str">
        <f aca="false">IF(OR(N($E13)=0,$G13=""),"",$E13*$G13)</f>
        <v/>
      </c>
      <c r="J13" s="13" t="str">
        <f aca="false">IF(N($E13)=0,"",$I13-$H13)</f>
        <v/>
      </c>
      <c r="K13" s="19" t="str">
        <f aca="false">IF(OR(N($H13)=0,N($J13)=0),"",$J13/$H13)</f>
        <v/>
      </c>
      <c r="L13" s="19"/>
      <c r="N13" s="23" t="str">
        <f aca="false">IF($A13="","",$A13&amp;"#"&amp;COUNTIF($A$4:$A13,$A13))</f>
        <v/>
      </c>
    </row>
    <row r="14" customFormat="false" ht="15" hidden="false" customHeight="true" outlineLevel="0" collapsed="false">
      <c r="B14" s="15" t="str">
        <f aca="false">IF($C14="","",IFERROR(INDEX(MF_Master!$A:$A,MATCH($C14,MF_Master!$B:$B,0)),""))</f>
        <v/>
      </c>
      <c r="D14" s="15" t="str">
        <f aca="false">IF($C14="","",IFERROR(INDEX(MF_Master!$C:$C,MATCH($C14,MF_Master!$B:$B,0)),""))</f>
        <v/>
      </c>
      <c r="E14" s="31" t="str">
        <f aca="false">IF($A14="","",SUMIFS(MF_SIP!$H:$H,MF_SIP!$A:$A,$A14,MF_SIP!$D:$D,$D14))</f>
        <v/>
      </c>
      <c r="F14" s="18" t="str">
        <f aca="false">IF(OR($A14="",N($E14)=0),"",$H14/$E14)</f>
        <v/>
      </c>
      <c r="G14" s="28"/>
      <c r="H14" s="13" t="str">
        <f aca="false">IF($A14="","",SUMIFS(MF_SIP!$F:$F,MF_SIP!$A:$A,$A14,MF_SIP!$D:$D,$D14))</f>
        <v/>
      </c>
      <c r="I14" s="13" t="str">
        <f aca="false">IF(OR(N($E14)=0,$G14=""),"",$E14*$G14)</f>
        <v/>
      </c>
      <c r="J14" s="13" t="str">
        <f aca="false">IF(N($E14)=0,"",$I14-$H14)</f>
        <v/>
      </c>
      <c r="K14" s="19" t="str">
        <f aca="false">IF(OR(N($H14)=0,N($J14)=0),"",$J14/$H14)</f>
        <v/>
      </c>
      <c r="L14" s="19"/>
      <c r="N14" s="23" t="str">
        <f aca="false">IF($A14="","",$A14&amp;"#"&amp;COUNTIF($A$4:$A14,$A14))</f>
        <v/>
      </c>
    </row>
    <row r="15" customFormat="false" ht="15" hidden="false" customHeight="true" outlineLevel="0" collapsed="false">
      <c r="B15" s="15" t="str">
        <f aca="false">IF($C15="","",IFERROR(INDEX(MF_Master!$A:$A,MATCH($C15,MF_Master!$B:$B,0)),""))</f>
        <v/>
      </c>
      <c r="D15" s="15" t="str">
        <f aca="false">IF($C15="","",IFERROR(INDEX(MF_Master!$C:$C,MATCH($C15,MF_Master!$B:$B,0)),""))</f>
        <v/>
      </c>
      <c r="E15" s="31" t="str">
        <f aca="false">IF($A15="","",SUMIFS(MF_SIP!$H:$H,MF_SIP!$A:$A,$A15,MF_SIP!$D:$D,$D15))</f>
        <v/>
      </c>
      <c r="F15" s="18" t="str">
        <f aca="false">IF(OR($A15="",N($E15)=0),"",$H15/$E15)</f>
        <v/>
      </c>
      <c r="G15" s="28"/>
      <c r="H15" s="13" t="str">
        <f aca="false">IF($A15="","",SUMIFS(MF_SIP!$F:$F,MF_SIP!$A:$A,$A15,MF_SIP!$D:$D,$D15))</f>
        <v/>
      </c>
      <c r="I15" s="13" t="str">
        <f aca="false">IF(OR(N($E15)=0,$G15=""),"",$E15*$G15)</f>
        <v/>
      </c>
      <c r="J15" s="13" t="str">
        <f aca="false">IF(N($E15)=0,"",$I15-$H15)</f>
        <v/>
      </c>
      <c r="K15" s="19" t="str">
        <f aca="false">IF(OR(N($H15)=0,N($J15)=0),"",$J15/$H15)</f>
        <v/>
      </c>
      <c r="L15" s="19"/>
      <c r="N15" s="23" t="str">
        <f aca="false">IF($A15="","",$A15&amp;"#"&amp;COUNTIF($A$4:$A15,$A15))</f>
        <v/>
      </c>
    </row>
    <row r="16" customFormat="false" ht="15" hidden="false" customHeight="true" outlineLevel="0" collapsed="false">
      <c r="B16" s="15" t="str">
        <f aca="false">IF($C16="","",IFERROR(INDEX(MF_Master!$A:$A,MATCH($C16,MF_Master!$B:$B,0)),""))</f>
        <v/>
      </c>
      <c r="D16" s="15" t="str">
        <f aca="false">IF($C16="","",IFERROR(INDEX(MF_Master!$C:$C,MATCH($C16,MF_Master!$B:$B,0)),""))</f>
        <v/>
      </c>
      <c r="E16" s="31" t="str">
        <f aca="false">IF($A16="","",SUMIFS(MF_SIP!$H:$H,MF_SIP!$A:$A,$A16,MF_SIP!$D:$D,$D16))</f>
        <v/>
      </c>
      <c r="F16" s="18" t="str">
        <f aca="false">IF(OR($A16="",N($E16)=0),"",$H16/$E16)</f>
        <v/>
      </c>
      <c r="G16" s="28"/>
      <c r="H16" s="13" t="str">
        <f aca="false">IF($A16="","",SUMIFS(MF_SIP!$F:$F,MF_SIP!$A:$A,$A16,MF_SIP!$D:$D,$D16))</f>
        <v/>
      </c>
      <c r="I16" s="13" t="str">
        <f aca="false">IF(OR(N($E16)=0,$G16=""),"",$E16*$G16)</f>
        <v/>
      </c>
      <c r="J16" s="13" t="str">
        <f aca="false">IF(N($E16)=0,"",$I16-$H16)</f>
        <v/>
      </c>
      <c r="K16" s="19" t="str">
        <f aca="false">IF(OR(N($H16)=0,N($J16)=0),"",$J16/$H16)</f>
        <v/>
      </c>
      <c r="L16" s="19"/>
      <c r="N16" s="23" t="str">
        <f aca="false">IF($A16="","",$A16&amp;"#"&amp;COUNTIF($A$4:$A16,$A16))</f>
        <v/>
      </c>
    </row>
    <row r="17" customFormat="false" ht="15" hidden="false" customHeight="true" outlineLevel="0" collapsed="false">
      <c r="B17" s="15" t="str">
        <f aca="false">IF($C17="","",IFERROR(INDEX(MF_Master!$A:$A,MATCH($C17,MF_Master!$B:$B,0)),""))</f>
        <v/>
      </c>
      <c r="D17" s="15" t="str">
        <f aca="false">IF($C17="","",IFERROR(INDEX(MF_Master!$C:$C,MATCH($C17,MF_Master!$B:$B,0)),""))</f>
        <v/>
      </c>
      <c r="E17" s="31" t="str">
        <f aca="false">IF($A17="","",SUMIFS(MF_SIP!$H:$H,MF_SIP!$A:$A,$A17,MF_SIP!$D:$D,$D17))</f>
        <v/>
      </c>
      <c r="F17" s="18" t="str">
        <f aca="false">IF(OR($A17="",N($E17)=0),"",$H17/$E17)</f>
        <v/>
      </c>
      <c r="G17" s="28"/>
      <c r="H17" s="13" t="str">
        <f aca="false">IF($A17="","",SUMIFS(MF_SIP!$F:$F,MF_SIP!$A:$A,$A17,MF_SIP!$D:$D,$D17))</f>
        <v/>
      </c>
      <c r="I17" s="13" t="str">
        <f aca="false">IF(OR(N($E17)=0,$G17=""),"",$E17*$G17)</f>
        <v/>
      </c>
      <c r="J17" s="13" t="str">
        <f aca="false">IF(N($E17)=0,"",$I17-$H17)</f>
        <v/>
      </c>
      <c r="K17" s="19" t="str">
        <f aca="false">IF(OR(N($H17)=0,N($J17)=0),"",$J17/$H17)</f>
        <v/>
      </c>
      <c r="L17" s="19"/>
      <c r="N17" s="23" t="str">
        <f aca="false">IF($A17="","",$A17&amp;"#"&amp;COUNTIF($A$4:$A17,$A17))</f>
        <v/>
      </c>
    </row>
    <row r="18" customFormat="false" ht="15" hidden="false" customHeight="true" outlineLevel="0" collapsed="false">
      <c r="B18" s="15" t="str">
        <f aca="false">IF($C18="","",IFERROR(INDEX(MF_Master!$A:$A,MATCH($C18,MF_Master!$B:$B,0)),""))</f>
        <v/>
      </c>
      <c r="D18" s="15" t="str">
        <f aca="false">IF($C18="","",IFERROR(INDEX(MF_Master!$C:$C,MATCH($C18,MF_Master!$B:$B,0)),""))</f>
        <v/>
      </c>
      <c r="E18" s="31" t="str">
        <f aca="false">IF($A18="","",SUMIFS(MF_SIP!$H:$H,MF_SIP!$A:$A,$A18,MF_SIP!$D:$D,$D18))</f>
        <v/>
      </c>
      <c r="F18" s="18" t="str">
        <f aca="false">IF(OR($A18="",N($E18)=0),"",$H18/$E18)</f>
        <v/>
      </c>
      <c r="G18" s="28"/>
      <c r="H18" s="13" t="str">
        <f aca="false">IF($A18="","",SUMIFS(MF_SIP!$F:$F,MF_SIP!$A:$A,$A18,MF_SIP!$D:$D,$D18))</f>
        <v/>
      </c>
      <c r="I18" s="13" t="str">
        <f aca="false">IF(OR(N($E18)=0,$G18=""),"",$E18*$G18)</f>
        <v/>
      </c>
      <c r="J18" s="13" t="str">
        <f aca="false">IF(N($E18)=0,"",$I18-$H18)</f>
        <v/>
      </c>
      <c r="K18" s="19" t="str">
        <f aca="false">IF(OR(N($H18)=0,N($J18)=0),"",$J18/$H18)</f>
        <v/>
      </c>
      <c r="L18" s="19"/>
      <c r="N18" s="23" t="str">
        <f aca="false">IF($A18="","",$A18&amp;"#"&amp;COUNTIF($A$4:$A18,$A18))</f>
        <v/>
      </c>
    </row>
    <row r="19" customFormat="false" ht="15" hidden="false" customHeight="true" outlineLevel="0" collapsed="false">
      <c r="B19" s="15" t="str">
        <f aca="false">IF($C19="","",IFERROR(INDEX(MF_Master!$A:$A,MATCH($C19,MF_Master!$B:$B,0)),""))</f>
        <v/>
      </c>
      <c r="D19" s="15" t="str">
        <f aca="false">IF($C19="","",IFERROR(INDEX(MF_Master!$C:$C,MATCH($C19,MF_Master!$B:$B,0)),""))</f>
        <v/>
      </c>
      <c r="E19" s="31" t="str">
        <f aca="false">IF($A19="","",SUMIFS(MF_SIP!$H:$H,MF_SIP!$A:$A,$A19,MF_SIP!$D:$D,$D19))</f>
        <v/>
      </c>
      <c r="F19" s="18" t="str">
        <f aca="false">IF(OR($A19="",N($E19)=0),"",$H19/$E19)</f>
        <v/>
      </c>
      <c r="G19" s="28"/>
      <c r="H19" s="13" t="str">
        <f aca="false">IF($A19="","",SUMIFS(MF_SIP!$F:$F,MF_SIP!$A:$A,$A19,MF_SIP!$D:$D,$D19))</f>
        <v/>
      </c>
      <c r="I19" s="13" t="str">
        <f aca="false">IF(OR(N($E19)=0,$G19=""),"",$E19*$G19)</f>
        <v/>
      </c>
      <c r="J19" s="13" t="str">
        <f aca="false">IF(N($E19)=0,"",$I19-$H19)</f>
        <v/>
      </c>
      <c r="K19" s="19" t="str">
        <f aca="false">IF(OR(N($H19)=0,N($J19)=0),"",$J19/$H19)</f>
        <v/>
      </c>
      <c r="L19" s="19"/>
      <c r="N19" s="23" t="str">
        <f aca="false">IF($A19="","",$A19&amp;"#"&amp;COUNTIF($A$4:$A19,$A19))</f>
        <v/>
      </c>
    </row>
    <row r="20" customFormat="false" ht="15" hidden="false" customHeight="true" outlineLevel="0" collapsed="false">
      <c r="B20" s="15" t="str">
        <f aca="false">IF($C20="","",IFERROR(INDEX(MF_Master!$A:$A,MATCH($C20,MF_Master!$B:$B,0)),""))</f>
        <v/>
      </c>
      <c r="D20" s="15" t="str">
        <f aca="false">IF($C20="","",IFERROR(INDEX(MF_Master!$C:$C,MATCH($C20,MF_Master!$B:$B,0)),""))</f>
        <v/>
      </c>
      <c r="E20" s="31" t="str">
        <f aca="false">IF($A20="","",SUMIFS(MF_SIP!$H:$H,MF_SIP!$A:$A,$A20,MF_SIP!$D:$D,$D20))</f>
        <v/>
      </c>
      <c r="F20" s="18" t="str">
        <f aca="false">IF(OR($A20="",N($E20)=0),"",$H20/$E20)</f>
        <v/>
      </c>
      <c r="G20" s="28"/>
      <c r="H20" s="13" t="str">
        <f aca="false">IF($A20="","",SUMIFS(MF_SIP!$F:$F,MF_SIP!$A:$A,$A20,MF_SIP!$D:$D,$D20))</f>
        <v/>
      </c>
      <c r="I20" s="13" t="str">
        <f aca="false">IF(OR(N($E20)=0,$G20=""),"",$E20*$G20)</f>
        <v/>
      </c>
      <c r="J20" s="13" t="str">
        <f aca="false">IF(N($E20)=0,"",$I20-$H20)</f>
        <v/>
      </c>
      <c r="K20" s="19" t="str">
        <f aca="false">IF(OR(N($H20)=0,N($J20)=0),"",$J20/$H20)</f>
        <v/>
      </c>
      <c r="L20" s="19"/>
      <c r="N20" s="23" t="str">
        <f aca="false">IF($A20="","",$A20&amp;"#"&amp;COUNTIF($A$4:$A20,$A20))</f>
        <v/>
      </c>
    </row>
    <row r="21" customFormat="false" ht="15" hidden="false" customHeight="true" outlineLevel="0" collapsed="false">
      <c r="B21" s="15" t="str">
        <f aca="false">IF($C21="","",IFERROR(INDEX(MF_Master!$A:$A,MATCH($C21,MF_Master!$B:$B,0)),""))</f>
        <v/>
      </c>
      <c r="D21" s="15" t="str">
        <f aca="false">IF($C21="","",IFERROR(INDEX(MF_Master!$C:$C,MATCH($C21,MF_Master!$B:$B,0)),""))</f>
        <v/>
      </c>
      <c r="E21" s="31" t="str">
        <f aca="false">IF($A21="","",SUMIFS(MF_SIP!$H:$H,MF_SIP!$A:$A,$A21,MF_SIP!$D:$D,$D21))</f>
        <v/>
      </c>
      <c r="F21" s="18" t="str">
        <f aca="false">IF(OR($A21="",N($E21)=0),"",$H21/$E21)</f>
        <v/>
      </c>
      <c r="G21" s="28"/>
      <c r="H21" s="13" t="str">
        <f aca="false">IF($A21="","",SUMIFS(MF_SIP!$F:$F,MF_SIP!$A:$A,$A21,MF_SIP!$D:$D,$D21))</f>
        <v/>
      </c>
      <c r="I21" s="13" t="str">
        <f aca="false">IF(OR(N($E21)=0,$G21=""),"",$E21*$G21)</f>
        <v/>
      </c>
      <c r="J21" s="13" t="str">
        <f aca="false">IF(N($E21)=0,"",$I21-$H21)</f>
        <v/>
      </c>
      <c r="K21" s="19" t="str">
        <f aca="false">IF(OR(N($H21)=0,N($J21)=0),"",$J21/$H21)</f>
        <v/>
      </c>
      <c r="L21" s="19"/>
      <c r="N21" s="23" t="str">
        <f aca="false">IF($A21="","",$A21&amp;"#"&amp;COUNTIF($A$4:$A21,$A21))</f>
        <v/>
      </c>
    </row>
    <row r="22" customFormat="false" ht="15" hidden="false" customHeight="true" outlineLevel="0" collapsed="false">
      <c r="B22" s="15" t="str">
        <f aca="false">IF($C22="","",IFERROR(INDEX(MF_Master!$A:$A,MATCH($C22,MF_Master!$B:$B,0)),""))</f>
        <v/>
      </c>
      <c r="D22" s="15" t="str">
        <f aca="false">IF($C22="","",IFERROR(INDEX(MF_Master!$C:$C,MATCH($C22,MF_Master!$B:$B,0)),""))</f>
        <v/>
      </c>
      <c r="E22" s="31" t="str">
        <f aca="false">IF($A22="","",SUMIFS(MF_SIP!$H:$H,MF_SIP!$A:$A,$A22,MF_SIP!$D:$D,$D22))</f>
        <v/>
      </c>
      <c r="F22" s="18" t="str">
        <f aca="false">IF(OR($A22="",N($E22)=0),"",$H22/$E22)</f>
        <v/>
      </c>
      <c r="G22" s="28"/>
      <c r="H22" s="13" t="str">
        <f aca="false">IF($A22="","",SUMIFS(MF_SIP!$F:$F,MF_SIP!$A:$A,$A22,MF_SIP!$D:$D,$D22))</f>
        <v/>
      </c>
      <c r="I22" s="13" t="str">
        <f aca="false">IF(OR(N($E22)=0,$G22=""),"",$E22*$G22)</f>
        <v/>
      </c>
      <c r="J22" s="13" t="str">
        <f aca="false">IF(N($E22)=0,"",$I22-$H22)</f>
        <v/>
      </c>
      <c r="K22" s="19" t="str">
        <f aca="false">IF(OR(N($H22)=0,N($J22)=0),"",$J22/$H22)</f>
        <v/>
      </c>
      <c r="L22" s="19"/>
      <c r="N22" s="23" t="str">
        <f aca="false">IF($A22="","",$A22&amp;"#"&amp;COUNTIF($A$4:$A22,$A22))</f>
        <v/>
      </c>
    </row>
    <row r="23" customFormat="false" ht="15" hidden="false" customHeight="true" outlineLevel="0" collapsed="false">
      <c r="B23" s="15" t="str">
        <f aca="false">IF($C23="","",IFERROR(INDEX(MF_Master!$A:$A,MATCH($C23,MF_Master!$B:$B,0)),""))</f>
        <v/>
      </c>
      <c r="D23" s="15" t="str">
        <f aca="false">IF($C23="","",IFERROR(INDEX(MF_Master!$C:$C,MATCH($C23,MF_Master!$B:$B,0)),""))</f>
        <v/>
      </c>
      <c r="E23" s="31" t="str">
        <f aca="false">IF($A23="","",SUMIFS(MF_SIP!$H:$H,MF_SIP!$A:$A,$A23,MF_SIP!$D:$D,$D23))</f>
        <v/>
      </c>
      <c r="F23" s="18" t="str">
        <f aca="false">IF(OR($A23="",N($E23)=0),"",$H23/$E23)</f>
        <v/>
      </c>
      <c r="G23" s="28"/>
      <c r="H23" s="13" t="str">
        <f aca="false">IF($A23="","",SUMIFS(MF_SIP!$F:$F,MF_SIP!$A:$A,$A23,MF_SIP!$D:$D,$D23))</f>
        <v/>
      </c>
      <c r="I23" s="13" t="str">
        <f aca="false">IF(OR(N($E23)=0,$G23=""),"",$E23*$G23)</f>
        <v/>
      </c>
      <c r="J23" s="13" t="str">
        <f aca="false">IF(N($E23)=0,"",$I23-$H23)</f>
        <v/>
      </c>
      <c r="K23" s="19" t="str">
        <f aca="false">IF(OR(N($H23)=0,N($J23)=0),"",$J23/$H23)</f>
        <v/>
      </c>
      <c r="L23" s="19"/>
      <c r="N23" s="23" t="str">
        <f aca="false">IF($A23="","",$A23&amp;"#"&amp;COUNTIF($A$4:$A23,$A23))</f>
        <v/>
      </c>
    </row>
    <row r="24" customFormat="false" ht="15" hidden="false" customHeight="true" outlineLevel="0" collapsed="false">
      <c r="B24" s="15" t="str">
        <f aca="false">IF($C24="","",IFERROR(INDEX(MF_Master!$A:$A,MATCH($C24,MF_Master!$B:$B,0)),""))</f>
        <v/>
      </c>
      <c r="D24" s="15" t="str">
        <f aca="false">IF($C24="","",IFERROR(INDEX(MF_Master!$C:$C,MATCH($C24,MF_Master!$B:$B,0)),""))</f>
        <v/>
      </c>
      <c r="E24" s="31" t="str">
        <f aca="false">IF($A24="","",SUMIFS(MF_SIP!$H:$H,MF_SIP!$A:$A,$A24,MF_SIP!$D:$D,$D24))</f>
        <v/>
      </c>
      <c r="F24" s="18" t="str">
        <f aca="false">IF(OR($A24="",N($E24)=0),"",$H24/$E24)</f>
        <v/>
      </c>
      <c r="G24" s="28"/>
      <c r="H24" s="13" t="str">
        <f aca="false">IF($A24="","",SUMIFS(MF_SIP!$F:$F,MF_SIP!$A:$A,$A24,MF_SIP!$D:$D,$D24))</f>
        <v/>
      </c>
      <c r="I24" s="13" t="str">
        <f aca="false">IF(OR(N($E24)=0,$G24=""),"",$E24*$G24)</f>
        <v/>
      </c>
      <c r="J24" s="13" t="str">
        <f aca="false">IF(N($E24)=0,"",$I24-$H24)</f>
        <v/>
      </c>
      <c r="K24" s="19" t="str">
        <f aca="false">IF(OR(N($H24)=0,N($J24)=0),"",$J24/$H24)</f>
        <v/>
      </c>
      <c r="L24" s="19"/>
      <c r="N24" s="23" t="str">
        <f aca="false">IF($A24="","",$A24&amp;"#"&amp;COUNTIF($A$4:$A24,$A24))</f>
        <v/>
      </c>
    </row>
    <row r="25" customFormat="false" ht="15" hidden="false" customHeight="true" outlineLevel="0" collapsed="false">
      <c r="B25" s="15" t="str">
        <f aca="false">IF($C25="","",IFERROR(INDEX(MF_Master!$A:$A,MATCH($C25,MF_Master!$B:$B,0)),""))</f>
        <v/>
      </c>
      <c r="D25" s="15" t="str">
        <f aca="false">IF($C25="","",IFERROR(INDEX(MF_Master!$C:$C,MATCH($C25,MF_Master!$B:$B,0)),""))</f>
        <v/>
      </c>
      <c r="E25" s="31" t="str">
        <f aca="false">IF($A25="","",SUMIFS(MF_SIP!$H:$H,MF_SIP!$A:$A,$A25,MF_SIP!$D:$D,$D25))</f>
        <v/>
      </c>
      <c r="F25" s="18" t="str">
        <f aca="false">IF(OR($A25="",N($E25)=0),"",$H25/$E25)</f>
        <v/>
      </c>
      <c r="G25" s="28"/>
      <c r="H25" s="13" t="str">
        <f aca="false">IF($A25="","",SUMIFS(MF_SIP!$F:$F,MF_SIP!$A:$A,$A25,MF_SIP!$D:$D,$D25))</f>
        <v/>
      </c>
      <c r="I25" s="13" t="str">
        <f aca="false">IF(OR(N($E25)=0,$G25=""),"",$E25*$G25)</f>
        <v/>
      </c>
      <c r="J25" s="13" t="str">
        <f aca="false">IF(N($E25)=0,"",$I25-$H25)</f>
        <v/>
      </c>
      <c r="K25" s="19" t="str">
        <f aca="false">IF(OR(N($H25)=0,N($J25)=0),"",$J25/$H25)</f>
        <v/>
      </c>
      <c r="L25" s="19"/>
      <c r="N25" s="23" t="str">
        <f aca="false">IF($A25="","",$A25&amp;"#"&amp;COUNTIF($A$4:$A25,$A25))</f>
        <v/>
      </c>
    </row>
    <row r="26" customFormat="false" ht="15" hidden="false" customHeight="true" outlineLevel="0" collapsed="false">
      <c r="B26" s="15" t="str">
        <f aca="false">IF($C26="","",IFERROR(INDEX(MF_Master!$A:$A,MATCH($C26,MF_Master!$B:$B,0)),""))</f>
        <v/>
      </c>
      <c r="D26" s="15" t="str">
        <f aca="false">IF($C26="","",IFERROR(INDEX(MF_Master!$C:$C,MATCH($C26,MF_Master!$B:$B,0)),""))</f>
        <v/>
      </c>
      <c r="E26" s="31" t="str">
        <f aca="false">IF($A26="","",SUMIFS(MF_SIP!$H:$H,MF_SIP!$A:$A,$A26,MF_SIP!$D:$D,$D26))</f>
        <v/>
      </c>
      <c r="F26" s="18" t="str">
        <f aca="false">IF(OR($A26="",N($E26)=0),"",$H26/$E26)</f>
        <v/>
      </c>
      <c r="G26" s="28"/>
      <c r="H26" s="13" t="str">
        <f aca="false">IF($A26="","",SUMIFS(MF_SIP!$F:$F,MF_SIP!$A:$A,$A26,MF_SIP!$D:$D,$D26))</f>
        <v/>
      </c>
      <c r="I26" s="13" t="str">
        <f aca="false">IF(OR(N($E26)=0,$G26=""),"",$E26*$G26)</f>
        <v/>
      </c>
      <c r="J26" s="13" t="str">
        <f aca="false">IF(N($E26)=0,"",$I26-$H26)</f>
        <v/>
      </c>
      <c r="K26" s="19" t="str">
        <f aca="false">IF(OR(N($H26)=0,N($J26)=0),"",$J26/$H26)</f>
        <v/>
      </c>
      <c r="L26" s="19"/>
      <c r="N26" s="23" t="str">
        <f aca="false">IF($A26="","",$A26&amp;"#"&amp;COUNTIF($A$4:$A26,$A26))</f>
        <v/>
      </c>
    </row>
    <row r="27" customFormat="false" ht="15" hidden="false" customHeight="true" outlineLevel="0" collapsed="false">
      <c r="B27" s="15" t="str">
        <f aca="false">IF($C27="","",IFERROR(INDEX(MF_Master!$A:$A,MATCH($C27,MF_Master!$B:$B,0)),""))</f>
        <v/>
      </c>
      <c r="D27" s="15" t="str">
        <f aca="false">IF($C27="","",IFERROR(INDEX(MF_Master!$C:$C,MATCH($C27,MF_Master!$B:$B,0)),""))</f>
        <v/>
      </c>
      <c r="E27" s="31" t="str">
        <f aca="false">IF($A27="","",SUMIFS(MF_SIP!$H:$H,MF_SIP!$A:$A,$A27,MF_SIP!$D:$D,$D27))</f>
        <v/>
      </c>
      <c r="F27" s="18" t="str">
        <f aca="false">IF(OR($A27="",N($E27)=0),"",$H27/$E27)</f>
        <v/>
      </c>
      <c r="G27" s="28"/>
      <c r="H27" s="13" t="str">
        <f aca="false">IF($A27="","",SUMIFS(MF_SIP!$F:$F,MF_SIP!$A:$A,$A27,MF_SIP!$D:$D,$D27))</f>
        <v/>
      </c>
      <c r="I27" s="13" t="str">
        <f aca="false">IF(OR(N($E27)=0,$G27=""),"",$E27*$G27)</f>
        <v/>
      </c>
      <c r="J27" s="13" t="str">
        <f aca="false">IF(N($E27)=0,"",$I27-$H27)</f>
        <v/>
      </c>
      <c r="K27" s="19" t="str">
        <f aca="false">IF(OR(N($H27)=0,N($J27)=0),"",$J27/$H27)</f>
        <v/>
      </c>
      <c r="L27" s="19"/>
      <c r="N27" s="23" t="str">
        <f aca="false">IF($A27="","",$A27&amp;"#"&amp;COUNTIF($A$4:$A27,$A27))</f>
        <v/>
      </c>
    </row>
    <row r="28" customFormat="false" ht="15" hidden="false" customHeight="true" outlineLevel="0" collapsed="false">
      <c r="B28" s="15" t="str">
        <f aca="false">IF($C28="","",IFERROR(INDEX(MF_Master!$A:$A,MATCH($C28,MF_Master!$B:$B,0)),""))</f>
        <v/>
      </c>
      <c r="D28" s="15" t="str">
        <f aca="false">IF($C28="","",IFERROR(INDEX(MF_Master!$C:$C,MATCH($C28,MF_Master!$B:$B,0)),""))</f>
        <v/>
      </c>
      <c r="E28" s="31" t="str">
        <f aca="false">IF($A28="","",SUMIFS(MF_SIP!$H:$H,MF_SIP!$A:$A,$A28,MF_SIP!$D:$D,$D28))</f>
        <v/>
      </c>
      <c r="F28" s="18" t="str">
        <f aca="false">IF(OR($A28="",N($E28)=0),"",$H28/$E28)</f>
        <v/>
      </c>
      <c r="G28" s="28"/>
      <c r="H28" s="13" t="str">
        <f aca="false">IF($A28="","",SUMIFS(MF_SIP!$F:$F,MF_SIP!$A:$A,$A28,MF_SIP!$D:$D,$D28))</f>
        <v/>
      </c>
      <c r="I28" s="13" t="str">
        <f aca="false">IF(OR(N($E28)=0,$G28=""),"",$E28*$G28)</f>
        <v/>
      </c>
      <c r="J28" s="13" t="str">
        <f aca="false">IF(N($E28)=0,"",$I28-$H28)</f>
        <v/>
      </c>
      <c r="K28" s="19" t="str">
        <f aca="false">IF(OR(N($H28)=0,N($J28)=0),"",$J28/$H28)</f>
        <v/>
      </c>
      <c r="L28" s="19"/>
      <c r="N28" s="23" t="str">
        <f aca="false">IF($A28="","",$A28&amp;"#"&amp;COUNTIF($A$4:$A28,$A28))</f>
        <v/>
      </c>
    </row>
    <row r="29" customFormat="false" ht="15" hidden="false" customHeight="true" outlineLevel="0" collapsed="false">
      <c r="B29" s="15" t="str">
        <f aca="false">IF($C29="","",IFERROR(INDEX(MF_Master!$A:$A,MATCH($C29,MF_Master!$B:$B,0)),""))</f>
        <v/>
      </c>
      <c r="D29" s="15" t="str">
        <f aca="false">IF($C29="","",IFERROR(INDEX(MF_Master!$C:$C,MATCH($C29,MF_Master!$B:$B,0)),""))</f>
        <v/>
      </c>
      <c r="E29" s="31" t="str">
        <f aca="false">IF($A29="","",SUMIFS(MF_SIP!$H:$H,MF_SIP!$A:$A,$A29,MF_SIP!$D:$D,$D29))</f>
        <v/>
      </c>
      <c r="F29" s="18" t="str">
        <f aca="false">IF(OR($A29="",N($E29)=0),"",$H29/$E29)</f>
        <v/>
      </c>
      <c r="G29" s="28"/>
      <c r="H29" s="13" t="str">
        <f aca="false">IF($A29="","",SUMIFS(MF_SIP!$F:$F,MF_SIP!$A:$A,$A29,MF_SIP!$D:$D,$D29))</f>
        <v/>
      </c>
      <c r="I29" s="13" t="str">
        <f aca="false">IF(OR(N($E29)=0,$G29=""),"",$E29*$G29)</f>
        <v/>
      </c>
      <c r="J29" s="13" t="str">
        <f aca="false">IF(N($E29)=0,"",$I29-$H29)</f>
        <v/>
      </c>
      <c r="K29" s="19" t="str">
        <f aca="false">IF(OR(N($H29)=0,N($J29)=0),"",$J29/$H29)</f>
        <v/>
      </c>
      <c r="L29" s="19"/>
      <c r="N29" s="23" t="str">
        <f aca="false">IF($A29="","",$A29&amp;"#"&amp;COUNTIF($A$4:$A29,$A29))</f>
        <v/>
      </c>
    </row>
    <row r="30" customFormat="false" ht="15" hidden="false" customHeight="true" outlineLevel="0" collapsed="false">
      <c r="B30" s="15" t="str">
        <f aca="false">IF($C30="","",IFERROR(INDEX(MF_Master!$A:$A,MATCH($C30,MF_Master!$B:$B,0)),""))</f>
        <v/>
      </c>
      <c r="D30" s="15" t="str">
        <f aca="false">IF($C30="","",IFERROR(INDEX(MF_Master!$C:$C,MATCH($C30,MF_Master!$B:$B,0)),""))</f>
        <v/>
      </c>
      <c r="E30" s="31" t="str">
        <f aca="false">IF($A30="","",SUMIFS(MF_SIP!$H:$H,MF_SIP!$A:$A,$A30,MF_SIP!$D:$D,$D30))</f>
        <v/>
      </c>
      <c r="F30" s="18" t="str">
        <f aca="false">IF(OR($A30="",N($E30)=0),"",$H30/$E30)</f>
        <v/>
      </c>
      <c r="G30" s="28"/>
      <c r="H30" s="13" t="str">
        <f aca="false">IF($A30="","",SUMIFS(MF_SIP!$F:$F,MF_SIP!$A:$A,$A30,MF_SIP!$D:$D,$D30))</f>
        <v/>
      </c>
      <c r="I30" s="13" t="str">
        <f aca="false">IF(OR(N($E30)=0,$G30=""),"",$E30*$G30)</f>
        <v/>
      </c>
      <c r="J30" s="13" t="str">
        <f aca="false">IF(N($E30)=0,"",$I30-$H30)</f>
        <v/>
      </c>
      <c r="K30" s="19" t="str">
        <f aca="false">IF(OR(N($H30)=0,N($J30)=0),"",$J30/$H30)</f>
        <v/>
      </c>
      <c r="L30" s="19"/>
      <c r="N30" s="23" t="str">
        <f aca="false">IF($A30="","",$A30&amp;"#"&amp;COUNTIF($A$4:$A30,$A30))</f>
        <v/>
      </c>
    </row>
    <row r="31" customFormat="false" ht="15" hidden="false" customHeight="true" outlineLevel="0" collapsed="false">
      <c r="B31" s="15" t="str">
        <f aca="false">IF($C31="","",IFERROR(INDEX(MF_Master!$A:$A,MATCH($C31,MF_Master!$B:$B,0)),""))</f>
        <v/>
      </c>
      <c r="D31" s="15" t="str">
        <f aca="false">IF($C31="","",IFERROR(INDEX(MF_Master!$C:$C,MATCH($C31,MF_Master!$B:$B,0)),""))</f>
        <v/>
      </c>
      <c r="E31" s="31" t="str">
        <f aca="false">IF($A31="","",SUMIFS(MF_SIP!$H:$H,MF_SIP!$A:$A,$A31,MF_SIP!$D:$D,$D31))</f>
        <v/>
      </c>
      <c r="F31" s="18" t="str">
        <f aca="false">IF(OR($A31="",N($E31)=0),"",$H31/$E31)</f>
        <v/>
      </c>
      <c r="G31" s="28"/>
      <c r="H31" s="13" t="str">
        <f aca="false">IF($A31="","",SUMIFS(MF_SIP!$F:$F,MF_SIP!$A:$A,$A31,MF_SIP!$D:$D,$D31))</f>
        <v/>
      </c>
      <c r="I31" s="13" t="str">
        <f aca="false">IF(OR(N($E31)=0,$G31=""),"",$E31*$G31)</f>
        <v/>
      </c>
      <c r="J31" s="13" t="str">
        <f aca="false">IF(N($E31)=0,"",$I31-$H31)</f>
        <v/>
      </c>
      <c r="K31" s="19" t="str">
        <f aca="false">IF(OR(N($H31)=0,N($J31)=0),"",$J31/$H31)</f>
        <v/>
      </c>
      <c r="L31" s="19"/>
      <c r="N31" s="23" t="str">
        <f aca="false">IF($A31="","",$A31&amp;"#"&amp;COUNTIF($A$4:$A31,$A31))</f>
        <v/>
      </c>
    </row>
    <row r="32" customFormat="false" ht="15" hidden="false" customHeight="true" outlineLevel="0" collapsed="false">
      <c r="B32" s="15" t="str">
        <f aca="false">IF($C32="","",IFERROR(INDEX(MF_Master!$A:$A,MATCH($C32,MF_Master!$B:$B,0)),""))</f>
        <v/>
      </c>
      <c r="D32" s="15" t="str">
        <f aca="false">IF($C32="","",IFERROR(INDEX(MF_Master!$C:$C,MATCH($C32,MF_Master!$B:$B,0)),""))</f>
        <v/>
      </c>
      <c r="E32" s="31" t="str">
        <f aca="false">IF($A32="","",SUMIFS(MF_SIP!$H:$H,MF_SIP!$A:$A,$A32,MF_SIP!$D:$D,$D32))</f>
        <v/>
      </c>
      <c r="F32" s="18" t="str">
        <f aca="false">IF(OR($A32="",N($E32)=0),"",$H32/$E32)</f>
        <v/>
      </c>
      <c r="G32" s="28"/>
      <c r="H32" s="13" t="str">
        <f aca="false">IF($A32="","",SUMIFS(MF_SIP!$F:$F,MF_SIP!$A:$A,$A32,MF_SIP!$D:$D,$D32))</f>
        <v/>
      </c>
      <c r="I32" s="13" t="str">
        <f aca="false">IF(OR(N($E32)=0,$G32=""),"",$E32*$G32)</f>
        <v/>
      </c>
      <c r="J32" s="13" t="str">
        <f aca="false">IF(N($E32)=0,"",$I32-$H32)</f>
        <v/>
      </c>
      <c r="K32" s="19" t="str">
        <f aca="false">IF(OR(N($H32)=0,N($J32)=0),"",$J32/$H32)</f>
        <v/>
      </c>
      <c r="L32" s="19"/>
      <c r="N32" s="23" t="str">
        <f aca="false">IF($A32="","",$A32&amp;"#"&amp;COUNTIF($A$4:$A32,$A32))</f>
        <v/>
      </c>
    </row>
    <row r="33" customFormat="false" ht="15" hidden="false" customHeight="true" outlineLevel="0" collapsed="false">
      <c r="B33" s="15" t="str">
        <f aca="false">IF($C33="","",IFERROR(INDEX(MF_Master!$A:$A,MATCH($C33,MF_Master!$B:$B,0)),""))</f>
        <v/>
      </c>
      <c r="D33" s="15" t="str">
        <f aca="false">IF($C33="","",IFERROR(INDEX(MF_Master!$C:$C,MATCH($C33,MF_Master!$B:$B,0)),""))</f>
        <v/>
      </c>
      <c r="E33" s="31" t="str">
        <f aca="false">IF($A33="","",SUMIFS(MF_SIP!$H:$H,MF_SIP!$A:$A,$A33,MF_SIP!$D:$D,$D33))</f>
        <v/>
      </c>
      <c r="F33" s="18" t="str">
        <f aca="false">IF(OR($A33="",N($E33)=0),"",$H33/$E33)</f>
        <v/>
      </c>
      <c r="G33" s="28"/>
      <c r="H33" s="13" t="str">
        <f aca="false">IF($A33="","",SUMIFS(MF_SIP!$F:$F,MF_SIP!$A:$A,$A33,MF_SIP!$D:$D,$D33))</f>
        <v/>
      </c>
      <c r="I33" s="13" t="str">
        <f aca="false">IF(OR(N($E33)=0,$G33=""),"",$E33*$G33)</f>
        <v/>
      </c>
      <c r="J33" s="13" t="str">
        <f aca="false">IF(N($E33)=0,"",$I33-$H33)</f>
        <v/>
      </c>
      <c r="K33" s="19" t="str">
        <f aca="false">IF(OR(N($H33)=0,N($J33)=0),"",$J33/$H33)</f>
        <v/>
      </c>
      <c r="L33" s="19"/>
      <c r="N33" s="23" t="str">
        <f aca="false">IF($A33="","",$A33&amp;"#"&amp;COUNTIF($A$4:$A33,$A33))</f>
        <v/>
      </c>
    </row>
    <row r="34" customFormat="false" ht="15" hidden="false" customHeight="true" outlineLevel="0" collapsed="false">
      <c r="B34" s="15" t="str">
        <f aca="false">IF($C34="","",IFERROR(INDEX(MF_Master!$A:$A,MATCH($C34,MF_Master!$B:$B,0)),""))</f>
        <v/>
      </c>
      <c r="D34" s="15" t="str">
        <f aca="false">IF($C34="","",IFERROR(INDEX(MF_Master!$C:$C,MATCH($C34,MF_Master!$B:$B,0)),""))</f>
        <v/>
      </c>
      <c r="E34" s="31" t="str">
        <f aca="false">IF($A34="","",SUMIFS(MF_SIP!$H:$H,MF_SIP!$A:$A,$A34,MF_SIP!$D:$D,$D34))</f>
        <v/>
      </c>
      <c r="F34" s="18" t="str">
        <f aca="false">IF(OR($A34="",N($E34)=0),"",$H34/$E34)</f>
        <v/>
      </c>
      <c r="G34" s="28"/>
      <c r="H34" s="13" t="str">
        <f aca="false">IF($A34="","",SUMIFS(MF_SIP!$F:$F,MF_SIP!$A:$A,$A34,MF_SIP!$D:$D,$D34))</f>
        <v/>
      </c>
      <c r="I34" s="13" t="str">
        <f aca="false">IF(OR(N($E34)=0,$G34=""),"",$E34*$G34)</f>
        <v/>
      </c>
      <c r="J34" s="13" t="str">
        <f aca="false">IF(N($E34)=0,"",$I34-$H34)</f>
        <v/>
      </c>
      <c r="K34" s="19" t="str">
        <f aca="false">IF(OR(N($H34)=0,N($J34)=0),"",$J34/$H34)</f>
        <v/>
      </c>
      <c r="L34" s="19"/>
      <c r="N34" s="23" t="str">
        <f aca="false">IF($A34="","",$A34&amp;"#"&amp;COUNTIF($A$4:$A34,$A34))</f>
        <v/>
      </c>
    </row>
    <row r="35" customFormat="false" ht="15" hidden="false" customHeight="true" outlineLevel="0" collapsed="false">
      <c r="B35" s="15" t="str">
        <f aca="false">IF($C35="","",IFERROR(INDEX(MF_Master!$A:$A,MATCH($C35,MF_Master!$B:$B,0)),""))</f>
        <v/>
      </c>
      <c r="D35" s="15" t="str">
        <f aca="false">IF($C35="","",IFERROR(INDEX(MF_Master!$C:$C,MATCH($C35,MF_Master!$B:$B,0)),""))</f>
        <v/>
      </c>
      <c r="E35" s="31" t="str">
        <f aca="false">IF($A35="","",SUMIFS(MF_SIP!$H:$H,MF_SIP!$A:$A,$A35,MF_SIP!$D:$D,$D35))</f>
        <v/>
      </c>
      <c r="F35" s="18" t="str">
        <f aca="false">IF(OR($A35="",N($E35)=0),"",$H35/$E35)</f>
        <v/>
      </c>
      <c r="G35" s="28"/>
      <c r="H35" s="13" t="str">
        <f aca="false">IF($A35="","",SUMIFS(MF_SIP!$F:$F,MF_SIP!$A:$A,$A35,MF_SIP!$D:$D,$D35))</f>
        <v/>
      </c>
      <c r="I35" s="13" t="str">
        <f aca="false">IF(OR(N($E35)=0,$G35=""),"",$E35*$G35)</f>
        <v/>
      </c>
      <c r="J35" s="13" t="str">
        <f aca="false">IF(N($E35)=0,"",$I35-$H35)</f>
        <v/>
      </c>
      <c r="K35" s="19" t="str">
        <f aca="false">IF(OR(N($H35)=0,N($J35)=0),"",$J35/$H35)</f>
        <v/>
      </c>
      <c r="L35" s="19"/>
      <c r="N35" s="23" t="str">
        <f aca="false">IF($A35="","",$A35&amp;"#"&amp;COUNTIF($A$4:$A35,$A35))</f>
        <v/>
      </c>
    </row>
    <row r="36" customFormat="false" ht="15" hidden="false" customHeight="true" outlineLevel="0" collapsed="false">
      <c r="B36" s="15" t="str">
        <f aca="false">IF($C36="","",IFERROR(INDEX(MF_Master!$A:$A,MATCH($C36,MF_Master!$B:$B,0)),""))</f>
        <v/>
      </c>
      <c r="D36" s="15" t="str">
        <f aca="false">IF($C36="","",IFERROR(INDEX(MF_Master!$C:$C,MATCH($C36,MF_Master!$B:$B,0)),""))</f>
        <v/>
      </c>
      <c r="E36" s="31" t="str">
        <f aca="false">IF($A36="","",SUMIFS(MF_SIP!$H:$H,MF_SIP!$A:$A,$A36,MF_SIP!$D:$D,$D36))</f>
        <v/>
      </c>
      <c r="F36" s="18" t="str">
        <f aca="false">IF(OR($A36="",N($E36)=0),"",$H36/$E36)</f>
        <v/>
      </c>
      <c r="G36" s="28"/>
      <c r="H36" s="13" t="str">
        <f aca="false">IF($A36="","",SUMIFS(MF_SIP!$F:$F,MF_SIP!$A:$A,$A36,MF_SIP!$D:$D,$D36))</f>
        <v/>
      </c>
      <c r="I36" s="13" t="str">
        <f aca="false">IF(OR(N($E36)=0,$G36=""),"",$E36*$G36)</f>
        <v/>
      </c>
      <c r="J36" s="13" t="str">
        <f aca="false">IF(N($E36)=0,"",$I36-$H36)</f>
        <v/>
      </c>
      <c r="K36" s="19" t="str">
        <f aca="false">IF(OR(N($H36)=0,N($J36)=0),"",$J36/$H36)</f>
        <v/>
      </c>
      <c r="L36" s="19"/>
      <c r="N36" s="23" t="str">
        <f aca="false">IF($A36="","",$A36&amp;"#"&amp;COUNTIF($A$4:$A36,$A36))</f>
        <v/>
      </c>
    </row>
    <row r="37" customFormat="false" ht="15" hidden="false" customHeight="true" outlineLevel="0" collapsed="false">
      <c r="B37" s="15" t="str">
        <f aca="false">IF($C37="","",IFERROR(INDEX(MF_Master!$A:$A,MATCH($C37,MF_Master!$B:$B,0)),""))</f>
        <v/>
      </c>
      <c r="D37" s="15" t="str">
        <f aca="false">IF($C37="","",IFERROR(INDEX(MF_Master!$C:$C,MATCH($C37,MF_Master!$B:$B,0)),""))</f>
        <v/>
      </c>
      <c r="E37" s="31" t="str">
        <f aca="false">IF($A37="","",SUMIFS(MF_SIP!$H:$H,MF_SIP!$A:$A,$A37,MF_SIP!$D:$D,$D37))</f>
        <v/>
      </c>
      <c r="F37" s="18" t="str">
        <f aca="false">IF(OR($A37="",N($E37)=0),"",$H37/$E37)</f>
        <v/>
      </c>
      <c r="G37" s="28"/>
      <c r="H37" s="13" t="str">
        <f aca="false">IF($A37="","",SUMIFS(MF_SIP!$F:$F,MF_SIP!$A:$A,$A37,MF_SIP!$D:$D,$D37))</f>
        <v/>
      </c>
      <c r="I37" s="13" t="str">
        <f aca="false">IF(OR(N($E37)=0,$G37=""),"",$E37*$G37)</f>
        <v/>
      </c>
      <c r="J37" s="13" t="str">
        <f aca="false">IF(N($E37)=0,"",$I37-$H37)</f>
        <v/>
      </c>
      <c r="K37" s="19" t="str">
        <f aca="false">IF(OR(N($H37)=0,N($J37)=0),"",$J37/$H37)</f>
        <v/>
      </c>
      <c r="L37" s="19"/>
      <c r="N37" s="23" t="str">
        <f aca="false">IF($A37="","",$A37&amp;"#"&amp;COUNTIF($A$4:$A37,$A37))</f>
        <v/>
      </c>
    </row>
    <row r="38" customFormat="false" ht="15" hidden="false" customHeight="true" outlineLevel="0" collapsed="false">
      <c r="B38" s="15" t="str">
        <f aca="false">IF($C38="","",IFERROR(INDEX(MF_Master!$A:$A,MATCH($C38,MF_Master!$B:$B,0)),""))</f>
        <v/>
      </c>
      <c r="D38" s="15" t="str">
        <f aca="false">IF($C38="","",IFERROR(INDEX(MF_Master!$C:$C,MATCH($C38,MF_Master!$B:$B,0)),""))</f>
        <v/>
      </c>
      <c r="E38" s="31" t="str">
        <f aca="false">IF($A38="","",SUMIFS(MF_SIP!$H:$H,MF_SIP!$A:$A,$A38,MF_SIP!$D:$D,$D38))</f>
        <v/>
      </c>
      <c r="F38" s="18" t="str">
        <f aca="false">IF(OR($A38="",N($E38)=0),"",$H38/$E38)</f>
        <v/>
      </c>
      <c r="G38" s="28"/>
      <c r="H38" s="13" t="str">
        <f aca="false">IF($A38="","",SUMIFS(MF_SIP!$F:$F,MF_SIP!$A:$A,$A38,MF_SIP!$D:$D,$D38))</f>
        <v/>
      </c>
      <c r="I38" s="13" t="str">
        <f aca="false">IF(OR(N($E38)=0,$G38=""),"",$E38*$G38)</f>
        <v/>
      </c>
      <c r="J38" s="13" t="str">
        <f aca="false">IF(N($E38)=0,"",$I38-$H38)</f>
        <v/>
      </c>
      <c r="K38" s="19" t="str">
        <f aca="false">IF(OR(N($H38)=0,N($J38)=0),"",$J38/$H38)</f>
        <v/>
      </c>
      <c r="L38" s="19"/>
      <c r="N38" s="23" t="str">
        <f aca="false">IF($A38="","",$A38&amp;"#"&amp;COUNTIF($A$4:$A38,$A38))</f>
        <v/>
      </c>
    </row>
    <row r="39" customFormat="false" ht="15" hidden="false" customHeight="true" outlineLevel="0" collapsed="false">
      <c r="B39" s="15" t="str">
        <f aca="false">IF($C39="","",IFERROR(INDEX(MF_Master!$A:$A,MATCH($C39,MF_Master!$B:$B,0)),""))</f>
        <v/>
      </c>
      <c r="D39" s="15" t="str">
        <f aca="false">IF($C39="","",IFERROR(INDEX(MF_Master!$C:$C,MATCH($C39,MF_Master!$B:$B,0)),""))</f>
        <v/>
      </c>
      <c r="E39" s="31" t="str">
        <f aca="false">IF($A39="","",SUMIFS(MF_SIP!$H:$H,MF_SIP!$A:$A,$A39,MF_SIP!$D:$D,$D39))</f>
        <v/>
      </c>
      <c r="F39" s="18" t="str">
        <f aca="false">IF(OR($A39="",N($E39)=0),"",$H39/$E39)</f>
        <v/>
      </c>
      <c r="G39" s="28"/>
      <c r="H39" s="13" t="str">
        <f aca="false">IF($A39="","",SUMIFS(MF_SIP!$F:$F,MF_SIP!$A:$A,$A39,MF_SIP!$D:$D,$D39))</f>
        <v/>
      </c>
      <c r="I39" s="13" t="str">
        <f aca="false">IF(OR(N($E39)=0,$G39=""),"",$E39*$G39)</f>
        <v/>
      </c>
      <c r="J39" s="13" t="str">
        <f aca="false">IF(N($E39)=0,"",$I39-$H39)</f>
        <v/>
      </c>
      <c r="K39" s="19" t="str">
        <f aca="false">IF(OR(N($H39)=0,N($J39)=0),"",$J39/$H39)</f>
        <v/>
      </c>
      <c r="L39" s="19"/>
      <c r="N39" s="23" t="str">
        <f aca="false">IF($A39="","",$A39&amp;"#"&amp;COUNTIF($A$4:$A39,$A39))</f>
        <v/>
      </c>
    </row>
    <row r="40" customFormat="false" ht="15" hidden="false" customHeight="true" outlineLevel="0" collapsed="false">
      <c r="B40" s="15" t="str">
        <f aca="false">IF($C40="","",IFERROR(INDEX(MF_Master!$A:$A,MATCH($C40,MF_Master!$B:$B,0)),""))</f>
        <v/>
      </c>
      <c r="D40" s="15" t="str">
        <f aca="false">IF($C40="","",IFERROR(INDEX(MF_Master!$C:$C,MATCH($C40,MF_Master!$B:$B,0)),""))</f>
        <v/>
      </c>
      <c r="E40" s="31" t="str">
        <f aca="false">IF($A40="","",SUMIFS(MF_SIP!$H:$H,MF_SIP!$A:$A,$A40,MF_SIP!$D:$D,$D40))</f>
        <v/>
      </c>
      <c r="F40" s="18" t="str">
        <f aca="false">IF(OR($A40="",N($E40)=0),"",$H40/$E40)</f>
        <v/>
      </c>
      <c r="G40" s="28"/>
      <c r="H40" s="13" t="str">
        <f aca="false">IF($A40="","",SUMIFS(MF_SIP!$F:$F,MF_SIP!$A:$A,$A40,MF_SIP!$D:$D,$D40))</f>
        <v/>
      </c>
      <c r="I40" s="13" t="str">
        <f aca="false">IF(OR(N($E40)=0,$G40=""),"",$E40*$G40)</f>
        <v/>
      </c>
      <c r="J40" s="13" t="str">
        <f aca="false">IF(N($E40)=0,"",$I40-$H40)</f>
        <v/>
      </c>
      <c r="K40" s="19" t="str">
        <f aca="false">IF(OR(N($H40)=0,N($J40)=0),"",$J40/$H40)</f>
        <v/>
      </c>
      <c r="L40" s="19"/>
      <c r="N40" s="23" t="str">
        <f aca="false">IF($A40="","",$A40&amp;"#"&amp;COUNTIF($A$4:$A40,$A40))</f>
        <v/>
      </c>
    </row>
    <row r="41" customFormat="false" ht="15" hidden="false" customHeight="true" outlineLevel="0" collapsed="false">
      <c r="B41" s="15" t="str">
        <f aca="false">IF($C41="","",IFERROR(INDEX(MF_Master!$A:$A,MATCH($C41,MF_Master!$B:$B,0)),""))</f>
        <v/>
      </c>
      <c r="D41" s="15" t="str">
        <f aca="false">IF($C41="","",IFERROR(INDEX(MF_Master!$C:$C,MATCH($C41,MF_Master!$B:$B,0)),""))</f>
        <v/>
      </c>
      <c r="E41" s="31" t="str">
        <f aca="false">IF($A41="","",SUMIFS(MF_SIP!$H:$H,MF_SIP!$A:$A,$A41,MF_SIP!$D:$D,$D41))</f>
        <v/>
      </c>
      <c r="F41" s="18" t="str">
        <f aca="false">IF(OR($A41="",N($E41)=0),"",$H41/$E41)</f>
        <v/>
      </c>
      <c r="G41" s="28"/>
      <c r="H41" s="13" t="str">
        <f aca="false">IF($A41="","",SUMIFS(MF_SIP!$F:$F,MF_SIP!$A:$A,$A41,MF_SIP!$D:$D,$D41))</f>
        <v/>
      </c>
      <c r="I41" s="13" t="str">
        <f aca="false">IF(OR(N($E41)=0,$G41=""),"",$E41*$G41)</f>
        <v/>
      </c>
      <c r="J41" s="13" t="str">
        <f aca="false">IF(N($E41)=0,"",$I41-$H41)</f>
        <v/>
      </c>
      <c r="K41" s="19" t="str">
        <f aca="false">IF(OR(N($H41)=0,N($J41)=0),"",$J41/$H41)</f>
        <v/>
      </c>
      <c r="L41" s="19"/>
      <c r="N41" s="23" t="str">
        <f aca="false">IF($A41="","",$A41&amp;"#"&amp;COUNTIF($A$4:$A41,$A41))</f>
        <v/>
      </c>
    </row>
    <row r="42" customFormat="false" ht="15" hidden="false" customHeight="true" outlineLevel="0" collapsed="false">
      <c r="B42" s="15" t="str">
        <f aca="false">IF($C42="","",IFERROR(INDEX(MF_Master!$A:$A,MATCH($C42,MF_Master!$B:$B,0)),""))</f>
        <v/>
      </c>
      <c r="D42" s="15" t="str">
        <f aca="false">IF($C42="","",IFERROR(INDEX(MF_Master!$C:$C,MATCH($C42,MF_Master!$B:$B,0)),""))</f>
        <v/>
      </c>
      <c r="E42" s="31" t="str">
        <f aca="false">IF($A42="","",SUMIFS(MF_SIP!$H:$H,MF_SIP!$A:$A,$A42,MF_SIP!$D:$D,$D42))</f>
        <v/>
      </c>
      <c r="F42" s="18" t="str">
        <f aca="false">IF(OR($A42="",N($E42)=0),"",$H42/$E42)</f>
        <v/>
      </c>
      <c r="G42" s="28"/>
      <c r="H42" s="13" t="str">
        <f aca="false">IF($A42="","",SUMIFS(MF_SIP!$F:$F,MF_SIP!$A:$A,$A42,MF_SIP!$D:$D,$D42))</f>
        <v/>
      </c>
      <c r="I42" s="13" t="str">
        <f aca="false">IF(OR(N($E42)=0,$G42=""),"",$E42*$G42)</f>
        <v/>
      </c>
      <c r="J42" s="13" t="str">
        <f aca="false">IF(N($E42)=0,"",$I42-$H42)</f>
        <v/>
      </c>
      <c r="K42" s="19" t="str">
        <f aca="false">IF(OR(N($H42)=0,N($J42)=0),"",$J42/$H42)</f>
        <v/>
      </c>
      <c r="L42" s="19"/>
      <c r="N42" s="23" t="str">
        <f aca="false">IF($A42="","",$A42&amp;"#"&amp;COUNTIF($A$4:$A42,$A42))</f>
        <v/>
      </c>
    </row>
    <row r="43" customFormat="false" ht="15" hidden="false" customHeight="true" outlineLevel="0" collapsed="false">
      <c r="B43" s="15" t="str">
        <f aca="false">IF($C43="","",IFERROR(INDEX(MF_Master!$A:$A,MATCH($C43,MF_Master!$B:$B,0)),""))</f>
        <v/>
      </c>
      <c r="D43" s="15" t="str">
        <f aca="false">IF($C43="","",IFERROR(INDEX(MF_Master!$C:$C,MATCH($C43,MF_Master!$B:$B,0)),""))</f>
        <v/>
      </c>
      <c r="E43" s="31" t="str">
        <f aca="false">IF($A43="","",SUMIFS(MF_SIP!$H:$H,MF_SIP!$A:$A,$A43,MF_SIP!$D:$D,$D43))</f>
        <v/>
      </c>
      <c r="F43" s="18" t="str">
        <f aca="false">IF(OR($A43="",N($E43)=0),"",$H43/$E43)</f>
        <v/>
      </c>
      <c r="G43" s="28"/>
      <c r="H43" s="13" t="str">
        <f aca="false">IF($A43="","",SUMIFS(MF_SIP!$F:$F,MF_SIP!$A:$A,$A43,MF_SIP!$D:$D,$D43))</f>
        <v/>
      </c>
      <c r="I43" s="13" t="str">
        <f aca="false">IF(OR(N($E43)=0,$G43=""),"",$E43*$G43)</f>
        <v/>
      </c>
      <c r="J43" s="13" t="str">
        <f aca="false">IF(N($E43)=0,"",$I43-$H43)</f>
        <v/>
      </c>
      <c r="K43" s="19" t="str">
        <f aca="false">IF(OR(N($H43)=0,N($J43)=0),"",$J43/$H43)</f>
        <v/>
      </c>
      <c r="L43" s="19"/>
      <c r="N43" s="23" t="str">
        <f aca="false">IF($A43="","",$A43&amp;"#"&amp;COUNTIF($A$4:$A43,$A43))</f>
        <v/>
      </c>
    </row>
    <row r="44" customFormat="false" ht="15" hidden="false" customHeight="true" outlineLevel="0" collapsed="false">
      <c r="B44" s="15" t="str">
        <f aca="false">IF($C44="","",IFERROR(INDEX(MF_Master!$A:$A,MATCH($C44,MF_Master!$B:$B,0)),""))</f>
        <v/>
      </c>
      <c r="D44" s="15" t="str">
        <f aca="false">IF($C44="","",IFERROR(INDEX(MF_Master!$C:$C,MATCH($C44,MF_Master!$B:$B,0)),""))</f>
        <v/>
      </c>
      <c r="E44" s="31" t="str">
        <f aca="false">IF($A44="","",SUMIFS(MF_SIP!$H:$H,MF_SIP!$A:$A,$A44,MF_SIP!$D:$D,$D44))</f>
        <v/>
      </c>
      <c r="F44" s="18" t="str">
        <f aca="false">IF(OR($A44="",N($E44)=0),"",$H44/$E44)</f>
        <v/>
      </c>
      <c r="G44" s="28"/>
      <c r="H44" s="13" t="str">
        <f aca="false">IF($A44="","",SUMIFS(MF_SIP!$F:$F,MF_SIP!$A:$A,$A44,MF_SIP!$D:$D,$D44))</f>
        <v/>
      </c>
      <c r="I44" s="13" t="str">
        <f aca="false">IF(OR(N($E44)=0,$G44=""),"",$E44*$G44)</f>
        <v/>
      </c>
      <c r="J44" s="13" t="str">
        <f aca="false">IF(N($E44)=0,"",$I44-$H44)</f>
        <v/>
      </c>
      <c r="K44" s="19" t="str">
        <f aca="false">IF(OR(N($H44)=0,N($J44)=0),"",$J44/$H44)</f>
        <v/>
      </c>
      <c r="L44" s="19"/>
      <c r="N44" s="23" t="str">
        <f aca="false">IF($A44="","",$A44&amp;"#"&amp;COUNTIF($A$4:$A44,$A44))</f>
        <v/>
      </c>
    </row>
    <row r="45" customFormat="false" ht="15" hidden="false" customHeight="true" outlineLevel="0" collapsed="false">
      <c r="B45" s="15" t="str">
        <f aca="false">IF($C45="","",IFERROR(INDEX(MF_Master!$A:$A,MATCH($C45,MF_Master!$B:$B,0)),""))</f>
        <v/>
      </c>
      <c r="D45" s="15" t="str">
        <f aca="false">IF($C45="","",IFERROR(INDEX(MF_Master!$C:$C,MATCH($C45,MF_Master!$B:$B,0)),""))</f>
        <v/>
      </c>
      <c r="E45" s="31" t="str">
        <f aca="false">IF($A45="","",SUMIFS(MF_SIP!$H:$H,MF_SIP!$A:$A,$A45,MF_SIP!$D:$D,$D45))</f>
        <v/>
      </c>
      <c r="F45" s="18" t="str">
        <f aca="false">IF(OR($A45="",N($E45)=0),"",$H45/$E45)</f>
        <v/>
      </c>
      <c r="G45" s="28"/>
      <c r="H45" s="13" t="str">
        <f aca="false">IF($A45="","",SUMIFS(MF_SIP!$F:$F,MF_SIP!$A:$A,$A45,MF_SIP!$D:$D,$D45))</f>
        <v/>
      </c>
      <c r="I45" s="13" t="str">
        <f aca="false">IF(OR(N($E45)=0,$G45=""),"",$E45*$G45)</f>
        <v/>
      </c>
      <c r="J45" s="13" t="str">
        <f aca="false">IF(N($E45)=0,"",$I45-$H45)</f>
        <v/>
      </c>
      <c r="K45" s="19" t="str">
        <f aca="false">IF(OR(N($H45)=0,N($J45)=0),"",$J45/$H45)</f>
        <v/>
      </c>
      <c r="L45" s="19"/>
      <c r="N45" s="23" t="str">
        <f aca="false">IF($A45="","",$A45&amp;"#"&amp;COUNTIF($A$4:$A45,$A45))</f>
        <v/>
      </c>
    </row>
    <row r="46" customFormat="false" ht="15" hidden="false" customHeight="true" outlineLevel="0" collapsed="false">
      <c r="B46" s="15" t="str">
        <f aca="false">IF($C46="","",IFERROR(INDEX(MF_Master!$A:$A,MATCH($C46,MF_Master!$B:$B,0)),""))</f>
        <v/>
      </c>
      <c r="D46" s="15" t="str">
        <f aca="false">IF($C46="","",IFERROR(INDEX(MF_Master!$C:$C,MATCH($C46,MF_Master!$B:$B,0)),""))</f>
        <v/>
      </c>
      <c r="E46" s="31" t="str">
        <f aca="false">IF($A46="","",SUMIFS(MF_SIP!$H:$H,MF_SIP!$A:$A,$A46,MF_SIP!$D:$D,$D46))</f>
        <v/>
      </c>
      <c r="F46" s="18" t="str">
        <f aca="false">IF(OR($A46="",N($E46)=0),"",$H46/$E46)</f>
        <v/>
      </c>
      <c r="G46" s="28"/>
      <c r="H46" s="13" t="str">
        <f aca="false">IF($A46="","",SUMIFS(MF_SIP!$F:$F,MF_SIP!$A:$A,$A46,MF_SIP!$D:$D,$D46))</f>
        <v/>
      </c>
      <c r="I46" s="13" t="str">
        <f aca="false">IF(OR(N($E46)=0,$G46=""),"",$E46*$G46)</f>
        <v/>
      </c>
      <c r="J46" s="13" t="str">
        <f aca="false">IF(N($E46)=0,"",$I46-$H46)</f>
        <v/>
      </c>
      <c r="K46" s="19" t="str">
        <f aca="false">IF(OR(N($H46)=0,N($J46)=0),"",$J46/$H46)</f>
        <v/>
      </c>
      <c r="L46" s="19"/>
      <c r="N46" s="23" t="str">
        <f aca="false">IF($A46="","",$A46&amp;"#"&amp;COUNTIF($A$4:$A46,$A46))</f>
        <v/>
      </c>
    </row>
    <row r="47" customFormat="false" ht="15" hidden="false" customHeight="true" outlineLevel="0" collapsed="false">
      <c r="B47" s="15" t="str">
        <f aca="false">IF($C47="","",IFERROR(INDEX(MF_Master!$A:$A,MATCH($C47,MF_Master!$B:$B,0)),""))</f>
        <v/>
      </c>
      <c r="D47" s="15" t="str">
        <f aca="false">IF($C47="","",IFERROR(INDEX(MF_Master!$C:$C,MATCH($C47,MF_Master!$B:$B,0)),""))</f>
        <v/>
      </c>
      <c r="E47" s="31" t="str">
        <f aca="false">IF($A47="","",SUMIFS(MF_SIP!$H:$H,MF_SIP!$A:$A,$A47,MF_SIP!$D:$D,$D47))</f>
        <v/>
      </c>
      <c r="F47" s="18" t="str">
        <f aca="false">IF(OR($A47="",N($E47)=0),"",$H47/$E47)</f>
        <v/>
      </c>
      <c r="G47" s="28"/>
      <c r="H47" s="13" t="str">
        <f aca="false">IF($A47="","",SUMIFS(MF_SIP!$F:$F,MF_SIP!$A:$A,$A47,MF_SIP!$D:$D,$D47))</f>
        <v/>
      </c>
      <c r="I47" s="13" t="str">
        <f aca="false">IF(OR(N($E47)=0,$G47=""),"",$E47*$G47)</f>
        <v/>
      </c>
      <c r="J47" s="13" t="str">
        <f aca="false">IF(N($E47)=0,"",$I47-$H47)</f>
        <v/>
      </c>
      <c r="K47" s="19" t="str">
        <f aca="false">IF(OR(N($H47)=0,N($J47)=0),"",$J47/$H47)</f>
        <v/>
      </c>
      <c r="L47" s="19"/>
      <c r="N47" s="23" t="str">
        <f aca="false">IF($A47="","",$A47&amp;"#"&amp;COUNTIF($A$4:$A47,$A47))</f>
        <v/>
      </c>
    </row>
    <row r="48" customFormat="false" ht="15" hidden="false" customHeight="true" outlineLevel="0" collapsed="false">
      <c r="B48" s="15" t="str">
        <f aca="false">IF($C48="","",IFERROR(INDEX(MF_Master!$A:$A,MATCH($C48,MF_Master!$B:$B,0)),""))</f>
        <v/>
      </c>
      <c r="D48" s="15" t="str">
        <f aca="false">IF($C48="","",IFERROR(INDEX(MF_Master!$C:$C,MATCH($C48,MF_Master!$B:$B,0)),""))</f>
        <v/>
      </c>
      <c r="E48" s="31" t="str">
        <f aca="false">IF($A48="","",SUMIFS(MF_SIP!$H:$H,MF_SIP!$A:$A,$A48,MF_SIP!$D:$D,$D48))</f>
        <v/>
      </c>
      <c r="F48" s="18" t="str">
        <f aca="false">IF(OR($A48="",N($E48)=0),"",$H48/$E48)</f>
        <v/>
      </c>
      <c r="G48" s="28"/>
      <c r="H48" s="13" t="str">
        <f aca="false">IF($A48="","",SUMIFS(MF_SIP!$F:$F,MF_SIP!$A:$A,$A48,MF_SIP!$D:$D,$D48))</f>
        <v/>
      </c>
      <c r="I48" s="13" t="str">
        <f aca="false">IF(OR(N($E48)=0,$G48=""),"",$E48*$G48)</f>
        <v/>
      </c>
      <c r="J48" s="13" t="str">
        <f aca="false">IF(N($E48)=0,"",$I48-$H48)</f>
        <v/>
      </c>
      <c r="K48" s="19" t="str">
        <f aca="false">IF(OR(N($H48)=0,N($J48)=0),"",$J48/$H48)</f>
        <v/>
      </c>
      <c r="L48" s="19"/>
      <c r="N48" s="23" t="str">
        <f aca="false">IF($A48="","",$A48&amp;"#"&amp;COUNTIF($A$4:$A48,$A48))</f>
        <v/>
      </c>
    </row>
    <row r="49" customFormat="false" ht="15" hidden="false" customHeight="true" outlineLevel="0" collapsed="false">
      <c r="B49" s="15" t="str">
        <f aca="false">IF($C49="","",IFERROR(INDEX(MF_Master!$A:$A,MATCH($C49,MF_Master!$B:$B,0)),""))</f>
        <v/>
      </c>
      <c r="D49" s="15" t="str">
        <f aca="false">IF($C49="","",IFERROR(INDEX(MF_Master!$C:$C,MATCH($C49,MF_Master!$B:$B,0)),""))</f>
        <v/>
      </c>
      <c r="E49" s="31" t="str">
        <f aca="false">IF($A49="","",SUMIFS(MF_SIP!$H:$H,MF_SIP!$A:$A,$A49,MF_SIP!$D:$D,$D49))</f>
        <v/>
      </c>
      <c r="F49" s="18" t="str">
        <f aca="false">IF(OR($A49="",N($E49)=0),"",$H49/$E49)</f>
        <v/>
      </c>
      <c r="G49" s="28"/>
      <c r="H49" s="13" t="str">
        <f aca="false">IF($A49="","",SUMIFS(MF_SIP!$F:$F,MF_SIP!$A:$A,$A49,MF_SIP!$D:$D,$D49))</f>
        <v/>
      </c>
      <c r="I49" s="13" t="str">
        <f aca="false">IF(OR(N($E49)=0,$G49=""),"",$E49*$G49)</f>
        <v/>
      </c>
      <c r="J49" s="13" t="str">
        <f aca="false">IF(N($E49)=0,"",$I49-$H49)</f>
        <v/>
      </c>
      <c r="K49" s="19" t="str">
        <f aca="false">IF(OR(N($H49)=0,N($J49)=0),"",$J49/$H49)</f>
        <v/>
      </c>
      <c r="L49" s="19"/>
      <c r="N49" s="23" t="str">
        <f aca="false">IF($A49="","",$A49&amp;"#"&amp;COUNTIF($A$4:$A49,$A49))</f>
        <v/>
      </c>
    </row>
    <row r="50" customFormat="false" ht="15" hidden="false" customHeight="true" outlineLevel="0" collapsed="false">
      <c r="B50" s="15" t="str">
        <f aca="false">IF($C50="","",IFERROR(INDEX(MF_Master!$A:$A,MATCH($C50,MF_Master!$B:$B,0)),""))</f>
        <v/>
      </c>
      <c r="D50" s="15" t="str">
        <f aca="false">IF($C50="","",IFERROR(INDEX(MF_Master!$C:$C,MATCH($C50,MF_Master!$B:$B,0)),""))</f>
        <v/>
      </c>
      <c r="E50" s="31" t="str">
        <f aca="false">IF($A50="","",SUMIFS(MF_SIP!$H:$H,MF_SIP!$A:$A,$A50,MF_SIP!$D:$D,$D50))</f>
        <v/>
      </c>
      <c r="F50" s="18" t="str">
        <f aca="false">IF(OR($A50="",N($E50)=0),"",$H50/$E50)</f>
        <v/>
      </c>
      <c r="G50" s="28"/>
      <c r="H50" s="13" t="str">
        <f aca="false">IF($A50="","",SUMIFS(MF_SIP!$F:$F,MF_SIP!$A:$A,$A50,MF_SIP!$D:$D,$D50))</f>
        <v/>
      </c>
      <c r="I50" s="13" t="str">
        <f aca="false">IF(OR(N($E50)=0,$G50=""),"",$E50*$G50)</f>
        <v/>
      </c>
      <c r="J50" s="13" t="str">
        <f aca="false">IF(N($E50)=0,"",$I50-$H50)</f>
        <v/>
      </c>
      <c r="K50" s="19" t="str">
        <f aca="false">IF(OR(N($H50)=0,N($J50)=0),"",$J50/$H50)</f>
        <v/>
      </c>
      <c r="L50" s="19"/>
      <c r="N50" s="23" t="str">
        <f aca="false">IF($A50="","",$A50&amp;"#"&amp;COUNTIF($A$4:$A50,$A50))</f>
        <v/>
      </c>
    </row>
    <row r="51" customFormat="false" ht="15" hidden="false" customHeight="true" outlineLevel="0" collapsed="false">
      <c r="B51" s="15" t="str">
        <f aca="false">IF($C51="","",IFERROR(INDEX(MF_Master!$A:$A,MATCH($C51,MF_Master!$B:$B,0)),""))</f>
        <v/>
      </c>
      <c r="D51" s="15" t="str">
        <f aca="false">IF($C51="","",IFERROR(INDEX(MF_Master!$C:$C,MATCH($C51,MF_Master!$B:$B,0)),""))</f>
        <v/>
      </c>
      <c r="E51" s="31" t="str">
        <f aca="false">IF($A51="","",SUMIFS(MF_SIP!$H:$H,MF_SIP!$A:$A,$A51,MF_SIP!$D:$D,$D51))</f>
        <v/>
      </c>
      <c r="F51" s="18" t="str">
        <f aca="false">IF(OR($A51="",N($E51)=0),"",$H51/$E51)</f>
        <v/>
      </c>
      <c r="G51" s="28"/>
      <c r="H51" s="13" t="str">
        <f aca="false">IF($A51="","",SUMIFS(MF_SIP!$F:$F,MF_SIP!$A:$A,$A51,MF_SIP!$D:$D,$D51))</f>
        <v/>
      </c>
      <c r="I51" s="13" t="str">
        <f aca="false">IF(OR(N($E51)=0,$G51=""),"",$E51*$G51)</f>
        <v/>
      </c>
      <c r="J51" s="13" t="str">
        <f aca="false">IF(N($E51)=0,"",$I51-$H51)</f>
        <v/>
      </c>
      <c r="K51" s="19" t="str">
        <f aca="false">IF(OR(N($H51)=0,N($J51)=0),"",$J51/$H51)</f>
        <v/>
      </c>
      <c r="L51" s="19"/>
      <c r="N51" s="23" t="str">
        <f aca="false">IF($A51="","",$A51&amp;"#"&amp;COUNTIF($A$4:$A51,$A51))</f>
        <v/>
      </c>
    </row>
    <row r="52" customFormat="false" ht="15" hidden="false" customHeight="true" outlineLevel="0" collapsed="false">
      <c r="B52" s="15" t="str">
        <f aca="false">IF($C52="","",IFERROR(INDEX(MF_Master!$A:$A,MATCH($C52,MF_Master!$B:$B,0)),""))</f>
        <v/>
      </c>
      <c r="D52" s="15" t="str">
        <f aca="false">IF($C52="","",IFERROR(INDEX(MF_Master!$C:$C,MATCH($C52,MF_Master!$B:$B,0)),""))</f>
        <v/>
      </c>
      <c r="E52" s="31" t="str">
        <f aca="false">IF($A52="","",SUMIFS(MF_SIP!$H:$H,MF_SIP!$A:$A,$A52,MF_SIP!$D:$D,$D52))</f>
        <v/>
      </c>
      <c r="F52" s="18" t="str">
        <f aca="false">IF(OR($A52="",N($E52)=0),"",$H52/$E52)</f>
        <v/>
      </c>
      <c r="G52" s="28"/>
      <c r="H52" s="13" t="str">
        <f aca="false">IF($A52="","",SUMIFS(MF_SIP!$F:$F,MF_SIP!$A:$A,$A52,MF_SIP!$D:$D,$D52))</f>
        <v/>
      </c>
      <c r="I52" s="13" t="str">
        <f aca="false">IF(OR(N($E52)=0,$G52=""),"",$E52*$G52)</f>
        <v/>
      </c>
      <c r="J52" s="13" t="str">
        <f aca="false">IF(N($E52)=0,"",$I52-$H52)</f>
        <v/>
      </c>
      <c r="K52" s="19" t="str">
        <f aca="false">IF(OR(N($H52)=0,N($J52)=0),"",$J52/$H52)</f>
        <v/>
      </c>
      <c r="L52" s="19"/>
      <c r="N52" s="23" t="str">
        <f aca="false">IF($A52="","",$A52&amp;"#"&amp;COUNTIF($A$4:$A52,$A52))</f>
        <v/>
      </c>
    </row>
    <row r="53" customFormat="false" ht="15" hidden="false" customHeight="true" outlineLevel="0" collapsed="false">
      <c r="B53" s="15" t="str">
        <f aca="false">IF($C53="","",IFERROR(INDEX(MF_Master!$A:$A,MATCH($C53,MF_Master!$B:$B,0)),""))</f>
        <v/>
      </c>
      <c r="D53" s="15" t="str">
        <f aca="false">IF($C53="","",IFERROR(INDEX(MF_Master!$C:$C,MATCH($C53,MF_Master!$B:$B,0)),""))</f>
        <v/>
      </c>
      <c r="E53" s="31" t="str">
        <f aca="false">IF($A53="","",SUMIFS(MF_SIP!$H:$H,MF_SIP!$A:$A,$A53,MF_SIP!$D:$D,$D53))</f>
        <v/>
      </c>
      <c r="F53" s="18" t="str">
        <f aca="false">IF(OR($A53="",N($E53)=0),"",$H53/$E53)</f>
        <v/>
      </c>
      <c r="G53" s="28"/>
      <c r="H53" s="13" t="str">
        <f aca="false">IF($A53="","",SUMIFS(MF_SIP!$F:$F,MF_SIP!$A:$A,$A53,MF_SIP!$D:$D,$D53))</f>
        <v/>
      </c>
      <c r="I53" s="13" t="str">
        <f aca="false">IF(OR(N($E53)=0,$G53=""),"",$E53*$G53)</f>
        <v/>
      </c>
      <c r="J53" s="13" t="str">
        <f aca="false">IF(N($E53)=0,"",$I53-$H53)</f>
        <v/>
      </c>
      <c r="K53" s="19" t="str">
        <f aca="false">IF(OR(N($H53)=0,N($J53)=0),"",$J53/$H53)</f>
        <v/>
      </c>
      <c r="L53" s="19"/>
      <c r="N53" s="23" t="str">
        <f aca="false">IF($A53="","",$A53&amp;"#"&amp;COUNTIF($A$4:$A53,$A53))</f>
        <v/>
      </c>
    </row>
    <row r="54" customFormat="false" ht="15" hidden="false" customHeight="true" outlineLevel="0" collapsed="false">
      <c r="B54" s="15" t="str">
        <f aca="false">IF($C54="","",IFERROR(INDEX(MF_Master!$A:$A,MATCH($C54,MF_Master!$B:$B,0)),""))</f>
        <v/>
      </c>
      <c r="D54" s="15" t="str">
        <f aca="false">IF($C54="","",IFERROR(INDEX(MF_Master!$C:$C,MATCH($C54,MF_Master!$B:$B,0)),""))</f>
        <v/>
      </c>
      <c r="E54" s="31" t="str">
        <f aca="false">IF($A54="","",SUMIFS(MF_SIP!$H:$H,MF_SIP!$A:$A,$A54,MF_SIP!$D:$D,$D54))</f>
        <v/>
      </c>
      <c r="F54" s="18" t="str">
        <f aca="false">IF(OR($A54="",N($E54)=0),"",$H54/$E54)</f>
        <v/>
      </c>
      <c r="G54" s="28"/>
      <c r="H54" s="13" t="str">
        <f aca="false">IF($A54="","",SUMIFS(MF_SIP!$F:$F,MF_SIP!$A:$A,$A54,MF_SIP!$D:$D,$D54))</f>
        <v/>
      </c>
      <c r="I54" s="13" t="str">
        <f aca="false">IF(OR(N($E54)=0,$G54=""),"",$E54*$G54)</f>
        <v/>
      </c>
      <c r="J54" s="13" t="str">
        <f aca="false">IF(N($E54)=0,"",$I54-$H54)</f>
        <v/>
      </c>
      <c r="K54" s="19" t="str">
        <f aca="false">IF(OR(N($H54)=0,N($J54)=0),"",$J54/$H54)</f>
        <v/>
      </c>
      <c r="L54" s="19"/>
      <c r="N54" s="23" t="str">
        <f aca="false">IF($A54="","",$A54&amp;"#"&amp;COUNTIF($A$4:$A54,$A54))</f>
        <v/>
      </c>
    </row>
    <row r="55" customFormat="false" ht="15" hidden="false" customHeight="true" outlineLevel="0" collapsed="false">
      <c r="B55" s="15" t="str">
        <f aca="false">IF($C55="","",IFERROR(INDEX(MF_Master!$A:$A,MATCH($C55,MF_Master!$B:$B,0)),""))</f>
        <v/>
      </c>
      <c r="D55" s="15" t="str">
        <f aca="false">IF($C55="","",IFERROR(INDEX(MF_Master!$C:$C,MATCH($C55,MF_Master!$B:$B,0)),""))</f>
        <v/>
      </c>
      <c r="E55" s="31" t="str">
        <f aca="false">IF($A55="","",SUMIFS(MF_SIP!$H:$H,MF_SIP!$A:$A,$A55,MF_SIP!$D:$D,$D55))</f>
        <v/>
      </c>
      <c r="F55" s="18" t="str">
        <f aca="false">IF(OR($A55="",N($E55)=0),"",$H55/$E55)</f>
        <v/>
      </c>
      <c r="G55" s="28"/>
      <c r="H55" s="13" t="str">
        <f aca="false">IF($A55="","",SUMIFS(MF_SIP!$F:$F,MF_SIP!$A:$A,$A55,MF_SIP!$D:$D,$D55))</f>
        <v/>
      </c>
      <c r="I55" s="13" t="str">
        <f aca="false">IF(OR(N($E55)=0,$G55=""),"",$E55*$G55)</f>
        <v/>
      </c>
      <c r="J55" s="13" t="str">
        <f aca="false">IF(N($E55)=0,"",$I55-$H55)</f>
        <v/>
      </c>
      <c r="K55" s="19" t="str">
        <f aca="false">IF(OR(N($H55)=0,N($J55)=0),"",$J55/$H55)</f>
        <v/>
      </c>
      <c r="L55" s="19"/>
      <c r="N55" s="23" t="str">
        <f aca="false">IF($A55="","",$A55&amp;"#"&amp;COUNTIF($A$4:$A55,$A55))</f>
        <v/>
      </c>
    </row>
    <row r="56" customFormat="false" ht="15" hidden="false" customHeight="true" outlineLevel="0" collapsed="false">
      <c r="B56" s="15" t="str">
        <f aca="false">IF($C56="","",IFERROR(INDEX(MF_Master!$A:$A,MATCH($C56,MF_Master!$B:$B,0)),""))</f>
        <v/>
      </c>
      <c r="D56" s="15" t="str">
        <f aca="false">IF($C56="","",IFERROR(INDEX(MF_Master!$C:$C,MATCH($C56,MF_Master!$B:$B,0)),""))</f>
        <v/>
      </c>
      <c r="E56" s="31" t="str">
        <f aca="false">IF($A56="","",SUMIFS(MF_SIP!$H:$H,MF_SIP!$A:$A,$A56,MF_SIP!$D:$D,$D56))</f>
        <v/>
      </c>
      <c r="F56" s="18" t="str">
        <f aca="false">IF(OR($A56="",N($E56)=0),"",$H56/$E56)</f>
        <v/>
      </c>
      <c r="G56" s="28"/>
      <c r="H56" s="13" t="str">
        <f aca="false">IF($A56="","",SUMIFS(MF_SIP!$F:$F,MF_SIP!$A:$A,$A56,MF_SIP!$D:$D,$D56))</f>
        <v/>
      </c>
      <c r="I56" s="13" t="str">
        <f aca="false">IF(OR(N($E56)=0,$G56=""),"",$E56*$G56)</f>
        <v/>
      </c>
      <c r="J56" s="13" t="str">
        <f aca="false">IF(N($E56)=0,"",$I56-$H56)</f>
        <v/>
      </c>
      <c r="K56" s="19" t="str">
        <f aca="false">IF(OR(N($H56)=0,N($J56)=0),"",$J56/$H56)</f>
        <v/>
      </c>
      <c r="L56" s="19"/>
      <c r="N56" s="23" t="str">
        <f aca="false">IF($A56="","",$A56&amp;"#"&amp;COUNTIF($A$4:$A56,$A56))</f>
        <v/>
      </c>
    </row>
    <row r="57" customFormat="false" ht="15" hidden="false" customHeight="true" outlineLevel="0" collapsed="false">
      <c r="B57" s="15" t="str">
        <f aca="false">IF($C57="","",IFERROR(INDEX(MF_Master!$A:$A,MATCH($C57,MF_Master!$B:$B,0)),""))</f>
        <v/>
      </c>
      <c r="D57" s="15" t="str">
        <f aca="false">IF($C57="","",IFERROR(INDEX(MF_Master!$C:$C,MATCH($C57,MF_Master!$B:$B,0)),""))</f>
        <v/>
      </c>
      <c r="E57" s="31" t="str">
        <f aca="false">IF($A57="","",SUMIFS(MF_SIP!$H:$H,MF_SIP!$A:$A,$A57,MF_SIP!$D:$D,$D57))</f>
        <v/>
      </c>
      <c r="F57" s="18" t="str">
        <f aca="false">IF(OR($A57="",N($E57)=0),"",$H57/$E57)</f>
        <v/>
      </c>
      <c r="G57" s="28"/>
      <c r="H57" s="13" t="str">
        <f aca="false">IF($A57="","",SUMIFS(MF_SIP!$F:$F,MF_SIP!$A:$A,$A57,MF_SIP!$D:$D,$D57))</f>
        <v/>
      </c>
      <c r="I57" s="13" t="str">
        <f aca="false">IF(OR(N($E57)=0,$G57=""),"",$E57*$G57)</f>
        <v/>
      </c>
      <c r="J57" s="13" t="str">
        <f aca="false">IF(N($E57)=0,"",$I57-$H57)</f>
        <v/>
      </c>
      <c r="K57" s="19" t="str">
        <f aca="false">IF(OR(N($H57)=0,N($J57)=0),"",$J57/$H57)</f>
        <v/>
      </c>
      <c r="L57" s="19"/>
      <c r="N57" s="23" t="str">
        <f aca="false">IF($A57="","",$A57&amp;"#"&amp;COUNTIF($A$4:$A57,$A57))</f>
        <v/>
      </c>
    </row>
    <row r="58" customFormat="false" ht="15" hidden="false" customHeight="true" outlineLevel="0" collapsed="false">
      <c r="B58" s="15" t="str">
        <f aca="false">IF($C58="","",IFERROR(INDEX(MF_Master!$A:$A,MATCH($C58,MF_Master!$B:$B,0)),""))</f>
        <v/>
      </c>
      <c r="D58" s="15" t="str">
        <f aca="false">IF($C58="","",IFERROR(INDEX(MF_Master!$C:$C,MATCH($C58,MF_Master!$B:$B,0)),""))</f>
        <v/>
      </c>
      <c r="E58" s="31" t="str">
        <f aca="false">IF($A58="","",SUMIFS(MF_SIP!$H:$H,MF_SIP!$A:$A,$A58,MF_SIP!$D:$D,$D58))</f>
        <v/>
      </c>
      <c r="F58" s="18" t="str">
        <f aca="false">IF(OR($A58="",N($E58)=0),"",$H58/$E58)</f>
        <v/>
      </c>
      <c r="G58" s="28"/>
      <c r="H58" s="13" t="str">
        <f aca="false">IF($A58="","",SUMIFS(MF_SIP!$F:$F,MF_SIP!$A:$A,$A58,MF_SIP!$D:$D,$D58))</f>
        <v/>
      </c>
      <c r="I58" s="13" t="str">
        <f aca="false">IF(OR(N($E58)=0,$G58=""),"",$E58*$G58)</f>
        <v/>
      </c>
      <c r="J58" s="13" t="str">
        <f aca="false">IF(N($E58)=0,"",$I58-$H58)</f>
        <v/>
      </c>
      <c r="K58" s="19" t="str">
        <f aca="false">IF(OR(N($H58)=0,N($J58)=0),"",$J58/$H58)</f>
        <v/>
      </c>
      <c r="L58" s="19"/>
      <c r="N58" s="23" t="str">
        <f aca="false">IF($A58="","",$A58&amp;"#"&amp;COUNTIF($A$4:$A58,$A58))</f>
        <v/>
      </c>
    </row>
    <row r="59" customFormat="false" ht="15" hidden="false" customHeight="true" outlineLevel="0" collapsed="false">
      <c r="B59" s="15" t="str">
        <f aca="false">IF($C59="","",IFERROR(INDEX(MF_Master!$A:$A,MATCH($C59,MF_Master!$B:$B,0)),""))</f>
        <v/>
      </c>
      <c r="D59" s="15" t="str">
        <f aca="false">IF($C59="","",IFERROR(INDEX(MF_Master!$C:$C,MATCH($C59,MF_Master!$B:$B,0)),""))</f>
        <v/>
      </c>
      <c r="E59" s="31" t="str">
        <f aca="false">IF($A59="","",SUMIFS(MF_SIP!$H:$H,MF_SIP!$A:$A,$A59,MF_SIP!$D:$D,$D59))</f>
        <v/>
      </c>
      <c r="F59" s="18" t="str">
        <f aca="false">IF(OR($A59="",N($E59)=0),"",$H59/$E59)</f>
        <v/>
      </c>
      <c r="G59" s="28"/>
      <c r="H59" s="13" t="str">
        <f aca="false">IF($A59="","",SUMIFS(MF_SIP!$F:$F,MF_SIP!$A:$A,$A59,MF_SIP!$D:$D,$D59))</f>
        <v/>
      </c>
      <c r="I59" s="13" t="str">
        <f aca="false">IF(OR(N($E59)=0,$G59=""),"",$E59*$G59)</f>
        <v/>
      </c>
      <c r="J59" s="13" t="str">
        <f aca="false">IF(N($E59)=0,"",$I59-$H59)</f>
        <v/>
      </c>
      <c r="K59" s="19" t="str">
        <f aca="false">IF(OR(N($H59)=0,N($J59)=0),"",$J59/$H59)</f>
        <v/>
      </c>
      <c r="L59" s="19"/>
      <c r="N59" s="23" t="str">
        <f aca="false">IF($A59="","",$A59&amp;"#"&amp;COUNTIF($A$4:$A59,$A59))</f>
        <v/>
      </c>
    </row>
    <row r="60" customFormat="false" ht="15" hidden="false" customHeight="true" outlineLevel="0" collapsed="false">
      <c r="B60" s="15" t="str">
        <f aca="false">IF($C60="","",IFERROR(INDEX(MF_Master!$A:$A,MATCH($C60,MF_Master!$B:$B,0)),""))</f>
        <v/>
      </c>
      <c r="D60" s="15" t="str">
        <f aca="false">IF($C60="","",IFERROR(INDEX(MF_Master!$C:$C,MATCH($C60,MF_Master!$B:$B,0)),""))</f>
        <v/>
      </c>
      <c r="E60" s="31" t="str">
        <f aca="false">IF($A60="","",SUMIFS(MF_SIP!$H:$H,MF_SIP!$A:$A,$A60,MF_SIP!$D:$D,$D60))</f>
        <v/>
      </c>
      <c r="F60" s="18" t="str">
        <f aca="false">IF(OR($A60="",N($E60)=0),"",$H60/$E60)</f>
        <v/>
      </c>
      <c r="G60" s="28"/>
      <c r="H60" s="13" t="str">
        <f aca="false">IF($A60="","",SUMIFS(MF_SIP!$F:$F,MF_SIP!$A:$A,$A60,MF_SIP!$D:$D,$D60))</f>
        <v/>
      </c>
      <c r="I60" s="13" t="str">
        <f aca="false">IF(OR(N($E60)=0,$G60=""),"",$E60*$G60)</f>
        <v/>
      </c>
      <c r="J60" s="13" t="str">
        <f aca="false">IF(N($E60)=0,"",$I60-$H60)</f>
        <v/>
      </c>
      <c r="K60" s="19" t="str">
        <f aca="false">IF(OR(N($H60)=0,N($J60)=0),"",$J60/$H60)</f>
        <v/>
      </c>
      <c r="L60" s="19"/>
      <c r="N60" s="23" t="str">
        <f aca="false">IF($A60="","",$A60&amp;"#"&amp;COUNTIF($A$4:$A60,$A60))</f>
        <v/>
      </c>
    </row>
    <row r="61" customFormat="false" ht="15" hidden="false" customHeight="true" outlineLevel="0" collapsed="false">
      <c r="B61" s="15" t="str">
        <f aca="false">IF($C61="","",IFERROR(INDEX(MF_Master!$A:$A,MATCH($C61,MF_Master!$B:$B,0)),""))</f>
        <v/>
      </c>
      <c r="D61" s="15" t="str">
        <f aca="false">IF($C61="","",IFERROR(INDEX(MF_Master!$C:$C,MATCH($C61,MF_Master!$B:$B,0)),""))</f>
        <v/>
      </c>
      <c r="E61" s="31" t="str">
        <f aca="false">IF($A61="","",SUMIFS(MF_SIP!$H:$H,MF_SIP!$A:$A,$A61,MF_SIP!$D:$D,$D61))</f>
        <v/>
      </c>
      <c r="F61" s="18" t="str">
        <f aca="false">IF(OR($A61="",N($E61)=0),"",$H61/$E61)</f>
        <v/>
      </c>
      <c r="G61" s="28"/>
      <c r="H61" s="13" t="str">
        <f aca="false">IF($A61="","",SUMIFS(MF_SIP!$F:$F,MF_SIP!$A:$A,$A61,MF_SIP!$D:$D,$D61))</f>
        <v/>
      </c>
      <c r="I61" s="13" t="str">
        <f aca="false">IF(OR(N($E61)=0,$G61=""),"",$E61*$G61)</f>
        <v/>
      </c>
      <c r="J61" s="13" t="str">
        <f aca="false">IF(N($E61)=0,"",$I61-$H61)</f>
        <v/>
      </c>
      <c r="K61" s="19" t="str">
        <f aca="false">IF(OR(N($H61)=0,N($J61)=0),"",$J61/$H61)</f>
        <v/>
      </c>
      <c r="L61" s="19"/>
      <c r="N61" s="23" t="str">
        <f aca="false">IF($A61="","",$A61&amp;"#"&amp;COUNTIF($A$4:$A61,$A61))</f>
        <v/>
      </c>
    </row>
    <row r="62" customFormat="false" ht="15" hidden="false" customHeight="true" outlineLevel="0" collapsed="false">
      <c r="B62" s="15" t="str">
        <f aca="false">IF($C62="","",IFERROR(INDEX(MF_Master!$A:$A,MATCH($C62,MF_Master!$B:$B,0)),""))</f>
        <v/>
      </c>
      <c r="D62" s="15" t="str">
        <f aca="false">IF($C62="","",IFERROR(INDEX(MF_Master!$C:$C,MATCH($C62,MF_Master!$B:$B,0)),""))</f>
        <v/>
      </c>
      <c r="E62" s="31" t="str">
        <f aca="false">IF($A62="","",SUMIFS(MF_SIP!$H:$H,MF_SIP!$A:$A,$A62,MF_SIP!$D:$D,$D62))</f>
        <v/>
      </c>
      <c r="F62" s="18" t="str">
        <f aca="false">IF(OR($A62="",N($E62)=0),"",$H62/$E62)</f>
        <v/>
      </c>
      <c r="G62" s="28"/>
      <c r="H62" s="13" t="str">
        <f aca="false">IF($A62="","",SUMIFS(MF_SIP!$F:$F,MF_SIP!$A:$A,$A62,MF_SIP!$D:$D,$D62))</f>
        <v/>
      </c>
      <c r="I62" s="13" t="str">
        <f aca="false">IF(OR(N($E62)=0,$G62=""),"",$E62*$G62)</f>
        <v/>
      </c>
      <c r="J62" s="13" t="str">
        <f aca="false">IF(N($E62)=0,"",$I62-$H62)</f>
        <v/>
      </c>
      <c r="K62" s="19" t="str">
        <f aca="false">IF(OR(N($H62)=0,N($J62)=0),"",$J62/$H62)</f>
        <v/>
      </c>
      <c r="L62" s="19"/>
      <c r="N62" s="23" t="str">
        <f aca="false">IF($A62="","",$A62&amp;"#"&amp;COUNTIF($A$4:$A62,$A62))</f>
        <v/>
      </c>
    </row>
    <row r="63" customFormat="false" ht="15" hidden="false" customHeight="true" outlineLevel="0" collapsed="false">
      <c r="B63" s="15" t="str">
        <f aca="false">IF($C63="","",IFERROR(INDEX(MF_Master!$A:$A,MATCH($C63,MF_Master!$B:$B,0)),""))</f>
        <v/>
      </c>
      <c r="D63" s="15" t="str">
        <f aca="false">IF($C63="","",IFERROR(INDEX(MF_Master!$C:$C,MATCH($C63,MF_Master!$B:$B,0)),""))</f>
        <v/>
      </c>
      <c r="E63" s="31" t="str">
        <f aca="false">IF($A63="","",SUMIFS(MF_SIP!$H:$H,MF_SIP!$A:$A,$A63,MF_SIP!$D:$D,$D63))</f>
        <v/>
      </c>
      <c r="F63" s="18" t="str">
        <f aca="false">IF(OR($A63="",N($E63)=0),"",$H63/$E63)</f>
        <v/>
      </c>
      <c r="G63" s="28"/>
      <c r="H63" s="13" t="str">
        <f aca="false">IF($A63="","",SUMIFS(MF_SIP!$F:$F,MF_SIP!$A:$A,$A63,MF_SIP!$D:$D,$D63))</f>
        <v/>
      </c>
      <c r="I63" s="13" t="str">
        <f aca="false">IF(OR(N($E63)=0,$G63=""),"",$E63*$G63)</f>
        <v/>
      </c>
      <c r="J63" s="13" t="str">
        <f aca="false">IF(N($E63)=0,"",$I63-$H63)</f>
        <v/>
      </c>
      <c r="K63" s="19" t="str">
        <f aca="false">IF(OR(N($H63)=0,N($J63)=0),"",$J63/$H63)</f>
        <v/>
      </c>
      <c r="L63" s="19"/>
      <c r="N63" s="23" t="str">
        <f aca="false">IF($A63="","",$A63&amp;"#"&amp;COUNTIF($A$4:$A63,$A63))</f>
        <v/>
      </c>
    </row>
    <row r="65" customFormat="false" ht="15" hidden="false" customHeight="true" outlineLevel="0" collapsed="false">
      <c r="C65" s="3" t="s">
        <v>13</v>
      </c>
      <c r="H65" s="16" t="n">
        <f aca="false">SUM(H4:H63)</f>
        <v>210000</v>
      </c>
      <c r="I65" s="16" t="n">
        <f aca="false">SUM(I4:I63)</f>
        <v>237414.193064538</v>
      </c>
      <c r="J65" s="16" t="n">
        <f aca="false">SUM(J4:J63)</f>
        <v>27414.1930645381</v>
      </c>
      <c r="K65" s="30" t="n">
        <f aca="false">IF(N(H65)=0,"",J65/H65)</f>
        <v>0.130543776497801</v>
      </c>
      <c r="L65" s="30" t="n">
        <v>0.087671</v>
      </c>
    </row>
  </sheetData>
  <dataValidations count="1">
    <dataValidation type="list" operator="between" allowBlank="true" showDropDown="false" showInputMessage="true" showErrorMessage="false" promptTitle="Pick a scheme" prompt="Type the first letters, then click the arrow: the list shows only matching names." sqref="C4:C63">
      <formula1>OFFSET(MF_Master!$B$3,IFERROR(MATCH($C4&amp;"*",MF_SchemeList,0),1),0,MAX(1,COUNTIF(MF_SchemeList,$C4&amp;"*")),1)</formula1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15"/>
    <col collapsed="false" customWidth="true" hidden="false" outlineLevel="0" max="6" min="5" style="1" width="13"/>
    <col collapsed="false" customWidth="true" hidden="false" outlineLevel="0" max="8" min="7" style="1" width="12"/>
    <col collapsed="false" customWidth="true" hidden="false" outlineLevel="0" max="10" min="10" style="1" width="16"/>
  </cols>
  <sheetData>
    <row r="1" customFormat="false" ht="18" hidden="false" customHeight="true" outlineLevel="0" collapsed="false">
      <c r="A1" s="2" t="s">
        <v>93</v>
      </c>
      <c r="J1" s="3" t="s">
        <v>94</v>
      </c>
    </row>
    <row r="2" customFormat="false" ht="15" hidden="false" customHeight="true" outlineLevel="0" collapsed="false">
      <c r="A2" s="22" t="inlineStr">
        <is>
          <t xml:space="preserve">One row per SIP installment or lump-sum buy. Enter Owner, PICK the Scheme Name from the dropdown — Fund House and ISIN fill themselves from MF_Master — then Date, Amount and NAV on that date. Units compute. Redemptions: negative Amount.</t>
        </is>
      </c>
      <c r="J2" s="33" t="n">
        <v>0.087671</v>
      </c>
    </row>
    <row r="3" customFormat="false" ht="15" hidden="false" customHeight="true" outlineLevel="0" collapsed="false">
      <c r="A3" s="6" t="s">
        <v>18</v>
      </c>
      <c r="B3" s="6" t="s">
        <v>30</v>
      </c>
      <c r="C3" s="6" t="s">
        <v>83</v>
      </c>
      <c r="D3" s="6" t="s">
        <v>22</v>
      </c>
      <c r="E3" s="6" t="s">
        <v>96</v>
      </c>
      <c r="F3" s="6" t="s">
        <v>97</v>
      </c>
      <c r="G3" s="6" t="s">
        <v>98</v>
      </c>
      <c r="H3" s="6" t="s">
        <v>32</v>
      </c>
    </row>
    <row r="4" customFormat="false" ht="15" hidden="false" customHeight="true" outlineLevel="0" collapsed="false">
      <c r="A4" s="14" t="s">
        <v>10</v>
      </c>
      <c r="B4" s="15" t="str">
        <f aca="false">IF($C4="","",IFERROR(INDEX(MF_Master!$A:$A,MATCH($C4,MF_Master!$B:$B,0)),""))</f>
        <v>PPFAS Mutual Fund</v>
      </c>
      <c r="C4" s="14" t="inlineStr">
        <is>
          <t xml:space="preserve">Parag Parikh Flexi Cap Fund - Direct Plan - Growth</t>
        </is>
      </c>
      <c r="D4" s="15" t="str">
        <f aca="false">IF($C4="","",IFERROR(INDEX(MF_Master!$C:$C,MATCH($C4,MF_Master!$B:$B,0)),""))</f>
        <v>INF879O01027</v>
      </c>
      <c r="E4" s="26" t="n">
        <v>46037</v>
      </c>
      <c r="F4" s="32" t="n">
        <v>10000</v>
      </c>
      <c r="G4" s="32" t="n">
        <v>78.42</v>
      </c>
      <c r="H4" s="31" t="n">
        <f aca="false">IF(OR($F4="",$G4=""),"",$F4/$G4)</f>
        <v>127.518490181076</v>
      </c>
    </row>
    <row r="5" customFormat="false" ht="15" hidden="false" customHeight="true" outlineLevel="0" collapsed="false">
      <c r="A5" s="14" t="s">
        <v>10</v>
      </c>
      <c r="B5" s="15" t="str">
        <f aca="false">IF($C5="","",IFERROR(INDEX(MF_Master!$A:$A,MATCH($C5,MF_Master!$B:$B,0)),""))</f>
        <v>PPFAS Mutual Fund</v>
      </c>
      <c r="C5" s="14" t="inlineStr">
        <is>
          <t xml:space="preserve">Parag Parikh Flexi Cap Fund - Direct Plan - Growth</t>
        </is>
      </c>
      <c r="D5" s="15" t="str">
        <f aca="false">IF($C5="","",IFERROR(INDEX(MF_Master!$C:$C,MATCH($C5,MF_Master!$B:$B,0)),""))</f>
        <v>INF879O01027</v>
      </c>
      <c r="E5" s="26" t="n">
        <v>46069</v>
      </c>
      <c r="F5" s="32" t="n">
        <v>10000</v>
      </c>
      <c r="G5" s="32" t="n">
        <v>80.11</v>
      </c>
      <c r="H5" s="31" t="n">
        <f aca="false">IF(OR($F5="",$G5=""),"",$F5/$G5)</f>
        <v>124.82836100362</v>
      </c>
    </row>
    <row r="6" customFormat="false" ht="15" hidden="false" customHeight="true" outlineLevel="0" collapsed="false">
      <c r="A6" s="14" t="s">
        <v>10</v>
      </c>
      <c r="B6" s="15" t="str">
        <f aca="false">IF($C6="","",IFERROR(INDEX(MF_Master!$A:$A,MATCH($C6,MF_Master!$B:$B,0)),""))</f>
        <v>PPFAS Mutual Fund</v>
      </c>
      <c r="C6" s="14" t="inlineStr">
        <is>
          <t xml:space="preserve">Parag Parikh Flexi Cap Fund - Direct Plan - Growth</t>
        </is>
      </c>
      <c r="D6" s="15" t="str">
        <f aca="false">IF($C6="","",IFERROR(INDEX(MF_Master!$C:$C,MATCH($C6,MF_Master!$B:$B,0)),""))</f>
        <v>INF879O01027</v>
      </c>
      <c r="E6" s="26" t="n">
        <v>46097</v>
      </c>
      <c r="F6" s="32" t="n">
        <v>10000</v>
      </c>
      <c r="G6" s="32" t="n">
        <v>82.05</v>
      </c>
      <c r="H6" s="31" t="n">
        <f aca="false">IF(OR($F6="",$G6=""),"",$F6/$G6)</f>
        <v>121.87690432663</v>
      </c>
    </row>
    <row r="7" customFormat="false" ht="15" hidden="false" customHeight="true" outlineLevel="0" collapsed="false">
      <c r="A7" s="14" t="s">
        <v>10</v>
      </c>
      <c r="B7" s="15" t="str">
        <f aca="false">IF($C7="","",IFERROR(INDEX(MF_Master!$A:$A,MATCH($C7,MF_Master!$B:$B,0)),""))</f>
        <v>PPFAS Mutual Fund</v>
      </c>
      <c r="C7" s="14" t="inlineStr">
        <is>
          <t xml:space="preserve">Parag Parikh Flexi Cap Fund - Direct Plan - Growth</t>
        </is>
      </c>
      <c r="D7" s="15" t="str">
        <f aca="false">IF($C7="","",IFERROR(INDEX(MF_Master!$C:$C,MATCH($C7,MF_Master!$B:$B,0)),""))</f>
        <v>INF879O01027</v>
      </c>
      <c r="E7" s="26" t="n">
        <v>46127</v>
      </c>
      <c r="F7" s="32" t="n">
        <v>10000</v>
      </c>
      <c r="G7" s="32" t="n">
        <v>84.6</v>
      </c>
      <c r="H7" s="31" t="n">
        <f aca="false">IF(OR($F7="",$G7=""),"",$F7/$G7)</f>
        <v>118.203309692671</v>
      </c>
    </row>
    <row r="8" customFormat="false" ht="15" hidden="false" customHeight="true" outlineLevel="0" collapsed="false">
      <c r="A8" s="14" t="s">
        <v>10</v>
      </c>
      <c r="B8" s="15" t="str">
        <f aca="false">IF($C8="","",IFERROR(INDEX(MF_Master!$A:$A,MATCH($C8,MF_Master!$B:$B,0)),""))</f>
        <v>PPFAS Mutual Fund</v>
      </c>
      <c r="C8" s="14" t="inlineStr">
        <is>
          <t xml:space="preserve">Parag Parikh Flexi Cap Fund - Direct Plan - Growth</t>
        </is>
      </c>
      <c r="D8" s="15" t="str">
        <f aca="false">IF($C8="","",IFERROR(INDEX(MF_Master!$C:$C,MATCH($C8,MF_Master!$B:$B,0)),""))</f>
        <v>INF879O01027</v>
      </c>
      <c r="E8" s="26" t="n">
        <v>46157</v>
      </c>
      <c r="F8" s="32" t="n">
        <v>10000</v>
      </c>
      <c r="G8" s="32" t="n">
        <v>86.9</v>
      </c>
      <c r="H8" s="31" t="n">
        <f aca="false">IF(OR($F8="",$G8=""),"",$F8/$G8)</f>
        <v>115.074798619102</v>
      </c>
    </row>
    <row r="9" customFormat="false" ht="15" hidden="false" customHeight="true" outlineLevel="0" collapsed="false">
      <c r="A9" s="14" t="s">
        <v>10</v>
      </c>
      <c r="B9" s="15" t="str">
        <f aca="false">IF($C9="","",IFERROR(INDEX(MF_Master!$A:$A,MATCH($C9,MF_Master!$B:$B,0)),""))</f>
        <v>PPFAS Mutual Fund</v>
      </c>
      <c r="C9" s="14" t="inlineStr">
        <is>
          <t xml:space="preserve">Parag Parikh Flexi Cap Fund - Direct Plan - Growth</t>
        </is>
      </c>
      <c r="D9" s="15" t="str">
        <f aca="false">IF($C9="","",IFERROR(INDEX(MF_Master!$C:$C,MATCH($C9,MF_Master!$B:$B,0)),""))</f>
        <v>INF879O01027</v>
      </c>
      <c r="E9" s="26" t="n">
        <v>46188</v>
      </c>
      <c r="F9" s="32" t="n">
        <v>10000</v>
      </c>
      <c r="G9" s="32" t="n">
        <v>88.75</v>
      </c>
      <c r="H9" s="31" t="n">
        <f aca="false">IF(OR($F9="",$G9=""),"",$F9/$G9)</f>
        <v>112.676056338028</v>
      </c>
    </row>
    <row r="10" customFormat="false" ht="15" hidden="false" customHeight="true" outlineLevel="0" collapsed="false">
      <c r="A10" s="14" t="s">
        <v>11</v>
      </c>
      <c r="B10" s="15" t="str">
        <f aca="false">IF($C10="","",IFERROR(INDEX(MF_Master!$A:$A,MATCH($C10,MF_Master!$B:$B,0)),""))</f>
        <v>SBI Mutual Fund</v>
      </c>
      <c r="C10" s="14" t="inlineStr">
        <is>
          <t xml:space="preserve">SBI Large Cap FUND-DIRECT PLAN -GROWTH</t>
        </is>
      </c>
      <c r="D10" s="15" t="str">
        <f aca="false">IF($C10="","",IFERROR(INDEX(MF_Master!$C:$C,MATCH($C10,MF_Master!$B:$B,0)),""))</f>
        <v>INF200K01QX4</v>
      </c>
      <c r="E10" s="26" t="n">
        <v>45524</v>
      </c>
      <c r="F10" s="32" t="n">
        <v>150000</v>
      </c>
      <c r="G10" s="32" t="n">
        <v>84.2</v>
      </c>
      <c r="H10" s="31" t="n">
        <f aca="false">IF(OR($F10="",$G10=""),"",$F10/$G10)</f>
        <v>1781.47268408551</v>
      </c>
    </row>
    <row r="11" customFormat="false" ht="15" hidden="false" customHeight="true" outlineLevel="0" collapsed="false">
      <c r="B11" s="15" t="str">
        <f aca="false">IF($C11="","",IFERROR(INDEX(MF_Master!$A:$A,MATCH($C11,MF_Master!$B:$B,0)),""))</f>
        <v/>
      </c>
      <c r="D11" s="15" t="str">
        <f aca="false">IF($C11="","",IFERROR(INDEX(MF_Master!$C:$C,MATCH($C11,MF_Master!$B:$B,0)),""))</f>
        <v/>
      </c>
      <c r="E11" s="29"/>
      <c r="F11" s="28"/>
      <c r="G11" s="28"/>
      <c r="H11" s="31" t="str">
        <f aca="false">IF(OR($F11="",$G11=""),"",$F11/$G11)</f>
        <v/>
      </c>
    </row>
    <row r="12" customFormat="false" ht="15" hidden="false" customHeight="true" outlineLevel="0" collapsed="false">
      <c r="B12" s="15" t="str">
        <f aca="false">IF($C12="","",IFERROR(INDEX(MF_Master!$A:$A,MATCH($C12,MF_Master!$B:$B,0)),""))</f>
        <v/>
      </c>
      <c r="D12" s="15" t="str">
        <f aca="false">IF($C12="","",IFERROR(INDEX(MF_Master!$C:$C,MATCH($C12,MF_Master!$B:$B,0)),""))</f>
        <v/>
      </c>
      <c r="E12" s="29"/>
      <c r="F12" s="28"/>
      <c r="G12" s="28"/>
      <c r="H12" s="31" t="str">
        <f aca="false">IF(OR($F12="",$G12=""),"",$F12/$G12)</f>
        <v/>
      </c>
    </row>
    <row r="13" customFormat="false" ht="15" hidden="false" customHeight="true" outlineLevel="0" collapsed="false">
      <c r="B13" s="15" t="str">
        <f aca="false">IF($C13="","",IFERROR(INDEX(MF_Master!$A:$A,MATCH($C13,MF_Master!$B:$B,0)),""))</f>
        <v/>
      </c>
      <c r="D13" s="15" t="str">
        <f aca="false">IF($C13="","",IFERROR(INDEX(MF_Master!$C:$C,MATCH($C13,MF_Master!$B:$B,0)),""))</f>
        <v/>
      </c>
      <c r="E13" s="29"/>
      <c r="F13" s="28"/>
      <c r="G13" s="28"/>
      <c r="H13" s="31" t="str">
        <f aca="false">IF(OR($F13="",$G13=""),"",$F13/$G13)</f>
        <v/>
      </c>
    </row>
    <row r="14" customFormat="false" ht="15" hidden="false" customHeight="true" outlineLevel="0" collapsed="false">
      <c r="B14" s="15" t="str">
        <f aca="false">IF($C14="","",IFERROR(INDEX(MF_Master!$A:$A,MATCH($C14,MF_Master!$B:$B,0)),""))</f>
        <v/>
      </c>
      <c r="D14" s="15" t="str">
        <f aca="false">IF($C14="","",IFERROR(INDEX(MF_Master!$C:$C,MATCH($C14,MF_Master!$B:$B,0)),""))</f>
        <v/>
      </c>
      <c r="E14" s="29"/>
      <c r="F14" s="28"/>
      <c r="G14" s="28"/>
      <c r="H14" s="31" t="str">
        <f aca="false">IF(OR($F14="",$G14=""),"",$F14/$G14)</f>
        <v/>
      </c>
    </row>
    <row r="15" customFormat="false" ht="15" hidden="false" customHeight="true" outlineLevel="0" collapsed="false">
      <c r="B15" s="15" t="str">
        <f aca="false">IF($C15="","",IFERROR(INDEX(MF_Master!$A:$A,MATCH($C15,MF_Master!$B:$B,0)),""))</f>
        <v/>
      </c>
      <c r="D15" s="15" t="str">
        <f aca="false">IF($C15="","",IFERROR(INDEX(MF_Master!$C:$C,MATCH($C15,MF_Master!$B:$B,0)),""))</f>
        <v/>
      </c>
      <c r="E15" s="29"/>
      <c r="F15" s="28"/>
      <c r="G15" s="28"/>
      <c r="H15" s="31" t="str">
        <f aca="false">IF(OR($F15="",$G15=""),"",$F15/$G15)</f>
        <v/>
      </c>
    </row>
    <row r="16" customFormat="false" ht="15" hidden="false" customHeight="true" outlineLevel="0" collapsed="false">
      <c r="B16" s="15" t="str">
        <f aca="false">IF($C16="","",IFERROR(INDEX(MF_Master!$A:$A,MATCH($C16,MF_Master!$B:$B,0)),""))</f>
        <v/>
      </c>
      <c r="D16" s="15" t="str">
        <f aca="false">IF($C16="","",IFERROR(INDEX(MF_Master!$C:$C,MATCH($C16,MF_Master!$B:$B,0)),""))</f>
        <v/>
      </c>
      <c r="E16" s="29"/>
      <c r="F16" s="28"/>
      <c r="G16" s="28"/>
      <c r="H16" s="31" t="str">
        <f aca="false">IF(OR($F16="",$G16=""),"",$F16/$G16)</f>
        <v/>
      </c>
    </row>
    <row r="17" customFormat="false" ht="15" hidden="false" customHeight="true" outlineLevel="0" collapsed="false">
      <c r="B17" s="15" t="str">
        <f aca="false">IF($C17="","",IFERROR(INDEX(MF_Master!$A:$A,MATCH($C17,MF_Master!$B:$B,0)),""))</f>
        <v/>
      </c>
      <c r="D17" s="15" t="str">
        <f aca="false">IF($C17="","",IFERROR(INDEX(MF_Master!$C:$C,MATCH($C17,MF_Master!$B:$B,0)),""))</f>
        <v/>
      </c>
      <c r="E17" s="29"/>
      <c r="F17" s="28"/>
      <c r="G17" s="28"/>
      <c r="H17" s="31" t="str">
        <f aca="false">IF(OR($F17="",$G17=""),"",$F17/$G17)</f>
        <v/>
      </c>
    </row>
    <row r="18" customFormat="false" ht="15" hidden="false" customHeight="true" outlineLevel="0" collapsed="false">
      <c r="B18" s="15" t="str">
        <f aca="false">IF($C18="","",IFERROR(INDEX(MF_Master!$A:$A,MATCH($C18,MF_Master!$B:$B,0)),""))</f>
        <v/>
      </c>
      <c r="D18" s="15" t="str">
        <f aca="false">IF($C18="","",IFERROR(INDEX(MF_Master!$C:$C,MATCH($C18,MF_Master!$B:$B,0)),""))</f>
        <v/>
      </c>
      <c r="E18" s="29"/>
      <c r="F18" s="28"/>
      <c r="G18" s="28"/>
      <c r="H18" s="31" t="str">
        <f aca="false">IF(OR($F18="",$G18=""),"",$F18/$G18)</f>
        <v/>
      </c>
    </row>
    <row r="19" customFormat="false" ht="15" hidden="false" customHeight="true" outlineLevel="0" collapsed="false">
      <c r="B19" s="15" t="str">
        <f aca="false">IF($C19="","",IFERROR(INDEX(MF_Master!$A:$A,MATCH($C19,MF_Master!$B:$B,0)),""))</f>
        <v/>
      </c>
      <c r="D19" s="15" t="str">
        <f aca="false">IF($C19="","",IFERROR(INDEX(MF_Master!$C:$C,MATCH($C19,MF_Master!$B:$B,0)),""))</f>
        <v/>
      </c>
      <c r="E19" s="29"/>
      <c r="F19" s="28"/>
      <c r="G19" s="28"/>
      <c r="H19" s="31" t="str">
        <f aca="false">IF(OR($F19="",$G19=""),"",$F19/$G19)</f>
        <v/>
      </c>
    </row>
    <row r="20" customFormat="false" ht="15" hidden="false" customHeight="true" outlineLevel="0" collapsed="false">
      <c r="B20" s="15" t="str">
        <f aca="false">IF($C20="","",IFERROR(INDEX(MF_Master!$A:$A,MATCH($C20,MF_Master!$B:$B,0)),""))</f>
        <v/>
      </c>
      <c r="D20" s="15" t="str">
        <f aca="false">IF($C20="","",IFERROR(INDEX(MF_Master!$C:$C,MATCH($C20,MF_Master!$B:$B,0)),""))</f>
        <v/>
      </c>
      <c r="E20" s="29"/>
      <c r="F20" s="28"/>
      <c r="G20" s="28"/>
      <c r="H20" s="31" t="str">
        <f aca="false">IF(OR($F20="",$G20=""),"",$F20/$G20)</f>
        <v/>
      </c>
    </row>
    <row r="21" customFormat="false" ht="15" hidden="false" customHeight="true" outlineLevel="0" collapsed="false">
      <c r="B21" s="15" t="str">
        <f aca="false">IF($C21="","",IFERROR(INDEX(MF_Master!$A:$A,MATCH($C21,MF_Master!$B:$B,0)),""))</f>
        <v/>
      </c>
      <c r="D21" s="15" t="str">
        <f aca="false">IF($C21="","",IFERROR(INDEX(MF_Master!$C:$C,MATCH($C21,MF_Master!$B:$B,0)),""))</f>
        <v/>
      </c>
      <c r="E21" s="29"/>
      <c r="F21" s="28"/>
      <c r="G21" s="28"/>
      <c r="H21" s="31" t="str">
        <f aca="false">IF(OR($F21="",$G21=""),"",$F21/$G21)</f>
        <v/>
      </c>
    </row>
    <row r="22" customFormat="false" ht="15" hidden="false" customHeight="true" outlineLevel="0" collapsed="false">
      <c r="B22" s="15" t="str">
        <f aca="false">IF($C22="","",IFERROR(INDEX(MF_Master!$A:$A,MATCH($C22,MF_Master!$B:$B,0)),""))</f>
        <v/>
      </c>
      <c r="D22" s="15" t="str">
        <f aca="false">IF($C22="","",IFERROR(INDEX(MF_Master!$C:$C,MATCH($C22,MF_Master!$B:$B,0)),""))</f>
        <v/>
      </c>
      <c r="E22" s="29"/>
      <c r="F22" s="28"/>
      <c r="G22" s="28"/>
      <c r="H22" s="31" t="str">
        <f aca="false">IF(OR($F22="",$G22=""),"",$F22/$G22)</f>
        <v/>
      </c>
    </row>
    <row r="23" customFormat="false" ht="15" hidden="false" customHeight="true" outlineLevel="0" collapsed="false">
      <c r="B23" s="15" t="str">
        <f aca="false">IF($C23="","",IFERROR(INDEX(MF_Master!$A:$A,MATCH($C23,MF_Master!$B:$B,0)),""))</f>
        <v/>
      </c>
      <c r="D23" s="15" t="str">
        <f aca="false">IF($C23="","",IFERROR(INDEX(MF_Master!$C:$C,MATCH($C23,MF_Master!$B:$B,0)),""))</f>
        <v/>
      </c>
      <c r="E23" s="29"/>
      <c r="F23" s="28"/>
      <c r="G23" s="28"/>
      <c r="H23" s="31" t="str">
        <f aca="false">IF(OR($F23="",$G23=""),"",$F23/$G23)</f>
        <v/>
      </c>
    </row>
    <row r="24" customFormat="false" ht="15" hidden="false" customHeight="true" outlineLevel="0" collapsed="false">
      <c r="B24" s="15" t="str">
        <f aca="false">IF($C24="","",IFERROR(INDEX(MF_Master!$A:$A,MATCH($C24,MF_Master!$B:$B,0)),""))</f>
        <v/>
      </c>
      <c r="D24" s="15" t="str">
        <f aca="false">IF($C24="","",IFERROR(INDEX(MF_Master!$C:$C,MATCH($C24,MF_Master!$B:$B,0)),""))</f>
        <v/>
      </c>
      <c r="E24" s="29"/>
      <c r="F24" s="28"/>
      <c r="G24" s="28"/>
      <c r="H24" s="31" t="str">
        <f aca="false">IF(OR($F24="",$G24=""),"",$F24/$G24)</f>
        <v/>
      </c>
    </row>
    <row r="25" customFormat="false" ht="15" hidden="false" customHeight="true" outlineLevel="0" collapsed="false">
      <c r="B25" s="15" t="str">
        <f aca="false">IF($C25="","",IFERROR(INDEX(MF_Master!$A:$A,MATCH($C25,MF_Master!$B:$B,0)),""))</f>
        <v/>
      </c>
      <c r="D25" s="15" t="str">
        <f aca="false">IF($C25="","",IFERROR(INDEX(MF_Master!$C:$C,MATCH($C25,MF_Master!$B:$B,0)),""))</f>
        <v/>
      </c>
      <c r="E25" s="29"/>
      <c r="F25" s="28"/>
      <c r="G25" s="28"/>
      <c r="H25" s="31" t="str">
        <f aca="false">IF(OR($F25="",$G25=""),"",$F25/$G25)</f>
        <v/>
      </c>
    </row>
    <row r="26" customFormat="false" ht="15" hidden="false" customHeight="true" outlineLevel="0" collapsed="false">
      <c r="B26" s="15" t="str">
        <f aca="false">IF($C26="","",IFERROR(INDEX(MF_Master!$A:$A,MATCH($C26,MF_Master!$B:$B,0)),""))</f>
        <v/>
      </c>
      <c r="D26" s="15" t="str">
        <f aca="false">IF($C26="","",IFERROR(INDEX(MF_Master!$C:$C,MATCH($C26,MF_Master!$B:$B,0)),""))</f>
        <v/>
      </c>
      <c r="E26" s="29"/>
      <c r="F26" s="28"/>
      <c r="G26" s="28"/>
      <c r="H26" s="31" t="str">
        <f aca="false">IF(OR($F26="",$G26=""),"",$F26/$G26)</f>
        <v/>
      </c>
    </row>
    <row r="27" customFormat="false" ht="15" hidden="false" customHeight="true" outlineLevel="0" collapsed="false">
      <c r="B27" s="15" t="str">
        <f aca="false">IF($C27="","",IFERROR(INDEX(MF_Master!$A:$A,MATCH($C27,MF_Master!$B:$B,0)),""))</f>
        <v/>
      </c>
      <c r="D27" s="15" t="str">
        <f aca="false">IF($C27="","",IFERROR(INDEX(MF_Master!$C:$C,MATCH($C27,MF_Master!$B:$B,0)),""))</f>
        <v/>
      </c>
      <c r="E27" s="29"/>
      <c r="F27" s="28"/>
      <c r="G27" s="28"/>
      <c r="H27" s="31" t="str">
        <f aca="false">IF(OR($F27="",$G27=""),"",$F27/$G27)</f>
        <v/>
      </c>
    </row>
    <row r="28" customFormat="false" ht="15" hidden="false" customHeight="true" outlineLevel="0" collapsed="false">
      <c r="B28" s="15" t="str">
        <f aca="false">IF($C28="","",IFERROR(INDEX(MF_Master!$A:$A,MATCH($C28,MF_Master!$B:$B,0)),""))</f>
        <v/>
      </c>
      <c r="D28" s="15" t="str">
        <f aca="false">IF($C28="","",IFERROR(INDEX(MF_Master!$C:$C,MATCH($C28,MF_Master!$B:$B,0)),""))</f>
        <v/>
      </c>
      <c r="E28" s="29"/>
      <c r="F28" s="28"/>
      <c r="G28" s="28"/>
      <c r="H28" s="31" t="str">
        <f aca="false">IF(OR($F28="",$G28=""),"",$F28/$G28)</f>
        <v/>
      </c>
    </row>
    <row r="29" customFormat="false" ht="15" hidden="false" customHeight="true" outlineLevel="0" collapsed="false">
      <c r="B29" s="15" t="str">
        <f aca="false">IF($C29="","",IFERROR(INDEX(MF_Master!$A:$A,MATCH($C29,MF_Master!$B:$B,0)),""))</f>
        <v/>
      </c>
      <c r="D29" s="15" t="str">
        <f aca="false">IF($C29="","",IFERROR(INDEX(MF_Master!$C:$C,MATCH($C29,MF_Master!$B:$B,0)),""))</f>
        <v/>
      </c>
      <c r="E29" s="29"/>
      <c r="F29" s="28"/>
      <c r="G29" s="28"/>
      <c r="H29" s="31" t="str">
        <f aca="false">IF(OR($F29="",$G29=""),"",$F29/$G29)</f>
        <v/>
      </c>
    </row>
    <row r="30" customFormat="false" ht="15" hidden="false" customHeight="true" outlineLevel="0" collapsed="false">
      <c r="B30" s="15" t="str">
        <f aca="false">IF($C30="","",IFERROR(INDEX(MF_Master!$A:$A,MATCH($C30,MF_Master!$B:$B,0)),""))</f>
        <v/>
      </c>
      <c r="D30" s="15" t="str">
        <f aca="false">IF($C30="","",IFERROR(INDEX(MF_Master!$C:$C,MATCH($C30,MF_Master!$B:$B,0)),""))</f>
        <v/>
      </c>
      <c r="E30" s="29"/>
      <c r="F30" s="28"/>
      <c r="G30" s="28"/>
      <c r="H30" s="31" t="str">
        <f aca="false">IF(OR($F30="",$G30=""),"",$F30/$G30)</f>
        <v/>
      </c>
    </row>
    <row r="31" customFormat="false" ht="15" hidden="false" customHeight="true" outlineLevel="0" collapsed="false">
      <c r="B31" s="15" t="str">
        <f aca="false">IF($C31="","",IFERROR(INDEX(MF_Master!$A:$A,MATCH($C31,MF_Master!$B:$B,0)),""))</f>
        <v/>
      </c>
      <c r="D31" s="15" t="str">
        <f aca="false">IF($C31="","",IFERROR(INDEX(MF_Master!$C:$C,MATCH($C31,MF_Master!$B:$B,0)),""))</f>
        <v/>
      </c>
      <c r="E31" s="29"/>
      <c r="F31" s="28"/>
      <c r="G31" s="28"/>
      <c r="H31" s="31" t="str">
        <f aca="false">IF(OR($F31="",$G31=""),"",$F31/$G31)</f>
        <v/>
      </c>
    </row>
    <row r="32" customFormat="false" ht="15" hidden="false" customHeight="true" outlineLevel="0" collapsed="false">
      <c r="B32" s="15" t="str">
        <f aca="false">IF($C32="","",IFERROR(INDEX(MF_Master!$A:$A,MATCH($C32,MF_Master!$B:$B,0)),""))</f>
        <v/>
      </c>
      <c r="D32" s="15" t="str">
        <f aca="false">IF($C32="","",IFERROR(INDEX(MF_Master!$C:$C,MATCH($C32,MF_Master!$B:$B,0)),""))</f>
        <v/>
      </c>
      <c r="E32" s="29"/>
      <c r="F32" s="28"/>
      <c r="G32" s="28"/>
      <c r="H32" s="31" t="str">
        <f aca="false">IF(OR($F32="",$G32=""),"",$F32/$G32)</f>
        <v/>
      </c>
    </row>
    <row r="33" customFormat="false" ht="15" hidden="false" customHeight="true" outlineLevel="0" collapsed="false">
      <c r="B33" s="15" t="str">
        <f aca="false">IF($C33="","",IFERROR(INDEX(MF_Master!$A:$A,MATCH($C33,MF_Master!$B:$B,0)),""))</f>
        <v/>
      </c>
      <c r="D33" s="15" t="str">
        <f aca="false">IF($C33="","",IFERROR(INDEX(MF_Master!$C:$C,MATCH($C33,MF_Master!$B:$B,0)),""))</f>
        <v/>
      </c>
      <c r="E33" s="29"/>
      <c r="F33" s="28"/>
      <c r="G33" s="28"/>
      <c r="H33" s="31" t="str">
        <f aca="false">IF(OR($F33="",$G33=""),"",$F33/$G33)</f>
        <v/>
      </c>
    </row>
    <row r="34" customFormat="false" ht="15" hidden="false" customHeight="true" outlineLevel="0" collapsed="false">
      <c r="B34" s="15" t="str">
        <f aca="false">IF($C34="","",IFERROR(INDEX(MF_Master!$A:$A,MATCH($C34,MF_Master!$B:$B,0)),""))</f>
        <v/>
      </c>
      <c r="D34" s="15" t="str">
        <f aca="false">IF($C34="","",IFERROR(INDEX(MF_Master!$C:$C,MATCH($C34,MF_Master!$B:$B,0)),""))</f>
        <v/>
      </c>
      <c r="E34" s="29"/>
      <c r="F34" s="28"/>
      <c r="G34" s="28"/>
      <c r="H34" s="31" t="str">
        <f aca="false">IF(OR($F34="",$G34=""),"",$F34/$G34)</f>
        <v/>
      </c>
    </row>
    <row r="35" customFormat="false" ht="15" hidden="false" customHeight="true" outlineLevel="0" collapsed="false">
      <c r="B35" s="15" t="str">
        <f aca="false">IF($C35="","",IFERROR(INDEX(MF_Master!$A:$A,MATCH($C35,MF_Master!$B:$B,0)),""))</f>
        <v/>
      </c>
      <c r="D35" s="15" t="str">
        <f aca="false">IF($C35="","",IFERROR(INDEX(MF_Master!$C:$C,MATCH($C35,MF_Master!$B:$B,0)),""))</f>
        <v/>
      </c>
      <c r="E35" s="29"/>
      <c r="F35" s="28"/>
      <c r="G35" s="28"/>
      <c r="H35" s="31" t="str">
        <f aca="false">IF(OR($F35="",$G35=""),"",$F35/$G35)</f>
        <v/>
      </c>
    </row>
    <row r="36" customFormat="false" ht="15" hidden="false" customHeight="true" outlineLevel="0" collapsed="false">
      <c r="B36" s="15" t="str">
        <f aca="false">IF($C36="","",IFERROR(INDEX(MF_Master!$A:$A,MATCH($C36,MF_Master!$B:$B,0)),""))</f>
        <v/>
      </c>
      <c r="D36" s="15" t="str">
        <f aca="false">IF($C36="","",IFERROR(INDEX(MF_Master!$C:$C,MATCH($C36,MF_Master!$B:$B,0)),""))</f>
        <v/>
      </c>
      <c r="E36" s="29"/>
      <c r="F36" s="28"/>
      <c r="G36" s="28"/>
      <c r="H36" s="31" t="str">
        <f aca="false">IF(OR($F36="",$G36=""),"",$F36/$G36)</f>
        <v/>
      </c>
    </row>
    <row r="37" customFormat="false" ht="15" hidden="false" customHeight="true" outlineLevel="0" collapsed="false">
      <c r="B37" s="15" t="str">
        <f aca="false">IF($C37="","",IFERROR(INDEX(MF_Master!$A:$A,MATCH($C37,MF_Master!$B:$B,0)),""))</f>
        <v/>
      </c>
      <c r="D37" s="15" t="str">
        <f aca="false">IF($C37="","",IFERROR(INDEX(MF_Master!$C:$C,MATCH($C37,MF_Master!$B:$B,0)),""))</f>
        <v/>
      </c>
      <c r="E37" s="29"/>
      <c r="F37" s="28"/>
      <c r="G37" s="28"/>
      <c r="H37" s="31" t="str">
        <f aca="false">IF(OR($F37="",$G37=""),"",$F37/$G37)</f>
        <v/>
      </c>
    </row>
    <row r="38" customFormat="false" ht="15" hidden="false" customHeight="true" outlineLevel="0" collapsed="false">
      <c r="B38" s="15" t="str">
        <f aca="false">IF($C38="","",IFERROR(INDEX(MF_Master!$A:$A,MATCH($C38,MF_Master!$B:$B,0)),""))</f>
        <v/>
      </c>
      <c r="D38" s="15" t="str">
        <f aca="false">IF($C38="","",IFERROR(INDEX(MF_Master!$C:$C,MATCH($C38,MF_Master!$B:$B,0)),""))</f>
        <v/>
      </c>
      <c r="E38" s="29"/>
      <c r="F38" s="28"/>
      <c r="G38" s="28"/>
      <c r="H38" s="31" t="str">
        <f aca="false">IF(OR($F38="",$G38=""),"",$F38/$G38)</f>
        <v/>
      </c>
    </row>
    <row r="39" customFormat="false" ht="15" hidden="false" customHeight="true" outlineLevel="0" collapsed="false">
      <c r="B39" s="15" t="str">
        <f aca="false">IF($C39="","",IFERROR(INDEX(MF_Master!$A:$A,MATCH($C39,MF_Master!$B:$B,0)),""))</f>
        <v/>
      </c>
      <c r="D39" s="15" t="str">
        <f aca="false">IF($C39="","",IFERROR(INDEX(MF_Master!$C:$C,MATCH($C39,MF_Master!$B:$B,0)),""))</f>
        <v/>
      </c>
      <c r="E39" s="29"/>
      <c r="F39" s="28"/>
      <c r="G39" s="28"/>
      <c r="H39" s="31" t="str">
        <f aca="false">IF(OR($F39="",$G39=""),"",$F39/$G39)</f>
        <v/>
      </c>
    </row>
    <row r="40" customFormat="false" ht="15" hidden="false" customHeight="true" outlineLevel="0" collapsed="false">
      <c r="B40" s="15" t="str">
        <f aca="false">IF($C40="","",IFERROR(INDEX(MF_Master!$A:$A,MATCH($C40,MF_Master!$B:$B,0)),""))</f>
        <v/>
      </c>
      <c r="D40" s="15" t="str">
        <f aca="false">IF($C40="","",IFERROR(INDEX(MF_Master!$C:$C,MATCH($C40,MF_Master!$B:$B,0)),""))</f>
        <v/>
      </c>
      <c r="E40" s="29"/>
      <c r="F40" s="28"/>
      <c r="G40" s="28"/>
      <c r="H40" s="31" t="str">
        <f aca="false">IF(OR($F40="",$G40=""),"",$F40/$G40)</f>
        <v/>
      </c>
    </row>
    <row r="41" customFormat="false" ht="15" hidden="false" customHeight="true" outlineLevel="0" collapsed="false">
      <c r="B41" s="15" t="str">
        <f aca="false">IF($C41="","",IFERROR(INDEX(MF_Master!$A:$A,MATCH($C41,MF_Master!$B:$B,0)),""))</f>
        <v/>
      </c>
      <c r="D41" s="15" t="str">
        <f aca="false">IF($C41="","",IFERROR(INDEX(MF_Master!$C:$C,MATCH($C41,MF_Master!$B:$B,0)),""))</f>
        <v/>
      </c>
      <c r="E41" s="29"/>
      <c r="F41" s="28"/>
      <c r="G41" s="28"/>
      <c r="H41" s="31" t="str">
        <f aca="false">IF(OR($F41="",$G41=""),"",$F41/$G41)</f>
        <v/>
      </c>
    </row>
    <row r="42" customFormat="false" ht="15" hidden="false" customHeight="true" outlineLevel="0" collapsed="false">
      <c r="B42" s="15" t="str">
        <f aca="false">IF($C42="","",IFERROR(INDEX(MF_Master!$A:$A,MATCH($C42,MF_Master!$B:$B,0)),""))</f>
        <v/>
      </c>
      <c r="D42" s="15" t="str">
        <f aca="false">IF($C42="","",IFERROR(INDEX(MF_Master!$C:$C,MATCH($C42,MF_Master!$B:$B,0)),""))</f>
        <v/>
      </c>
      <c r="E42" s="29"/>
      <c r="F42" s="28"/>
      <c r="G42" s="28"/>
      <c r="H42" s="31" t="str">
        <f aca="false">IF(OR($F42="",$G42=""),"",$F42/$G42)</f>
        <v/>
      </c>
    </row>
    <row r="43" customFormat="false" ht="15" hidden="false" customHeight="true" outlineLevel="0" collapsed="false">
      <c r="B43" s="15" t="str">
        <f aca="false">IF($C43="","",IFERROR(INDEX(MF_Master!$A:$A,MATCH($C43,MF_Master!$B:$B,0)),""))</f>
        <v/>
      </c>
      <c r="D43" s="15" t="str">
        <f aca="false">IF($C43="","",IFERROR(INDEX(MF_Master!$C:$C,MATCH($C43,MF_Master!$B:$B,0)),""))</f>
        <v/>
      </c>
      <c r="E43" s="29"/>
      <c r="F43" s="28"/>
      <c r="G43" s="28"/>
      <c r="H43" s="31" t="str">
        <f aca="false">IF(OR($F43="",$G43=""),"",$F43/$G43)</f>
        <v/>
      </c>
    </row>
    <row r="44" customFormat="false" ht="15" hidden="false" customHeight="true" outlineLevel="0" collapsed="false">
      <c r="B44" s="15" t="str">
        <f aca="false">IF($C44="","",IFERROR(INDEX(MF_Master!$A:$A,MATCH($C44,MF_Master!$B:$B,0)),""))</f>
        <v/>
      </c>
      <c r="D44" s="15" t="str">
        <f aca="false">IF($C44="","",IFERROR(INDEX(MF_Master!$C:$C,MATCH($C44,MF_Master!$B:$B,0)),""))</f>
        <v/>
      </c>
      <c r="E44" s="29"/>
      <c r="F44" s="28"/>
      <c r="G44" s="28"/>
      <c r="H44" s="31" t="str">
        <f aca="false">IF(OR($F44="",$G44=""),"",$F44/$G44)</f>
        <v/>
      </c>
    </row>
    <row r="45" customFormat="false" ht="15" hidden="false" customHeight="true" outlineLevel="0" collapsed="false">
      <c r="B45" s="15" t="str">
        <f aca="false">IF($C45="","",IFERROR(INDEX(MF_Master!$A:$A,MATCH($C45,MF_Master!$B:$B,0)),""))</f>
        <v/>
      </c>
      <c r="D45" s="15" t="str">
        <f aca="false">IF($C45="","",IFERROR(INDEX(MF_Master!$C:$C,MATCH($C45,MF_Master!$B:$B,0)),""))</f>
        <v/>
      </c>
      <c r="E45" s="29"/>
      <c r="F45" s="28"/>
      <c r="G45" s="28"/>
      <c r="H45" s="31" t="str">
        <f aca="false">IF(OR($F45="",$G45=""),"",$F45/$G45)</f>
        <v/>
      </c>
    </row>
    <row r="46" customFormat="false" ht="15" hidden="false" customHeight="true" outlineLevel="0" collapsed="false">
      <c r="B46" s="15" t="str">
        <f aca="false">IF($C46="","",IFERROR(INDEX(MF_Master!$A:$A,MATCH($C46,MF_Master!$B:$B,0)),""))</f>
        <v/>
      </c>
      <c r="D46" s="15" t="str">
        <f aca="false">IF($C46="","",IFERROR(INDEX(MF_Master!$C:$C,MATCH($C46,MF_Master!$B:$B,0)),""))</f>
        <v/>
      </c>
      <c r="E46" s="29"/>
      <c r="F46" s="28"/>
      <c r="G46" s="28"/>
      <c r="H46" s="31" t="str">
        <f aca="false">IF(OR($F46="",$G46=""),"",$F46/$G46)</f>
        <v/>
      </c>
    </row>
    <row r="47" customFormat="false" ht="15" hidden="false" customHeight="true" outlineLevel="0" collapsed="false">
      <c r="B47" s="15" t="str">
        <f aca="false">IF($C47="","",IFERROR(INDEX(MF_Master!$A:$A,MATCH($C47,MF_Master!$B:$B,0)),""))</f>
        <v/>
      </c>
      <c r="D47" s="15" t="str">
        <f aca="false">IF($C47="","",IFERROR(INDEX(MF_Master!$C:$C,MATCH($C47,MF_Master!$B:$B,0)),""))</f>
        <v/>
      </c>
      <c r="E47" s="29"/>
      <c r="F47" s="28"/>
      <c r="G47" s="28"/>
      <c r="H47" s="31" t="str">
        <f aca="false">IF(OR($F47="",$G47=""),"",$F47/$G47)</f>
        <v/>
      </c>
    </row>
    <row r="48" customFormat="false" ht="15" hidden="false" customHeight="true" outlineLevel="0" collapsed="false">
      <c r="B48" s="15" t="str">
        <f aca="false">IF($C48="","",IFERROR(INDEX(MF_Master!$A:$A,MATCH($C48,MF_Master!$B:$B,0)),""))</f>
        <v/>
      </c>
      <c r="D48" s="15" t="str">
        <f aca="false">IF($C48="","",IFERROR(INDEX(MF_Master!$C:$C,MATCH($C48,MF_Master!$B:$B,0)),""))</f>
        <v/>
      </c>
      <c r="E48" s="29"/>
      <c r="F48" s="28"/>
      <c r="G48" s="28"/>
      <c r="H48" s="31" t="str">
        <f aca="false">IF(OR($F48="",$G48=""),"",$F48/$G48)</f>
        <v/>
      </c>
    </row>
    <row r="49" customFormat="false" ht="15" hidden="false" customHeight="true" outlineLevel="0" collapsed="false">
      <c r="B49" s="15" t="str">
        <f aca="false">IF($C49="","",IFERROR(INDEX(MF_Master!$A:$A,MATCH($C49,MF_Master!$B:$B,0)),""))</f>
        <v/>
      </c>
      <c r="D49" s="15" t="str">
        <f aca="false">IF($C49="","",IFERROR(INDEX(MF_Master!$C:$C,MATCH($C49,MF_Master!$B:$B,0)),""))</f>
        <v/>
      </c>
      <c r="E49" s="29"/>
      <c r="F49" s="28"/>
      <c r="G49" s="28"/>
      <c r="H49" s="31" t="str">
        <f aca="false">IF(OR($F49="",$G49=""),"",$F49/$G49)</f>
        <v/>
      </c>
    </row>
    <row r="50" customFormat="false" ht="15" hidden="false" customHeight="true" outlineLevel="0" collapsed="false">
      <c r="B50" s="15" t="str">
        <f aca="false">IF($C50="","",IFERROR(INDEX(MF_Master!$A:$A,MATCH($C50,MF_Master!$B:$B,0)),""))</f>
        <v/>
      </c>
      <c r="D50" s="15" t="str">
        <f aca="false">IF($C50="","",IFERROR(INDEX(MF_Master!$C:$C,MATCH($C50,MF_Master!$B:$B,0)),""))</f>
        <v/>
      </c>
      <c r="E50" s="29"/>
      <c r="F50" s="28"/>
      <c r="G50" s="28"/>
      <c r="H50" s="31" t="str">
        <f aca="false">IF(OR($F50="",$G50=""),"",$F50/$G50)</f>
        <v/>
      </c>
    </row>
    <row r="51" customFormat="false" ht="15" hidden="false" customHeight="true" outlineLevel="0" collapsed="false">
      <c r="B51" s="15" t="str">
        <f aca="false">IF($C51="","",IFERROR(INDEX(MF_Master!$A:$A,MATCH($C51,MF_Master!$B:$B,0)),""))</f>
        <v/>
      </c>
      <c r="D51" s="15" t="str">
        <f aca="false">IF($C51="","",IFERROR(INDEX(MF_Master!$C:$C,MATCH($C51,MF_Master!$B:$B,0)),""))</f>
        <v/>
      </c>
      <c r="E51" s="29"/>
      <c r="F51" s="28"/>
      <c r="G51" s="28"/>
      <c r="H51" s="31" t="str">
        <f aca="false">IF(OR($F51="",$G51=""),"",$F51/$G51)</f>
        <v/>
      </c>
    </row>
    <row r="52" customFormat="false" ht="15" hidden="false" customHeight="true" outlineLevel="0" collapsed="false">
      <c r="B52" s="15" t="str">
        <f aca="false">IF($C52="","",IFERROR(INDEX(MF_Master!$A:$A,MATCH($C52,MF_Master!$B:$B,0)),""))</f>
        <v/>
      </c>
      <c r="D52" s="15" t="str">
        <f aca="false">IF($C52="","",IFERROR(INDEX(MF_Master!$C:$C,MATCH($C52,MF_Master!$B:$B,0)),""))</f>
        <v/>
      </c>
      <c r="E52" s="29"/>
      <c r="F52" s="28"/>
      <c r="G52" s="28"/>
      <c r="H52" s="31" t="str">
        <f aca="false">IF(OR($F52="",$G52=""),"",$F52/$G52)</f>
        <v/>
      </c>
    </row>
    <row r="53" customFormat="false" ht="15" hidden="false" customHeight="true" outlineLevel="0" collapsed="false">
      <c r="B53" s="15" t="str">
        <f aca="false">IF($C53="","",IFERROR(INDEX(MF_Master!$A:$A,MATCH($C53,MF_Master!$B:$B,0)),""))</f>
        <v/>
      </c>
      <c r="D53" s="15" t="str">
        <f aca="false">IF($C53="","",IFERROR(INDEX(MF_Master!$C:$C,MATCH($C53,MF_Master!$B:$B,0)),""))</f>
        <v/>
      </c>
      <c r="E53" s="29"/>
      <c r="F53" s="28"/>
      <c r="G53" s="28"/>
      <c r="H53" s="31" t="str">
        <f aca="false">IF(OR($F53="",$G53=""),"",$F53/$G53)</f>
        <v/>
      </c>
    </row>
    <row r="54" customFormat="false" ht="15" hidden="false" customHeight="true" outlineLevel="0" collapsed="false">
      <c r="B54" s="15" t="str">
        <f aca="false">IF($C54="","",IFERROR(INDEX(MF_Master!$A:$A,MATCH($C54,MF_Master!$B:$B,0)),""))</f>
        <v/>
      </c>
      <c r="D54" s="15" t="str">
        <f aca="false">IF($C54="","",IFERROR(INDEX(MF_Master!$C:$C,MATCH($C54,MF_Master!$B:$B,0)),""))</f>
        <v/>
      </c>
      <c r="E54" s="29"/>
      <c r="F54" s="28"/>
      <c r="G54" s="28"/>
      <c r="H54" s="31" t="str">
        <f aca="false">IF(OR($F54="",$G54=""),"",$F54/$G54)</f>
        <v/>
      </c>
    </row>
    <row r="55" customFormat="false" ht="15" hidden="false" customHeight="true" outlineLevel="0" collapsed="false">
      <c r="B55" s="15" t="str">
        <f aca="false">IF($C55="","",IFERROR(INDEX(MF_Master!$A:$A,MATCH($C55,MF_Master!$B:$B,0)),""))</f>
        <v/>
      </c>
      <c r="D55" s="15" t="str">
        <f aca="false">IF($C55="","",IFERROR(INDEX(MF_Master!$C:$C,MATCH($C55,MF_Master!$B:$B,0)),""))</f>
        <v/>
      </c>
      <c r="E55" s="29"/>
      <c r="F55" s="28"/>
      <c r="G55" s="28"/>
      <c r="H55" s="31" t="str">
        <f aca="false">IF(OR($F55="",$G55=""),"",$F55/$G55)</f>
        <v/>
      </c>
    </row>
    <row r="56" customFormat="false" ht="15" hidden="false" customHeight="true" outlineLevel="0" collapsed="false">
      <c r="B56" s="15" t="str">
        <f aca="false">IF($C56="","",IFERROR(INDEX(MF_Master!$A:$A,MATCH($C56,MF_Master!$B:$B,0)),""))</f>
        <v/>
      </c>
      <c r="D56" s="15" t="str">
        <f aca="false">IF($C56="","",IFERROR(INDEX(MF_Master!$C:$C,MATCH($C56,MF_Master!$B:$B,0)),""))</f>
        <v/>
      </c>
      <c r="E56" s="29"/>
      <c r="F56" s="28"/>
      <c r="G56" s="28"/>
      <c r="H56" s="31" t="str">
        <f aca="false">IF(OR($F56="",$G56=""),"",$F56/$G56)</f>
        <v/>
      </c>
    </row>
    <row r="57" customFormat="false" ht="15" hidden="false" customHeight="true" outlineLevel="0" collapsed="false">
      <c r="B57" s="15" t="str">
        <f aca="false">IF($C57="","",IFERROR(INDEX(MF_Master!$A:$A,MATCH($C57,MF_Master!$B:$B,0)),""))</f>
        <v/>
      </c>
      <c r="D57" s="15" t="str">
        <f aca="false">IF($C57="","",IFERROR(INDEX(MF_Master!$C:$C,MATCH($C57,MF_Master!$B:$B,0)),""))</f>
        <v/>
      </c>
      <c r="E57" s="29"/>
      <c r="F57" s="28"/>
      <c r="G57" s="28"/>
      <c r="H57" s="31" t="str">
        <f aca="false">IF(OR($F57="",$G57=""),"",$F57/$G57)</f>
        <v/>
      </c>
    </row>
    <row r="58" customFormat="false" ht="15" hidden="false" customHeight="true" outlineLevel="0" collapsed="false">
      <c r="B58" s="15" t="str">
        <f aca="false">IF($C58="","",IFERROR(INDEX(MF_Master!$A:$A,MATCH($C58,MF_Master!$B:$B,0)),""))</f>
        <v/>
      </c>
      <c r="D58" s="15" t="str">
        <f aca="false">IF($C58="","",IFERROR(INDEX(MF_Master!$C:$C,MATCH($C58,MF_Master!$B:$B,0)),""))</f>
        <v/>
      </c>
      <c r="E58" s="29"/>
      <c r="F58" s="28"/>
      <c r="G58" s="28"/>
      <c r="H58" s="31" t="str">
        <f aca="false">IF(OR($F58="",$G58=""),"",$F58/$G58)</f>
        <v/>
      </c>
    </row>
    <row r="59" customFormat="false" ht="15" hidden="false" customHeight="true" outlineLevel="0" collapsed="false">
      <c r="B59" s="15" t="str">
        <f aca="false">IF($C59="","",IFERROR(INDEX(MF_Master!$A:$A,MATCH($C59,MF_Master!$B:$B,0)),""))</f>
        <v/>
      </c>
      <c r="D59" s="15" t="str">
        <f aca="false">IF($C59="","",IFERROR(INDEX(MF_Master!$C:$C,MATCH($C59,MF_Master!$B:$B,0)),""))</f>
        <v/>
      </c>
      <c r="E59" s="29"/>
      <c r="F59" s="28"/>
      <c r="G59" s="28"/>
      <c r="H59" s="31" t="str">
        <f aca="false">IF(OR($F59="",$G59=""),"",$F59/$G59)</f>
        <v/>
      </c>
    </row>
    <row r="60" customFormat="false" ht="15" hidden="false" customHeight="true" outlineLevel="0" collapsed="false">
      <c r="B60" s="15" t="str">
        <f aca="false">IF($C60="","",IFERROR(INDEX(MF_Master!$A:$A,MATCH($C60,MF_Master!$B:$B,0)),""))</f>
        <v/>
      </c>
      <c r="D60" s="15" t="str">
        <f aca="false">IF($C60="","",IFERROR(INDEX(MF_Master!$C:$C,MATCH($C60,MF_Master!$B:$B,0)),""))</f>
        <v/>
      </c>
      <c r="E60" s="29"/>
      <c r="F60" s="28"/>
      <c r="G60" s="28"/>
      <c r="H60" s="31" t="str">
        <f aca="false">IF(OR($F60="",$G60=""),"",$F60/$G60)</f>
        <v/>
      </c>
    </row>
    <row r="61" customFormat="false" ht="15" hidden="false" customHeight="true" outlineLevel="0" collapsed="false">
      <c r="B61" s="15" t="str">
        <f aca="false">IF($C61="","",IFERROR(INDEX(MF_Master!$A:$A,MATCH($C61,MF_Master!$B:$B,0)),""))</f>
        <v/>
      </c>
      <c r="D61" s="15" t="str">
        <f aca="false">IF($C61="","",IFERROR(INDEX(MF_Master!$C:$C,MATCH($C61,MF_Master!$B:$B,0)),""))</f>
        <v/>
      </c>
      <c r="E61" s="29"/>
      <c r="F61" s="28"/>
      <c r="G61" s="28"/>
      <c r="H61" s="31" t="str">
        <f aca="false">IF(OR($F61="",$G61=""),"",$F61/$G61)</f>
        <v/>
      </c>
    </row>
    <row r="62" customFormat="false" ht="15" hidden="false" customHeight="true" outlineLevel="0" collapsed="false">
      <c r="B62" s="15" t="str">
        <f aca="false">IF($C62="","",IFERROR(INDEX(MF_Master!$A:$A,MATCH($C62,MF_Master!$B:$B,0)),""))</f>
        <v/>
      </c>
      <c r="D62" s="15" t="str">
        <f aca="false">IF($C62="","",IFERROR(INDEX(MF_Master!$C:$C,MATCH($C62,MF_Master!$B:$B,0)),""))</f>
        <v/>
      </c>
      <c r="E62" s="29"/>
      <c r="F62" s="28"/>
      <c r="G62" s="28"/>
      <c r="H62" s="31" t="str">
        <f aca="false">IF(OR($F62="",$G62=""),"",$F62/$G62)</f>
        <v/>
      </c>
    </row>
    <row r="63" customFormat="false" ht="15" hidden="false" customHeight="true" outlineLevel="0" collapsed="false">
      <c r="B63" s="15" t="str">
        <f aca="false">IF($C63="","",IFERROR(INDEX(MF_Master!$A:$A,MATCH($C63,MF_Master!$B:$B,0)),""))</f>
        <v/>
      </c>
      <c r="D63" s="15" t="str">
        <f aca="false">IF($C63="","",IFERROR(INDEX(MF_Master!$C:$C,MATCH($C63,MF_Master!$B:$B,0)),""))</f>
        <v/>
      </c>
      <c r="E63" s="29"/>
      <c r="F63" s="28"/>
      <c r="G63" s="28"/>
      <c r="H63" s="31" t="str">
        <f aca="false">IF(OR($F63="",$G63=""),"",$F63/$G63)</f>
        <v/>
      </c>
    </row>
    <row r="64" customFormat="false" ht="15" hidden="false" customHeight="true" outlineLevel="0" collapsed="false">
      <c r="B64" s="15" t="str">
        <f aca="false">IF($C64="","",IFERROR(INDEX(MF_Master!$A:$A,MATCH($C64,MF_Master!$B:$B,0)),""))</f>
        <v/>
      </c>
      <c r="D64" s="15" t="str">
        <f aca="false">IF($C64="","",IFERROR(INDEX(MF_Master!$C:$C,MATCH($C64,MF_Master!$B:$B,0)),""))</f>
        <v/>
      </c>
      <c r="E64" s="29"/>
      <c r="F64" s="28"/>
      <c r="G64" s="28"/>
      <c r="H64" s="31" t="str">
        <f aca="false">IF(OR($F64="",$G64=""),"",$F64/$G64)</f>
        <v/>
      </c>
    </row>
    <row r="65" customFormat="false" ht="15" hidden="false" customHeight="true" outlineLevel="0" collapsed="false">
      <c r="B65" s="15" t="str">
        <f aca="false">IF($C65="","",IFERROR(INDEX(MF_Master!$A:$A,MATCH($C65,MF_Master!$B:$B,0)),""))</f>
        <v/>
      </c>
      <c r="D65" s="15" t="str">
        <f aca="false">IF($C65="","",IFERROR(INDEX(MF_Master!$C:$C,MATCH($C65,MF_Master!$B:$B,0)),""))</f>
        <v/>
      </c>
      <c r="E65" s="29"/>
      <c r="F65" s="28"/>
      <c r="G65" s="28"/>
      <c r="H65" s="31" t="str">
        <f aca="false">IF(OR($F65="",$G65=""),"",$F65/$G65)</f>
        <v/>
      </c>
    </row>
    <row r="66" customFormat="false" ht="15" hidden="false" customHeight="true" outlineLevel="0" collapsed="false">
      <c r="B66" s="15" t="str">
        <f aca="false">IF($C66="","",IFERROR(INDEX(MF_Master!$A:$A,MATCH($C66,MF_Master!$B:$B,0)),""))</f>
        <v/>
      </c>
      <c r="D66" s="15" t="str">
        <f aca="false">IF($C66="","",IFERROR(INDEX(MF_Master!$C:$C,MATCH($C66,MF_Master!$B:$B,0)),""))</f>
        <v/>
      </c>
      <c r="E66" s="29"/>
      <c r="F66" s="28"/>
      <c r="G66" s="28"/>
      <c r="H66" s="31" t="str">
        <f aca="false">IF(OR($F66="",$G66=""),"",$F66/$G66)</f>
        <v/>
      </c>
    </row>
    <row r="67" customFormat="false" ht="15" hidden="false" customHeight="true" outlineLevel="0" collapsed="false">
      <c r="B67" s="15" t="str">
        <f aca="false">IF($C67="","",IFERROR(INDEX(MF_Master!$A:$A,MATCH($C67,MF_Master!$B:$B,0)),""))</f>
        <v/>
      </c>
      <c r="D67" s="15" t="str">
        <f aca="false">IF($C67="","",IFERROR(INDEX(MF_Master!$C:$C,MATCH($C67,MF_Master!$B:$B,0)),""))</f>
        <v/>
      </c>
      <c r="E67" s="29"/>
      <c r="F67" s="28"/>
      <c r="G67" s="28"/>
      <c r="H67" s="31" t="str">
        <f aca="false">IF(OR($F67="",$G67=""),"",$F67/$G67)</f>
        <v/>
      </c>
    </row>
    <row r="68" customFormat="false" ht="15" hidden="false" customHeight="true" outlineLevel="0" collapsed="false">
      <c r="B68" s="15" t="str">
        <f aca="false">IF($C68="","",IFERROR(INDEX(MF_Master!$A:$A,MATCH($C68,MF_Master!$B:$B,0)),""))</f>
        <v/>
      </c>
      <c r="D68" s="15" t="str">
        <f aca="false">IF($C68="","",IFERROR(INDEX(MF_Master!$C:$C,MATCH($C68,MF_Master!$B:$B,0)),""))</f>
        <v/>
      </c>
      <c r="E68" s="29"/>
      <c r="F68" s="28"/>
      <c r="G68" s="28"/>
      <c r="H68" s="31" t="str">
        <f aca="false">IF(OR($F68="",$G68=""),"",$F68/$G68)</f>
        <v/>
      </c>
    </row>
    <row r="69" customFormat="false" ht="15" hidden="false" customHeight="true" outlineLevel="0" collapsed="false">
      <c r="B69" s="15" t="str">
        <f aca="false">IF($C69="","",IFERROR(INDEX(MF_Master!$A:$A,MATCH($C69,MF_Master!$B:$B,0)),""))</f>
        <v/>
      </c>
      <c r="D69" s="15" t="str">
        <f aca="false">IF($C69="","",IFERROR(INDEX(MF_Master!$C:$C,MATCH($C69,MF_Master!$B:$B,0)),""))</f>
        <v/>
      </c>
      <c r="E69" s="29"/>
      <c r="F69" s="28"/>
      <c r="G69" s="28"/>
      <c r="H69" s="31" t="str">
        <f aca="false">IF(OR($F69="",$G69=""),"",$F69/$G69)</f>
        <v/>
      </c>
    </row>
    <row r="70" customFormat="false" ht="15" hidden="false" customHeight="true" outlineLevel="0" collapsed="false">
      <c r="B70" s="15" t="str">
        <f aca="false">IF($C70="","",IFERROR(INDEX(MF_Master!$A:$A,MATCH($C70,MF_Master!$B:$B,0)),""))</f>
        <v/>
      </c>
      <c r="D70" s="15" t="str">
        <f aca="false">IF($C70="","",IFERROR(INDEX(MF_Master!$C:$C,MATCH($C70,MF_Master!$B:$B,0)),""))</f>
        <v/>
      </c>
      <c r="E70" s="29"/>
      <c r="F70" s="28"/>
      <c r="G70" s="28"/>
      <c r="H70" s="31" t="str">
        <f aca="false">IF(OR($F70="",$G70=""),"",$F70/$G70)</f>
        <v/>
      </c>
    </row>
    <row r="71" customFormat="false" ht="15" hidden="false" customHeight="true" outlineLevel="0" collapsed="false">
      <c r="B71" s="15" t="str">
        <f aca="false">IF($C71="","",IFERROR(INDEX(MF_Master!$A:$A,MATCH($C71,MF_Master!$B:$B,0)),""))</f>
        <v/>
      </c>
      <c r="D71" s="15" t="str">
        <f aca="false">IF($C71="","",IFERROR(INDEX(MF_Master!$C:$C,MATCH($C71,MF_Master!$B:$B,0)),""))</f>
        <v/>
      </c>
      <c r="E71" s="29"/>
      <c r="F71" s="28"/>
      <c r="G71" s="28"/>
      <c r="H71" s="31" t="str">
        <f aca="false">IF(OR($F71="",$G71=""),"",$F71/$G71)</f>
        <v/>
      </c>
    </row>
    <row r="72" customFormat="false" ht="15" hidden="false" customHeight="true" outlineLevel="0" collapsed="false">
      <c r="B72" s="15" t="str">
        <f aca="false">IF($C72="","",IFERROR(INDEX(MF_Master!$A:$A,MATCH($C72,MF_Master!$B:$B,0)),""))</f>
        <v/>
      </c>
      <c r="D72" s="15" t="str">
        <f aca="false">IF($C72="","",IFERROR(INDEX(MF_Master!$C:$C,MATCH($C72,MF_Master!$B:$B,0)),""))</f>
        <v/>
      </c>
      <c r="E72" s="29"/>
      <c r="F72" s="28"/>
      <c r="G72" s="28"/>
      <c r="H72" s="31" t="str">
        <f aca="false">IF(OR($F72="",$G72=""),"",$F72/$G72)</f>
        <v/>
      </c>
    </row>
    <row r="73" customFormat="false" ht="15" hidden="false" customHeight="true" outlineLevel="0" collapsed="false">
      <c r="B73" s="15" t="str">
        <f aca="false">IF($C73="","",IFERROR(INDEX(MF_Master!$A:$A,MATCH($C73,MF_Master!$B:$B,0)),""))</f>
        <v/>
      </c>
      <c r="D73" s="15" t="str">
        <f aca="false">IF($C73="","",IFERROR(INDEX(MF_Master!$C:$C,MATCH($C73,MF_Master!$B:$B,0)),""))</f>
        <v/>
      </c>
      <c r="E73" s="29"/>
      <c r="F73" s="28"/>
      <c r="G73" s="28"/>
      <c r="H73" s="31" t="str">
        <f aca="false">IF(OR($F73="",$G73=""),"",$F73/$G73)</f>
        <v/>
      </c>
    </row>
    <row r="74" customFormat="false" ht="15" hidden="false" customHeight="true" outlineLevel="0" collapsed="false">
      <c r="B74" s="15" t="str">
        <f aca="false">IF($C74="","",IFERROR(INDEX(MF_Master!$A:$A,MATCH($C74,MF_Master!$B:$B,0)),""))</f>
        <v/>
      </c>
      <c r="D74" s="15" t="str">
        <f aca="false">IF($C74="","",IFERROR(INDEX(MF_Master!$C:$C,MATCH($C74,MF_Master!$B:$B,0)),""))</f>
        <v/>
      </c>
      <c r="E74" s="29"/>
      <c r="F74" s="28"/>
      <c r="G74" s="28"/>
      <c r="H74" s="31" t="str">
        <f aca="false">IF(OR($F74="",$G74=""),"",$F74/$G74)</f>
        <v/>
      </c>
    </row>
    <row r="75" customFormat="false" ht="15" hidden="false" customHeight="true" outlineLevel="0" collapsed="false">
      <c r="B75" s="15" t="str">
        <f aca="false">IF($C75="","",IFERROR(INDEX(MF_Master!$A:$A,MATCH($C75,MF_Master!$B:$B,0)),""))</f>
        <v/>
      </c>
      <c r="D75" s="15" t="str">
        <f aca="false">IF($C75="","",IFERROR(INDEX(MF_Master!$C:$C,MATCH($C75,MF_Master!$B:$B,0)),""))</f>
        <v/>
      </c>
      <c r="E75" s="29"/>
      <c r="F75" s="28"/>
      <c r="G75" s="28"/>
      <c r="H75" s="31" t="str">
        <f aca="false">IF(OR($F75="",$G75=""),"",$F75/$G75)</f>
        <v/>
      </c>
    </row>
    <row r="76" customFormat="false" ht="15" hidden="false" customHeight="true" outlineLevel="0" collapsed="false">
      <c r="B76" s="15" t="str">
        <f aca="false">IF($C76="","",IFERROR(INDEX(MF_Master!$A:$A,MATCH($C76,MF_Master!$B:$B,0)),""))</f>
        <v/>
      </c>
      <c r="D76" s="15" t="str">
        <f aca="false">IF($C76="","",IFERROR(INDEX(MF_Master!$C:$C,MATCH($C76,MF_Master!$B:$B,0)),""))</f>
        <v/>
      </c>
      <c r="E76" s="29"/>
      <c r="F76" s="28"/>
      <c r="G76" s="28"/>
      <c r="H76" s="31" t="str">
        <f aca="false">IF(OR($F76="",$G76=""),"",$F76/$G76)</f>
        <v/>
      </c>
    </row>
    <row r="77" customFormat="false" ht="15" hidden="false" customHeight="true" outlineLevel="0" collapsed="false">
      <c r="B77" s="15" t="str">
        <f aca="false">IF($C77="","",IFERROR(INDEX(MF_Master!$A:$A,MATCH($C77,MF_Master!$B:$B,0)),""))</f>
        <v/>
      </c>
      <c r="D77" s="15" t="str">
        <f aca="false">IF($C77="","",IFERROR(INDEX(MF_Master!$C:$C,MATCH($C77,MF_Master!$B:$B,0)),""))</f>
        <v/>
      </c>
      <c r="E77" s="29"/>
      <c r="F77" s="28"/>
      <c r="G77" s="28"/>
      <c r="H77" s="31" t="str">
        <f aca="false">IF(OR($F77="",$G77=""),"",$F77/$G77)</f>
        <v/>
      </c>
    </row>
    <row r="78" customFormat="false" ht="15" hidden="false" customHeight="true" outlineLevel="0" collapsed="false">
      <c r="B78" s="15" t="str">
        <f aca="false">IF($C78="","",IFERROR(INDEX(MF_Master!$A:$A,MATCH($C78,MF_Master!$B:$B,0)),""))</f>
        <v/>
      </c>
      <c r="D78" s="15" t="str">
        <f aca="false">IF($C78="","",IFERROR(INDEX(MF_Master!$C:$C,MATCH($C78,MF_Master!$B:$B,0)),""))</f>
        <v/>
      </c>
      <c r="E78" s="29"/>
      <c r="F78" s="28"/>
      <c r="G78" s="28"/>
      <c r="H78" s="31" t="str">
        <f aca="false">IF(OR($F78="",$G78=""),"",$F78/$G78)</f>
        <v/>
      </c>
    </row>
    <row r="79" customFormat="false" ht="15" hidden="false" customHeight="true" outlineLevel="0" collapsed="false">
      <c r="B79" s="15" t="str">
        <f aca="false">IF($C79="","",IFERROR(INDEX(MF_Master!$A:$A,MATCH($C79,MF_Master!$B:$B,0)),""))</f>
        <v/>
      </c>
      <c r="D79" s="15" t="str">
        <f aca="false">IF($C79="","",IFERROR(INDEX(MF_Master!$C:$C,MATCH($C79,MF_Master!$B:$B,0)),""))</f>
        <v/>
      </c>
      <c r="E79" s="29"/>
      <c r="F79" s="28"/>
      <c r="G79" s="28"/>
      <c r="H79" s="31" t="str">
        <f aca="false">IF(OR($F79="",$G79=""),"",$F79/$G79)</f>
        <v/>
      </c>
    </row>
    <row r="80" customFormat="false" ht="15" hidden="false" customHeight="true" outlineLevel="0" collapsed="false">
      <c r="B80" s="15" t="str">
        <f aca="false">IF($C80="","",IFERROR(INDEX(MF_Master!$A:$A,MATCH($C80,MF_Master!$B:$B,0)),""))</f>
        <v/>
      </c>
      <c r="D80" s="15" t="str">
        <f aca="false">IF($C80="","",IFERROR(INDEX(MF_Master!$C:$C,MATCH($C80,MF_Master!$B:$B,0)),""))</f>
        <v/>
      </c>
      <c r="E80" s="29"/>
      <c r="F80" s="28"/>
      <c r="G80" s="28"/>
      <c r="H80" s="31" t="str">
        <f aca="false">IF(OR($F80="",$G80=""),"",$F80/$G80)</f>
        <v/>
      </c>
    </row>
    <row r="81" customFormat="false" ht="15" hidden="false" customHeight="true" outlineLevel="0" collapsed="false">
      <c r="B81" s="15" t="str">
        <f aca="false">IF($C81="","",IFERROR(INDEX(MF_Master!$A:$A,MATCH($C81,MF_Master!$B:$B,0)),""))</f>
        <v/>
      </c>
      <c r="D81" s="15" t="str">
        <f aca="false">IF($C81="","",IFERROR(INDEX(MF_Master!$C:$C,MATCH($C81,MF_Master!$B:$B,0)),""))</f>
        <v/>
      </c>
      <c r="E81" s="29"/>
      <c r="F81" s="28"/>
      <c r="G81" s="28"/>
      <c r="H81" s="31" t="str">
        <f aca="false">IF(OR($F81="",$G81=""),"",$F81/$G81)</f>
        <v/>
      </c>
    </row>
    <row r="82" customFormat="false" ht="15" hidden="false" customHeight="true" outlineLevel="0" collapsed="false">
      <c r="B82" s="15" t="str">
        <f aca="false">IF($C82="","",IFERROR(INDEX(MF_Master!$A:$A,MATCH($C82,MF_Master!$B:$B,0)),""))</f>
        <v/>
      </c>
      <c r="D82" s="15" t="str">
        <f aca="false">IF($C82="","",IFERROR(INDEX(MF_Master!$C:$C,MATCH($C82,MF_Master!$B:$B,0)),""))</f>
        <v/>
      </c>
      <c r="E82" s="29"/>
      <c r="F82" s="28"/>
      <c r="G82" s="28"/>
      <c r="H82" s="31" t="str">
        <f aca="false">IF(OR($F82="",$G82=""),"",$F82/$G82)</f>
        <v/>
      </c>
    </row>
    <row r="83" customFormat="false" ht="15" hidden="false" customHeight="true" outlineLevel="0" collapsed="false">
      <c r="B83" s="15" t="str">
        <f aca="false">IF($C83="","",IFERROR(INDEX(MF_Master!$A:$A,MATCH($C83,MF_Master!$B:$B,0)),""))</f>
        <v/>
      </c>
      <c r="D83" s="15" t="str">
        <f aca="false">IF($C83="","",IFERROR(INDEX(MF_Master!$C:$C,MATCH($C83,MF_Master!$B:$B,0)),""))</f>
        <v/>
      </c>
      <c r="E83" s="29"/>
      <c r="F83" s="28"/>
      <c r="G83" s="28"/>
      <c r="H83" s="31" t="str">
        <f aca="false">IF(OR($F83="",$G83=""),"",$F83/$G83)</f>
        <v/>
      </c>
    </row>
    <row r="84" customFormat="false" ht="15" hidden="false" customHeight="true" outlineLevel="0" collapsed="false">
      <c r="B84" s="15" t="str">
        <f aca="false">IF($C84="","",IFERROR(INDEX(MF_Master!$A:$A,MATCH($C84,MF_Master!$B:$B,0)),""))</f>
        <v/>
      </c>
      <c r="D84" s="15" t="str">
        <f aca="false">IF($C84="","",IFERROR(INDEX(MF_Master!$C:$C,MATCH($C84,MF_Master!$B:$B,0)),""))</f>
        <v/>
      </c>
      <c r="E84" s="29"/>
      <c r="F84" s="28"/>
      <c r="G84" s="28"/>
      <c r="H84" s="31" t="str">
        <f aca="false">IF(OR($F84="",$G84=""),"",$F84/$G84)</f>
        <v/>
      </c>
    </row>
    <row r="85" customFormat="false" ht="15" hidden="false" customHeight="true" outlineLevel="0" collapsed="false">
      <c r="B85" s="15" t="str">
        <f aca="false">IF($C85="","",IFERROR(INDEX(MF_Master!$A:$A,MATCH($C85,MF_Master!$B:$B,0)),""))</f>
        <v/>
      </c>
      <c r="D85" s="15" t="str">
        <f aca="false">IF($C85="","",IFERROR(INDEX(MF_Master!$C:$C,MATCH($C85,MF_Master!$B:$B,0)),""))</f>
        <v/>
      </c>
      <c r="E85" s="29"/>
      <c r="F85" s="28"/>
      <c r="G85" s="28"/>
      <c r="H85" s="31" t="str">
        <f aca="false">IF(OR($F85="",$G85=""),"",$F85/$G85)</f>
        <v/>
      </c>
    </row>
    <row r="86" customFormat="false" ht="15" hidden="false" customHeight="true" outlineLevel="0" collapsed="false">
      <c r="B86" s="15" t="str">
        <f aca="false">IF($C86="","",IFERROR(INDEX(MF_Master!$A:$A,MATCH($C86,MF_Master!$B:$B,0)),""))</f>
        <v/>
      </c>
      <c r="D86" s="15" t="str">
        <f aca="false">IF($C86="","",IFERROR(INDEX(MF_Master!$C:$C,MATCH($C86,MF_Master!$B:$B,0)),""))</f>
        <v/>
      </c>
      <c r="E86" s="29"/>
      <c r="F86" s="28"/>
      <c r="G86" s="28"/>
      <c r="H86" s="31" t="str">
        <f aca="false">IF(OR($F86="",$G86=""),"",$F86/$G86)</f>
        <v/>
      </c>
    </row>
    <row r="87" customFormat="false" ht="15" hidden="false" customHeight="true" outlineLevel="0" collapsed="false">
      <c r="B87" s="15" t="str">
        <f aca="false">IF($C87="","",IFERROR(INDEX(MF_Master!$A:$A,MATCH($C87,MF_Master!$B:$B,0)),""))</f>
        <v/>
      </c>
      <c r="D87" s="15" t="str">
        <f aca="false">IF($C87="","",IFERROR(INDEX(MF_Master!$C:$C,MATCH($C87,MF_Master!$B:$B,0)),""))</f>
        <v/>
      </c>
      <c r="E87" s="29"/>
      <c r="F87" s="28"/>
      <c r="G87" s="28"/>
      <c r="H87" s="31" t="str">
        <f aca="false">IF(OR($F87="",$G87=""),"",$F87/$G87)</f>
        <v/>
      </c>
    </row>
    <row r="88" customFormat="false" ht="15" hidden="false" customHeight="true" outlineLevel="0" collapsed="false">
      <c r="B88" s="15" t="str">
        <f aca="false">IF($C88="","",IFERROR(INDEX(MF_Master!$A:$A,MATCH($C88,MF_Master!$B:$B,0)),""))</f>
        <v/>
      </c>
      <c r="D88" s="15" t="str">
        <f aca="false">IF($C88="","",IFERROR(INDEX(MF_Master!$C:$C,MATCH($C88,MF_Master!$B:$B,0)),""))</f>
        <v/>
      </c>
      <c r="E88" s="29"/>
      <c r="F88" s="28"/>
      <c r="G88" s="28"/>
      <c r="H88" s="31" t="str">
        <f aca="false">IF(OR($F88="",$G88=""),"",$F88/$G88)</f>
        <v/>
      </c>
    </row>
    <row r="89" customFormat="false" ht="15" hidden="false" customHeight="true" outlineLevel="0" collapsed="false">
      <c r="B89" s="15" t="str">
        <f aca="false">IF($C89="","",IFERROR(INDEX(MF_Master!$A:$A,MATCH($C89,MF_Master!$B:$B,0)),""))</f>
        <v/>
      </c>
      <c r="D89" s="15" t="str">
        <f aca="false">IF($C89="","",IFERROR(INDEX(MF_Master!$C:$C,MATCH($C89,MF_Master!$B:$B,0)),""))</f>
        <v/>
      </c>
      <c r="E89" s="29"/>
      <c r="F89" s="28"/>
      <c r="G89" s="28"/>
      <c r="H89" s="31" t="str">
        <f aca="false">IF(OR($F89="",$G89=""),"",$F89/$G89)</f>
        <v/>
      </c>
    </row>
    <row r="90" customFormat="false" ht="15" hidden="false" customHeight="true" outlineLevel="0" collapsed="false">
      <c r="B90" s="15" t="str">
        <f aca="false">IF($C90="","",IFERROR(INDEX(MF_Master!$A:$A,MATCH($C90,MF_Master!$B:$B,0)),""))</f>
        <v/>
      </c>
      <c r="D90" s="15" t="str">
        <f aca="false">IF($C90="","",IFERROR(INDEX(MF_Master!$C:$C,MATCH($C90,MF_Master!$B:$B,0)),""))</f>
        <v/>
      </c>
      <c r="E90" s="29"/>
      <c r="F90" s="28"/>
      <c r="G90" s="28"/>
      <c r="H90" s="31" t="str">
        <f aca="false">IF(OR($F90="",$G90=""),"",$F90/$G90)</f>
        <v/>
      </c>
    </row>
    <row r="91" customFormat="false" ht="15" hidden="false" customHeight="true" outlineLevel="0" collapsed="false">
      <c r="B91" s="15" t="str">
        <f aca="false">IF($C91="","",IFERROR(INDEX(MF_Master!$A:$A,MATCH($C91,MF_Master!$B:$B,0)),""))</f>
        <v/>
      </c>
      <c r="D91" s="15" t="str">
        <f aca="false">IF($C91="","",IFERROR(INDEX(MF_Master!$C:$C,MATCH($C91,MF_Master!$B:$B,0)),""))</f>
        <v/>
      </c>
      <c r="E91" s="29"/>
      <c r="F91" s="28"/>
      <c r="G91" s="28"/>
      <c r="H91" s="31" t="str">
        <f aca="false">IF(OR($F91="",$G91=""),"",$F91/$G91)</f>
        <v/>
      </c>
    </row>
    <row r="92" customFormat="false" ht="15" hidden="false" customHeight="true" outlineLevel="0" collapsed="false">
      <c r="B92" s="15" t="str">
        <f aca="false">IF($C92="","",IFERROR(INDEX(MF_Master!$A:$A,MATCH($C92,MF_Master!$B:$B,0)),""))</f>
        <v/>
      </c>
      <c r="D92" s="15" t="str">
        <f aca="false">IF($C92="","",IFERROR(INDEX(MF_Master!$C:$C,MATCH($C92,MF_Master!$B:$B,0)),""))</f>
        <v/>
      </c>
      <c r="E92" s="29"/>
      <c r="F92" s="28"/>
      <c r="G92" s="28"/>
      <c r="H92" s="31" t="str">
        <f aca="false">IF(OR($F92="",$G92=""),"",$F92/$G92)</f>
        <v/>
      </c>
    </row>
    <row r="93" customFormat="false" ht="15" hidden="false" customHeight="true" outlineLevel="0" collapsed="false">
      <c r="B93" s="15" t="str">
        <f aca="false">IF($C93="","",IFERROR(INDEX(MF_Master!$A:$A,MATCH($C93,MF_Master!$B:$B,0)),""))</f>
        <v/>
      </c>
      <c r="D93" s="15" t="str">
        <f aca="false">IF($C93="","",IFERROR(INDEX(MF_Master!$C:$C,MATCH($C93,MF_Master!$B:$B,0)),""))</f>
        <v/>
      </c>
      <c r="E93" s="29"/>
      <c r="F93" s="28"/>
      <c r="G93" s="28"/>
      <c r="H93" s="31" t="str">
        <f aca="false">IF(OR($F93="",$G93=""),"",$F93/$G93)</f>
        <v/>
      </c>
    </row>
    <row r="94" customFormat="false" ht="15" hidden="false" customHeight="true" outlineLevel="0" collapsed="false">
      <c r="B94" s="15" t="str">
        <f aca="false">IF($C94="","",IFERROR(INDEX(MF_Master!$A:$A,MATCH($C94,MF_Master!$B:$B,0)),""))</f>
        <v/>
      </c>
      <c r="D94" s="15" t="str">
        <f aca="false">IF($C94="","",IFERROR(INDEX(MF_Master!$C:$C,MATCH($C94,MF_Master!$B:$B,0)),""))</f>
        <v/>
      </c>
      <c r="E94" s="29"/>
      <c r="F94" s="28"/>
      <c r="G94" s="28"/>
      <c r="H94" s="31" t="str">
        <f aca="false">IF(OR($F94="",$G94=""),"",$F94/$G94)</f>
        <v/>
      </c>
    </row>
    <row r="95" customFormat="false" ht="15" hidden="false" customHeight="true" outlineLevel="0" collapsed="false">
      <c r="B95" s="15" t="str">
        <f aca="false">IF($C95="","",IFERROR(INDEX(MF_Master!$A:$A,MATCH($C95,MF_Master!$B:$B,0)),""))</f>
        <v/>
      </c>
      <c r="D95" s="15" t="str">
        <f aca="false">IF($C95="","",IFERROR(INDEX(MF_Master!$C:$C,MATCH($C95,MF_Master!$B:$B,0)),""))</f>
        <v/>
      </c>
      <c r="E95" s="29"/>
      <c r="F95" s="28"/>
      <c r="G95" s="28"/>
      <c r="H95" s="31" t="str">
        <f aca="false">IF(OR($F95="",$G95=""),"",$F95/$G95)</f>
        <v/>
      </c>
    </row>
    <row r="96" customFormat="false" ht="15" hidden="false" customHeight="true" outlineLevel="0" collapsed="false">
      <c r="B96" s="15" t="str">
        <f aca="false">IF($C96="","",IFERROR(INDEX(MF_Master!$A:$A,MATCH($C96,MF_Master!$B:$B,0)),""))</f>
        <v/>
      </c>
      <c r="D96" s="15" t="str">
        <f aca="false">IF($C96="","",IFERROR(INDEX(MF_Master!$C:$C,MATCH($C96,MF_Master!$B:$B,0)),""))</f>
        <v/>
      </c>
      <c r="E96" s="29"/>
      <c r="F96" s="28"/>
      <c r="G96" s="28"/>
      <c r="H96" s="31" t="str">
        <f aca="false">IF(OR($F96="",$G96=""),"",$F96/$G96)</f>
        <v/>
      </c>
    </row>
    <row r="97" customFormat="false" ht="15" hidden="false" customHeight="true" outlineLevel="0" collapsed="false">
      <c r="B97" s="15" t="str">
        <f aca="false">IF($C97="","",IFERROR(INDEX(MF_Master!$A:$A,MATCH($C97,MF_Master!$B:$B,0)),""))</f>
        <v/>
      </c>
      <c r="D97" s="15" t="str">
        <f aca="false">IF($C97="","",IFERROR(INDEX(MF_Master!$C:$C,MATCH($C97,MF_Master!$B:$B,0)),""))</f>
        <v/>
      </c>
      <c r="E97" s="29"/>
      <c r="F97" s="28"/>
      <c r="G97" s="28"/>
      <c r="H97" s="31" t="str">
        <f aca="false">IF(OR($F97="",$G97=""),"",$F97/$G97)</f>
        <v/>
      </c>
    </row>
    <row r="98" customFormat="false" ht="15" hidden="false" customHeight="true" outlineLevel="0" collapsed="false">
      <c r="B98" s="15" t="str">
        <f aca="false">IF($C98="","",IFERROR(INDEX(MF_Master!$A:$A,MATCH($C98,MF_Master!$B:$B,0)),""))</f>
        <v/>
      </c>
      <c r="D98" s="15" t="str">
        <f aca="false">IF($C98="","",IFERROR(INDEX(MF_Master!$C:$C,MATCH($C98,MF_Master!$B:$B,0)),""))</f>
        <v/>
      </c>
      <c r="E98" s="29"/>
      <c r="F98" s="28"/>
      <c r="G98" s="28"/>
      <c r="H98" s="31" t="str">
        <f aca="false">IF(OR($F98="",$G98=""),"",$F98/$G98)</f>
        <v/>
      </c>
    </row>
    <row r="99" customFormat="false" ht="15" hidden="false" customHeight="true" outlineLevel="0" collapsed="false">
      <c r="B99" s="15" t="str">
        <f aca="false">IF($C99="","",IFERROR(INDEX(MF_Master!$A:$A,MATCH($C99,MF_Master!$B:$B,0)),""))</f>
        <v/>
      </c>
      <c r="D99" s="15" t="str">
        <f aca="false">IF($C99="","",IFERROR(INDEX(MF_Master!$C:$C,MATCH($C99,MF_Master!$B:$B,0)),""))</f>
        <v/>
      </c>
      <c r="E99" s="29"/>
      <c r="F99" s="28"/>
      <c r="G99" s="28"/>
      <c r="H99" s="31" t="str">
        <f aca="false">IF(OR($F99="",$G99=""),"",$F99/$G99)</f>
        <v/>
      </c>
    </row>
    <row r="100" customFormat="false" ht="15" hidden="false" customHeight="true" outlineLevel="0" collapsed="false">
      <c r="B100" s="15" t="str">
        <f aca="false">IF($C100="","",IFERROR(INDEX(MF_Master!$A:$A,MATCH($C100,MF_Master!$B:$B,0)),""))</f>
        <v/>
      </c>
      <c r="D100" s="15" t="str">
        <f aca="false">IF($C100="","",IFERROR(INDEX(MF_Master!$C:$C,MATCH($C100,MF_Master!$B:$B,0)),""))</f>
        <v/>
      </c>
      <c r="E100" s="29"/>
      <c r="F100" s="28"/>
      <c r="G100" s="28"/>
      <c r="H100" s="31" t="str">
        <f aca="false">IF(OR($F100="",$G100=""),"",$F100/$G100)</f>
        <v/>
      </c>
    </row>
    <row r="101" customFormat="false" ht="15" hidden="false" customHeight="true" outlineLevel="0" collapsed="false">
      <c r="B101" s="15" t="str">
        <f aca="false">IF($C101="","",IFERROR(INDEX(MF_Master!$A:$A,MATCH($C101,MF_Master!$B:$B,0)),""))</f>
        <v/>
      </c>
      <c r="D101" s="15" t="str">
        <f aca="false">IF($C101="","",IFERROR(INDEX(MF_Master!$C:$C,MATCH($C101,MF_Master!$B:$B,0)),""))</f>
        <v/>
      </c>
      <c r="E101" s="29"/>
      <c r="F101" s="28"/>
      <c r="G101" s="28"/>
      <c r="H101" s="31" t="str">
        <f aca="false">IF(OR($F101="",$G101=""),"",$F101/$G101)</f>
        <v/>
      </c>
    </row>
    <row r="102" customFormat="false" ht="15" hidden="false" customHeight="true" outlineLevel="0" collapsed="false">
      <c r="B102" s="15" t="str">
        <f aca="false">IF($C102="","",IFERROR(INDEX(MF_Master!$A:$A,MATCH($C102,MF_Master!$B:$B,0)),""))</f>
        <v/>
      </c>
      <c r="D102" s="15" t="str">
        <f aca="false">IF($C102="","",IFERROR(INDEX(MF_Master!$C:$C,MATCH($C102,MF_Master!$B:$B,0)),""))</f>
        <v/>
      </c>
      <c r="E102" s="29"/>
      <c r="F102" s="28"/>
      <c r="G102" s="28"/>
      <c r="H102" s="31" t="str">
        <f aca="false">IF(OR($F102="",$G102=""),"",$F102/$G102)</f>
        <v/>
      </c>
    </row>
    <row r="103" customFormat="false" ht="15" hidden="false" customHeight="true" outlineLevel="0" collapsed="false">
      <c r="B103" s="15" t="str">
        <f aca="false">IF($C103="","",IFERROR(INDEX(MF_Master!$A:$A,MATCH($C103,MF_Master!$B:$B,0)),""))</f>
        <v/>
      </c>
      <c r="D103" s="15" t="str">
        <f aca="false">IF($C103="","",IFERROR(INDEX(MF_Master!$C:$C,MATCH($C103,MF_Master!$B:$B,0)),""))</f>
        <v/>
      </c>
      <c r="E103" s="29"/>
      <c r="F103" s="28"/>
      <c r="G103" s="28"/>
      <c r="H103" s="31" t="str">
        <f aca="false">IF(OR($F103="",$G103=""),"",$F103/$G103)</f>
        <v/>
      </c>
    </row>
    <row r="104" customFormat="false" ht="15" hidden="false" customHeight="true" outlineLevel="0" collapsed="false">
      <c r="B104" s="15" t="str">
        <f aca="false">IF($C104="","",IFERROR(INDEX(MF_Master!$A:$A,MATCH($C104,MF_Master!$B:$B,0)),""))</f>
        <v/>
      </c>
      <c r="D104" s="15" t="str">
        <f aca="false">IF($C104="","",IFERROR(INDEX(MF_Master!$C:$C,MATCH($C104,MF_Master!$B:$B,0)),""))</f>
        <v/>
      </c>
      <c r="E104" s="29"/>
      <c r="F104" s="28"/>
      <c r="G104" s="28"/>
      <c r="H104" s="31" t="str">
        <f aca="false">IF(OR($F104="",$G104=""),"",$F104/$G104)</f>
        <v/>
      </c>
    </row>
    <row r="105" customFormat="false" ht="15" hidden="false" customHeight="true" outlineLevel="0" collapsed="false">
      <c r="B105" s="15" t="str">
        <f aca="false">IF($C105="","",IFERROR(INDEX(MF_Master!$A:$A,MATCH($C105,MF_Master!$B:$B,0)),""))</f>
        <v/>
      </c>
      <c r="D105" s="15" t="str">
        <f aca="false">IF($C105="","",IFERROR(INDEX(MF_Master!$C:$C,MATCH($C105,MF_Master!$B:$B,0)),""))</f>
        <v/>
      </c>
      <c r="E105" s="29"/>
      <c r="F105" s="28"/>
      <c r="G105" s="28"/>
      <c r="H105" s="31" t="str">
        <f aca="false">IF(OR($F105="",$G105=""),"",$F105/$G105)</f>
        <v/>
      </c>
    </row>
    <row r="106" customFormat="false" ht="15" hidden="false" customHeight="true" outlineLevel="0" collapsed="false">
      <c r="B106" s="15" t="str">
        <f aca="false">IF($C106="","",IFERROR(INDEX(MF_Master!$A:$A,MATCH($C106,MF_Master!$B:$B,0)),""))</f>
        <v/>
      </c>
      <c r="D106" s="15" t="str">
        <f aca="false">IF($C106="","",IFERROR(INDEX(MF_Master!$C:$C,MATCH($C106,MF_Master!$B:$B,0)),""))</f>
        <v/>
      </c>
      <c r="E106" s="29"/>
      <c r="F106" s="28"/>
      <c r="G106" s="28"/>
      <c r="H106" s="31" t="str">
        <f aca="false">IF(OR($F106="",$G106=""),"",$F106/$G106)</f>
        <v/>
      </c>
    </row>
    <row r="107" customFormat="false" ht="15" hidden="false" customHeight="true" outlineLevel="0" collapsed="false">
      <c r="B107" s="15" t="str">
        <f aca="false">IF($C107="","",IFERROR(INDEX(MF_Master!$A:$A,MATCH($C107,MF_Master!$B:$B,0)),""))</f>
        <v/>
      </c>
      <c r="D107" s="15" t="str">
        <f aca="false">IF($C107="","",IFERROR(INDEX(MF_Master!$C:$C,MATCH($C107,MF_Master!$B:$B,0)),""))</f>
        <v/>
      </c>
      <c r="E107" s="29"/>
      <c r="F107" s="28"/>
      <c r="G107" s="28"/>
      <c r="H107" s="31" t="str">
        <f aca="false">IF(OR($F107="",$G107=""),"",$F107/$G107)</f>
        <v/>
      </c>
    </row>
    <row r="108" customFormat="false" ht="15" hidden="false" customHeight="true" outlineLevel="0" collapsed="false">
      <c r="B108" s="15" t="str">
        <f aca="false">IF($C108="","",IFERROR(INDEX(MF_Master!$A:$A,MATCH($C108,MF_Master!$B:$B,0)),""))</f>
        <v/>
      </c>
      <c r="D108" s="15" t="str">
        <f aca="false">IF($C108="","",IFERROR(INDEX(MF_Master!$C:$C,MATCH($C108,MF_Master!$B:$B,0)),""))</f>
        <v/>
      </c>
      <c r="E108" s="29"/>
      <c r="F108" s="28"/>
      <c r="G108" s="28"/>
      <c r="H108" s="31" t="str">
        <f aca="false">IF(OR($F108="",$G108=""),"",$F108/$G108)</f>
        <v/>
      </c>
    </row>
    <row r="109" customFormat="false" ht="15" hidden="false" customHeight="true" outlineLevel="0" collapsed="false">
      <c r="B109" s="15" t="str">
        <f aca="false">IF($C109="","",IFERROR(INDEX(MF_Master!$A:$A,MATCH($C109,MF_Master!$B:$B,0)),""))</f>
        <v/>
      </c>
      <c r="D109" s="15" t="str">
        <f aca="false">IF($C109="","",IFERROR(INDEX(MF_Master!$C:$C,MATCH($C109,MF_Master!$B:$B,0)),""))</f>
        <v/>
      </c>
      <c r="E109" s="29"/>
      <c r="F109" s="28"/>
      <c r="G109" s="28"/>
      <c r="H109" s="31" t="str">
        <f aca="false">IF(OR($F109="",$G109=""),"",$F109/$G109)</f>
        <v/>
      </c>
    </row>
    <row r="110" customFormat="false" ht="15" hidden="false" customHeight="true" outlineLevel="0" collapsed="false">
      <c r="B110" s="15" t="str">
        <f aca="false">IF($C110="","",IFERROR(INDEX(MF_Master!$A:$A,MATCH($C110,MF_Master!$B:$B,0)),""))</f>
        <v/>
      </c>
      <c r="D110" s="15" t="str">
        <f aca="false">IF($C110="","",IFERROR(INDEX(MF_Master!$C:$C,MATCH($C110,MF_Master!$B:$B,0)),""))</f>
        <v/>
      </c>
      <c r="E110" s="29"/>
      <c r="F110" s="28"/>
      <c r="G110" s="28"/>
      <c r="H110" s="31" t="str">
        <f aca="false">IF(OR($F110="",$G110=""),"",$F110/$G110)</f>
        <v/>
      </c>
    </row>
    <row r="111" customFormat="false" ht="15" hidden="false" customHeight="true" outlineLevel="0" collapsed="false">
      <c r="B111" s="15" t="str">
        <f aca="false">IF($C111="","",IFERROR(INDEX(MF_Master!$A:$A,MATCH($C111,MF_Master!$B:$B,0)),""))</f>
        <v/>
      </c>
      <c r="D111" s="15" t="str">
        <f aca="false">IF($C111="","",IFERROR(INDEX(MF_Master!$C:$C,MATCH($C111,MF_Master!$B:$B,0)),""))</f>
        <v/>
      </c>
      <c r="E111" s="29"/>
      <c r="F111" s="28"/>
      <c r="G111" s="28"/>
      <c r="H111" s="31" t="str">
        <f aca="false">IF(OR($F111="",$G111=""),"",$F111/$G111)</f>
        <v/>
      </c>
    </row>
    <row r="112" customFormat="false" ht="15" hidden="false" customHeight="true" outlineLevel="0" collapsed="false">
      <c r="B112" s="15" t="str">
        <f aca="false">IF($C112="","",IFERROR(INDEX(MF_Master!$A:$A,MATCH($C112,MF_Master!$B:$B,0)),""))</f>
        <v/>
      </c>
      <c r="D112" s="15" t="str">
        <f aca="false">IF($C112="","",IFERROR(INDEX(MF_Master!$C:$C,MATCH($C112,MF_Master!$B:$B,0)),""))</f>
        <v/>
      </c>
      <c r="E112" s="29"/>
      <c r="F112" s="28"/>
      <c r="G112" s="28"/>
      <c r="H112" s="31" t="str">
        <f aca="false">IF(OR($F112="",$G112=""),"",$F112/$G112)</f>
        <v/>
      </c>
    </row>
    <row r="113" customFormat="false" ht="15" hidden="false" customHeight="true" outlineLevel="0" collapsed="false">
      <c r="B113" s="15" t="str">
        <f aca="false">IF($C113="","",IFERROR(INDEX(MF_Master!$A:$A,MATCH($C113,MF_Master!$B:$B,0)),""))</f>
        <v/>
      </c>
      <c r="D113" s="15" t="str">
        <f aca="false">IF($C113="","",IFERROR(INDEX(MF_Master!$C:$C,MATCH($C113,MF_Master!$B:$B,0)),""))</f>
        <v/>
      </c>
      <c r="E113" s="29"/>
      <c r="F113" s="28"/>
      <c r="G113" s="28"/>
      <c r="H113" s="31" t="str">
        <f aca="false">IF(OR($F113="",$G113=""),"",$F113/$G113)</f>
        <v/>
      </c>
    </row>
    <row r="114" customFormat="false" ht="15" hidden="false" customHeight="true" outlineLevel="0" collapsed="false">
      <c r="B114" s="15" t="str">
        <f aca="false">IF($C114="","",IFERROR(INDEX(MF_Master!$A:$A,MATCH($C114,MF_Master!$B:$B,0)),""))</f>
        <v/>
      </c>
      <c r="D114" s="15" t="str">
        <f aca="false">IF($C114="","",IFERROR(INDEX(MF_Master!$C:$C,MATCH($C114,MF_Master!$B:$B,0)),""))</f>
        <v/>
      </c>
      <c r="E114" s="29"/>
      <c r="F114" s="28"/>
      <c r="G114" s="28"/>
      <c r="H114" s="31" t="str">
        <f aca="false">IF(OR($F114="",$G114=""),"",$F114/$G114)</f>
        <v/>
      </c>
    </row>
    <row r="115" customFormat="false" ht="15" hidden="false" customHeight="true" outlineLevel="0" collapsed="false">
      <c r="B115" s="15" t="str">
        <f aca="false">IF($C115="","",IFERROR(INDEX(MF_Master!$A:$A,MATCH($C115,MF_Master!$B:$B,0)),""))</f>
        <v/>
      </c>
      <c r="D115" s="15" t="str">
        <f aca="false">IF($C115="","",IFERROR(INDEX(MF_Master!$C:$C,MATCH($C115,MF_Master!$B:$B,0)),""))</f>
        <v/>
      </c>
      <c r="E115" s="29"/>
      <c r="F115" s="28"/>
      <c r="G115" s="28"/>
      <c r="H115" s="31" t="str">
        <f aca="false">IF(OR($F115="",$G115=""),"",$F115/$G115)</f>
        <v/>
      </c>
    </row>
    <row r="116" customFormat="false" ht="15" hidden="false" customHeight="true" outlineLevel="0" collapsed="false">
      <c r="B116" s="15" t="str">
        <f aca="false">IF($C116="","",IFERROR(INDEX(MF_Master!$A:$A,MATCH($C116,MF_Master!$B:$B,0)),""))</f>
        <v/>
      </c>
      <c r="D116" s="15" t="str">
        <f aca="false">IF($C116="","",IFERROR(INDEX(MF_Master!$C:$C,MATCH($C116,MF_Master!$B:$B,0)),""))</f>
        <v/>
      </c>
      <c r="E116" s="29"/>
      <c r="F116" s="28"/>
      <c r="G116" s="28"/>
      <c r="H116" s="31" t="str">
        <f aca="false">IF(OR($F116="",$G116=""),"",$F116/$G116)</f>
        <v/>
      </c>
    </row>
    <row r="117" customFormat="false" ht="15" hidden="false" customHeight="true" outlineLevel="0" collapsed="false">
      <c r="B117" s="15" t="str">
        <f aca="false">IF($C117="","",IFERROR(INDEX(MF_Master!$A:$A,MATCH($C117,MF_Master!$B:$B,0)),""))</f>
        <v/>
      </c>
      <c r="D117" s="15" t="str">
        <f aca="false">IF($C117="","",IFERROR(INDEX(MF_Master!$C:$C,MATCH($C117,MF_Master!$B:$B,0)),""))</f>
        <v/>
      </c>
      <c r="E117" s="29"/>
      <c r="F117" s="28"/>
      <c r="G117" s="28"/>
      <c r="H117" s="31" t="str">
        <f aca="false">IF(OR($F117="",$G117=""),"",$F117/$G117)</f>
        <v/>
      </c>
    </row>
    <row r="118" customFormat="false" ht="15" hidden="false" customHeight="true" outlineLevel="0" collapsed="false">
      <c r="B118" s="15" t="str">
        <f aca="false">IF($C118="","",IFERROR(INDEX(MF_Master!$A:$A,MATCH($C118,MF_Master!$B:$B,0)),""))</f>
        <v/>
      </c>
      <c r="D118" s="15" t="str">
        <f aca="false">IF($C118="","",IFERROR(INDEX(MF_Master!$C:$C,MATCH($C118,MF_Master!$B:$B,0)),""))</f>
        <v/>
      </c>
      <c r="E118" s="29"/>
      <c r="F118" s="28"/>
      <c r="G118" s="28"/>
      <c r="H118" s="31" t="str">
        <f aca="false">IF(OR($F118="",$G118=""),"",$F118/$G118)</f>
        <v/>
      </c>
    </row>
    <row r="119" customFormat="false" ht="15" hidden="false" customHeight="true" outlineLevel="0" collapsed="false">
      <c r="B119" s="15" t="str">
        <f aca="false">IF($C119="","",IFERROR(INDEX(MF_Master!$A:$A,MATCH($C119,MF_Master!$B:$B,0)),""))</f>
        <v/>
      </c>
      <c r="D119" s="15" t="str">
        <f aca="false">IF($C119="","",IFERROR(INDEX(MF_Master!$C:$C,MATCH($C119,MF_Master!$B:$B,0)),""))</f>
        <v/>
      </c>
      <c r="E119" s="29"/>
      <c r="F119" s="28"/>
      <c r="G119" s="28"/>
      <c r="H119" s="31" t="str">
        <f aca="false">IF(OR($F119="",$G119=""),"",$F119/$G119)</f>
        <v/>
      </c>
    </row>
    <row r="120" customFormat="false" ht="15" hidden="false" customHeight="true" outlineLevel="0" collapsed="false">
      <c r="B120" s="15" t="str">
        <f aca="false">IF($C120="","",IFERROR(INDEX(MF_Master!$A:$A,MATCH($C120,MF_Master!$B:$B,0)),""))</f>
        <v/>
      </c>
      <c r="D120" s="15" t="str">
        <f aca="false">IF($C120="","",IFERROR(INDEX(MF_Master!$C:$C,MATCH($C120,MF_Master!$B:$B,0)),""))</f>
        <v/>
      </c>
      <c r="E120" s="29"/>
      <c r="F120" s="28"/>
      <c r="G120" s="28"/>
      <c r="H120" s="31" t="str">
        <f aca="false">IF(OR($F120="",$G120=""),"",$F120/$G120)</f>
        <v/>
      </c>
    </row>
    <row r="121" customFormat="false" ht="15" hidden="false" customHeight="true" outlineLevel="0" collapsed="false">
      <c r="B121" s="15" t="str">
        <f aca="false">IF($C121="","",IFERROR(INDEX(MF_Master!$A:$A,MATCH($C121,MF_Master!$B:$B,0)),""))</f>
        <v/>
      </c>
      <c r="D121" s="15" t="str">
        <f aca="false">IF($C121="","",IFERROR(INDEX(MF_Master!$C:$C,MATCH($C121,MF_Master!$B:$B,0)),""))</f>
        <v/>
      </c>
      <c r="E121" s="29"/>
      <c r="F121" s="28"/>
      <c r="G121" s="28"/>
      <c r="H121" s="31" t="str">
        <f aca="false">IF(OR($F121="",$G121=""),"",$F121/$G121)</f>
        <v/>
      </c>
    </row>
    <row r="122" customFormat="false" ht="15" hidden="false" customHeight="true" outlineLevel="0" collapsed="false">
      <c r="B122" s="15" t="str">
        <f aca="false">IF($C122="","",IFERROR(INDEX(MF_Master!$A:$A,MATCH($C122,MF_Master!$B:$B,0)),""))</f>
        <v/>
      </c>
      <c r="D122" s="15" t="str">
        <f aca="false">IF($C122="","",IFERROR(INDEX(MF_Master!$C:$C,MATCH($C122,MF_Master!$B:$B,0)),""))</f>
        <v/>
      </c>
      <c r="E122" s="29"/>
      <c r="F122" s="28"/>
      <c r="G122" s="28"/>
      <c r="H122" s="31" t="str">
        <f aca="false">IF(OR($F122="",$G122=""),"",$F122/$G122)</f>
        <v/>
      </c>
    </row>
    <row r="123" customFormat="false" ht="15" hidden="false" customHeight="true" outlineLevel="0" collapsed="false">
      <c r="B123" s="15" t="str">
        <f aca="false">IF($C123="","",IFERROR(INDEX(MF_Master!$A:$A,MATCH($C123,MF_Master!$B:$B,0)),""))</f>
        <v/>
      </c>
      <c r="D123" s="15" t="str">
        <f aca="false">IF($C123="","",IFERROR(INDEX(MF_Master!$C:$C,MATCH($C123,MF_Master!$B:$B,0)),""))</f>
        <v/>
      </c>
      <c r="E123" s="29"/>
      <c r="F123" s="28"/>
      <c r="G123" s="28"/>
      <c r="H123" s="31" t="str">
        <f aca="false">IF(OR($F123="",$G123=""),"",$F123/$G123)</f>
        <v/>
      </c>
    </row>
    <row r="124" customFormat="false" ht="15" hidden="false" customHeight="true" outlineLevel="0" collapsed="false">
      <c r="B124" s="15" t="str">
        <f aca="false">IF($C124="","",IFERROR(INDEX(MF_Master!$A:$A,MATCH($C124,MF_Master!$B:$B,0)),""))</f>
        <v/>
      </c>
      <c r="D124" s="15" t="str">
        <f aca="false">IF($C124="","",IFERROR(INDEX(MF_Master!$C:$C,MATCH($C124,MF_Master!$B:$B,0)),""))</f>
        <v/>
      </c>
      <c r="E124" s="29"/>
      <c r="F124" s="28"/>
      <c r="G124" s="28"/>
      <c r="H124" s="31" t="str">
        <f aca="false">IF(OR($F124="",$G124=""),"",$F124/$G124)</f>
        <v/>
      </c>
    </row>
    <row r="125" customFormat="false" ht="15" hidden="false" customHeight="true" outlineLevel="0" collapsed="false">
      <c r="B125" s="15" t="str">
        <f aca="false">IF($C125="","",IFERROR(INDEX(MF_Master!$A:$A,MATCH($C125,MF_Master!$B:$B,0)),""))</f>
        <v/>
      </c>
      <c r="D125" s="15" t="str">
        <f aca="false">IF($C125="","",IFERROR(INDEX(MF_Master!$C:$C,MATCH($C125,MF_Master!$B:$B,0)),""))</f>
        <v/>
      </c>
      <c r="E125" s="29"/>
      <c r="F125" s="28"/>
      <c r="G125" s="28"/>
      <c r="H125" s="31" t="str">
        <f aca="false">IF(OR($F125="",$G125=""),"",$F125/$G125)</f>
        <v/>
      </c>
    </row>
    <row r="126" customFormat="false" ht="15" hidden="false" customHeight="true" outlineLevel="0" collapsed="false">
      <c r="B126" s="15" t="str">
        <f aca="false">IF($C126="","",IFERROR(INDEX(MF_Master!$A:$A,MATCH($C126,MF_Master!$B:$B,0)),""))</f>
        <v/>
      </c>
      <c r="D126" s="15" t="str">
        <f aca="false">IF($C126="","",IFERROR(INDEX(MF_Master!$C:$C,MATCH($C126,MF_Master!$B:$B,0)),""))</f>
        <v/>
      </c>
      <c r="E126" s="29"/>
      <c r="F126" s="28"/>
      <c r="G126" s="28"/>
      <c r="H126" s="31" t="str">
        <f aca="false">IF(OR($F126="",$G126=""),"",$F126/$G126)</f>
        <v/>
      </c>
    </row>
    <row r="127" customFormat="false" ht="15" hidden="false" customHeight="true" outlineLevel="0" collapsed="false">
      <c r="B127" s="15" t="str">
        <f aca="false">IF($C127="","",IFERROR(INDEX(MF_Master!$A:$A,MATCH($C127,MF_Master!$B:$B,0)),""))</f>
        <v/>
      </c>
      <c r="D127" s="15" t="str">
        <f aca="false">IF($C127="","",IFERROR(INDEX(MF_Master!$C:$C,MATCH($C127,MF_Master!$B:$B,0)),""))</f>
        <v/>
      </c>
      <c r="E127" s="29"/>
      <c r="F127" s="28"/>
      <c r="G127" s="28"/>
      <c r="H127" s="31" t="str">
        <f aca="false">IF(OR($F127="",$G127=""),"",$F127/$G127)</f>
        <v/>
      </c>
    </row>
    <row r="128" customFormat="false" ht="15" hidden="false" customHeight="true" outlineLevel="0" collapsed="false">
      <c r="B128" s="15" t="str">
        <f aca="false">IF($C128="","",IFERROR(INDEX(MF_Master!$A:$A,MATCH($C128,MF_Master!$B:$B,0)),""))</f>
        <v/>
      </c>
      <c r="D128" s="15" t="str">
        <f aca="false">IF($C128="","",IFERROR(INDEX(MF_Master!$C:$C,MATCH($C128,MF_Master!$B:$B,0)),""))</f>
        <v/>
      </c>
      <c r="E128" s="29"/>
      <c r="F128" s="28"/>
      <c r="G128" s="28"/>
      <c r="H128" s="31" t="str">
        <f aca="false">IF(OR($F128="",$G128=""),"",$F128/$G128)</f>
        <v/>
      </c>
    </row>
    <row r="129" customFormat="false" ht="15" hidden="false" customHeight="true" outlineLevel="0" collapsed="false">
      <c r="B129" s="15" t="str">
        <f aca="false">IF($C129="","",IFERROR(INDEX(MF_Master!$A:$A,MATCH($C129,MF_Master!$B:$B,0)),""))</f>
        <v/>
      </c>
      <c r="D129" s="15" t="str">
        <f aca="false">IF($C129="","",IFERROR(INDEX(MF_Master!$C:$C,MATCH($C129,MF_Master!$B:$B,0)),""))</f>
        <v/>
      </c>
      <c r="E129" s="29"/>
      <c r="F129" s="28"/>
      <c r="G129" s="28"/>
      <c r="H129" s="31" t="str">
        <f aca="false">IF(OR($F129="",$G129=""),"",$F129/$G129)</f>
        <v/>
      </c>
    </row>
    <row r="130" customFormat="false" ht="15" hidden="false" customHeight="true" outlineLevel="0" collapsed="false">
      <c r="B130" s="15" t="str">
        <f aca="false">IF($C130="","",IFERROR(INDEX(MF_Master!$A:$A,MATCH($C130,MF_Master!$B:$B,0)),""))</f>
        <v/>
      </c>
      <c r="D130" s="15" t="str">
        <f aca="false">IF($C130="","",IFERROR(INDEX(MF_Master!$C:$C,MATCH($C130,MF_Master!$B:$B,0)),""))</f>
        <v/>
      </c>
      <c r="E130" s="29"/>
      <c r="F130" s="28"/>
      <c r="G130" s="28"/>
      <c r="H130" s="31" t="str">
        <f aca="false">IF(OR($F130="",$G130=""),"",$F130/$G130)</f>
        <v/>
      </c>
    </row>
    <row r="131" customFormat="false" ht="15" hidden="false" customHeight="true" outlineLevel="0" collapsed="false">
      <c r="B131" s="15" t="str">
        <f aca="false">IF($C131="","",IFERROR(INDEX(MF_Master!$A:$A,MATCH($C131,MF_Master!$B:$B,0)),""))</f>
        <v/>
      </c>
      <c r="D131" s="15" t="str">
        <f aca="false">IF($C131="","",IFERROR(INDEX(MF_Master!$C:$C,MATCH($C131,MF_Master!$B:$B,0)),""))</f>
        <v/>
      </c>
      <c r="E131" s="29"/>
      <c r="F131" s="28"/>
      <c r="G131" s="28"/>
      <c r="H131" s="31" t="str">
        <f aca="false">IF(OR($F131="",$G131=""),"",$F131/$G131)</f>
        <v/>
      </c>
    </row>
    <row r="132" customFormat="false" ht="15" hidden="false" customHeight="true" outlineLevel="0" collapsed="false">
      <c r="B132" s="15" t="str">
        <f aca="false">IF($C132="","",IFERROR(INDEX(MF_Master!$A:$A,MATCH($C132,MF_Master!$B:$B,0)),""))</f>
        <v/>
      </c>
      <c r="D132" s="15" t="str">
        <f aca="false">IF($C132="","",IFERROR(INDEX(MF_Master!$C:$C,MATCH($C132,MF_Master!$B:$B,0)),""))</f>
        <v/>
      </c>
      <c r="E132" s="29"/>
      <c r="F132" s="28"/>
      <c r="G132" s="28"/>
      <c r="H132" s="31" t="str">
        <f aca="false">IF(OR($F132="",$G132=""),"",$F132/$G132)</f>
        <v/>
      </c>
    </row>
    <row r="133" customFormat="false" ht="15" hidden="false" customHeight="true" outlineLevel="0" collapsed="false">
      <c r="B133" s="15" t="str">
        <f aca="false">IF($C133="","",IFERROR(INDEX(MF_Master!$A:$A,MATCH($C133,MF_Master!$B:$B,0)),""))</f>
        <v/>
      </c>
      <c r="D133" s="15" t="str">
        <f aca="false">IF($C133="","",IFERROR(INDEX(MF_Master!$C:$C,MATCH($C133,MF_Master!$B:$B,0)),""))</f>
        <v/>
      </c>
      <c r="E133" s="29"/>
      <c r="F133" s="28"/>
      <c r="G133" s="28"/>
      <c r="H133" s="31" t="str">
        <f aca="false">IF(OR($F133="",$G133=""),"",$F133/$G133)</f>
        <v/>
      </c>
    </row>
    <row r="134" customFormat="false" ht="15" hidden="false" customHeight="true" outlineLevel="0" collapsed="false">
      <c r="B134" s="15" t="str">
        <f aca="false">IF($C134="","",IFERROR(INDEX(MF_Master!$A:$A,MATCH($C134,MF_Master!$B:$B,0)),""))</f>
        <v/>
      </c>
      <c r="D134" s="15" t="str">
        <f aca="false">IF($C134="","",IFERROR(INDEX(MF_Master!$C:$C,MATCH($C134,MF_Master!$B:$B,0)),""))</f>
        <v/>
      </c>
      <c r="E134" s="29"/>
      <c r="F134" s="28"/>
      <c r="G134" s="28"/>
      <c r="H134" s="31" t="str">
        <f aca="false">IF(OR($F134="",$G134=""),"",$F134/$G134)</f>
        <v/>
      </c>
    </row>
    <row r="135" customFormat="false" ht="15" hidden="false" customHeight="true" outlineLevel="0" collapsed="false">
      <c r="B135" s="15" t="str">
        <f aca="false">IF($C135="","",IFERROR(INDEX(MF_Master!$A:$A,MATCH($C135,MF_Master!$B:$B,0)),""))</f>
        <v/>
      </c>
      <c r="D135" s="15" t="str">
        <f aca="false">IF($C135="","",IFERROR(INDEX(MF_Master!$C:$C,MATCH($C135,MF_Master!$B:$B,0)),""))</f>
        <v/>
      </c>
      <c r="E135" s="29"/>
      <c r="F135" s="28"/>
      <c r="G135" s="28"/>
      <c r="H135" s="31" t="str">
        <f aca="false">IF(OR($F135="",$G135=""),"",$F135/$G135)</f>
        <v/>
      </c>
    </row>
    <row r="136" customFormat="false" ht="15" hidden="false" customHeight="true" outlineLevel="0" collapsed="false">
      <c r="B136" s="15" t="str">
        <f aca="false">IF($C136="","",IFERROR(INDEX(MF_Master!$A:$A,MATCH($C136,MF_Master!$B:$B,0)),""))</f>
        <v/>
      </c>
      <c r="D136" s="15" t="str">
        <f aca="false">IF($C136="","",IFERROR(INDEX(MF_Master!$C:$C,MATCH($C136,MF_Master!$B:$B,0)),""))</f>
        <v/>
      </c>
      <c r="E136" s="29"/>
      <c r="F136" s="28"/>
      <c r="G136" s="28"/>
      <c r="H136" s="31" t="str">
        <f aca="false">IF(OR($F136="",$G136=""),"",$F136/$G136)</f>
        <v/>
      </c>
    </row>
    <row r="137" customFormat="false" ht="15" hidden="false" customHeight="true" outlineLevel="0" collapsed="false">
      <c r="B137" s="15" t="str">
        <f aca="false">IF($C137="","",IFERROR(INDEX(MF_Master!$A:$A,MATCH($C137,MF_Master!$B:$B,0)),""))</f>
        <v/>
      </c>
      <c r="D137" s="15" t="str">
        <f aca="false">IF($C137="","",IFERROR(INDEX(MF_Master!$C:$C,MATCH($C137,MF_Master!$B:$B,0)),""))</f>
        <v/>
      </c>
      <c r="E137" s="29"/>
      <c r="F137" s="28"/>
      <c r="G137" s="28"/>
      <c r="H137" s="31" t="str">
        <f aca="false">IF(OR($F137="",$G137=""),"",$F137/$G137)</f>
        <v/>
      </c>
    </row>
    <row r="138" customFormat="false" ht="15" hidden="false" customHeight="true" outlineLevel="0" collapsed="false">
      <c r="B138" s="15" t="str">
        <f aca="false">IF($C138="","",IFERROR(INDEX(MF_Master!$A:$A,MATCH($C138,MF_Master!$B:$B,0)),""))</f>
        <v/>
      </c>
      <c r="D138" s="15" t="str">
        <f aca="false">IF($C138="","",IFERROR(INDEX(MF_Master!$C:$C,MATCH($C138,MF_Master!$B:$B,0)),""))</f>
        <v/>
      </c>
      <c r="E138" s="29"/>
      <c r="F138" s="28"/>
      <c r="G138" s="28"/>
      <c r="H138" s="31" t="str">
        <f aca="false">IF(OR($F138="",$G138=""),"",$F138/$G138)</f>
        <v/>
      </c>
    </row>
    <row r="139" customFormat="false" ht="15" hidden="false" customHeight="true" outlineLevel="0" collapsed="false">
      <c r="B139" s="15" t="str">
        <f aca="false">IF($C139="","",IFERROR(INDEX(MF_Master!$A:$A,MATCH($C139,MF_Master!$B:$B,0)),""))</f>
        <v/>
      </c>
      <c r="D139" s="15" t="str">
        <f aca="false">IF($C139="","",IFERROR(INDEX(MF_Master!$C:$C,MATCH($C139,MF_Master!$B:$B,0)),""))</f>
        <v/>
      </c>
      <c r="E139" s="29"/>
      <c r="F139" s="28"/>
      <c r="G139" s="28"/>
      <c r="H139" s="31" t="str">
        <f aca="false">IF(OR($F139="",$G139=""),"",$F139/$G139)</f>
        <v/>
      </c>
    </row>
    <row r="140" customFormat="false" ht="15" hidden="false" customHeight="true" outlineLevel="0" collapsed="false">
      <c r="B140" s="15" t="str">
        <f aca="false">IF($C140="","",IFERROR(INDEX(MF_Master!$A:$A,MATCH($C140,MF_Master!$B:$B,0)),""))</f>
        <v/>
      </c>
      <c r="D140" s="15" t="str">
        <f aca="false">IF($C140="","",IFERROR(INDEX(MF_Master!$C:$C,MATCH($C140,MF_Master!$B:$B,0)),""))</f>
        <v/>
      </c>
      <c r="E140" s="29"/>
      <c r="F140" s="28"/>
      <c r="G140" s="28"/>
      <c r="H140" s="31" t="str">
        <f aca="false">IF(OR($F140="",$G140=""),"",$F140/$G140)</f>
        <v/>
      </c>
    </row>
    <row r="141" customFormat="false" ht="15" hidden="false" customHeight="true" outlineLevel="0" collapsed="false">
      <c r="B141" s="15" t="str">
        <f aca="false">IF($C141="","",IFERROR(INDEX(MF_Master!$A:$A,MATCH($C141,MF_Master!$B:$B,0)),""))</f>
        <v/>
      </c>
      <c r="D141" s="15" t="str">
        <f aca="false">IF($C141="","",IFERROR(INDEX(MF_Master!$C:$C,MATCH($C141,MF_Master!$B:$B,0)),""))</f>
        <v/>
      </c>
      <c r="E141" s="29"/>
      <c r="F141" s="28"/>
      <c r="G141" s="28"/>
      <c r="H141" s="31" t="str">
        <f aca="false">IF(OR($F141="",$G141=""),"",$F141/$G141)</f>
        <v/>
      </c>
    </row>
    <row r="142" customFormat="false" ht="15" hidden="false" customHeight="true" outlineLevel="0" collapsed="false">
      <c r="B142" s="15" t="str">
        <f aca="false">IF($C142="","",IFERROR(INDEX(MF_Master!$A:$A,MATCH($C142,MF_Master!$B:$B,0)),""))</f>
        <v/>
      </c>
      <c r="D142" s="15" t="str">
        <f aca="false">IF($C142="","",IFERROR(INDEX(MF_Master!$C:$C,MATCH($C142,MF_Master!$B:$B,0)),""))</f>
        <v/>
      </c>
      <c r="E142" s="29"/>
      <c r="F142" s="28"/>
      <c r="G142" s="28"/>
      <c r="H142" s="31" t="str">
        <f aca="false">IF(OR($F142="",$G142=""),"",$F142/$G142)</f>
        <v/>
      </c>
    </row>
    <row r="143" customFormat="false" ht="15" hidden="false" customHeight="true" outlineLevel="0" collapsed="false">
      <c r="B143" s="15" t="str">
        <f aca="false">IF($C143="","",IFERROR(INDEX(MF_Master!$A:$A,MATCH($C143,MF_Master!$B:$B,0)),""))</f>
        <v/>
      </c>
      <c r="D143" s="15" t="str">
        <f aca="false">IF($C143="","",IFERROR(INDEX(MF_Master!$C:$C,MATCH($C143,MF_Master!$B:$B,0)),""))</f>
        <v/>
      </c>
      <c r="E143" s="29"/>
      <c r="F143" s="28"/>
      <c r="G143" s="28"/>
      <c r="H143" s="31" t="str">
        <f aca="false">IF(OR($F143="",$G143=""),"",$F143/$G143)</f>
        <v/>
      </c>
    </row>
    <row r="144" customFormat="false" ht="15" hidden="false" customHeight="true" outlineLevel="0" collapsed="false">
      <c r="B144" s="15" t="str">
        <f aca="false">IF($C144="","",IFERROR(INDEX(MF_Master!$A:$A,MATCH($C144,MF_Master!$B:$B,0)),""))</f>
        <v/>
      </c>
      <c r="D144" s="15" t="str">
        <f aca="false">IF($C144="","",IFERROR(INDEX(MF_Master!$C:$C,MATCH($C144,MF_Master!$B:$B,0)),""))</f>
        <v/>
      </c>
      <c r="E144" s="29"/>
      <c r="F144" s="28"/>
      <c r="G144" s="28"/>
      <c r="H144" s="31" t="str">
        <f aca="false">IF(OR($F144="",$G144=""),"",$F144/$G144)</f>
        <v/>
      </c>
    </row>
    <row r="145" customFormat="false" ht="15" hidden="false" customHeight="true" outlineLevel="0" collapsed="false">
      <c r="B145" s="15" t="str">
        <f aca="false">IF($C145="","",IFERROR(INDEX(MF_Master!$A:$A,MATCH($C145,MF_Master!$B:$B,0)),""))</f>
        <v/>
      </c>
      <c r="D145" s="15" t="str">
        <f aca="false">IF($C145="","",IFERROR(INDEX(MF_Master!$C:$C,MATCH($C145,MF_Master!$B:$B,0)),""))</f>
        <v/>
      </c>
      <c r="E145" s="29"/>
      <c r="F145" s="28"/>
      <c r="G145" s="28"/>
      <c r="H145" s="31" t="str">
        <f aca="false">IF(OR($F145="",$G145=""),"",$F145/$G145)</f>
        <v/>
      </c>
    </row>
    <row r="146" customFormat="false" ht="15" hidden="false" customHeight="true" outlineLevel="0" collapsed="false">
      <c r="B146" s="15" t="str">
        <f aca="false">IF($C146="","",IFERROR(INDEX(MF_Master!$A:$A,MATCH($C146,MF_Master!$B:$B,0)),""))</f>
        <v/>
      </c>
      <c r="D146" s="15" t="str">
        <f aca="false">IF($C146="","",IFERROR(INDEX(MF_Master!$C:$C,MATCH($C146,MF_Master!$B:$B,0)),""))</f>
        <v/>
      </c>
      <c r="E146" s="29"/>
      <c r="F146" s="28"/>
      <c r="G146" s="28"/>
      <c r="H146" s="31" t="str">
        <f aca="false">IF(OR($F146="",$G146=""),"",$F146/$G146)</f>
        <v/>
      </c>
    </row>
    <row r="147" customFormat="false" ht="15" hidden="false" customHeight="true" outlineLevel="0" collapsed="false">
      <c r="B147" s="15" t="str">
        <f aca="false">IF($C147="","",IFERROR(INDEX(MF_Master!$A:$A,MATCH($C147,MF_Master!$B:$B,0)),""))</f>
        <v/>
      </c>
      <c r="D147" s="15" t="str">
        <f aca="false">IF($C147="","",IFERROR(INDEX(MF_Master!$C:$C,MATCH($C147,MF_Master!$B:$B,0)),""))</f>
        <v/>
      </c>
      <c r="E147" s="29"/>
      <c r="F147" s="28"/>
      <c r="G147" s="28"/>
      <c r="H147" s="31" t="str">
        <f aca="false">IF(OR($F147="",$G147=""),"",$F147/$G147)</f>
        <v/>
      </c>
    </row>
    <row r="148" customFormat="false" ht="15" hidden="false" customHeight="true" outlineLevel="0" collapsed="false">
      <c r="B148" s="15" t="str">
        <f aca="false">IF($C148="","",IFERROR(INDEX(MF_Master!$A:$A,MATCH($C148,MF_Master!$B:$B,0)),""))</f>
        <v/>
      </c>
      <c r="D148" s="15" t="str">
        <f aca="false">IF($C148="","",IFERROR(INDEX(MF_Master!$C:$C,MATCH($C148,MF_Master!$B:$B,0)),""))</f>
        <v/>
      </c>
      <c r="E148" s="29"/>
      <c r="F148" s="28"/>
      <c r="G148" s="28"/>
      <c r="H148" s="31" t="str">
        <f aca="false">IF(OR($F148="",$G148=""),"",$F148/$G148)</f>
        <v/>
      </c>
    </row>
    <row r="149" customFormat="false" ht="15" hidden="false" customHeight="true" outlineLevel="0" collapsed="false">
      <c r="B149" s="15" t="str">
        <f aca="false">IF($C149="","",IFERROR(INDEX(MF_Master!$A:$A,MATCH($C149,MF_Master!$B:$B,0)),""))</f>
        <v/>
      </c>
      <c r="D149" s="15" t="str">
        <f aca="false">IF($C149="","",IFERROR(INDEX(MF_Master!$C:$C,MATCH($C149,MF_Master!$B:$B,0)),""))</f>
        <v/>
      </c>
      <c r="E149" s="29"/>
      <c r="F149" s="28"/>
      <c r="G149" s="28"/>
      <c r="H149" s="31" t="str">
        <f aca="false">IF(OR($F149="",$G149=""),"",$F149/$G149)</f>
        <v/>
      </c>
    </row>
    <row r="150" customFormat="false" ht="15" hidden="false" customHeight="true" outlineLevel="0" collapsed="false">
      <c r="B150" s="15" t="str">
        <f aca="false">IF($C150="","",IFERROR(INDEX(MF_Master!$A:$A,MATCH($C150,MF_Master!$B:$B,0)),""))</f>
        <v/>
      </c>
      <c r="D150" s="15" t="str">
        <f aca="false">IF($C150="","",IFERROR(INDEX(MF_Master!$C:$C,MATCH($C150,MF_Master!$B:$B,0)),""))</f>
        <v/>
      </c>
      <c r="E150" s="29"/>
      <c r="F150" s="28"/>
      <c r="G150" s="28"/>
      <c r="H150" s="31" t="str">
        <f aca="false">IF(OR($F150="",$G150=""),"",$F150/$G150)</f>
        <v/>
      </c>
    </row>
    <row r="151" customFormat="false" ht="15" hidden="false" customHeight="true" outlineLevel="0" collapsed="false">
      <c r="B151" s="15" t="str">
        <f aca="false">IF($C151="","",IFERROR(INDEX(MF_Master!$A:$A,MATCH($C151,MF_Master!$B:$B,0)),""))</f>
        <v/>
      </c>
      <c r="D151" s="15" t="str">
        <f aca="false">IF($C151="","",IFERROR(INDEX(MF_Master!$C:$C,MATCH($C151,MF_Master!$B:$B,0)),""))</f>
        <v/>
      </c>
      <c r="E151" s="29"/>
      <c r="F151" s="28"/>
      <c r="G151" s="28"/>
      <c r="H151" s="31" t="str">
        <f aca="false">IF(OR($F151="",$G151=""),"",$F151/$G151)</f>
        <v/>
      </c>
    </row>
    <row r="152" customFormat="false" ht="15" hidden="false" customHeight="true" outlineLevel="0" collapsed="false">
      <c r="B152" s="15" t="str">
        <f aca="false">IF($C152="","",IFERROR(INDEX(MF_Master!$A:$A,MATCH($C152,MF_Master!$B:$B,0)),""))</f>
        <v/>
      </c>
      <c r="D152" s="15" t="str">
        <f aca="false">IF($C152="","",IFERROR(INDEX(MF_Master!$C:$C,MATCH($C152,MF_Master!$B:$B,0)),""))</f>
        <v/>
      </c>
      <c r="E152" s="29"/>
      <c r="F152" s="28"/>
      <c r="G152" s="28"/>
      <c r="H152" s="31" t="str">
        <f aca="false">IF(OR($F152="",$G152=""),"",$F152/$G152)</f>
        <v/>
      </c>
    </row>
    <row r="153" customFormat="false" ht="15" hidden="false" customHeight="true" outlineLevel="0" collapsed="false">
      <c r="B153" s="15" t="str">
        <f aca="false">IF($C153="","",IFERROR(INDEX(MF_Master!$A:$A,MATCH($C153,MF_Master!$B:$B,0)),""))</f>
        <v/>
      </c>
      <c r="D153" s="15" t="str">
        <f aca="false">IF($C153="","",IFERROR(INDEX(MF_Master!$C:$C,MATCH($C153,MF_Master!$B:$B,0)),""))</f>
        <v/>
      </c>
      <c r="E153" s="29"/>
      <c r="F153" s="28"/>
      <c r="G153" s="28"/>
      <c r="H153" s="31" t="str">
        <f aca="false">IF(OR($F153="",$G153=""),"",$F153/$G153)</f>
        <v/>
      </c>
    </row>
    <row r="154" customFormat="false" ht="15" hidden="false" customHeight="true" outlineLevel="0" collapsed="false">
      <c r="B154" s="15" t="str">
        <f aca="false">IF($C154="","",IFERROR(INDEX(MF_Master!$A:$A,MATCH($C154,MF_Master!$B:$B,0)),""))</f>
        <v/>
      </c>
      <c r="D154" s="15" t="str">
        <f aca="false">IF($C154="","",IFERROR(INDEX(MF_Master!$C:$C,MATCH($C154,MF_Master!$B:$B,0)),""))</f>
        <v/>
      </c>
      <c r="E154" s="29"/>
      <c r="F154" s="28"/>
      <c r="G154" s="28"/>
      <c r="H154" s="31" t="str">
        <f aca="false">IF(OR($F154="",$G154=""),"",$F154/$G154)</f>
        <v/>
      </c>
    </row>
    <row r="155" customFormat="false" ht="15" hidden="false" customHeight="true" outlineLevel="0" collapsed="false">
      <c r="B155" s="15" t="str">
        <f aca="false">IF($C155="","",IFERROR(INDEX(MF_Master!$A:$A,MATCH($C155,MF_Master!$B:$B,0)),""))</f>
        <v/>
      </c>
      <c r="D155" s="15" t="str">
        <f aca="false">IF($C155="","",IFERROR(INDEX(MF_Master!$C:$C,MATCH($C155,MF_Master!$B:$B,0)),""))</f>
        <v/>
      </c>
      <c r="E155" s="29"/>
      <c r="F155" s="28"/>
      <c r="G155" s="28"/>
      <c r="H155" s="31" t="str">
        <f aca="false">IF(OR($F155="",$G155=""),"",$F155/$G155)</f>
        <v/>
      </c>
    </row>
    <row r="156" customFormat="false" ht="15" hidden="false" customHeight="true" outlineLevel="0" collapsed="false">
      <c r="B156" s="15" t="str">
        <f aca="false">IF($C156="","",IFERROR(INDEX(MF_Master!$A:$A,MATCH($C156,MF_Master!$B:$B,0)),""))</f>
        <v/>
      </c>
      <c r="D156" s="15" t="str">
        <f aca="false">IF($C156="","",IFERROR(INDEX(MF_Master!$C:$C,MATCH($C156,MF_Master!$B:$B,0)),""))</f>
        <v/>
      </c>
      <c r="E156" s="29"/>
      <c r="F156" s="28"/>
      <c r="G156" s="28"/>
      <c r="H156" s="31" t="str">
        <f aca="false">IF(OR($F156="",$G156=""),"",$F156/$G156)</f>
        <v/>
      </c>
    </row>
    <row r="157" customFormat="false" ht="15" hidden="false" customHeight="true" outlineLevel="0" collapsed="false">
      <c r="B157" s="15" t="str">
        <f aca="false">IF($C157="","",IFERROR(INDEX(MF_Master!$A:$A,MATCH($C157,MF_Master!$B:$B,0)),""))</f>
        <v/>
      </c>
      <c r="D157" s="15" t="str">
        <f aca="false">IF($C157="","",IFERROR(INDEX(MF_Master!$C:$C,MATCH($C157,MF_Master!$B:$B,0)),""))</f>
        <v/>
      </c>
      <c r="E157" s="29"/>
      <c r="F157" s="28"/>
      <c r="G157" s="28"/>
      <c r="H157" s="31" t="str">
        <f aca="false">IF(OR($F157="",$G157=""),"",$F157/$G157)</f>
        <v/>
      </c>
    </row>
    <row r="158" customFormat="false" ht="15" hidden="false" customHeight="true" outlineLevel="0" collapsed="false">
      <c r="B158" s="15" t="str">
        <f aca="false">IF($C158="","",IFERROR(INDEX(MF_Master!$A:$A,MATCH($C158,MF_Master!$B:$B,0)),""))</f>
        <v/>
      </c>
      <c r="D158" s="15" t="str">
        <f aca="false">IF($C158="","",IFERROR(INDEX(MF_Master!$C:$C,MATCH($C158,MF_Master!$B:$B,0)),""))</f>
        <v/>
      </c>
      <c r="E158" s="29"/>
      <c r="F158" s="28"/>
      <c r="G158" s="28"/>
      <c r="H158" s="31" t="str">
        <f aca="false">IF(OR($F158="",$G158=""),"",$F158/$G158)</f>
        <v/>
      </c>
    </row>
    <row r="159" customFormat="false" ht="15" hidden="false" customHeight="true" outlineLevel="0" collapsed="false">
      <c r="B159" s="15" t="str">
        <f aca="false">IF($C159="","",IFERROR(INDEX(MF_Master!$A:$A,MATCH($C159,MF_Master!$B:$B,0)),""))</f>
        <v/>
      </c>
      <c r="D159" s="15" t="str">
        <f aca="false">IF($C159="","",IFERROR(INDEX(MF_Master!$C:$C,MATCH($C159,MF_Master!$B:$B,0)),""))</f>
        <v/>
      </c>
      <c r="E159" s="29"/>
      <c r="F159" s="28"/>
      <c r="G159" s="28"/>
      <c r="H159" s="31" t="str">
        <f aca="false">IF(OR($F159="",$G159=""),"",$F159/$G159)</f>
        <v/>
      </c>
    </row>
    <row r="160" customFormat="false" ht="15" hidden="false" customHeight="true" outlineLevel="0" collapsed="false">
      <c r="B160" s="15" t="str">
        <f aca="false">IF($C160="","",IFERROR(INDEX(MF_Master!$A:$A,MATCH($C160,MF_Master!$B:$B,0)),""))</f>
        <v/>
      </c>
      <c r="D160" s="15" t="str">
        <f aca="false">IF($C160="","",IFERROR(INDEX(MF_Master!$C:$C,MATCH($C160,MF_Master!$B:$B,0)),""))</f>
        <v/>
      </c>
      <c r="E160" s="29"/>
      <c r="F160" s="28"/>
      <c r="G160" s="28"/>
      <c r="H160" s="31" t="str">
        <f aca="false">IF(OR($F160="",$G160=""),"",$F160/$G160)</f>
        <v/>
      </c>
    </row>
    <row r="161" customFormat="false" ht="15" hidden="false" customHeight="true" outlineLevel="0" collapsed="false">
      <c r="B161" s="15" t="str">
        <f aca="false">IF($C161="","",IFERROR(INDEX(MF_Master!$A:$A,MATCH($C161,MF_Master!$B:$B,0)),""))</f>
        <v/>
      </c>
      <c r="D161" s="15" t="str">
        <f aca="false">IF($C161="","",IFERROR(INDEX(MF_Master!$C:$C,MATCH($C161,MF_Master!$B:$B,0)),""))</f>
        <v/>
      </c>
      <c r="E161" s="29"/>
      <c r="F161" s="28"/>
      <c r="G161" s="28"/>
      <c r="H161" s="31" t="str">
        <f aca="false">IF(OR($F161="",$G161=""),"",$F161/$G161)</f>
        <v/>
      </c>
    </row>
    <row r="162" customFormat="false" ht="15" hidden="false" customHeight="true" outlineLevel="0" collapsed="false">
      <c r="B162" s="15" t="str">
        <f aca="false">IF($C162="","",IFERROR(INDEX(MF_Master!$A:$A,MATCH($C162,MF_Master!$B:$B,0)),""))</f>
        <v/>
      </c>
      <c r="D162" s="15" t="str">
        <f aca="false">IF($C162="","",IFERROR(INDEX(MF_Master!$C:$C,MATCH($C162,MF_Master!$B:$B,0)),""))</f>
        <v/>
      </c>
      <c r="E162" s="29"/>
      <c r="F162" s="28"/>
      <c r="G162" s="28"/>
      <c r="H162" s="31" t="str">
        <f aca="false">IF(OR($F162="",$G162=""),"",$F162/$G162)</f>
        <v/>
      </c>
    </row>
    <row r="163" customFormat="false" ht="15" hidden="false" customHeight="true" outlineLevel="0" collapsed="false">
      <c r="B163" s="15" t="str">
        <f aca="false">IF($C163="","",IFERROR(INDEX(MF_Master!$A:$A,MATCH($C163,MF_Master!$B:$B,0)),""))</f>
        <v/>
      </c>
      <c r="D163" s="15" t="str">
        <f aca="false">IF($C163="","",IFERROR(INDEX(MF_Master!$C:$C,MATCH($C163,MF_Master!$B:$B,0)),""))</f>
        <v/>
      </c>
      <c r="E163" s="29"/>
      <c r="F163" s="28"/>
      <c r="G163" s="28"/>
      <c r="H163" s="31" t="str">
        <f aca="false">IF(OR($F163="",$G163=""),"",$F163/$G163)</f>
        <v/>
      </c>
    </row>
    <row r="164" customFormat="false" ht="15" hidden="false" customHeight="true" outlineLevel="0" collapsed="false">
      <c r="B164" s="15" t="str">
        <f aca="false">IF($C164="","",IFERROR(INDEX(MF_Master!$A:$A,MATCH($C164,MF_Master!$B:$B,0)),""))</f>
        <v/>
      </c>
      <c r="D164" s="15" t="str">
        <f aca="false">IF($C164="","",IFERROR(INDEX(MF_Master!$C:$C,MATCH($C164,MF_Master!$B:$B,0)),""))</f>
        <v/>
      </c>
      <c r="E164" s="29"/>
      <c r="F164" s="28"/>
      <c r="G164" s="28"/>
      <c r="H164" s="31" t="str">
        <f aca="false">IF(OR($F164="",$G164=""),"",$F164/$G164)</f>
        <v/>
      </c>
    </row>
    <row r="165" customFormat="false" ht="15" hidden="false" customHeight="true" outlineLevel="0" collapsed="false">
      <c r="B165" s="15" t="str">
        <f aca="false">IF($C165="","",IFERROR(INDEX(MF_Master!$A:$A,MATCH($C165,MF_Master!$B:$B,0)),""))</f>
        <v/>
      </c>
      <c r="D165" s="15" t="str">
        <f aca="false">IF($C165="","",IFERROR(INDEX(MF_Master!$C:$C,MATCH($C165,MF_Master!$B:$B,0)),""))</f>
        <v/>
      </c>
      <c r="E165" s="29"/>
      <c r="F165" s="28"/>
      <c r="G165" s="28"/>
      <c r="H165" s="31" t="str">
        <f aca="false">IF(OR($F165="",$G165=""),"",$F165/$G165)</f>
        <v/>
      </c>
    </row>
    <row r="166" customFormat="false" ht="15" hidden="false" customHeight="true" outlineLevel="0" collapsed="false">
      <c r="B166" s="15" t="str">
        <f aca="false">IF($C166="","",IFERROR(INDEX(MF_Master!$A:$A,MATCH($C166,MF_Master!$B:$B,0)),""))</f>
        <v/>
      </c>
      <c r="D166" s="15" t="str">
        <f aca="false">IF($C166="","",IFERROR(INDEX(MF_Master!$C:$C,MATCH($C166,MF_Master!$B:$B,0)),""))</f>
        <v/>
      </c>
      <c r="E166" s="29"/>
      <c r="F166" s="28"/>
      <c r="G166" s="28"/>
      <c r="H166" s="31" t="str">
        <f aca="false">IF(OR($F166="",$G166=""),"",$F166/$G166)</f>
        <v/>
      </c>
    </row>
    <row r="167" customFormat="false" ht="15" hidden="false" customHeight="true" outlineLevel="0" collapsed="false">
      <c r="B167" s="15" t="str">
        <f aca="false">IF($C167="","",IFERROR(INDEX(MF_Master!$A:$A,MATCH($C167,MF_Master!$B:$B,0)),""))</f>
        <v/>
      </c>
      <c r="D167" s="15" t="str">
        <f aca="false">IF($C167="","",IFERROR(INDEX(MF_Master!$C:$C,MATCH($C167,MF_Master!$B:$B,0)),""))</f>
        <v/>
      </c>
      <c r="E167" s="29"/>
      <c r="F167" s="28"/>
      <c r="G167" s="28"/>
      <c r="H167" s="31" t="str">
        <f aca="false">IF(OR($F167="",$G167=""),"",$F167/$G167)</f>
        <v/>
      </c>
    </row>
    <row r="168" customFormat="false" ht="15" hidden="false" customHeight="true" outlineLevel="0" collapsed="false">
      <c r="B168" s="15" t="str">
        <f aca="false">IF($C168="","",IFERROR(INDEX(MF_Master!$A:$A,MATCH($C168,MF_Master!$B:$B,0)),""))</f>
        <v/>
      </c>
      <c r="D168" s="15" t="str">
        <f aca="false">IF($C168="","",IFERROR(INDEX(MF_Master!$C:$C,MATCH($C168,MF_Master!$B:$B,0)),""))</f>
        <v/>
      </c>
      <c r="E168" s="29"/>
      <c r="F168" s="28"/>
      <c r="G168" s="28"/>
      <c r="H168" s="31" t="str">
        <f aca="false">IF(OR($F168="",$G168=""),"",$F168/$G168)</f>
        <v/>
      </c>
    </row>
    <row r="169" customFormat="false" ht="15" hidden="false" customHeight="true" outlineLevel="0" collapsed="false">
      <c r="B169" s="15" t="str">
        <f aca="false">IF($C169="","",IFERROR(INDEX(MF_Master!$A:$A,MATCH($C169,MF_Master!$B:$B,0)),""))</f>
        <v/>
      </c>
      <c r="D169" s="15" t="str">
        <f aca="false">IF($C169="","",IFERROR(INDEX(MF_Master!$C:$C,MATCH($C169,MF_Master!$B:$B,0)),""))</f>
        <v/>
      </c>
      <c r="E169" s="29"/>
      <c r="F169" s="28"/>
      <c r="G169" s="28"/>
      <c r="H169" s="31" t="str">
        <f aca="false">IF(OR($F169="",$G169=""),"",$F169/$G169)</f>
        <v/>
      </c>
    </row>
    <row r="170" customFormat="false" ht="15" hidden="false" customHeight="true" outlineLevel="0" collapsed="false">
      <c r="B170" s="15" t="str">
        <f aca="false">IF($C170="","",IFERROR(INDEX(MF_Master!$A:$A,MATCH($C170,MF_Master!$B:$B,0)),""))</f>
        <v/>
      </c>
      <c r="D170" s="15" t="str">
        <f aca="false">IF($C170="","",IFERROR(INDEX(MF_Master!$C:$C,MATCH($C170,MF_Master!$B:$B,0)),""))</f>
        <v/>
      </c>
      <c r="E170" s="29"/>
      <c r="F170" s="28"/>
      <c r="G170" s="28"/>
      <c r="H170" s="31" t="str">
        <f aca="false">IF(OR($F170="",$G170=""),"",$F170/$G170)</f>
        <v/>
      </c>
    </row>
    <row r="171" customFormat="false" ht="15" hidden="false" customHeight="true" outlineLevel="0" collapsed="false">
      <c r="B171" s="15" t="str">
        <f aca="false">IF($C171="","",IFERROR(INDEX(MF_Master!$A:$A,MATCH($C171,MF_Master!$B:$B,0)),""))</f>
        <v/>
      </c>
      <c r="D171" s="15" t="str">
        <f aca="false">IF($C171="","",IFERROR(INDEX(MF_Master!$C:$C,MATCH($C171,MF_Master!$B:$B,0)),""))</f>
        <v/>
      </c>
      <c r="E171" s="29"/>
      <c r="F171" s="28"/>
      <c r="G171" s="28"/>
      <c r="H171" s="31" t="str">
        <f aca="false">IF(OR($F171="",$G171=""),"",$F171/$G171)</f>
        <v/>
      </c>
    </row>
    <row r="172" customFormat="false" ht="15" hidden="false" customHeight="true" outlineLevel="0" collapsed="false">
      <c r="B172" s="15" t="str">
        <f aca="false">IF($C172="","",IFERROR(INDEX(MF_Master!$A:$A,MATCH($C172,MF_Master!$B:$B,0)),""))</f>
        <v/>
      </c>
      <c r="D172" s="15" t="str">
        <f aca="false">IF($C172="","",IFERROR(INDEX(MF_Master!$C:$C,MATCH($C172,MF_Master!$B:$B,0)),""))</f>
        <v/>
      </c>
      <c r="E172" s="29"/>
      <c r="F172" s="28"/>
      <c r="G172" s="28"/>
      <c r="H172" s="31" t="str">
        <f aca="false">IF(OR($F172="",$G172=""),"",$F172/$G172)</f>
        <v/>
      </c>
    </row>
    <row r="173" customFormat="false" ht="15" hidden="false" customHeight="true" outlineLevel="0" collapsed="false">
      <c r="B173" s="15" t="str">
        <f aca="false">IF($C173="","",IFERROR(INDEX(MF_Master!$A:$A,MATCH($C173,MF_Master!$B:$B,0)),""))</f>
        <v/>
      </c>
      <c r="D173" s="15" t="str">
        <f aca="false">IF($C173="","",IFERROR(INDEX(MF_Master!$C:$C,MATCH($C173,MF_Master!$B:$B,0)),""))</f>
        <v/>
      </c>
      <c r="E173" s="29"/>
      <c r="F173" s="28"/>
      <c r="G173" s="28"/>
      <c r="H173" s="31" t="str">
        <f aca="false">IF(OR($F173="",$G173=""),"",$F173/$G173)</f>
        <v/>
      </c>
    </row>
    <row r="174" customFormat="false" ht="15" hidden="false" customHeight="true" outlineLevel="0" collapsed="false">
      <c r="B174" s="15" t="str">
        <f aca="false">IF($C174="","",IFERROR(INDEX(MF_Master!$A:$A,MATCH($C174,MF_Master!$B:$B,0)),""))</f>
        <v/>
      </c>
      <c r="D174" s="15" t="str">
        <f aca="false">IF($C174="","",IFERROR(INDEX(MF_Master!$C:$C,MATCH($C174,MF_Master!$B:$B,0)),""))</f>
        <v/>
      </c>
      <c r="E174" s="29"/>
      <c r="F174" s="28"/>
      <c r="G174" s="28"/>
      <c r="H174" s="31" t="str">
        <f aca="false">IF(OR($F174="",$G174=""),"",$F174/$G174)</f>
        <v/>
      </c>
    </row>
    <row r="175" customFormat="false" ht="15" hidden="false" customHeight="true" outlineLevel="0" collapsed="false">
      <c r="B175" s="15" t="str">
        <f aca="false">IF($C175="","",IFERROR(INDEX(MF_Master!$A:$A,MATCH($C175,MF_Master!$B:$B,0)),""))</f>
        <v/>
      </c>
      <c r="D175" s="15" t="str">
        <f aca="false">IF($C175="","",IFERROR(INDEX(MF_Master!$C:$C,MATCH($C175,MF_Master!$B:$B,0)),""))</f>
        <v/>
      </c>
      <c r="E175" s="29"/>
      <c r="F175" s="28"/>
      <c r="G175" s="28"/>
      <c r="H175" s="31" t="str">
        <f aca="false">IF(OR($F175="",$G175=""),"",$F175/$G175)</f>
        <v/>
      </c>
    </row>
    <row r="176" customFormat="false" ht="15" hidden="false" customHeight="true" outlineLevel="0" collapsed="false">
      <c r="B176" s="15" t="str">
        <f aca="false">IF($C176="","",IFERROR(INDEX(MF_Master!$A:$A,MATCH($C176,MF_Master!$B:$B,0)),""))</f>
        <v/>
      </c>
      <c r="D176" s="15" t="str">
        <f aca="false">IF($C176="","",IFERROR(INDEX(MF_Master!$C:$C,MATCH($C176,MF_Master!$B:$B,0)),""))</f>
        <v/>
      </c>
      <c r="E176" s="29"/>
      <c r="F176" s="28"/>
      <c r="G176" s="28"/>
      <c r="H176" s="31" t="str">
        <f aca="false">IF(OR($F176="",$G176=""),"",$F176/$G176)</f>
        <v/>
      </c>
    </row>
    <row r="177" customFormat="false" ht="15" hidden="false" customHeight="true" outlineLevel="0" collapsed="false">
      <c r="B177" s="15" t="str">
        <f aca="false">IF($C177="","",IFERROR(INDEX(MF_Master!$A:$A,MATCH($C177,MF_Master!$B:$B,0)),""))</f>
        <v/>
      </c>
      <c r="D177" s="15" t="str">
        <f aca="false">IF($C177="","",IFERROR(INDEX(MF_Master!$C:$C,MATCH($C177,MF_Master!$B:$B,0)),""))</f>
        <v/>
      </c>
      <c r="E177" s="29"/>
      <c r="F177" s="28"/>
      <c r="G177" s="28"/>
      <c r="H177" s="31" t="str">
        <f aca="false">IF(OR($F177="",$G177=""),"",$F177/$G177)</f>
        <v/>
      </c>
    </row>
    <row r="178" customFormat="false" ht="15" hidden="false" customHeight="true" outlineLevel="0" collapsed="false">
      <c r="B178" s="15" t="str">
        <f aca="false">IF($C178="","",IFERROR(INDEX(MF_Master!$A:$A,MATCH($C178,MF_Master!$B:$B,0)),""))</f>
        <v/>
      </c>
      <c r="D178" s="15" t="str">
        <f aca="false">IF($C178="","",IFERROR(INDEX(MF_Master!$C:$C,MATCH($C178,MF_Master!$B:$B,0)),""))</f>
        <v/>
      </c>
      <c r="E178" s="29"/>
      <c r="F178" s="28"/>
      <c r="G178" s="28"/>
      <c r="H178" s="31" t="str">
        <f aca="false">IF(OR($F178="",$G178=""),"",$F178/$G178)</f>
        <v/>
      </c>
    </row>
    <row r="179" customFormat="false" ht="15" hidden="false" customHeight="true" outlineLevel="0" collapsed="false">
      <c r="B179" s="15" t="str">
        <f aca="false">IF($C179="","",IFERROR(INDEX(MF_Master!$A:$A,MATCH($C179,MF_Master!$B:$B,0)),""))</f>
        <v/>
      </c>
      <c r="D179" s="15" t="str">
        <f aca="false">IF($C179="","",IFERROR(INDEX(MF_Master!$C:$C,MATCH($C179,MF_Master!$B:$B,0)),""))</f>
        <v/>
      </c>
      <c r="E179" s="29"/>
      <c r="F179" s="28"/>
      <c r="G179" s="28"/>
      <c r="H179" s="31" t="str">
        <f aca="false">IF(OR($F179="",$G179=""),"",$F179/$G179)</f>
        <v/>
      </c>
    </row>
    <row r="180" customFormat="false" ht="15" hidden="false" customHeight="true" outlineLevel="0" collapsed="false">
      <c r="B180" s="15" t="str">
        <f aca="false">IF($C180="","",IFERROR(INDEX(MF_Master!$A:$A,MATCH($C180,MF_Master!$B:$B,0)),""))</f>
        <v/>
      </c>
      <c r="D180" s="15" t="str">
        <f aca="false">IF($C180="","",IFERROR(INDEX(MF_Master!$C:$C,MATCH($C180,MF_Master!$B:$B,0)),""))</f>
        <v/>
      </c>
      <c r="E180" s="29"/>
      <c r="F180" s="28"/>
      <c r="G180" s="28"/>
      <c r="H180" s="31" t="str">
        <f aca="false">IF(OR($F180="",$G180=""),"",$F180/$G180)</f>
        <v/>
      </c>
    </row>
    <row r="181" customFormat="false" ht="15" hidden="false" customHeight="true" outlineLevel="0" collapsed="false">
      <c r="B181" s="15" t="str">
        <f aca="false">IF($C181="","",IFERROR(INDEX(MF_Master!$A:$A,MATCH($C181,MF_Master!$B:$B,0)),""))</f>
        <v/>
      </c>
      <c r="D181" s="15" t="str">
        <f aca="false">IF($C181="","",IFERROR(INDEX(MF_Master!$C:$C,MATCH($C181,MF_Master!$B:$B,0)),""))</f>
        <v/>
      </c>
      <c r="E181" s="29"/>
      <c r="F181" s="28"/>
      <c r="G181" s="28"/>
      <c r="H181" s="31" t="str">
        <f aca="false">IF(OR($F181="",$G181=""),"",$F181/$G181)</f>
        <v/>
      </c>
    </row>
    <row r="182" customFormat="false" ht="15" hidden="false" customHeight="true" outlineLevel="0" collapsed="false">
      <c r="B182" s="15" t="str">
        <f aca="false">IF($C182="","",IFERROR(INDEX(MF_Master!$A:$A,MATCH($C182,MF_Master!$B:$B,0)),""))</f>
        <v/>
      </c>
      <c r="D182" s="15" t="str">
        <f aca="false">IF($C182="","",IFERROR(INDEX(MF_Master!$C:$C,MATCH($C182,MF_Master!$B:$B,0)),""))</f>
        <v/>
      </c>
      <c r="E182" s="29"/>
      <c r="F182" s="28"/>
      <c r="G182" s="28"/>
      <c r="H182" s="31" t="str">
        <f aca="false">IF(OR($F182="",$G182=""),"",$F182/$G182)</f>
        <v/>
      </c>
    </row>
    <row r="183" customFormat="false" ht="15" hidden="false" customHeight="true" outlineLevel="0" collapsed="false">
      <c r="B183" s="15" t="str">
        <f aca="false">IF($C183="","",IFERROR(INDEX(MF_Master!$A:$A,MATCH($C183,MF_Master!$B:$B,0)),""))</f>
        <v/>
      </c>
      <c r="D183" s="15" t="str">
        <f aca="false">IF($C183="","",IFERROR(INDEX(MF_Master!$C:$C,MATCH($C183,MF_Master!$B:$B,0)),""))</f>
        <v/>
      </c>
      <c r="E183" s="29"/>
      <c r="F183" s="28"/>
      <c r="G183" s="28"/>
      <c r="H183" s="31" t="str">
        <f aca="false">IF(OR($F183="",$G183=""),"",$F183/$G183)</f>
        <v/>
      </c>
    </row>
    <row r="184" customFormat="false" ht="15" hidden="false" customHeight="true" outlineLevel="0" collapsed="false">
      <c r="B184" s="15" t="str">
        <f aca="false">IF($C184="","",IFERROR(INDEX(MF_Master!$A:$A,MATCH($C184,MF_Master!$B:$B,0)),""))</f>
        <v/>
      </c>
      <c r="D184" s="15" t="str">
        <f aca="false">IF($C184="","",IFERROR(INDEX(MF_Master!$C:$C,MATCH($C184,MF_Master!$B:$B,0)),""))</f>
        <v/>
      </c>
      <c r="E184" s="29"/>
      <c r="F184" s="28"/>
      <c r="G184" s="28"/>
      <c r="H184" s="31" t="str">
        <f aca="false">IF(OR($F184="",$G184=""),"",$F184/$G184)</f>
        <v/>
      </c>
    </row>
    <row r="185" customFormat="false" ht="15" hidden="false" customHeight="true" outlineLevel="0" collapsed="false">
      <c r="B185" s="15" t="str">
        <f aca="false">IF($C185="","",IFERROR(INDEX(MF_Master!$A:$A,MATCH($C185,MF_Master!$B:$B,0)),""))</f>
        <v/>
      </c>
      <c r="D185" s="15" t="str">
        <f aca="false">IF($C185="","",IFERROR(INDEX(MF_Master!$C:$C,MATCH($C185,MF_Master!$B:$B,0)),""))</f>
        <v/>
      </c>
      <c r="E185" s="29"/>
      <c r="F185" s="28"/>
      <c r="G185" s="28"/>
      <c r="H185" s="31" t="str">
        <f aca="false">IF(OR($F185="",$G185=""),"",$F185/$G185)</f>
        <v/>
      </c>
    </row>
    <row r="186" customFormat="false" ht="15" hidden="false" customHeight="true" outlineLevel="0" collapsed="false">
      <c r="B186" s="15" t="str">
        <f aca="false">IF($C186="","",IFERROR(INDEX(MF_Master!$A:$A,MATCH($C186,MF_Master!$B:$B,0)),""))</f>
        <v/>
      </c>
      <c r="D186" s="15" t="str">
        <f aca="false">IF($C186="","",IFERROR(INDEX(MF_Master!$C:$C,MATCH($C186,MF_Master!$B:$B,0)),""))</f>
        <v/>
      </c>
      <c r="E186" s="29"/>
      <c r="F186" s="28"/>
      <c r="G186" s="28"/>
      <c r="H186" s="31" t="str">
        <f aca="false">IF(OR($F186="",$G186=""),"",$F186/$G186)</f>
        <v/>
      </c>
    </row>
    <row r="187" customFormat="false" ht="15" hidden="false" customHeight="true" outlineLevel="0" collapsed="false">
      <c r="B187" s="15" t="str">
        <f aca="false">IF($C187="","",IFERROR(INDEX(MF_Master!$A:$A,MATCH($C187,MF_Master!$B:$B,0)),""))</f>
        <v/>
      </c>
      <c r="D187" s="15" t="str">
        <f aca="false">IF($C187="","",IFERROR(INDEX(MF_Master!$C:$C,MATCH($C187,MF_Master!$B:$B,0)),""))</f>
        <v/>
      </c>
      <c r="E187" s="29"/>
      <c r="F187" s="28"/>
      <c r="G187" s="28"/>
      <c r="H187" s="31" t="str">
        <f aca="false">IF(OR($F187="",$G187=""),"",$F187/$G187)</f>
        <v/>
      </c>
    </row>
    <row r="188" customFormat="false" ht="15" hidden="false" customHeight="true" outlineLevel="0" collapsed="false">
      <c r="B188" s="15" t="str">
        <f aca="false">IF($C188="","",IFERROR(INDEX(MF_Master!$A:$A,MATCH($C188,MF_Master!$B:$B,0)),""))</f>
        <v/>
      </c>
      <c r="D188" s="15" t="str">
        <f aca="false">IF($C188="","",IFERROR(INDEX(MF_Master!$C:$C,MATCH($C188,MF_Master!$B:$B,0)),""))</f>
        <v/>
      </c>
      <c r="E188" s="29"/>
      <c r="F188" s="28"/>
      <c r="G188" s="28"/>
      <c r="H188" s="31" t="str">
        <f aca="false">IF(OR($F188="",$G188=""),"",$F188/$G188)</f>
        <v/>
      </c>
    </row>
    <row r="189" customFormat="false" ht="15" hidden="false" customHeight="true" outlineLevel="0" collapsed="false">
      <c r="B189" s="15" t="str">
        <f aca="false">IF($C189="","",IFERROR(INDEX(MF_Master!$A:$A,MATCH($C189,MF_Master!$B:$B,0)),""))</f>
        <v/>
      </c>
      <c r="D189" s="15" t="str">
        <f aca="false">IF($C189="","",IFERROR(INDEX(MF_Master!$C:$C,MATCH($C189,MF_Master!$B:$B,0)),""))</f>
        <v/>
      </c>
      <c r="E189" s="29"/>
      <c r="F189" s="28"/>
      <c r="G189" s="28"/>
      <c r="H189" s="31" t="str">
        <f aca="false">IF(OR($F189="",$G189=""),"",$F189/$G189)</f>
        <v/>
      </c>
    </row>
    <row r="190" customFormat="false" ht="15" hidden="false" customHeight="true" outlineLevel="0" collapsed="false">
      <c r="B190" s="15" t="str">
        <f aca="false">IF($C190="","",IFERROR(INDEX(MF_Master!$A:$A,MATCH($C190,MF_Master!$B:$B,0)),""))</f>
        <v/>
      </c>
      <c r="D190" s="15" t="str">
        <f aca="false">IF($C190="","",IFERROR(INDEX(MF_Master!$C:$C,MATCH($C190,MF_Master!$B:$B,0)),""))</f>
        <v/>
      </c>
      <c r="E190" s="29"/>
      <c r="F190" s="28"/>
      <c r="G190" s="28"/>
      <c r="H190" s="31" t="str">
        <f aca="false">IF(OR($F190="",$G190=""),"",$F190/$G190)</f>
        <v/>
      </c>
    </row>
    <row r="191" customFormat="false" ht="15" hidden="false" customHeight="true" outlineLevel="0" collapsed="false">
      <c r="B191" s="15" t="str">
        <f aca="false">IF($C191="","",IFERROR(INDEX(MF_Master!$A:$A,MATCH($C191,MF_Master!$B:$B,0)),""))</f>
        <v/>
      </c>
      <c r="D191" s="15" t="str">
        <f aca="false">IF($C191="","",IFERROR(INDEX(MF_Master!$C:$C,MATCH($C191,MF_Master!$B:$B,0)),""))</f>
        <v/>
      </c>
      <c r="E191" s="29"/>
      <c r="F191" s="28"/>
      <c r="G191" s="28"/>
      <c r="H191" s="31" t="str">
        <f aca="false">IF(OR($F191="",$G191=""),"",$F191/$G191)</f>
        <v/>
      </c>
    </row>
    <row r="192" customFormat="false" ht="15" hidden="false" customHeight="true" outlineLevel="0" collapsed="false">
      <c r="B192" s="15" t="str">
        <f aca="false">IF($C192="","",IFERROR(INDEX(MF_Master!$A:$A,MATCH($C192,MF_Master!$B:$B,0)),""))</f>
        <v/>
      </c>
      <c r="D192" s="15" t="str">
        <f aca="false">IF($C192="","",IFERROR(INDEX(MF_Master!$C:$C,MATCH($C192,MF_Master!$B:$B,0)),""))</f>
        <v/>
      </c>
      <c r="E192" s="29"/>
      <c r="F192" s="28"/>
      <c r="G192" s="28"/>
      <c r="H192" s="31" t="str">
        <f aca="false">IF(OR($F192="",$G192=""),"",$F192/$G192)</f>
        <v/>
      </c>
    </row>
    <row r="193" customFormat="false" ht="15" hidden="false" customHeight="true" outlineLevel="0" collapsed="false">
      <c r="B193" s="15" t="str">
        <f aca="false">IF($C193="","",IFERROR(INDEX(MF_Master!$A:$A,MATCH($C193,MF_Master!$B:$B,0)),""))</f>
        <v/>
      </c>
      <c r="D193" s="15" t="str">
        <f aca="false">IF($C193="","",IFERROR(INDEX(MF_Master!$C:$C,MATCH($C193,MF_Master!$B:$B,0)),""))</f>
        <v/>
      </c>
      <c r="E193" s="29"/>
      <c r="F193" s="28"/>
      <c r="G193" s="28"/>
      <c r="H193" s="31" t="str">
        <f aca="false">IF(OR($F193="",$G193=""),"",$F193/$G193)</f>
        <v/>
      </c>
    </row>
    <row r="194" customFormat="false" ht="15" hidden="false" customHeight="true" outlineLevel="0" collapsed="false">
      <c r="B194" s="15" t="str">
        <f aca="false">IF($C194="","",IFERROR(INDEX(MF_Master!$A:$A,MATCH($C194,MF_Master!$B:$B,0)),""))</f>
        <v/>
      </c>
      <c r="D194" s="15" t="str">
        <f aca="false">IF($C194="","",IFERROR(INDEX(MF_Master!$C:$C,MATCH($C194,MF_Master!$B:$B,0)),""))</f>
        <v/>
      </c>
      <c r="E194" s="29"/>
      <c r="F194" s="28"/>
      <c r="G194" s="28"/>
      <c r="H194" s="31" t="str">
        <f aca="false">IF(OR($F194="",$G194=""),"",$F194/$G194)</f>
        <v/>
      </c>
    </row>
    <row r="195" customFormat="false" ht="15" hidden="false" customHeight="true" outlineLevel="0" collapsed="false">
      <c r="B195" s="15" t="str">
        <f aca="false">IF($C195="","",IFERROR(INDEX(MF_Master!$A:$A,MATCH($C195,MF_Master!$B:$B,0)),""))</f>
        <v/>
      </c>
      <c r="D195" s="15" t="str">
        <f aca="false">IF($C195="","",IFERROR(INDEX(MF_Master!$C:$C,MATCH($C195,MF_Master!$B:$B,0)),""))</f>
        <v/>
      </c>
      <c r="E195" s="29"/>
      <c r="F195" s="28"/>
      <c r="G195" s="28"/>
      <c r="H195" s="31" t="str">
        <f aca="false">IF(OR($F195="",$G195=""),"",$F195/$G195)</f>
        <v/>
      </c>
    </row>
    <row r="196" customFormat="false" ht="15" hidden="false" customHeight="true" outlineLevel="0" collapsed="false">
      <c r="B196" s="15" t="str">
        <f aca="false">IF($C196="","",IFERROR(INDEX(MF_Master!$A:$A,MATCH($C196,MF_Master!$B:$B,0)),""))</f>
        <v/>
      </c>
      <c r="D196" s="15" t="str">
        <f aca="false">IF($C196="","",IFERROR(INDEX(MF_Master!$C:$C,MATCH($C196,MF_Master!$B:$B,0)),""))</f>
        <v/>
      </c>
      <c r="E196" s="29"/>
      <c r="F196" s="28"/>
      <c r="G196" s="28"/>
      <c r="H196" s="31" t="str">
        <f aca="false">IF(OR($F196="",$G196=""),"",$F196/$G196)</f>
        <v/>
      </c>
    </row>
    <row r="197" customFormat="false" ht="15" hidden="false" customHeight="true" outlineLevel="0" collapsed="false">
      <c r="B197" s="15" t="str">
        <f aca="false">IF($C197="","",IFERROR(INDEX(MF_Master!$A:$A,MATCH($C197,MF_Master!$B:$B,0)),""))</f>
        <v/>
      </c>
      <c r="D197" s="15" t="str">
        <f aca="false">IF($C197="","",IFERROR(INDEX(MF_Master!$C:$C,MATCH($C197,MF_Master!$B:$B,0)),""))</f>
        <v/>
      </c>
      <c r="E197" s="29"/>
      <c r="F197" s="28"/>
      <c r="G197" s="28"/>
      <c r="H197" s="31" t="str">
        <f aca="false">IF(OR($F197="",$G197=""),"",$F197/$G197)</f>
        <v/>
      </c>
    </row>
    <row r="198" customFormat="false" ht="15" hidden="false" customHeight="true" outlineLevel="0" collapsed="false">
      <c r="B198" s="15" t="str">
        <f aca="false">IF($C198="","",IFERROR(INDEX(MF_Master!$A:$A,MATCH($C198,MF_Master!$B:$B,0)),""))</f>
        <v/>
      </c>
      <c r="D198" s="15" t="str">
        <f aca="false">IF($C198="","",IFERROR(INDEX(MF_Master!$C:$C,MATCH($C198,MF_Master!$B:$B,0)),""))</f>
        <v/>
      </c>
      <c r="E198" s="29"/>
      <c r="F198" s="28"/>
      <c r="G198" s="28"/>
      <c r="H198" s="31" t="str">
        <f aca="false">IF(OR($F198="",$G198=""),"",$F198/$G198)</f>
        <v/>
      </c>
    </row>
    <row r="199" customFormat="false" ht="15" hidden="false" customHeight="true" outlineLevel="0" collapsed="false">
      <c r="B199" s="15" t="str">
        <f aca="false">IF($C199="","",IFERROR(INDEX(MF_Master!$A:$A,MATCH($C199,MF_Master!$B:$B,0)),""))</f>
        <v/>
      </c>
      <c r="D199" s="15" t="str">
        <f aca="false">IF($C199="","",IFERROR(INDEX(MF_Master!$C:$C,MATCH($C199,MF_Master!$B:$B,0)),""))</f>
        <v/>
      </c>
      <c r="E199" s="29"/>
      <c r="F199" s="28"/>
      <c r="G199" s="28"/>
      <c r="H199" s="31" t="str">
        <f aca="false">IF(OR($F199="",$G199=""),"",$F199/$G199)</f>
        <v/>
      </c>
    </row>
    <row r="200" customFormat="false" ht="15" hidden="false" customHeight="true" outlineLevel="0" collapsed="false">
      <c r="B200" s="15" t="str">
        <f aca="false">IF($C200="","",IFERROR(INDEX(MF_Master!$A:$A,MATCH($C200,MF_Master!$B:$B,0)),""))</f>
        <v/>
      </c>
      <c r="D200" s="15" t="str">
        <f aca="false">IF($C200="","",IFERROR(INDEX(MF_Master!$C:$C,MATCH($C200,MF_Master!$B:$B,0)),""))</f>
        <v/>
      </c>
      <c r="E200" s="29"/>
      <c r="F200" s="28"/>
      <c r="G200" s="28"/>
      <c r="H200" s="31" t="str">
        <f aca="false">IF(OR($F200="",$G200=""),"",$F200/$G200)</f>
        <v/>
      </c>
    </row>
    <row r="201" customFormat="false" ht="15" hidden="false" customHeight="true" outlineLevel="0" collapsed="false">
      <c r="B201" s="15" t="str">
        <f aca="false">IF($C201="","",IFERROR(INDEX(MF_Master!$A:$A,MATCH($C201,MF_Master!$B:$B,0)),""))</f>
        <v/>
      </c>
      <c r="D201" s="15" t="str">
        <f aca="false">IF($C201="","",IFERROR(INDEX(MF_Master!$C:$C,MATCH($C201,MF_Master!$B:$B,0)),""))</f>
        <v/>
      </c>
      <c r="E201" s="29"/>
      <c r="F201" s="28"/>
      <c r="G201" s="28"/>
      <c r="H201" s="31" t="str">
        <f aca="false">IF(OR($F201="",$G201=""),"",$F201/$G201)</f>
        <v/>
      </c>
    </row>
    <row r="202" customFormat="false" ht="15" hidden="false" customHeight="true" outlineLevel="0" collapsed="false">
      <c r="B202" s="15" t="str">
        <f aca="false">IF($C202="","",IFERROR(INDEX(MF_Master!$A:$A,MATCH($C202,MF_Master!$B:$B,0)),""))</f>
        <v/>
      </c>
      <c r="D202" s="15" t="str">
        <f aca="false">IF($C202="","",IFERROR(INDEX(MF_Master!$C:$C,MATCH($C202,MF_Master!$B:$B,0)),""))</f>
        <v/>
      </c>
      <c r="E202" s="29"/>
      <c r="F202" s="28"/>
      <c r="G202" s="28"/>
      <c r="H202" s="31" t="str">
        <f aca="false">IF(OR($F202="",$G202=""),"",$F202/$G202)</f>
        <v/>
      </c>
    </row>
    <row r="203" customFormat="false" ht="15" hidden="false" customHeight="true" outlineLevel="0" collapsed="false">
      <c r="B203" s="15" t="str">
        <f aca="false">IF($C203="","",IFERROR(INDEX(MF_Master!$A:$A,MATCH($C203,MF_Master!$B:$B,0)),""))</f>
        <v/>
      </c>
      <c r="D203" s="15" t="str">
        <f aca="false">IF($C203="","",IFERROR(INDEX(MF_Master!$C:$C,MATCH($C203,MF_Master!$B:$B,0)),""))</f>
        <v/>
      </c>
      <c r="E203" s="29"/>
      <c r="F203" s="28"/>
      <c r="G203" s="28"/>
      <c r="H203" s="31" t="str">
        <f aca="false">IF(OR($F203="",$G203=""),"",$F203/$G203)</f>
        <v/>
      </c>
    </row>
    <row r="204" customFormat="false" ht="15" hidden="false" customHeight="true" outlineLevel="0" collapsed="false">
      <c r="B204" s="15" t="str">
        <f aca="false">IF($C204="","",IFERROR(INDEX(MF_Master!$A:$A,MATCH($C204,MF_Master!$B:$B,0)),""))</f>
        <v/>
      </c>
      <c r="D204" s="15" t="str">
        <f aca="false">IF($C204="","",IFERROR(INDEX(MF_Master!$C:$C,MATCH($C204,MF_Master!$B:$B,0)),""))</f>
        <v/>
      </c>
      <c r="E204" s="29"/>
      <c r="F204" s="28"/>
      <c r="G204" s="28"/>
      <c r="H204" s="31" t="str">
        <f aca="false">IF(OR($F204="",$G204=""),"",$F204/$G204)</f>
        <v/>
      </c>
    </row>
    <row r="205" customFormat="false" ht="15" hidden="false" customHeight="true" outlineLevel="0" collapsed="false">
      <c r="B205" s="15" t="str">
        <f aca="false">IF($C205="","",IFERROR(INDEX(MF_Master!$A:$A,MATCH($C205,MF_Master!$B:$B,0)),""))</f>
        <v/>
      </c>
      <c r="D205" s="15" t="str">
        <f aca="false">IF($C205="","",IFERROR(INDEX(MF_Master!$C:$C,MATCH($C205,MF_Master!$B:$B,0)),""))</f>
        <v/>
      </c>
      <c r="E205" s="29"/>
      <c r="F205" s="28"/>
      <c r="G205" s="28"/>
      <c r="H205" s="31" t="str">
        <f aca="false">IF(OR($F205="",$G205=""),"",$F205/$G205)</f>
        <v/>
      </c>
    </row>
    <row r="206" customFormat="false" ht="15" hidden="false" customHeight="true" outlineLevel="0" collapsed="false">
      <c r="B206" s="15" t="str">
        <f aca="false">IF($C206="","",IFERROR(INDEX(MF_Master!$A:$A,MATCH($C206,MF_Master!$B:$B,0)),""))</f>
        <v/>
      </c>
      <c r="D206" s="15" t="str">
        <f aca="false">IF($C206="","",IFERROR(INDEX(MF_Master!$C:$C,MATCH($C206,MF_Master!$B:$B,0)),""))</f>
        <v/>
      </c>
      <c r="E206" s="29"/>
      <c r="F206" s="28"/>
      <c r="G206" s="28"/>
      <c r="H206" s="31" t="str">
        <f aca="false">IF(OR($F206="",$G206=""),"",$F206/$G206)</f>
        <v/>
      </c>
    </row>
    <row r="207" customFormat="false" ht="15" hidden="false" customHeight="true" outlineLevel="0" collapsed="false">
      <c r="B207" s="15" t="str">
        <f aca="false">IF($C207="","",IFERROR(INDEX(MF_Master!$A:$A,MATCH($C207,MF_Master!$B:$B,0)),""))</f>
        <v/>
      </c>
      <c r="D207" s="15" t="str">
        <f aca="false">IF($C207="","",IFERROR(INDEX(MF_Master!$C:$C,MATCH($C207,MF_Master!$B:$B,0)),""))</f>
        <v/>
      </c>
      <c r="E207" s="29"/>
      <c r="F207" s="28"/>
      <c r="G207" s="28"/>
      <c r="H207" s="31" t="str">
        <f aca="false">IF(OR($F207="",$G207=""),"",$F207/$G207)</f>
        <v/>
      </c>
    </row>
    <row r="208" customFormat="false" ht="15" hidden="false" customHeight="true" outlineLevel="0" collapsed="false">
      <c r="B208" s="15" t="str">
        <f aca="false">IF($C208="","",IFERROR(INDEX(MF_Master!$A:$A,MATCH($C208,MF_Master!$B:$B,0)),""))</f>
        <v/>
      </c>
      <c r="D208" s="15" t="str">
        <f aca="false">IF($C208="","",IFERROR(INDEX(MF_Master!$C:$C,MATCH($C208,MF_Master!$B:$B,0)),""))</f>
        <v/>
      </c>
      <c r="E208" s="29"/>
      <c r="F208" s="28"/>
      <c r="G208" s="28"/>
      <c r="H208" s="31" t="str">
        <f aca="false">IF(OR($F208="",$G208=""),"",$F208/$G208)</f>
        <v/>
      </c>
    </row>
    <row r="209" customFormat="false" ht="15" hidden="false" customHeight="true" outlineLevel="0" collapsed="false">
      <c r="B209" s="15" t="str">
        <f aca="false">IF($C209="","",IFERROR(INDEX(MF_Master!$A:$A,MATCH($C209,MF_Master!$B:$B,0)),""))</f>
        <v/>
      </c>
      <c r="D209" s="15" t="str">
        <f aca="false">IF($C209="","",IFERROR(INDEX(MF_Master!$C:$C,MATCH($C209,MF_Master!$B:$B,0)),""))</f>
        <v/>
      </c>
      <c r="E209" s="29"/>
      <c r="F209" s="28"/>
      <c r="G209" s="28"/>
      <c r="H209" s="31" t="str">
        <f aca="false">IF(OR($F209="",$G209=""),"",$F209/$G209)</f>
        <v/>
      </c>
    </row>
    <row r="210" customFormat="false" ht="15" hidden="false" customHeight="true" outlineLevel="0" collapsed="false">
      <c r="B210" s="15" t="str">
        <f aca="false">IF($C210="","",IFERROR(INDEX(MF_Master!$A:$A,MATCH($C210,MF_Master!$B:$B,0)),""))</f>
        <v/>
      </c>
      <c r="D210" s="15" t="str">
        <f aca="false">IF($C210="","",IFERROR(INDEX(MF_Master!$C:$C,MATCH($C210,MF_Master!$B:$B,0)),""))</f>
        <v/>
      </c>
      <c r="E210" s="29"/>
      <c r="F210" s="28"/>
      <c r="G210" s="28"/>
      <c r="H210" s="31" t="str">
        <f aca="false">IF(OR($F210="",$G210=""),"",$F210/$G210)</f>
        <v/>
      </c>
    </row>
    <row r="211" customFormat="false" ht="15" hidden="false" customHeight="true" outlineLevel="0" collapsed="false">
      <c r="B211" s="15" t="str">
        <f aca="false">IF($C211="","",IFERROR(INDEX(MF_Master!$A:$A,MATCH($C211,MF_Master!$B:$B,0)),""))</f>
        <v/>
      </c>
      <c r="D211" s="15" t="str">
        <f aca="false">IF($C211="","",IFERROR(INDEX(MF_Master!$C:$C,MATCH($C211,MF_Master!$B:$B,0)),""))</f>
        <v/>
      </c>
      <c r="E211" s="29"/>
      <c r="F211" s="28"/>
      <c r="G211" s="28"/>
      <c r="H211" s="31" t="str">
        <f aca="false">IF(OR($F211="",$G211=""),"",$F211/$G211)</f>
        <v/>
      </c>
    </row>
    <row r="212" customFormat="false" ht="15" hidden="false" customHeight="true" outlineLevel="0" collapsed="false">
      <c r="B212" s="15" t="str">
        <f aca="false">IF($C212="","",IFERROR(INDEX(MF_Master!$A:$A,MATCH($C212,MF_Master!$B:$B,0)),""))</f>
        <v/>
      </c>
      <c r="D212" s="15" t="str">
        <f aca="false">IF($C212="","",IFERROR(INDEX(MF_Master!$C:$C,MATCH($C212,MF_Master!$B:$B,0)),""))</f>
        <v/>
      </c>
      <c r="E212" s="29"/>
      <c r="F212" s="28"/>
      <c r="G212" s="28"/>
      <c r="H212" s="31" t="str">
        <f aca="false">IF(OR($F212="",$G212=""),"",$F212/$G212)</f>
        <v/>
      </c>
    </row>
    <row r="213" customFormat="false" ht="15" hidden="false" customHeight="true" outlineLevel="0" collapsed="false">
      <c r="B213" s="15" t="str">
        <f aca="false">IF($C213="","",IFERROR(INDEX(MF_Master!$A:$A,MATCH($C213,MF_Master!$B:$B,0)),""))</f>
        <v/>
      </c>
      <c r="D213" s="15" t="str">
        <f aca="false">IF($C213="","",IFERROR(INDEX(MF_Master!$C:$C,MATCH($C213,MF_Master!$B:$B,0)),""))</f>
        <v/>
      </c>
      <c r="E213" s="29"/>
      <c r="F213" s="28"/>
      <c r="G213" s="28"/>
      <c r="H213" s="31" t="str">
        <f aca="false">IF(OR($F213="",$G213=""),"",$F213/$G213)</f>
        <v/>
      </c>
    </row>
    <row r="214" customFormat="false" ht="15" hidden="false" customHeight="true" outlineLevel="0" collapsed="false">
      <c r="B214" s="15" t="str">
        <f aca="false">IF($C214="","",IFERROR(INDEX(MF_Master!$A:$A,MATCH($C214,MF_Master!$B:$B,0)),""))</f>
        <v/>
      </c>
      <c r="D214" s="15" t="str">
        <f aca="false">IF($C214="","",IFERROR(INDEX(MF_Master!$C:$C,MATCH($C214,MF_Master!$B:$B,0)),""))</f>
        <v/>
      </c>
      <c r="E214" s="29"/>
      <c r="F214" s="28"/>
      <c r="G214" s="28"/>
      <c r="H214" s="31" t="str">
        <f aca="false">IF(OR($F214="",$G214=""),"",$F214/$G214)</f>
        <v/>
      </c>
    </row>
    <row r="215" customFormat="false" ht="15" hidden="false" customHeight="true" outlineLevel="0" collapsed="false">
      <c r="B215" s="15" t="str">
        <f aca="false">IF($C215="","",IFERROR(INDEX(MF_Master!$A:$A,MATCH($C215,MF_Master!$B:$B,0)),""))</f>
        <v/>
      </c>
      <c r="D215" s="15" t="str">
        <f aca="false">IF($C215="","",IFERROR(INDEX(MF_Master!$C:$C,MATCH($C215,MF_Master!$B:$B,0)),""))</f>
        <v/>
      </c>
      <c r="E215" s="29"/>
      <c r="F215" s="28"/>
      <c r="G215" s="28"/>
      <c r="H215" s="31" t="str">
        <f aca="false">IF(OR($F215="",$G215=""),"",$F215/$G215)</f>
        <v/>
      </c>
    </row>
    <row r="216" customFormat="false" ht="15" hidden="false" customHeight="true" outlineLevel="0" collapsed="false">
      <c r="B216" s="15" t="str">
        <f aca="false">IF($C216="","",IFERROR(INDEX(MF_Master!$A:$A,MATCH($C216,MF_Master!$B:$B,0)),""))</f>
        <v/>
      </c>
      <c r="D216" s="15" t="str">
        <f aca="false">IF($C216="","",IFERROR(INDEX(MF_Master!$C:$C,MATCH($C216,MF_Master!$B:$B,0)),""))</f>
        <v/>
      </c>
      <c r="E216" s="29"/>
      <c r="F216" s="28"/>
      <c r="G216" s="28"/>
      <c r="H216" s="31" t="str">
        <f aca="false">IF(OR($F216="",$G216=""),"",$F216/$G216)</f>
        <v/>
      </c>
    </row>
    <row r="217" customFormat="false" ht="15" hidden="false" customHeight="true" outlineLevel="0" collapsed="false">
      <c r="B217" s="15" t="str">
        <f aca="false">IF($C217="","",IFERROR(INDEX(MF_Master!$A:$A,MATCH($C217,MF_Master!$B:$B,0)),""))</f>
        <v/>
      </c>
      <c r="D217" s="15" t="str">
        <f aca="false">IF($C217="","",IFERROR(INDEX(MF_Master!$C:$C,MATCH($C217,MF_Master!$B:$B,0)),""))</f>
        <v/>
      </c>
      <c r="E217" s="29"/>
      <c r="F217" s="28"/>
      <c r="G217" s="28"/>
      <c r="H217" s="31" t="str">
        <f aca="false">IF(OR($F217="",$G217=""),"",$F217/$G217)</f>
        <v/>
      </c>
    </row>
    <row r="218" customFormat="false" ht="15" hidden="false" customHeight="true" outlineLevel="0" collapsed="false">
      <c r="B218" s="15" t="str">
        <f aca="false">IF($C218="","",IFERROR(INDEX(MF_Master!$A:$A,MATCH($C218,MF_Master!$B:$B,0)),""))</f>
        <v/>
      </c>
      <c r="D218" s="15" t="str">
        <f aca="false">IF($C218="","",IFERROR(INDEX(MF_Master!$C:$C,MATCH($C218,MF_Master!$B:$B,0)),""))</f>
        <v/>
      </c>
      <c r="E218" s="29"/>
      <c r="F218" s="28"/>
      <c r="G218" s="28"/>
      <c r="H218" s="31" t="str">
        <f aca="false">IF(OR($F218="",$G218=""),"",$F218/$G218)</f>
        <v/>
      </c>
    </row>
    <row r="219" customFormat="false" ht="15" hidden="false" customHeight="true" outlineLevel="0" collapsed="false">
      <c r="B219" s="15" t="str">
        <f aca="false">IF($C219="","",IFERROR(INDEX(MF_Master!$A:$A,MATCH($C219,MF_Master!$B:$B,0)),""))</f>
        <v/>
      </c>
      <c r="D219" s="15" t="str">
        <f aca="false">IF($C219="","",IFERROR(INDEX(MF_Master!$C:$C,MATCH($C219,MF_Master!$B:$B,0)),""))</f>
        <v/>
      </c>
      <c r="E219" s="29"/>
      <c r="F219" s="28"/>
      <c r="G219" s="28"/>
      <c r="H219" s="31" t="str">
        <f aca="false">IF(OR($F219="",$G219=""),"",$F219/$G219)</f>
        <v/>
      </c>
    </row>
    <row r="220" customFormat="false" ht="15" hidden="false" customHeight="true" outlineLevel="0" collapsed="false">
      <c r="B220" s="15" t="str">
        <f aca="false">IF($C220="","",IFERROR(INDEX(MF_Master!$A:$A,MATCH($C220,MF_Master!$B:$B,0)),""))</f>
        <v/>
      </c>
      <c r="D220" s="15" t="str">
        <f aca="false">IF($C220="","",IFERROR(INDEX(MF_Master!$C:$C,MATCH($C220,MF_Master!$B:$B,0)),""))</f>
        <v/>
      </c>
      <c r="E220" s="29"/>
      <c r="F220" s="28"/>
      <c r="G220" s="28"/>
      <c r="H220" s="31" t="str">
        <f aca="false">IF(OR($F220="",$G220=""),"",$F220/$G220)</f>
        <v/>
      </c>
    </row>
    <row r="221" customFormat="false" ht="15" hidden="false" customHeight="true" outlineLevel="0" collapsed="false">
      <c r="B221" s="15" t="str">
        <f aca="false">IF($C221="","",IFERROR(INDEX(MF_Master!$A:$A,MATCH($C221,MF_Master!$B:$B,0)),""))</f>
        <v/>
      </c>
      <c r="D221" s="15" t="str">
        <f aca="false">IF($C221="","",IFERROR(INDEX(MF_Master!$C:$C,MATCH($C221,MF_Master!$B:$B,0)),""))</f>
        <v/>
      </c>
      <c r="E221" s="29"/>
      <c r="F221" s="28"/>
      <c r="G221" s="28"/>
      <c r="H221" s="31" t="str">
        <f aca="false">IF(OR($F221="",$G221=""),"",$F221/$G221)</f>
        <v/>
      </c>
    </row>
    <row r="222" customFormat="false" ht="15" hidden="false" customHeight="true" outlineLevel="0" collapsed="false">
      <c r="B222" s="15" t="str">
        <f aca="false">IF($C222="","",IFERROR(INDEX(MF_Master!$A:$A,MATCH($C222,MF_Master!$B:$B,0)),""))</f>
        <v/>
      </c>
      <c r="D222" s="15" t="str">
        <f aca="false">IF($C222="","",IFERROR(INDEX(MF_Master!$C:$C,MATCH($C222,MF_Master!$B:$B,0)),""))</f>
        <v/>
      </c>
      <c r="E222" s="29"/>
      <c r="F222" s="28"/>
      <c r="G222" s="28"/>
      <c r="H222" s="31" t="str">
        <f aca="false">IF(OR($F222="",$G222=""),"",$F222/$G222)</f>
        <v/>
      </c>
    </row>
    <row r="223" customFormat="false" ht="15" hidden="false" customHeight="true" outlineLevel="0" collapsed="false">
      <c r="B223" s="15" t="str">
        <f aca="false">IF($C223="","",IFERROR(INDEX(MF_Master!$A:$A,MATCH($C223,MF_Master!$B:$B,0)),""))</f>
        <v/>
      </c>
      <c r="D223" s="15" t="str">
        <f aca="false">IF($C223="","",IFERROR(INDEX(MF_Master!$C:$C,MATCH($C223,MF_Master!$B:$B,0)),""))</f>
        <v/>
      </c>
      <c r="E223" s="29"/>
      <c r="F223" s="28"/>
      <c r="G223" s="28"/>
      <c r="H223" s="31" t="str">
        <f aca="false">IF(OR($F223="",$G223=""),"",$F223/$G223)</f>
        <v/>
      </c>
    </row>
    <row r="224" customFormat="false" ht="15" hidden="false" customHeight="true" outlineLevel="0" collapsed="false">
      <c r="B224" s="15" t="str">
        <f aca="false">IF($C224="","",IFERROR(INDEX(MF_Master!$A:$A,MATCH($C224,MF_Master!$B:$B,0)),""))</f>
        <v/>
      </c>
      <c r="D224" s="15" t="str">
        <f aca="false">IF($C224="","",IFERROR(INDEX(MF_Master!$C:$C,MATCH($C224,MF_Master!$B:$B,0)),""))</f>
        <v/>
      </c>
      <c r="E224" s="29"/>
      <c r="F224" s="28"/>
      <c r="G224" s="28"/>
      <c r="H224" s="31" t="str">
        <f aca="false">IF(OR($F224="",$G224=""),"",$F224/$G224)</f>
        <v/>
      </c>
    </row>
    <row r="225" customFormat="false" ht="15" hidden="false" customHeight="true" outlineLevel="0" collapsed="false">
      <c r="B225" s="15" t="str">
        <f aca="false">IF($C225="","",IFERROR(INDEX(MF_Master!$A:$A,MATCH($C225,MF_Master!$B:$B,0)),""))</f>
        <v/>
      </c>
      <c r="D225" s="15" t="str">
        <f aca="false">IF($C225="","",IFERROR(INDEX(MF_Master!$C:$C,MATCH($C225,MF_Master!$B:$B,0)),""))</f>
        <v/>
      </c>
      <c r="E225" s="29"/>
      <c r="F225" s="28"/>
      <c r="G225" s="28"/>
      <c r="H225" s="31" t="str">
        <f aca="false">IF(OR($F225="",$G225=""),"",$F225/$G225)</f>
        <v/>
      </c>
    </row>
    <row r="226" customFormat="false" ht="15" hidden="false" customHeight="true" outlineLevel="0" collapsed="false">
      <c r="B226" s="15" t="str">
        <f aca="false">IF($C226="","",IFERROR(INDEX(MF_Master!$A:$A,MATCH($C226,MF_Master!$B:$B,0)),""))</f>
        <v/>
      </c>
      <c r="D226" s="15" t="str">
        <f aca="false">IF($C226="","",IFERROR(INDEX(MF_Master!$C:$C,MATCH($C226,MF_Master!$B:$B,0)),""))</f>
        <v/>
      </c>
      <c r="E226" s="29"/>
      <c r="F226" s="28"/>
      <c r="G226" s="28"/>
      <c r="H226" s="31" t="str">
        <f aca="false">IF(OR($F226="",$G226=""),"",$F226/$G226)</f>
        <v/>
      </c>
    </row>
    <row r="227" customFormat="false" ht="15" hidden="false" customHeight="true" outlineLevel="0" collapsed="false">
      <c r="B227" s="15" t="str">
        <f aca="false">IF($C227="","",IFERROR(INDEX(MF_Master!$A:$A,MATCH($C227,MF_Master!$B:$B,0)),""))</f>
        <v/>
      </c>
      <c r="D227" s="15" t="str">
        <f aca="false">IF($C227="","",IFERROR(INDEX(MF_Master!$C:$C,MATCH($C227,MF_Master!$B:$B,0)),""))</f>
        <v/>
      </c>
      <c r="E227" s="29"/>
      <c r="F227" s="28"/>
      <c r="G227" s="28"/>
      <c r="H227" s="31" t="str">
        <f aca="false">IF(OR($F227="",$G227=""),"",$F227/$G227)</f>
        <v/>
      </c>
    </row>
    <row r="228" customFormat="false" ht="15" hidden="false" customHeight="true" outlineLevel="0" collapsed="false">
      <c r="B228" s="15" t="str">
        <f aca="false">IF($C228="","",IFERROR(INDEX(MF_Master!$A:$A,MATCH($C228,MF_Master!$B:$B,0)),""))</f>
        <v/>
      </c>
      <c r="D228" s="15" t="str">
        <f aca="false">IF($C228="","",IFERROR(INDEX(MF_Master!$C:$C,MATCH($C228,MF_Master!$B:$B,0)),""))</f>
        <v/>
      </c>
      <c r="E228" s="29"/>
      <c r="F228" s="28"/>
      <c r="G228" s="28"/>
      <c r="H228" s="31" t="str">
        <f aca="false">IF(OR($F228="",$G228=""),"",$F228/$G228)</f>
        <v/>
      </c>
    </row>
    <row r="229" customFormat="false" ht="15" hidden="false" customHeight="true" outlineLevel="0" collapsed="false">
      <c r="B229" s="15" t="str">
        <f aca="false">IF($C229="","",IFERROR(INDEX(MF_Master!$A:$A,MATCH($C229,MF_Master!$B:$B,0)),""))</f>
        <v/>
      </c>
      <c r="D229" s="15" t="str">
        <f aca="false">IF($C229="","",IFERROR(INDEX(MF_Master!$C:$C,MATCH($C229,MF_Master!$B:$B,0)),""))</f>
        <v/>
      </c>
      <c r="E229" s="29"/>
      <c r="F229" s="28"/>
      <c r="G229" s="28"/>
      <c r="H229" s="31" t="str">
        <f aca="false">IF(OR($F229="",$G229=""),"",$F229/$G229)</f>
        <v/>
      </c>
    </row>
    <row r="230" customFormat="false" ht="15" hidden="false" customHeight="true" outlineLevel="0" collapsed="false">
      <c r="B230" s="15" t="str">
        <f aca="false">IF($C230="","",IFERROR(INDEX(MF_Master!$A:$A,MATCH($C230,MF_Master!$B:$B,0)),""))</f>
        <v/>
      </c>
      <c r="D230" s="15" t="str">
        <f aca="false">IF($C230="","",IFERROR(INDEX(MF_Master!$C:$C,MATCH($C230,MF_Master!$B:$B,0)),""))</f>
        <v/>
      </c>
      <c r="E230" s="29"/>
      <c r="F230" s="28"/>
      <c r="G230" s="28"/>
      <c r="H230" s="31" t="str">
        <f aca="false">IF(OR($F230="",$G230=""),"",$F230/$G230)</f>
        <v/>
      </c>
    </row>
    <row r="231" customFormat="false" ht="15" hidden="false" customHeight="true" outlineLevel="0" collapsed="false">
      <c r="B231" s="15" t="str">
        <f aca="false">IF($C231="","",IFERROR(INDEX(MF_Master!$A:$A,MATCH($C231,MF_Master!$B:$B,0)),""))</f>
        <v/>
      </c>
      <c r="D231" s="15" t="str">
        <f aca="false">IF($C231="","",IFERROR(INDEX(MF_Master!$C:$C,MATCH($C231,MF_Master!$B:$B,0)),""))</f>
        <v/>
      </c>
      <c r="E231" s="29"/>
      <c r="F231" s="28"/>
      <c r="G231" s="28"/>
      <c r="H231" s="31" t="str">
        <f aca="false">IF(OR($F231="",$G231=""),"",$F231/$G231)</f>
        <v/>
      </c>
    </row>
    <row r="232" customFormat="false" ht="15" hidden="false" customHeight="true" outlineLevel="0" collapsed="false">
      <c r="B232" s="15" t="str">
        <f aca="false">IF($C232="","",IFERROR(INDEX(MF_Master!$A:$A,MATCH($C232,MF_Master!$B:$B,0)),""))</f>
        <v/>
      </c>
      <c r="D232" s="15" t="str">
        <f aca="false">IF($C232="","",IFERROR(INDEX(MF_Master!$C:$C,MATCH($C232,MF_Master!$B:$B,0)),""))</f>
        <v/>
      </c>
      <c r="E232" s="29"/>
      <c r="F232" s="28"/>
      <c r="G232" s="28"/>
      <c r="H232" s="31" t="str">
        <f aca="false">IF(OR($F232="",$G232=""),"",$F232/$G232)</f>
        <v/>
      </c>
    </row>
    <row r="233" customFormat="false" ht="15" hidden="false" customHeight="true" outlineLevel="0" collapsed="false">
      <c r="B233" s="15" t="str">
        <f aca="false">IF($C233="","",IFERROR(INDEX(MF_Master!$A:$A,MATCH($C233,MF_Master!$B:$B,0)),""))</f>
        <v/>
      </c>
      <c r="D233" s="15" t="str">
        <f aca="false">IF($C233="","",IFERROR(INDEX(MF_Master!$C:$C,MATCH($C233,MF_Master!$B:$B,0)),""))</f>
        <v/>
      </c>
      <c r="E233" s="29"/>
      <c r="F233" s="28"/>
      <c r="G233" s="28"/>
      <c r="H233" s="31" t="str">
        <f aca="false">IF(OR($F233="",$G233=""),"",$F233/$G233)</f>
        <v/>
      </c>
    </row>
    <row r="234" customFormat="false" ht="15" hidden="false" customHeight="true" outlineLevel="0" collapsed="false">
      <c r="B234" s="15" t="str">
        <f aca="false">IF($C234="","",IFERROR(INDEX(MF_Master!$A:$A,MATCH($C234,MF_Master!$B:$B,0)),""))</f>
        <v/>
      </c>
      <c r="D234" s="15" t="str">
        <f aca="false">IF($C234="","",IFERROR(INDEX(MF_Master!$C:$C,MATCH($C234,MF_Master!$B:$B,0)),""))</f>
        <v/>
      </c>
      <c r="E234" s="29"/>
      <c r="F234" s="28"/>
      <c r="G234" s="28"/>
      <c r="H234" s="31" t="str">
        <f aca="false">IF(OR($F234="",$G234=""),"",$F234/$G234)</f>
        <v/>
      </c>
    </row>
    <row r="235" customFormat="false" ht="15" hidden="false" customHeight="true" outlineLevel="0" collapsed="false">
      <c r="B235" s="15" t="str">
        <f aca="false">IF($C235="","",IFERROR(INDEX(MF_Master!$A:$A,MATCH($C235,MF_Master!$B:$B,0)),""))</f>
        <v/>
      </c>
      <c r="D235" s="15" t="str">
        <f aca="false">IF($C235="","",IFERROR(INDEX(MF_Master!$C:$C,MATCH($C235,MF_Master!$B:$B,0)),""))</f>
        <v/>
      </c>
      <c r="E235" s="29"/>
      <c r="F235" s="28"/>
      <c r="G235" s="28"/>
      <c r="H235" s="31" t="str">
        <f aca="false">IF(OR($F235="",$G235=""),"",$F235/$G235)</f>
        <v/>
      </c>
    </row>
    <row r="236" customFormat="false" ht="15" hidden="false" customHeight="true" outlineLevel="0" collapsed="false">
      <c r="B236" s="15" t="str">
        <f aca="false">IF($C236="","",IFERROR(INDEX(MF_Master!$A:$A,MATCH($C236,MF_Master!$B:$B,0)),""))</f>
        <v/>
      </c>
      <c r="D236" s="15" t="str">
        <f aca="false">IF($C236="","",IFERROR(INDEX(MF_Master!$C:$C,MATCH($C236,MF_Master!$B:$B,0)),""))</f>
        <v/>
      </c>
      <c r="E236" s="29"/>
      <c r="F236" s="28"/>
      <c r="G236" s="28"/>
      <c r="H236" s="31" t="str">
        <f aca="false">IF(OR($F236="",$G236=""),"",$F236/$G236)</f>
        <v/>
      </c>
    </row>
    <row r="237" customFormat="false" ht="15" hidden="false" customHeight="true" outlineLevel="0" collapsed="false">
      <c r="B237" s="15" t="str">
        <f aca="false">IF($C237="","",IFERROR(INDEX(MF_Master!$A:$A,MATCH($C237,MF_Master!$B:$B,0)),""))</f>
        <v/>
      </c>
      <c r="D237" s="15" t="str">
        <f aca="false">IF($C237="","",IFERROR(INDEX(MF_Master!$C:$C,MATCH($C237,MF_Master!$B:$B,0)),""))</f>
        <v/>
      </c>
      <c r="E237" s="29"/>
      <c r="F237" s="28"/>
      <c r="G237" s="28"/>
      <c r="H237" s="31" t="str">
        <f aca="false">IF(OR($F237="",$G237=""),"",$F237/$G237)</f>
        <v/>
      </c>
    </row>
    <row r="238" customFormat="false" ht="15" hidden="false" customHeight="true" outlineLevel="0" collapsed="false">
      <c r="B238" s="15" t="str">
        <f aca="false">IF($C238="","",IFERROR(INDEX(MF_Master!$A:$A,MATCH($C238,MF_Master!$B:$B,0)),""))</f>
        <v/>
      </c>
      <c r="D238" s="15" t="str">
        <f aca="false">IF($C238="","",IFERROR(INDEX(MF_Master!$C:$C,MATCH($C238,MF_Master!$B:$B,0)),""))</f>
        <v/>
      </c>
      <c r="E238" s="29"/>
      <c r="F238" s="28"/>
      <c r="G238" s="28"/>
      <c r="H238" s="31" t="str">
        <f aca="false">IF(OR($F238="",$G238=""),"",$F238/$G238)</f>
        <v/>
      </c>
    </row>
    <row r="239" customFormat="false" ht="15" hidden="false" customHeight="true" outlineLevel="0" collapsed="false">
      <c r="B239" s="15" t="str">
        <f aca="false">IF($C239="","",IFERROR(INDEX(MF_Master!$A:$A,MATCH($C239,MF_Master!$B:$B,0)),""))</f>
        <v/>
      </c>
      <c r="D239" s="15" t="str">
        <f aca="false">IF($C239="","",IFERROR(INDEX(MF_Master!$C:$C,MATCH($C239,MF_Master!$B:$B,0)),""))</f>
        <v/>
      </c>
      <c r="E239" s="29"/>
      <c r="F239" s="28"/>
      <c r="G239" s="28"/>
      <c r="H239" s="31" t="str">
        <f aca="false">IF(OR($F239="",$G239=""),"",$F239/$G239)</f>
        <v/>
      </c>
    </row>
    <row r="240" customFormat="false" ht="15" hidden="false" customHeight="true" outlineLevel="0" collapsed="false">
      <c r="B240" s="15" t="str">
        <f aca="false">IF($C240="","",IFERROR(INDEX(MF_Master!$A:$A,MATCH($C240,MF_Master!$B:$B,0)),""))</f>
        <v/>
      </c>
      <c r="D240" s="15" t="str">
        <f aca="false">IF($C240="","",IFERROR(INDEX(MF_Master!$C:$C,MATCH($C240,MF_Master!$B:$B,0)),""))</f>
        <v/>
      </c>
      <c r="E240" s="29"/>
      <c r="F240" s="28"/>
      <c r="G240" s="28"/>
      <c r="H240" s="31" t="str">
        <f aca="false">IF(OR($F240="",$G240=""),"",$F240/$G240)</f>
        <v/>
      </c>
    </row>
    <row r="241" customFormat="false" ht="15" hidden="false" customHeight="true" outlineLevel="0" collapsed="false">
      <c r="B241" s="15" t="str">
        <f aca="false">IF($C241="","",IFERROR(INDEX(MF_Master!$A:$A,MATCH($C241,MF_Master!$B:$B,0)),""))</f>
        <v/>
      </c>
      <c r="D241" s="15" t="str">
        <f aca="false">IF($C241="","",IFERROR(INDEX(MF_Master!$C:$C,MATCH($C241,MF_Master!$B:$B,0)),""))</f>
        <v/>
      </c>
      <c r="E241" s="29"/>
      <c r="F241" s="28"/>
      <c r="G241" s="28"/>
      <c r="H241" s="31" t="str">
        <f aca="false">IF(OR($F241="",$G241=""),"",$F241/$G241)</f>
        <v/>
      </c>
    </row>
    <row r="242" customFormat="false" ht="15" hidden="false" customHeight="true" outlineLevel="0" collapsed="false">
      <c r="B242" s="15" t="str">
        <f aca="false">IF($C242="","",IFERROR(INDEX(MF_Master!$A:$A,MATCH($C242,MF_Master!$B:$B,0)),""))</f>
        <v/>
      </c>
      <c r="D242" s="15" t="str">
        <f aca="false">IF($C242="","",IFERROR(INDEX(MF_Master!$C:$C,MATCH($C242,MF_Master!$B:$B,0)),""))</f>
        <v/>
      </c>
      <c r="E242" s="29"/>
      <c r="F242" s="28"/>
      <c r="G242" s="28"/>
      <c r="H242" s="31" t="str">
        <f aca="false">IF(OR($F242="",$G242=""),"",$F242/$G242)</f>
        <v/>
      </c>
    </row>
    <row r="243" customFormat="false" ht="15" hidden="false" customHeight="true" outlineLevel="0" collapsed="false">
      <c r="B243" s="15" t="str">
        <f aca="false">IF($C243="","",IFERROR(INDEX(MF_Master!$A:$A,MATCH($C243,MF_Master!$B:$B,0)),""))</f>
        <v/>
      </c>
      <c r="D243" s="15" t="str">
        <f aca="false">IF($C243="","",IFERROR(INDEX(MF_Master!$C:$C,MATCH($C243,MF_Master!$B:$B,0)),""))</f>
        <v/>
      </c>
      <c r="E243" s="29"/>
      <c r="F243" s="28"/>
      <c r="G243" s="28"/>
      <c r="H243" s="31" t="str">
        <f aca="false">IF(OR($F243="",$G243=""),"",$F243/$G243)</f>
        <v/>
      </c>
    </row>
    <row r="244" customFormat="false" ht="15" hidden="false" customHeight="true" outlineLevel="0" collapsed="false">
      <c r="B244" s="15" t="str">
        <f aca="false">IF($C244="","",IFERROR(INDEX(MF_Master!$A:$A,MATCH($C244,MF_Master!$B:$B,0)),""))</f>
        <v/>
      </c>
      <c r="D244" s="15" t="str">
        <f aca="false">IF($C244="","",IFERROR(INDEX(MF_Master!$C:$C,MATCH($C244,MF_Master!$B:$B,0)),""))</f>
        <v/>
      </c>
      <c r="E244" s="29"/>
      <c r="F244" s="28"/>
      <c r="G244" s="28"/>
      <c r="H244" s="31" t="str">
        <f aca="false">IF(OR($F244="",$G244=""),"",$F244/$G244)</f>
        <v/>
      </c>
    </row>
    <row r="245" customFormat="false" ht="15" hidden="false" customHeight="true" outlineLevel="0" collapsed="false">
      <c r="B245" s="15" t="str">
        <f aca="false">IF($C245="","",IFERROR(INDEX(MF_Master!$A:$A,MATCH($C245,MF_Master!$B:$B,0)),""))</f>
        <v/>
      </c>
      <c r="D245" s="15" t="str">
        <f aca="false">IF($C245="","",IFERROR(INDEX(MF_Master!$C:$C,MATCH($C245,MF_Master!$B:$B,0)),""))</f>
        <v/>
      </c>
      <c r="E245" s="29"/>
      <c r="F245" s="28"/>
      <c r="G245" s="28"/>
      <c r="H245" s="31" t="str">
        <f aca="false">IF(OR($F245="",$G245=""),"",$F245/$G245)</f>
        <v/>
      </c>
    </row>
    <row r="246" customFormat="false" ht="15" hidden="false" customHeight="true" outlineLevel="0" collapsed="false">
      <c r="B246" s="15" t="str">
        <f aca="false">IF($C246="","",IFERROR(INDEX(MF_Master!$A:$A,MATCH($C246,MF_Master!$B:$B,0)),""))</f>
        <v/>
      </c>
      <c r="D246" s="15" t="str">
        <f aca="false">IF($C246="","",IFERROR(INDEX(MF_Master!$C:$C,MATCH($C246,MF_Master!$B:$B,0)),""))</f>
        <v/>
      </c>
      <c r="E246" s="29"/>
      <c r="F246" s="28"/>
      <c r="G246" s="28"/>
      <c r="H246" s="31" t="str">
        <f aca="false">IF(OR($F246="",$G246=""),"",$F246/$G246)</f>
        <v/>
      </c>
    </row>
    <row r="247" customFormat="false" ht="15" hidden="false" customHeight="true" outlineLevel="0" collapsed="false">
      <c r="B247" s="15" t="str">
        <f aca="false">IF($C247="","",IFERROR(INDEX(MF_Master!$A:$A,MATCH($C247,MF_Master!$B:$B,0)),""))</f>
        <v/>
      </c>
      <c r="D247" s="15" t="str">
        <f aca="false">IF($C247="","",IFERROR(INDEX(MF_Master!$C:$C,MATCH($C247,MF_Master!$B:$B,0)),""))</f>
        <v/>
      </c>
      <c r="E247" s="29"/>
      <c r="F247" s="28"/>
      <c r="G247" s="28"/>
      <c r="H247" s="31" t="str">
        <f aca="false">IF(OR($F247="",$G247=""),"",$F247/$G247)</f>
        <v/>
      </c>
    </row>
    <row r="248" customFormat="false" ht="15" hidden="false" customHeight="true" outlineLevel="0" collapsed="false">
      <c r="B248" s="15" t="str">
        <f aca="false">IF($C248="","",IFERROR(INDEX(MF_Master!$A:$A,MATCH($C248,MF_Master!$B:$B,0)),""))</f>
        <v/>
      </c>
      <c r="D248" s="15" t="str">
        <f aca="false">IF($C248="","",IFERROR(INDEX(MF_Master!$C:$C,MATCH($C248,MF_Master!$B:$B,0)),""))</f>
        <v/>
      </c>
      <c r="E248" s="29"/>
      <c r="F248" s="28"/>
      <c r="G248" s="28"/>
      <c r="H248" s="31" t="str">
        <f aca="false">IF(OR($F248="",$G248=""),"",$F248/$G248)</f>
        <v/>
      </c>
    </row>
    <row r="249" customFormat="false" ht="15" hidden="false" customHeight="true" outlineLevel="0" collapsed="false">
      <c r="B249" s="15" t="str">
        <f aca="false">IF($C249="","",IFERROR(INDEX(MF_Master!$A:$A,MATCH($C249,MF_Master!$B:$B,0)),""))</f>
        <v/>
      </c>
      <c r="D249" s="15" t="str">
        <f aca="false">IF($C249="","",IFERROR(INDEX(MF_Master!$C:$C,MATCH($C249,MF_Master!$B:$B,0)),""))</f>
        <v/>
      </c>
      <c r="E249" s="29"/>
      <c r="F249" s="28"/>
      <c r="G249" s="28"/>
      <c r="H249" s="31" t="str">
        <f aca="false">IF(OR($F249="",$G249=""),"",$F249/$G249)</f>
        <v/>
      </c>
    </row>
    <row r="250" customFormat="false" ht="15" hidden="false" customHeight="true" outlineLevel="0" collapsed="false">
      <c r="B250" s="15" t="str">
        <f aca="false">IF($C250="","",IFERROR(INDEX(MF_Master!$A:$A,MATCH($C250,MF_Master!$B:$B,0)),""))</f>
        <v/>
      </c>
      <c r="D250" s="15" t="str">
        <f aca="false">IF($C250="","",IFERROR(INDEX(MF_Master!$C:$C,MATCH($C250,MF_Master!$B:$B,0)),""))</f>
        <v/>
      </c>
      <c r="E250" s="29"/>
      <c r="F250" s="28"/>
      <c r="G250" s="28"/>
      <c r="H250" s="31" t="str">
        <f aca="false">IF(OR($F250="",$G250=""),"",$F250/$G250)</f>
        <v/>
      </c>
    </row>
    <row r="251" customFormat="false" ht="15" hidden="false" customHeight="true" outlineLevel="0" collapsed="false">
      <c r="B251" s="15" t="str">
        <f aca="false">IF($C251="","",IFERROR(INDEX(MF_Master!$A:$A,MATCH($C251,MF_Master!$B:$B,0)),""))</f>
        <v/>
      </c>
      <c r="D251" s="15" t="str">
        <f aca="false">IF($C251="","",IFERROR(INDEX(MF_Master!$C:$C,MATCH($C251,MF_Master!$B:$B,0)),""))</f>
        <v/>
      </c>
      <c r="E251" s="29"/>
      <c r="F251" s="28"/>
      <c r="G251" s="28"/>
      <c r="H251" s="31" t="str">
        <f aca="false">IF(OR($F251="",$G251=""),"",$F251/$G251)</f>
        <v/>
      </c>
    </row>
    <row r="252" customFormat="false" ht="15" hidden="false" customHeight="true" outlineLevel="0" collapsed="false">
      <c r="B252" s="15" t="str">
        <f aca="false">IF($C252="","",IFERROR(INDEX(MF_Master!$A:$A,MATCH($C252,MF_Master!$B:$B,0)),""))</f>
        <v/>
      </c>
      <c r="D252" s="15" t="str">
        <f aca="false">IF($C252="","",IFERROR(INDEX(MF_Master!$C:$C,MATCH($C252,MF_Master!$B:$B,0)),""))</f>
        <v/>
      </c>
      <c r="E252" s="29"/>
      <c r="F252" s="28"/>
      <c r="G252" s="28"/>
      <c r="H252" s="31" t="str">
        <f aca="false">IF(OR($F252="",$G252=""),"",$F252/$G252)</f>
        <v/>
      </c>
    </row>
    <row r="253" customFormat="false" ht="15" hidden="false" customHeight="true" outlineLevel="0" collapsed="false">
      <c r="B253" s="15" t="str">
        <f aca="false">IF($C253="","",IFERROR(INDEX(MF_Master!$A:$A,MATCH($C253,MF_Master!$B:$B,0)),""))</f>
        <v/>
      </c>
      <c r="D253" s="15" t="str">
        <f aca="false">IF($C253="","",IFERROR(INDEX(MF_Master!$C:$C,MATCH($C253,MF_Master!$B:$B,0)),""))</f>
        <v/>
      </c>
      <c r="E253" s="29"/>
      <c r="F253" s="28"/>
      <c r="G253" s="28"/>
      <c r="H253" s="31" t="str">
        <f aca="false">IF(OR($F253="",$G253=""),"",$F253/$G253)</f>
        <v/>
      </c>
    </row>
    <row r="254" customFormat="false" ht="15" hidden="false" customHeight="true" outlineLevel="0" collapsed="false">
      <c r="B254" s="15" t="str">
        <f aca="false">IF($C254="","",IFERROR(INDEX(MF_Master!$A:$A,MATCH($C254,MF_Master!$B:$B,0)),""))</f>
        <v/>
      </c>
      <c r="D254" s="15" t="str">
        <f aca="false">IF($C254="","",IFERROR(INDEX(MF_Master!$C:$C,MATCH($C254,MF_Master!$B:$B,0)),""))</f>
        <v/>
      </c>
      <c r="E254" s="29"/>
      <c r="F254" s="28"/>
      <c r="G254" s="28"/>
      <c r="H254" s="31" t="str">
        <f aca="false">IF(OR($F254="",$G254=""),"",$F254/$G254)</f>
        <v/>
      </c>
    </row>
    <row r="255" customFormat="false" ht="15" hidden="false" customHeight="true" outlineLevel="0" collapsed="false">
      <c r="B255" s="15" t="str">
        <f aca="false">IF($C255="","",IFERROR(INDEX(MF_Master!$A:$A,MATCH($C255,MF_Master!$B:$B,0)),""))</f>
        <v/>
      </c>
      <c r="D255" s="15" t="str">
        <f aca="false">IF($C255="","",IFERROR(INDEX(MF_Master!$C:$C,MATCH($C255,MF_Master!$B:$B,0)),""))</f>
        <v/>
      </c>
      <c r="E255" s="29"/>
      <c r="F255" s="28"/>
      <c r="G255" s="28"/>
      <c r="H255" s="31" t="str">
        <f aca="false">IF(OR($F255="",$G255=""),"",$F255/$G255)</f>
        <v/>
      </c>
    </row>
    <row r="256" customFormat="false" ht="15" hidden="false" customHeight="true" outlineLevel="0" collapsed="false">
      <c r="B256" s="15" t="str">
        <f aca="false">IF($C256="","",IFERROR(INDEX(MF_Master!$A:$A,MATCH($C256,MF_Master!$B:$B,0)),""))</f>
        <v/>
      </c>
      <c r="D256" s="15" t="str">
        <f aca="false">IF($C256="","",IFERROR(INDEX(MF_Master!$C:$C,MATCH($C256,MF_Master!$B:$B,0)),""))</f>
        <v/>
      </c>
      <c r="E256" s="29"/>
      <c r="F256" s="28"/>
      <c r="G256" s="28"/>
      <c r="H256" s="31" t="str">
        <f aca="false">IF(OR($F256="",$G256=""),"",$F256/$G256)</f>
        <v/>
      </c>
    </row>
    <row r="257" customFormat="false" ht="15" hidden="false" customHeight="true" outlineLevel="0" collapsed="false">
      <c r="B257" s="15" t="str">
        <f aca="false">IF($C257="","",IFERROR(INDEX(MF_Master!$A:$A,MATCH($C257,MF_Master!$B:$B,0)),""))</f>
        <v/>
      </c>
      <c r="D257" s="15" t="str">
        <f aca="false">IF($C257="","",IFERROR(INDEX(MF_Master!$C:$C,MATCH($C257,MF_Master!$B:$B,0)),""))</f>
        <v/>
      </c>
      <c r="E257" s="29"/>
      <c r="F257" s="28"/>
      <c r="G257" s="28"/>
      <c r="H257" s="31" t="str">
        <f aca="false">IF(OR($F257="",$G257=""),"",$F257/$G257)</f>
        <v/>
      </c>
    </row>
    <row r="258" customFormat="false" ht="15" hidden="false" customHeight="true" outlineLevel="0" collapsed="false">
      <c r="B258" s="15" t="str">
        <f aca="false">IF($C258="","",IFERROR(INDEX(MF_Master!$A:$A,MATCH($C258,MF_Master!$B:$B,0)),""))</f>
        <v/>
      </c>
      <c r="D258" s="15" t="str">
        <f aca="false">IF($C258="","",IFERROR(INDEX(MF_Master!$C:$C,MATCH($C258,MF_Master!$B:$B,0)),""))</f>
        <v/>
      </c>
      <c r="E258" s="29"/>
      <c r="F258" s="28"/>
      <c r="G258" s="28"/>
      <c r="H258" s="31" t="str">
        <f aca="false">IF(OR($F258="",$G258=""),"",$F258/$G258)</f>
        <v/>
      </c>
    </row>
    <row r="259" customFormat="false" ht="15" hidden="false" customHeight="true" outlineLevel="0" collapsed="false">
      <c r="B259" s="15" t="str">
        <f aca="false">IF($C259="","",IFERROR(INDEX(MF_Master!$A:$A,MATCH($C259,MF_Master!$B:$B,0)),""))</f>
        <v/>
      </c>
      <c r="D259" s="15" t="str">
        <f aca="false">IF($C259="","",IFERROR(INDEX(MF_Master!$C:$C,MATCH($C259,MF_Master!$B:$B,0)),""))</f>
        <v/>
      </c>
      <c r="E259" s="29"/>
      <c r="F259" s="28"/>
      <c r="G259" s="28"/>
      <c r="H259" s="31" t="str">
        <f aca="false">IF(OR($F259="",$G259=""),"",$F259/$G259)</f>
        <v/>
      </c>
    </row>
    <row r="260" customFormat="false" ht="15" hidden="false" customHeight="true" outlineLevel="0" collapsed="false">
      <c r="B260" s="15" t="str">
        <f aca="false">IF($C260="","",IFERROR(INDEX(MF_Master!$A:$A,MATCH($C260,MF_Master!$B:$B,0)),""))</f>
        <v/>
      </c>
      <c r="D260" s="15" t="str">
        <f aca="false">IF($C260="","",IFERROR(INDEX(MF_Master!$C:$C,MATCH($C260,MF_Master!$B:$B,0)),""))</f>
        <v/>
      </c>
      <c r="E260" s="29"/>
      <c r="F260" s="28"/>
      <c r="G260" s="28"/>
      <c r="H260" s="31" t="str">
        <f aca="false">IF(OR($F260="",$G260=""),"",$F260/$G260)</f>
        <v/>
      </c>
    </row>
    <row r="261" customFormat="false" ht="15" hidden="false" customHeight="true" outlineLevel="0" collapsed="false">
      <c r="B261" s="15" t="str">
        <f aca="false">IF($C261="","",IFERROR(INDEX(MF_Master!$A:$A,MATCH($C261,MF_Master!$B:$B,0)),""))</f>
        <v/>
      </c>
      <c r="D261" s="15" t="str">
        <f aca="false">IF($C261="","",IFERROR(INDEX(MF_Master!$C:$C,MATCH($C261,MF_Master!$B:$B,0)),""))</f>
        <v/>
      </c>
      <c r="E261" s="29"/>
      <c r="F261" s="28"/>
      <c r="G261" s="28"/>
      <c r="H261" s="31" t="str">
        <f aca="false">IF(OR($F261="",$G261=""),"",$F261/$G261)</f>
        <v/>
      </c>
    </row>
    <row r="262" customFormat="false" ht="15" hidden="false" customHeight="true" outlineLevel="0" collapsed="false">
      <c r="B262" s="15" t="str">
        <f aca="false">IF($C262="","",IFERROR(INDEX(MF_Master!$A:$A,MATCH($C262,MF_Master!$B:$B,0)),""))</f>
        <v/>
      </c>
      <c r="D262" s="15" t="str">
        <f aca="false">IF($C262="","",IFERROR(INDEX(MF_Master!$C:$C,MATCH($C262,MF_Master!$B:$B,0)),""))</f>
        <v/>
      </c>
      <c r="E262" s="29"/>
      <c r="F262" s="28"/>
      <c r="G262" s="28"/>
      <c r="H262" s="31" t="str">
        <f aca="false">IF(OR($F262="",$G262=""),"",$F262/$G262)</f>
        <v/>
      </c>
    </row>
    <row r="263" customFormat="false" ht="15" hidden="false" customHeight="true" outlineLevel="0" collapsed="false">
      <c r="B263" s="15" t="str">
        <f aca="false">IF($C263="","",IFERROR(INDEX(MF_Master!$A:$A,MATCH($C263,MF_Master!$B:$B,0)),""))</f>
        <v/>
      </c>
      <c r="D263" s="15" t="str">
        <f aca="false">IF($C263="","",IFERROR(INDEX(MF_Master!$C:$C,MATCH($C263,MF_Master!$B:$B,0)),""))</f>
        <v/>
      </c>
      <c r="E263" s="29"/>
      <c r="F263" s="28"/>
      <c r="G263" s="28"/>
      <c r="H263" s="31" t="str">
        <f aca="false">IF(OR($F263="",$G263=""),"",$F263/$G263)</f>
        <v/>
      </c>
    </row>
    <row r="264" customFormat="false" ht="15" hidden="false" customHeight="true" outlineLevel="0" collapsed="false">
      <c r="B264" s="15" t="str">
        <f aca="false">IF($C264="","",IFERROR(INDEX(MF_Master!$A:$A,MATCH($C264,MF_Master!$B:$B,0)),""))</f>
        <v/>
      </c>
      <c r="D264" s="15" t="str">
        <f aca="false">IF($C264="","",IFERROR(INDEX(MF_Master!$C:$C,MATCH($C264,MF_Master!$B:$B,0)),""))</f>
        <v/>
      </c>
      <c r="E264" s="29"/>
      <c r="F264" s="28"/>
      <c r="G264" s="28"/>
      <c r="H264" s="31" t="str">
        <f aca="false">IF(OR($F264="",$G264=""),"",$F264/$G264)</f>
        <v/>
      </c>
    </row>
    <row r="265" customFormat="false" ht="15" hidden="false" customHeight="true" outlineLevel="0" collapsed="false">
      <c r="B265" s="15" t="str">
        <f aca="false">IF($C265="","",IFERROR(INDEX(MF_Master!$A:$A,MATCH($C265,MF_Master!$B:$B,0)),""))</f>
        <v/>
      </c>
      <c r="D265" s="15" t="str">
        <f aca="false">IF($C265="","",IFERROR(INDEX(MF_Master!$C:$C,MATCH($C265,MF_Master!$B:$B,0)),""))</f>
        <v/>
      </c>
      <c r="E265" s="29"/>
      <c r="F265" s="28"/>
      <c r="G265" s="28"/>
      <c r="H265" s="31" t="str">
        <f aca="false">IF(OR($F265="",$G265=""),"",$F265/$G265)</f>
        <v/>
      </c>
    </row>
    <row r="266" customFormat="false" ht="15" hidden="false" customHeight="true" outlineLevel="0" collapsed="false">
      <c r="B266" s="15" t="str">
        <f aca="false">IF($C266="","",IFERROR(INDEX(MF_Master!$A:$A,MATCH($C266,MF_Master!$B:$B,0)),""))</f>
        <v/>
      </c>
      <c r="D266" s="15" t="str">
        <f aca="false">IF($C266="","",IFERROR(INDEX(MF_Master!$C:$C,MATCH($C266,MF_Master!$B:$B,0)),""))</f>
        <v/>
      </c>
      <c r="E266" s="29"/>
      <c r="F266" s="28"/>
      <c r="G266" s="28"/>
      <c r="H266" s="31" t="str">
        <f aca="false">IF(OR($F266="",$G266=""),"",$F266/$G266)</f>
        <v/>
      </c>
    </row>
    <row r="267" customFormat="false" ht="15" hidden="false" customHeight="true" outlineLevel="0" collapsed="false">
      <c r="B267" s="15" t="str">
        <f aca="false">IF($C267="","",IFERROR(INDEX(MF_Master!$A:$A,MATCH($C267,MF_Master!$B:$B,0)),""))</f>
        <v/>
      </c>
      <c r="D267" s="15" t="str">
        <f aca="false">IF($C267="","",IFERROR(INDEX(MF_Master!$C:$C,MATCH($C267,MF_Master!$B:$B,0)),""))</f>
        <v/>
      </c>
      <c r="E267" s="29"/>
      <c r="F267" s="28"/>
      <c r="G267" s="28"/>
      <c r="H267" s="31" t="str">
        <f aca="false">IF(OR($F267="",$G267=""),"",$F267/$G267)</f>
        <v/>
      </c>
    </row>
    <row r="268" customFormat="false" ht="15" hidden="false" customHeight="true" outlineLevel="0" collapsed="false">
      <c r="B268" s="15" t="str">
        <f aca="false">IF($C268="","",IFERROR(INDEX(MF_Master!$A:$A,MATCH($C268,MF_Master!$B:$B,0)),""))</f>
        <v/>
      </c>
      <c r="D268" s="15" t="str">
        <f aca="false">IF($C268="","",IFERROR(INDEX(MF_Master!$C:$C,MATCH($C268,MF_Master!$B:$B,0)),""))</f>
        <v/>
      </c>
      <c r="E268" s="29"/>
      <c r="F268" s="28"/>
      <c r="G268" s="28"/>
      <c r="H268" s="31" t="str">
        <f aca="false">IF(OR($F268="",$G268=""),"",$F268/$G268)</f>
        <v/>
      </c>
    </row>
    <row r="269" customFormat="false" ht="15" hidden="false" customHeight="true" outlineLevel="0" collapsed="false">
      <c r="B269" s="15" t="str">
        <f aca="false">IF($C269="","",IFERROR(INDEX(MF_Master!$A:$A,MATCH($C269,MF_Master!$B:$B,0)),""))</f>
        <v/>
      </c>
      <c r="D269" s="15" t="str">
        <f aca="false">IF($C269="","",IFERROR(INDEX(MF_Master!$C:$C,MATCH($C269,MF_Master!$B:$B,0)),""))</f>
        <v/>
      </c>
      <c r="E269" s="29"/>
      <c r="F269" s="28"/>
      <c r="G269" s="28"/>
      <c r="H269" s="31" t="str">
        <f aca="false">IF(OR($F269="",$G269=""),"",$F269/$G269)</f>
        <v/>
      </c>
    </row>
    <row r="270" customFormat="false" ht="15" hidden="false" customHeight="true" outlineLevel="0" collapsed="false">
      <c r="B270" s="15" t="str">
        <f aca="false">IF($C270="","",IFERROR(INDEX(MF_Master!$A:$A,MATCH($C270,MF_Master!$B:$B,0)),""))</f>
        <v/>
      </c>
      <c r="D270" s="15" t="str">
        <f aca="false">IF($C270="","",IFERROR(INDEX(MF_Master!$C:$C,MATCH($C270,MF_Master!$B:$B,0)),""))</f>
        <v/>
      </c>
      <c r="E270" s="29"/>
      <c r="F270" s="28"/>
      <c r="G270" s="28"/>
      <c r="H270" s="31" t="str">
        <f aca="false">IF(OR($F270="",$G270=""),"",$F270/$G270)</f>
        <v/>
      </c>
    </row>
    <row r="271" customFormat="false" ht="15" hidden="false" customHeight="true" outlineLevel="0" collapsed="false">
      <c r="B271" s="15" t="str">
        <f aca="false">IF($C271="","",IFERROR(INDEX(MF_Master!$A:$A,MATCH($C271,MF_Master!$B:$B,0)),""))</f>
        <v/>
      </c>
      <c r="D271" s="15" t="str">
        <f aca="false">IF($C271="","",IFERROR(INDEX(MF_Master!$C:$C,MATCH($C271,MF_Master!$B:$B,0)),""))</f>
        <v/>
      </c>
      <c r="E271" s="29"/>
      <c r="F271" s="28"/>
      <c r="G271" s="28"/>
      <c r="H271" s="31" t="str">
        <f aca="false">IF(OR($F271="",$G271=""),"",$F271/$G271)</f>
        <v/>
      </c>
    </row>
    <row r="272" customFormat="false" ht="15" hidden="false" customHeight="true" outlineLevel="0" collapsed="false">
      <c r="B272" s="15" t="str">
        <f aca="false">IF($C272="","",IFERROR(INDEX(MF_Master!$A:$A,MATCH($C272,MF_Master!$B:$B,0)),""))</f>
        <v/>
      </c>
      <c r="D272" s="15" t="str">
        <f aca="false">IF($C272="","",IFERROR(INDEX(MF_Master!$C:$C,MATCH($C272,MF_Master!$B:$B,0)),""))</f>
        <v/>
      </c>
      <c r="E272" s="29"/>
      <c r="F272" s="28"/>
      <c r="G272" s="28"/>
      <c r="H272" s="31" t="str">
        <f aca="false">IF(OR($F272="",$G272=""),"",$F272/$G272)</f>
        <v/>
      </c>
    </row>
    <row r="273" customFormat="false" ht="15" hidden="false" customHeight="true" outlineLevel="0" collapsed="false">
      <c r="B273" s="15" t="str">
        <f aca="false">IF($C273="","",IFERROR(INDEX(MF_Master!$A:$A,MATCH($C273,MF_Master!$B:$B,0)),""))</f>
        <v/>
      </c>
      <c r="D273" s="15" t="str">
        <f aca="false">IF($C273="","",IFERROR(INDEX(MF_Master!$C:$C,MATCH($C273,MF_Master!$B:$B,0)),""))</f>
        <v/>
      </c>
      <c r="E273" s="29"/>
      <c r="F273" s="28"/>
      <c r="G273" s="28"/>
      <c r="H273" s="31" t="str">
        <f aca="false">IF(OR($F273="",$G273=""),"",$F273/$G273)</f>
        <v/>
      </c>
    </row>
    <row r="274" customFormat="false" ht="15" hidden="false" customHeight="true" outlineLevel="0" collapsed="false">
      <c r="B274" s="15" t="str">
        <f aca="false">IF($C274="","",IFERROR(INDEX(MF_Master!$A:$A,MATCH($C274,MF_Master!$B:$B,0)),""))</f>
        <v/>
      </c>
      <c r="D274" s="15" t="str">
        <f aca="false">IF($C274="","",IFERROR(INDEX(MF_Master!$C:$C,MATCH($C274,MF_Master!$B:$B,0)),""))</f>
        <v/>
      </c>
      <c r="E274" s="29"/>
      <c r="F274" s="28"/>
      <c r="G274" s="28"/>
      <c r="H274" s="31" t="str">
        <f aca="false">IF(OR($F274="",$G274=""),"",$F274/$G274)</f>
        <v/>
      </c>
    </row>
    <row r="275" customFormat="false" ht="15" hidden="false" customHeight="true" outlineLevel="0" collapsed="false">
      <c r="B275" s="15" t="str">
        <f aca="false">IF($C275="","",IFERROR(INDEX(MF_Master!$A:$A,MATCH($C275,MF_Master!$B:$B,0)),""))</f>
        <v/>
      </c>
      <c r="D275" s="15" t="str">
        <f aca="false">IF($C275="","",IFERROR(INDEX(MF_Master!$C:$C,MATCH($C275,MF_Master!$B:$B,0)),""))</f>
        <v/>
      </c>
      <c r="E275" s="29"/>
      <c r="F275" s="28"/>
      <c r="G275" s="28"/>
      <c r="H275" s="31" t="str">
        <f aca="false">IF(OR($F275="",$G275=""),"",$F275/$G275)</f>
        <v/>
      </c>
    </row>
    <row r="276" customFormat="false" ht="15" hidden="false" customHeight="true" outlineLevel="0" collapsed="false">
      <c r="B276" s="15" t="str">
        <f aca="false">IF($C276="","",IFERROR(INDEX(MF_Master!$A:$A,MATCH($C276,MF_Master!$B:$B,0)),""))</f>
        <v/>
      </c>
      <c r="D276" s="15" t="str">
        <f aca="false">IF($C276="","",IFERROR(INDEX(MF_Master!$C:$C,MATCH($C276,MF_Master!$B:$B,0)),""))</f>
        <v/>
      </c>
      <c r="E276" s="29"/>
      <c r="F276" s="28"/>
      <c r="G276" s="28"/>
      <c r="H276" s="31" t="str">
        <f aca="false">IF(OR($F276="",$G276=""),"",$F276/$G276)</f>
        <v/>
      </c>
    </row>
    <row r="277" customFormat="false" ht="15" hidden="false" customHeight="true" outlineLevel="0" collapsed="false">
      <c r="B277" s="15" t="str">
        <f aca="false">IF($C277="","",IFERROR(INDEX(MF_Master!$A:$A,MATCH($C277,MF_Master!$B:$B,0)),""))</f>
        <v/>
      </c>
      <c r="D277" s="15" t="str">
        <f aca="false">IF($C277="","",IFERROR(INDEX(MF_Master!$C:$C,MATCH($C277,MF_Master!$B:$B,0)),""))</f>
        <v/>
      </c>
      <c r="E277" s="29"/>
      <c r="F277" s="28"/>
      <c r="G277" s="28"/>
      <c r="H277" s="31" t="str">
        <f aca="false">IF(OR($F277="",$G277=""),"",$F277/$G277)</f>
        <v/>
      </c>
    </row>
    <row r="278" customFormat="false" ht="15" hidden="false" customHeight="true" outlineLevel="0" collapsed="false">
      <c r="B278" s="15" t="str">
        <f aca="false">IF($C278="","",IFERROR(INDEX(MF_Master!$A:$A,MATCH($C278,MF_Master!$B:$B,0)),""))</f>
        <v/>
      </c>
      <c r="D278" s="15" t="str">
        <f aca="false">IF($C278="","",IFERROR(INDEX(MF_Master!$C:$C,MATCH($C278,MF_Master!$B:$B,0)),""))</f>
        <v/>
      </c>
      <c r="E278" s="29"/>
      <c r="F278" s="28"/>
      <c r="G278" s="28"/>
      <c r="H278" s="31" t="str">
        <f aca="false">IF(OR($F278="",$G278=""),"",$F278/$G278)</f>
        <v/>
      </c>
    </row>
    <row r="279" customFormat="false" ht="15" hidden="false" customHeight="true" outlineLevel="0" collapsed="false">
      <c r="B279" s="15" t="str">
        <f aca="false">IF($C279="","",IFERROR(INDEX(MF_Master!$A:$A,MATCH($C279,MF_Master!$B:$B,0)),""))</f>
        <v/>
      </c>
      <c r="D279" s="15" t="str">
        <f aca="false">IF($C279="","",IFERROR(INDEX(MF_Master!$C:$C,MATCH($C279,MF_Master!$B:$B,0)),""))</f>
        <v/>
      </c>
      <c r="E279" s="29"/>
      <c r="F279" s="28"/>
      <c r="G279" s="28"/>
      <c r="H279" s="31" t="str">
        <f aca="false">IF(OR($F279="",$G279=""),"",$F279/$G279)</f>
        <v/>
      </c>
    </row>
    <row r="280" customFormat="false" ht="15" hidden="false" customHeight="true" outlineLevel="0" collapsed="false">
      <c r="B280" s="15" t="str">
        <f aca="false">IF($C280="","",IFERROR(INDEX(MF_Master!$A:$A,MATCH($C280,MF_Master!$B:$B,0)),""))</f>
        <v/>
      </c>
      <c r="D280" s="15" t="str">
        <f aca="false">IF($C280="","",IFERROR(INDEX(MF_Master!$C:$C,MATCH($C280,MF_Master!$B:$B,0)),""))</f>
        <v/>
      </c>
      <c r="E280" s="29"/>
      <c r="F280" s="28"/>
      <c r="G280" s="28"/>
      <c r="H280" s="31" t="str">
        <f aca="false">IF(OR($F280="",$G280=""),"",$F280/$G280)</f>
        <v/>
      </c>
    </row>
    <row r="281" customFormat="false" ht="15" hidden="false" customHeight="true" outlineLevel="0" collapsed="false">
      <c r="B281" s="15" t="str">
        <f aca="false">IF($C281="","",IFERROR(INDEX(MF_Master!$A:$A,MATCH($C281,MF_Master!$B:$B,0)),""))</f>
        <v/>
      </c>
      <c r="D281" s="15" t="str">
        <f aca="false">IF($C281="","",IFERROR(INDEX(MF_Master!$C:$C,MATCH($C281,MF_Master!$B:$B,0)),""))</f>
        <v/>
      </c>
      <c r="E281" s="29"/>
      <c r="F281" s="28"/>
      <c r="G281" s="28"/>
      <c r="H281" s="31" t="str">
        <f aca="false">IF(OR($F281="",$G281=""),"",$F281/$G281)</f>
        <v/>
      </c>
    </row>
    <row r="282" customFormat="false" ht="15" hidden="false" customHeight="true" outlineLevel="0" collapsed="false">
      <c r="B282" s="15" t="str">
        <f aca="false">IF($C282="","",IFERROR(INDEX(MF_Master!$A:$A,MATCH($C282,MF_Master!$B:$B,0)),""))</f>
        <v/>
      </c>
      <c r="D282" s="15" t="str">
        <f aca="false">IF($C282="","",IFERROR(INDEX(MF_Master!$C:$C,MATCH($C282,MF_Master!$B:$B,0)),""))</f>
        <v/>
      </c>
      <c r="E282" s="29"/>
      <c r="F282" s="28"/>
      <c r="G282" s="28"/>
      <c r="H282" s="31" t="str">
        <f aca="false">IF(OR($F282="",$G282=""),"",$F282/$G282)</f>
        <v/>
      </c>
    </row>
    <row r="283" customFormat="false" ht="15" hidden="false" customHeight="true" outlineLevel="0" collapsed="false">
      <c r="B283" s="15" t="str">
        <f aca="false">IF($C283="","",IFERROR(INDEX(MF_Master!$A:$A,MATCH($C283,MF_Master!$B:$B,0)),""))</f>
        <v/>
      </c>
      <c r="D283" s="15" t="str">
        <f aca="false">IF($C283="","",IFERROR(INDEX(MF_Master!$C:$C,MATCH($C283,MF_Master!$B:$B,0)),""))</f>
        <v/>
      </c>
      <c r="E283" s="29"/>
      <c r="F283" s="28"/>
      <c r="G283" s="28"/>
      <c r="H283" s="31" t="str">
        <f aca="false">IF(OR($F283="",$G283=""),"",$F283/$G283)</f>
        <v/>
      </c>
    </row>
    <row r="284" customFormat="false" ht="15" hidden="false" customHeight="true" outlineLevel="0" collapsed="false">
      <c r="B284" s="15" t="str">
        <f aca="false">IF($C284="","",IFERROR(INDEX(MF_Master!$A:$A,MATCH($C284,MF_Master!$B:$B,0)),""))</f>
        <v/>
      </c>
      <c r="D284" s="15" t="str">
        <f aca="false">IF($C284="","",IFERROR(INDEX(MF_Master!$C:$C,MATCH($C284,MF_Master!$B:$B,0)),""))</f>
        <v/>
      </c>
      <c r="E284" s="29"/>
      <c r="F284" s="28"/>
      <c r="G284" s="28"/>
      <c r="H284" s="31" t="str">
        <f aca="false">IF(OR($F284="",$G284=""),"",$F284/$G284)</f>
        <v/>
      </c>
    </row>
    <row r="285" customFormat="false" ht="15" hidden="false" customHeight="true" outlineLevel="0" collapsed="false">
      <c r="B285" s="15" t="str">
        <f aca="false">IF($C285="","",IFERROR(INDEX(MF_Master!$A:$A,MATCH($C285,MF_Master!$B:$B,0)),""))</f>
        <v/>
      </c>
      <c r="D285" s="15" t="str">
        <f aca="false">IF($C285="","",IFERROR(INDEX(MF_Master!$C:$C,MATCH($C285,MF_Master!$B:$B,0)),""))</f>
        <v/>
      </c>
      <c r="E285" s="29"/>
      <c r="F285" s="28"/>
      <c r="G285" s="28"/>
      <c r="H285" s="31" t="str">
        <f aca="false">IF(OR($F285="",$G285=""),"",$F285/$G285)</f>
        <v/>
      </c>
    </row>
    <row r="286" customFormat="false" ht="15" hidden="false" customHeight="true" outlineLevel="0" collapsed="false">
      <c r="B286" s="15" t="str">
        <f aca="false">IF($C286="","",IFERROR(INDEX(MF_Master!$A:$A,MATCH($C286,MF_Master!$B:$B,0)),""))</f>
        <v/>
      </c>
      <c r="D286" s="15" t="str">
        <f aca="false">IF($C286="","",IFERROR(INDEX(MF_Master!$C:$C,MATCH($C286,MF_Master!$B:$B,0)),""))</f>
        <v/>
      </c>
      <c r="E286" s="29"/>
      <c r="F286" s="28"/>
      <c r="G286" s="28"/>
      <c r="H286" s="31" t="str">
        <f aca="false">IF(OR($F286="",$G286=""),"",$F286/$G286)</f>
        <v/>
      </c>
    </row>
    <row r="287" customFormat="false" ht="15" hidden="false" customHeight="true" outlineLevel="0" collapsed="false">
      <c r="B287" s="15" t="str">
        <f aca="false">IF($C287="","",IFERROR(INDEX(MF_Master!$A:$A,MATCH($C287,MF_Master!$B:$B,0)),""))</f>
        <v/>
      </c>
      <c r="D287" s="15" t="str">
        <f aca="false">IF($C287="","",IFERROR(INDEX(MF_Master!$C:$C,MATCH($C287,MF_Master!$B:$B,0)),""))</f>
        <v/>
      </c>
      <c r="E287" s="29"/>
      <c r="F287" s="28"/>
      <c r="G287" s="28"/>
      <c r="H287" s="31" t="str">
        <f aca="false">IF(OR($F287="",$G287=""),"",$F287/$G287)</f>
        <v/>
      </c>
    </row>
    <row r="288" customFormat="false" ht="15" hidden="false" customHeight="true" outlineLevel="0" collapsed="false">
      <c r="B288" s="15" t="str">
        <f aca="false">IF($C288="","",IFERROR(INDEX(MF_Master!$A:$A,MATCH($C288,MF_Master!$B:$B,0)),""))</f>
        <v/>
      </c>
      <c r="D288" s="15" t="str">
        <f aca="false">IF($C288="","",IFERROR(INDEX(MF_Master!$C:$C,MATCH($C288,MF_Master!$B:$B,0)),""))</f>
        <v/>
      </c>
      <c r="E288" s="29"/>
      <c r="F288" s="28"/>
      <c r="G288" s="28"/>
      <c r="H288" s="31" t="str">
        <f aca="false">IF(OR($F288="",$G288=""),"",$F288/$G288)</f>
        <v/>
      </c>
    </row>
    <row r="289" customFormat="false" ht="15" hidden="false" customHeight="true" outlineLevel="0" collapsed="false">
      <c r="B289" s="15" t="str">
        <f aca="false">IF($C289="","",IFERROR(INDEX(MF_Master!$A:$A,MATCH($C289,MF_Master!$B:$B,0)),""))</f>
        <v/>
      </c>
      <c r="D289" s="15" t="str">
        <f aca="false">IF($C289="","",IFERROR(INDEX(MF_Master!$C:$C,MATCH($C289,MF_Master!$B:$B,0)),""))</f>
        <v/>
      </c>
      <c r="E289" s="29"/>
      <c r="F289" s="28"/>
      <c r="G289" s="28"/>
      <c r="H289" s="31" t="str">
        <f aca="false">IF(OR($F289="",$G289=""),"",$F289/$G289)</f>
        <v/>
      </c>
    </row>
    <row r="290" customFormat="false" ht="15" hidden="false" customHeight="true" outlineLevel="0" collapsed="false">
      <c r="B290" s="15" t="str">
        <f aca="false">IF($C290="","",IFERROR(INDEX(MF_Master!$A:$A,MATCH($C290,MF_Master!$B:$B,0)),""))</f>
        <v/>
      </c>
      <c r="D290" s="15" t="str">
        <f aca="false">IF($C290="","",IFERROR(INDEX(MF_Master!$C:$C,MATCH($C290,MF_Master!$B:$B,0)),""))</f>
        <v/>
      </c>
      <c r="E290" s="29"/>
      <c r="F290" s="28"/>
      <c r="G290" s="28"/>
      <c r="H290" s="31" t="str">
        <f aca="false">IF(OR($F290="",$G290=""),"",$F290/$G290)</f>
        <v/>
      </c>
    </row>
    <row r="291" customFormat="false" ht="15" hidden="false" customHeight="true" outlineLevel="0" collapsed="false">
      <c r="B291" s="15" t="str">
        <f aca="false">IF($C291="","",IFERROR(INDEX(MF_Master!$A:$A,MATCH($C291,MF_Master!$B:$B,0)),""))</f>
        <v/>
      </c>
      <c r="D291" s="15" t="str">
        <f aca="false">IF($C291="","",IFERROR(INDEX(MF_Master!$C:$C,MATCH($C291,MF_Master!$B:$B,0)),""))</f>
        <v/>
      </c>
      <c r="E291" s="29"/>
      <c r="F291" s="28"/>
      <c r="G291" s="28"/>
      <c r="H291" s="31" t="str">
        <f aca="false">IF(OR($F291="",$G291=""),"",$F291/$G291)</f>
        <v/>
      </c>
    </row>
    <row r="292" customFormat="false" ht="15" hidden="false" customHeight="true" outlineLevel="0" collapsed="false">
      <c r="B292" s="15" t="str">
        <f aca="false">IF($C292="","",IFERROR(INDEX(MF_Master!$A:$A,MATCH($C292,MF_Master!$B:$B,0)),""))</f>
        <v/>
      </c>
      <c r="D292" s="15" t="str">
        <f aca="false">IF($C292="","",IFERROR(INDEX(MF_Master!$C:$C,MATCH($C292,MF_Master!$B:$B,0)),""))</f>
        <v/>
      </c>
      <c r="E292" s="29"/>
      <c r="F292" s="28"/>
      <c r="G292" s="28"/>
      <c r="H292" s="31" t="str">
        <f aca="false">IF(OR($F292="",$G292=""),"",$F292/$G292)</f>
        <v/>
      </c>
    </row>
    <row r="293" customFormat="false" ht="15" hidden="false" customHeight="true" outlineLevel="0" collapsed="false">
      <c r="B293" s="15" t="str">
        <f aca="false">IF($C293="","",IFERROR(INDEX(MF_Master!$A:$A,MATCH($C293,MF_Master!$B:$B,0)),""))</f>
        <v/>
      </c>
      <c r="D293" s="15" t="str">
        <f aca="false">IF($C293="","",IFERROR(INDEX(MF_Master!$C:$C,MATCH($C293,MF_Master!$B:$B,0)),""))</f>
        <v/>
      </c>
      <c r="E293" s="29"/>
      <c r="F293" s="28"/>
      <c r="G293" s="28"/>
      <c r="H293" s="31" t="str">
        <f aca="false">IF(OR($F293="",$G293=""),"",$F293/$G293)</f>
        <v/>
      </c>
    </row>
    <row r="294" customFormat="false" ht="15" hidden="false" customHeight="true" outlineLevel="0" collapsed="false">
      <c r="B294" s="15" t="str">
        <f aca="false">IF($C294="","",IFERROR(INDEX(MF_Master!$A:$A,MATCH($C294,MF_Master!$B:$B,0)),""))</f>
        <v/>
      </c>
      <c r="D294" s="15" t="str">
        <f aca="false">IF($C294="","",IFERROR(INDEX(MF_Master!$C:$C,MATCH($C294,MF_Master!$B:$B,0)),""))</f>
        <v/>
      </c>
      <c r="E294" s="29"/>
      <c r="F294" s="28"/>
      <c r="G294" s="28"/>
      <c r="H294" s="31" t="str">
        <f aca="false">IF(OR($F294="",$G294=""),"",$F294/$G294)</f>
        <v/>
      </c>
    </row>
    <row r="295" customFormat="false" ht="15" hidden="false" customHeight="true" outlineLevel="0" collapsed="false">
      <c r="B295" s="15" t="str">
        <f aca="false">IF($C295="","",IFERROR(INDEX(MF_Master!$A:$A,MATCH($C295,MF_Master!$B:$B,0)),""))</f>
        <v/>
      </c>
      <c r="D295" s="15" t="str">
        <f aca="false">IF($C295="","",IFERROR(INDEX(MF_Master!$C:$C,MATCH($C295,MF_Master!$B:$B,0)),""))</f>
        <v/>
      </c>
      <c r="E295" s="29"/>
      <c r="F295" s="28"/>
      <c r="G295" s="28"/>
      <c r="H295" s="31" t="str">
        <f aca="false">IF(OR($F295="",$G295=""),"",$F295/$G295)</f>
        <v/>
      </c>
    </row>
    <row r="296" customFormat="false" ht="15" hidden="false" customHeight="true" outlineLevel="0" collapsed="false">
      <c r="B296" s="15" t="str">
        <f aca="false">IF($C296="","",IFERROR(INDEX(MF_Master!$A:$A,MATCH($C296,MF_Master!$B:$B,0)),""))</f>
        <v/>
      </c>
      <c r="D296" s="15" t="str">
        <f aca="false">IF($C296="","",IFERROR(INDEX(MF_Master!$C:$C,MATCH($C296,MF_Master!$B:$B,0)),""))</f>
        <v/>
      </c>
      <c r="E296" s="29"/>
      <c r="F296" s="28"/>
      <c r="G296" s="28"/>
      <c r="H296" s="31" t="str">
        <f aca="false">IF(OR($F296="",$G296=""),"",$F296/$G296)</f>
        <v/>
      </c>
    </row>
    <row r="297" customFormat="false" ht="15" hidden="false" customHeight="true" outlineLevel="0" collapsed="false">
      <c r="B297" s="15" t="str">
        <f aca="false">IF($C297="","",IFERROR(INDEX(MF_Master!$A:$A,MATCH($C297,MF_Master!$B:$B,0)),""))</f>
        <v/>
      </c>
      <c r="D297" s="15" t="str">
        <f aca="false">IF($C297="","",IFERROR(INDEX(MF_Master!$C:$C,MATCH($C297,MF_Master!$B:$B,0)),""))</f>
        <v/>
      </c>
      <c r="E297" s="29"/>
      <c r="F297" s="28"/>
      <c r="G297" s="28"/>
      <c r="H297" s="31" t="str">
        <f aca="false">IF(OR($F297="",$G297=""),"",$F297/$G297)</f>
        <v/>
      </c>
    </row>
    <row r="298" customFormat="false" ht="15" hidden="false" customHeight="true" outlineLevel="0" collapsed="false">
      <c r="B298" s="15" t="str">
        <f aca="false">IF($C298="","",IFERROR(INDEX(MF_Master!$A:$A,MATCH($C298,MF_Master!$B:$B,0)),""))</f>
        <v/>
      </c>
      <c r="D298" s="15" t="str">
        <f aca="false">IF($C298="","",IFERROR(INDEX(MF_Master!$C:$C,MATCH($C298,MF_Master!$B:$B,0)),""))</f>
        <v/>
      </c>
      <c r="E298" s="29"/>
      <c r="F298" s="28"/>
      <c r="G298" s="28"/>
      <c r="H298" s="31" t="str">
        <f aca="false">IF(OR($F298="",$G298=""),"",$F298/$G298)</f>
        <v/>
      </c>
    </row>
    <row r="299" customFormat="false" ht="15" hidden="false" customHeight="true" outlineLevel="0" collapsed="false">
      <c r="B299" s="15" t="str">
        <f aca="false">IF($C299="","",IFERROR(INDEX(MF_Master!$A:$A,MATCH($C299,MF_Master!$B:$B,0)),""))</f>
        <v/>
      </c>
      <c r="D299" s="15" t="str">
        <f aca="false">IF($C299="","",IFERROR(INDEX(MF_Master!$C:$C,MATCH($C299,MF_Master!$B:$B,0)),""))</f>
        <v/>
      </c>
      <c r="E299" s="29"/>
      <c r="F299" s="28"/>
      <c r="G299" s="28"/>
      <c r="H299" s="31" t="str">
        <f aca="false">IF(OR($F299="",$G299=""),"",$F299/$G299)</f>
        <v/>
      </c>
    </row>
    <row r="300" customFormat="false" ht="15" hidden="false" customHeight="true" outlineLevel="0" collapsed="false">
      <c r="B300" s="15" t="str">
        <f aca="false">IF($C300="","",IFERROR(INDEX(MF_Master!$A:$A,MATCH($C300,MF_Master!$B:$B,0)),""))</f>
        <v/>
      </c>
      <c r="D300" s="15" t="str">
        <f aca="false">IF($C300="","",IFERROR(INDEX(MF_Master!$C:$C,MATCH($C300,MF_Master!$B:$B,0)),""))</f>
        <v/>
      </c>
      <c r="E300" s="29"/>
      <c r="F300" s="28"/>
      <c r="G300" s="28"/>
      <c r="H300" s="31" t="str">
        <f aca="false">IF(OR($F300="",$G300=""),"",$F300/$G300)</f>
        <v/>
      </c>
    </row>
    <row r="301" customFormat="false" ht="15" hidden="false" customHeight="true" outlineLevel="0" collapsed="false">
      <c r="B301" s="15" t="str">
        <f aca="false">IF($C301="","",IFERROR(INDEX(MF_Master!$A:$A,MATCH($C301,MF_Master!$B:$B,0)),""))</f>
        <v/>
      </c>
      <c r="D301" s="15" t="str">
        <f aca="false">IF($C301="","",IFERROR(INDEX(MF_Master!$C:$C,MATCH($C301,MF_Master!$B:$B,0)),""))</f>
        <v/>
      </c>
      <c r="E301" s="29"/>
      <c r="F301" s="28"/>
      <c r="G301" s="28"/>
      <c r="H301" s="31" t="str">
        <f aca="false">IF(OR($F301="",$G301=""),"",$F301/$G301)</f>
        <v/>
      </c>
    </row>
    <row r="302" customFormat="false" ht="15" hidden="false" customHeight="true" outlineLevel="0" collapsed="false">
      <c r="B302" s="15" t="str">
        <f aca="false">IF($C302="","",IFERROR(INDEX(MF_Master!$A:$A,MATCH($C302,MF_Master!$B:$B,0)),""))</f>
        <v/>
      </c>
      <c r="D302" s="15" t="str">
        <f aca="false">IF($C302="","",IFERROR(INDEX(MF_Master!$C:$C,MATCH($C302,MF_Master!$B:$B,0)),""))</f>
        <v/>
      </c>
      <c r="E302" s="29"/>
      <c r="F302" s="28"/>
      <c r="G302" s="28"/>
      <c r="H302" s="31" t="str">
        <f aca="false">IF(OR($F302="",$G302=""),"",$F302/$G302)</f>
        <v/>
      </c>
    </row>
    <row r="303" customFormat="false" ht="15" hidden="false" customHeight="true" outlineLevel="0" collapsed="false">
      <c r="B303" s="15" t="str">
        <f aca="false">IF($C303="","",IFERROR(INDEX(MF_Master!$A:$A,MATCH($C303,MF_Master!$B:$B,0)),""))</f>
        <v/>
      </c>
      <c r="D303" s="15" t="str">
        <f aca="false">IF($C303="","",IFERROR(INDEX(MF_Master!$C:$C,MATCH($C303,MF_Master!$B:$B,0)),""))</f>
        <v/>
      </c>
      <c r="E303" s="29"/>
      <c r="F303" s="28"/>
      <c r="G303" s="28"/>
      <c r="H303" s="31" t="str">
        <f aca="false">IF(OR($F303="",$G303=""),"",$F303/$G303)</f>
        <v/>
      </c>
    </row>
    <row r="304" customFormat="false" ht="15" hidden="false" customHeight="true" outlineLevel="0" collapsed="false">
      <c r="B304" s="15" t="str">
        <f aca="false">IF($C304="","",IFERROR(INDEX(MF_Master!$A:$A,MATCH($C304,MF_Master!$B:$B,0)),""))</f>
        <v/>
      </c>
      <c r="D304" s="15" t="str">
        <f aca="false">IF($C304="","",IFERROR(INDEX(MF_Master!$C:$C,MATCH($C304,MF_Master!$B:$B,0)),""))</f>
        <v/>
      </c>
      <c r="E304" s="29"/>
      <c r="F304" s="28"/>
      <c r="G304" s="28"/>
      <c r="H304" s="31" t="str">
        <f aca="false">IF(OR($F304="",$G304=""),"",$F304/$G304)</f>
        <v/>
      </c>
    </row>
    <row r="305" customFormat="false" ht="15" hidden="false" customHeight="true" outlineLevel="0" collapsed="false">
      <c r="B305" s="15" t="str">
        <f aca="false">IF($C305="","",IFERROR(INDEX(MF_Master!$A:$A,MATCH($C305,MF_Master!$B:$B,0)),""))</f>
        <v/>
      </c>
      <c r="D305" s="15" t="str">
        <f aca="false">IF($C305="","",IFERROR(INDEX(MF_Master!$C:$C,MATCH($C305,MF_Master!$B:$B,0)),""))</f>
        <v/>
      </c>
      <c r="E305" s="29"/>
      <c r="F305" s="28"/>
      <c r="G305" s="28"/>
      <c r="H305" s="31" t="str">
        <f aca="false">IF(OR($F305="",$G305=""),"",$F305/$G305)</f>
        <v/>
      </c>
    </row>
    <row r="306" customFormat="false" ht="15" hidden="false" customHeight="true" outlineLevel="0" collapsed="false">
      <c r="B306" s="15" t="str">
        <f aca="false">IF($C306="","",IFERROR(INDEX(MF_Master!$A:$A,MATCH($C306,MF_Master!$B:$B,0)),""))</f>
        <v/>
      </c>
      <c r="D306" s="15" t="str">
        <f aca="false">IF($C306="","",IFERROR(INDEX(MF_Master!$C:$C,MATCH($C306,MF_Master!$B:$B,0)),""))</f>
        <v/>
      </c>
      <c r="E306" s="29"/>
      <c r="F306" s="28"/>
      <c r="G306" s="28"/>
      <c r="H306" s="31" t="str">
        <f aca="false">IF(OR($F306="",$G306=""),"",$F306/$G306)</f>
        <v/>
      </c>
    </row>
    <row r="307" customFormat="false" ht="15" hidden="false" customHeight="true" outlineLevel="0" collapsed="false">
      <c r="B307" s="15" t="str">
        <f aca="false">IF($C307="","",IFERROR(INDEX(MF_Master!$A:$A,MATCH($C307,MF_Master!$B:$B,0)),""))</f>
        <v/>
      </c>
      <c r="D307" s="15" t="str">
        <f aca="false">IF($C307="","",IFERROR(INDEX(MF_Master!$C:$C,MATCH($C307,MF_Master!$B:$B,0)),""))</f>
        <v/>
      </c>
      <c r="E307" s="29"/>
      <c r="F307" s="28"/>
      <c r="G307" s="28"/>
      <c r="H307" s="31" t="str">
        <f aca="false">IF(OR($F307="",$G307=""),"",$F307/$G307)</f>
        <v/>
      </c>
    </row>
    <row r="308" customFormat="false" ht="15" hidden="false" customHeight="true" outlineLevel="0" collapsed="false">
      <c r="B308" s="15" t="str">
        <f aca="false">IF($C308="","",IFERROR(INDEX(MF_Master!$A:$A,MATCH($C308,MF_Master!$B:$B,0)),""))</f>
        <v/>
      </c>
      <c r="D308" s="15" t="str">
        <f aca="false">IF($C308="","",IFERROR(INDEX(MF_Master!$C:$C,MATCH($C308,MF_Master!$B:$B,0)),""))</f>
        <v/>
      </c>
      <c r="E308" s="29"/>
      <c r="F308" s="28"/>
      <c r="G308" s="28"/>
      <c r="H308" s="31" t="str">
        <f aca="false">IF(OR($F308="",$G308=""),"",$F308/$G308)</f>
        <v/>
      </c>
    </row>
    <row r="309" customFormat="false" ht="15" hidden="false" customHeight="true" outlineLevel="0" collapsed="false">
      <c r="B309" s="15" t="str">
        <f aca="false">IF($C309="","",IFERROR(INDEX(MF_Master!$A:$A,MATCH($C309,MF_Master!$B:$B,0)),""))</f>
        <v/>
      </c>
      <c r="D309" s="15" t="str">
        <f aca="false">IF($C309="","",IFERROR(INDEX(MF_Master!$C:$C,MATCH($C309,MF_Master!$B:$B,0)),""))</f>
        <v/>
      </c>
      <c r="E309" s="29"/>
      <c r="F309" s="28"/>
      <c r="G309" s="28"/>
      <c r="H309" s="31" t="str">
        <f aca="false">IF(OR($F309="",$G309=""),"",$F309/$G309)</f>
        <v/>
      </c>
    </row>
    <row r="310" customFormat="false" ht="15" hidden="false" customHeight="true" outlineLevel="0" collapsed="false">
      <c r="B310" s="15" t="str">
        <f aca="false">IF($C310="","",IFERROR(INDEX(MF_Master!$A:$A,MATCH($C310,MF_Master!$B:$B,0)),""))</f>
        <v/>
      </c>
      <c r="D310" s="15" t="str">
        <f aca="false">IF($C310="","",IFERROR(INDEX(MF_Master!$C:$C,MATCH($C310,MF_Master!$B:$B,0)),""))</f>
        <v/>
      </c>
      <c r="E310" s="29"/>
      <c r="F310" s="28"/>
      <c r="G310" s="28"/>
      <c r="H310" s="31" t="str">
        <f aca="false">IF(OR($F310="",$G310=""),"",$F310/$G310)</f>
        <v/>
      </c>
    </row>
    <row r="311" customFormat="false" ht="15" hidden="false" customHeight="true" outlineLevel="0" collapsed="false">
      <c r="B311" s="15" t="str">
        <f aca="false">IF($C311="","",IFERROR(INDEX(MF_Master!$A:$A,MATCH($C311,MF_Master!$B:$B,0)),""))</f>
        <v/>
      </c>
      <c r="D311" s="15" t="str">
        <f aca="false">IF($C311="","",IFERROR(INDEX(MF_Master!$C:$C,MATCH($C311,MF_Master!$B:$B,0)),""))</f>
        <v/>
      </c>
      <c r="E311" s="29"/>
      <c r="F311" s="28"/>
      <c r="G311" s="28"/>
      <c r="H311" s="31" t="str">
        <f aca="false">IF(OR($F311="",$G311=""),"",$F311/$G311)</f>
        <v/>
      </c>
    </row>
    <row r="312" customFormat="false" ht="15" hidden="false" customHeight="true" outlineLevel="0" collapsed="false">
      <c r="B312" s="15" t="str">
        <f aca="false">IF($C312="","",IFERROR(INDEX(MF_Master!$A:$A,MATCH($C312,MF_Master!$B:$B,0)),""))</f>
        <v/>
      </c>
      <c r="D312" s="15" t="str">
        <f aca="false">IF($C312="","",IFERROR(INDEX(MF_Master!$C:$C,MATCH($C312,MF_Master!$B:$B,0)),""))</f>
        <v/>
      </c>
      <c r="E312" s="29"/>
      <c r="F312" s="28"/>
      <c r="G312" s="28"/>
      <c r="H312" s="31" t="str">
        <f aca="false">IF(OR($F312="",$G312=""),"",$F312/$G312)</f>
        <v/>
      </c>
    </row>
    <row r="313" customFormat="false" ht="15" hidden="false" customHeight="true" outlineLevel="0" collapsed="false">
      <c r="B313" s="15" t="str">
        <f aca="false">IF($C313="","",IFERROR(INDEX(MF_Master!$A:$A,MATCH($C313,MF_Master!$B:$B,0)),""))</f>
        <v/>
      </c>
      <c r="D313" s="15" t="str">
        <f aca="false">IF($C313="","",IFERROR(INDEX(MF_Master!$C:$C,MATCH($C313,MF_Master!$B:$B,0)),""))</f>
        <v/>
      </c>
      <c r="E313" s="29"/>
      <c r="F313" s="28"/>
      <c r="G313" s="28"/>
      <c r="H313" s="31" t="str">
        <f aca="false">IF(OR($F313="",$G313=""),"",$F313/$G313)</f>
        <v/>
      </c>
    </row>
    <row r="314" customFormat="false" ht="15" hidden="false" customHeight="true" outlineLevel="0" collapsed="false">
      <c r="B314" s="15" t="str">
        <f aca="false">IF($C314="","",IFERROR(INDEX(MF_Master!$A:$A,MATCH($C314,MF_Master!$B:$B,0)),""))</f>
        <v/>
      </c>
      <c r="D314" s="15" t="str">
        <f aca="false">IF($C314="","",IFERROR(INDEX(MF_Master!$C:$C,MATCH($C314,MF_Master!$B:$B,0)),""))</f>
        <v/>
      </c>
      <c r="E314" s="29"/>
      <c r="F314" s="28"/>
      <c r="G314" s="28"/>
      <c r="H314" s="31" t="str">
        <f aca="false">IF(OR($F314="",$G314=""),"",$F314/$G314)</f>
        <v/>
      </c>
    </row>
    <row r="315" customFormat="false" ht="15" hidden="false" customHeight="true" outlineLevel="0" collapsed="false">
      <c r="B315" s="15" t="str">
        <f aca="false">IF($C315="","",IFERROR(INDEX(MF_Master!$A:$A,MATCH($C315,MF_Master!$B:$B,0)),""))</f>
        <v/>
      </c>
      <c r="D315" s="15" t="str">
        <f aca="false">IF($C315="","",IFERROR(INDEX(MF_Master!$C:$C,MATCH($C315,MF_Master!$B:$B,0)),""))</f>
        <v/>
      </c>
      <c r="E315" s="29"/>
      <c r="F315" s="28"/>
      <c r="G315" s="28"/>
      <c r="H315" s="31" t="str">
        <f aca="false">IF(OR($F315="",$G315=""),"",$F315/$G315)</f>
        <v/>
      </c>
    </row>
    <row r="316" customFormat="false" ht="15" hidden="false" customHeight="true" outlineLevel="0" collapsed="false">
      <c r="B316" s="15" t="str">
        <f aca="false">IF($C316="","",IFERROR(INDEX(MF_Master!$A:$A,MATCH($C316,MF_Master!$B:$B,0)),""))</f>
        <v/>
      </c>
      <c r="D316" s="15" t="str">
        <f aca="false">IF($C316="","",IFERROR(INDEX(MF_Master!$C:$C,MATCH($C316,MF_Master!$B:$B,0)),""))</f>
        <v/>
      </c>
      <c r="E316" s="29"/>
      <c r="F316" s="28"/>
      <c r="G316" s="28"/>
      <c r="H316" s="31" t="str">
        <f aca="false">IF(OR($F316="",$G316=""),"",$F316/$G316)</f>
        <v/>
      </c>
    </row>
    <row r="317" customFormat="false" ht="15" hidden="false" customHeight="true" outlineLevel="0" collapsed="false">
      <c r="B317" s="15" t="str">
        <f aca="false">IF($C317="","",IFERROR(INDEX(MF_Master!$A:$A,MATCH($C317,MF_Master!$B:$B,0)),""))</f>
        <v/>
      </c>
      <c r="D317" s="15" t="str">
        <f aca="false">IF($C317="","",IFERROR(INDEX(MF_Master!$C:$C,MATCH($C317,MF_Master!$B:$B,0)),""))</f>
        <v/>
      </c>
      <c r="E317" s="29"/>
      <c r="F317" s="28"/>
      <c r="G317" s="28"/>
      <c r="H317" s="31" t="str">
        <f aca="false">IF(OR($F317="",$G317=""),"",$F317/$G317)</f>
        <v/>
      </c>
    </row>
    <row r="318" customFormat="false" ht="15" hidden="false" customHeight="true" outlineLevel="0" collapsed="false">
      <c r="B318" s="15" t="str">
        <f aca="false">IF($C318="","",IFERROR(INDEX(MF_Master!$A:$A,MATCH($C318,MF_Master!$B:$B,0)),""))</f>
        <v/>
      </c>
      <c r="D318" s="15" t="str">
        <f aca="false">IF($C318="","",IFERROR(INDEX(MF_Master!$C:$C,MATCH($C318,MF_Master!$B:$B,0)),""))</f>
        <v/>
      </c>
      <c r="E318" s="29"/>
      <c r="F318" s="28"/>
      <c r="G318" s="28"/>
      <c r="H318" s="31" t="str">
        <f aca="false">IF(OR($F318="",$G318=""),"",$F318/$G318)</f>
        <v/>
      </c>
    </row>
    <row r="319" customFormat="false" ht="15" hidden="false" customHeight="true" outlineLevel="0" collapsed="false">
      <c r="B319" s="15" t="str">
        <f aca="false">IF($C319="","",IFERROR(INDEX(MF_Master!$A:$A,MATCH($C319,MF_Master!$B:$B,0)),""))</f>
        <v/>
      </c>
      <c r="D319" s="15" t="str">
        <f aca="false">IF($C319="","",IFERROR(INDEX(MF_Master!$C:$C,MATCH($C319,MF_Master!$B:$B,0)),""))</f>
        <v/>
      </c>
      <c r="E319" s="29"/>
      <c r="F319" s="28"/>
      <c r="G319" s="28"/>
      <c r="H319" s="31" t="str">
        <f aca="false">IF(OR($F319="",$G319=""),"",$F319/$G319)</f>
        <v/>
      </c>
    </row>
    <row r="320" customFormat="false" ht="15" hidden="false" customHeight="true" outlineLevel="0" collapsed="false">
      <c r="B320" s="15" t="str">
        <f aca="false">IF($C320="","",IFERROR(INDEX(MF_Master!$A:$A,MATCH($C320,MF_Master!$B:$B,0)),""))</f>
        <v/>
      </c>
      <c r="D320" s="15" t="str">
        <f aca="false">IF($C320="","",IFERROR(INDEX(MF_Master!$C:$C,MATCH($C320,MF_Master!$B:$B,0)),""))</f>
        <v/>
      </c>
      <c r="E320" s="29"/>
      <c r="F320" s="28"/>
      <c r="G320" s="28"/>
      <c r="H320" s="31" t="str">
        <f aca="false">IF(OR($F320="",$G320=""),"",$F320/$G320)</f>
        <v/>
      </c>
    </row>
    <row r="321" customFormat="false" ht="15" hidden="false" customHeight="true" outlineLevel="0" collapsed="false">
      <c r="B321" s="15" t="str">
        <f aca="false">IF($C321="","",IFERROR(INDEX(MF_Master!$A:$A,MATCH($C321,MF_Master!$B:$B,0)),""))</f>
        <v/>
      </c>
      <c r="D321" s="15" t="str">
        <f aca="false">IF($C321="","",IFERROR(INDEX(MF_Master!$C:$C,MATCH($C321,MF_Master!$B:$B,0)),""))</f>
        <v/>
      </c>
      <c r="E321" s="29"/>
      <c r="F321" s="28"/>
      <c r="G321" s="28"/>
      <c r="H321" s="31" t="str">
        <f aca="false">IF(OR($F321="",$G321=""),"",$F321/$G321)</f>
        <v/>
      </c>
    </row>
    <row r="322" customFormat="false" ht="15" hidden="false" customHeight="true" outlineLevel="0" collapsed="false">
      <c r="B322" s="15" t="str">
        <f aca="false">IF($C322="","",IFERROR(INDEX(MF_Master!$A:$A,MATCH($C322,MF_Master!$B:$B,0)),""))</f>
        <v/>
      </c>
      <c r="D322" s="15" t="str">
        <f aca="false">IF($C322="","",IFERROR(INDEX(MF_Master!$C:$C,MATCH($C322,MF_Master!$B:$B,0)),""))</f>
        <v/>
      </c>
      <c r="E322" s="29"/>
      <c r="F322" s="28"/>
      <c r="G322" s="28"/>
      <c r="H322" s="31" t="str">
        <f aca="false">IF(OR($F322="",$G322=""),"",$F322/$G322)</f>
        <v/>
      </c>
    </row>
    <row r="323" customFormat="false" ht="15" hidden="false" customHeight="true" outlineLevel="0" collapsed="false">
      <c r="B323" s="15" t="str">
        <f aca="false">IF($C323="","",IFERROR(INDEX(MF_Master!$A:$A,MATCH($C323,MF_Master!$B:$B,0)),""))</f>
        <v/>
      </c>
      <c r="D323" s="15" t="str">
        <f aca="false">IF($C323="","",IFERROR(INDEX(MF_Master!$C:$C,MATCH($C323,MF_Master!$B:$B,0)),""))</f>
        <v/>
      </c>
      <c r="E323" s="29"/>
      <c r="F323" s="28"/>
      <c r="G323" s="28"/>
      <c r="H323" s="31" t="str">
        <f aca="false">IF(OR($F323="",$G323=""),"",$F323/$G323)</f>
        <v/>
      </c>
    </row>
    <row r="324" customFormat="false" ht="15" hidden="false" customHeight="true" outlineLevel="0" collapsed="false">
      <c r="B324" s="15" t="str">
        <f aca="false">IF($C324="","",IFERROR(INDEX(MF_Master!$A:$A,MATCH($C324,MF_Master!$B:$B,0)),""))</f>
        <v/>
      </c>
      <c r="D324" s="15" t="str">
        <f aca="false">IF($C324="","",IFERROR(INDEX(MF_Master!$C:$C,MATCH($C324,MF_Master!$B:$B,0)),""))</f>
        <v/>
      </c>
      <c r="E324" s="29"/>
      <c r="F324" s="28"/>
      <c r="G324" s="28"/>
      <c r="H324" s="31" t="str">
        <f aca="false">IF(OR($F324="",$G324=""),"",$F324/$G324)</f>
        <v/>
      </c>
    </row>
    <row r="325" customFormat="false" ht="15" hidden="false" customHeight="true" outlineLevel="0" collapsed="false">
      <c r="B325" s="15" t="str">
        <f aca="false">IF($C325="","",IFERROR(INDEX(MF_Master!$A:$A,MATCH($C325,MF_Master!$B:$B,0)),""))</f>
        <v/>
      </c>
      <c r="D325" s="15" t="str">
        <f aca="false">IF($C325="","",IFERROR(INDEX(MF_Master!$C:$C,MATCH($C325,MF_Master!$B:$B,0)),""))</f>
        <v/>
      </c>
      <c r="E325" s="29"/>
      <c r="F325" s="28"/>
      <c r="G325" s="28"/>
      <c r="H325" s="31" t="str">
        <f aca="false">IF(OR($F325="",$G325=""),"",$F325/$G325)</f>
        <v/>
      </c>
    </row>
    <row r="326" customFormat="false" ht="15" hidden="false" customHeight="true" outlineLevel="0" collapsed="false">
      <c r="B326" s="15" t="str">
        <f aca="false">IF($C326="","",IFERROR(INDEX(MF_Master!$A:$A,MATCH($C326,MF_Master!$B:$B,0)),""))</f>
        <v/>
      </c>
      <c r="D326" s="15" t="str">
        <f aca="false">IF($C326="","",IFERROR(INDEX(MF_Master!$C:$C,MATCH($C326,MF_Master!$B:$B,0)),""))</f>
        <v/>
      </c>
      <c r="E326" s="29"/>
      <c r="F326" s="28"/>
      <c r="G326" s="28"/>
      <c r="H326" s="31" t="str">
        <f aca="false">IF(OR($F326="",$G326=""),"",$F326/$G326)</f>
        <v/>
      </c>
    </row>
    <row r="327" customFormat="false" ht="15" hidden="false" customHeight="true" outlineLevel="0" collapsed="false">
      <c r="B327" s="15" t="str">
        <f aca="false">IF($C327="","",IFERROR(INDEX(MF_Master!$A:$A,MATCH($C327,MF_Master!$B:$B,0)),""))</f>
        <v/>
      </c>
      <c r="D327" s="15" t="str">
        <f aca="false">IF($C327="","",IFERROR(INDEX(MF_Master!$C:$C,MATCH($C327,MF_Master!$B:$B,0)),""))</f>
        <v/>
      </c>
      <c r="E327" s="29"/>
      <c r="F327" s="28"/>
      <c r="G327" s="28"/>
      <c r="H327" s="31" t="str">
        <f aca="false">IF(OR($F327="",$G327=""),"",$F327/$G327)</f>
        <v/>
      </c>
    </row>
    <row r="328" customFormat="false" ht="15" hidden="false" customHeight="true" outlineLevel="0" collapsed="false">
      <c r="B328" s="15" t="str">
        <f aca="false">IF($C328="","",IFERROR(INDEX(MF_Master!$A:$A,MATCH($C328,MF_Master!$B:$B,0)),""))</f>
        <v/>
      </c>
      <c r="D328" s="15" t="str">
        <f aca="false">IF($C328="","",IFERROR(INDEX(MF_Master!$C:$C,MATCH($C328,MF_Master!$B:$B,0)),""))</f>
        <v/>
      </c>
      <c r="E328" s="29"/>
      <c r="F328" s="28"/>
      <c r="G328" s="28"/>
      <c r="H328" s="31" t="str">
        <f aca="false">IF(OR($F328="",$G328=""),"",$F328/$G328)</f>
        <v/>
      </c>
    </row>
    <row r="329" customFormat="false" ht="15" hidden="false" customHeight="true" outlineLevel="0" collapsed="false">
      <c r="B329" s="15" t="str">
        <f aca="false">IF($C329="","",IFERROR(INDEX(MF_Master!$A:$A,MATCH($C329,MF_Master!$B:$B,0)),""))</f>
        <v/>
      </c>
      <c r="D329" s="15" t="str">
        <f aca="false">IF($C329="","",IFERROR(INDEX(MF_Master!$C:$C,MATCH($C329,MF_Master!$B:$B,0)),""))</f>
        <v/>
      </c>
      <c r="E329" s="29"/>
      <c r="F329" s="28"/>
      <c r="G329" s="28"/>
      <c r="H329" s="31" t="str">
        <f aca="false">IF(OR($F329="",$G329=""),"",$F329/$G329)</f>
        <v/>
      </c>
    </row>
    <row r="330" customFormat="false" ht="15" hidden="false" customHeight="true" outlineLevel="0" collapsed="false">
      <c r="B330" s="15" t="str">
        <f aca="false">IF($C330="","",IFERROR(INDEX(MF_Master!$A:$A,MATCH($C330,MF_Master!$B:$B,0)),""))</f>
        <v/>
      </c>
      <c r="D330" s="15" t="str">
        <f aca="false">IF($C330="","",IFERROR(INDEX(MF_Master!$C:$C,MATCH($C330,MF_Master!$B:$B,0)),""))</f>
        <v/>
      </c>
      <c r="E330" s="29"/>
      <c r="F330" s="28"/>
      <c r="G330" s="28"/>
      <c r="H330" s="31" t="str">
        <f aca="false">IF(OR($F330="",$G330=""),"",$F330/$G330)</f>
        <v/>
      </c>
    </row>
    <row r="331" customFormat="false" ht="15" hidden="false" customHeight="true" outlineLevel="0" collapsed="false">
      <c r="B331" s="15" t="str">
        <f aca="false">IF($C331="","",IFERROR(INDEX(MF_Master!$A:$A,MATCH($C331,MF_Master!$B:$B,0)),""))</f>
        <v/>
      </c>
      <c r="D331" s="15" t="str">
        <f aca="false">IF($C331="","",IFERROR(INDEX(MF_Master!$C:$C,MATCH($C331,MF_Master!$B:$B,0)),""))</f>
        <v/>
      </c>
      <c r="E331" s="29"/>
      <c r="F331" s="28"/>
      <c r="G331" s="28"/>
      <c r="H331" s="31" t="str">
        <f aca="false">IF(OR($F331="",$G331=""),"",$F331/$G331)</f>
        <v/>
      </c>
    </row>
    <row r="332" customFormat="false" ht="15" hidden="false" customHeight="true" outlineLevel="0" collapsed="false">
      <c r="B332" s="15" t="str">
        <f aca="false">IF($C332="","",IFERROR(INDEX(MF_Master!$A:$A,MATCH($C332,MF_Master!$B:$B,0)),""))</f>
        <v/>
      </c>
      <c r="D332" s="15" t="str">
        <f aca="false">IF($C332="","",IFERROR(INDEX(MF_Master!$C:$C,MATCH($C332,MF_Master!$B:$B,0)),""))</f>
        <v/>
      </c>
      <c r="E332" s="29"/>
      <c r="F332" s="28"/>
      <c r="G332" s="28"/>
      <c r="H332" s="31" t="str">
        <f aca="false">IF(OR($F332="",$G332=""),"",$F332/$G332)</f>
        <v/>
      </c>
    </row>
    <row r="333" customFormat="false" ht="15" hidden="false" customHeight="true" outlineLevel="0" collapsed="false">
      <c r="B333" s="15" t="str">
        <f aca="false">IF($C333="","",IFERROR(INDEX(MF_Master!$A:$A,MATCH($C333,MF_Master!$B:$B,0)),""))</f>
        <v/>
      </c>
      <c r="D333" s="15" t="str">
        <f aca="false">IF($C333="","",IFERROR(INDEX(MF_Master!$C:$C,MATCH($C333,MF_Master!$B:$B,0)),""))</f>
        <v/>
      </c>
      <c r="E333" s="29"/>
      <c r="F333" s="28"/>
      <c r="G333" s="28"/>
      <c r="H333" s="31" t="str">
        <f aca="false">IF(OR($F333="",$G333=""),"",$F333/$G333)</f>
        <v/>
      </c>
    </row>
    <row r="334" customFormat="false" ht="15" hidden="false" customHeight="true" outlineLevel="0" collapsed="false">
      <c r="B334" s="15" t="str">
        <f aca="false">IF($C334="","",IFERROR(INDEX(MF_Master!$A:$A,MATCH($C334,MF_Master!$B:$B,0)),""))</f>
        <v/>
      </c>
      <c r="D334" s="15" t="str">
        <f aca="false">IF($C334="","",IFERROR(INDEX(MF_Master!$C:$C,MATCH($C334,MF_Master!$B:$B,0)),""))</f>
        <v/>
      </c>
      <c r="E334" s="29"/>
      <c r="F334" s="28"/>
      <c r="G334" s="28"/>
      <c r="H334" s="31" t="str">
        <f aca="false">IF(OR($F334="",$G334=""),"",$F334/$G334)</f>
        <v/>
      </c>
    </row>
    <row r="335" customFormat="false" ht="15" hidden="false" customHeight="true" outlineLevel="0" collapsed="false">
      <c r="B335" s="15" t="str">
        <f aca="false">IF($C335="","",IFERROR(INDEX(MF_Master!$A:$A,MATCH($C335,MF_Master!$B:$B,0)),""))</f>
        <v/>
      </c>
      <c r="D335" s="15" t="str">
        <f aca="false">IF($C335="","",IFERROR(INDEX(MF_Master!$C:$C,MATCH($C335,MF_Master!$B:$B,0)),""))</f>
        <v/>
      </c>
      <c r="E335" s="29"/>
      <c r="F335" s="28"/>
      <c r="G335" s="28"/>
      <c r="H335" s="31" t="str">
        <f aca="false">IF(OR($F335="",$G335=""),"",$F335/$G335)</f>
        <v/>
      </c>
    </row>
    <row r="336" customFormat="false" ht="15" hidden="false" customHeight="true" outlineLevel="0" collapsed="false">
      <c r="B336" s="15" t="str">
        <f aca="false">IF($C336="","",IFERROR(INDEX(MF_Master!$A:$A,MATCH($C336,MF_Master!$B:$B,0)),""))</f>
        <v/>
      </c>
      <c r="D336" s="15" t="str">
        <f aca="false">IF($C336="","",IFERROR(INDEX(MF_Master!$C:$C,MATCH($C336,MF_Master!$B:$B,0)),""))</f>
        <v/>
      </c>
      <c r="E336" s="29"/>
      <c r="F336" s="28"/>
      <c r="G336" s="28"/>
      <c r="H336" s="31" t="str">
        <f aca="false">IF(OR($F336="",$G336=""),"",$F336/$G336)</f>
        <v/>
      </c>
    </row>
    <row r="337" customFormat="false" ht="15" hidden="false" customHeight="true" outlineLevel="0" collapsed="false">
      <c r="B337" s="15" t="str">
        <f aca="false">IF($C337="","",IFERROR(INDEX(MF_Master!$A:$A,MATCH($C337,MF_Master!$B:$B,0)),""))</f>
        <v/>
      </c>
      <c r="D337" s="15" t="str">
        <f aca="false">IF($C337="","",IFERROR(INDEX(MF_Master!$C:$C,MATCH($C337,MF_Master!$B:$B,0)),""))</f>
        <v/>
      </c>
      <c r="E337" s="29"/>
      <c r="F337" s="28"/>
      <c r="G337" s="28"/>
      <c r="H337" s="31" t="str">
        <f aca="false">IF(OR($F337="",$G337=""),"",$F337/$G337)</f>
        <v/>
      </c>
    </row>
    <row r="338" customFormat="false" ht="15" hidden="false" customHeight="true" outlineLevel="0" collapsed="false">
      <c r="B338" s="15" t="str">
        <f aca="false">IF($C338="","",IFERROR(INDEX(MF_Master!$A:$A,MATCH($C338,MF_Master!$B:$B,0)),""))</f>
        <v/>
      </c>
      <c r="D338" s="15" t="str">
        <f aca="false">IF($C338="","",IFERROR(INDEX(MF_Master!$C:$C,MATCH($C338,MF_Master!$B:$B,0)),""))</f>
        <v/>
      </c>
      <c r="E338" s="29"/>
      <c r="F338" s="28"/>
      <c r="G338" s="28"/>
      <c r="H338" s="31" t="str">
        <f aca="false">IF(OR($F338="",$G338=""),"",$F338/$G338)</f>
        <v/>
      </c>
    </row>
    <row r="339" customFormat="false" ht="15" hidden="false" customHeight="true" outlineLevel="0" collapsed="false">
      <c r="B339" s="15" t="str">
        <f aca="false">IF($C339="","",IFERROR(INDEX(MF_Master!$A:$A,MATCH($C339,MF_Master!$B:$B,0)),""))</f>
        <v/>
      </c>
      <c r="D339" s="15" t="str">
        <f aca="false">IF($C339="","",IFERROR(INDEX(MF_Master!$C:$C,MATCH($C339,MF_Master!$B:$B,0)),""))</f>
        <v/>
      </c>
      <c r="E339" s="29"/>
      <c r="F339" s="28"/>
      <c r="G339" s="28"/>
      <c r="H339" s="31" t="str">
        <f aca="false">IF(OR($F339="",$G339=""),"",$F339/$G339)</f>
        <v/>
      </c>
    </row>
    <row r="340" customFormat="false" ht="15" hidden="false" customHeight="true" outlineLevel="0" collapsed="false">
      <c r="B340" s="15" t="str">
        <f aca="false">IF($C340="","",IFERROR(INDEX(MF_Master!$A:$A,MATCH($C340,MF_Master!$B:$B,0)),""))</f>
        <v/>
      </c>
      <c r="D340" s="15" t="str">
        <f aca="false">IF($C340="","",IFERROR(INDEX(MF_Master!$C:$C,MATCH($C340,MF_Master!$B:$B,0)),""))</f>
        <v/>
      </c>
      <c r="E340" s="29"/>
      <c r="F340" s="28"/>
      <c r="G340" s="28"/>
      <c r="H340" s="31" t="str">
        <f aca="false">IF(OR($F340="",$G340=""),"",$F340/$G340)</f>
        <v/>
      </c>
    </row>
    <row r="341" customFormat="false" ht="15" hidden="false" customHeight="true" outlineLevel="0" collapsed="false">
      <c r="B341" s="15" t="str">
        <f aca="false">IF($C341="","",IFERROR(INDEX(MF_Master!$A:$A,MATCH($C341,MF_Master!$B:$B,0)),""))</f>
        <v/>
      </c>
      <c r="D341" s="15" t="str">
        <f aca="false">IF($C341="","",IFERROR(INDEX(MF_Master!$C:$C,MATCH($C341,MF_Master!$B:$B,0)),""))</f>
        <v/>
      </c>
      <c r="E341" s="29"/>
      <c r="F341" s="28"/>
      <c r="G341" s="28"/>
      <c r="H341" s="31" t="str">
        <f aca="false">IF(OR($F341="",$G341=""),"",$F341/$G341)</f>
        <v/>
      </c>
    </row>
    <row r="342" customFormat="false" ht="15" hidden="false" customHeight="true" outlineLevel="0" collapsed="false">
      <c r="B342" s="15" t="str">
        <f aca="false">IF($C342="","",IFERROR(INDEX(MF_Master!$A:$A,MATCH($C342,MF_Master!$B:$B,0)),""))</f>
        <v/>
      </c>
      <c r="D342" s="15" t="str">
        <f aca="false">IF($C342="","",IFERROR(INDEX(MF_Master!$C:$C,MATCH($C342,MF_Master!$B:$B,0)),""))</f>
        <v/>
      </c>
      <c r="E342" s="29"/>
      <c r="F342" s="28"/>
      <c r="G342" s="28"/>
      <c r="H342" s="31" t="str">
        <f aca="false">IF(OR($F342="",$G342=""),"",$F342/$G342)</f>
        <v/>
      </c>
    </row>
    <row r="343" customFormat="false" ht="15" hidden="false" customHeight="true" outlineLevel="0" collapsed="false">
      <c r="B343" s="15" t="str">
        <f aca="false">IF($C343="","",IFERROR(INDEX(MF_Master!$A:$A,MATCH($C343,MF_Master!$B:$B,0)),""))</f>
        <v/>
      </c>
      <c r="D343" s="15" t="str">
        <f aca="false">IF($C343="","",IFERROR(INDEX(MF_Master!$C:$C,MATCH($C343,MF_Master!$B:$B,0)),""))</f>
        <v/>
      </c>
      <c r="E343" s="29"/>
      <c r="F343" s="28"/>
      <c r="G343" s="28"/>
      <c r="H343" s="31" t="str">
        <f aca="false">IF(OR($F343="",$G343=""),"",$F343/$G343)</f>
        <v/>
      </c>
    </row>
    <row r="344" customFormat="false" ht="15" hidden="false" customHeight="true" outlineLevel="0" collapsed="false">
      <c r="B344" s="15" t="str">
        <f aca="false">IF($C344="","",IFERROR(INDEX(MF_Master!$A:$A,MATCH($C344,MF_Master!$B:$B,0)),""))</f>
        <v/>
      </c>
      <c r="D344" s="15" t="str">
        <f aca="false">IF($C344="","",IFERROR(INDEX(MF_Master!$C:$C,MATCH($C344,MF_Master!$B:$B,0)),""))</f>
        <v/>
      </c>
      <c r="E344" s="29"/>
      <c r="F344" s="28"/>
      <c r="G344" s="28"/>
      <c r="H344" s="31" t="str">
        <f aca="false">IF(OR($F344="",$G344=""),"",$F344/$G344)</f>
        <v/>
      </c>
    </row>
    <row r="345" customFormat="false" ht="15" hidden="false" customHeight="true" outlineLevel="0" collapsed="false">
      <c r="B345" s="15" t="str">
        <f aca="false">IF($C345="","",IFERROR(INDEX(MF_Master!$A:$A,MATCH($C345,MF_Master!$B:$B,0)),""))</f>
        <v/>
      </c>
      <c r="D345" s="15" t="str">
        <f aca="false">IF($C345="","",IFERROR(INDEX(MF_Master!$C:$C,MATCH($C345,MF_Master!$B:$B,0)),""))</f>
        <v/>
      </c>
      <c r="E345" s="29"/>
      <c r="F345" s="28"/>
      <c r="G345" s="28"/>
      <c r="H345" s="31" t="str">
        <f aca="false">IF(OR($F345="",$G345=""),"",$F345/$G345)</f>
        <v/>
      </c>
    </row>
    <row r="346" customFormat="false" ht="15" hidden="false" customHeight="true" outlineLevel="0" collapsed="false">
      <c r="B346" s="15" t="str">
        <f aca="false">IF($C346="","",IFERROR(INDEX(MF_Master!$A:$A,MATCH($C346,MF_Master!$B:$B,0)),""))</f>
        <v/>
      </c>
      <c r="D346" s="15" t="str">
        <f aca="false">IF($C346="","",IFERROR(INDEX(MF_Master!$C:$C,MATCH($C346,MF_Master!$B:$B,0)),""))</f>
        <v/>
      </c>
      <c r="E346" s="29"/>
      <c r="F346" s="28"/>
      <c r="G346" s="28"/>
      <c r="H346" s="31" t="str">
        <f aca="false">IF(OR($F346="",$G346=""),"",$F346/$G346)</f>
        <v/>
      </c>
    </row>
    <row r="347" customFormat="false" ht="15" hidden="false" customHeight="true" outlineLevel="0" collapsed="false">
      <c r="B347" s="15" t="str">
        <f aca="false">IF($C347="","",IFERROR(INDEX(MF_Master!$A:$A,MATCH($C347,MF_Master!$B:$B,0)),""))</f>
        <v/>
      </c>
      <c r="D347" s="15" t="str">
        <f aca="false">IF($C347="","",IFERROR(INDEX(MF_Master!$C:$C,MATCH($C347,MF_Master!$B:$B,0)),""))</f>
        <v/>
      </c>
      <c r="E347" s="29"/>
      <c r="F347" s="28"/>
      <c r="G347" s="28"/>
      <c r="H347" s="31" t="str">
        <f aca="false">IF(OR($F347="",$G347=""),"",$F347/$G347)</f>
        <v/>
      </c>
    </row>
    <row r="348" customFormat="false" ht="15" hidden="false" customHeight="true" outlineLevel="0" collapsed="false">
      <c r="B348" s="15" t="str">
        <f aca="false">IF($C348="","",IFERROR(INDEX(MF_Master!$A:$A,MATCH($C348,MF_Master!$B:$B,0)),""))</f>
        <v/>
      </c>
      <c r="D348" s="15" t="str">
        <f aca="false">IF($C348="","",IFERROR(INDEX(MF_Master!$C:$C,MATCH($C348,MF_Master!$B:$B,0)),""))</f>
        <v/>
      </c>
      <c r="E348" s="29"/>
      <c r="F348" s="28"/>
      <c r="G348" s="28"/>
      <c r="H348" s="31" t="str">
        <f aca="false">IF(OR($F348="",$G348=""),"",$F348/$G348)</f>
        <v/>
      </c>
    </row>
    <row r="349" customFormat="false" ht="15" hidden="false" customHeight="true" outlineLevel="0" collapsed="false">
      <c r="B349" s="15" t="str">
        <f aca="false">IF($C349="","",IFERROR(INDEX(MF_Master!$A:$A,MATCH($C349,MF_Master!$B:$B,0)),""))</f>
        <v/>
      </c>
      <c r="D349" s="15" t="str">
        <f aca="false">IF($C349="","",IFERROR(INDEX(MF_Master!$C:$C,MATCH($C349,MF_Master!$B:$B,0)),""))</f>
        <v/>
      </c>
      <c r="E349" s="29"/>
      <c r="F349" s="28"/>
      <c r="G349" s="28"/>
      <c r="H349" s="31" t="str">
        <f aca="false">IF(OR($F349="",$G349=""),"",$F349/$G349)</f>
        <v/>
      </c>
    </row>
    <row r="350" customFormat="false" ht="15" hidden="false" customHeight="true" outlineLevel="0" collapsed="false">
      <c r="B350" s="15" t="str">
        <f aca="false">IF($C350="","",IFERROR(INDEX(MF_Master!$A:$A,MATCH($C350,MF_Master!$B:$B,0)),""))</f>
        <v/>
      </c>
      <c r="D350" s="15" t="str">
        <f aca="false">IF($C350="","",IFERROR(INDEX(MF_Master!$C:$C,MATCH($C350,MF_Master!$B:$B,0)),""))</f>
        <v/>
      </c>
      <c r="E350" s="29"/>
      <c r="F350" s="28"/>
      <c r="G350" s="28"/>
      <c r="H350" s="31" t="str">
        <f aca="false">IF(OR($F350="",$G350=""),"",$F350/$G350)</f>
        <v/>
      </c>
    </row>
    <row r="351" customFormat="false" ht="15" hidden="false" customHeight="true" outlineLevel="0" collapsed="false">
      <c r="B351" s="15" t="str">
        <f aca="false">IF($C351="","",IFERROR(INDEX(MF_Master!$A:$A,MATCH($C351,MF_Master!$B:$B,0)),""))</f>
        <v/>
      </c>
      <c r="D351" s="15" t="str">
        <f aca="false">IF($C351="","",IFERROR(INDEX(MF_Master!$C:$C,MATCH($C351,MF_Master!$B:$B,0)),""))</f>
        <v/>
      </c>
      <c r="E351" s="29"/>
      <c r="F351" s="28"/>
      <c r="G351" s="28"/>
      <c r="H351" s="31" t="str">
        <f aca="false">IF(OR($F351="",$G351=""),"",$F351/$G351)</f>
        <v/>
      </c>
    </row>
    <row r="352" customFormat="false" ht="15" hidden="false" customHeight="true" outlineLevel="0" collapsed="false">
      <c r="B352" s="15" t="str">
        <f aca="false">IF($C352="","",IFERROR(INDEX(MF_Master!$A:$A,MATCH($C352,MF_Master!$B:$B,0)),""))</f>
        <v/>
      </c>
      <c r="D352" s="15" t="str">
        <f aca="false">IF($C352="","",IFERROR(INDEX(MF_Master!$C:$C,MATCH($C352,MF_Master!$B:$B,0)),""))</f>
        <v/>
      </c>
      <c r="E352" s="29"/>
      <c r="F352" s="28"/>
      <c r="G352" s="28"/>
      <c r="H352" s="31" t="str">
        <f aca="false">IF(OR($F352="",$G352=""),"",$F352/$G352)</f>
        <v/>
      </c>
    </row>
    <row r="353" customFormat="false" ht="15" hidden="false" customHeight="true" outlineLevel="0" collapsed="false">
      <c r="B353" s="15" t="str">
        <f aca="false">IF($C353="","",IFERROR(INDEX(MF_Master!$A:$A,MATCH($C353,MF_Master!$B:$B,0)),""))</f>
        <v/>
      </c>
      <c r="D353" s="15" t="str">
        <f aca="false">IF($C353="","",IFERROR(INDEX(MF_Master!$C:$C,MATCH($C353,MF_Master!$B:$B,0)),""))</f>
        <v/>
      </c>
      <c r="E353" s="29"/>
      <c r="F353" s="28"/>
      <c r="G353" s="28"/>
      <c r="H353" s="31" t="str">
        <f aca="false">IF(OR($F353="",$G353=""),"",$F353/$G353)</f>
        <v/>
      </c>
    </row>
    <row r="354" customFormat="false" ht="15" hidden="false" customHeight="true" outlineLevel="0" collapsed="false">
      <c r="B354" s="15" t="str">
        <f aca="false">IF($C354="","",IFERROR(INDEX(MF_Master!$A:$A,MATCH($C354,MF_Master!$B:$B,0)),""))</f>
        <v/>
      </c>
      <c r="D354" s="15" t="str">
        <f aca="false">IF($C354="","",IFERROR(INDEX(MF_Master!$C:$C,MATCH($C354,MF_Master!$B:$B,0)),""))</f>
        <v/>
      </c>
      <c r="E354" s="29"/>
      <c r="F354" s="28"/>
      <c r="G354" s="28"/>
      <c r="H354" s="31" t="str">
        <f aca="false">IF(OR($F354="",$G354=""),"",$F354/$G354)</f>
        <v/>
      </c>
    </row>
    <row r="355" customFormat="false" ht="15" hidden="false" customHeight="true" outlineLevel="0" collapsed="false">
      <c r="B355" s="15" t="str">
        <f aca="false">IF($C355="","",IFERROR(INDEX(MF_Master!$A:$A,MATCH($C355,MF_Master!$B:$B,0)),""))</f>
        <v/>
      </c>
      <c r="D355" s="15" t="str">
        <f aca="false">IF($C355="","",IFERROR(INDEX(MF_Master!$C:$C,MATCH($C355,MF_Master!$B:$B,0)),""))</f>
        <v/>
      </c>
      <c r="E355" s="29"/>
      <c r="F355" s="28"/>
      <c r="G355" s="28"/>
      <c r="H355" s="31" t="str">
        <f aca="false">IF(OR($F355="",$G355=""),"",$F355/$G355)</f>
        <v/>
      </c>
    </row>
    <row r="356" customFormat="false" ht="15" hidden="false" customHeight="true" outlineLevel="0" collapsed="false">
      <c r="B356" s="15" t="str">
        <f aca="false">IF($C356="","",IFERROR(INDEX(MF_Master!$A:$A,MATCH($C356,MF_Master!$B:$B,0)),""))</f>
        <v/>
      </c>
      <c r="D356" s="15" t="str">
        <f aca="false">IF($C356="","",IFERROR(INDEX(MF_Master!$C:$C,MATCH($C356,MF_Master!$B:$B,0)),""))</f>
        <v/>
      </c>
      <c r="E356" s="29"/>
      <c r="F356" s="28"/>
      <c r="G356" s="28"/>
      <c r="H356" s="31" t="str">
        <f aca="false">IF(OR($F356="",$G356=""),"",$F356/$G356)</f>
        <v/>
      </c>
    </row>
    <row r="357" customFormat="false" ht="15" hidden="false" customHeight="true" outlineLevel="0" collapsed="false">
      <c r="B357" s="15" t="str">
        <f aca="false">IF($C357="","",IFERROR(INDEX(MF_Master!$A:$A,MATCH($C357,MF_Master!$B:$B,0)),""))</f>
        <v/>
      </c>
      <c r="D357" s="15" t="str">
        <f aca="false">IF($C357="","",IFERROR(INDEX(MF_Master!$C:$C,MATCH($C357,MF_Master!$B:$B,0)),""))</f>
        <v/>
      </c>
      <c r="E357" s="29"/>
      <c r="F357" s="28"/>
      <c r="G357" s="28"/>
      <c r="H357" s="31" t="str">
        <f aca="false">IF(OR($F357="",$G357=""),"",$F357/$G357)</f>
        <v/>
      </c>
    </row>
    <row r="358" customFormat="false" ht="15" hidden="false" customHeight="true" outlineLevel="0" collapsed="false">
      <c r="B358" s="15" t="str">
        <f aca="false">IF($C358="","",IFERROR(INDEX(MF_Master!$A:$A,MATCH($C358,MF_Master!$B:$B,0)),""))</f>
        <v/>
      </c>
      <c r="D358" s="15" t="str">
        <f aca="false">IF($C358="","",IFERROR(INDEX(MF_Master!$C:$C,MATCH($C358,MF_Master!$B:$B,0)),""))</f>
        <v/>
      </c>
      <c r="E358" s="29"/>
      <c r="F358" s="28"/>
      <c r="G358" s="28"/>
      <c r="H358" s="31" t="str">
        <f aca="false">IF(OR($F358="",$G358=""),"",$F358/$G358)</f>
        <v/>
      </c>
    </row>
    <row r="359" customFormat="false" ht="15" hidden="false" customHeight="true" outlineLevel="0" collapsed="false">
      <c r="B359" s="15" t="str">
        <f aca="false">IF($C359="","",IFERROR(INDEX(MF_Master!$A:$A,MATCH($C359,MF_Master!$B:$B,0)),""))</f>
        <v/>
      </c>
      <c r="D359" s="15" t="str">
        <f aca="false">IF($C359="","",IFERROR(INDEX(MF_Master!$C:$C,MATCH($C359,MF_Master!$B:$B,0)),""))</f>
        <v/>
      </c>
      <c r="E359" s="29"/>
      <c r="F359" s="28"/>
      <c r="G359" s="28"/>
      <c r="H359" s="31" t="str">
        <f aca="false">IF(OR($F359="",$G359=""),"",$F359/$G359)</f>
        <v/>
      </c>
    </row>
    <row r="360" customFormat="false" ht="15" hidden="false" customHeight="true" outlineLevel="0" collapsed="false">
      <c r="B360" s="15" t="str">
        <f aca="false">IF($C360="","",IFERROR(INDEX(MF_Master!$A:$A,MATCH($C360,MF_Master!$B:$B,0)),""))</f>
        <v/>
      </c>
      <c r="D360" s="15" t="str">
        <f aca="false">IF($C360="","",IFERROR(INDEX(MF_Master!$C:$C,MATCH($C360,MF_Master!$B:$B,0)),""))</f>
        <v/>
      </c>
      <c r="E360" s="29"/>
      <c r="F360" s="28"/>
      <c r="G360" s="28"/>
      <c r="H360" s="31" t="str">
        <f aca="false">IF(OR($F360="",$G360=""),"",$F360/$G360)</f>
        <v/>
      </c>
    </row>
    <row r="361" customFormat="false" ht="15" hidden="false" customHeight="true" outlineLevel="0" collapsed="false">
      <c r="B361" s="15" t="str">
        <f aca="false">IF($C361="","",IFERROR(INDEX(MF_Master!$A:$A,MATCH($C361,MF_Master!$B:$B,0)),""))</f>
        <v/>
      </c>
      <c r="D361" s="15" t="str">
        <f aca="false">IF($C361="","",IFERROR(INDEX(MF_Master!$C:$C,MATCH($C361,MF_Master!$B:$B,0)),""))</f>
        <v/>
      </c>
      <c r="E361" s="29"/>
      <c r="F361" s="28"/>
      <c r="G361" s="28"/>
      <c r="H361" s="31" t="str">
        <f aca="false">IF(OR($F361="",$G361=""),"",$F361/$G361)</f>
        <v/>
      </c>
    </row>
    <row r="362" customFormat="false" ht="15" hidden="false" customHeight="true" outlineLevel="0" collapsed="false">
      <c r="B362" s="15" t="str">
        <f aca="false">IF($C362="","",IFERROR(INDEX(MF_Master!$A:$A,MATCH($C362,MF_Master!$B:$B,0)),""))</f>
        <v/>
      </c>
      <c r="D362" s="15" t="str">
        <f aca="false">IF($C362="","",IFERROR(INDEX(MF_Master!$C:$C,MATCH($C362,MF_Master!$B:$B,0)),""))</f>
        <v/>
      </c>
      <c r="E362" s="29"/>
      <c r="F362" s="28"/>
      <c r="G362" s="28"/>
      <c r="H362" s="31" t="str">
        <f aca="false">IF(OR($F362="",$G362=""),"",$F362/$G362)</f>
        <v/>
      </c>
    </row>
    <row r="363" customFormat="false" ht="15" hidden="false" customHeight="true" outlineLevel="0" collapsed="false">
      <c r="B363" s="15" t="str">
        <f aca="false">IF($C363="","",IFERROR(INDEX(MF_Master!$A:$A,MATCH($C363,MF_Master!$B:$B,0)),""))</f>
        <v/>
      </c>
      <c r="D363" s="15" t="str">
        <f aca="false">IF($C363="","",IFERROR(INDEX(MF_Master!$C:$C,MATCH($C363,MF_Master!$B:$B,0)),""))</f>
        <v/>
      </c>
      <c r="E363" s="29"/>
      <c r="F363" s="28"/>
      <c r="G363" s="28"/>
      <c r="H363" s="31" t="str">
        <f aca="false">IF(OR($F363="",$G363=""),"",$F363/$G363)</f>
        <v/>
      </c>
    </row>
    <row r="364" customFormat="false" ht="15" hidden="false" customHeight="true" outlineLevel="0" collapsed="false">
      <c r="B364" s="15" t="str">
        <f aca="false">IF($C364="","",IFERROR(INDEX(MF_Master!$A:$A,MATCH($C364,MF_Master!$B:$B,0)),""))</f>
        <v/>
      </c>
      <c r="D364" s="15" t="str">
        <f aca="false">IF($C364="","",IFERROR(INDEX(MF_Master!$C:$C,MATCH($C364,MF_Master!$B:$B,0)),""))</f>
        <v/>
      </c>
      <c r="E364" s="29"/>
      <c r="F364" s="28"/>
      <c r="G364" s="28"/>
      <c r="H364" s="31" t="str">
        <f aca="false">IF(OR($F364="",$G364=""),"",$F364/$G364)</f>
        <v/>
      </c>
    </row>
    <row r="365" customFormat="false" ht="15" hidden="false" customHeight="true" outlineLevel="0" collapsed="false">
      <c r="B365" s="15" t="str">
        <f aca="false">IF($C365="","",IFERROR(INDEX(MF_Master!$A:$A,MATCH($C365,MF_Master!$B:$B,0)),""))</f>
        <v/>
      </c>
      <c r="D365" s="15" t="str">
        <f aca="false">IF($C365="","",IFERROR(INDEX(MF_Master!$C:$C,MATCH($C365,MF_Master!$B:$B,0)),""))</f>
        <v/>
      </c>
      <c r="E365" s="29"/>
      <c r="F365" s="28"/>
      <c r="G365" s="28"/>
      <c r="H365" s="31" t="str">
        <f aca="false">IF(OR($F365="",$G365=""),"",$F365/$G365)</f>
        <v/>
      </c>
    </row>
    <row r="366" customFormat="false" ht="15" hidden="false" customHeight="true" outlineLevel="0" collapsed="false">
      <c r="B366" s="15" t="str">
        <f aca="false">IF($C366="","",IFERROR(INDEX(MF_Master!$A:$A,MATCH($C366,MF_Master!$B:$B,0)),""))</f>
        <v/>
      </c>
      <c r="D366" s="15" t="str">
        <f aca="false">IF($C366="","",IFERROR(INDEX(MF_Master!$C:$C,MATCH($C366,MF_Master!$B:$B,0)),""))</f>
        <v/>
      </c>
      <c r="E366" s="29"/>
      <c r="F366" s="28"/>
      <c r="G366" s="28"/>
      <c r="H366" s="31" t="str">
        <f aca="false">IF(OR($F366="",$G366=""),"",$F366/$G366)</f>
        <v/>
      </c>
    </row>
    <row r="367" customFormat="false" ht="15" hidden="false" customHeight="true" outlineLevel="0" collapsed="false">
      <c r="B367" s="15" t="str">
        <f aca="false">IF($C367="","",IFERROR(INDEX(MF_Master!$A:$A,MATCH($C367,MF_Master!$B:$B,0)),""))</f>
        <v/>
      </c>
      <c r="D367" s="15" t="str">
        <f aca="false">IF($C367="","",IFERROR(INDEX(MF_Master!$C:$C,MATCH($C367,MF_Master!$B:$B,0)),""))</f>
        <v/>
      </c>
      <c r="E367" s="29"/>
      <c r="F367" s="28"/>
      <c r="G367" s="28"/>
      <c r="H367" s="31" t="str">
        <f aca="false">IF(OR($F367="",$G367=""),"",$F367/$G367)</f>
        <v/>
      </c>
    </row>
    <row r="368" customFormat="false" ht="15" hidden="false" customHeight="true" outlineLevel="0" collapsed="false">
      <c r="B368" s="15" t="str">
        <f aca="false">IF($C368="","",IFERROR(INDEX(MF_Master!$A:$A,MATCH($C368,MF_Master!$B:$B,0)),""))</f>
        <v/>
      </c>
      <c r="D368" s="15" t="str">
        <f aca="false">IF($C368="","",IFERROR(INDEX(MF_Master!$C:$C,MATCH($C368,MF_Master!$B:$B,0)),""))</f>
        <v/>
      </c>
      <c r="E368" s="29"/>
      <c r="F368" s="28"/>
      <c r="G368" s="28"/>
      <c r="H368" s="31" t="str">
        <f aca="false">IF(OR($F368="",$G368=""),"",$F368/$G368)</f>
        <v/>
      </c>
    </row>
    <row r="369" customFormat="false" ht="15" hidden="false" customHeight="true" outlineLevel="0" collapsed="false">
      <c r="B369" s="15" t="str">
        <f aca="false">IF($C369="","",IFERROR(INDEX(MF_Master!$A:$A,MATCH($C369,MF_Master!$B:$B,0)),""))</f>
        <v/>
      </c>
      <c r="D369" s="15" t="str">
        <f aca="false">IF($C369="","",IFERROR(INDEX(MF_Master!$C:$C,MATCH($C369,MF_Master!$B:$B,0)),""))</f>
        <v/>
      </c>
      <c r="E369" s="29"/>
      <c r="F369" s="28"/>
      <c r="G369" s="28"/>
      <c r="H369" s="31" t="str">
        <f aca="false">IF(OR($F369="",$G369=""),"",$F369/$G369)</f>
        <v/>
      </c>
    </row>
    <row r="370" customFormat="false" ht="15" hidden="false" customHeight="true" outlineLevel="0" collapsed="false">
      <c r="B370" s="15" t="str">
        <f aca="false">IF($C370="","",IFERROR(INDEX(MF_Master!$A:$A,MATCH($C370,MF_Master!$B:$B,0)),""))</f>
        <v/>
      </c>
      <c r="D370" s="15" t="str">
        <f aca="false">IF($C370="","",IFERROR(INDEX(MF_Master!$C:$C,MATCH($C370,MF_Master!$B:$B,0)),""))</f>
        <v/>
      </c>
      <c r="E370" s="29"/>
      <c r="F370" s="28"/>
      <c r="G370" s="28"/>
      <c r="H370" s="31" t="str">
        <f aca="false">IF(OR($F370="",$G370=""),"",$F370/$G370)</f>
        <v/>
      </c>
    </row>
    <row r="371" customFormat="false" ht="15" hidden="false" customHeight="true" outlineLevel="0" collapsed="false">
      <c r="B371" s="15" t="str">
        <f aca="false">IF($C371="","",IFERROR(INDEX(MF_Master!$A:$A,MATCH($C371,MF_Master!$B:$B,0)),""))</f>
        <v/>
      </c>
      <c r="D371" s="15" t="str">
        <f aca="false">IF($C371="","",IFERROR(INDEX(MF_Master!$C:$C,MATCH($C371,MF_Master!$B:$B,0)),""))</f>
        <v/>
      </c>
      <c r="E371" s="29"/>
      <c r="F371" s="28"/>
      <c r="G371" s="28"/>
      <c r="H371" s="31" t="str">
        <f aca="false">IF(OR($F371="",$G371=""),"",$F371/$G371)</f>
        <v/>
      </c>
    </row>
    <row r="372" customFormat="false" ht="15" hidden="false" customHeight="true" outlineLevel="0" collapsed="false">
      <c r="B372" s="15" t="str">
        <f aca="false">IF($C372="","",IFERROR(INDEX(MF_Master!$A:$A,MATCH($C372,MF_Master!$B:$B,0)),""))</f>
        <v/>
      </c>
      <c r="D372" s="15" t="str">
        <f aca="false">IF($C372="","",IFERROR(INDEX(MF_Master!$C:$C,MATCH($C372,MF_Master!$B:$B,0)),""))</f>
        <v/>
      </c>
      <c r="E372" s="29"/>
      <c r="F372" s="28"/>
      <c r="G372" s="28"/>
      <c r="H372" s="31" t="str">
        <f aca="false">IF(OR($F372="",$G372=""),"",$F372/$G372)</f>
        <v/>
      </c>
    </row>
    <row r="373" customFormat="false" ht="15" hidden="false" customHeight="true" outlineLevel="0" collapsed="false">
      <c r="B373" s="15" t="str">
        <f aca="false">IF($C373="","",IFERROR(INDEX(MF_Master!$A:$A,MATCH($C373,MF_Master!$B:$B,0)),""))</f>
        <v/>
      </c>
      <c r="D373" s="15" t="str">
        <f aca="false">IF($C373="","",IFERROR(INDEX(MF_Master!$C:$C,MATCH($C373,MF_Master!$B:$B,0)),""))</f>
        <v/>
      </c>
      <c r="E373" s="29"/>
      <c r="F373" s="28"/>
      <c r="G373" s="28"/>
      <c r="H373" s="31" t="str">
        <f aca="false">IF(OR($F373="",$G373=""),"",$F373/$G373)</f>
        <v/>
      </c>
    </row>
    <row r="374" customFormat="false" ht="15" hidden="false" customHeight="true" outlineLevel="0" collapsed="false">
      <c r="B374" s="15" t="str">
        <f aca="false">IF($C374="","",IFERROR(INDEX(MF_Master!$A:$A,MATCH($C374,MF_Master!$B:$B,0)),""))</f>
        <v/>
      </c>
      <c r="D374" s="15" t="str">
        <f aca="false">IF($C374="","",IFERROR(INDEX(MF_Master!$C:$C,MATCH($C374,MF_Master!$B:$B,0)),""))</f>
        <v/>
      </c>
      <c r="E374" s="29"/>
      <c r="F374" s="28"/>
      <c r="G374" s="28"/>
      <c r="H374" s="31" t="str">
        <f aca="false">IF(OR($F374="",$G374=""),"",$F374/$G374)</f>
        <v/>
      </c>
    </row>
    <row r="375" customFormat="false" ht="15" hidden="false" customHeight="true" outlineLevel="0" collapsed="false">
      <c r="B375" s="15" t="str">
        <f aca="false">IF($C375="","",IFERROR(INDEX(MF_Master!$A:$A,MATCH($C375,MF_Master!$B:$B,0)),""))</f>
        <v/>
      </c>
      <c r="D375" s="15" t="str">
        <f aca="false">IF($C375="","",IFERROR(INDEX(MF_Master!$C:$C,MATCH($C375,MF_Master!$B:$B,0)),""))</f>
        <v/>
      </c>
      <c r="E375" s="29"/>
      <c r="F375" s="28"/>
      <c r="G375" s="28"/>
      <c r="H375" s="31" t="str">
        <f aca="false">IF(OR($F375="",$G375=""),"",$F375/$G375)</f>
        <v/>
      </c>
    </row>
    <row r="376" customFormat="false" ht="15" hidden="false" customHeight="true" outlineLevel="0" collapsed="false">
      <c r="B376" s="15" t="str">
        <f aca="false">IF($C376="","",IFERROR(INDEX(MF_Master!$A:$A,MATCH($C376,MF_Master!$B:$B,0)),""))</f>
        <v/>
      </c>
      <c r="D376" s="15" t="str">
        <f aca="false">IF($C376="","",IFERROR(INDEX(MF_Master!$C:$C,MATCH($C376,MF_Master!$B:$B,0)),""))</f>
        <v/>
      </c>
      <c r="E376" s="29"/>
      <c r="F376" s="28"/>
      <c r="G376" s="28"/>
      <c r="H376" s="31" t="str">
        <f aca="false">IF(OR($F376="",$G376=""),"",$F376/$G376)</f>
        <v/>
      </c>
    </row>
    <row r="377" customFormat="false" ht="15" hidden="false" customHeight="true" outlineLevel="0" collapsed="false">
      <c r="B377" s="15" t="str">
        <f aca="false">IF($C377="","",IFERROR(INDEX(MF_Master!$A:$A,MATCH($C377,MF_Master!$B:$B,0)),""))</f>
        <v/>
      </c>
      <c r="D377" s="15" t="str">
        <f aca="false">IF($C377="","",IFERROR(INDEX(MF_Master!$C:$C,MATCH($C377,MF_Master!$B:$B,0)),""))</f>
        <v/>
      </c>
      <c r="E377" s="29"/>
      <c r="F377" s="28"/>
      <c r="G377" s="28"/>
      <c r="H377" s="31" t="str">
        <f aca="false">IF(OR($F377="",$G377=""),"",$F377/$G377)</f>
        <v/>
      </c>
    </row>
    <row r="378" customFormat="false" ht="15" hidden="false" customHeight="true" outlineLevel="0" collapsed="false">
      <c r="B378" s="15" t="str">
        <f aca="false">IF($C378="","",IFERROR(INDEX(MF_Master!$A:$A,MATCH($C378,MF_Master!$B:$B,0)),""))</f>
        <v/>
      </c>
      <c r="D378" s="15" t="str">
        <f aca="false">IF($C378="","",IFERROR(INDEX(MF_Master!$C:$C,MATCH($C378,MF_Master!$B:$B,0)),""))</f>
        <v/>
      </c>
      <c r="E378" s="29"/>
      <c r="F378" s="28"/>
      <c r="G378" s="28"/>
      <c r="H378" s="31" t="str">
        <f aca="false">IF(OR($F378="",$G378=""),"",$F378/$G378)</f>
        <v/>
      </c>
    </row>
    <row r="379" customFormat="false" ht="15" hidden="false" customHeight="true" outlineLevel="0" collapsed="false">
      <c r="B379" s="15" t="str">
        <f aca="false">IF($C379="","",IFERROR(INDEX(MF_Master!$A:$A,MATCH($C379,MF_Master!$B:$B,0)),""))</f>
        <v/>
      </c>
      <c r="D379" s="15" t="str">
        <f aca="false">IF($C379="","",IFERROR(INDEX(MF_Master!$C:$C,MATCH($C379,MF_Master!$B:$B,0)),""))</f>
        <v/>
      </c>
      <c r="E379" s="29"/>
      <c r="F379" s="28"/>
      <c r="G379" s="28"/>
      <c r="H379" s="31" t="str">
        <f aca="false">IF(OR($F379="",$G379=""),"",$F379/$G379)</f>
        <v/>
      </c>
    </row>
    <row r="380" customFormat="false" ht="15" hidden="false" customHeight="true" outlineLevel="0" collapsed="false">
      <c r="B380" s="15" t="str">
        <f aca="false">IF($C380="","",IFERROR(INDEX(MF_Master!$A:$A,MATCH($C380,MF_Master!$B:$B,0)),""))</f>
        <v/>
      </c>
      <c r="D380" s="15" t="str">
        <f aca="false">IF($C380="","",IFERROR(INDEX(MF_Master!$C:$C,MATCH($C380,MF_Master!$B:$B,0)),""))</f>
        <v/>
      </c>
      <c r="E380" s="29"/>
      <c r="F380" s="28"/>
      <c r="G380" s="28"/>
      <c r="H380" s="31" t="str">
        <f aca="false">IF(OR($F380="",$G380=""),"",$F380/$G380)</f>
        <v/>
      </c>
    </row>
    <row r="381" customFormat="false" ht="15" hidden="false" customHeight="true" outlineLevel="0" collapsed="false">
      <c r="B381" s="15" t="str">
        <f aca="false">IF($C381="","",IFERROR(INDEX(MF_Master!$A:$A,MATCH($C381,MF_Master!$B:$B,0)),""))</f>
        <v/>
      </c>
      <c r="D381" s="15" t="str">
        <f aca="false">IF($C381="","",IFERROR(INDEX(MF_Master!$C:$C,MATCH($C381,MF_Master!$B:$B,0)),""))</f>
        <v/>
      </c>
      <c r="E381" s="29"/>
      <c r="F381" s="28"/>
      <c r="G381" s="28"/>
      <c r="H381" s="31" t="str">
        <f aca="false">IF(OR($F381="",$G381=""),"",$F381/$G381)</f>
        <v/>
      </c>
    </row>
    <row r="382" customFormat="false" ht="15" hidden="false" customHeight="true" outlineLevel="0" collapsed="false">
      <c r="B382" s="15" t="str">
        <f aca="false">IF($C382="","",IFERROR(INDEX(MF_Master!$A:$A,MATCH($C382,MF_Master!$B:$B,0)),""))</f>
        <v/>
      </c>
      <c r="D382" s="15" t="str">
        <f aca="false">IF($C382="","",IFERROR(INDEX(MF_Master!$C:$C,MATCH($C382,MF_Master!$B:$B,0)),""))</f>
        <v/>
      </c>
      <c r="E382" s="29"/>
      <c r="F382" s="28"/>
      <c r="G382" s="28"/>
      <c r="H382" s="31" t="str">
        <f aca="false">IF(OR($F382="",$G382=""),"",$F382/$G382)</f>
        <v/>
      </c>
    </row>
    <row r="383" customFormat="false" ht="15" hidden="false" customHeight="true" outlineLevel="0" collapsed="false">
      <c r="B383" s="15" t="str">
        <f aca="false">IF($C383="","",IFERROR(INDEX(MF_Master!$A:$A,MATCH($C383,MF_Master!$B:$B,0)),""))</f>
        <v/>
      </c>
      <c r="D383" s="15" t="str">
        <f aca="false">IF($C383="","",IFERROR(INDEX(MF_Master!$C:$C,MATCH($C383,MF_Master!$B:$B,0)),""))</f>
        <v/>
      </c>
      <c r="E383" s="29"/>
      <c r="F383" s="28"/>
      <c r="G383" s="28"/>
      <c r="H383" s="31" t="str">
        <f aca="false">IF(OR($F383="",$G383=""),"",$F383/$G383)</f>
        <v/>
      </c>
    </row>
    <row r="384" customFormat="false" ht="15" hidden="false" customHeight="true" outlineLevel="0" collapsed="false">
      <c r="B384" s="15" t="str">
        <f aca="false">IF($C384="","",IFERROR(INDEX(MF_Master!$A:$A,MATCH($C384,MF_Master!$B:$B,0)),""))</f>
        <v/>
      </c>
      <c r="D384" s="15" t="str">
        <f aca="false">IF($C384="","",IFERROR(INDEX(MF_Master!$C:$C,MATCH($C384,MF_Master!$B:$B,0)),""))</f>
        <v/>
      </c>
      <c r="E384" s="29"/>
      <c r="F384" s="28"/>
      <c r="G384" s="28"/>
      <c r="H384" s="31" t="str">
        <f aca="false">IF(OR($F384="",$G384=""),"",$F384/$G384)</f>
        <v/>
      </c>
    </row>
    <row r="385" customFormat="false" ht="15" hidden="false" customHeight="true" outlineLevel="0" collapsed="false">
      <c r="B385" s="15" t="str">
        <f aca="false">IF($C385="","",IFERROR(INDEX(MF_Master!$A:$A,MATCH($C385,MF_Master!$B:$B,0)),""))</f>
        <v/>
      </c>
      <c r="D385" s="15" t="str">
        <f aca="false">IF($C385="","",IFERROR(INDEX(MF_Master!$C:$C,MATCH($C385,MF_Master!$B:$B,0)),""))</f>
        <v/>
      </c>
      <c r="E385" s="29"/>
      <c r="F385" s="28"/>
      <c r="G385" s="28"/>
      <c r="H385" s="31" t="str">
        <f aca="false">IF(OR($F385="",$G385=""),"",$F385/$G385)</f>
        <v/>
      </c>
    </row>
    <row r="386" customFormat="false" ht="15" hidden="false" customHeight="true" outlineLevel="0" collapsed="false">
      <c r="B386" s="15" t="str">
        <f aca="false">IF($C386="","",IFERROR(INDEX(MF_Master!$A:$A,MATCH($C386,MF_Master!$B:$B,0)),""))</f>
        <v/>
      </c>
      <c r="D386" s="15" t="str">
        <f aca="false">IF($C386="","",IFERROR(INDEX(MF_Master!$C:$C,MATCH($C386,MF_Master!$B:$B,0)),""))</f>
        <v/>
      </c>
      <c r="E386" s="29"/>
      <c r="F386" s="28"/>
      <c r="G386" s="28"/>
      <c r="H386" s="31" t="str">
        <f aca="false">IF(OR($F386="",$G386=""),"",$F386/$G386)</f>
        <v/>
      </c>
    </row>
    <row r="387" customFormat="false" ht="15" hidden="false" customHeight="true" outlineLevel="0" collapsed="false">
      <c r="B387" s="15" t="str">
        <f aca="false">IF($C387="","",IFERROR(INDEX(MF_Master!$A:$A,MATCH($C387,MF_Master!$B:$B,0)),""))</f>
        <v/>
      </c>
      <c r="D387" s="15" t="str">
        <f aca="false">IF($C387="","",IFERROR(INDEX(MF_Master!$C:$C,MATCH($C387,MF_Master!$B:$B,0)),""))</f>
        <v/>
      </c>
      <c r="E387" s="29"/>
      <c r="F387" s="28"/>
      <c r="G387" s="28"/>
      <c r="H387" s="31" t="str">
        <f aca="false">IF(OR($F387="",$G387=""),"",$F387/$G387)</f>
        <v/>
      </c>
    </row>
    <row r="388" customFormat="false" ht="15" hidden="false" customHeight="true" outlineLevel="0" collapsed="false">
      <c r="B388" s="15" t="str">
        <f aca="false">IF($C388="","",IFERROR(INDEX(MF_Master!$A:$A,MATCH($C388,MF_Master!$B:$B,0)),""))</f>
        <v/>
      </c>
      <c r="D388" s="15" t="str">
        <f aca="false">IF($C388="","",IFERROR(INDEX(MF_Master!$C:$C,MATCH($C388,MF_Master!$B:$B,0)),""))</f>
        <v/>
      </c>
      <c r="E388" s="29"/>
      <c r="F388" s="28"/>
      <c r="G388" s="28"/>
      <c r="H388" s="31" t="str">
        <f aca="false">IF(OR($F388="",$G388=""),"",$F388/$G388)</f>
        <v/>
      </c>
    </row>
    <row r="389" customFormat="false" ht="15" hidden="false" customHeight="true" outlineLevel="0" collapsed="false">
      <c r="B389" s="15" t="str">
        <f aca="false">IF($C389="","",IFERROR(INDEX(MF_Master!$A:$A,MATCH($C389,MF_Master!$B:$B,0)),""))</f>
        <v/>
      </c>
      <c r="D389" s="15" t="str">
        <f aca="false">IF($C389="","",IFERROR(INDEX(MF_Master!$C:$C,MATCH($C389,MF_Master!$B:$B,0)),""))</f>
        <v/>
      </c>
      <c r="E389" s="29"/>
      <c r="F389" s="28"/>
      <c r="G389" s="28"/>
      <c r="H389" s="31" t="str">
        <f aca="false">IF(OR($F389="",$G389=""),"",$F389/$G389)</f>
        <v/>
      </c>
    </row>
    <row r="390" customFormat="false" ht="15" hidden="false" customHeight="true" outlineLevel="0" collapsed="false">
      <c r="B390" s="15" t="str">
        <f aca="false">IF($C390="","",IFERROR(INDEX(MF_Master!$A:$A,MATCH($C390,MF_Master!$B:$B,0)),""))</f>
        <v/>
      </c>
      <c r="D390" s="15" t="str">
        <f aca="false">IF($C390="","",IFERROR(INDEX(MF_Master!$C:$C,MATCH($C390,MF_Master!$B:$B,0)),""))</f>
        <v/>
      </c>
      <c r="E390" s="29"/>
      <c r="F390" s="28"/>
      <c r="G390" s="28"/>
      <c r="H390" s="31" t="str">
        <f aca="false">IF(OR($F390="",$G390=""),"",$F390/$G390)</f>
        <v/>
      </c>
    </row>
    <row r="391" customFormat="false" ht="15" hidden="false" customHeight="true" outlineLevel="0" collapsed="false">
      <c r="B391" s="15" t="str">
        <f aca="false">IF($C391="","",IFERROR(INDEX(MF_Master!$A:$A,MATCH($C391,MF_Master!$B:$B,0)),""))</f>
        <v/>
      </c>
      <c r="D391" s="15" t="str">
        <f aca="false">IF($C391="","",IFERROR(INDEX(MF_Master!$C:$C,MATCH($C391,MF_Master!$B:$B,0)),""))</f>
        <v/>
      </c>
      <c r="E391" s="29"/>
      <c r="F391" s="28"/>
      <c r="G391" s="28"/>
      <c r="H391" s="31" t="str">
        <f aca="false">IF(OR($F391="",$G391=""),"",$F391/$G391)</f>
        <v/>
      </c>
    </row>
    <row r="392" customFormat="false" ht="15" hidden="false" customHeight="true" outlineLevel="0" collapsed="false">
      <c r="B392" s="15" t="str">
        <f aca="false">IF($C392="","",IFERROR(INDEX(MF_Master!$A:$A,MATCH($C392,MF_Master!$B:$B,0)),""))</f>
        <v/>
      </c>
      <c r="D392" s="15" t="str">
        <f aca="false">IF($C392="","",IFERROR(INDEX(MF_Master!$C:$C,MATCH($C392,MF_Master!$B:$B,0)),""))</f>
        <v/>
      </c>
      <c r="E392" s="29"/>
      <c r="F392" s="28"/>
      <c r="G392" s="28"/>
      <c r="H392" s="31" t="str">
        <f aca="false">IF(OR($F392="",$G392=""),"",$F392/$G392)</f>
        <v/>
      </c>
    </row>
    <row r="393" customFormat="false" ht="15" hidden="false" customHeight="true" outlineLevel="0" collapsed="false">
      <c r="B393" s="15" t="str">
        <f aca="false">IF($C393="","",IFERROR(INDEX(MF_Master!$A:$A,MATCH($C393,MF_Master!$B:$B,0)),""))</f>
        <v/>
      </c>
      <c r="D393" s="15" t="str">
        <f aca="false">IF($C393="","",IFERROR(INDEX(MF_Master!$C:$C,MATCH($C393,MF_Master!$B:$B,0)),""))</f>
        <v/>
      </c>
      <c r="E393" s="29"/>
      <c r="F393" s="28"/>
      <c r="G393" s="28"/>
      <c r="H393" s="31" t="str">
        <f aca="false">IF(OR($F393="",$G393=""),"",$F393/$G393)</f>
        <v/>
      </c>
    </row>
    <row r="394" customFormat="false" ht="15" hidden="false" customHeight="true" outlineLevel="0" collapsed="false">
      <c r="B394" s="15" t="str">
        <f aca="false">IF($C394="","",IFERROR(INDEX(MF_Master!$A:$A,MATCH($C394,MF_Master!$B:$B,0)),""))</f>
        <v/>
      </c>
      <c r="D394" s="15" t="str">
        <f aca="false">IF($C394="","",IFERROR(INDEX(MF_Master!$C:$C,MATCH($C394,MF_Master!$B:$B,0)),""))</f>
        <v/>
      </c>
      <c r="E394" s="29"/>
      <c r="F394" s="28"/>
      <c r="G394" s="28"/>
      <c r="H394" s="31" t="str">
        <f aca="false">IF(OR($F394="",$G394=""),"",$F394/$G394)</f>
        <v/>
      </c>
    </row>
    <row r="395" customFormat="false" ht="15" hidden="false" customHeight="true" outlineLevel="0" collapsed="false">
      <c r="B395" s="15" t="str">
        <f aca="false">IF($C395="","",IFERROR(INDEX(MF_Master!$A:$A,MATCH($C395,MF_Master!$B:$B,0)),""))</f>
        <v/>
      </c>
      <c r="D395" s="15" t="str">
        <f aca="false">IF($C395="","",IFERROR(INDEX(MF_Master!$C:$C,MATCH($C395,MF_Master!$B:$B,0)),""))</f>
        <v/>
      </c>
      <c r="E395" s="29"/>
      <c r="F395" s="28"/>
      <c r="G395" s="28"/>
      <c r="H395" s="31" t="str">
        <f aca="false">IF(OR($F395="",$G395=""),"",$F395/$G395)</f>
        <v/>
      </c>
    </row>
    <row r="396" customFormat="false" ht="15" hidden="false" customHeight="true" outlineLevel="0" collapsed="false">
      <c r="B396" s="15" t="str">
        <f aca="false">IF($C396="","",IFERROR(INDEX(MF_Master!$A:$A,MATCH($C396,MF_Master!$B:$B,0)),""))</f>
        <v/>
      </c>
      <c r="D396" s="15" t="str">
        <f aca="false">IF($C396="","",IFERROR(INDEX(MF_Master!$C:$C,MATCH($C396,MF_Master!$B:$B,0)),""))</f>
        <v/>
      </c>
      <c r="E396" s="29"/>
      <c r="F396" s="28"/>
      <c r="G396" s="28"/>
      <c r="H396" s="31" t="str">
        <f aca="false">IF(OR($F396="",$G396=""),"",$F396/$G396)</f>
        <v/>
      </c>
    </row>
    <row r="397" customFormat="false" ht="15" hidden="false" customHeight="true" outlineLevel="0" collapsed="false">
      <c r="B397" s="15" t="str">
        <f aca="false">IF($C397="","",IFERROR(INDEX(MF_Master!$A:$A,MATCH($C397,MF_Master!$B:$B,0)),""))</f>
        <v/>
      </c>
      <c r="D397" s="15" t="str">
        <f aca="false">IF($C397="","",IFERROR(INDEX(MF_Master!$C:$C,MATCH($C397,MF_Master!$B:$B,0)),""))</f>
        <v/>
      </c>
      <c r="E397" s="29"/>
      <c r="F397" s="28"/>
      <c r="G397" s="28"/>
      <c r="H397" s="31" t="str">
        <f aca="false">IF(OR($F397="",$G397=""),"",$F397/$G397)</f>
        <v/>
      </c>
    </row>
    <row r="398" customFormat="false" ht="15" hidden="false" customHeight="true" outlineLevel="0" collapsed="false">
      <c r="B398" s="15" t="str">
        <f aca="false">IF($C398="","",IFERROR(INDEX(MF_Master!$A:$A,MATCH($C398,MF_Master!$B:$B,0)),""))</f>
        <v/>
      </c>
      <c r="D398" s="15" t="str">
        <f aca="false">IF($C398="","",IFERROR(INDEX(MF_Master!$C:$C,MATCH($C398,MF_Master!$B:$B,0)),""))</f>
        <v/>
      </c>
      <c r="E398" s="29"/>
      <c r="F398" s="28"/>
      <c r="G398" s="28"/>
      <c r="H398" s="31" t="str">
        <f aca="false">IF(OR($F398="",$G398=""),"",$F398/$G398)</f>
        <v/>
      </c>
    </row>
    <row r="399" customFormat="false" ht="15" hidden="false" customHeight="true" outlineLevel="0" collapsed="false">
      <c r="B399" s="15" t="str">
        <f aca="false">IF($C399="","",IFERROR(INDEX(MF_Master!$A:$A,MATCH($C399,MF_Master!$B:$B,0)),""))</f>
        <v/>
      </c>
      <c r="D399" s="15" t="str">
        <f aca="false">IF($C399="","",IFERROR(INDEX(MF_Master!$C:$C,MATCH($C399,MF_Master!$B:$B,0)),""))</f>
        <v/>
      </c>
      <c r="E399" s="29"/>
      <c r="F399" s="28"/>
      <c r="G399" s="28"/>
      <c r="H399" s="31" t="str">
        <f aca="false">IF(OR($F399="",$G399=""),"",$F399/$G399)</f>
        <v/>
      </c>
    </row>
    <row r="400" customFormat="false" ht="15" hidden="false" customHeight="true" outlineLevel="0" collapsed="false">
      <c r="B400" s="15" t="str">
        <f aca="false">IF($C400="","",IFERROR(INDEX(MF_Master!$A:$A,MATCH($C400,MF_Master!$B:$B,0)),""))</f>
        <v/>
      </c>
      <c r="D400" s="15" t="str">
        <f aca="false">IF($C400="","",IFERROR(INDEX(MF_Master!$C:$C,MATCH($C400,MF_Master!$B:$B,0)),""))</f>
        <v/>
      </c>
      <c r="E400" s="29"/>
      <c r="F400" s="28"/>
      <c r="G400" s="28"/>
      <c r="H400" s="31" t="str">
        <f aca="false">IF(OR($F400="",$G400=""),"",$F400/$G400)</f>
        <v/>
      </c>
    </row>
    <row r="401" customFormat="false" ht="15" hidden="false" customHeight="true" outlineLevel="0" collapsed="false">
      <c r="B401" s="15" t="str">
        <f aca="false">IF($C401="","",IFERROR(INDEX(MF_Master!$A:$A,MATCH($C401,MF_Master!$B:$B,0)),""))</f>
        <v/>
      </c>
      <c r="D401" s="15" t="str">
        <f aca="false">IF($C401="","",IFERROR(INDEX(MF_Master!$C:$C,MATCH($C401,MF_Master!$B:$B,0)),""))</f>
        <v/>
      </c>
      <c r="E401" s="29"/>
      <c r="F401" s="28"/>
      <c r="G401" s="28"/>
      <c r="H401" s="31" t="str">
        <f aca="false">IF(OR($F401="",$G401=""),"",$F401/$G401)</f>
        <v/>
      </c>
    </row>
    <row r="402" customFormat="false" ht="15" hidden="false" customHeight="true" outlineLevel="0" collapsed="false">
      <c r="B402" s="15" t="str">
        <f aca="false">IF($C402="","",IFERROR(INDEX(MF_Master!$A:$A,MATCH($C402,MF_Master!$B:$B,0)),""))</f>
        <v/>
      </c>
      <c r="D402" s="15" t="str">
        <f aca="false">IF($C402="","",IFERROR(INDEX(MF_Master!$C:$C,MATCH($C402,MF_Master!$B:$B,0)),""))</f>
        <v/>
      </c>
      <c r="E402" s="29"/>
      <c r="F402" s="28"/>
      <c r="G402" s="28"/>
      <c r="H402" s="31" t="str">
        <f aca="false">IF(OR($F402="",$G402=""),"",$F402/$G402)</f>
        <v/>
      </c>
    </row>
    <row r="403" customFormat="false" ht="15" hidden="false" customHeight="true" outlineLevel="0" collapsed="false">
      <c r="B403" s="15" t="str">
        <f aca="false">IF($C403="","",IFERROR(INDEX(MF_Master!$A:$A,MATCH($C403,MF_Master!$B:$B,0)),""))</f>
        <v/>
      </c>
      <c r="D403" s="15" t="str">
        <f aca="false">IF($C403="","",IFERROR(INDEX(MF_Master!$C:$C,MATCH($C403,MF_Master!$B:$B,0)),""))</f>
        <v/>
      </c>
      <c r="E403" s="29"/>
      <c r="F403" s="28"/>
      <c r="G403" s="28"/>
      <c r="H403" s="31" t="str">
        <f aca="false">IF(OR($F403="",$G403=""),"",$F403/$G403)</f>
        <v/>
      </c>
    </row>
    <row r="404" customFormat="false" ht="15" hidden="false" customHeight="true" outlineLevel="0" collapsed="false">
      <c r="B404" s="15" t="str">
        <f aca="false">IF($C404="","",IFERROR(INDEX(MF_Master!$A:$A,MATCH($C404,MF_Master!$B:$B,0)),""))</f>
        <v/>
      </c>
      <c r="D404" s="15" t="str">
        <f aca="false">IF($C404="","",IFERROR(INDEX(MF_Master!$C:$C,MATCH($C404,MF_Master!$B:$B,0)),""))</f>
        <v/>
      </c>
      <c r="E404" s="29"/>
      <c r="F404" s="28"/>
      <c r="G404" s="28"/>
      <c r="H404" s="31" t="str">
        <f aca="false">IF(OR($F404="",$G404=""),"",$F404/$G404)</f>
        <v/>
      </c>
    </row>
    <row r="405" customFormat="false" ht="15" hidden="false" customHeight="true" outlineLevel="0" collapsed="false">
      <c r="B405" s="15" t="str">
        <f aca="false">IF($C405="","",IFERROR(INDEX(MF_Master!$A:$A,MATCH($C405,MF_Master!$B:$B,0)),""))</f>
        <v/>
      </c>
      <c r="D405" s="15" t="str">
        <f aca="false">IF($C405="","",IFERROR(INDEX(MF_Master!$C:$C,MATCH($C405,MF_Master!$B:$B,0)),""))</f>
        <v/>
      </c>
      <c r="E405" s="29"/>
      <c r="F405" s="28"/>
      <c r="G405" s="28"/>
      <c r="H405" s="31" t="str">
        <f aca="false">IF(OR($F405="",$G405=""),"",$F405/$G405)</f>
        <v/>
      </c>
    </row>
    <row r="406" customFormat="false" ht="15" hidden="false" customHeight="true" outlineLevel="0" collapsed="false">
      <c r="B406" s="15" t="str">
        <f aca="false">IF($C406="","",IFERROR(INDEX(MF_Master!$A:$A,MATCH($C406,MF_Master!$B:$B,0)),""))</f>
        <v/>
      </c>
      <c r="D406" s="15" t="str">
        <f aca="false">IF($C406="","",IFERROR(INDEX(MF_Master!$C:$C,MATCH($C406,MF_Master!$B:$B,0)),""))</f>
        <v/>
      </c>
      <c r="E406" s="29"/>
      <c r="F406" s="28"/>
      <c r="G406" s="28"/>
      <c r="H406" s="31" t="str">
        <f aca="false">IF(OR($F406="",$G406=""),"",$F406/$G406)</f>
        <v/>
      </c>
    </row>
    <row r="407" customFormat="false" ht="15" hidden="false" customHeight="true" outlineLevel="0" collapsed="false">
      <c r="B407" s="15" t="str">
        <f aca="false">IF($C407="","",IFERROR(INDEX(MF_Master!$A:$A,MATCH($C407,MF_Master!$B:$B,0)),""))</f>
        <v/>
      </c>
      <c r="D407" s="15" t="str">
        <f aca="false">IF($C407="","",IFERROR(INDEX(MF_Master!$C:$C,MATCH($C407,MF_Master!$B:$B,0)),""))</f>
        <v/>
      </c>
      <c r="E407" s="29"/>
      <c r="F407" s="28"/>
      <c r="G407" s="28"/>
      <c r="H407" s="31" t="str">
        <f aca="false">IF(OR($F407="",$G407=""),"",$F407/$G407)</f>
        <v/>
      </c>
    </row>
    <row r="408" customFormat="false" ht="15" hidden="false" customHeight="true" outlineLevel="0" collapsed="false">
      <c r="B408" s="15" t="str">
        <f aca="false">IF($C408="","",IFERROR(INDEX(MF_Master!$A:$A,MATCH($C408,MF_Master!$B:$B,0)),""))</f>
        <v/>
      </c>
      <c r="D408" s="15" t="str">
        <f aca="false">IF($C408="","",IFERROR(INDEX(MF_Master!$C:$C,MATCH($C408,MF_Master!$B:$B,0)),""))</f>
        <v/>
      </c>
      <c r="E408" s="29"/>
      <c r="F408" s="28"/>
      <c r="G408" s="28"/>
      <c r="H408" s="31" t="str">
        <f aca="false">IF(OR($F408="",$G408=""),"",$F408/$G408)</f>
        <v/>
      </c>
    </row>
    <row r="409" customFormat="false" ht="15" hidden="false" customHeight="true" outlineLevel="0" collapsed="false">
      <c r="B409" s="15" t="str">
        <f aca="false">IF($C409="","",IFERROR(INDEX(MF_Master!$A:$A,MATCH($C409,MF_Master!$B:$B,0)),""))</f>
        <v/>
      </c>
      <c r="D409" s="15" t="str">
        <f aca="false">IF($C409="","",IFERROR(INDEX(MF_Master!$C:$C,MATCH($C409,MF_Master!$B:$B,0)),""))</f>
        <v/>
      </c>
      <c r="E409" s="29"/>
      <c r="F409" s="28"/>
      <c r="G409" s="28"/>
      <c r="H409" s="31" t="str">
        <f aca="false">IF(OR($F409="",$G409=""),"",$F409/$G409)</f>
        <v/>
      </c>
    </row>
    <row r="410" customFormat="false" ht="15" hidden="false" customHeight="true" outlineLevel="0" collapsed="false">
      <c r="B410" s="15" t="str">
        <f aca="false">IF($C410="","",IFERROR(INDEX(MF_Master!$A:$A,MATCH($C410,MF_Master!$B:$B,0)),""))</f>
        <v/>
      </c>
      <c r="D410" s="15" t="str">
        <f aca="false">IF($C410="","",IFERROR(INDEX(MF_Master!$C:$C,MATCH($C410,MF_Master!$B:$B,0)),""))</f>
        <v/>
      </c>
      <c r="E410" s="29"/>
      <c r="F410" s="28"/>
      <c r="G410" s="28"/>
      <c r="H410" s="31" t="str">
        <f aca="false">IF(OR($F410="",$G410=""),"",$F410/$G410)</f>
        <v/>
      </c>
    </row>
    <row r="411" customFormat="false" ht="15" hidden="false" customHeight="true" outlineLevel="0" collapsed="false">
      <c r="B411" s="15" t="str">
        <f aca="false">IF($C411="","",IFERROR(INDEX(MF_Master!$A:$A,MATCH($C411,MF_Master!$B:$B,0)),""))</f>
        <v/>
      </c>
      <c r="D411" s="15" t="str">
        <f aca="false">IF($C411="","",IFERROR(INDEX(MF_Master!$C:$C,MATCH($C411,MF_Master!$B:$B,0)),""))</f>
        <v/>
      </c>
      <c r="E411" s="29"/>
      <c r="F411" s="28"/>
      <c r="G411" s="28"/>
      <c r="H411" s="31" t="str">
        <f aca="false">IF(OR($F411="",$G411=""),"",$F411/$G411)</f>
        <v/>
      </c>
    </row>
    <row r="412" customFormat="false" ht="15" hidden="false" customHeight="true" outlineLevel="0" collapsed="false">
      <c r="B412" s="15" t="str">
        <f aca="false">IF($C412="","",IFERROR(INDEX(MF_Master!$A:$A,MATCH($C412,MF_Master!$B:$B,0)),""))</f>
        <v/>
      </c>
      <c r="D412" s="15" t="str">
        <f aca="false">IF($C412="","",IFERROR(INDEX(MF_Master!$C:$C,MATCH($C412,MF_Master!$B:$B,0)),""))</f>
        <v/>
      </c>
      <c r="E412" s="29"/>
      <c r="F412" s="28"/>
      <c r="G412" s="28"/>
      <c r="H412" s="31" t="str">
        <f aca="false">IF(OR($F412="",$G412=""),"",$F412/$G412)</f>
        <v/>
      </c>
    </row>
    <row r="413" customFormat="false" ht="15" hidden="false" customHeight="true" outlineLevel="0" collapsed="false">
      <c r="B413" s="15" t="str">
        <f aca="false">IF($C413="","",IFERROR(INDEX(MF_Master!$A:$A,MATCH($C413,MF_Master!$B:$B,0)),""))</f>
        <v/>
      </c>
      <c r="D413" s="15" t="str">
        <f aca="false">IF($C413="","",IFERROR(INDEX(MF_Master!$C:$C,MATCH($C413,MF_Master!$B:$B,0)),""))</f>
        <v/>
      </c>
      <c r="E413" s="29"/>
      <c r="F413" s="28"/>
      <c r="G413" s="28"/>
      <c r="H413" s="31" t="str">
        <f aca="false">IF(OR($F413="",$G413=""),"",$F413/$G413)</f>
        <v/>
      </c>
    </row>
    <row r="414" customFormat="false" ht="15" hidden="false" customHeight="true" outlineLevel="0" collapsed="false">
      <c r="B414" s="15" t="str">
        <f aca="false">IF($C414="","",IFERROR(INDEX(MF_Master!$A:$A,MATCH($C414,MF_Master!$B:$B,0)),""))</f>
        <v/>
      </c>
      <c r="D414" s="15" t="str">
        <f aca="false">IF($C414="","",IFERROR(INDEX(MF_Master!$C:$C,MATCH($C414,MF_Master!$B:$B,0)),""))</f>
        <v/>
      </c>
      <c r="E414" s="29"/>
      <c r="F414" s="28"/>
      <c r="G414" s="28"/>
      <c r="H414" s="31" t="str">
        <f aca="false">IF(OR($F414="",$G414=""),"",$F414/$G414)</f>
        <v/>
      </c>
    </row>
    <row r="415" customFormat="false" ht="15" hidden="false" customHeight="true" outlineLevel="0" collapsed="false">
      <c r="B415" s="15" t="str">
        <f aca="false">IF($C415="","",IFERROR(INDEX(MF_Master!$A:$A,MATCH($C415,MF_Master!$B:$B,0)),""))</f>
        <v/>
      </c>
      <c r="D415" s="15" t="str">
        <f aca="false">IF($C415="","",IFERROR(INDEX(MF_Master!$C:$C,MATCH($C415,MF_Master!$B:$B,0)),""))</f>
        <v/>
      </c>
      <c r="E415" s="29"/>
      <c r="F415" s="28"/>
      <c r="G415" s="28"/>
      <c r="H415" s="31" t="str">
        <f aca="false">IF(OR($F415="",$G415=""),"",$F415/$G415)</f>
        <v/>
      </c>
    </row>
    <row r="416" customFormat="false" ht="15" hidden="false" customHeight="true" outlineLevel="0" collapsed="false">
      <c r="B416" s="15" t="str">
        <f aca="false">IF($C416="","",IFERROR(INDEX(MF_Master!$A:$A,MATCH($C416,MF_Master!$B:$B,0)),""))</f>
        <v/>
      </c>
      <c r="D416" s="15" t="str">
        <f aca="false">IF($C416="","",IFERROR(INDEX(MF_Master!$C:$C,MATCH($C416,MF_Master!$B:$B,0)),""))</f>
        <v/>
      </c>
      <c r="E416" s="29"/>
      <c r="F416" s="28"/>
      <c r="G416" s="28"/>
      <c r="H416" s="31" t="str">
        <f aca="false">IF(OR($F416="",$G416=""),"",$F416/$G416)</f>
        <v/>
      </c>
    </row>
    <row r="417" customFormat="false" ht="15" hidden="false" customHeight="true" outlineLevel="0" collapsed="false">
      <c r="B417" s="15" t="str">
        <f aca="false">IF($C417="","",IFERROR(INDEX(MF_Master!$A:$A,MATCH($C417,MF_Master!$B:$B,0)),""))</f>
        <v/>
      </c>
      <c r="D417" s="15" t="str">
        <f aca="false">IF($C417="","",IFERROR(INDEX(MF_Master!$C:$C,MATCH($C417,MF_Master!$B:$B,0)),""))</f>
        <v/>
      </c>
      <c r="E417" s="29"/>
      <c r="F417" s="28"/>
      <c r="G417" s="28"/>
      <c r="H417" s="31" t="str">
        <f aca="false">IF(OR($F417="",$G417=""),"",$F417/$G417)</f>
        <v/>
      </c>
    </row>
    <row r="418" customFormat="false" ht="15" hidden="false" customHeight="true" outlineLevel="0" collapsed="false">
      <c r="B418" s="15" t="str">
        <f aca="false">IF($C418="","",IFERROR(INDEX(MF_Master!$A:$A,MATCH($C418,MF_Master!$B:$B,0)),""))</f>
        <v/>
      </c>
      <c r="D418" s="15" t="str">
        <f aca="false">IF($C418="","",IFERROR(INDEX(MF_Master!$C:$C,MATCH($C418,MF_Master!$B:$B,0)),""))</f>
        <v/>
      </c>
      <c r="E418" s="29"/>
      <c r="F418" s="28"/>
      <c r="G418" s="28"/>
      <c r="H418" s="31" t="str">
        <f aca="false">IF(OR($F418="",$G418=""),"",$F418/$G418)</f>
        <v/>
      </c>
    </row>
    <row r="419" customFormat="false" ht="15" hidden="false" customHeight="true" outlineLevel="0" collapsed="false">
      <c r="B419" s="15" t="str">
        <f aca="false">IF($C419="","",IFERROR(INDEX(MF_Master!$A:$A,MATCH($C419,MF_Master!$B:$B,0)),""))</f>
        <v/>
      </c>
      <c r="D419" s="15" t="str">
        <f aca="false">IF($C419="","",IFERROR(INDEX(MF_Master!$C:$C,MATCH($C419,MF_Master!$B:$B,0)),""))</f>
        <v/>
      </c>
      <c r="E419" s="29"/>
      <c r="F419" s="28"/>
      <c r="G419" s="28"/>
      <c r="H419" s="31" t="str">
        <f aca="false">IF(OR($F419="",$G419=""),"",$F419/$G419)</f>
        <v/>
      </c>
    </row>
    <row r="420" customFormat="false" ht="15" hidden="false" customHeight="true" outlineLevel="0" collapsed="false">
      <c r="B420" s="15" t="str">
        <f aca="false">IF($C420="","",IFERROR(INDEX(MF_Master!$A:$A,MATCH($C420,MF_Master!$B:$B,0)),""))</f>
        <v/>
      </c>
      <c r="D420" s="15" t="str">
        <f aca="false">IF($C420="","",IFERROR(INDEX(MF_Master!$C:$C,MATCH($C420,MF_Master!$B:$B,0)),""))</f>
        <v/>
      </c>
      <c r="E420" s="29"/>
      <c r="F420" s="28"/>
      <c r="G420" s="28"/>
      <c r="H420" s="31" t="str">
        <f aca="false">IF(OR($F420="",$G420=""),"",$F420/$G420)</f>
        <v/>
      </c>
    </row>
    <row r="421" customFormat="false" ht="15" hidden="false" customHeight="true" outlineLevel="0" collapsed="false">
      <c r="B421" s="15" t="str">
        <f aca="false">IF($C421="","",IFERROR(INDEX(MF_Master!$A:$A,MATCH($C421,MF_Master!$B:$B,0)),""))</f>
        <v/>
      </c>
      <c r="D421" s="15" t="str">
        <f aca="false">IF($C421="","",IFERROR(INDEX(MF_Master!$C:$C,MATCH($C421,MF_Master!$B:$B,0)),""))</f>
        <v/>
      </c>
      <c r="E421" s="29"/>
      <c r="F421" s="28"/>
      <c r="G421" s="28"/>
      <c r="H421" s="31" t="str">
        <f aca="false">IF(OR($F421="",$G421=""),"",$F421/$G421)</f>
        <v/>
      </c>
    </row>
    <row r="422" customFormat="false" ht="15" hidden="false" customHeight="true" outlineLevel="0" collapsed="false">
      <c r="B422" s="15" t="str">
        <f aca="false">IF($C422="","",IFERROR(INDEX(MF_Master!$A:$A,MATCH($C422,MF_Master!$B:$B,0)),""))</f>
        <v/>
      </c>
      <c r="D422" s="15" t="str">
        <f aca="false">IF($C422="","",IFERROR(INDEX(MF_Master!$C:$C,MATCH($C422,MF_Master!$B:$B,0)),""))</f>
        <v/>
      </c>
      <c r="E422" s="29"/>
      <c r="F422" s="28"/>
      <c r="G422" s="28"/>
      <c r="H422" s="31" t="str">
        <f aca="false">IF(OR($F422="",$G422=""),"",$F422/$G422)</f>
        <v/>
      </c>
    </row>
    <row r="423" customFormat="false" ht="15" hidden="false" customHeight="true" outlineLevel="0" collapsed="false">
      <c r="B423" s="15" t="str">
        <f aca="false">IF($C423="","",IFERROR(INDEX(MF_Master!$A:$A,MATCH($C423,MF_Master!$B:$B,0)),""))</f>
        <v/>
      </c>
      <c r="D423" s="15" t="str">
        <f aca="false">IF($C423="","",IFERROR(INDEX(MF_Master!$C:$C,MATCH($C423,MF_Master!$B:$B,0)),""))</f>
        <v/>
      </c>
      <c r="E423" s="29"/>
      <c r="F423" s="28"/>
      <c r="G423" s="28"/>
      <c r="H423" s="31" t="str">
        <f aca="false">IF(OR($F423="",$G423=""),"",$F423/$G423)</f>
        <v/>
      </c>
    </row>
    <row r="424" customFormat="false" ht="15" hidden="false" customHeight="true" outlineLevel="0" collapsed="false">
      <c r="B424" s="15" t="str">
        <f aca="false">IF($C424="","",IFERROR(INDEX(MF_Master!$A:$A,MATCH($C424,MF_Master!$B:$B,0)),""))</f>
        <v/>
      </c>
      <c r="D424" s="15" t="str">
        <f aca="false">IF($C424="","",IFERROR(INDEX(MF_Master!$C:$C,MATCH($C424,MF_Master!$B:$B,0)),""))</f>
        <v/>
      </c>
      <c r="E424" s="29"/>
      <c r="F424" s="28"/>
      <c r="G424" s="28"/>
      <c r="H424" s="31" t="str">
        <f aca="false">IF(OR($F424="",$G424=""),"",$F424/$G424)</f>
        <v/>
      </c>
    </row>
    <row r="425" customFormat="false" ht="15" hidden="false" customHeight="true" outlineLevel="0" collapsed="false">
      <c r="B425" s="15" t="str">
        <f aca="false">IF($C425="","",IFERROR(INDEX(MF_Master!$A:$A,MATCH($C425,MF_Master!$B:$B,0)),""))</f>
        <v/>
      </c>
      <c r="D425" s="15" t="str">
        <f aca="false">IF($C425="","",IFERROR(INDEX(MF_Master!$C:$C,MATCH($C425,MF_Master!$B:$B,0)),""))</f>
        <v/>
      </c>
      <c r="E425" s="29"/>
      <c r="F425" s="28"/>
      <c r="G425" s="28"/>
      <c r="H425" s="31" t="str">
        <f aca="false">IF(OR($F425="",$G425=""),"",$F425/$G425)</f>
        <v/>
      </c>
    </row>
    <row r="426" customFormat="false" ht="15" hidden="false" customHeight="true" outlineLevel="0" collapsed="false">
      <c r="B426" s="15" t="str">
        <f aca="false">IF($C426="","",IFERROR(INDEX(MF_Master!$A:$A,MATCH($C426,MF_Master!$B:$B,0)),""))</f>
        <v/>
      </c>
      <c r="D426" s="15" t="str">
        <f aca="false">IF($C426="","",IFERROR(INDEX(MF_Master!$C:$C,MATCH($C426,MF_Master!$B:$B,0)),""))</f>
        <v/>
      </c>
      <c r="E426" s="29"/>
      <c r="F426" s="28"/>
      <c r="G426" s="28"/>
      <c r="H426" s="31" t="str">
        <f aca="false">IF(OR($F426="",$G426=""),"",$F426/$G426)</f>
        <v/>
      </c>
    </row>
    <row r="427" customFormat="false" ht="15" hidden="false" customHeight="true" outlineLevel="0" collapsed="false">
      <c r="B427" s="15" t="str">
        <f aca="false">IF($C427="","",IFERROR(INDEX(MF_Master!$A:$A,MATCH($C427,MF_Master!$B:$B,0)),""))</f>
        <v/>
      </c>
      <c r="D427" s="15" t="str">
        <f aca="false">IF($C427="","",IFERROR(INDEX(MF_Master!$C:$C,MATCH($C427,MF_Master!$B:$B,0)),""))</f>
        <v/>
      </c>
      <c r="E427" s="29"/>
      <c r="F427" s="28"/>
      <c r="G427" s="28"/>
      <c r="H427" s="31" t="str">
        <f aca="false">IF(OR($F427="",$G427=""),"",$F427/$G427)</f>
        <v/>
      </c>
    </row>
    <row r="428" customFormat="false" ht="15" hidden="false" customHeight="true" outlineLevel="0" collapsed="false">
      <c r="B428" s="15" t="str">
        <f aca="false">IF($C428="","",IFERROR(INDEX(MF_Master!$A:$A,MATCH($C428,MF_Master!$B:$B,0)),""))</f>
        <v/>
      </c>
      <c r="D428" s="15" t="str">
        <f aca="false">IF($C428="","",IFERROR(INDEX(MF_Master!$C:$C,MATCH($C428,MF_Master!$B:$B,0)),""))</f>
        <v/>
      </c>
      <c r="E428" s="29"/>
      <c r="F428" s="28"/>
      <c r="G428" s="28"/>
      <c r="H428" s="31" t="str">
        <f aca="false">IF(OR($F428="",$G428=""),"",$F428/$G428)</f>
        <v/>
      </c>
    </row>
    <row r="429" customFormat="false" ht="15" hidden="false" customHeight="true" outlineLevel="0" collapsed="false">
      <c r="B429" s="15" t="str">
        <f aca="false">IF($C429="","",IFERROR(INDEX(MF_Master!$A:$A,MATCH($C429,MF_Master!$B:$B,0)),""))</f>
        <v/>
      </c>
      <c r="D429" s="15" t="str">
        <f aca="false">IF($C429="","",IFERROR(INDEX(MF_Master!$C:$C,MATCH($C429,MF_Master!$B:$B,0)),""))</f>
        <v/>
      </c>
      <c r="E429" s="29"/>
      <c r="F429" s="28"/>
      <c r="G429" s="28"/>
      <c r="H429" s="31" t="str">
        <f aca="false">IF(OR($F429="",$G429=""),"",$F429/$G429)</f>
        <v/>
      </c>
    </row>
    <row r="430" customFormat="false" ht="15" hidden="false" customHeight="true" outlineLevel="0" collapsed="false">
      <c r="B430" s="15" t="str">
        <f aca="false">IF($C430="","",IFERROR(INDEX(MF_Master!$A:$A,MATCH($C430,MF_Master!$B:$B,0)),""))</f>
        <v/>
      </c>
      <c r="D430" s="15" t="str">
        <f aca="false">IF($C430="","",IFERROR(INDEX(MF_Master!$C:$C,MATCH($C430,MF_Master!$B:$B,0)),""))</f>
        <v/>
      </c>
      <c r="E430" s="29"/>
      <c r="F430" s="28"/>
      <c r="G430" s="28"/>
      <c r="H430" s="31" t="str">
        <f aca="false">IF(OR($F430="",$G430=""),"",$F430/$G430)</f>
        <v/>
      </c>
    </row>
    <row r="431" customFormat="false" ht="15" hidden="false" customHeight="true" outlineLevel="0" collapsed="false">
      <c r="B431" s="15" t="str">
        <f aca="false">IF($C431="","",IFERROR(INDEX(MF_Master!$A:$A,MATCH($C431,MF_Master!$B:$B,0)),""))</f>
        <v/>
      </c>
      <c r="D431" s="15" t="str">
        <f aca="false">IF($C431="","",IFERROR(INDEX(MF_Master!$C:$C,MATCH($C431,MF_Master!$B:$B,0)),""))</f>
        <v/>
      </c>
      <c r="E431" s="29"/>
      <c r="F431" s="28"/>
      <c r="G431" s="28"/>
      <c r="H431" s="31" t="str">
        <f aca="false">IF(OR($F431="",$G431=""),"",$F431/$G431)</f>
        <v/>
      </c>
    </row>
    <row r="432" customFormat="false" ht="15" hidden="false" customHeight="true" outlineLevel="0" collapsed="false">
      <c r="B432" s="15" t="str">
        <f aca="false">IF($C432="","",IFERROR(INDEX(MF_Master!$A:$A,MATCH($C432,MF_Master!$B:$B,0)),""))</f>
        <v/>
      </c>
      <c r="D432" s="15" t="str">
        <f aca="false">IF($C432="","",IFERROR(INDEX(MF_Master!$C:$C,MATCH($C432,MF_Master!$B:$B,0)),""))</f>
        <v/>
      </c>
      <c r="E432" s="29"/>
      <c r="F432" s="28"/>
      <c r="G432" s="28"/>
      <c r="H432" s="31" t="str">
        <f aca="false">IF(OR($F432="",$G432=""),"",$F432/$G432)</f>
        <v/>
      </c>
    </row>
    <row r="433" customFormat="false" ht="15" hidden="false" customHeight="true" outlineLevel="0" collapsed="false">
      <c r="B433" s="15" t="str">
        <f aca="false">IF($C433="","",IFERROR(INDEX(MF_Master!$A:$A,MATCH($C433,MF_Master!$B:$B,0)),""))</f>
        <v/>
      </c>
      <c r="D433" s="15" t="str">
        <f aca="false">IF($C433="","",IFERROR(INDEX(MF_Master!$C:$C,MATCH($C433,MF_Master!$B:$B,0)),""))</f>
        <v/>
      </c>
      <c r="E433" s="29"/>
      <c r="F433" s="28"/>
      <c r="G433" s="28"/>
      <c r="H433" s="31" t="str">
        <f aca="false">IF(OR($F433="",$G433=""),"",$F433/$G433)</f>
        <v/>
      </c>
    </row>
    <row r="434" customFormat="false" ht="15" hidden="false" customHeight="true" outlineLevel="0" collapsed="false">
      <c r="B434" s="15" t="str">
        <f aca="false">IF($C434="","",IFERROR(INDEX(MF_Master!$A:$A,MATCH($C434,MF_Master!$B:$B,0)),""))</f>
        <v/>
      </c>
      <c r="D434" s="15" t="str">
        <f aca="false">IF($C434="","",IFERROR(INDEX(MF_Master!$C:$C,MATCH($C434,MF_Master!$B:$B,0)),""))</f>
        <v/>
      </c>
      <c r="E434" s="29"/>
      <c r="F434" s="28"/>
      <c r="G434" s="28"/>
      <c r="H434" s="31" t="str">
        <f aca="false">IF(OR($F434="",$G434=""),"",$F434/$G434)</f>
        <v/>
      </c>
    </row>
    <row r="435" customFormat="false" ht="15" hidden="false" customHeight="true" outlineLevel="0" collapsed="false">
      <c r="B435" s="15" t="str">
        <f aca="false">IF($C435="","",IFERROR(INDEX(MF_Master!$A:$A,MATCH($C435,MF_Master!$B:$B,0)),""))</f>
        <v/>
      </c>
      <c r="D435" s="15" t="str">
        <f aca="false">IF($C435="","",IFERROR(INDEX(MF_Master!$C:$C,MATCH($C435,MF_Master!$B:$B,0)),""))</f>
        <v/>
      </c>
      <c r="E435" s="29"/>
      <c r="F435" s="28"/>
      <c r="G435" s="28"/>
      <c r="H435" s="31" t="str">
        <f aca="false">IF(OR($F435="",$G435=""),"",$F435/$G435)</f>
        <v/>
      </c>
    </row>
    <row r="436" customFormat="false" ht="15" hidden="false" customHeight="true" outlineLevel="0" collapsed="false">
      <c r="B436" s="15" t="str">
        <f aca="false">IF($C436="","",IFERROR(INDEX(MF_Master!$A:$A,MATCH($C436,MF_Master!$B:$B,0)),""))</f>
        <v/>
      </c>
      <c r="D436" s="15" t="str">
        <f aca="false">IF($C436="","",IFERROR(INDEX(MF_Master!$C:$C,MATCH($C436,MF_Master!$B:$B,0)),""))</f>
        <v/>
      </c>
      <c r="E436" s="29"/>
      <c r="F436" s="28"/>
      <c r="G436" s="28"/>
      <c r="H436" s="31" t="str">
        <f aca="false">IF(OR($F436="",$G436=""),"",$F436/$G436)</f>
        <v/>
      </c>
    </row>
    <row r="437" customFormat="false" ht="15" hidden="false" customHeight="true" outlineLevel="0" collapsed="false">
      <c r="B437" s="15" t="str">
        <f aca="false">IF($C437="","",IFERROR(INDEX(MF_Master!$A:$A,MATCH($C437,MF_Master!$B:$B,0)),""))</f>
        <v/>
      </c>
      <c r="D437" s="15" t="str">
        <f aca="false">IF($C437="","",IFERROR(INDEX(MF_Master!$C:$C,MATCH($C437,MF_Master!$B:$B,0)),""))</f>
        <v/>
      </c>
      <c r="E437" s="29"/>
      <c r="F437" s="28"/>
      <c r="G437" s="28"/>
      <c r="H437" s="31" t="str">
        <f aca="false">IF(OR($F437="",$G437=""),"",$F437/$G437)</f>
        <v/>
      </c>
    </row>
    <row r="438" customFormat="false" ht="15" hidden="false" customHeight="true" outlineLevel="0" collapsed="false">
      <c r="B438" s="15" t="str">
        <f aca="false">IF($C438="","",IFERROR(INDEX(MF_Master!$A:$A,MATCH($C438,MF_Master!$B:$B,0)),""))</f>
        <v/>
      </c>
      <c r="D438" s="15" t="str">
        <f aca="false">IF($C438="","",IFERROR(INDEX(MF_Master!$C:$C,MATCH($C438,MF_Master!$B:$B,0)),""))</f>
        <v/>
      </c>
      <c r="E438" s="29"/>
      <c r="F438" s="28"/>
      <c r="G438" s="28"/>
      <c r="H438" s="31" t="str">
        <f aca="false">IF(OR($F438="",$G438=""),"",$F438/$G438)</f>
        <v/>
      </c>
    </row>
    <row r="439" customFormat="false" ht="15" hidden="false" customHeight="true" outlineLevel="0" collapsed="false">
      <c r="B439" s="15" t="str">
        <f aca="false">IF($C439="","",IFERROR(INDEX(MF_Master!$A:$A,MATCH($C439,MF_Master!$B:$B,0)),""))</f>
        <v/>
      </c>
      <c r="D439" s="15" t="str">
        <f aca="false">IF($C439="","",IFERROR(INDEX(MF_Master!$C:$C,MATCH($C439,MF_Master!$B:$B,0)),""))</f>
        <v/>
      </c>
      <c r="E439" s="29"/>
      <c r="F439" s="28"/>
      <c r="G439" s="28"/>
      <c r="H439" s="31" t="str">
        <f aca="false">IF(OR($F439="",$G439=""),"",$F439/$G439)</f>
        <v/>
      </c>
    </row>
    <row r="440" customFormat="false" ht="15" hidden="false" customHeight="true" outlineLevel="0" collapsed="false">
      <c r="B440" s="15" t="str">
        <f aca="false">IF($C440="","",IFERROR(INDEX(MF_Master!$A:$A,MATCH($C440,MF_Master!$B:$B,0)),""))</f>
        <v/>
      </c>
      <c r="D440" s="15" t="str">
        <f aca="false">IF($C440="","",IFERROR(INDEX(MF_Master!$C:$C,MATCH($C440,MF_Master!$B:$B,0)),""))</f>
        <v/>
      </c>
      <c r="E440" s="29"/>
      <c r="F440" s="28"/>
      <c r="G440" s="28"/>
      <c r="H440" s="31" t="str">
        <f aca="false">IF(OR($F440="",$G440=""),"",$F440/$G440)</f>
        <v/>
      </c>
    </row>
    <row r="441" customFormat="false" ht="15" hidden="false" customHeight="true" outlineLevel="0" collapsed="false">
      <c r="B441" s="15" t="str">
        <f aca="false">IF($C441="","",IFERROR(INDEX(MF_Master!$A:$A,MATCH($C441,MF_Master!$B:$B,0)),""))</f>
        <v/>
      </c>
      <c r="D441" s="15" t="str">
        <f aca="false">IF($C441="","",IFERROR(INDEX(MF_Master!$C:$C,MATCH($C441,MF_Master!$B:$B,0)),""))</f>
        <v/>
      </c>
      <c r="E441" s="29"/>
      <c r="F441" s="28"/>
      <c r="G441" s="28"/>
      <c r="H441" s="31" t="str">
        <f aca="false">IF(OR($F441="",$G441=""),"",$F441/$G441)</f>
        <v/>
      </c>
    </row>
    <row r="442" customFormat="false" ht="15" hidden="false" customHeight="true" outlineLevel="0" collapsed="false">
      <c r="B442" s="15" t="str">
        <f aca="false">IF($C442="","",IFERROR(INDEX(MF_Master!$A:$A,MATCH($C442,MF_Master!$B:$B,0)),""))</f>
        <v/>
      </c>
      <c r="D442" s="15" t="str">
        <f aca="false">IF($C442="","",IFERROR(INDEX(MF_Master!$C:$C,MATCH($C442,MF_Master!$B:$B,0)),""))</f>
        <v/>
      </c>
      <c r="E442" s="29"/>
      <c r="F442" s="28"/>
      <c r="G442" s="28"/>
      <c r="H442" s="31" t="str">
        <f aca="false">IF(OR($F442="",$G442=""),"",$F442/$G442)</f>
        <v/>
      </c>
    </row>
    <row r="443" customFormat="false" ht="15" hidden="false" customHeight="true" outlineLevel="0" collapsed="false">
      <c r="B443" s="15" t="str">
        <f aca="false">IF($C443="","",IFERROR(INDEX(MF_Master!$A:$A,MATCH($C443,MF_Master!$B:$B,0)),""))</f>
        <v/>
      </c>
      <c r="D443" s="15" t="str">
        <f aca="false">IF($C443="","",IFERROR(INDEX(MF_Master!$C:$C,MATCH($C443,MF_Master!$B:$B,0)),""))</f>
        <v/>
      </c>
      <c r="E443" s="29"/>
      <c r="F443" s="28"/>
      <c r="G443" s="28"/>
      <c r="H443" s="31" t="str">
        <f aca="false">IF(OR($F443="",$G443=""),"",$F443/$G443)</f>
        <v/>
      </c>
    </row>
    <row r="444" customFormat="false" ht="15" hidden="false" customHeight="true" outlineLevel="0" collapsed="false">
      <c r="B444" s="15" t="str">
        <f aca="false">IF($C444="","",IFERROR(INDEX(MF_Master!$A:$A,MATCH($C444,MF_Master!$B:$B,0)),""))</f>
        <v/>
      </c>
      <c r="D444" s="15" t="str">
        <f aca="false">IF($C444="","",IFERROR(INDEX(MF_Master!$C:$C,MATCH($C444,MF_Master!$B:$B,0)),""))</f>
        <v/>
      </c>
      <c r="E444" s="29"/>
      <c r="F444" s="28"/>
      <c r="G444" s="28"/>
      <c r="H444" s="31" t="str">
        <f aca="false">IF(OR($F444="",$G444=""),"",$F444/$G444)</f>
        <v/>
      </c>
    </row>
    <row r="445" customFormat="false" ht="15" hidden="false" customHeight="true" outlineLevel="0" collapsed="false">
      <c r="B445" s="15" t="str">
        <f aca="false">IF($C445="","",IFERROR(INDEX(MF_Master!$A:$A,MATCH($C445,MF_Master!$B:$B,0)),""))</f>
        <v/>
      </c>
      <c r="D445" s="15" t="str">
        <f aca="false">IF($C445="","",IFERROR(INDEX(MF_Master!$C:$C,MATCH($C445,MF_Master!$B:$B,0)),""))</f>
        <v/>
      </c>
      <c r="E445" s="29"/>
      <c r="F445" s="28"/>
      <c r="G445" s="28"/>
      <c r="H445" s="31" t="str">
        <f aca="false">IF(OR($F445="",$G445=""),"",$F445/$G445)</f>
        <v/>
      </c>
    </row>
    <row r="446" customFormat="false" ht="15" hidden="false" customHeight="true" outlineLevel="0" collapsed="false">
      <c r="B446" s="15" t="str">
        <f aca="false">IF($C446="","",IFERROR(INDEX(MF_Master!$A:$A,MATCH($C446,MF_Master!$B:$B,0)),""))</f>
        <v/>
      </c>
      <c r="D446" s="15" t="str">
        <f aca="false">IF($C446="","",IFERROR(INDEX(MF_Master!$C:$C,MATCH($C446,MF_Master!$B:$B,0)),""))</f>
        <v/>
      </c>
      <c r="E446" s="29"/>
      <c r="F446" s="28"/>
      <c r="G446" s="28"/>
      <c r="H446" s="31" t="str">
        <f aca="false">IF(OR($F446="",$G446=""),"",$F446/$G446)</f>
        <v/>
      </c>
    </row>
    <row r="447" customFormat="false" ht="15" hidden="false" customHeight="true" outlineLevel="0" collapsed="false">
      <c r="B447" s="15" t="str">
        <f aca="false">IF($C447="","",IFERROR(INDEX(MF_Master!$A:$A,MATCH($C447,MF_Master!$B:$B,0)),""))</f>
        <v/>
      </c>
      <c r="D447" s="15" t="str">
        <f aca="false">IF($C447="","",IFERROR(INDEX(MF_Master!$C:$C,MATCH($C447,MF_Master!$B:$B,0)),""))</f>
        <v/>
      </c>
      <c r="E447" s="29"/>
      <c r="F447" s="28"/>
      <c r="G447" s="28"/>
      <c r="H447" s="31" t="str">
        <f aca="false">IF(OR($F447="",$G447=""),"",$F447/$G447)</f>
        <v/>
      </c>
    </row>
    <row r="448" customFormat="false" ht="15" hidden="false" customHeight="true" outlineLevel="0" collapsed="false">
      <c r="B448" s="15" t="str">
        <f aca="false">IF($C448="","",IFERROR(INDEX(MF_Master!$A:$A,MATCH($C448,MF_Master!$B:$B,0)),""))</f>
        <v/>
      </c>
      <c r="D448" s="15" t="str">
        <f aca="false">IF($C448="","",IFERROR(INDEX(MF_Master!$C:$C,MATCH($C448,MF_Master!$B:$B,0)),""))</f>
        <v/>
      </c>
      <c r="E448" s="29"/>
      <c r="F448" s="28"/>
      <c r="G448" s="28"/>
      <c r="H448" s="31" t="str">
        <f aca="false">IF(OR($F448="",$G448=""),"",$F448/$G448)</f>
        <v/>
      </c>
    </row>
    <row r="449" customFormat="false" ht="15" hidden="false" customHeight="true" outlineLevel="0" collapsed="false">
      <c r="B449" s="15" t="str">
        <f aca="false">IF($C449="","",IFERROR(INDEX(MF_Master!$A:$A,MATCH($C449,MF_Master!$B:$B,0)),""))</f>
        <v/>
      </c>
      <c r="D449" s="15" t="str">
        <f aca="false">IF($C449="","",IFERROR(INDEX(MF_Master!$C:$C,MATCH($C449,MF_Master!$B:$B,0)),""))</f>
        <v/>
      </c>
      <c r="E449" s="29"/>
      <c r="F449" s="28"/>
      <c r="G449" s="28"/>
      <c r="H449" s="31" t="str">
        <f aca="false">IF(OR($F449="",$G449=""),"",$F449/$G449)</f>
        <v/>
      </c>
    </row>
    <row r="450" customFormat="false" ht="15" hidden="false" customHeight="true" outlineLevel="0" collapsed="false">
      <c r="B450" s="15" t="str">
        <f aca="false">IF($C450="","",IFERROR(INDEX(MF_Master!$A:$A,MATCH($C450,MF_Master!$B:$B,0)),""))</f>
        <v/>
      </c>
      <c r="D450" s="15" t="str">
        <f aca="false">IF($C450="","",IFERROR(INDEX(MF_Master!$C:$C,MATCH($C450,MF_Master!$B:$B,0)),""))</f>
        <v/>
      </c>
      <c r="E450" s="29"/>
      <c r="F450" s="28"/>
      <c r="G450" s="28"/>
      <c r="H450" s="31" t="str">
        <f aca="false">IF(OR($F450="",$G450=""),"",$F450/$G450)</f>
        <v/>
      </c>
    </row>
    <row r="451" customFormat="false" ht="15" hidden="false" customHeight="true" outlineLevel="0" collapsed="false">
      <c r="B451" s="15" t="str">
        <f aca="false">IF($C451="","",IFERROR(INDEX(MF_Master!$A:$A,MATCH($C451,MF_Master!$B:$B,0)),""))</f>
        <v/>
      </c>
      <c r="D451" s="15" t="str">
        <f aca="false">IF($C451="","",IFERROR(INDEX(MF_Master!$C:$C,MATCH($C451,MF_Master!$B:$B,0)),""))</f>
        <v/>
      </c>
      <c r="E451" s="29"/>
      <c r="F451" s="28"/>
      <c r="G451" s="28"/>
      <c r="H451" s="31" t="str">
        <f aca="false">IF(OR($F451="",$G451=""),"",$F451/$G451)</f>
        <v/>
      </c>
    </row>
    <row r="452" customFormat="false" ht="15" hidden="false" customHeight="true" outlineLevel="0" collapsed="false">
      <c r="B452" s="15" t="str">
        <f aca="false">IF($C452="","",IFERROR(INDEX(MF_Master!$A:$A,MATCH($C452,MF_Master!$B:$B,0)),""))</f>
        <v/>
      </c>
      <c r="D452" s="15" t="str">
        <f aca="false">IF($C452="","",IFERROR(INDEX(MF_Master!$C:$C,MATCH($C452,MF_Master!$B:$B,0)),""))</f>
        <v/>
      </c>
      <c r="E452" s="29"/>
      <c r="F452" s="28"/>
      <c r="G452" s="28"/>
      <c r="H452" s="31" t="str">
        <f aca="false">IF(OR($F452="",$G452=""),"",$F452/$G452)</f>
        <v/>
      </c>
    </row>
    <row r="453" customFormat="false" ht="15" hidden="false" customHeight="true" outlineLevel="0" collapsed="false">
      <c r="B453" s="15" t="str">
        <f aca="false">IF($C453="","",IFERROR(INDEX(MF_Master!$A:$A,MATCH($C453,MF_Master!$B:$B,0)),""))</f>
        <v/>
      </c>
      <c r="D453" s="15" t="str">
        <f aca="false">IF($C453="","",IFERROR(INDEX(MF_Master!$C:$C,MATCH($C453,MF_Master!$B:$B,0)),""))</f>
        <v/>
      </c>
      <c r="E453" s="29"/>
      <c r="F453" s="28"/>
      <c r="G453" s="28"/>
      <c r="H453" s="31" t="str">
        <f aca="false">IF(OR($F453="",$G453=""),"",$F453/$G453)</f>
        <v/>
      </c>
    </row>
    <row r="454" customFormat="false" ht="15" hidden="false" customHeight="true" outlineLevel="0" collapsed="false">
      <c r="B454" s="15" t="str">
        <f aca="false">IF($C454="","",IFERROR(INDEX(MF_Master!$A:$A,MATCH($C454,MF_Master!$B:$B,0)),""))</f>
        <v/>
      </c>
      <c r="D454" s="15" t="str">
        <f aca="false">IF($C454="","",IFERROR(INDEX(MF_Master!$C:$C,MATCH($C454,MF_Master!$B:$B,0)),""))</f>
        <v/>
      </c>
      <c r="E454" s="29"/>
      <c r="F454" s="28"/>
      <c r="G454" s="28"/>
      <c r="H454" s="31" t="str">
        <f aca="false">IF(OR($F454="",$G454=""),"",$F454/$G454)</f>
        <v/>
      </c>
    </row>
    <row r="455" customFormat="false" ht="15" hidden="false" customHeight="true" outlineLevel="0" collapsed="false">
      <c r="B455" s="15" t="str">
        <f aca="false">IF($C455="","",IFERROR(INDEX(MF_Master!$A:$A,MATCH($C455,MF_Master!$B:$B,0)),""))</f>
        <v/>
      </c>
      <c r="D455" s="15" t="str">
        <f aca="false">IF($C455="","",IFERROR(INDEX(MF_Master!$C:$C,MATCH($C455,MF_Master!$B:$B,0)),""))</f>
        <v/>
      </c>
      <c r="E455" s="29"/>
      <c r="F455" s="28"/>
      <c r="G455" s="28"/>
      <c r="H455" s="31" t="str">
        <f aca="false">IF(OR($F455="",$G455=""),"",$F455/$G455)</f>
        <v/>
      </c>
    </row>
    <row r="456" customFormat="false" ht="15" hidden="false" customHeight="true" outlineLevel="0" collapsed="false">
      <c r="B456" s="15" t="str">
        <f aca="false">IF($C456="","",IFERROR(INDEX(MF_Master!$A:$A,MATCH($C456,MF_Master!$B:$B,0)),""))</f>
        <v/>
      </c>
      <c r="D456" s="15" t="str">
        <f aca="false">IF($C456="","",IFERROR(INDEX(MF_Master!$C:$C,MATCH($C456,MF_Master!$B:$B,0)),""))</f>
        <v/>
      </c>
      <c r="E456" s="29"/>
      <c r="F456" s="28"/>
      <c r="G456" s="28"/>
      <c r="H456" s="31" t="str">
        <f aca="false">IF(OR($F456="",$G456=""),"",$F456/$G456)</f>
        <v/>
      </c>
    </row>
    <row r="457" customFormat="false" ht="15" hidden="false" customHeight="true" outlineLevel="0" collapsed="false">
      <c r="B457" s="15" t="str">
        <f aca="false">IF($C457="","",IFERROR(INDEX(MF_Master!$A:$A,MATCH($C457,MF_Master!$B:$B,0)),""))</f>
        <v/>
      </c>
      <c r="D457" s="15" t="str">
        <f aca="false">IF($C457="","",IFERROR(INDEX(MF_Master!$C:$C,MATCH($C457,MF_Master!$B:$B,0)),""))</f>
        <v/>
      </c>
      <c r="E457" s="29"/>
      <c r="F457" s="28"/>
      <c r="G457" s="28"/>
      <c r="H457" s="31" t="str">
        <f aca="false">IF(OR($F457="",$G457=""),"",$F457/$G457)</f>
        <v/>
      </c>
    </row>
    <row r="458" customFormat="false" ht="15" hidden="false" customHeight="true" outlineLevel="0" collapsed="false">
      <c r="B458" s="15" t="str">
        <f aca="false">IF($C458="","",IFERROR(INDEX(MF_Master!$A:$A,MATCH($C458,MF_Master!$B:$B,0)),""))</f>
        <v/>
      </c>
      <c r="D458" s="15" t="str">
        <f aca="false">IF($C458="","",IFERROR(INDEX(MF_Master!$C:$C,MATCH($C458,MF_Master!$B:$B,0)),""))</f>
        <v/>
      </c>
      <c r="E458" s="29"/>
      <c r="F458" s="28"/>
      <c r="G458" s="28"/>
      <c r="H458" s="31" t="str">
        <f aca="false">IF(OR($F458="",$G458=""),"",$F458/$G458)</f>
        <v/>
      </c>
    </row>
    <row r="459" customFormat="false" ht="15" hidden="false" customHeight="true" outlineLevel="0" collapsed="false">
      <c r="B459" s="15" t="str">
        <f aca="false">IF($C459="","",IFERROR(INDEX(MF_Master!$A:$A,MATCH($C459,MF_Master!$B:$B,0)),""))</f>
        <v/>
      </c>
      <c r="D459" s="15" t="str">
        <f aca="false">IF($C459="","",IFERROR(INDEX(MF_Master!$C:$C,MATCH($C459,MF_Master!$B:$B,0)),""))</f>
        <v/>
      </c>
      <c r="E459" s="29"/>
      <c r="F459" s="28"/>
      <c r="G459" s="28"/>
      <c r="H459" s="31" t="str">
        <f aca="false">IF(OR($F459="",$G459=""),"",$F459/$G459)</f>
        <v/>
      </c>
    </row>
    <row r="460" customFormat="false" ht="15" hidden="false" customHeight="true" outlineLevel="0" collapsed="false">
      <c r="B460" s="15" t="str">
        <f aca="false">IF($C460="","",IFERROR(INDEX(MF_Master!$A:$A,MATCH($C460,MF_Master!$B:$B,0)),""))</f>
        <v/>
      </c>
      <c r="D460" s="15" t="str">
        <f aca="false">IF($C460="","",IFERROR(INDEX(MF_Master!$C:$C,MATCH($C460,MF_Master!$B:$B,0)),""))</f>
        <v/>
      </c>
      <c r="E460" s="29"/>
      <c r="F460" s="28"/>
      <c r="G460" s="28"/>
      <c r="H460" s="31" t="str">
        <f aca="false">IF(OR($F460="",$G460=""),"",$F460/$G460)</f>
        <v/>
      </c>
    </row>
    <row r="461" customFormat="false" ht="15" hidden="false" customHeight="true" outlineLevel="0" collapsed="false">
      <c r="B461" s="15" t="str">
        <f aca="false">IF($C461="","",IFERROR(INDEX(MF_Master!$A:$A,MATCH($C461,MF_Master!$B:$B,0)),""))</f>
        <v/>
      </c>
      <c r="D461" s="15" t="str">
        <f aca="false">IF($C461="","",IFERROR(INDEX(MF_Master!$C:$C,MATCH($C461,MF_Master!$B:$B,0)),""))</f>
        <v/>
      </c>
      <c r="E461" s="29"/>
      <c r="F461" s="28"/>
      <c r="G461" s="28"/>
      <c r="H461" s="31" t="str">
        <f aca="false">IF(OR($F461="",$G461=""),"",$F461/$G461)</f>
        <v/>
      </c>
    </row>
    <row r="462" customFormat="false" ht="15" hidden="false" customHeight="true" outlineLevel="0" collapsed="false">
      <c r="B462" s="15" t="str">
        <f aca="false">IF($C462="","",IFERROR(INDEX(MF_Master!$A:$A,MATCH($C462,MF_Master!$B:$B,0)),""))</f>
        <v/>
      </c>
      <c r="D462" s="15" t="str">
        <f aca="false">IF($C462="","",IFERROR(INDEX(MF_Master!$C:$C,MATCH($C462,MF_Master!$B:$B,0)),""))</f>
        <v/>
      </c>
      <c r="E462" s="29"/>
      <c r="F462" s="28"/>
      <c r="G462" s="28"/>
      <c r="H462" s="31" t="str">
        <f aca="false">IF(OR($F462="",$G462=""),"",$F462/$G462)</f>
        <v/>
      </c>
    </row>
    <row r="463" customFormat="false" ht="15" hidden="false" customHeight="true" outlineLevel="0" collapsed="false">
      <c r="B463" s="15" t="str">
        <f aca="false">IF($C463="","",IFERROR(INDEX(MF_Master!$A:$A,MATCH($C463,MF_Master!$B:$B,0)),""))</f>
        <v/>
      </c>
      <c r="D463" s="15" t="str">
        <f aca="false">IF($C463="","",IFERROR(INDEX(MF_Master!$C:$C,MATCH($C463,MF_Master!$B:$B,0)),""))</f>
        <v/>
      </c>
      <c r="E463" s="29"/>
      <c r="F463" s="28"/>
      <c r="G463" s="28"/>
      <c r="H463" s="31" t="str">
        <f aca="false">IF(OR($F463="",$G463=""),"",$F463/$G463)</f>
        <v/>
      </c>
    </row>
    <row r="464" customFormat="false" ht="15" hidden="false" customHeight="true" outlineLevel="0" collapsed="false">
      <c r="B464" s="15" t="str">
        <f aca="false">IF($C464="","",IFERROR(INDEX(MF_Master!$A:$A,MATCH($C464,MF_Master!$B:$B,0)),""))</f>
        <v/>
      </c>
      <c r="D464" s="15" t="str">
        <f aca="false">IF($C464="","",IFERROR(INDEX(MF_Master!$C:$C,MATCH($C464,MF_Master!$B:$B,0)),""))</f>
        <v/>
      </c>
      <c r="E464" s="29"/>
      <c r="F464" s="28"/>
      <c r="G464" s="28"/>
      <c r="H464" s="31" t="str">
        <f aca="false">IF(OR($F464="",$G464=""),"",$F464/$G464)</f>
        <v/>
      </c>
    </row>
    <row r="465" customFormat="false" ht="15" hidden="false" customHeight="true" outlineLevel="0" collapsed="false">
      <c r="B465" s="15" t="str">
        <f aca="false">IF($C465="","",IFERROR(INDEX(MF_Master!$A:$A,MATCH($C465,MF_Master!$B:$B,0)),""))</f>
        <v/>
      </c>
      <c r="D465" s="15" t="str">
        <f aca="false">IF($C465="","",IFERROR(INDEX(MF_Master!$C:$C,MATCH($C465,MF_Master!$B:$B,0)),""))</f>
        <v/>
      </c>
      <c r="E465" s="29"/>
      <c r="F465" s="28"/>
      <c r="G465" s="28"/>
      <c r="H465" s="31" t="str">
        <f aca="false">IF(OR($F465="",$G465=""),"",$F465/$G465)</f>
        <v/>
      </c>
    </row>
    <row r="466" customFormat="false" ht="15" hidden="false" customHeight="true" outlineLevel="0" collapsed="false">
      <c r="B466" s="15" t="str">
        <f aca="false">IF($C466="","",IFERROR(INDEX(MF_Master!$A:$A,MATCH($C466,MF_Master!$B:$B,0)),""))</f>
        <v/>
      </c>
      <c r="D466" s="15" t="str">
        <f aca="false">IF($C466="","",IFERROR(INDEX(MF_Master!$C:$C,MATCH($C466,MF_Master!$B:$B,0)),""))</f>
        <v/>
      </c>
      <c r="E466" s="29"/>
      <c r="F466" s="28"/>
      <c r="G466" s="28"/>
      <c r="H466" s="31" t="str">
        <f aca="false">IF(OR($F466="",$G466=""),"",$F466/$G466)</f>
        <v/>
      </c>
    </row>
    <row r="467" customFormat="false" ht="15" hidden="false" customHeight="true" outlineLevel="0" collapsed="false">
      <c r="B467" s="15" t="str">
        <f aca="false">IF($C467="","",IFERROR(INDEX(MF_Master!$A:$A,MATCH($C467,MF_Master!$B:$B,0)),""))</f>
        <v/>
      </c>
      <c r="D467" s="15" t="str">
        <f aca="false">IF($C467="","",IFERROR(INDEX(MF_Master!$C:$C,MATCH($C467,MF_Master!$B:$B,0)),""))</f>
        <v/>
      </c>
      <c r="E467" s="29"/>
      <c r="F467" s="28"/>
      <c r="G467" s="28"/>
      <c r="H467" s="31" t="str">
        <f aca="false">IF(OR($F467="",$G467=""),"",$F467/$G467)</f>
        <v/>
      </c>
    </row>
    <row r="468" customFormat="false" ht="15" hidden="false" customHeight="true" outlineLevel="0" collapsed="false">
      <c r="B468" s="15" t="str">
        <f aca="false">IF($C468="","",IFERROR(INDEX(MF_Master!$A:$A,MATCH($C468,MF_Master!$B:$B,0)),""))</f>
        <v/>
      </c>
      <c r="D468" s="15" t="str">
        <f aca="false">IF($C468="","",IFERROR(INDEX(MF_Master!$C:$C,MATCH($C468,MF_Master!$B:$B,0)),""))</f>
        <v/>
      </c>
      <c r="E468" s="29"/>
      <c r="F468" s="28"/>
      <c r="G468" s="28"/>
      <c r="H468" s="31" t="str">
        <f aca="false">IF(OR($F468="",$G468=""),"",$F468/$G468)</f>
        <v/>
      </c>
    </row>
    <row r="469" customFormat="false" ht="15" hidden="false" customHeight="true" outlineLevel="0" collapsed="false">
      <c r="B469" s="15" t="str">
        <f aca="false">IF($C469="","",IFERROR(INDEX(MF_Master!$A:$A,MATCH($C469,MF_Master!$B:$B,0)),""))</f>
        <v/>
      </c>
      <c r="D469" s="15" t="str">
        <f aca="false">IF($C469="","",IFERROR(INDEX(MF_Master!$C:$C,MATCH($C469,MF_Master!$B:$B,0)),""))</f>
        <v/>
      </c>
      <c r="E469" s="29"/>
      <c r="F469" s="28"/>
      <c r="G469" s="28"/>
      <c r="H469" s="31" t="str">
        <f aca="false">IF(OR($F469="",$G469=""),"",$F469/$G469)</f>
        <v/>
      </c>
    </row>
    <row r="470" customFormat="false" ht="15" hidden="false" customHeight="true" outlineLevel="0" collapsed="false">
      <c r="B470" s="15" t="str">
        <f aca="false">IF($C470="","",IFERROR(INDEX(MF_Master!$A:$A,MATCH($C470,MF_Master!$B:$B,0)),""))</f>
        <v/>
      </c>
      <c r="D470" s="15" t="str">
        <f aca="false">IF($C470="","",IFERROR(INDEX(MF_Master!$C:$C,MATCH($C470,MF_Master!$B:$B,0)),""))</f>
        <v/>
      </c>
      <c r="E470" s="29"/>
      <c r="F470" s="28"/>
      <c r="G470" s="28"/>
      <c r="H470" s="31" t="str">
        <f aca="false">IF(OR($F470="",$G470=""),"",$F470/$G470)</f>
        <v/>
      </c>
    </row>
    <row r="471" customFormat="false" ht="15" hidden="false" customHeight="true" outlineLevel="0" collapsed="false">
      <c r="B471" s="15" t="str">
        <f aca="false">IF($C471="","",IFERROR(INDEX(MF_Master!$A:$A,MATCH($C471,MF_Master!$B:$B,0)),""))</f>
        <v/>
      </c>
      <c r="D471" s="15" t="str">
        <f aca="false">IF($C471="","",IFERROR(INDEX(MF_Master!$C:$C,MATCH($C471,MF_Master!$B:$B,0)),""))</f>
        <v/>
      </c>
      <c r="E471" s="29"/>
      <c r="F471" s="28"/>
      <c r="G471" s="28"/>
      <c r="H471" s="31" t="str">
        <f aca="false">IF(OR($F471="",$G471=""),"",$F471/$G471)</f>
        <v/>
      </c>
    </row>
    <row r="472" customFormat="false" ht="15" hidden="false" customHeight="true" outlineLevel="0" collapsed="false">
      <c r="B472" s="15" t="str">
        <f aca="false">IF($C472="","",IFERROR(INDEX(MF_Master!$A:$A,MATCH($C472,MF_Master!$B:$B,0)),""))</f>
        <v/>
      </c>
      <c r="D472" s="15" t="str">
        <f aca="false">IF($C472="","",IFERROR(INDEX(MF_Master!$C:$C,MATCH($C472,MF_Master!$B:$B,0)),""))</f>
        <v/>
      </c>
      <c r="E472" s="29"/>
      <c r="F472" s="28"/>
      <c r="G472" s="28"/>
      <c r="H472" s="31" t="str">
        <f aca="false">IF(OR($F472="",$G472=""),"",$F472/$G472)</f>
        <v/>
      </c>
    </row>
    <row r="473" customFormat="false" ht="15" hidden="false" customHeight="true" outlineLevel="0" collapsed="false">
      <c r="B473" s="15" t="str">
        <f aca="false">IF($C473="","",IFERROR(INDEX(MF_Master!$A:$A,MATCH($C473,MF_Master!$B:$B,0)),""))</f>
        <v/>
      </c>
      <c r="D473" s="15" t="str">
        <f aca="false">IF($C473="","",IFERROR(INDEX(MF_Master!$C:$C,MATCH($C473,MF_Master!$B:$B,0)),""))</f>
        <v/>
      </c>
      <c r="E473" s="29"/>
      <c r="F473" s="28"/>
      <c r="G473" s="28"/>
      <c r="H473" s="31" t="str">
        <f aca="false">IF(OR($F473="",$G473=""),"",$F473/$G473)</f>
        <v/>
      </c>
    </row>
    <row r="474" customFormat="false" ht="15" hidden="false" customHeight="true" outlineLevel="0" collapsed="false">
      <c r="B474" s="15" t="str">
        <f aca="false">IF($C474="","",IFERROR(INDEX(MF_Master!$A:$A,MATCH($C474,MF_Master!$B:$B,0)),""))</f>
        <v/>
      </c>
      <c r="D474" s="15" t="str">
        <f aca="false">IF($C474="","",IFERROR(INDEX(MF_Master!$C:$C,MATCH($C474,MF_Master!$B:$B,0)),""))</f>
        <v/>
      </c>
      <c r="E474" s="29"/>
      <c r="F474" s="28"/>
      <c r="G474" s="28"/>
      <c r="H474" s="31" t="str">
        <f aca="false">IF(OR($F474="",$G474=""),"",$F474/$G474)</f>
        <v/>
      </c>
    </row>
    <row r="475" customFormat="false" ht="15" hidden="false" customHeight="true" outlineLevel="0" collapsed="false">
      <c r="B475" s="15" t="str">
        <f aca="false">IF($C475="","",IFERROR(INDEX(MF_Master!$A:$A,MATCH($C475,MF_Master!$B:$B,0)),""))</f>
        <v/>
      </c>
      <c r="D475" s="15" t="str">
        <f aca="false">IF($C475="","",IFERROR(INDEX(MF_Master!$C:$C,MATCH($C475,MF_Master!$B:$B,0)),""))</f>
        <v/>
      </c>
      <c r="E475" s="29"/>
      <c r="F475" s="28"/>
      <c r="G475" s="28"/>
      <c r="H475" s="31" t="str">
        <f aca="false">IF(OR($F475="",$G475=""),"",$F475/$G475)</f>
        <v/>
      </c>
    </row>
    <row r="476" customFormat="false" ht="15" hidden="false" customHeight="true" outlineLevel="0" collapsed="false">
      <c r="B476" s="15" t="str">
        <f aca="false">IF($C476="","",IFERROR(INDEX(MF_Master!$A:$A,MATCH($C476,MF_Master!$B:$B,0)),""))</f>
        <v/>
      </c>
      <c r="D476" s="15" t="str">
        <f aca="false">IF($C476="","",IFERROR(INDEX(MF_Master!$C:$C,MATCH($C476,MF_Master!$B:$B,0)),""))</f>
        <v/>
      </c>
      <c r="E476" s="29"/>
      <c r="F476" s="28"/>
      <c r="G476" s="28"/>
      <c r="H476" s="31" t="str">
        <f aca="false">IF(OR($F476="",$G476=""),"",$F476/$G476)</f>
        <v/>
      </c>
    </row>
    <row r="477" customFormat="false" ht="15" hidden="false" customHeight="true" outlineLevel="0" collapsed="false">
      <c r="B477" s="15" t="str">
        <f aca="false">IF($C477="","",IFERROR(INDEX(MF_Master!$A:$A,MATCH($C477,MF_Master!$B:$B,0)),""))</f>
        <v/>
      </c>
      <c r="D477" s="15" t="str">
        <f aca="false">IF($C477="","",IFERROR(INDEX(MF_Master!$C:$C,MATCH($C477,MF_Master!$B:$B,0)),""))</f>
        <v/>
      </c>
      <c r="E477" s="29"/>
      <c r="F477" s="28"/>
      <c r="G477" s="28"/>
      <c r="H477" s="31" t="str">
        <f aca="false">IF(OR($F477="",$G477=""),"",$F477/$G477)</f>
        <v/>
      </c>
    </row>
    <row r="478" customFormat="false" ht="15" hidden="false" customHeight="true" outlineLevel="0" collapsed="false">
      <c r="B478" s="15" t="str">
        <f aca="false">IF($C478="","",IFERROR(INDEX(MF_Master!$A:$A,MATCH($C478,MF_Master!$B:$B,0)),""))</f>
        <v/>
      </c>
      <c r="D478" s="15" t="str">
        <f aca="false">IF($C478="","",IFERROR(INDEX(MF_Master!$C:$C,MATCH($C478,MF_Master!$B:$B,0)),""))</f>
        <v/>
      </c>
      <c r="E478" s="29"/>
      <c r="F478" s="28"/>
      <c r="G478" s="28"/>
      <c r="H478" s="31" t="str">
        <f aca="false">IF(OR($F478="",$G478=""),"",$F478/$G478)</f>
        <v/>
      </c>
    </row>
    <row r="479" customFormat="false" ht="15" hidden="false" customHeight="true" outlineLevel="0" collapsed="false">
      <c r="B479" s="15" t="str">
        <f aca="false">IF($C479="","",IFERROR(INDEX(MF_Master!$A:$A,MATCH($C479,MF_Master!$B:$B,0)),""))</f>
        <v/>
      </c>
      <c r="D479" s="15" t="str">
        <f aca="false">IF($C479="","",IFERROR(INDEX(MF_Master!$C:$C,MATCH($C479,MF_Master!$B:$B,0)),""))</f>
        <v/>
      </c>
      <c r="E479" s="29"/>
      <c r="F479" s="28"/>
      <c r="G479" s="28"/>
      <c r="H479" s="31" t="str">
        <f aca="false">IF(OR($F479="",$G479=""),"",$F479/$G479)</f>
        <v/>
      </c>
    </row>
    <row r="480" customFormat="false" ht="15" hidden="false" customHeight="true" outlineLevel="0" collapsed="false">
      <c r="B480" s="15" t="str">
        <f aca="false">IF($C480="","",IFERROR(INDEX(MF_Master!$A:$A,MATCH($C480,MF_Master!$B:$B,0)),""))</f>
        <v/>
      </c>
      <c r="D480" s="15" t="str">
        <f aca="false">IF($C480="","",IFERROR(INDEX(MF_Master!$C:$C,MATCH($C480,MF_Master!$B:$B,0)),""))</f>
        <v/>
      </c>
      <c r="E480" s="29"/>
      <c r="F480" s="28"/>
      <c r="G480" s="28"/>
      <c r="H480" s="31" t="str">
        <f aca="false">IF(OR($F480="",$G480=""),"",$F480/$G480)</f>
        <v/>
      </c>
    </row>
    <row r="481" customFormat="false" ht="15" hidden="false" customHeight="true" outlineLevel="0" collapsed="false">
      <c r="B481" s="15" t="str">
        <f aca="false">IF($C481="","",IFERROR(INDEX(MF_Master!$A:$A,MATCH($C481,MF_Master!$B:$B,0)),""))</f>
        <v/>
      </c>
      <c r="D481" s="15" t="str">
        <f aca="false">IF($C481="","",IFERROR(INDEX(MF_Master!$C:$C,MATCH($C481,MF_Master!$B:$B,0)),""))</f>
        <v/>
      </c>
      <c r="E481" s="29"/>
      <c r="F481" s="28"/>
      <c r="G481" s="28"/>
      <c r="H481" s="31" t="str">
        <f aca="false">IF(OR($F481="",$G481=""),"",$F481/$G481)</f>
        <v/>
      </c>
    </row>
    <row r="482" customFormat="false" ht="15" hidden="false" customHeight="true" outlineLevel="0" collapsed="false">
      <c r="B482" s="15" t="str">
        <f aca="false">IF($C482="","",IFERROR(INDEX(MF_Master!$A:$A,MATCH($C482,MF_Master!$B:$B,0)),""))</f>
        <v/>
      </c>
      <c r="D482" s="15" t="str">
        <f aca="false">IF($C482="","",IFERROR(INDEX(MF_Master!$C:$C,MATCH($C482,MF_Master!$B:$B,0)),""))</f>
        <v/>
      </c>
      <c r="E482" s="29"/>
      <c r="F482" s="28"/>
      <c r="G482" s="28"/>
      <c r="H482" s="31" t="str">
        <f aca="false">IF(OR($F482="",$G482=""),"",$F482/$G482)</f>
        <v/>
      </c>
    </row>
    <row r="483" customFormat="false" ht="15" hidden="false" customHeight="true" outlineLevel="0" collapsed="false">
      <c r="B483" s="15" t="str">
        <f aca="false">IF($C483="","",IFERROR(INDEX(MF_Master!$A:$A,MATCH($C483,MF_Master!$B:$B,0)),""))</f>
        <v/>
      </c>
      <c r="D483" s="15" t="str">
        <f aca="false">IF($C483="","",IFERROR(INDEX(MF_Master!$C:$C,MATCH($C483,MF_Master!$B:$B,0)),""))</f>
        <v/>
      </c>
      <c r="E483" s="29"/>
      <c r="F483" s="28"/>
      <c r="G483" s="28"/>
      <c r="H483" s="31" t="str">
        <f aca="false">IF(OR($F483="",$G483=""),"",$F483/$G483)</f>
        <v/>
      </c>
    </row>
    <row r="484" customFormat="false" ht="15" hidden="false" customHeight="true" outlineLevel="0" collapsed="false">
      <c r="B484" s="15" t="str">
        <f aca="false">IF($C484="","",IFERROR(INDEX(MF_Master!$A:$A,MATCH($C484,MF_Master!$B:$B,0)),""))</f>
        <v/>
      </c>
      <c r="D484" s="15" t="str">
        <f aca="false">IF($C484="","",IFERROR(INDEX(MF_Master!$C:$C,MATCH($C484,MF_Master!$B:$B,0)),""))</f>
        <v/>
      </c>
      <c r="E484" s="29"/>
      <c r="F484" s="28"/>
      <c r="G484" s="28"/>
      <c r="H484" s="31" t="str">
        <f aca="false">IF(OR($F484="",$G484=""),"",$F484/$G484)</f>
        <v/>
      </c>
    </row>
    <row r="485" customFormat="false" ht="15" hidden="false" customHeight="true" outlineLevel="0" collapsed="false">
      <c r="B485" s="15" t="str">
        <f aca="false">IF($C485="","",IFERROR(INDEX(MF_Master!$A:$A,MATCH($C485,MF_Master!$B:$B,0)),""))</f>
        <v/>
      </c>
      <c r="D485" s="15" t="str">
        <f aca="false">IF($C485="","",IFERROR(INDEX(MF_Master!$C:$C,MATCH($C485,MF_Master!$B:$B,0)),""))</f>
        <v/>
      </c>
      <c r="E485" s="29"/>
      <c r="F485" s="28"/>
      <c r="G485" s="28"/>
      <c r="H485" s="31" t="str">
        <f aca="false">IF(OR($F485="",$G485=""),"",$F485/$G485)</f>
        <v/>
      </c>
    </row>
    <row r="486" customFormat="false" ht="15" hidden="false" customHeight="true" outlineLevel="0" collapsed="false">
      <c r="B486" s="15" t="str">
        <f aca="false">IF($C486="","",IFERROR(INDEX(MF_Master!$A:$A,MATCH($C486,MF_Master!$B:$B,0)),""))</f>
        <v/>
      </c>
      <c r="D486" s="15" t="str">
        <f aca="false">IF($C486="","",IFERROR(INDEX(MF_Master!$C:$C,MATCH($C486,MF_Master!$B:$B,0)),""))</f>
        <v/>
      </c>
      <c r="E486" s="29"/>
      <c r="F486" s="28"/>
      <c r="G486" s="28"/>
      <c r="H486" s="31" t="str">
        <f aca="false">IF(OR($F486="",$G486=""),"",$F486/$G486)</f>
        <v/>
      </c>
    </row>
    <row r="487" customFormat="false" ht="15" hidden="false" customHeight="true" outlineLevel="0" collapsed="false">
      <c r="B487" s="15" t="str">
        <f aca="false">IF($C487="","",IFERROR(INDEX(MF_Master!$A:$A,MATCH($C487,MF_Master!$B:$B,0)),""))</f>
        <v/>
      </c>
      <c r="D487" s="15" t="str">
        <f aca="false">IF($C487="","",IFERROR(INDEX(MF_Master!$C:$C,MATCH($C487,MF_Master!$B:$B,0)),""))</f>
        <v/>
      </c>
      <c r="E487" s="29"/>
      <c r="F487" s="28"/>
      <c r="G487" s="28"/>
      <c r="H487" s="31" t="str">
        <f aca="false">IF(OR($F487="",$G487=""),"",$F487/$G487)</f>
        <v/>
      </c>
    </row>
    <row r="488" customFormat="false" ht="15" hidden="false" customHeight="true" outlineLevel="0" collapsed="false">
      <c r="B488" s="15" t="str">
        <f aca="false">IF($C488="","",IFERROR(INDEX(MF_Master!$A:$A,MATCH($C488,MF_Master!$B:$B,0)),""))</f>
        <v/>
      </c>
      <c r="D488" s="15" t="str">
        <f aca="false">IF($C488="","",IFERROR(INDEX(MF_Master!$C:$C,MATCH($C488,MF_Master!$B:$B,0)),""))</f>
        <v/>
      </c>
      <c r="E488" s="29"/>
      <c r="F488" s="28"/>
      <c r="G488" s="28"/>
      <c r="H488" s="31" t="str">
        <f aca="false">IF(OR($F488="",$G488=""),"",$F488/$G488)</f>
        <v/>
      </c>
    </row>
    <row r="489" customFormat="false" ht="15" hidden="false" customHeight="true" outlineLevel="0" collapsed="false">
      <c r="B489" s="15" t="str">
        <f aca="false">IF($C489="","",IFERROR(INDEX(MF_Master!$A:$A,MATCH($C489,MF_Master!$B:$B,0)),""))</f>
        <v/>
      </c>
      <c r="D489" s="15" t="str">
        <f aca="false">IF($C489="","",IFERROR(INDEX(MF_Master!$C:$C,MATCH($C489,MF_Master!$B:$B,0)),""))</f>
        <v/>
      </c>
      <c r="E489" s="29"/>
      <c r="F489" s="28"/>
      <c r="G489" s="28"/>
      <c r="H489" s="31" t="str">
        <f aca="false">IF(OR($F489="",$G489=""),"",$F489/$G489)</f>
        <v/>
      </c>
    </row>
    <row r="490" customFormat="false" ht="15" hidden="false" customHeight="true" outlineLevel="0" collapsed="false">
      <c r="B490" s="15" t="str">
        <f aca="false">IF($C490="","",IFERROR(INDEX(MF_Master!$A:$A,MATCH($C490,MF_Master!$B:$B,0)),""))</f>
        <v/>
      </c>
      <c r="D490" s="15" t="str">
        <f aca="false">IF($C490="","",IFERROR(INDEX(MF_Master!$C:$C,MATCH($C490,MF_Master!$B:$B,0)),""))</f>
        <v/>
      </c>
      <c r="E490" s="29"/>
      <c r="F490" s="28"/>
      <c r="G490" s="28"/>
      <c r="H490" s="31" t="str">
        <f aca="false">IF(OR($F490="",$G490=""),"",$F490/$G490)</f>
        <v/>
      </c>
    </row>
    <row r="491" customFormat="false" ht="15" hidden="false" customHeight="true" outlineLevel="0" collapsed="false">
      <c r="B491" s="15" t="str">
        <f aca="false">IF($C491="","",IFERROR(INDEX(MF_Master!$A:$A,MATCH($C491,MF_Master!$B:$B,0)),""))</f>
        <v/>
      </c>
      <c r="D491" s="15" t="str">
        <f aca="false">IF($C491="","",IFERROR(INDEX(MF_Master!$C:$C,MATCH($C491,MF_Master!$B:$B,0)),""))</f>
        <v/>
      </c>
      <c r="E491" s="29"/>
      <c r="F491" s="28"/>
      <c r="G491" s="28"/>
      <c r="H491" s="31" t="str">
        <f aca="false">IF(OR($F491="",$G491=""),"",$F491/$G491)</f>
        <v/>
      </c>
    </row>
    <row r="492" customFormat="false" ht="15" hidden="false" customHeight="true" outlineLevel="0" collapsed="false">
      <c r="B492" s="15" t="str">
        <f aca="false">IF($C492="","",IFERROR(INDEX(MF_Master!$A:$A,MATCH($C492,MF_Master!$B:$B,0)),""))</f>
        <v/>
      </c>
      <c r="D492" s="15" t="str">
        <f aca="false">IF($C492="","",IFERROR(INDEX(MF_Master!$C:$C,MATCH($C492,MF_Master!$B:$B,0)),""))</f>
        <v/>
      </c>
      <c r="E492" s="29"/>
      <c r="F492" s="28"/>
      <c r="G492" s="28"/>
      <c r="H492" s="31" t="str">
        <f aca="false">IF(OR($F492="",$G492=""),"",$F492/$G492)</f>
        <v/>
      </c>
    </row>
    <row r="493" customFormat="false" ht="15" hidden="false" customHeight="true" outlineLevel="0" collapsed="false">
      <c r="B493" s="15" t="str">
        <f aca="false">IF($C493="","",IFERROR(INDEX(MF_Master!$A:$A,MATCH($C493,MF_Master!$B:$B,0)),""))</f>
        <v/>
      </c>
      <c r="D493" s="15" t="str">
        <f aca="false">IF($C493="","",IFERROR(INDEX(MF_Master!$C:$C,MATCH($C493,MF_Master!$B:$B,0)),""))</f>
        <v/>
      </c>
      <c r="E493" s="29"/>
      <c r="F493" s="28"/>
      <c r="G493" s="28"/>
      <c r="H493" s="31" t="str">
        <f aca="false">IF(OR($F493="",$G493=""),"",$F493/$G493)</f>
        <v/>
      </c>
    </row>
    <row r="494" customFormat="false" ht="15" hidden="false" customHeight="true" outlineLevel="0" collapsed="false">
      <c r="B494" s="15" t="str">
        <f aca="false">IF($C494="","",IFERROR(INDEX(MF_Master!$A:$A,MATCH($C494,MF_Master!$B:$B,0)),""))</f>
        <v/>
      </c>
      <c r="D494" s="15" t="str">
        <f aca="false">IF($C494="","",IFERROR(INDEX(MF_Master!$C:$C,MATCH($C494,MF_Master!$B:$B,0)),""))</f>
        <v/>
      </c>
      <c r="E494" s="29"/>
      <c r="F494" s="28"/>
      <c r="G494" s="28"/>
      <c r="H494" s="31" t="str">
        <f aca="false">IF(OR($F494="",$G494=""),"",$F494/$G494)</f>
        <v/>
      </c>
    </row>
    <row r="495" customFormat="false" ht="15" hidden="false" customHeight="true" outlineLevel="0" collapsed="false">
      <c r="B495" s="15" t="str">
        <f aca="false">IF($C495="","",IFERROR(INDEX(MF_Master!$A:$A,MATCH($C495,MF_Master!$B:$B,0)),""))</f>
        <v/>
      </c>
      <c r="D495" s="15" t="str">
        <f aca="false">IF($C495="","",IFERROR(INDEX(MF_Master!$C:$C,MATCH($C495,MF_Master!$B:$B,0)),""))</f>
        <v/>
      </c>
      <c r="E495" s="29"/>
      <c r="F495" s="28"/>
      <c r="G495" s="28"/>
      <c r="H495" s="31" t="str">
        <f aca="false">IF(OR($F495="",$G495=""),"",$F495/$G495)</f>
        <v/>
      </c>
    </row>
    <row r="496" customFormat="false" ht="15" hidden="false" customHeight="true" outlineLevel="0" collapsed="false">
      <c r="B496" s="15" t="str">
        <f aca="false">IF($C496="","",IFERROR(INDEX(MF_Master!$A:$A,MATCH($C496,MF_Master!$B:$B,0)),""))</f>
        <v/>
      </c>
      <c r="D496" s="15" t="str">
        <f aca="false">IF($C496="","",IFERROR(INDEX(MF_Master!$C:$C,MATCH($C496,MF_Master!$B:$B,0)),""))</f>
        <v/>
      </c>
      <c r="E496" s="29"/>
      <c r="F496" s="28"/>
      <c r="G496" s="28"/>
      <c r="H496" s="31" t="str">
        <f aca="false">IF(OR($F496="",$G496=""),"",$F496/$G496)</f>
        <v/>
      </c>
    </row>
    <row r="497" customFormat="false" ht="15" hidden="false" customHeight="true" outlineLevel="0" collapsed="false">
      <c r="B497" s="15" t="str">
        <f aca="false">IF($C497="","",IFERROR(INDEX(MF_Master!$A:$A,MATCH($C497,MF_Master!$B:$B,0)),""))</f>
        <v/>
      </c>
      <c r="D497" s="15" t="str">
        <f aca="false">IF($C497="","",IFERROR(INDEX(MF_Master!$C:$C,MATCH($C497,MF_Master!$B:$B,0)),""))</f>
        <v/>
      </c>
      <c r="E497" s="29"/>
      <c r="F497" s="28"/>
      <c r="G497" s="28"/>
      <c r="H497" s="31" t="str">
        <f aca="false">IF(OR($F497="",$G497=""),"",$F497/$G497)</f>
        <v/>
      </c>
    </row>
    <row r="498" customFormat="false" ht="15" hidden="false" customHeight="true" outlineLevel="0" collapsed="false">
      <c r="B498" s="15" t="str">
        <f aca="false">IF($C498="","",IFERROR(INDEX(MF_Master!$A:$A,MATCH($C498,MF_Master!$B:$B,0)),""))</f>
        <v/>
      </c>
      <c r="D498" s="15" t="str">
        <f aca="false">IF($C498="","",IFERROR(INDEX(MF_Master!$C:$C,MATCH($C498,MF_Master!$B:$B,0)),""))</f>
        <v/>
      </c>
      <c r="E498" s="29"/>
      <c r="F498" s="28"/>
      <c r="G498" s="28"/>
      <c r="H498" s="31" t="str">
        <f aca="false">IF(OR($F498="",$G498=""),"",$F498/$G498)</f>
        <v/>
      </c>
    </row>
    <row r="499" customFormat="false" ht="15" hidden="false" customHeight="true" outlineLevel="0" collapsed="false">
      <c r="B499" s="15" t="str">
        <f aca="false">IF($C499="","",IFERROR(INDEX(MF_Master!$A:$A,MATCH($C499,MF_Master!$B:$B,0)),""))</f>
        <v/>
      </c>
      <c r="D499" s="15" t="str">
        <f aca="false">IF($C499="","",IFERROR(INDEX(MF_Master!$C:$C,MATCH($C499,MF_Master!$B:$B,0)),""))</f>
        <v/>
      </c>
      <c r="E499" s="29"/>
      <c r="F499" s="28"/>
      <c r="G499" s="28"/>
      <c r="H499" s="31" t="str">
        <f aca="false">IF(OR($F499="",$G499=""),"",$F499/$G499)</f>
        <v/>
      </c>
    </row>
    <row r="500" customFormat="false" ht="15" hidden="false" customHeight="true" outlineLevel="0" collapsed="false">
      <c r="B500" s="15" t="str">
        <f aca="false">IF($C500="","",IFERROR(INDEX(MF_Master!$A:$A,MATCH($C500,MF_Master!$B:$B,0)),""))</f>
        <v/>
      </c>
      <c r="D500" s="15" t="str">
        <f aca="false">IF($C500="","",IFERROR(INDEX(MF_Master!$C:$C,MATCH($C500,MF_Master!$B:$B,0)),""))</f>
        <v/>
      </c>
      <c r="E500" s="29"/>
      <c r="F500" s="28"/>
      <c r="G500" s="28"/>
      <c r="H500" s="31" t="str">
        <f aca="false">IF(OR($F500="",$G500=""),"",$F500/$G500)</f>
        <v/>
      </c>
    </row>
    <row r="501" customFormat="false" ht="15" hidden="false" customHeight="true" outlineLevel="0" collapsed="false">
      <c r="B501" s="15" t="str">
        <f aca="false">IF($C501="","",IFERROR(INDEX(MF_Master!$A:$A,MATCH($C501,MF_Master!$B:$B,0)),""))</f>
        <v/>
      </c>
      <c r="D501" s="15" t="str">
        <f aca="false">IF($C501="","",IFERROR(INDEX(MF_Master!$C:$C,MATCH($C501,MF_Master!$B:$B,0)),""))</f>
        <v/>
      </c>
      <c r="E501" s="29"/>
      <c r="F501" s="28"/>
      <c r="G501" s="28"/>
      <c r="H501" s="31" t="str">
        <f aca="false">IF(OR($F501="",$G501=""),"",$F501/$G501)</f>
        <v/>
      </c>
    </row>
    <row r="502" customFormat="false" ht="15" hidden="false" customHeight="true" outlineLevel="0" collapsed="false">
      <c r="B502" s="15" t="str">
        <f aca="false">IF($C502="","",IFERROR(INDEX(MF_Master!$A:$A,MATCH($C502,MF_Master!$B:$B,0)),""))</f>
        <v/>
      </c>
      <c r="D502" s="15" t="str">
        <f aca="false">IF($C502="","",IFERROR(INDEX(MF_Master!$C:$C,MATCH($C502,MF_Master!$B:$B,0)),""))</f>
        <v/>
      </c>
      <c r="E502" s="29"/>
      <c r="F502" s="28"/>
      <c r="G502" s="28"/>
      <c r="H502" s="31" t="str">
        <f aca="false">IF(OR($F502="",$G502=""),"",$F502/$G502)</f>
        <v/>
      </c>
    </row>
    <row r="503" customFormat="false" ht="15" hidden="false" customHeight="true" outlineLevel="0" collapsed="false">
      <c r="B503" s="15" t="str">
        <f aca="false">IF($C503="","",IFERROR(INDEX(MF_Master!$A:$A,MATCH($C503,MF_Master!$B:$B,0)),""))</f>
        <v/>
      </c>
      <c r="D503" s="15" t="str">
        <f aca="false">IF($C503="","",IFERROR(INDEX(MF_Master!$C:$C,MATCH($C503,MF_Master!$B:$B,0)),""))</f>
        <v/>
      </c>
      <c r="E503" s="29"/>
      <c r="F503" s="28"/>
      <c r="G503" s="28"/>
      <c r="H503" s="31" t="str">
        <f aca="false">IF(OR($F503="",$G503=""),"",$F503/$G503)</f>
        <v/>
      </c>
    </row>
  </sheetData>
  <dataValidations count="1">
    <dataValidation type="list" operator="between" allowBlank="true" showDropDown="false" showInputMessage="true" showErrorMessage="false" promptTitle="Pick a scheme" prompt="Type the first letters, then click the arrow: the list shows only matching names." sqref="C4:C503">
      <formula1>OFFSET(MF_Master!$B$3,IFERROR(MATCH($C4&amp;"*",MF_SchemeList,0),1),0,MAX(1,COUNTIF(MF_SchemeList,$C4&amp;"*")),1)</formula1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true" outlineLevel="0" max="12" min="12" style="1" width="13"/>
  </cols>
  <sheetData>
    <row r="1" customFormat="false" ht="18" hidden="false" customHeight="true" outlineLevel="0" collapsed="false">
      <c r="A1" s="2" t="s">
        <v>34</v>
      </c>
    </row>
    <row r="2" customFormat="false" ht="15" hidden="false" customHeight="true" outlineLevel="0" collapsed="false">
      <c r="A2" s="22" t="s">
        <v>99</v>
      </c>
    </row>
    <row r="3" customFormat="false" ht="15" hidden="false" customHeight="true" outlineLevel="0" collapsed="false">
      <c r="A3" s="6" t="s">
        <v>18</v>
      </c>
      <c r="B3" s="6" t="s">
        <v>100</v>
      </c>
      <c r="C3" s="6" t="s">
        <v>101</v>
      </c>
      <c r="D3" s="6" t="s">
        <v>36</v>
      </c>
      <c r="E3" s="6" t="s">
        <v>102</v>
      </c>
      <c r="F3" s="6" t="s">
        <v>103</v>
      </c>
      <c r="G3" s="6" t="s">
        <v>104</v>
      </c>
      <c r="H3" s="6" t="s">
        <v>105</v>
      </c>
      <c r="I3" s="6" t="s">
        <v>106</v>
      </c>
      <c r="J3" s="6" t="s">
        <v>107</v>
      </c>
      <c r="L3" s="23" t="s">
        <v>59</v>
      </c>
    </row>
    <row r="4" customFormat="false" ht="15" hidden="false" customHeight="true" outlineLevel="0" collapsed="false">
      <c r="A4" s="14" t="s">
        <v>10</v>
      </c>
      <c r="B4" s="14" t="s">
        <v>108</v>
      </c>
      <c r="C4" s="14" t="s">
        <v>109</v>
      </c>
      <c r="D4" s="34" t="n">
        <v>500000</v>
      </c>
      <c r="E4" s="35" t="n">
        <v>7.1</v>
      </c>
      <c r="F4" s="26" t="n">
        <v>45383</v>
      </c>
      <c r="G4" s="26" t="n">
        <v>46478</v>
      </c>
      <c r="H4" s="14" t="n">
        <v>4</v>
      </c>
      <c r="I4" s="13" t="n">
        <f aca="true">IF($D4="","",$D4*(1+($E4/100)/$H4)^($H4*YEARFRAC($F4,MIN(TODAY(),$G4))))</f>
        <v>587277.983478088</v>
      </c>
      <c r="J4" s="13" t="n">
        <f aca="false">IF($D4="","",$D4*(1+($E4/100)/$H4)^($H4*YEARFRAC($F4,$G4)))</f>
        <v>617537.502365446</v>
      </c>
      <c r="L4" s="23" t="str">
        <f aca="false">IF($A4="","",$A4&amp;"#"&amp;COUNTIF($A$4:$A4,$A4))</f>
        <v>Amit#1</v>
      </c>
    </row>
    <row r="5" customFormat="false" ht="15" hidden="false" customHeight="true" outlineLevel="0" collapsed="false">
      <c r="A5" s="14" t="s">
        <v>12</v>
      </c>
      <c r="B5" s="14" t="s">
        <v>110</v>
      </c>
      <c r="C5" s="14" t="s">
        <v>111</v>
      </c>
      <c r="D5" s="34" t="n">
        <v>300000</v>
      </c>
      <c r="E5" s="35" t="n">
        <v>6.8</v>
      </c>
      <c r="F5" s="26" t="n">
        <v>45672</v>
      </c>
      <c r="G5" s="26" t="n">
        <v>46767</v>
      </c>
      <c r="H5" s="14" t="n">
        <v>4</v>
      </c>
      <c r="I5" s="13" t="n">
        <f aca="true">IF($D5="","",$D5*(1+($E5/100)/$H5)^($H5*YEARFRAC($F5,MIN(TODAY(),$G5))))</f>
        <v>331868.191241964</v>
      </c>
      <c r="J5" s="13" t="n">
        <f aca="false">IF($D5="","",$D5*(1+($E5/100)/$H5)^($H5*YEARFRAC($F5,$G5)))</f>
        <v>367259.205015997</v>
      </c>
      <c r="L5" s="23" t="str">
        <f aca="false">IF($A5="","",$A5&amp;"#"&amp;COUNTIF($A$4:$A5,$A5))</f>
        <v>Rahul#1</v>
      </c>
    </row>
    <row r="6" customFormat="false" ht="15" hidden="false" customHeight="true" outlineLevel="0" collapsed="false">
      <c r="D6" s="36"/>
      <c r="E6" s="37"/>
      <c r="F6" s="29"/>
      <c r="G6" s="29"/>
      <c r="I6" s="13" t="str">
        <f aca="true">IF($D6="","",$D6*(1+($E6/100)/$H6)^($H6*YEARFRAC($F6,MIN(TODAY(),$G6))))</f>
        <v/>
      </c>
      <c r="J6" s="13" t="str">
        <f aca="false">IF($D6="","",$D6*(1+($E6/100)/$H6)^($H6*YEARFRAC($F6,$G6)))</f>
        <v/>
      </c>
      <c r="L6" s="23" t="str">
        <f aca="false">IF($A6="","",$A6&amp;"#"&amp;COUNTIF($A$4:$A6,$A6))</f>
        <v/>
      </c>
    </row>
    <row r="7" customFormat="false" ht="15" hidden="false" customHeight="true" outlineLevel="0" collapsed="false">
      <c r="D7" s="36"/>
      <c r="E7" s="37"/>
      <c r="F7" s="29"/>
      <c r="G7" s="29"/>
      <c r="I7" s="13" t="str">
        <f aca="true">IF($D7="","",$D7*(1+($E7/100)/$H7)^($H7*YEARFRAC($F7,MIN(TODAY(),$G7))))</f>
        <v/>
      </c>
      <c r="J7" s="13" t="str">
        <f aca="false">IF($D7="","",$D7*(1+($E7/100)/$H7)^($H7*YEARFRAC($F7,$G7)))</f>
        <v/>
      </c>
      <c r="L7" s="23" t="str">
        <f aca="false">IF($A7="","",$A7&amp;"#"&amp;COUNTIF($A$4:$A7,$A7))</f>
        <v/>
      </c>
    </row>
    <row r="8" customFormat="false" ht="15" hidden="false" customHeight="true" outlineLevel="0" collapsed="false">
      <c r="D8" s="36"/>
      <c r="E8" s="37"/>
      <c r="F8" s="29"/>
      <c r="G8" s="29"/>
      <c r="I8" s="13" t="str">
        <f aca="true">IF($D8="","",$D8*(1+($E8/100)/$H8)^($H8*YEARFRAC($F8,MIN(TODAY(),$G8))))</f>
        <v/>
      </c>
      <c r="J8" s="13" t="str">
        <f aca="false">IF($D8="","",$D8*(1+($E8/100)/$H8)^($H8*YEARFRAC($F8,$G8)))</f>
        <v/>
      </c>
      <c r="L8" s="23" t="str">
        <f aca="false">IF($A8="","",$A8&amp;"#"&amp;COUNTIF($A$4:$A8,$A8))</f>
        <v/>
      </c>
    </row>
    <row r="9" customFormat="false" ht="15" hidden="false" customHeight="true" outlineLevel="0" collapsed="false">
      <c r="D9" s="36"/>
      <c r="E9" s="37"/>
      <c r="F9" s="29"/>
      <c r="G9" s="29"/>
      <c r="I9" s="13" t="str">
        <f aca="true">IF($D9="","",$D9*(1+($E9/100)/$H9)^($H9*YEARFRAC($F9,MIN(TODAY(),$G9))))</f>
        <v/>
      </c>
      <c r="J9" s="13" t="str">
        <f aca="false">IF($D9="","",$D9*(1+($E9/100)/$H9)^($H9*YEARFRAC($F9,$G9)))</f>
        <v/>
      </c>
      <c r="L9" s="23" t="str">
        <f aca="false">IF($A9="","",$A9&amp;"#"&amp;COUNTIF($A$4:$A9,$A9))</f>
        <v/>
      </c>
    </row>
    <row r="10" customFormat="false" ht="15" hidden="false" customHeight="true" outlineLevel="0" collapsed="false">
      <c r="D10" s="36"/>
      <c r="E10" s="37"/>
      <c r="F10" s="29"/>
      <c r="G10" s="29"/>
      <c r="I10" s="13" t="str">
        <f aca="true">IF($D10="","",$D10*(1+($E10/100)/$H10)^($H10*YEARFRAC($F10,MIN(TODAY(),$G10))))</f>
        <v/>
      </c>
      <c r="J10" s="13" t="str">
        <f aca="false">IF($D10="","",$D10*(1+($E10/100)/$H10)^($H10*YEARFRAC($F10,$G10)))</f>
        <v/>
      </c>
      <c r="L10" s="23" t="str">
        <f aca="false">IF($A10="","",$A10&amp;"#"&amp;COUNTIF($A$4:$A10,$A10))</f>
        <v/>
      </c>
    </row>
    <row r="11" customFormat="false" ht="15" hidden="false" customHeight="true" outlineLevel="0" collapsed="false">
      <c r="D11" s="36"/>
      <c r="E11" s="37"/>
      <c r="F11" s="29"/>
      <c r="G11" s="29"/>
      <c r="I11" s="13" t="str">
        <f aca="true">IF($D11="","",$D11*(1+($E11/100)/$H11)^($H11*YEARFRAC($F11,MIN(TODAY(),$G11))))</f>
        <v/>
      </c>
      <c r="J11" s="13" t="str">
        <f aca="false">IF($D11="","",$D11*(1+($E11/100)/$H11)^($H11*YEARFRAC($F11,$G11)))</f>
        <v/>
      </c>
      <c r="L11" s="23" t="str">
        <f aca="false">IF($A11="","",$A11&amp;"#"&amp;COUNTIF($A$4:$A11,$A11))</f>
        <v/>
      </c>
    </row>
    <row r="12" customFormat="false" ht="15" hidden="false" customHeight="true" outlineLevel="0" collapsed="false">
      <c r="D12" s="36"/>
      <c r="E12" s="37"/>
      <c r="F12" s="29"/>
      <c r="G12" s="29"/>
      <c r="I12" s="13" t="str">
        <f aca="true">IF($D12="","",$D12*(1+($E12/100)/$H12)^($H12*YEARFRAC($F12,MIN(TODAY(),$G12))))</f>
        <v/>
      </c>
      <c r="J12" s="13" t="str">
        <f aca="false">IF($D12="","",$D12*(1+($E12/100)/$H12)^($H12*YEARFRAC($F12,$G12)))</f>
        <v/>
      </c>
      <c r="L12" s="23" t="str">
        <f aca="false">IF($A12="","",$A12&amp;"#"&amp;COUNTIF($A$4:$A12,$A12))</f>
        <v/>
      </c>
    </row>
    <row r="13" customFormat="false" ht="15" hidden="false" customHeight="true" outlineLevel="0" collapsed="false">
      <c r="D13" s="36"/>
      <c r="E13" s="37"/>
      <c r="F13" s="29"/>
      <c r="G13" s="29"/>
      <c r="I13" s="13" t="str">
        <f aca="true">IF($D13="","",$D13*(1+($E13/100)/$H13)^($H13*YEARFRAC($F13,MIN(TODAY(),$G13))))</f>
        <v/>
      </c>
      <c r="J13" s="13" t="str">
        <f aca="false">IF($D13="","",$D13*(1+($E13/100)/$H13)^($H13*YEARFRAC($F13,$G13)))</f>
        <v/>
      </c>
      <c r="L13" s="23" t="str">
        <f aca="false">IF($A13="","",$A13&amp;"#"&amp;COUNTIF($A$4:$A13,$A13))</f>
        <v/>
      </c>
    </row>
    <row r="14" customFormat="false" ht="15" hidden="false" customHeight="true" outlineLevel="0" collapsed="false">
      <c r="D14" s="36"/>
      <c r="E14" s="37"/>
      <c r="F14" s="29"/>
      <c r="G14" s="29"/>
      <c r="I14" s="13" t="str">
        <f aca="true">IF($D14="","",$D14*(1+($E14/100)/$H14)^($H14*YEARFRAC($F14,MIN(TODAY(),$G14))))</f>
        <v/>
      </c>
      <c r="J14" s="13" t="str">
        <f aca="false">IF($D14="","",$D14*(1+($E14/100)/$H14)^($H14*YEARFRAC($F14,$G14)))</f>
        <v/>
      </c>
      <c r="L14" s="23" t="str">
        <f aca="false">IF($A14="","",$A14&amp;"#"&amp;COUNTIF($A$4:$A14,$A14))</f>
        <v/>
      </c>
    </row>
    <row r="15" customFormat="false" ht="15" hidden="false" customHeight="true" outlineLevel="0" collapsed="false">
      <c r="D15" s="36"/>
      <c r="E15" s="37"/>
      <c r="F15" s="29"/>
      <c r="G15" s="29"/>
      <c r="I15" s="13" t="str">
        <f aca="true">IF($D15="","",$D15*(1+($E15/100)/$H15)^($H15*YEARFRAC($F15,MIN(TODAY(),$G15))))</f>
        <v/>
      </c>
      <c r="J15" s="13" t="str">
        <f aca="false">IF($D15="","",$D15*(1+($E15/100)/$H15)^($H15*YEARFRAC($F15,$G15)))</f>
        <v/>
      </c>
      <c r="L15" s="23" t="str">
        <f aca="false">IF($A15="","",$A15&amp;"#"&amp;COUNTIF($A$4:$A15,$A15))</f>
        <v/>
      </c>
    </row>
    <row r="16" customFormat="false" ht="15" hidden="false" customHeight="true" outlineLevel="0" collapsed="false">
      <c r="D16" s="36"/>
      <c r="E16" s="37"/>
      <c r="F16" s="29"/>
      <c r="G16" s="29"/>
      <c r="I16" s="13" t="str">
        <f aca="true">IF($D16="","",$D16*(1+($E16/100)/$H16)^($H16*YEARFRAC($F16,MIN(TODAY(),$G16))))</f>
        <v/>
      </c>
      <c r="J16" s="13" t="str">
        <f aca="false">IF($D16="","",$D16*(1+($E16/100)/$H16)^($H16*YEARFRAC($F16,$G16)))</f>
        <v/>
      </c>
      <c r="L16" s="23" t="str">
        <f aca="false">IF($A16="","",$A16&amp;"#"&amp;COUNTIF($A$4:$A16,$A16))</f>
        <v/>
      </c>
    </row>
    <row r="17" customFormat="false" ht="15" hidden="false" customHeight="true" outlineLevel="0" collapsed="false">
      <c r="D17" s="36"/>
      <c r="E17" s="37"/>
      <c r="F17" s="29"/>
      <c r="G17" s="29"/>
      <c r="I17" s="13" t="str">
        <f aca="true">IF($D17="","",$D17*(1+($E17/100)/$H17)^($H17*YEARFRAC($F17,MIN(TODAY(),$G17))))</f>
        <v/>
      </c>
      <c r="J17" s="13" t="str">
        <f aca="false">IF($D17="","",$D17*(1+($E17/100)/$H17)^($H17*YEARFRAC($F17,$G17)))</f>
        <v/>
      </c>
      <c r="L17" s="23" t="str">
        <f aca="false">IF($A17="","",$A17&amp;"#"&amp;COUNTIF($A$4:$A17,$A17))</f>
        <v/>
      </c>
    </row>
    <row r="18" customFormat="false" ht="15" hidden="false" customHeight="true" outlineLevel="0" collapsed="false">
      <c r="D18" s="36"/>
      <c r="E18" s="37"/>
      <c r="F18" s="29"/>
      <c r="G18" s="29"/>
      <c r="I18" s="13" t="str">
        <f aca="true">IF($D18="","",$D18*(1+($E18/100)/$H18)^($H18*YEARFRAC($F18,MIN(TODAY(),$G18))))</f>
        <v/>
      </c>
      <c r="J18" s="13" t="str">
        <f aca="false">IF($D18="","",$D18*(1+($E18/100)/$H18)^($H18*YEARFRAC($F18,$G18)))</f>
        <v/>
      </c>
      <c r="L18" s="23" t="str">
        <f aca="false">IF($A18="","",$A18&amp;"#"&amp;COUNTIF($A$4:$A18,$A18))</f>
        <v/>
      </c>
    </row>
    <row r="19" customFormat="false" ht="15" hidden="false" customHeight="true" outlineLevel="0" collapsed="false">
      <c r="D19" s="36"/>
      <c r="E19" s="37"/>
      <c r="F19" s="29"/>
      <c r="G19" s="29"/>
      <c r="I19" s="13" t="str">
        <f aca="true">IF($D19="","",$D19*(1+($E19/100)/$H19)^($H19*YEARFRAC($F19,MIN(TODAY(),$G19))))</f>
        <v/>
      </c>
      <c r="J19" s="13" t="str">
        <f aca="false">IF($D19="","",$D19*(1+($E19/100)/$H19)^($H19*YEARFRAC($F19,$G19)))</f>
        <v/>
      </c>
      <c r="L19" s="23" t="str">
        <f aca="false">IF($A19="","",$A19&amp;"#"&amp;COUNTIF($A$4:$A19,$A19))</f>
        <v/>
      </c>
    </row>
    <row r="20" customFormat="false" ht="15" hidden="false" customHeight="true" outlineLevel="0" collapsed="false">
      <c r="D20" s="36"/>
      <c r="E20" s="37"/>
      <c r="F20" s="29"/>
      <c r="G20" s="29"/>
      <c r="I20" s="13" t="str">
        <f aca="true">IF($D20="","",$D20*(1+($E20/100)/$H20)^($H20*YEARFRAC($F20,MIN(TODAY(),$G20))))</f>
        <v/>
      </c>
      <c r="J20" s="13" t="str">
        <f aca="false">IF($D20="","",$D20*(1+($E20/100)/$H20)^($H20*YEARFRAC($F20,$G20)))</f>
        <v/>
      </c>
      <c r="L20" s="23" t="str">
        <f aca="false">IF($A20="","",$A20&amp;"#"&amp;COUNTIF($A$4:$A20,$A20))</f>
        <v/>
      </c>
    </row>
    <row r="21" customFormat="false" ht="15" hidden="false" customHeight="true" outlineLevel="0" collapsed="false">
      <c r="D21" s="36"/>
      <c r="E21" s="37"/>
      <c r="F21" s="29"/>
      <c r="G21" s="29"/>
      <c r="I21" s="13" t="str">
        <f aca="true">IF($D21="","",$D21*(1+($E21/100)/$H21)^($H21*YEARFRAC($F21,MIN(TODAY(),$G21))))</f>
        <v/>
      </c>
      <c r="J21" s="13" t="str">
        <f aca="false">IF($D21="","",$D21*(1+($E21/100)/$H21)^($H21*YEARFRAC($F21,$G21)))</f>
        <v/>
      </c>
      <c r="L21" s="23" t="str">
        <f aca="false">IF($A21="","",$A21&amp;"#"&amp;COUNTIF($A$4:$A21,$A21))</f>
        <v/>
      </c>
    </row>
    <row r="22" customFormat="false" ht="15" hidden="false" customHeight="true" outlineLevel="0" collapsed="false">
      <c r="D22" s="36"/>
      <c r="E22" s="37"/>
      <c r="F22" s="29"/>
      <c r="G22" s="29"/>
      <c r="I22" s="13" t="str">
        <f aca="true">IF($D22="","",$D22*(1+($E22/100)/$H22)^($H22*YEARFRAC($F22,MIN(TODAY(),$G22))))</f>
        <v/>
      </c>
      <c r="J22" s="13" t="str">
        <f aca="false">IF($D22="","",$D22*(1+($E22/100)/$H22)^($H22*YEARFRAC($F22,$G22)))</f>
        <v/>
      </c>
      <c r="L22" s="23" t="str">
        <f aca="false">IF($A22="","",$A22&amp;"#"&amp;COUNTIF($A$4:$A22,$A22))</f>
        <v/>
      </c>
    </row>
    <row r="23" customFormat="false" ht="15" hidden="false" customHeight="true" outlineLevel="0" collapsed="false">
      <c r="D23" s="36"/>
      <c r="E23" s="37"/>
      <c r="F23" s="29"/>
      <c r="G23" s="29"/>
      <c r="I23" s="13" t="str">
        <f aca="true">IF($D23="","",$D23*(1+($E23/100)/$H23)^($H23*YEARFRAC($F23,MIN(TODAY(),$G23))))</f>
        <v/>
      </c>
      <c r="J23" s="13" t="str">
        <f aca="false">IF($D23="","",$D23*(1+($E23/100)/$H23)^($H23*YEARFRAC($F23,$G23)))</f>
        <v/>
      </c>
      <c r="L23" s="23" t="str">
        <f aca="false">IF($A23="","",$A23&amp;"#"&amp;COUNTIF($A$4:$A23,$A23))</f>
        <v/>
      </c>
    </row>
    <row r="24" customFormat="false" ht="15" hidden="false" customHeight="true" outlineLevel="0" collapsed="false">
      <c r="D24" s="36"/>
      <c r="E24" s="37"/>
      <c r="F24" s="29"/>
      <c r="G24" s="29"/>
      <c r="I24" s="13" t="str">
        <f aca="true">IF($D24="","",$D24*(1+($E24/100)/$H24)^($H24*YEARFRAC($F24,MIN(TODAY(),$G24))))</f>
        <v/>
      </c>
      <c r="J24" s="13" t="str">
        <f aca="false">IF($D24="","",$D24*(1+($E24/100)/$H24)^($H24*YEARFRAC($F24,$G24)))</f>
        <v/>
      </c>
      <c r="L24" s="23" t="str">
        <f aca="false">IF($A24="","",$A24&amp;"#"&amp;COUNTIF($A$4:$A24,$A24))</f>
        <v/>
      </c>
    </row>
    <row r="25" customFormat="false" ht="15" hidden="false" customHeight="true" outlineLevel="0" collapsed="false">
      <c r="D25" s="36"/>
      <c r="E25" s="37"/>
      <c r="F25" s="29"/>
      <c r="G25" s="29"/>
      <c r="I25" s="13" t="str">
        <f aca="true">IF($D25="","",$D25*(1+($E25/100)/$H25)^($H25*YEARFRAC($F25,MIN(TODAY(),$G25))))</f>
        <v/>
      </c>
      <c r="J25" s="13" t="str">
        <f aca="false">IF($D25="","",$D25*(1+($E25/100)/$H25)^($H25*YEARFRAC($F25,$G25)))</f>
        <v/>
      </c>
      <c r="L25" s="23" t="str">
        <f aca="false">IF($A25="","",$A25&amp;"#"&amp;COUNTIF($A$4:$A25,$A25))</f>
        <v/>
      </c>
    </row>
    <row r="26" customFormat="false" ht="15" hidden="false" customHeight="true" outlineLevel="0" collapsed="false">
      <c r="D26" s="36"/>
      <c r="E26" s="37"/>
      <c r="F26" s="29"/>
      <c r="G26" s="29"/>
      <c r="I26" s="13" t="str">
        <f aca="true">IF($D26="","",$D26*(1+($E26/100)/$H26)^($H26*YEARFRAC($F26,MIN(TODAY(),$G26))))</f>
        <v/>
      </c>
      <c r="J26" s="13" t="str">
        <f aca="false">IF($D26="","",$D26*(1+($E26/100)/$H26)^($H26*YEARFRAC($F26,$G26)))</f>
        <v/>
      </c>
      <c r="L26" s="23" t="str">
        <f aca="false">IF($A26="","",$A26&amp;"#"&amp;COUNTIF($A$4:$A26,$A26))</f>
        <v/>
      </c>
    </row>
    <row r="27" customFormat="false" ht="15" hidden="false" customHeight="true" outlineLevel="0" collapsed="false">
      <c r="D27" s="36"/>
      <c r="E27" s="37"/>
      <c r="F27" s="29"/>
      <c r="G27" s="29"/>
      <c r="I27" s="13" t="str">
        <f aca="true">IF($D27="","",$D27*(1+($E27/100)/$H27)^($H27*YEARFRAC($F27,MIN(TODAY(),$G27))))</f>
        <v/>
      </c>
      <c r="J27" s="13" t="str">
        <f aca="false">IF($D27="","",$D27*(1+($E27/100)/$H27)^($H27*YEARFRAC($F27,$G27)))</f>
        <v/>
      </c>
      <c r="L27" s="23" t="str">
        <f aca="false">IF($A27="","",$A27&amp;"#"&amp;COUNTIF($A$4:$A27,$A27))</f>
        <v/>
      </c>
    </row>
    <row r="28" customFormat="false" ht="15" hidden="false" customHeight="true" outlineLevel="0" collapsed="false">
      <c r="D28" s="36"/>
      <c r="E28" s="37"/>
      <c r="F28" s="29"/>
      <c r="G28" s="29"/>
      <c r="I28" s="13" t="str">
        <f aca="true">IF($D28="","",$D28*(1+($E28/100)/$H28)^($H28*YEARFRAC($F28,MIN(TODAY(),$G28))))</f>
        <v/>
      </c>
      <c r="J28" s="13" t="str">
        <f aca="false">IF($D28="","",$D28*(1+($E28/100)/$H28)^($H28*YEARFRAC($F28,$G28)))</f>
        <v/>
      </c>
      <c r="L28" s="23" t="str">
        <f aca="false">IF($A28="","",$A28&amp;"#"&amp;COUNTIF($A$4:$A28,$A28))</f>
        <v/>
      </c>
    </row>
    <row r="29" customFormat="false" ht="15" hidden="false" customHeight="true" outlineLevel="0" collapsed="false">
      <c r="D29" s="36"/>
      <c r="E29" s="37"/>
      <c r="F29" s="29"/>
      <c r="G29" s="29"/>
      <c r="I29" s="13" t="str">
        <f aca="true">IF($D29="","",$D29*(1+($E29/100)/$H29)^($H29*YEARFRAC($F29,MIN(TODAY(),$G29))))</f>
        <v/>
      </c>
      <c r="J29" s="13" t="str">
        <f aca="false">IF($D29="","",$D29*(1+($E29/100)/$H29)^($H29*YEARFRAC($F29,$G29)))</f>
        <v/>
      </c>
      <c r="L29" s="23" t="str">
        <f aca="false">IF($A29="","",$A29&amp;"#"&amp;COUNTIF($A$4:$A29,$A29))</f>
        <v/>
      </c>
    </row>
    <row r="30" customFormat="false" ht="15" hidden="false" customHeight="true" outlineLevel="0" collapsed="false">
      <c r="D30" s="36"/>
      <c r="E30" s="37"/>
      <c r="F30" s="29"/>
      <c r="G30" s="29"/>
      <c r="I30" s="13" t="str">
        <f aca="true">IF($D30="","",$D30*(1+($E30/100)/$H30)^($H30*YEARFRAC($F30,MIN(TODAY(),$G30))))</f>
        <v/>
      </c>
      <c r="J30" s="13" t="str">
        <f aca="false">IF($D30="","",$D30*(1+($E30/100)/$H30)^($H30*YEARFRAC($F30,$G30)))</f>
        <v/>
      </c>
      <c r="L30" s="23" t="str">
        <f aca="false">IF($A30="","",$A30&amp;"#"&amp;COUNTIF($A$4:$A30,$A30))</f>
        <v/>
      </c>
    </row>
    <row r="31" customFormat="false" ht="15" hidden="false" customHeight="true" outlineLevel="0" collapsed="false">
      <c r="D31" s="36"/>
      <c r="E31" s="37"/>
      <c r="F31" s="29"/>
      <c r="G31" s="29"/>
      <c r="I31" s="13" t="str">
        <f aca="true">IF($D31="","",$D31*(1+($E31/100)/$H31)^($H31*YEARFRAC($F31,MIN(TODAY(),$G31))))</f>
        <v/>
      </c>
      <c r="J31" s="13" t="str">
        <f aca="false">IF($D31="","",$D31*(1+($E31/100)/$H31)^($H31*YEARFRAC($F31,$G31)))</f>
        <v/>
      </c>
      <c r="L31" s="23" t="str">
        <f aca="false">IF($A31="","",$A31&amp;"#"&amp;COUNTIF($A$4:$A31,$A31))</f>
        <v/>
      </c>
    </row>
    <row r="32" customFormat="false" ht="15" hidden="false" customHeight="true" outlineLevel="0" collapsed="false">
      <c r="D32" s="36"/>
      <c r="E32" s="37"/>
      <c r="F32" s="29"/>
      <c r="G32" s="29"/>
      <c r="I32" s="13" t="str">
        <f aca="true">IF($D32="","",$D32*(1+($E32/100)/$H32)^($H32*YEARFRAC($F32,MIN(TODAY(),$G32))))</f>
        <v/>
      </c>
      <c r="J32" s="13" t="str">
        <f aca="false">IF($D32="","",$D32*(1+($E32/100)/$H32)^($H32*YEARFRAC($F32,$G32)))</f>
        <v/>
      </c>
      <c r="L32" s="23" t="str">
        <f aca="false">IF($A32="","",$A32&amp;"#"&amp;COUNTIF($A$4:$A32,$A32))</f>
        <v/>
      </c>
    </row>
    <row r="33" customFormat="false" ht="15" hidden="false" customHeight="true" outlineLevel="0" collapsed="false">
      <c r="D33" s="36"/>
      <c r="E33" s="37"/>
      <c r="F33" s="29"/>
      <c r="G33" s="29"/>
      <c r="I33" s="13" t="str">
        <f aca="true">IF($D33="","",$D33*(1+($E33/100)/$H33)^($H33*YEARFRAC($F33,MIN(TODAY(),$G33))))</f>
        <v/>
      </c>
      <c r="J33" s="13" t="str">
        <f aca="false">IF($D33="","",$D33*(1+($E33/100)/$H33)^($H33*YEARFRAC($F33,$G33)))</f>
        <v/>
      </c>
      <c r="L33" s="23" t="str">
        <f aca="false">IF($A33="","",$A33&amp;"#"&amp;COUNTIF($A$4:$A33,$A33))</f>
        <v/>
      </c>
    </row>
    <row r="34" customFormat="false" ht="15" hidden="false" customHeight="true" outlineLevel="0" collapsed="false">
      <c r="D34" s="36"/>
      <c r="E34" s="37"/>
      <c r="F34" s="29"/>
      <c r="G34" s="29"/>
      <c r="I34" s="13" t="str">
        <f aca="true">IF($D34="","",$D34*(1+($E34/100)/$H34)^($H34*YEARFRAC($F34,MIN(TODAY(),$G34))))</f>
        <v/>
      </c>
      <c r="J34" s="13" t="str">
        <f aca="false">IF($D34="","",$D34*(1+($E34/100)/$H34)^($H34*YEARFRAC($F34,$G34)))</f>
        <v/>
      </c>
      <c r="L34" s="23" t="str">
        <f aca="false">IF($A34="","",$A34&amp;"#"&amp;COUNTIF($A$4:$A34,$A34))</f>
        <v/>
      </c>
    </row>
    <row r="35" customFormat="false" ht="15" hidden="false" customHeight="true" outlineLevel="0" collapsed="false">
      <c r="D35" s="36"/>
      <c r="E35" s="37"/>
      <c r="F35" s="29"/>
      <c r="G35" s="29"/>
      <c r="I35" s="13" t="str">
        <f aca="true">IF($D35="","",$D35*(1+($E35/100)/$H35)^($H35*YEARFRAC($F35,MIN(TODAY(),$G35))))</f>
        <v/>
      </c>
      <c r="J35" s="13" t="str">
        <f aca="false">IF($D35="","",$D35*(1+($E35/100)/$H35)^($H35*YEARFRAC($F35,$G35)))</f>
        <v/>
      </c>
      <c r="L35" s="23" t="str">
        <f aca="false">IF($A35="","",$A35&amp;"#"&amp;COUNTIF($A$4:$A35,$A35))</f>
        <v/>
      </c>
    </row>
    <row r="36" customFormat="false" ht="15" hidden="false" customHeight="true" outlineLevel="0" collapsed="false">
      <c r="D36" s="36"/>
      <c r="E36" s="37"/>
      <c r="F36" s="29"/>
      <c r="G36" s="29"/>
      <c r="I36" s="13" t="str">
        <f aca="true">IF($D36="","",$D36*(1+($E36/100)/$H36)^($H36*YEARFRAC($F36,MIN(TODAY(),$G36))))</f>
        <v/>
      </c>
      <c r="J36" s="13" t="str">
        <f aca="false">IF($D36="","",$D36*(1+($E36/100)/$H36)^($H36*YEARFRAC($F36,$G36)))</f>
        <v/>
      </c>
      <c r="L36" s="23" t="str">
        <f aca="false">IF($A36="","",$A36&amp;"#"&amp;COUNTIF($A$4:$A36,$A36))</f>
        <v/>
      </c>
    </row>
    <row r="37" customFormat="false" ht="15" hidden="false" customHeight="true" outlineLevel="0" collapsed="false">
      <c r="D37" s="36"/>
      <c r="E37" s="37"/>
      <c r="F37" s="29"/>
      <c r="G37" s="29"/>
      <c r="I37" s="13" t="str">
        <f aca="true">IF($D37="","",$D37*(1+($E37/100)/$H37)^($H37*YEARFRAC($F37,MIN(TODAY(),$G37))))</f>
        <v/>
      </c>
      <c r="J37" s="13" t="str">
        <f aca="false">IF($D37="","",$D37*(1+($E37/100)/$H37)^($H37*YEARFRAC($F37,$G37)))</f>
        <v/>
      </c>
      <c r="L37" s="23" t="str">
        <f aca="false">IF($A37="","",$A37&amp;"#"&amp;COUNTIF($A$4:$A37,$A37))</f>
        <v/>
      </c>
    </row>
    <row r="38" customFormat="false" ht="15" hidden="false" customHeight="true" outlineLevel="0" collapsed="false">
      <c r="D38" s="36"/>
      <c r="E38" s="37"/>
      <c r="F38" s="29"/>
      <c r="G38" s="29"/>
      <c r="I38" s="13" t="str">
        <f aca="true">IF($D38="","",$D38*(1+($E38/100)/$H38)^($H38*YEARFRAC($F38,MIN(TODAY(),$G38))))</f>
        <v/>
      </c>
      <c r="J38" s="13" t="str">
        <f aca="false">IF($D38="","",$D38*(1+($E38/100)/$H38)^($H38*YEARFRAC($F38,$G38)))</f>
        <v/>
      </c>
      <c r="L38" s="23" t="str">
        <f aca="false">IF($A38="","",$A38&amp;"#"&amp;COUNTIF($A$4:$A38,$A38))</f>
        <v/>
      </c>
    </row>
    <row r="39" customFormat="false" ht="15" hidden="false" customHeight="true" outlineLevel="0" collapsed="false">
      <c r="D39" s="36"/>
      <c r="E39" s="37"/>
      <c r="F39" s="29"/>
      <c r="G39" s="29"/>
      <c r="I39" s="13" t="str">
        <f aca="true">IF($D39="","",$D39*(1+($E39/100)/$H39)^($H39*YEARFRAC($F39,MIN(TODAY(),$G39))))</f>
        <v/>
      </c>
      <c r="J39" s="13" t="str">
        <f aca="false">IF($D39="","",$D39*(1+($E39/100)/$H39)^($H39*YEARFRAC($F39,$G39)))</f>
        <v/>
      </c>
      <c r="L39" s="23" t="str">
        <f aca="false">IF($A39="","",$A39&amp;"#"&amp;COUNTIF($A$4:$A39,$A39))</f>
        <v/>
      </c>
    </row>
    <row r="40" customFormat="false" ht="15" hidden="false" customHeight="true" outlineLevel="0" collapsed="false">
      <c r="D40" s="36"/>
      <c r="E40" s="37"/>
      <c r="F40" s="29"/>
      <c r="G40" s="29"/>
      <c r="I40" s="13" t="str">
        <f aca="true">IF($D40="","",$D40*(1+($E40/100)/$H40)^($H40*YEARFRAC($F40,MIN(TODAY(),$G40))))</f>
        <v/>
      </c>
      <c r="J40" s="13" t="str">
        <f aca="false">IF($D40="","",$D40*(1+($E40/100)/$H40)^($H40*YEARFRAC($F40,$G40)))</f>
        <v/>
      </c>
      <c r="L40" s="23" t="str">
        <f aca="false">IF($A40="","",$A40&amp;"#"&amp;COUNTIF($A$4:$A40,$A40))</f>
        <v/>
      </c>
    </row>
    <row r="41" customFormat="false" ht="15" hidden="false" customHeight="true" outlineLevel="0" collapsed="false">
      <c r="D41" s="36"/>
      <c r="E41" s="37"/>
      <c r="F41" s="29"/>
      <c r="G41" s="29"/>
      <c r="I41" s="13" t="str">
        <f aca="true">IF($D41="","",$D41*(1+($E41/100)/$H41)^($H41*YEARFRAC($F41,MIN(TODAY(),$G41))))</f>
        <v/>
      </c>
      <c r="J41" s="13" t="str">
        <f aca="false">IF($D41="","",$D41*(1+($E41/100)/$H41)^($H41*YEARFRAC($F41,$G41)))</f>
        <v/>
      </c>
      <c r="L41" s="23" t="str">
        <f aca="false">IF($A41="","",$A41&amp;"#"&amp;COUNTIF($A$4:$A41,$A41))</f>
        <v/>
      </c>
    </row>
    <row r="42" customFormat="false" ht="15" hidden="false" customHeight="true" outlineLevel="0" collapsed="false">
      <c r="D42" s="36"/>
      <c r="E42" s="37"/>
      <c r="F42" s="29"/>
      <c r="G42" s="29"/>
      <c r="I42" s="13" t="str">
        <f aca="true">IF($D42="","",$D42*(1+($E42/100)/$H42)^($H42*YEARFRAC($F42,MIN(TODAY(),$G42))))</f>
        <v/>
      </c>
      <c r="J42" s="13" t="str">
        <f aca="false">IF($D42="","",$D42*(1+($E42/100)/$H42)^($H42*YEARFRAC($F42,$G42)))</f>
        <v/>
      </c>
      <c r="L42" s="23" t="str">
        <f aca="false">IF($A42="","",$A42&amp;"#"&amp;COUNTIF($A$4:$A42,$A42))</f>
        <v/>
      </c>
    </row>
    <row r="43" customFormat="false" ht="15" hidden="false" customHeight="true" outlineLevel="0" collapsed="false">
      <c r="D43" s="36"/>
      <c r="E43" s="37"/>
      <c r="F43" s="29"/>
      <c r="G43" s="29"/>
      <c r="I43" s="13" t="str">
        <f aca="true">IF($D43="","",$D43*(1+($E43/100)/$H43)^($H43*YEARFRAC($F43,MIN(TODAY(),$G43))))</f>
        <v/>
      </c>
      <c r="J43" s="13" t="str">
        <f aca="false">IF($D43="","",$D43*(1+($E43/100)/$H43)^($H43*YEARFRAC($F43,$G43)))</f>
        <v/>
      </c>
      <c r="L43" s="23" t="str">
        <f aca="false">IF($A43="","",$A43&amp;"#"&amp;COUNTIF($A$4:$A43,$A43))</f>
        <v/>
      </c>
    </row>
    <row r="44" customFormat="false" ht="15" hidden="false" customHeight="true" outlineLevel="0" collapsed="false">
      <c r="D44" s="36"/>
      <c r="E44" s="37"/>
      <c r="F44" s="29"/>
      <c r="G44" s="29"/>
      <c r="I44" s="13" t="str">
        <f aca="true">IF($D44="","",$D44*(1+($E44/100)/$H44)^($H44*YEARFRAC($F44,MIN(TODAY(),$G44))))</f>
        <v/>
      </c>
      <c r="J44" s="13" t="str">
        <f aca="false">IF($D44="","",$D44*(1+($E44/100)/$H44)^($H44*YEARFRAC($F44,$G44)))</f>
        <v/>
      </c>
      <c r="L44" s="23" t="str">
        <f aca="false">IF($A44="","",$A44&amp;"#"&amp;COUNTIF($A$4:$A44,$A44))</f>
        <v/>
      </c>
    </row>
    <row r="45" customFormat="false" ht="15" hidden="false" customHeight="true" outlineLevel="0" collapsed="false">
      <c r="D45" s="36"/>
      <c r="E45" s="37"/>
      <c r="F45" s="29"/>
      <c r="G45" s="29"/>
      <c r="I45" s="13" t="str">
        <f aca="true">IF($D45="","",$D45*(1+($E45/100)/$H45)^($H45*YEARFRAC($F45,MIN(TODAY(),$G45))))</f>
        <v/>
      </c>
      <c r="J45" s="13" t="str">
        <f aca="false">IF($D45="","",$D45*(1+($E45/100)/$H45)^($H45*YEARFRAC($F45,$G45)))</f>
        <v/>
      </c>
      <c r="L45" s="23" t="str">
        <f aca="false">IF($A45="","",$A45&amp;"#"&amp;COUNTIF($A$4:$A45,$A45))</f>
        <v/>
      </c>
    </row>
    <row r="46" customFormat="false" ht="15" hidden="false" customHeight="true" outlineLevel="0" collapsed="false">
      <c r="D46" s="36"/>
      <c r="E46" s="37"/>
      <c r="F46" s="29"/>
      <c r="G46" s="29"/>
      <c r="I46" s="13" t="str">
        <f aca="true">IF($D46="","",$D46*(1+($E46/100)/$H46)^($H46*YEARFRAC($F46,MIN(TODAY(),$G46))))</f>
        <v/>
      </c>
      <c r="J46" s="13" t="str">
        <f aca="false">IF($D46="","",$D46*(1+($E46/100)/$H46)^($H46*YEARFRAC($F46,$G46)))</f>
        <v/>
      </c>
      <c r="L46" s="23" t="str">
        <f aca="false">IF($A46="","",$A46&amp;"#"&amp;COUNTIF($A$4:$A46,$A46))</f>
        <v/>
      </c>
    </row>
    <row r="47" customFormat="false" ht="15" hidden="false" customHeight="true" outlineLevel="0" collapsed="false">
      <c r="D47" s="36"/>
      <c r="E47" s="37"/>
      <c r="F47" s="29"/>
      <c r="G47" s="29"/>
      <c r="I47" s="13" t="str">
        <f aca="true">IF($D47="","",$D47*(1+($E47/100)/$H47)^($H47*YEARFRAC($F47,MIN(TODAY(),$G47))))</f>
        <v/>
      </c>
      <c r="J47" s="13" t="str">
        <f aca="false">IF($D47="","",$D47*(1+($E47/100)/$H47)^($H47*YEARFRAC($F47,$G47)))</f>
        <v/>
      </c>
      <c r="L47" s="23" t="str">
        <f aca="false">IF($A47="","",$A47&amp;"#"&amp;COUNTIF($A$4:$A47,$A47))</f>
        <v/>
      </c>
    </row>
    <row r="48" customFormat="false" ht="15" hidden="false" customHeight="true" outlineLevel="0" collapsed="false">
      <c r="D48" s="36"/>
      <c r="E48" s="37"/>
      <c r="F48" s="29"/>
      <c r="G48" s="29"/>
      <c r="I48" s="13" t="str">
        <f aca="true">IF($D48="","",$D48*(1+($E48/100)/$H48)^($H48*YEARFRAC($F48,MIN(TODAY(),$G48))))</f>
        <v/>
      </c>
      <c r="J48" s="13" t="str">
        <f aca="false">IF($D48="","",$D48*(1+($E48/100)/$H48)^($H48*YEARFRAC($F48,$G48)))</f>
        <v/>
      </c>
      <c r="L48" s="23" t="str">
        <f aca="false">IF($A48="","",$A48&amp;"#"&amp;COUNTIF($A$4:$A48,$A48))</f>
        <v/>
      </c>
    </row>
    <row r="49" customFormat="false" ht="15" hidden="false" customHeight="true" outlineLevel="0" collapsed="false">
      <c r="D49" s="36"/>
      <c r="E49" s="37"/>
      <c r="F49" s="29"/>
      <c r="G49" s="29"/>
      <c r="I49" s="13" t="str">
        <f aca="true">IF($D49="","",$D49*(1+($E49/100)/$H49)^($H49*YEARFRAC($F49,MIN(TODAY(),$G49))))</f>
        <v/>
      </c>
      <c r="J49" s="13" t="str">
        <f aca="false">IF($D49="","",$D49*(1+($E49/100)/$H49)^($H49*YEARFRAC($F49,$G49)))</f>
        <v/>
      </c>
      <c r="L49" s="23" t="str">
        <f aca="false">IF($A49="","",$A49&amp;"#"&amp;COUNTIF($A$4:$A49,$A49))</f>
        <v/>
      </c>
    </row>
    <row r="50" customFormat="false" ht="15" hidden="false" customHeight="true" outlineLevel="0" collapsed="false">
      <c r="D50" s="36"/>
      <c r="E50" s="37"/>
      <c r="F50" s="29"/>
      <c r="G50" s="29"/>
      <c r="I50" s="13" t="str">
        <f aca="true">IF($D50="","",$D50*(1+($E50/100)/$H50)^($H50*YEARFRAC($F50,MIN(TODAY(),$G50))))</f>
        <v/>
      </c>
      <c r="J50" s="13" t="str">
        <f aca="false">IF($D50="","",$D50*(1+($E50/100)/$H50)^($H50*YEARFRAC($F50,$G50)))</f>
        <v/>
      </c>
      <c r="L50" s="23" t="str">
        <f aca="false">IF($A50="","",$A50&amp;"#"&amp;COUNTIF($A$4:$A50,$A50))</f>
        <v/>
      </c>
    </row>
    <row r="51" customFormat="false" ht="15" hidden="false" customHeight="true" outlineLevel="0" collapsed="false">
      <c r="D51" s="36"/>
      <c r="E51" s="37"/>
      <c r="F51" s="29"/>
      <c r="G51" s="29"/>
      <c r="I51" s="13" t="str">
        <f aca="true">IF($D51="","",$D51*(1+($E51/100)/$H51)^($H51*YEARFRAC($F51,MIN(TODAY(),$G51))))</f>
        <v/>
      </c>
      <c r="J51" s="13" t="str">
        <f aca="false">IF($D51="","",$D51*(1+($E51/100)/$H51)^($H51*YEARFRAC($F51,$G51)))</f>
        <v/>
      </c>
      <c r="L51" s="23" t="str">
        <f aca="false">IF($A51="","",$A51&amp;"#"&amp;COUNTIF($A$4:$A51,$A51))</f>
        <v/>
      </c>
    </row>
    <row r="52" customFormat="false" ht="15" hidden="false" customHeight="true" outlineLevel="0" collapsed="false">
      <c r="D52" s="36"/>
      <c r="E52" s="37"/>
      <c r="F52" s="29"/>
      <c r="G52" s="29"/>
      <c r="I52" s="13" t="str">
        <f aca="true">IF($D52="","",$D52*(1+($E52/100)/$H52)^($H52*YEARFRAC($F52,MIN(TODAY(),$G52))))</f>
        <v/>
      </c>
      <c r="J52" s="13" t="str">
        <f aca="false">IF($D52="","",$D52*(1+($E52/100)/$H52)^($H52*YEARFRAC($F52,$G52)))</f>
        <v/>
      </c>
      <c r="L52" s="23" t="str">
        <f aca="false">IF($A52="","",$A52&amp;"#"&amp;COUNTIF($A$4:$A52,$A52))</f>
        <v/>
      </c>
    </row>
    <row r="53" customFormat="false" ht="15" hidden="false" customHeight="true" outlineLevel="0" collapsed="false">
      <c r="D53" s="36"/>
      <c r="E53" s="37"/>
      <c r="F53" s="29"/>
      <c r="G53" s="29"/>
      <c r="I53" s="13" t="str">
        <f aca="true">IF($D53="","",$D53*(1+($E53/100)/$H53)^($H53*YEARFRAC($F53,MIN(TODAY(),$G53))))</f>
        <v/>
      </c>
      <c r="J53" s="13" t="str">
        <f aca="false">IF($D53="","",$D53*(1+($E53/100)/$H53)^($H53*YEARFRAC($F53,$G53)))</f>
        <v/>
      </c>
      <c r="L53" s="23" t="str">
        <f aca="false">IF($A53="","",$A53&amp;"#"&amp;COUNTIF($A$4:$A53,$A53))</f>
        <v/>
      </c>
    </row>
    <row r="55" customFormat="false" ht="15" hidden="false" customHeight="true" outlineLevel="0" collapsed="false">
      <c r="C55" s="3" t="s">
        <v>13</v>
      </c>
      <c r="I55" s="16" t="n">
        <f aca="false">SUM(I4:I53)</f>
        <v>919146.174720052</v>
      </c>
      <c r="J55" s="16" t="n">
        <f aca="false">SUM(J4:J53)</f>
        <v>984796.707381443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30"/>
    <col collapsed="false" customWidth="true" hidden="true" outlineLevel="0" max="9" min="9" style="1" width="13"/>
  </cols>
  <sheetData>
    <row r="1" customFormat="false" ht="18" hidden="false" customHeight="true" outlineLevel="0" collapsed="false">
      <c r="A1" s="2" t="s">
        <v>112</v>
      </c>
    </row>
    <row r="2" customFormat="false" ht="15" hidden="false" customHeight="true" outlineLevel="0" collapsed="false">
      <c r="A2" s="22" t="s">
        <v>113</v>
      </c>
    </row>
    <row r="3" customFormat="false" ht="15" hidden="false" customHeight="true" outlineLevel="0" collapsed="false">
      <c r="A3" s="6" t="s">
        <v>18</v>
      </c>
      <c r="B3" s="6" t="s">
        <v>40</v>
      </c>
      <c r="C3" s="6" t="s">
        <v>114</v>
      </c>
      <c r="D3" s="6" t="s">
        <v>115</v>
      </c>
      <c r="E3" s="6" t="s">
        <v>116</v>
      </c>
      <c r="F3" s="6" t="s">
        <v>117</v>
      </c>
      <c r="G3" s="6" t="s">
        <v>118</v>
      </c>
      <c r="I3" s="23" t="s">
        <v>59</v>
      </c>
    </row>
    <row r="4" customFormat="false" ht="15" hidden="false" customHeight="true" outlineLevel="0" collapsed="false">
      <c r="A4" s="14" t="s">
        <v>11</v>
      </c>
      <c r="B4" s="14" t="s">
        <v>119</v>
      </c>
      <c r="C4" s="14" t="s">
        <v>120</v>
      </c>
      <c r="D4" s="34" t="n">
        <v>860000</v>
      </c>
      <c r="E4" s="26" t="n">
        <v>46112</v>
      </c>
      <c r="F4" s="35" t="n">
        <v>7.1</v>
      </c>
      <c r="G4" s="14" t="s">
        <v>121</v>
      </c>
      <c r="I4" s="23" t="str">
        <f aca="false">IF($A4="","",$A4&amp;"#"&amp;COUNTIF($A$4:$A4,$A4))</f>
        <v>Priya#1</v>
      </c>
    </row>
    <row r="5" customFormat="false" ht="15" hidden="false" customHeight="true" outlineLevel="0" collapsed="false">
      <c r="A5" s="14" t="s">
        <v>10</v>
      </c>
      <c r="B5" s="14" t="s">
        <v>110</v>
      </c>
      <c r="C5" s="14" t="s">
        <v>122</v>
      </c>
      <c r="D5" s="34" t="n">
        <v>425000</v>
      </c>
      <c r="E5" s="26" t="n">
        <v>46112</v>
      </c>
      <c r="F5" s="35" t="n">
        <v>7.1</v>
      </c>
      <c r="G5" s="14"/>
      <c r="I5" s="23" t="str">
        <f aca="false">IF($A5="","",$A5&amp;"#"&amp;COUNTIF($A$4:$A5,$A5))</f>
        <v>Amit#1</v>
      </c>
    </row>
    <row r="6" customFormat="false" ht="15" hidden="false" customHeight="true" outlineLevel="0" collapsed="false">
      <c r="D6" s="36"/>
      <c r="E6" s="29"/>
      <c r="F6" s="37"/>
      <c r="I6" s="23" t="str">
        <f aca="false">IF($A6="","",$A6&amp;"#"&amp;COUNTIF($A$4:$A6,$A6))</f>
        <v/>
      </c>
    </row>
    <row r="7" customFormat="false" ht="15" hidden="false" customHeight="true" outlineLevel="0" collapsed="false">
      <c r="D7" s="36"/>
      <c r="E7" s="29"/>
      <c r="F7" s="37"/>
      <c r="I7" s="23" t="str">
        <f aca="false">IF($A7="","",$A7&amp;"#"&amp;COUNTIF($A$4:$A7,$A7))</f>
        <v/>
      </c>
    </row>
    <row r="8" customFormat="false" ht="15" hidden="false" customHeight="true" outlineLevel="0" collapsed="false">
      <c r="D8" s="36"/>
      <c r="E8" s="29"/>
      <c r="F8" s="37"/>
      <c r="I8" s="23" t="str">
        <f aca="false">IF($A8="","",$A8&amp;"#"&amp;COUNTIF($A$4:$A8,$A8))</f>
        <v/>
      </c>
    </row>
    <row r="9" customFormat="false" ht="15" hidden="false" customHeight="true" outlineLevel="0" collapsed="false">
      <c r="D9" s="36"/>
      <c r="E9" s="29"/>
      <c r="F9" s="37"/>
      <c r="I9" s="23" t="str">
        <f aca="false">IF($A9="","",$A9&amp;"#"&amp;COUNTIF($A$4:$A9,$A9))</f>
        <v/>
      </c>
    </row>
    <row r="10" customFormat="false" ht="15" hidden="false" customHeight="true" outlineLevel="0" collapsed="false">
      <c r="D10" s="36"/>
      <c r="E10" s="29"/>
      <c r="F10" s="37"/>
      <c r="I10" s="23" t="str">
        <f aca="false">IF($A10="","",$A10&amp;"#"&amp;COUNTIF($A$4:$A10,$A10))</f>
        <v/>
      </c>
    </row>
    <row r="11" customFormat="false" ht="15" hidden="false" customHeight="true" outlineLevel="0" collapsed="false">
      <c r="D11" s="36"/>
      <c r="E11" s="29"/>
      <c r="F11" s="37"/>
      <c r="I11" s="23" t="str">
        <f aca="false">IF($A11="","",$A11&amp;"#"&amp;COUNTIF($A$4:$A11,$A11))</f>
        <v/>
      </c>
    </row>
    <row r="12" customFormat="false" ht="15" hidden="false" customHeight="true" outlineLevel="0" collapsed="false">
      <c r="D12" s="36"/>
      <c r="E12" s="29"/>
      <c r="F12" s="37"/>
      <c r="I12" s="23" t="str">
        <f aca="false">IF($A12="","",$A12&amp;"#"&amp;COUNTIF($A$4:$A12,$A12))</f>
        <v/>
      </c>
    </row>
    <row r="13" customFormat="false" ht="15" hidden="false" customHeight="true" outlineLevel="0" collapsed="false">
      <c r="D13" s="36"/>
      <c r="E13" s="29"/>
      <c r="F13" s="37"/>
      <c r="I13" s="23" t="str">
        <f aca="false">IF($A13="","",$A13&amp;"#"&amp;COUNTIF($A$4:$A13,$A13))</f>
        <v/>
      </c>
    </row>
    <row r="14" customFormat="false" ht="15" hidden="false" customHeight="true" outlineLevel="0" collapsed="false">
      <c r="D14" s="36"/>
      <c r="E14" s="29"/>
      <c r="F14" s="37"/>
      <c r="I14" s="23" t="str">
        <f aca="false">IF($A14="","",$A14&amp;"#"&amp;COUNTIF($A$4:$A14,$A14))</f>
        <v/>
      </c>
    </row>
    <row r="15" customFormat="false" ht="15" hidden="false" customHeight="true" outlineLevel="0" collapsed="false">
      <c r="D15" s="36"/>
      <c r="E15" s="29"/>
      <c r="F15" s="37"/>
      <c r="I15" s="23" t="str">
        <f aca="false">IF($A15="","",$A15&amp;"#"&amp;COUNTIF($A$4:$A15,$A15))</f>
        <v/>
      </c>
    </row>
    <row r="16" customFormat="false" ht="15" hidden="false" customHeight="true" outlineLevel="0" collapsed="false">
      <c r="D16" s="36"/>
      <c r="E16" s="29"/>
      <c r="F16" s="37"/>
      <c r="I16" s="23" t="str">
        <f aca="false">IF($A16="","",$A16&amp;"#"&amp;COUNTIF($A$4:$A16,$A16))</f>
        <v/>
      </c>
    </row>
    <row r="17" customFormat="false" ht="15" hidden="false" customHeight="true" outlineLevel="0" collapsed="false">
      <c r="D17" s="36"/>
      <c r="E17" s="29"/>
      <c r="F17" s="37"/>
      <c r="I17" s="23" t="str">
        <f aca="false">IF($A17="","",$A17&amp;"#"&amp;COUNTIF($A$4:$A17,$A17))</f>
        <v/>
      </c>
    </row>
    <row r="18" customFormat="false" ht="15" hidden="false" customHeight="true" outlineLevel="0" collapsed="false">
      <c r="D18" s="36"/>
      <c r="E18" s="29"/>
      <c r="F18" s="37"/>
      <c r="I18" s="23" t="str">
        <f aca="false">IF($A18="","",$A18&amp;"#"&amp;COUNTIF($A$4:$A18,$A18))</f>
        <v/>
      </c>
    </row>
    <row r="19" customFormat="false" ht="15" hidden="false" customHeight="true" outlineLevel="0" collapsed="false">
      <c r="D19" s="36"/>
      <c r="E19" s="29"/>
      <c r="F19" s="37"/>
      <c r="I19" s="23" t="str">
        <f aca="false">IF($A19="","",$A19&amp;"#"&amp;COUNTIF($A$4:$A19,$A19))</f>
        <v/>
      </c>
    </row>
    <row r="20" customFormat="false" ht="15" hidden="false" customHeight="true" outlineLevel="0" collapsed="false">
      <c r="D20" s="36"/>
      <c r="E20" s="29"/>
      <c r="F20" s="37"/>
      <c r="I20" s="23" t="str">
        <f aca="false">IF($A20="","",$A20&amp;"#"&amp;COUNTIF($A$4:$A20,$A20))</f>
        <v/>
      </c>
    </row>
    <row r="21" customFormat="false" ht="15" hidden="false" customHeight="true" outlineLevel="0" collapsed="false">
      <c r="D21" s="36"/>
      <c r="E21" s="29"/>
      <c r="F21" s="37"/>
      <c r="I21" s="23" t="str">
        <f aca="false">IF($A21="","",$A21&amp;"#"&amp;COUNTIF($A$4:$A21,$A21))</f>
        <v/>
      </c>
    </row>
    <row r="22" customFormat="false" ht="15" hidden="false" customHeight="true" outlineLevel="0" collapsed="false">
      <c r="D22" s="36"/>
      <c r="E22" s="29"/>
      <c r="F22" s="37"/>
      <c r="I22" s="23" t="str">
        <f aca="false">IF($A22="","",$A22&amp;"#"&amp;COUNTIF($A$4:$A22,$A22))</f>
        <v/>
      </c>
    </row>
    <row r="23" customFormat="false" ht="15" hidden="false" customHeight="true" outlineLevel="0" collapsed="false">
      <c r="D23" s="36"/>
      <c r="E23" s="29"/>
      <c r="F23" s="37"/>
      <c r="I23" s="23" t="str">
        <f aca="false">IF($A23="","",$A23&amp;"#"&amp;COUNTIF($A$4:$A23,$A23))</f>
        <v/>
      </c>
    </row>
    <row r="24" customFormat="false" ht="15" hidden="false" customHeight="true" outlineLevel="0" collapsed="false">
      <c r="D24" s="36"/>
      <c r="E24" s="29"/>
      <c r="F24" s="37"/>
      <c r="I24" s="23" t="str">
        <f aca="false">IF($A24="","",$A24&amp;"#"&amp;COUNTIF($A$4:$A24,$A24))</f>
        <v/>
      </c>
    </row>
    <row r="25" customFormat="false" ht="15" hidden="false" customHeight="true" outlineLevel="0" collapsed="false">
      <c r="D25" s="36"/>
      <c r="E25" s="29"/>
      <c r="F25" s="37"/>
      <c r="I25" s="23" t="str">
        <f aca="false">IF($A25="","",$A25&amp;"#"&amp;COUNTIF($A$4:$A25,$A25))</f>
        <v/>
      </c>
    </row>
    <row r="26" customFormat="false" ht="15" hidden="false" customHeight="true" outlineLevel="0" collapsed="false">
      <c r="D26" s="36"/>
      <c r="E26" s="29"/>
      <c r="F26" s="37"/>
      <c r="I26" s="23" t="str">
        <f aca="false">IF($A26="","",$A26&amp;"#"&amp;COUNTIF($A$4:$A26,$A26))</f>
        <v/>
      </c>
    </row>
    <row r="27" customFormat="false" ht="15" hidden="false" customHeight="true" outlineLevel="0" collapsed="false">
      <c r="D27" s="36"/>
      <c r="E27" s="29"/>
      <c r="F27" s="37"/>
      <c r="I27" s="23" t="str">
        <f aca="false">IF($A27="","",$A27&amp;"#"&amp;COUNTIF($A$4:$A27,$A27))</f>
        <v/>
      </c>
    </row>
    <row r="28" customFormat="false" ht="15" hidden="false" customHeight="true" outlineLevel="0" collapsed="false">
      <c r="D28" s="36"/>
      <c r="E28" s="29"/>
      <c r="F28" s="37"/>
      <c r="I28" s="23" t="str">
        <f aca="false">IF($A28="","",$A28&amp;"#"&amp;COUNTIF($A$4:$A28,$A28))</f>
        <v/>
      </c>
    </row>
    <row r="29" customFormat="false" ht="15" hidden="false" customHeight="true" outlineLevel="0" collapsed="false">
      <c r="D29" s="36"/>
      <c r="E29" s="29"/>
      <c r="F29" s="37"/>
      <c r="I29" s="23" t="str">
        <f aca="false">IF($A29="","",$A29&amp;"#"&amp;COUNTIF($A$4:$A29,$A29))</f>
        <v/>
      </c>
    </row>
    <row r="30" customFormat="false" ht="15" hidden="false" customHeight="true" outlineLevel="0" collapsed="false">
      <c r="D30" s="36"/>
      <c r="E30" s="29"/>
      <c r="F30" s="37"/>
      <c r="I30" s="23" t="str">
        <f aca="false">IF($A30="","",$A30&amp;"#"&amp;COUNTIF($A$4:$A30,$A30))</f>
        <v/>
      </c>
    </row>
    <row r="31" customFormat="false" ht="15" hidden="false" customHeight="true" outlineLevel="0" collapsed="false">
      <c r="D31" s="36"/>
      <c r="E31" s="29"/>
      <c r="F31" s="37"/>
      <c r="I31" s="23" t="str">
        <f aca="false">IF($A31="","",$A31&amp;"#"&amp;COUNTIF($A$4:$A31,$A31))</f>
        <v/>
      </c>
    </row>
    <row r="32" customFormat="false" ht="15" hidden="false" customHeight="true" outlineLevel="0" collapsed="false">
      <c r="D32" s="36"/>
      <c r="E32" s="29"/>
      <c r="F32" s="37"/>
      <c r="I32" s="23" t="str">
        <f aca="false">IF($A32="","",$A32&amp;"#"&amp;COUNTIF($A$4:$A32,$A32))</f>
        <v/>
      </c>
    </row>
    <row r="33" customFormat="false" ht="15" hidden="false" customHeight="true" outlineLevel="0" collapsed="false">
      <c r="D33" s="36"/>
      <c r="E33" s="29"/>
      <c r="F33" s="37"/>
      <c r="I33" s="23" t="str">
        <f aca="false">IF($A33="","",$A33&amp;"#"&amp;COUNTIF($A$4:$A33,$A33))</f>
        <v/>
      </c>
    </row>
    <row r="34" customFormat="false" ht="15" hidden="false" customHeight="true" outlineLevel="0" collapsed="false">
      <c r="D34" s="36"/>
      <c r="E34" s="29"/>
      <c r="F34" s="37"/>
      <c r="I34" s="23" t="str">
        <f aca="false">IF($A34="","",$A34&amp;"#"&amp;COUNTIF($A$4:$A34,$A34))</f>
        <v/>
      </c>
    </row>
    <row r="35" customFormat="false" ht="15" hidden="false" customHeight="true" outlineLevel="0" collapsed="false">
      <c r="D35" s="36"/>
      <c r="E35" s="29"/>
      <c r="F35" s="37"/>
      <c r="I35" s="23" t="str">
        <f aca="false">IF($A35="","",$A35&amp;"#"&amp;COUNTIF($A$4:$A35,$A35))</f>
        <v/>
      </c>
    </row>
    <row r="36" customFormat="false" ht="15" hidden="false" customHeight="true" outlineLevel="0" collapsed="false">
      <c r="D36" s="36"/>
      <c r="E36" s="29"/>
      <c r="F36" s="37"/>
      <c r="I36" s="23" t="str">
        <f aca="false">IF($A36="","",$A36&amp;"#"&amp;COUNTIF($A$4:$A36,$A36))</f>
        <v/>
      </c>
    </row>
    <row r="37" customFormat="false" ht="15" hidden="false" customHeight="true" outlineLevel="0" collapsed="false">
      <c r="D37" s="36"/>
      <c r="E37" s="29"/>
      <c r="F37" s="37"/>
      <c r="I37" s="23" t="str">
        <f aca="false">IF($A37="","",$A37&amp;"#"&amp;COUNTIF($A$4:$A37,$A37))</f>
        <v/>
      </c>
    </row>
    <row r="38" customFormat="false" ht="15" hidden="false" customHeight="true" outlineLevel="0" collapsed="false">
      <c r="D38" s="36"/>
      <c r="E38" s="29"/>
      <c r="F38" s="37"/>
      <c r="I38" s="23" t="str">
        <f aca="false">IF($A38="","",$A38&amp;"#"&amp;COUNTIF($A$4:$A38,$A38))</f>
        <v/>
      </c>
    </row>
    <row r="39" customFormat="false" ht="15" hidden="false" customHeight="true" outlineLevel="0" collapsed="false">
      <c r="D39" s="36"/>
      <c r="E39" s="29"/>
      <c r="F39" s="37"/>
      <c r="I39" s="23" t="str">
        <f aca="false">IF($A39="","",$A39&amp;"#"&amp;COUNTIF($A$4:$A39,$A39))</f>
        <v/>
      </c>
    </row>
    <row r="40" customFormat="false" ht="15" hidden="false" customHeight="true" outlineLevel="0" collapsed="false">
      <c r="D40" s="36"/>
      <c r="E40" s="29"/>
      <c r="F40" s="37"/>
      <c r="I40" s="23" t="str">
        <f aca="false">IF($A40="","",$A40&amp;"#"&amp;COUNTIF($A$4:$A40,$A40))</f>
        <v/>
      </c>
    </row>
    <row r="41" customFormat="false" ht="15" hidden="false" customHeight="true" outlineLevel="0" collapsed="false">
      <c r="D41" s="36"/>
      <c r="E41" s="29"/>
      <c r="F41" s="37"/>
      <c r="I41" s="23" t="str">
        <f aca="false">IF($A41="","",$A41&amp;"#"&amp;COUNTIF($A$4:$A41,$A41))</f>
        <v/>
      </c>
    </row>
    <row r="42" customFormat="false" ht="15" hidden="false" customHeight="true" outlineLevel="0" collapsed="false">
      <c r="D42" s="36"/>
      <c r="E42" s="29"/>
      <c r="F42" s="37"/>
      <c r="I42" s="23" t="str">
        <f aca="false">IF($A42="","",$A42&amp;"#"&amp;COUNTIF($A$4:$A42,$A42))</f>
        <v/>
      </c>
    </row>
    <row r="43" customFormat="false" ht="15" hidden="false" customHeight="true" outlineLevel="0" collapsed="false">
      <c r="D43" s="36"/>
      <c r="E43" s="29"/>
      <c r="F43" s="37"/>
      <c r="I43" s="23" t="str">
        <f aca="false">IF($A43="","",$A43&amp;"#"&amp;COUNTIF($A$4:$A43,$A43))</f>
        <v/>
      </c>
    </row>
    <row r="45" customFormat="false" ht="15" hidden="false" customHeight="true" outlineLevel="0" collapsed="false">
      <c r="C45" s="3" t="s">
        <v>13</v>
      </c>
      <c r="D45" s="16" t="n">
        <f aca="false">SUM(D4:D43)</f>
        <v>1285000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5"/>
    <col collapsed="false" customWidth="true" hidden="false" outlineLevel="0" max="4" min="4" style="1" width="8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11" min="9" style="1" width="14"/>
    <col collapsed="false" customWidth="true" hidden="false" outlineLevel="0" max="12" min="12" style="1" width="13"/>
    <col collapsed="false" customWidth="true" hidden="true" outlineLevel="0" max="14" min="14" style="1" width="13"/>
  </cols>
  <sheetData>
    <row r="1" customFormat="false" ht="18" hidden="false" customHeight="true" outlineLevel="0" collapsed="false">
      <c r="A1" s="2" t="s">
        <v>123</v>
      </c>
    </row>
    <row r="2" customFormat="false" ht="15" hidden="false" customHeight="true" outlineLevel="0" collapsed="false">
      <c r="A2" s="22" t="inlineStr">
        <is>
          <t xml:space="preserve">Enter Owner, Issuer, ISIN, Qty, Face value, Buy price, Current price, Coupon %, Maturity and Buy Date (drives XIRR; leave it empty to keep the row out of XIRR). Invested / Cur. val / Net chg. compute themselves. Corporate bonds are illiquid — update Current Price manually.</t>
        </is>
      </c>
    </row>
    <row r="3" customFormat="false" ht="23.25" hidden="false" customHeight="true" outlineLevel="0" collapsed="false">
      <c r="A3" s="6" t="s">
        <v>18</v>
      </c>
      <c r="B3" s="6" t="s">
        <v>44</v>
      </c>
      <c r="C3" s="6" t="s">
        <v>22</v>
      </c>
      <c r="D3" s="6" t="s">
        <v>24</v>
      </c>
      <c r="E3" s="6" t="s">
        <v>125</v>
      </c>
      <c r="F3" s="6" t="s">
        <v>45</v>
      </c>
      <c r="G3" s="6" t="s">
        <v>126</v>
      </c>
      <c r="H3" s="6" t="s">
        <v>127</v>
      </c>
      <c r="I3" s="6" t="s">
        <v>104</v>
      </c>
      <c r="J3" s="6" t="s">
        <v>56</v>
      </c>
      <c r="K3" s="6" t="s">
        <v>26</v>
      </c>
      <c r="L3" s="6" t="s">
        <v>27</v>
      </c>
      <c r="M3" s="6" t="inlineStr">
        <is>
          <t xml:space="preserve">Buy Date</t>
        </is>
      </c>
      <c r="N3" s="23" t="s">
        <v>59</v>
      </c>
    </row>
    <row r="4" customFormat="false" ht="15" hidden="false" customHeight="true" outlineLevel="0" collapsed="false">
      <c r="A4" s="14" t="s">
        <v>12</v>
      </c>
      <c r="B4" s="14" t="s">
        <v>128</v>
      </c>
      <c r="C4" s="14" t="s">
        <v>129</v>
      </c>
      <c r="D4" s="14" t="n">
        <v>50</v>
      </c>
      <c r="E4" s="32" t="n">
        <v>1000</v>
      </c>
      <c r="F4" s="32" t="n">
        <v>1000</v>
      </c>
      <c r="G4" s="32" t="n">
        <v>1015</v>
      </c>
      <c r="H4" s="35" t="n">
        <v>8.5</v>
      </c>
      <c r="I4" s="26" t="n">
        <v>47133</v>
      </c>
      <c r="J4" s="13" t="n">
        <f aca="false">IF(OR($D4="",$F4=""),"",$D4*$F4)</f>
        <v>50000</v>
      </c>
      <c r="K4" s="13" t="n">
        <f aca="false">IF(OR($D4="",$G4=""),"",$D4*$G4)</f>
        <v>50750</v>
      </c>
      <c r="L4" s="13" t="n">
        <f aca="false">IF(OR($F4="",$D4=""),"",$K4-$J4)</f>
        <v>750</v>
      </c>
      <c r="M4" s="26" t="n">
        <v>45306</v>
      </c>
      <c r="N4" s="23" t="str">
        <f aca="false">IF($A4="","",$A4&amp;"#"&amp;COUNTIF($A$4:$A4,$A4))</f>
        <v>Rahul#1</v>
      </c>
    </row>
    <row r="5" customFormat="false" ht="15" hidden="false" customHeight="true" outlineLevel="0" collapsed="false">
      <c r="E5" s="28"/>
      <c r="F5" s="28"/>
      <c r="G5" s="28"/>
      <c r="H5" s="37"/>
      <c r="I5" s="29"/>
      <c r="J5" s="13" t="str">
        <f aca="false">IF(OR($D5="",$F5=""),"",$D5*$F5)</f>
        <v/>
      </c>
      <c r="K5" s="13" t="str">
        <f aca="false">IF(OR($D5="",$G5=""),"",$D5*$G5)</f>
        <v/>
      </c>
      <c r="L5" s="13" t="str">
        <f aca="false">IF(OR($F5="",$D5=""),"",$K5-$J5)</f>
        <v/>
      </c>
      <c r="M5" s="26"/>
      <c r="N5" s="23" t="str">
        <f aca="false">IF($A5="","",$A5&amp;"#"&amp;COUNTIF($A$4:$A5,$A5))</f>
        <v/>
      </c>
    </row>
    <row r="6" customFormat="false" ht="15" hidden="false" customHeight="true" outlineLevel="0" collapsed="false">
      <c r="E6" s="28"/>
      <c r="F6" s="28"/>
      <c r="G6" s="28"/>
      <c r="H6" s="37"/>
      <c r="I6" s="29"/>
      <c r="J6" s="13" t="str">
        <f aca="false">IF(OR($D6="",$F6=""),"",$D6*$F6)</f>
        <v/>
      </c>
      <c r="K6" s="13" t="str">
        <f aca="false">IF(OR($D6="",$G6=""),"",$D6*$G6)</f>
        <v/>
      </c>
      <c r="L6" s="13" t="str">
        <f aca="false">IF(OR($F6="",$D6=""),"",$K6-$J6)</f>
        <v/>
      </c>
      <c r="M6" s="26"/>
      <c r="N6" s="23" t="str">
        <f aca="false">IF($A6="","",$A6&amp;"#"&amp;COUNTIF($A$4:$A6,$A6))</f>
        <v/>
      </c>
    </row>
    <row r="7" customFormat="false" ht="15" hidden="false" customHeight="true" outlineLevel="0" collapsed="false">
      <c r="E7" s="28"/>
      <c r="F7" s="28"/>
      <c r="G7" s="28"/>
      <c r="H7" s="37"/>
      <c r="I7" s="29"/>
      <c r="J7" s="13" t="str">
        <f aca="false">IF(OR($D7="",$F7=""),"",$D7*$F7)</f>
        <v/>
      </c>
      <c r="K7" s="13" t="str">
        <f aca="false">IF(OR($D7="",$G7=""),"",$D7*$G7)</f>
        <v/>
      </c>
      <c r="L7" s="13" t="str">
        <f aca="false">IF(OR($F7="",$D7=""),"",$K7-$J7)</f>
        <v/>
      </c>
      <c r="M7" s="26"/>
      <c r="N7" s="23" t="str">
        <f aca="false">IF($A7="","",$A7&amp;"#"&amp;COUNTIF($A$4:$A7,$A7))</f>
        <v/>
      </c>
    </row>
    <row r="8" customFormat="false" ht="15" hidden="false" customHeight="true" outlineLevel="0" collapsed="false">
      <c r="E8" s="28"/>
      <c r="F8" s="28"/>
      <c r="G8" s="28"/>
      <c r="H8" s="37"/>
      <c r="I8" s="29"/>
      <c r="J8" s="13" t="str">
        <f aca="false">IF(OR($D8="",$F8=""),"",$D8*$F8)</f>
        <v/>
      </c>
      <c r="K8" s="13" t="str">
        <f aca="false">IF(OR($D8="",$G8=""),"",$D8*$G8)</f>
        <v/>
      </c>
      <c r="L8" s="13" t="str">
        <f aca="false">IF(OR($F8="",$D8=""),"",$K8-$J8)</f>
        <v/>
      </c>
      <c r="M8" s="26"/>
      <c r="N8" s="23" t="str">
        <f aca="false">IF($A8="","",$A8&amp;"#"&amp;COUNTIF($A$4:$A8,$A8))</f>
        <v/>
      </c>
    </row>
    <row r="9" customFormat="false" ht="15" hidden="false" customHeight="true" outlineLevel="0" collapsed="false">
      <c r="E9" s="28"/>
      <c r="F9" s="28"/>
      <c r="G9" s="28"/>
      <c r="H9" s="37"/>
      <c r="I9" s="29"/>
      <c r="J9" s="13" t="str">
        <f aca="false">IF(OR($D9="",$F9=""),"",$D9*$F9)</f>
        <v/>
      </c>
      <c r="K9" s="13" t="str">
        <f aca="false">IF(OR($D9="",$G9=""),"",$D9*$G9)</f>
        <v/>
      </c>
      <c r="L9" s="13" t="str">
        <f aca="false">IF(OR($F9="",$D9=""),"",$K9-$J9)</f>
        <v/>
      </c>
      <c r="M9" s="26"/>
      <c r="N9" s="23" t="str">
        <f aca="false">IF($A9="","",$A9&amp;"#"&amp;COUNTIF($A$4:$A9,$A9))</f>
        <v/>
      </c>
    </row>
    <row r="10" customFormat="false" ht="15" hidden="false" customHeight="true" outlineLevel="0" collapsed="false">
      <c r="E10" s="28"/>
      <c r="F10" s="28"/>
      <c r="G10" s="28"/>
      <c r="H10" s="37"/>
      <c r="I10" s="29"/>
      <c r="J10" s="13" t="str">
        <f aca="false">IF(OR($D10="",$F10=""),"",$D10*$F10)</f>
        <v/>
      </c>
      <c r="K10" s="13" t="str">
        <f aca="false">IF(OR($D10="",$G10=""),"",$D10*$G10)</f>
        <v/>
      </c>
      <c r="L10" s="13" t="str">
        <f aca="false">IF(OR($F10="",$D10=""),"",$K10-$J10)</f>
        <v/>
      </c>
      <c r="M10" s="26"/>
      <c r="N10" s="23" t="str">
        <f aca="false">IF($A10="","",$A10&amp;"#"&amp;COUNTIF($A$4:$A10,$A10))</f>
        <v/>
      </c>
    </row>
    <row r="11" customFormat="false" ht="15" hidden="false" customHeight="true" outlineLevel="0" collapsed="false">
      <c r="E11" s="28"/>
      <c r="F11" s="28"/>
      <c r="G11" s="28"/>
      <c r="H11" s="37"/>
      <c r="I11" s="29"/>
      <c r="J11" s="13" t="str">
        <f aca="false">IF(OR($D11="",$F11=""),"",$D11*$F11)</f>
        <v/>
      </c>
      <c r="K11" s="13" t="str">
        <f aca="false">IF(OR($D11="",$G11=""),"",$D11*$G11)</f>
        <v/>
      </c>
      <c r="L11" s="13" t="str">
        <f aca="false">IF(OR($F11="",$D11=""),"",$K11-$J11)</f>
        <v/>
      </c>
      <c r="M11" s="26"/>
      <c r="N11" s="23" t="str">
        <f aca="false">IF($A11="","",$A11&amp;"#"&amp;COUNTIF($A$4:$A11,$A11))</f>
        <v/>
      </c>
    </row>
    <row r="12" customFormat="false" ht="15" hidden="false" customHeight="true" outlineLevel="0" collapsed="false">
      <c r="E12" s="28"/>
      <c r="F12" s="28"/>
      <c r="G12" s="28"/>
      <c r="H12" s="37"/>
      <c r="I12" s="29"/>
      <c r="J12" s="13" t="str">
        <f aca="false">IF(OR($D12="",$F12=""),"",$D12*$F12)</f>
        <v/>
      </c>
      <c r="K12" s="13" t="str">
        <f aca="false">IF(OR($D12="",$G12=""),"",$D12*$G12)</f>
        <v/>
      </c>
      <c r="L12" s="13" t="str">
        <f aca="false">IF(OR($F12="",$D12=""),"",$K12-$J12)</f>
        <v/>
      </c>
      <c r="M12" s="26"/>
      <c r="N12" s="23" t="str">
        <f aca="false">IF($A12="","",$A12&amp;"#"&amp;COUNTIF($A$4:$A12,$A12))</f>
        <v/>
      </c>
    </row>
    <row r="13" customFormat="false" ht="15" hidden="false" customHeight="true" outlineLevel="0" collapsed="false">
      <c r="E13" s="28"/>
      <c r="F13" s="28"/>
      <c r="G13" s="28"/>
      <c r="H13" s="37"/>
      <c r="I13" s="29"/>
      <c r="J13" s="13" t="str">
        <f aca="false">IF(OR($D13="",$F13=""),"",$D13*$F13)</f>
        <v/>
      </c>
      <c r="K13" s="13" t="str">
        <f aca="false">IF(OR($D13="",$G13=""),"",$D13*$G13)</f>
        <v/>
      </c>
      <c r="L13" s="13" t="str">
        <f aca="false">IF(OR($F13="",$D13=""),"",$K13-$J13)</f>
        <v/>
      </c>
      <c r="M13" s="26"/>
      <c r="N13" s="23" t="str">
        <f aca="false">IF($A13="","",$A13&amp;"#"&amp;COUNTIF($A$4:$A13,$A13))</f>
        <v/>
      </c>
    </row>
    <row r="14" customFormat="false" ht="15" hidden="false" customHeight="true" outlineLevel="0" collapsed="false">
      <c r="E14" s="28"/>
      <c r="F14" s="28"/>
      <c r="G14" s="28"/>
      <c r="H14" s="37"/>
      <c r="I14" s="29"/>
      <c r="J14" s="13" t="str">
        <f aca="false">IF(OR($D14="",$F14=""),"",$D14*$F14)</f>
        <v/>
      </c>
      <c r="K14" s="13" t="str">
        <f aca="false">IF(OR($D14="",$G14=""),"",$D14*$G14)</f>
        <v/>
      </c>
      <c r="L14" s="13" t="str">
        <f aca="false">IF(OR($F14="",$D14=""),"",$K14-$J14)</f>
        <v/>
      </c>
      <c r="M14" s="26"/>
      <c r="N14" s="23" t="str">
        <f aca="false">IF($A14="","",$A14&amp;"#"&amp;COUNTIF($A$4:$A14,$A14))</f>
        <v/>
      </c>
    </row>
    <row r="15" customFormat="false" ht="15" hidden="false" customHeight="true" outlineLevel="0" collapsed="false">
      <c r="E15" s="28"/>
      <c r="F15" s="28"/>
      <c r="G15" s="28"/>
      <c r="H15" s="37"/>
      <c r="I15" s="29"/>
      <c r="J15" s="13" t="str">
        <f aca="false">IF(OR($D15="",$F15=""),"",$D15*$F15)</f>
        <v/>
      </c>
      <c r="K15" s="13" t="str">
        <f aca="false">IF(OR($D15="",$G15=""),"",$D15*$G15)</f>
        <v/>
      </c>
      <c r="L15" s="13" t="str">
        <f aca="false">IF(OR($F15="",$D15=""),"",$K15-$J15)</f>
        <v/>
      </c>
      <c r="M15" s="26"/>
      <c r="N15" s="23" t="str">
        <f aca="false">IF($A15="","",$A15&amp;"#"&amp;COUNTIF($A$4:$A15,$A15))</f>
        <v/>
      </c>
    </row>
    <row r="16" customFormat="false" ht="15" hidden="false" customHeight="true" outlineLevel="0" collapsed="false">
      <c r="E16" s="28"/>
      <c r="F16" s="28"/>
      <c r="G16" s="28"/>
      <c r="H16" s="37"/>
      <c r="I16" s="29"/>
      <c r="J16" s="13" t="str">
        <f aca="false">IF(OR($D16="",$F16=""),"",$D16*$F16)</f>
        <v/>
      </c>
      <c r="K16" s="13" t="str">
        <f aca="false">IF(OR($D16="",$G16=""),"",$D16*$G16)</f>
        <v/>
      </c>
      <c r="L16" s="13" t="str">
        <f aca="false">IF(OR($F16="",$D16=""),"",$K16-$J16)</f>
        <v/>
      </c>
      <c r="M16" s="26"/>
      <c r="N16" s="23" t="str">
        <f aca="false">IF($A16="","",$A16&amp;"#"&amp;COUNTIF($A$4:$A16,$A16))</f>
        <v/>
      </c>
    </row>
    <row r="17" customFormat="false" ht="15" hidden="false" customHeight="true" outlineLevel="0" collapsed="false">
      <c r="E17" s="28"/>
      <c r="F17" s="28"/>
      <c r="G17" s="28"/>
      <c r="H17" s="37"/>
      <c r="I17" s="29"/>
      <c r="J17" s="13" t="str">
        <f aca="false">IF(OR($D17="",$F17=""),"",$D17*$F17)</f>
        <v/>
      </c>
      <c r="K17" s="13" t="str">
        <f aca="false">IF(OR($D17="",$G17=""),"",$D17*$G17)</f>
        <v/>
      </c>
      <c r="L17" s="13" t="str">
        <f aca="false">IF(OR($F17="",$D17=""),"",$K17-$J17)</f>
        <v/>
      </c>
      <c r="M17" s="26"/>
      <c r="N17" s="23" t="str">
        <f aca="false">IF($A17="","",$A17&amp;"#"&amp;COUNTIF($A$4:$A17,$A17))</f>
        <v/>
      </c>
    </row>
    <row r="18" customFormat="false" ht="15" hidden="false" customHeight="true" outlineLevel="0" collapsed="false">
      <c r="E18" s="28"/>
      <c r="F18" s="28"/>
      <c r="G18" s="28"/>
      <c r="H18" s="37"/>
      <c r="I18" s="29"/>
      <c r="J18" s="13" t="str">
        <f aca="false">IF(OR($D18="",$F18=""),"",$D18*$F18)</f>
        <v/>
      </c>
      <c r="K18" s="13" t="str">
        <f aca="false">IF(OR($D18="",$G18=""),"",$D18*$G18)</f>
        <v/>
      </c>
      <c r="L18" s="13" t="str">
        <f aca="false">IF(OR($F18="",$D18=""),"",$K18-$J18)</f>
        <v/>
      </c>
      <c r="M18" s="26"/>
      <c r="N18" s="23" t="str">
        <f aca="false">IF($A18="","",$A18&amp;"#"&amp;COUNTIF($A$4:$A18,$A18))</f>
        <v/>
      </c>
    </row>
    <row r="19" customFormat="false" ht="15" hidden="false" customHeight="true" outlineLevel="0" collapsed="false">
      <c r="E19" s="28"/>
      <c r="F19" s="28"/>
      <c r="G19" s="28"/>
      <c r="H19" s="37"/>
      <c r="I19" s="29"/>
      <c r="J19" s="13" t="str">
        <f aca="false">IF(OR($D19="",$F19=""),"",$D19*$F19)</f>
        <v/>
      </c>
      <c r="K19" s="13" t="str">
        <f aca="false">IF(OR($D19="",$G19=""),"",$D19*$G19)</f>
        <v/>
      </c>
      <c r="L19" s="13" t="str">
        <f aca="false">IF(OR($F19="",$D19=""),"",$K19-$J19)</f>
        <v/>
      </c>
      <c r="M19" s="26"/>
      <c r="N19" s="23" t="str">
        <f aca="false">IF($A19="","",$A19&amp;"#"&amp;COUNTIF($A$4:$A19,$A19))</f>
        <v/>
      </c>
    </row>
    <row r="20" customFormat="false" ht="15" hidden="false" customHeight="true" outlineLevel="0" collapsed="false">
      <c r="E20" s="28"/>
      <c r="F20" s="28"/>
      <c r="G20" s="28"/>
      <c r="H20" s="37"/>
      <c r="I20" s="29"/>
      <c r="J20" s="13" t="str">
        <f aca="false">IF(OR($D20="",$F20=""),"",$D20*$F20)</f>
        <v/>
      </c>
      <c r="K20" s="13" t="str">
        <f aca="false">IF(OR($D20="",$G20=""),"",$D20*$G20)</f>
        <v/>
      </c>
      <c r="L20" s="13" t="str">
        <f aca="false">IF(OR($F20="",$D20=""),"",$K20-$J20)</f>
        <v/>
      </c>
      <c r="M20" s="26"/>
      <c r="N20" s="23" t="str">
        <f aca="false">IF($A20="","",$A20&amp;"#"&amp;COUNTIF($A$4:$A20,$A20))</f>
        <v/>
      </c>
    </row>
    <row r="21" customFormat="false" ht="15" hidden="false" customHeight="true" outlineLevel="0" collapsed="false">
      <c r="E21" s="28"/>
      <c r="F21" s="28"/>
      <c r="G21" s="28"/>
      <c r="H21" s="37"/>
      <c r="I21" s="29"/>
      <c r="J21" s="13" t="str">
        <f aca="false">IF(OR($D21="",$F21=""),"",$D21*$F21)</f>
        <v/>
      </c>
      <c r="K21" s="13" t="str">
        <f aca="false">IF(OR($D21="",$G21=""),"",$D21*$G21)</f>
        <v/>
      </c>
      <c r="L21" s="13" t="str">
        <f aca="false">IF(OR($F21="",$D21=""),"",$K21-$J21)</f>
        <v/>
      </c>
      <c r="M21" s="26"/>
      <c r="N21" s="23" t="str">
        <f aca="false">IF($A21="","",$A21&amp;"#"&amp;COUNTIF($A$4:$A21,$A21))</f>
        <v/>
      </c>
    </row>
    <row r="22" customFormat="false" ht="15" hidden="false" customHeight="true" outlineLevel="0" collapsed="false">
      <c r="E22" s="28"/>
      <c r="F22" s="28"/>
      <c r="G22" s="28"/>
      <c r="H22" s="37"/>
      <c r="I22" s="29"/>
      <c r="J22" s="13" t="str">
        <f aca="false">IF(OR($D22="",$F22=""),"",$D22*$F22)</f>
        <v/>
      </c>
      <c r="K22" s="13" t="str">
        <f aca="false">IF(OR($D22="",$G22=""),"",$D22*$G22)</f>
        <v/>
      </c>
      <c r="L22" s="13" t="str">
        <f aca="false">IF(OR($F22="",$D22=""),"",$K22-$J22)</f>
        <v/>
      </c>
      <c r="M22" s="26"/>
      <c r="N22" s="23" t="str">
        <f aca="false">IF($A22="","",$A22&amp;"#"&amp;COUNTIF($A$4:$A22,$A22))</f>
        <v/>
      </c>
    </row>
    <row r="23" customFormat="false" ht="15" hidden="false" customHeight="true" outlineLevel="0" collapsed="false">
      <c r="E23" s="28"/>
      <c r="F23" s="28"/>
      <c r="G23" s="28"/>
      <c r="H23" s="37"/>
      <c r="I23" s="29"/>
      <c r="J23" s="13" t="str">
        <f aca="false">IF(OR($D23="",$F23=""),"",$D23*$F23)</f>
        <v/>
      </c>
      <c r="K23" s="13" t="str">
        <f aca="false">IF(OR($D23="",$G23=""),"",$D23*$G23)</f>
        <v/>
      </c>
      <c r="L23" s="13" t="str">
        <f aca="false">IF(OR($F23="",$D23=""),"",$K23-$J23)</f>
        <v/>
      </c>
      <c r="M23" s="26"/>
      <c r="N23" s="23" t="str">
        <f aca="false">IF($A23="","",$A23&amp;"#"&amp;COUNTIF($A$4:$A23,$A23))</f>
        <v/>
      </c>
    </row>
    <row r="24" customFormat="false" ht="15" hidden="false" customHeight="true" outlineLevel="0" collapsed="false">
      <c r="E24" s="28"/>
      <c r="F24" s="28"/>
      <c r="G24" s="28"/>
      <c r="H24" s="37"/>
      <c r="I24" s="29"/>
      <c r="J24" s="13" t="str">
        <f aca="false">IF(OR($D24="",$F24=""),"",$D24*$F24)</f>
        <v/>
      </c>
      <c r="K24" s="13" t="str">
        <f aca="false">IF(OR($D24="",$G24=""),"",$D24*$G24)</f>
        <v/>
      </c>
      <c r="L24" s="13" t="str">
        <f aca="false">IF(OR($F24="",$D24=""),"",$K24-$J24)</f>
        <v/>
      </c>
      <c r="M24" s="26"/>
      <c r="N24" s="23" t="str">
        <f aca="false">IF($A24="","",$A24&amp;"#"&amp;COUNTIF($A$4:$A24,$A24))</f>
        <v/>
      </c>
    </row>
    <row r="25" customFormat="false" ht="15" hidden="false" customHeight="true" outlineLevel="0" collapsed="false">
      <c r="E25" s="28"/>
      <c r="F25" s="28"/>
      <c r="G25" s="28"/>
      <c r="H25" s="37"/>
      <c r="I25" s="29"/>
      <c r="J25" s="13" t="str">
        <f aca="false">IF(OR($D25="",$F25=""),"",$D25*$F25)</f>
        <v/>
      </c>
      <c r="K25" s="13" t="str">
        <f aca="false">IF(OR($D25="",$G25=""),"",$D25*$G25)</f>
        <v/>
      </c>
      <c r="L25" s="13" t="str">
        <f aca="false">IF(OR($F25="",$D25=""),"",$K25-$J25)</f>
        <v/>
      </c>
      <c r="M25" s="26"/>
      <c r="N25" s="23" t="str">
        <f aca="false">IF($A25="","",$A25&amp;"#"&amp;COUNTIF($A$4:$A25,$A25))</f>
        <v/>
      </c>
    </row>
    <row r="26" customFormat="false" ht="15" hidden="false" customHeight="true" outlineLevel="0" collapsed="false">
      <c r="E26" s="28"/>
      <c r="F26" s="28"/>
      <c r="G26" s="28"/>
      <c r="H26" s="37"/>
      <c r="I26" s="29"/>
      <c r="J26" s="13" t="str">
        <f aca="false">IF(OR($D26="",$F26=""),"",$D26*$F26)</f>
        <v/>
      </c>
      <c r="K26" s="13" t="str">
        <f aca="false">IF(OR($D26="",$G26=""),"",$D26*$G26)</f>
        <v/>
      </c>
      <c r="L26" s="13" t="str">
        <f aca="false">IF(OR($F26="",$D26=""),"",$K26-$J26)</f>
        <v/>
      </c>
      <c r="M26" s="26"/>
      <c r="N26" s="23" t="str">
        <f aca="false">IF($A26="","",$A26&amp;"#"&amp;COUNTIF($A$4:$A26,$A26))</f>
        <v/>
      </c>
    </row>
    <row r="27" customFormat="false" ht="15" hidden="false" customHeight="true" outlineLevel="0" collapsed="false">
      <c r="E27" s="28"/>
      <c r="F27" s="28"/>
      <c r="G27" s="28"/>
      <c r="H27" s="37"/>
      <c r="I27" s="29"/>
      <c r="J27" s="13" t="str">
        <f aca="false">IF(OR($D27="",$F27=""),"",$D27*$F27)</f>
        <v/>
      </c>
      <c r="K27" s="13" t="str">
        <f aca="false">IF(OR($D27="",$G27=""),"",$D27*$G27)</f>
        <v/>
      </c>
      <c r="L27" s="13" t="str">
        <f aca="false">IF(OR($F27="",$D27=""),"",$K27-$J27)</f>
        <v/>
      </c>
      <c r="M27" s="26"/>
      <c r="N27" s="23" t="str">
        <f aca="false">IF($A27="","",$A27&amp;"#"&amp;COUNTIF($A$4:$A27,$A27))</f>
        <v/>
      </c>
    </row>
    <row r="28" customFormat="false" ht="15" hidden="false" customHeight="true" outlineLevel="0" collapsed="false">
      <c r="E28" s="28"/>
      <c r="F28" s="28"/>
      <c r="G28" s="28"/>
      <c r="H28" s="37"/>
      <c r="I28" s="29"/>
      <c r="J28" s="13" t="str">
        <f aca="false">IF(OR($D28="",$F28=""),"",$D28*$F28)</f>
        <v/>
      </c>
      <c r="K28" s="13" t="str">
        <f aca="false">IF(OR($D28="",$G28=""),"",$D28*$G28)</f>
        <v/>
      </c>
      <c r="L28" s="13" t="str">
        <f aca="false">IF(OR($F28="",$D28=""),"",$K28-$J28)</f>
        <v/>
      </c>
      <c r="M28" s="26"/>
      <c r="N28" s="23" t="str">
        <f aca="false">IF($A28="","",$A28&amp;"#"&amp;COUNTIF($A$4:$A28,$A28))</f>
        <v/>
      </c>
    </row>
    <row r="29" customFormat="false" ht="15" hidden="false" customHeight="true" outlineLevel="0" collapsed="false">
      <c r="E29" s="28"/>
      <c r="F29" s="28"/>
      <c r="G29" s="28"/>
      <c r="H29" s="37"/>
      <c r="I29" s="29"/>
      <c r="J29" s="13" t="str">
        <f aca="false">IF(OR($D29="",$F29=""),"",$D29*$F29)</f>
        <v/>
      </c>
      <c r="K29" s="13" t="str">
        <f aca="false">IF(OR($D29="",$G29=""),"",$D29*$G29)</f>
        <v/>
      </c>
      <c r="L29" s="13" t="str">
        <f aca="false">IF(OR($F29="",$D29=""),"",$K29-$J29)</f>
        <v/>
      </c>
      <c r="M29" s="26"/>
      <c r="N29" s="23" t="str">
        <f aca="false">IF($A29="","",$A29&amp;"#"&amp;COUNTIF($A$4:$A29,$A29))</f>
        <v/>
      </c>
    </row>
    <row r="30" customFormat="false" ht="15" hidden="false" customHeight="true" outlineLevel="0" collapsed="false">
      <c r="E30" s="28"/>
      <c r="F30" s="28"/>
      <c r="G30" s="28"/>
      <c r="H30" s="37"/>
      <c r="I30" s="29"/>
      <c r="J30" s="13" t="str">
        <f aca="false">IF(OR($D30="",$F30=""),"",$D30*$F30)</f>
        <v/>
      </c>
      <c r="K30" s="13" t="str">
        <f aca="false">IF(OR($D30="",$G30=""),"",$D30*$G30)</f>
        <v/>
      </c>
      <c r="L30" s="13" t="str">
        <f aca="false">IF(OR($F30="",$D30=""),"",$K30-$J30)</f>
        <v/>
      </c>
      <c r="M30" s="26"/>
      <c r="N30" s="23" t="str">
        <f aca="false">IF($A30="","",$A30&amp;"#"&amp;COUNTIF($A$4:$A30,$A30))</f>
        <v/>
      </c>
    </row>
    <row r="31" customFormat="false" ht="15" hidden="false" customHeight="true" outlineLevel="0" collapsed="false">
      <c r="E31" s="28"/>
      <c r="F31" s="28"/>
      <c r="G31" s="28"/>
      <c r="H31" s="37"/>
      <c r="I31" s="29"/>
      <c r="J31" s="13" t="str">
        <f aca="false">IF(OR($D31="",$F31=""),"",$D31*$F31)</f>
        <v/>
      </c>
      <c r="K31" s="13" t="str">
        <f aca="false">IF(OR($D31="",$G31=""),"",$D31*$G31)</f>
        <v/>
      </c>
      <c r="L31" s="13" t="str">
        <f aca="false">IF(OR($F31="",$D31=""),"",$K31-$J31)</f>
        <v/>
      </c>
      <c r="M31" s="26"/>
      <c r="N31" s="23" t="str">
        <f aca="false">IF($A31="","",$A31&amp;"#"&amp;COUNTIF($A$4:$A31,$A31))</f>
        <v/>
      </c>
    </row>
    <row r="32" customFormat="false" ht="15" hidden="false" customHeight="true" outlineLevel="0" collapsed="false">
      <c r="E32" s="28"/>
      <c r="F32" s="28"/>
      <c r="G32" s="28"/>
      <c r="H32" s="37"/>
      <c r="I32" s="29"/>
      <c r="J32" s="13" t="str">
        <f aca="false">IF(OR($D32="",$F32=""),"",$D32*$F32)</f>
        <v/>
      </c>
      <c r="K32" s="13" t="str">
        <f aca="false">IF(OR($D32="",$G32=""),"",$D32*$G32)</f>
        <v/>
      </c>
      <c r="L32" s="13" t="str">
        <f aca="false">IF(OR($F32="",$D32=""),"",$K32-$J32)</f>
        <v/>
      </c>
      <c r="M32" s="26"/>
      <c r="N32" s="23" t="str">
        <f aca="false">IF($A32="","",$A32&amp;"#"&amp;COUNTIF($A$4:$A32,$A32))</f>
        <v/>
      </c>
    </row>
    <row r="33" customFormat="false" ht="15" hidden="false" customHeight="true" outlineLevel="0" collapsed="false">
      <c r="E33" s="28"/>
      <c r="F33" s="28"/>
      <c r="G33" s="28"/>
      <c r="H33" s="37"/>
      <c r="I33" s="29"/>
      <c r="J33" s="13" t="str">
        <f aca="false">IF(OR($D33="",$F33=""),"",$D33*$F33)</f>
        <v/>
      </c>
      <c r="K33" s="13" t="str">
        <f aca="false">IF(OR($D33="",$G33=""),"",$D33*$G33)</f>
        <v/>
      </c>
      <c r="L33" s="13" t="str">
        <f aca="false">IF(OR($F33="",$D33=""),"",$K33-$J33)</f>
        <v/>
      </c>
      <c r="M33" s="26"/>
      <c r="N33" s="23" t="str">
        <f aca="false">IF($A33="","",$A33&amp;"#"&amp;COUNTIF($A$4:$A33,$A33))</f>
        <v/>
      </c>
    </row>
    <row r="34" customFormat="false" ht="15" hidden="false" customHeight="true" outlineLevel="0" collapsed="false">
      <c r="E34" s="28"/>
      <c r="F34" s="28"/>
      <c r="G34" s="28"/>
      <c r="H34" s="37"/>
      <c r="I34" s="29"/>
      <c r="J34" s="13" t="str">
        <f aca="false">IF(OR($D34="",$F34=""),"",$D34*$F34)</f>
        <v/>
      </c>
      <c r="K34" s="13" t="str">
        <f aca="false">IF(OR($D34="",$G34=""),"",$D34*$G34)</f>
        <v/>
      </c>
      <c r="L34" s="13" t="str">
        <f aca="false">IF(OR($F34="",$D34=""),"",$K34-$J34)</f>
        <v/>
      </c>
      <c r="M34" s="26"/>
      <c r="N34" s="23" t="str">
        <f aca="false">IF($A34="","",$A34&amp;"#"&amp;COUNTIF($A$4:$A34,$A34))</f>
        <v/>
      </c>
    </row>
    <row r="35" customFormat="false" ht="15" hidden="false" customHeight="true" outlineLevel="0" collapsed="false">
      <c r="E35" s="28"/>
      <c r="F35" s="28"/>
      <c r="G35" s="28"/>
      <c r="H35" s="37"/>
      <c r="I35" s="29"/>
      <c r="J35" s="13" t="str">
        <f aca="false">IF(OR($D35="",$F35=""),"",$D35*$F35)</f>
        <v/>
      </c>
      <c r="K35" s="13" t="str">
        <f aca="false">IF(OR($D35="",$G35=""),"",$D35*$G35)</f>
        <v/>
      </c>
      <c r="L35" s="13" t="str">
        <f aca="false">IF(OR($F35="",$D35=""),"",$K35-$J35)</f>
        <v/>
      </c>
      <c r="M35" s="26"/>
      <c r="N35" s="23" t="str">
        <f aca="false">IF($A35="","",$A35&amp;"#"&amp;COUNTIF($A$4:$A35,$A35))</f>
        <v/>
      </c>
    </row>
    <row r="36" customFormat="false" ht="15" hidden="false" customHeight="true" outlineLevel="0" collapsed="false">
      <c r="E36" s="28"/>
      <c r="F36" s="28"/>
      <c r="G36" s="28"/>
      <c r="H36" s="37"/>
      <c r="I36" s="29"/>
      <c r="J36" s="13" t="str">
        <f aca="false">IF(OR($D36="",$F36=""),"",$D36*$F36)</f>
        <v/>
      </c>
      <c r="K36" s="13" t="str">
        <f aca="false">IF(OR($D36="",$G36=""),"",$D36*$G36)</f>
        <v/>
      </c>
      <c r="L36" s="13" t="str">
        <f aca="false">IF(OR($F36="",$D36=""),"",$K36-$J36)</f>
        <v/>
      </c>
      <c r="M36" s="26"/>
      <c r="N36" s="23" t="str">
        <f aca="false">IF($A36="","",$A36&amp;"#"&amp;COUNTIF($A$4:$A36,$A36))</f>
        <v/>
      </c>
    </row>
    <row r="37" customFormat="false" ht="15" hidden="false" customHeight="true" outlineLevel="0" collapsed="false">
      <c r="E37" s="28"/>
      <c r="F37" s="28"/>
      <c r="G37" s="28"/>
      <c r="H37" s="37"/>
      <c r="I37" s="29"/>
      <c r="J37" s="13" t="str">
        <f aca="false">IF(OR($D37="",$F37=""),"",$D37*$F37)</f>
        <v/>
      </c>
      <c r="K37" s="13" t="str">
        <f aca="false">IF(OR($D37="",$G37=""),"",$D37*$G37)</f>
        <v/>
      </c>
      <c r="L37" s="13" t="str">
        <f aca="false">IF(OR($F37="",$D37=""),"",$K37-$J37)</f>
        <v/>
      </c>
      <c r="M37" s="26"/>
      <c r="N37" s="23" t="str">
        <f aca="false">IF($A37="","",$A37&amp;"#"&amp;COUNTIF($A$4:$A37,$A37))</f>
        <v/>
      </c>
    </row>
    <row r="38" customFormat="false" ht="15" hidden="false" customHeight="true" outlineLevel="0" collapsed="false">
      <c r="E38" s="28"/>
      <c r="F38" s="28"/>
      <c r="G38" s="28"/>
      <c r="H38" s="37"/>
      <c r="I38" s="29"/>
      <c r="J38" s="13" t="str">
        <f aca="false">IF(OR($D38="",$F38=""),"",$D38*$F38)</f>
        <v/>
      </c>
      <c r="K38" s="13" t="str">
        <f aca="false">IF(OR($D38="",$G38=""),"",$D38*$G38)</f>
        <v/>
      </c>
      <c r="L38" s="13" t="str">
        <f aca="false">IF(OR($F38="",$D38=""),"",$K38-$J38)</f>
        <v/>
      </c>
      <c r="M38" s="26"/>
      <c r="N38" s="23" t="str">
        <f aca="false">IF($A38="","",$A38&amp;"#"&amp;COUNTIF($A$4:$A38,$A38))</f>
        <v/>
      </c>
    </row>
    <row r="39" customFormat="false" ht="15" hidden="false" customHeight="true" outlineLevel="0" collapsed="false">
      <c r="E39" s="28"/>
      <c r="F39" s="28"/>
      <c r="G39" s="28"/>
      <c r="H39" s="37"/>
      <c r="I39" s="29"/>
      <c r="J39" s="13" t="str">
        <f aca="false">IF(OR($D39="",$F39=""),"",$D39*$F39)</f>
        <v/>
      </c>
      <c r="K39" s="13" t="str">
        <f aca="false">IF(OR($D39="",$G39=""),"",$D39*$G39)</f>
        <v/>
      </c>
      <c r="L39" s="13" t="str">
        <f aca="false">IF(OR($F39="",$D39=""),"",$K39-$J39)</f>
        <v/>
      </c>
      <c r="M39" s="26"/>
      <c r="N39" s="23" t="str">
        <f aca="false">IF($A39="","",$A39&amp;"#"&amp;COUNTIF($A$4:$A39,$A39))</f>
        <v/>
      </c>
    </row>
    <row r="40" customFormat="false" ht="15" hidden="false" customHeight="true" outlineLevel="0" collapsed="false">
      <c r="E40" s="28"/>
      <c r="F40" s="28"/>
      <c r="G40" s="28"/>
      <c r="H40" s="37"/>
      <c r="I40" s="29"/>
      <c r="J40" s="13" t="str">
        <f aca="false">IF(OR($D40="",$F40=""),"",$D40*$F40)</f>
        <v/>
      </c>
      <c r="K40" s="13" t="str">
        <f aca="false">IF(OR($D40="",$G40=""),"",$D40*$G40)</f>
        <v/>
      </c>
      <c r="L40" s="13" t="str">
        <f aca="false">IF(OR($F40="",$D40=""),"",$K40-$J40)</f>
        <v/>
      </c>
      <c r="M40" s="26"/>
      <c r="N40" s="23" t="str">
        <f aca="false">IF($A40="","",$A40&amp;"#"&amp;COUNTIF($A$4:$A40,$A40))</f>
        <v/>
      </c>
    </row>
    <row r="41" customFormat="false" ht="15" hidden="false" customHeight="true" outlineLevel="0" collapsed="false">
      <c r="E41" s="28"/>
      <c r="F41" s="28"/>
      <c r="G41" s="28"/>
      <c r="H41" s="37"/>
      <c r="I41" s="29"/>
      <c r="J41" s="13" t="str">
        <f aca="false">IF(OR($D41="",$F41=""),"",$D41*$F41)</f>
        <v/>
      </c>
      <c r="K41" s="13" t="str">
        <f aca="false">IF(OR($D41="",$G41=""),"",$D41*$G41)</f>
        <v/>
      </c>
      <c r="L41" s="13" t="str">
        <f aca="false">IF(OR($F41="",$D41=""),"",$K41-$J41)</f>
        <v/>
      </c>
      <c r="M41" s="26"/>
      <c r="N41" s="23" t="str">
        <f aca="false">IF($A41="","",$A41&amp;"#"&amp;COUNTIF($A$4:$A41,$A41))</f>
        <v/>
      </c>
    </row>
    <row r="42" customFormat="false" ht="15" hidden="false" customHeight="true" outlineLevel="0" collapsed="false">
      <c r="E42" s="28"/>
      <c r="F42" s="28"/>
      <c r="G42" s="28"/>
      <c r="H42" s="37"/>
      <c r="I42" s="29"/>
      <c r="J42" s="13" t="str">
        <f aca="false">IF(OR($D42="",$F42=""),"",$D42*$F42)</f>
        <v/>
      </c>
      <c r="K42" s="13" t="str">
        <f aca="false">IF(OR($D42="",$G42=""),"",$D42*$G42)</f>
        <v/>
      </c>
      <c r="L42" s="13" t="str">
        <f aca="false">IF(OR($F42="",$D42=""),"",$K42-$J42)</f>
        <v/>
      </c>
      <c r="M42" s="26"/>
      <c r="N42" s="23" t="str">
        <f aca="false">IF($A42="","",$A42&amp;"#"&amp;COUNTIF($A$4:$A42,$A42))</f>
        <v/>
      </c>
    </row>
    <row r="43" customFormat="false" ht="15" hidden="false" customHeight="true" outlineLevel="0" collapsed="false">
      <c r="E43" s="28"/>
      <c r="F43" s="28"/>
      <c r="G43" s="28"/>
      <c r="H43" s="37"/>
      <c r="I43" s="29"/>
      <c r="J43" s="13" t="str">
        <f aca="false">IF(OR($D43="",$F43=""),"",$D43*$F43)</f>
        <v/>
      </c>
      <c r="K43" s="13" t="str">
        <f aca="false">IF(OR($D43="",$G43=""),"",$D43*$G43)</f>
        <v/>
      </c>
      <c r="L43" s="13" t="str">
        <f aca="false">IF(OR($F43="",$D43=""),"",$K43-$J43)</f>
        <v/>
      </c>
      <c r="M43" s="26"/>
      <c r="N43" s="23" t="str">
        <f aca="false">IF($A43="","",$A43&amp;"#"&amp;COUNTIF($A$4:$A43,$A43))</f>
        <v/>
      </c>
    </row>
    <row r="44" customFormat="false" ht="15" hidden="false" customHeight="true" outlineLevel="0" collapsed="false">
      <c r="E44" s="28"/>
      <c r="F44" s="28"/>
      <c r="G44" s="28"/>
      <c r="H44" s="37"/>
      <c r="I44" s="29"/>
      <c r="J44" s="13" t="str">
        <f aca="false">IF(OR($D44="",$F44=""),"",$D44*$F44)</f>
        <v/>
      </c>
      <c r="K44" s="13" t="str">
        <f aca="false">IF(OR($D44="",$G44=""),"",$D44*$G44)</f>
        <v/>
      </c>
      <c r="L44" s="13" t="str">
        <f aca="false">IF(OR($F44="",$D44=""),"",$K44-$J44)</f>
        <v/>
      </c>
      <c r="M44" s="26"/>
      <c r="N44" s="23" t="str">
        <f aca="false">IF($A44="","",$A44&amp;"#"&amp;COUNTIF($A$4:$A44,$A44))</f>
        <v/>
      </c>
    </row>
    <row r="45" customFormat="false" ht="15" hidden="false" customHeight="true" outlineLevel="0" collapsed="false">
      <c r="E45" s="28"/>
      <c r="F45" s="28"/>
      <c r="G45" s="28"/>
      <c r="H45" s="37"/>
      <c r="I45" s="29"/>
      <c r="J45" s="13" t="str">
        <f aca="false">IF(OR($D45="",$F45=""),"",$D45*$F45)</f>
        <v/>
      </c>
      <c r="K45" s="13" t="str">
        <f aca="false">IF(OR($D45="",$G45=""),"",$D45*$G45)</f>
        <v/>
      </c>
      <c r="L45" s="13" t="str">
        <f aca="false">IF(OR($F45="",$D45=""),"",$K45-$J45)</f>
        <v/>
      </c>
      <c r="M45" s="26"/>
      <c r="N45" s="23" t="str">
        <f aca="false">IF($A45="","",$A45&amp;"#"&amp;COUNTIF($A$4:$A45,$A45))</f>
        <v/>
      </c>
    </row>
    <row r="46" customFormat="false" ht="15" hidden="false" customHeight="true" outlineLevel="0" collapsed="false">
      <c r="E46" s="28"/>
      <c r="F46" s="28"/>
      <c r="G46" s="28"/>
      <c r="H46" s="37"/>
      <c r="I46" s="29"/>
      <c r="J46" s="13" t="str">
        <f aca="false">IF(OR($D46="",$F46=""),"",$D46*$F46)</f>
        <v/>
      </c>
      <c r="K46" s="13" t="str">
        <f aca="false">IF(OR($D46="",$G46=""),"",$D46*$G46)</f>
        <v/>
      </c>
      <c r="L46" s="13" t="str">
        <f aca="false">IF(OR($F46="",$D46=""),"",$K46-$J46)</f>
        <v/>
      </c>
      <c r="M46" s="26"/>
      <c r="N46" s="23" t="str">
        <f aca="false">IF($A46="","",$A46&amp;"#"&amp;COUNTIF($A$4:$A46,$A46))</f>
        <v/>
      </c>
    </row>
    <row r="47" customFormat="false" ht="15" hidden="false" customHeight="true" outlineLevel="0" collapsed="false">
      <c r="E47" s="28"/>
      <c r="F47" s="28"/>
      <c r="G47" s="28"/>
      <c r="H47" s="37"/>
      <c r="I47" s="29"/>
      <c r="J47" s="13" t="str">
        <f aca="false">IF(OR($D47="",$F47=""),"",$D47*$F47)</f>
        <v/>
      </c>
      <c r="K47" s="13" t="str">
        <f aca="false">IF(OR($D47="",$G47=""),"",$D47*$G47)</f>
        <v/>
      </c>
      <c r="L47" s="13" t="str">
        <f aca="false">IF(OR($F47="",$D47=""),"",$K47-$J47)</f>
        <v/>
      </c>
      <c r="M47" s="26"/>
      <c r="N47" s="23" t="str">
        <f aca="false">IF($A47="","",$A47&amp;"#"&amp;COUNTIF($A$4:$A47,$A47))</f>
        <v/>
      </c>
    </row>
    <row r="48" customFormat="false" ht="15" hidden="false" customHeight="true" outlineLevel="0" collapsed="false">
      <c r="E48" s="28"/>
      <c r="F48" s="28"/>
      <c r="G48" s="28"/>
      <c r="H48" s="37"/>
      <c r="I48" s="29"/>
      <c r="J48" s="13" t="str">
        <f aca="false">IF(OR($D48="",$F48=""),"",$D48*$F48)</f>
        <v/>
      </c>
      <c r="K48" s="13" t="str">
        <f aca="false">IF(OR($D48="",$G48=""),"",$D48*$G48)</f>
        <v/>
      </c>
      <c r="L48" s="13" t="str">
        <f aca="false">IF(OR($F48="",$D48=""),"",$K48-$J48)</f>
        <v/>
      </c>
      <c r="M48" s="26"/>
      <c r="N48" s="23" t="str">
        <f aca="false">IF($A48="","",$A48&amp;"#"&amp;COUNTIF($A$4:$A48,$A48))</f>
        <v/>
      </c>
    </row>
    <row r="49" customFormat="false" ht="15" hidden="false" customHeight="true" outlineLevel="0" collapsed="false">
      <c r="E49" s="28"/>
      <c r="F49" s="28"/>
      <c r="G49" s="28"/>
      <c r="H49" s="37"/>
      <c r="I49" s="29"/>
      <c r="J49" s="13" t="str">
        <f aca="false">IF(OR($D49="",$F49=""),"",$D49*$F49)</f>
        <v/>
      </c>
      <c r="K49" s="13" t="str">
        <f aca="false">IF(OR($D49="",$G49=""),"",$D49*$G49)</f>
        <v/>
      </c>
      <c r="L49" s="13" t="str">
        <f aca="false">IF(OR($F49="",$D49=""),"",$K49-$J49)</f>
        <v/>
      </c>
      <c r="M49" s="26"/>
      <c r="N49" s="23" t="str">
        <f aca="false">IF($A49="","",$A49&amp;"#"&amp;COUNTIF($A$4:$A49,$A49))</f>
        <v/>
      </c>
    </row>
    <row r="50" customFormat="false" ht="15" hidden="false" customHeight="true" outlineLevel="0" collapsed="false">
      <c r="E50" s="28"/>
      <c r="F50" s="28"/>
      <c r="G50" s="28"/>
      <c r="H50" s="37"/>
      <c r="I50" s="29"/>
      <c r="J50" s="13" t="str">
        <f aca="false">IF(OR($D50="",$F50=""),"",$D50*$F50)</f>
        <v/>
      </c>
      <c r="K50" s="13" t="str">
        <f aca="false">IF(OR($D50="",$G50=""),"",$D50*$G50)</f>
        <v/>
      </c>
      <c r="L50" s="13" t="str">
        <f aca="false">IF(OR($F50="",$D50=""),"",$K50-$J50)</f>
        <v/>
      </c>
      <c r="M50" s="26"/>
      <c r="N50" s="23" t="str">
        <f aca="false">IF($A50="","",$A50&amp;"#"&amp;COUNTIF($A$4:$A50,$A50))</f>
        <v/>
      </c>
    </row>
    <row r="51" customFormat="false" ht="15" hidden="false" customHeight="true" outlineLevel="0" collapsed="false">
      <c r="E51" s="28"/>
      <c r="F51" s="28"/>
      <c r="G51" s="28"/>
      <c r="H51" s="37"/>
      <c r="I51" s="29"/>
      <c r="J51" s="13" t="str">
        <f aca="false">IF(OR($D51="",$F51=""),"",$D51*$F51)</f>
        <v/>
      </c>
      <c r="K51" s="13" t="str">
        <f aca="false">IF(OR($D51="",$G51=""),"",$D51*$G51)</f>
        <v/>
      </c>
      <c r="L51" s="13" t="str">
        <f aca="false">IF(OR($F51="",$D51=""),"",$K51-$J51)</f>
        <v/>
      </c>
      <c r="M51" s="26"/>
      <c r="N51" s="23" t="str">
        <f aca="false">IF($A51="","",$A51&amp;"#"&amp;COUNTIF($A$4:$A51,$A51))</f>
        <v/>
      </c>
    </row>
    <row r="52" customFormat="false" ht="15" hidden="false" customHeight="true" outlineLevel="0" collapsed="false">
      <c r="E52" s="28"/>
      <c r="F52" s="28"/>
      <c r="G52" s="28"/>
      <c r="H52" s="37"/>
      <c r="I52" s="29"/>
      <c r="J52" s="13" t="str">
        <f aca="false">IF(OR($D52="",$F52=""),"",$D52*$F52)</f>
        <v/>
      </c>
      <c r="K52" s="13" t="str">
        <f aca="false">IF(OR($D52="",$G52=""),"",$D52*$G52)</f>
        <v/>
      </c>
      <c r="L52" s="13" t="str">
        <f aca="false">IF(OR($F52="",$D52=""),"",$K52-$J52)</f>
        <v/>
      </c>
      <c r="M52" s="26"/>
      <c r="N52" s="23" t="str">
        <f aca="false">IF($A52="","",$A52&amp;"#"&amp;COUNTIF($A$4:$A52,$A52))</f>
        <v/>
      </c>
    </row>
    <row r="53" customFormat="false" ht="15" hidden="false" customHeight="true" outlineLevel="0" collapsed="false">
      <c r="E53" s="28"/>
      <c r="F53" s="28"/>
      <c r="G53" s="28"/>
      <c r="H53" s="37"/>
      <c r="I53" s="29"/>
      <c r="J53" s="13" t="str">
        <f aca="false">IF(OR($D53="",$F53=""),"",$D53*$F53)</f>
        <v/>
      </c>
      <c r="K53" s="13" t="str">
        <f aca="false">IF(OR($D53="",$G53=""),"",$D53*$G53)</f>
        <v/>
      </c>
      <c r="L53" s="13" t="str">
        <f aca="false">IF(OR($F53="",$D53=""),"",$K53-$J53)</f>
        <v/>
      </c>
      <c r="M53" s="26"/>
      <c r="N53" s="23" t="str">
        <f aca="false">IF($A53="","",$A53&amp;"#"&amp;COUNTIF($A$4:$A53,$A53))</f>
        <v/>
      </c>
    </row>
    <row r="55" customFormat="false" ht="15" hidden="false" customHeight="true" outlineLevel="0" collapsed="false">
      <c r="C55" s="3" t="s">
        <v>13</v>
      </c>
      <c r="J55" s="16" t="n">
        <f aca="false">SUM(J4:J53)</f>
        <v>50000</v>
      </c>
      <c r="K55" s="16" t="n">
        <f aca="false">SUM(K4:K53)</f>
        <v>50750</v>
      </c>
      <c r="L55" s="16" t="n">
        <f aca="false">SUM(L4:L53)</f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4"/>
    <col collapsed="false" customWidth="true" hidden="false" outlineLevel="0" max="7" min="3" style="1" width="11"/>
    <col collapsed="false" customWidth="true" hidden="false" outlineLevel="0" max="8" min="8" style="1" width="15"/>
  </cols>
  <sheetData>
    <row r="1" customFormat="false" ht="18" hidden="false" customHeight="true" outlineLevel="0" collapsed="false">
      <c r="A1" s="2" t="s">
        <v>130</v>
      </c>
    </row>
    <row r="2" customFormat="false" ht="15" hidden="false" customHeight="true" outlineLevel="0" collapsed="false">
      <c r="A2" s="22" t="s">
        <v>131</v>
      </c>
    </row>
    <row r="3" customFormat="false" ht="15" hidden="false" customHeight="true" outlineLevel="0" collapsed="false">
      <c r="A3" s="6" t="s">
        <v>22</v>
      </c>
      <c r="B3" s="6" t="s">
        <v>23</v>
      </c>
      <c r="C3" s="6" t="s">
        <v>132</v>
      </c>
      <c r="D3" s="6" t="s">
        <v>10</v>
      </c>
      <c r="E3" s="6" t="s">
        <v>11</v>
      </c>
      <c r="F3" s="6" t="s">
        <v>12</v>
      </c>
      <c r="G3" s="6" t="s">
        <v>26</v>
      </c>
    </row>
    <row r="4" customFormat="false" ht="15" hidden="false" customHeight="true" outlineLevel="0" collapsed="false">
      <c r="A4" s="14" t="s">
        <v>67</v>
      </c>
      <c r="B4" s="14" t="inlineStr">
        <is>
          <t xml:space="preserve">HDFC BANK LTD.</t>
        </is>
      </c>
      <c r="C4" s="38" t="n">
        <f aca="false">IF($A4="","",SUMIF(Equity!$B:$B,$A4,Equity!$D:$D))</f>
        <v>60</v>
      </c>
      <c r="D4" s="38" t="n">
        <f aca="false">IF($A4="","",SUMIFS(Equity!$D:$D,Equity!$B:$B,$A4,Equity!$A:$A,"Amit"))</f>
        <v>60</v>
      </c>
      <c r="E4" s="38" t="n">
        <f aca="false">IF($A4="","",SUMIFS(Equity!$D:$D,Equity!$B:$B,$A4,Equity!$A:$A,"Priya"))</f>
        <v>0</v>
      </c>
      <c r="F4" s="38" t="n">
        <f aca="false">IF($A4="","",SUMIFS(Equity!$D:$D,Equity!$B:$B,$A4,Equity!$A:$A,"Rahul"))</f>
        <v>0</v>
      </c>
      <c r="G4" s="13" t="n">
        <f aca="false">IF($A4="","",SUMIF(Equity!$B:$B,$A4,Equity!$I:$I))</f>
        <v>101400</v>
      </c>
    </row>
    <row r="5" customFormat="false" ht="15" hidden="false" customHeight="true" outlineLevel="0" collapsed="false">
      <c r="A5" s="14" t="s">
        <v>79</v>
      </c>
      <c r="B5" s="14" t="inlineStr">
        <is>
          <t xml:space="preserve">HINDUSTAN UNILEVER LTD.</t>
        </is>
      </c>
      <c r="C5" s="38" t="n">
        <f aca="false">IF($A5="","",SUMIF(Equity!$B:$B,$A5,Equity!$D:$D))</f>
        <v>30</v>
      </c>
      <c r="D5" s="38" t="n">
        <f aca="false">IF($A5="","",SUMIFS(Equity!$D:$D,Equity!$B:$B,$A5,Equity!$A:$A,"Amit"))</f>
        <v>0</v>
      </c>
      <c r="E5" s="38" t="n">
        <f aca="false">IF($A5="","",SUMIFS(Equity!$D:$D,Equity!$B:$B,$A5,Equity!$A:$A,"Priya"))</f>
        <v>0</v>
      </c>
      <c r="F5" s="38" t="n">
        <f aca="false">IF($A5="","",SUMIFS(Equity!$D:$D,Equity!$B:$B,$A5,Equity!$A:$A,"Rahul"))</f>
        <v>30</v>
      </c>
      <c r="G5" s="13" t="n">
        <f aca="false">IF($A5="","",SUMIF(Equity!$B:$B,$A5,Equity!$I:$I))</f>
        <v>72300</v>
      </c>
    </row>
    <row r="6" customFormat="false" ht="15" hidden="false" customHeight="true" outlineLevel="0" collapsed="false">
      <c r="A6" s="14" t="s">
        <v>71</v>
      </c>
      <c r="B6" s="14" t="inlineStr">
        <is>
          <t xml:space="preserve">ICICI BANK LTD.</t>
        </is>
      </c>
      <c r="C6" s="38" t="n">
        <f aca="false">IF($A6="","",SUMIF(Equity!$B:$B,$A6,Equity!$D:$D))</f>
        <v>80</v>
      </c>
      <c r="D6" s="38" t="n">
        <f aca="false">IF($A6="","",SUMIFS(Equity!$D:$D,Equity!$B:$B,$A6,Equity!$A:$A,"Amit"))</f>
        <v>0</v>
      </c>
      <c r="E6" s="38" t="n">
        <f aca="false">IF($A6="","",SUMIFS(Equity!$D:$D,Equity!$B:$B,$A6,Equity!$A:$A,"Priya"))</f>
        <v>80</v>
      </c>
      <c r="F6" s="38" t="n">
        <f aca="false">IF($A6="","",SUMIFS(Equity!$D:$D,Equity!$B:$B,$A6,Equity!$A:$A,"Rahul"))</f>
        <v>0</v>
      </c>
      <c r="G6" s="13" t="n">
        <f aca="false">IF($A6="","",SUMIF(Equity!$B:$B,$A6,Equity!$I:$I))</f>
        <v>99200</v>
      </c>
    </row>
    <row r="7" customFormat="false" ht="15" hidden="false" customHeight="true" outlineLevel="0" collapsed="false">
      <c r="A7" s="14" t="s">
        <v>65</v>
      </c>
      <c r="B7" s="14" t="inlineStr">
        <is>
          <t xml:space="preserve">INFOSYS LTD.</t>
        </is>
      </c>
      <c r="C7" s="38" t="n">
        <f aca="false">IF($A7="","",SUMIF(Equity!$B:$B,$A7,Equity!$D:$D))</f>
        <v>40</v>
      </c>
      <c r="D7" s="38" t="n">
        <f aca="false">IF($A7="","",SUMIFS(Equity!$D:$D,Equity!$B:$B,$A7,Equity!$A:$A,"Amit"))</f>
        <v>40</v>
      </c>
      <c r="E7" s="38" t="n">
        <f aca="false">IF($A7="","",SUMIFS(Equity!$D:$D,Equity!$B:$B,$A7,Equity!$A:$A,"Priya"))</f>
        <v>0</v>
      </c>
      <c r="F7" s="38" t="n">
        <f aca="false">IF($A7="","",SUMIFS(Equity!$D:$D,Equity!$B:$B,$A7,Equity!$A:$A,"Rahul"))</f>
        <v>0</v>
      </c>
      <c r="G7" s="13" t="n">
        <f aca="false">IF($A7="","",SUMIF(Equity!$B:$B,$A7,Equity!$I:$I))</f>
        <v>64400</v>
      </c>
    </row>
    <row r="8" customFormat="false" ht="15" hidden="false" customHeight="true" outlineLevel="0" collapsed="false">
      <c r="A8" s="14" t="s">
        <v>69</v>
      </c>
      <c r="B8" s="14" t="inlineStr">
        <is>
          <t xml:space="preserve">ITC LTD.</t>
        </is>
      </c>
      <c r="C8" s="38" t="n">
        <f aca="false">IF($A8="","",SUMIF(Equity!$B:$B,$A8,Equity!$D:$D))</f>
        <v>200</v>
      </c>
      <c r="D8" s="38" t="n">
        <f aca="false">IF($A8="","",SUMIFS(Equity!$D:$D,Equity!$B:$B,$A8,Equity!$A:$A,"Amit"))</f>
        <v>0</v>
      </c>
      <c r="E8" s="38" t="n">
        <f aca="false">IF($A8="","",SUMIFS(Equity!$D:$D,Equity!$B:$B,$A8,Equity!$A:$A,"Priya"))</f>
        <v>200</v>
      </c>
      <c r="F8" s="38" t="n">
        <f aca="false">IF($A8="","",SUMIFS(Equity!$D:$D,Equity!$B:$B,$A8,Equity!$A:$A,"Rahul"))</f>
        <v>0</v>
      </c>
      <c r="G8" s="13" t="n">
        <f aca="false">IF($A8="","",SUMIF(Equity!$B:$B,$A8,Equity!$I:$I))</f>
        <v>87000</v>
      </c>
    </row>
    <row r="9" customFormat="false" ht="15" hidden="false" customHeight="true" outlineLevel="0" collapsed="false">
      <c r="A9" s="14" t="s">
        <v>75</v>
      </c>
      <c r="B9" s="14" t="inlineStr">
        <is>
          <t xml:space="preserve">LARSEN &amp; TOUBRO LTD.</t>
        </is>
      </c>
      <c r="C9" s="38" t="n">
        <f aca="false">IF($A9="","",SUMIF(Equity!$B:$B,$A9,Equity!$D:$D))</f>
        <v>25</v>
      </c>
      <c r="D9" s="38" t="n">
        <f aca="false">IF($A9="","",SUMIFS(Equity!$D:$D,Equity!$B:$B,$A9,Equity!$A:$A,"Amit"))</f>
        <v>0</v>
      </c>
      <c r="E9" s="38" t="n">
        <f aca="false">IF($A9="","",SUMIFS(Equity!$D:$D,Equity!$B:$B,$A9,Equity!$A:$A,"Priya"))</f>
        <v>0</v>
      </c>
      <c r="F9" s="38" t="n">
        <f aca="false">IF($A9="","",SUMIFS(Equity!$D:$D,Equity!$B:$B,$A9,Equity!$A:$A,"Rahul"))</f>
        <v>25</v>
      </c>
      <c r="G9" s="13" t="n">
        <f aca="false">IF($A9="","",SUMIF(Equity!$B:$B,$A9,Equity!$I:$I))</f>
        <v>90500</v>
      </c>
    </row>
    <row r="10" customFormat="false" ht="15" hidden="false" customHeight="true" outlineLevel="0" collapsed="false">
      <c r="A10" s="14" t="s">
        <v>60</v>
      </c>
      <c r="B10" s="14" t="inlineStr">
        <is>
          <t xml:space="preserve">RELIANCE INDUSTRIES LTD.</t>
        </is>
      </c>
      <c r="C10" s="38" t="n">
        <f aca="false">IF($A10="","",SUMIF(Equity!$B:$B,$A10,Equity!$D:$D))</f>
        <v>50</v>
      </c>
      <c r="D10" s="38" t="n">
        <f aca="false">IF($A10="","",SUMIFS(Equity!$D:$D,Equity!$B:$B,$A10,Equity!$A:$A,"Amit"))</f>
        <v>50</v>
      </c>
      <c r="E10" s="38" t="n">
        <f aca="false">IF($A10="","",SUMIFS(Equity!$D:$D,Equity!$B:$B,$A10,Equity!$A:$A,"Priya"))</f>
        <v>0</v>
      </c>
      <c r="F10" s="38" t="n">
        <f aca="false">IF($A10="","",SUMIFS(Equity!$D:$D,Equity!$B:$B,$A10,Equity!$A:$A,"Rahul"))</f>
        <v>0</v>
      </c>
      <c r="G10" s="13" t="n">
        <f aca="false">IF($A10="","",SUMIF(Equity!$B:$B,$A10,Equity!$I:$I))</f>
        <v>76000</v>
      </c>
    </row>
    <row r="11" customFormat="false" ht="15" hidden="false" customHeight="true" outlineLevel="0" collapsed="false">
      <c r="A11" s="14" t="s">
        <v>77</v>
      </c>
      <c r="B11" s="14" t="inlineStr">
        <is>
          <t xml:space="preserve">STATE BANK OF INDIA</t>
        </is>
      </c>
      <c r="C11" s="38" t="n">
        <f aca="false">IF($A11="","",SUMIF(Equity!$B:$B,$A11,Equity!$D:$D))</f>
        <v>120</v>
      </c>
      <c r="D11" s="38" t="n">
        <f aca="false">IF($A11="","",SUMIFS(Equity!$D:$D,Equity!$B:$B,$A11,Equity!$A:$A,"Amit"))</f>
        <v>0</v>
      </c>
      <c r="E11" s="38" t="n">
        <f aca="false">IF($A11="","",SUMIFS(Equity!$D:$D,Equity!$B:$B,$A11,Equity!$A:$A,"Priya"))</f>
        <v>0</v>
      </c>
      <c r="F11" s="38" t="n">
        <f aca="false">IF($A11="","",SUMIFS(Equity!$D:$D,Equity!$B:$B,$A11,Equity!$A:$A,"Rahul"))</f>
        <v>120</v>
      </c>
      <c r="G11" s="13" t="n">
        <f aca="false">IF($A11="","",SUMIF(Equity!$B:$B,$A11,Equity!$I:$I))</f>
        <v>97800</v>
      </c>
    </row>
    <row r="12" customFormat="false" ht="15" hidden="false" customHeight="true" outlineLevel="0" collapsed="false">
      <c r="A12" s="14" t="s">
        <v>63</v>
      </c>
      <c r="B12" s="14" t="inlineStr">
        <is>
          <t xml:space="preserve">TATA CONSULTANCY SERVICES LTD.</t>
        </is>
      </c>
      <c r="C12" s="38" t="n">
        <f aca="false">IF($A12="","",SUMIF(Equity!$B:$B,$A12,Equity!$D:$D))</f>
        <v>12</v>
      </c>
      <c r="D12" s="38" t="n">
        <f aca="false">IF($A12="","",SUMIFS(Equity!$D:$D,Equity!$B:$B,$A12,Equity!$A:$A,"Amit"))</f>
        <v>12</v>
      </c>
      <c r="E12" s="38" t="n">
        <f aca="false">IF($A12="","",SUMIFS(Equity!$D:$D,Equity!$B:$B,$A12,Equity!$A:$A,"Priya"))</f>
        <v>0</v>
      </c>
      <c r="F12" s="38" t="n">
        <f aca="false">IF($A12="","",SUMIFS(Equity!$D:$D,Equity!$B:$B,$A12,Equity!$A:$A,"Rahul"))</f>
        <v>0</v>
      </c>
      <c r="G12" s="13" t="n">
        <f aca="false">IF($A12="","",SUMIF(Equity!$B:$B,$A12,Equity!$I:$I))</f>
        <v>41400</v>
      </c>
    </row>
    <row r="13" customFormat="false" ht="15" hidden="false" customHeight="true" outlineLevel="0" collapsed="false">
      <c r="A13" s="14" t="s">
        <v>73</v>
      </c>
      <c r="B13" s="14" t="inlineStr">
        <is>
          <t xml:space="preserve">WIPRO LTD.</t>
        </is>
      </c>
      <c r="C13" s="38" t="n">
        <f aca="false">IF($A13="","",SUMIF(Equity!$B:$B,$A13,Equity!$D:$D))</f>
        <v>150</v>
      </c>
      <c r="D13" s="38" t="n">
        <f aca="false">IF($A13="","",SUMIFS(Equity!$D:$D,Equity!$B:$B,$A13,Equity!$A:$A,"Amit"))</f>
        <v>0</v>
      </c>
      <c r="E13" s="38" t="n">
        <f aca="false">IF($A13="","",SUMIFS(Equity!$D:$D,Equity!$B:$B,$A13,Equity!$A:$A,"Priya"))</f>
        <v>150</v>
      </c>
      <c r="F13" s="38" t="n">
        <f aca="false">IF($A13="","",SUMIFS(Equity!$D:$D,Equity!$B:$B,$A13,Equity!$A:$A,"Rahul"))</f>
        <v>0</v>
      </c>
      <c r="G13" s="13" t="n">
        <f aca="false">IF($A13="","",SUMIF(Equity!$B:$B,$A13,Equity!$I:$I))</f>
        <v>36750</v>
      </c>
    </row>
    <row r="14" customFormat="false" ht="15" hidden="false" customHeight="true" outlineLevel="0" collapsed="false">
      <c r="C14" s="38" t="str">
        <f aca="false">IF($A14="","",SUMIF(Equity!$B:$B,$A14,Equity!$D:$D))</f>
        <v/>
      </c>
      <c r="D14" s="38" t="str">
        <f aca="false">IF($A14="","",SUMIFS(Equity!$D:$D,Equity!$B:$B,$A14,Equity!$A:$A,"Amit"))</f>
        <v/>
      </c>
      <c r="E14" s="38" t="str">
        <f aca="false">IF($A14="","",SUMIFS(Equity!$D:$D,Equity!$B:$B,$A14,Equity!$A:$A,"Priya"))</f>
        <v/>
      </c>
      <c r="F14" s="38" t="str">
        <f aca="false">IF($A14="","",SUMIFS(Equity!$D:$D,Equity!$B:$B,$A14,Equity!$A:$A,"Rahul"))</f>
        <v/>
      </c>
      <c r="G14" s="13" t="str">
        <f aca="false">IF($A14="","",SUMIF(Equity!$B:$B,$A14,Equity!$I:$I))</f>
        <v/>
      </c>
    </row>
    <row r="15" customFormat="false" ht="15" hidden="false" customHeight="true" outlineLevel="0" collapsed="false">
      <c r="C15" s="38" t="str">
        <f aca="false">IF($A15="","",SUMIF(Equity!$B:$B,$A15,Equity!$D:$D))</f>
        <v/>
      </c>
      <c r="D15" s="38" t="str">
        <f aca="false">IF($A15="","",SUMIFS(Equity!$D:$D,Equity!$B:$B,$A15,Equity!$A:$A,"Amit"))</f>
        <v/>
      </c>
      <c r="E15" s="38" t="str">
        <f aca="false">IF($A15="","",SUMIFS(Equity!$D:$D,Equity!$B:$B,$A15,Equity!$A:$A,"Priya"))</f>
        <v/>
      </c>
      <c r="F15" s="38" t="str">
        <f aca="false">IF($A15="","",SUMIFS(Equity!$D:$D,Equity!$B:$B,$A15,Equity!$A:$A,"Rahul"))</f>
        <v/>
      </c>
      <c r="G15" s="13" t="str">
        <f aca="false">IF($A15="","",SUMIF(Equity!$B:$B,$A15,Equity!$I:$I))</f>
        <v/>
      </c>
    </row>
    <row r="16" customFormat="false" ht="15" hidden="false" customHeight="true" outlineLevel="0" collapsed="false">
      <c r="C16" s="38" t="str">
        <f aca="false">IF($A16="","",SUMIF(Equity!$B:$B,$A16,Equity!$D:$D))</f>
        <v/>
      </c>
      <c r="D16" s="38" t="str">
        <f aca="false">IF($A16="","",SUMIFS(Equity!$D:$D,Equity!$B:$B,$A16,Equity!$A:$A,"Amit"))</f>
        <v/>
      </c>
      <c r="E16" s="38" t="str">
        <f aca="false">IF($A16="","",SUMIFS(Equity!$D:$D,Equity!$B:$B,$A16,Equity!$A:$A,"Priya"))</f>
        <v/>
      </c>
      <c r="F16" s="38" t="str">
        <f aca="false">IF($A16="","",SUMIFS(Equity!$D:$D,Equity!$B:$B,$A16,Equity!$A:$A,"Rahul"))</f>
        <v/>
      </c>
      <c r="G16" s="13" t="str">
        <f aca="false">IF($A16="","",SUMIF(Equity!$B:$B,$A16,Equity!$I:$I))</f>
        <v/>
      </c>
    </row>
    <row r="17" customFormat="false" ht="15" hidden="false" customHeight="true" outlineLevel="0" collapsed="false">
      <c r="C17" s="38" t="str">
        <f aca="false">IF($A17="","",SUMIF(Equity!$B:$B,$A17,Equity!$D:$D))</f>
        <v/>
      </c>
      <c r="D17" s="38" t="str">
        <f aca="false">IF($A17="","",SUMIFS(Equity!$D:$D,Equity!$B:$B,$A17,Equity!$A:$A,"Amit"))</f>
        <v/>
      </c>
      <c r="E17" s="38" t="str">
        <f aca="false">IF($A17="","",SUMIFS(Equity!$D:$D,Equity!$B:$B,$A17,Equity!$A:$A,"Priya"))</f>
        <v/>
      </c>
      <c r="F17" s="38" t="str">
        <f aca="false">IF($A17="","",SUMIFS(Equity!$D:$D,Equity!$B:$B,$A17,Equity!$A:$A,"Rahul"))</f>
        <v/>
      </c>
      <c r="G17" s="13" t="str">
        <f aca="false">IF($A17="","",SUMIF(Equity!$B:$B,$A17,Equity!$I:$I))</f>
        <v/>
      </c>
    </row>
    <row r="18" customFormat="false" ht="15" hidden="false" customHeight="true" outlineLevel="0" collapsed="false">
      <c r="C18" s="38" t="str">
        <f aca="false">IF($A18="","",SUMIF(Equity!$B:$B,$A18,Equity!$D:$D))</f>
        <v/>
      </c>
      <c r="D18" s="38" t="str">
        <f aca="false">IF($A18="","",SUMIFS(Equity!$D:$D,Equity!$B:$B,$A18,Equity!$A:$A,"Amit"))</f>
        <v/>
      </c>
      <c r="E18" s="38" t="str">
        <f aca="false">IF($A18="","",SUMIFS(Equity!$D:$D,Equity!$B:$B,$A18,Equity!$A:$A,"Priya"))</f>
        <v/>
      </c>
      <c r="F18" s="38" t="str">
        <f aca="false">IF($A18="","",SUMIFS(Equity!$D:$D,Equity!$B:$B,$A18,Equity!$A:$A,"Rahul"))</f>
        <v/>
      </c>
      <c r="G18" s="13" t="str">
        <f aca="false">IF($A18="","",SUMIF(Equity!$B:$B,$A18,Equity!$I:$I))</f>
        <v/>
      </c>
    </row>
    <row r="19" customFormat="false" ht="15" hidden="false" customHeight="true" outlineLevel="0" collapsed="false">
      <c r="C19" s="38" t="str">
        <f aca="false">IF($A19="","",SUMIF(Equity!$B:$B,$A19,Equity!$D:$D))</f>
        <v/>
      </c>
      <c r="D19" s="38" t="str">
        <f aca="false">IF($A19="","",SUMIFS(Equity!$D:$D,Equity!$B:$B,$A19,Equity!$A:$A,"Amit"))</f>
        <v/>
      </c>
      <c r="E19" s="38" t="str">
        <f aca="false">IF($A19="","",SUMIFS(Equity!$D:$D,Equity!$B:$B,$A19,Equity!$A:$A,"Priya"))</f>
        <v/>
      </c>
      <c r="F19" s="38" t="str">
        <f aca="false">IF($A19="","",SUMIFS(Equity!$D:$D,Equity!$B:$B,$A19,Equity!$A:$A,"Rahul"))</f>
        <v/>
      </c>
      <c r="G19" s="13" t="str">
        <f aca="false">IF($A19="","",SUMIF(Equity!$B:$B,$A19,Equity!$I:$I))</f>
        <v/>
      </c>
    </row>
    <row r="20" customFormat="false" ht="15" hidden="false" customHeight="true" outlineLevel="0" collapsed="false">
      <c r="C20" s="38" t="str">
        <f aca="false">IF($A20="","",SUMIF(Equity!$B:$B,$A20,Equity!$D:$D))</f>
        <v/>
      </c>
      <c r="D20" s="38" t="str">
        <f aca="false">IF($A20="","",SUMIFS(Equity!$D:$D,Equity!$B:$B,$A20,Equity!$A:$A,"Amit"))</f>
        <v/>
      </c>
      <c r="E20" s="38" t="str">
        <f aca="false">IF($A20="","",SUMIFS(Equity!$D:$D,Equity!$B:$B,$A20,Equity!$A:$A,"Priya"))</f>
        <v/>
      </c>
      <c r="F20" s="38" t="str">
        <f aca="false">IF($A20="","",SUMIFS(Equity!$D:$D,Equity!$B:$B,$A20,Equity!$A:$A,"Rahul"))</f>
        <v/>
      </c>
      <c r="G20" s="13" t="str">
        <f aca="false">IF($A20="","",SUMIF(Equity!$B:$B,$A20,Equity!$I:$I))</f>
        <v/>
      </c>
    </row>
    <row r="21" customFormat="false" ht="15" hidden="false" customHeight="true" outlineLevel="0" collapsed="false">
      <c r="C21" s="38" t="str">
        <f aca="false">IF($A21="","",SUMIF(Equity!$B:$B,$A21,Equity!$D:$D))</f>
        <v/>
      </c>
      <c r="D21" s="38" t="str">
        <f aca="false">IF($A21="","",SUMIFS(Equity!$D:$D,Equity!$B:$B,$A21,Equity!$A:$A,"Amit"))</f>
        <v/>
      </c>
      <c r="E21" s="38" t="str">
        <f aca="false">IF($A21="","",SUMIFS(Equity!$D:$D,Equity!$B:$B,$A21,Equity!$A:$A,"Priya"))</f>
        <v/>
      </c>
      <c r="F21" s="38" t="str">
        <f aca="false">IF($A21="","",SUMIFS(Equity!$D:$D,Equity!$B:$B,$A21,Equity!$A:$A,"Rahul"))</f>
        <v/>
      </c>
      <c r="G21" s="13" t="str">
        <f aca="false">IF($A21="","",SUMIF(Equity!$B:$B,$A21,Equity!$I:$I))</f>
        <v/>
      </c>
    </row>
    <row r="22" customFormat="false" ht="15" hidden="false" customHeight="true" outlineLevel="0" collapsed="false">
      <c r="C22" s="38" t="str">
        <f aca="false">IF($A22="","",SUMIF(Equity!$B:$B,$A22,Equity!$D:$D))</f>
        <v/>
      </c>
      <c r="D22" s="38" t="str">
        <f aca="false">IF($A22="","",SUMIFS(Equity!$D:$D,Equity!$B:$B,$A22,Equity!$A:$A,"Amit"))</f>
        <v/>
      </c>
      <c r="E22" s="38" t="str">
        <f aca="false">IF($A22="","",SUMIFS(Equity!$D:$D,Equity!$B:$B,$A22,Equity!$A:$A,"Priya"))</f>
        <v/>
      </c>
      <c r="F22" s="38" t="str">
        <f aca="false">IF($A22="","",SUMIFS(Equity!$D:$D,Equity!$B:$B,$A22,Equity!$A:$A,"Rahul"))</f>
        <v/>
      </c>
      <c r="G22" s="13" t="str">
        <f aca="false">IF($A22="","",SUMIF(Equity!$B:$B,$A22,Equity!$I:$I))</f>
        <v/>
      </c>
    </row>
    <row r="23" customFormat="false" ht="15" hidden="false" customHeight="true" outlineLevel="0" collapsed="false">
      <c r="C23" s="38" t="str">
        <f aca="false">IF($A23="","",SUMIF(Equity!$B:$B,$A23,Equity!$D:$D))</f>
        <v/>
      </c>
      <c r="D23" s="38" t="str">
        <f aca="false">IF($A23="","",SUMIFS(Equity!$D:$D,Equity!$B:$B,$A23,Equity!$A:$A,"Amit"))</f>
        <v/>
      </c>
      <c r="E23" s="38" t="str">
        <f aca="false">IF($A23="","",SUMIFS(Equity!$D:$D,Equity!$B:$B,$A23,Equity!$A:$A,"Priya"))</f>
        <v/>
      </c>
      <c r="F23" s="38" t="str">
        <f aca="false">IF($A23="","",SUMIFS(Equity!$D:$D,Equity!$B:$B,$A23,Equity!$A:$A,"Rahul"))</f>
        <v/>
      </c>
      <c r="G23" s="13" t="str">
        <f aca="false">IF($A23="","",SUMIF(Equity!$B:$B,$A23,Equity!$I:$I))</f>
        <v/>
      </c>
    </row>
    <row r="24" customFormat="false" ht="15" hidden="false" customHeight="true" outlineLevel="0" collapsed="false">
      <c r="C24" s="38" t="str">
        <f aca="false">IF($A24="","",SUMIF(Equity!$B:$B,$A24,Equity!$D:$D))</f>
        <v/>
      </c>
      <c r="D24" s="38" t="str">
        <f aca="false">IF($A24="","",SUMIFS(Equity!$D:$D,Equity!$B:$B,$A24,Equity!$A:$A,"Amit"))</f>
        <v/>
      </c>
      <c r="E24" s="38" t="str">
        <f aca="false">IF($A24="","",SUMIFS(Equity!$D:$D,Equity!$B:$B,$A24,Equity!$A:$A,"Priya"))</f>
        <v/>
      </c>
      <c r="F24" s="38" t="str">
        <f aca="false">IF($A24="","",SUMIFS(Equity!$D:$D,Equity!$B:$B,$A24,Equity!$A:$A,"Rahul"))</f>
        <v/>
      </c>
      <c r="G24" s="13" t="str">
        <f aca="false">IF($A24="","",SUMIF(Equity!$B:$B,$A24,Equity!$I:$I))</f>
        <v/>
      </c>
    </row>
    <row r="25" customFormat="false" ht="15" hidden="false" customHeight="true" outlineLevel="0" collapsed="false">
      <c r="C25" s="38" t="str">
        <f aca="false">IF($A25="","",SUMIF(Equity!$B:$B,$A25,Equity!$D:$D))</f>
        <v/>
      </c>
      <c r="D25" s="38" t="str">
        <f aca="false">IF($A25="","",SUMIFS(Equity!$D:$D,Equity!$B:$B,$A25,Equity!$A:$A,"Amit"))</f>
        <v/>
      </c>
      <c r="E25" s="38" t="str">
        <f aca="false">IF($A25="","",SUMIFS(Equity!$D:$D,Equity!$B:$B,$A25,Equity!$A:$A,"Priya"))</f>
        <v/>
      </c>
      <c r="F25" s="38" t="str">
        <f aca="false">IF($A25="","",SUMIFS(Equity!$D:$D,Equity!$B:$B,$A25,Equity!$A:$A,"Rahul"))</f>
        <v/>
      </c>
      <c r="G25" s="13" t="str">
        <f aca="false">IF($A25="","",SUMIF(Equity!$B:$B,$A25,Equity!$I:$I))</f>
        <v/>
      </c>
    </row>
    <row r="26" customFormat="false" ht="15" hidden="false" customHeight="true" outlineLevel="0" collapsed="false">
      <c r="C26" s="38" t="str">
        <f aca="false">IF($A26="","",SUMIF(Equity!$B:$B,$A26,Equity!$D:$D))</f>
        <v/>
      </c>
      <c r="D26" s="38" t="str">
        <f aca="false">IF($A26="","",SUMIFS(Equity!$D:$D,Equity!$B:$B,$A26,Equity!$A:$A,"Amit"))</f>
        <v/>
      </c>
      <c r="E26" s="38" t="str">
        <f aca="false">IF($A26="","",SUMIFS(Equity!$D:$D,Equity!$B:$B,$A26,Equity!$A:$A,"Priya"))</f>
        <v/>
      </c>
      <c r="F26" s="38" t="str">
        <f aca="false">IF($A26="","",SUMIFS(Equity!$D:$D,Equity!$B:$B,$A26,Equity!$A:$A,"Rahul"))</f>
        <v/>
      </c>
      <c r="G26" s="13" t="str">
        <f aca="false">IF($A26="","",SUMIF(Equity!$B:$B,$A26,Equity!$I:$I))</f>
        <v/>
      </c>
    </row>
    <row r="27" customFormat="false" ht="15" hidden="false" customHeight="true" outlineLevel="0" collapsed="false">
      <c r="C27" s="38" t="str">
        <f aca="false">IF($A27="","",SUMIF(Equity!$B:$B,$A27,Equity!$D:$D))</f>
        <v/>
      </c>
      <c r="D27" s="38" t="str">
        <f aca="false">IF($A27="","",SUMIFS(Equity!$D:$D,Equity!$B:$B,$A27,Equity!$A:$A,"Amit"))</f>
        <v/>
      </c>
      <c r="E27" s="38" t="str">
        <f aca="false">IF($A27="","",SUMIFS(Equity!$D:$D,Equity!$B:$B,$A27,Equity!$A:$A,"Priya"))</f>
        <v/>
      </c>
      <c r="F27" s="38" t="str">
        <f aca="false">IF($A27="","",SUMIFS(Equity!$D:$D,Equity!$B:$B,$A27,Equity!$A:$A,"Rahul"))</f>
        <v/>
      </c>
      <c r="G27" s="13" t="str">
        <f aca="false">IF($A27="","",SUMIF(Equity!$B:$B,$A27,Equity!$I:$I))</f>
        <v/>
      </c>
    </row>
    <row r="28" customFormat="false" ht="15" hidden="false" customHeight="true" outlineLevel="0" collapsed="false">
      <c r="C28" s="38" t="str">
        <f aca="false">IF($A28="","",SUMIF(Equity!$B:$B,$A28,Equity!$D:$D))</f>
        <v/>
      </c>
      <c r="D28" s="38" t="str">
        <f aca="false">IF($A28="","",SUMIFS(Equity!$D:$D,Equity!$B:$B,$A28,Equity!$A:$A,"Amit"))</f>
        <v/>
      </c>
      <c r="E28" s="38" t="str">
        <f aca="false">IF($A28="","",SUMIFS(Equity!$D:$D,Equity!$B:$B,$A28,Equity!$A:$A,"Priya"))</f>
        <v/>
      </c>
      <c r="F28" s="38" t="str">
        <f aca="false">IF($A28="","",SUMIFS(Equity!$D:$D,Equity!$B:$B,$A28,Equity!$A:$A,"Rahul"))</f>
        <v/>
      </c>
      <c r="G28" s="13" t="str">
        <f aca="false">IF($A28="","",SUMIF(Equity!$B:$B,$A28,Equity!$I:$I))</f>
        <v/>
      </c>
    </row>
    <row r="29" customFormat="false" ht="15" hidden="false" customHeight="true" outlineLevel="0" collapsed="false">
      <c r="B29" s="3" t="s">
        <v>13</v>
      </c>
      <c r="G29" s="16" t="n">
        <f aca="false">SUM(G4:G28)</f>
        <v>766750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8" hidden="false" customHeight="true" outlineLevel="0" collapsed="false">
      <c r="A1" s="2" t="s">
        <v>133</v>
      </c>
    </row>
    <row r="3" customFormat="false" ht="15" hidden="false" customHeight="true" outlineLevel="0" collapsed="false">
      <c r="A3" s="12"/>
    </row>
    <row r="4" customFormat="false" ht="15" hidden="false" customHeight="true" outlineLevel="0" collapsed="false">
      <c r="A4" s="12" t="s">
        <v>134</v>
      </c>
    </row>
    <row r="5" customFormat="false" ht="15" hidden="false" customHeight="true" outlineLevel="0" collapsed="false">
      <c r="A5" s="12" t="s">
        <v>135</v>
      </c>
    </row>
    <row r="6" customFormat="false" ht="15" hidden="false" customHeight="true" outlineLevel="0" collapsed="false">
      <c r="A6" s="12"/>
    </row>
    <row r="7" customFormat="false" ht="15" hidden="false" customHeight="true" outlineLevel="0" collapsed="false">
      <c r="A7" s="3" t="s">
        <v>136</v>
      </c>
    </row>
    <row r="8" customFormat="false" ht="15" hidden="false" customHeight="true" outlineLevel="0" collapsed="false">
      <c r="A8" s="12" t="s">
        <v>137</v>
      </c>
    </row>
    <row r="9" customFormat="false" ht="15" hidden="false" customHeight="true" outlineLevel="0" collapsed="false">
      <c r="A9" s="12" t="s">
        <v>138</v>
      </c>
    </row>
    <row r="10" customFormat="false" ht="15" hidden="false" customHeight="true" outlineLevel="0" collapsed="false">
      <c r="A10" s="12" t="s">
        <v>139</v>
      </c>
    </row>
    <row r="11" customFormat="false" ht="15" hidden="false" customHeight="true" outlineLevel="0" collapsed="false">
      <c r="A11" s="12"/>
    </row>
    <row r="12" customFormat="false" ht="15" hidden="false" customHeight="true" outlineLevel="0" collapsed="false">
      <c r="A12" s="3" t="s">
        <v>140</v>
      </c>
    </row>
    <row r="13" customFormat="false" ht="15" hidden="false" customHeight="true" outlineLevel="0" collapsed="false">
      <c r="A13" s="12" t="inlineStr">
        <is>
          <t xml:space="preserve">  - Equity: add a row on Equity - Owner, then PICK the Scrip from the dropdown</t>
        </is>
      </c>
    </row>
    <row r="14" customFormat="false" ht="15" hidden="false" customHeight="true" outlineLevel="0" collapsed="false">
      <c r="A14" s="12" t="inlineStr">
        <is>
          <t xml:space="preserve">    (ISIN fills in from Stock_Master), Qty, Avg cost. 'Cost date' drives the per-stock</t>
        </is>
      </c>
    </row>
    <row r="15" customFormat="false" ht="15" hidden="false" customHeight="true" outlineLevel="0" collapsed="false">
      <c r="A15" s="12" t="inlineStr">
        <is>
          <t xml:space="preserve">    XIRR - pre-set to 31-Jan-2018 (FMV grandfathering) or the IPO date for post-2018</t>
        </is>
      </c>
    </row>
    <row r="16" customFormat="false" ht="15" hidden="false" customHeight="true" outlineLevel="0" collapsed="false">
      <c r="A16" s="12" t="inlineStr">
        <is>
          <t xml:space="preserve">    listings; replace with your actual purchase date for precision.</t>
        </is>
      </c>
    </row>
    <row r="17" customFormat="false" ht="15" hidden="false" customHeight="true" outlineLevel="0" collapsed="false">
      <c r="A17" s="12" t="inlineStr">
        <is>
          <t xml:space="preserve">  - Mutual fund / SIP: on MutualFunds add ONE row per fund - enter Owner, then pick</t>
        </is>
      </c>
    </row>
    <row r="18" customFormat="false" ht="15" hidden="false" customHeight="true" outlineLevel="0" collapsed="false">
      <c r="A18" s="12" t="inlineStr">
        <is>
          <t xml:space="preserve">    the Scheme Name from the DROPDOWN (Fund House and ISIN fill in from MF_Master).</t>
        </is>
      </c>
    </row>
    <row r="19" customFormat="false" ht="15" hidden="false" customHeight="true" outlineLevel="0" collapsed="false">
      <c r="A19" s="12" t="inlineStr">
        <is>
          <t xml:space="preserve">    Log every SIP installment / lump sum on MF_SIP the same way (+ Date, Amount, NAV).</t>
        </is>
      </c>
    </row>
    <row r="20" customFormat="false" ht="15" hidden="false" customHeight="true" outlineLevel="0" collapsed="false">
      <c r="A20" s="12" t="s">
        <v>148</v>
      </c>
    </row>
    <row r="21" customFormat="false" ht="15" hidden="false" customHeight="true" outlineLevel="0" collapsed="false">
      <c r="A21" s="12" t="s">
        <v>149</v>
      </c>
    </row>
    <row r="22" customFormat="false" ht="15" hidden="false" customHeight="true" outlineLevel="0" collapsed="false">
      <c r="A22" s="12" t="s">
        <v>150</v>
      </c>
    </row>
    <row r="23" customFormat="false" ht="15" hidden="false" customHeight="true" outlineLevel="0" collapsed="false">
      <c r="A23" s="12" t="s">
        <v>151</v>
      </c>
    </row>
    <row r="24" customFormat="false" ht="15" hidden="false" customHeight="true" outlineLevel="0" collapsed="false">
      <c r="A24" s="12" t="s">
        <v>152</v>
      </c>
    </row>
    <row r="25" customFormat="false" ht="15" hidden="false" customHeight="true" outlineLevel="0" collapsed="false">
      <c r="A25" s="12" t="s">
        <v>153</v>
      </c>
    </row>
    <row r="26" customFormat="false" ht="15" hidden="false" customHeight="true" outlineLevel="0" collapsed="false">
      <c r="A26" s="12" t="s">
        <v>154</v>
      </c>
    </row>
    <row r="27" customFormat="false" ht="15" hidden="false" customHeight="true" outlineLevel="0" collapsed="false">
      <c r="A27" s="12"/>
    </row>
    <row r="28" customFormat="false" ht="15" hidden="false" customHeight="true" outlineLevel="0" collapsed="false">
      <c r="A28" s="3" t="s">
        <v>155</v>
      </c>
    </row>
    <row r="29" customFormat="false" ht="15" hidden="false" customHeight="true" outlineLevel="0" collapsed="false">
      <c r="A29" s="12" t="s">
        <v>156</v>
      </c>
    </row>
    <row r="30" customFormat="false" ht="15" hidden="false" customHeight="true" outlineLevel="0" collapsed="false">
      <c r="A30" s="12" t="s">
        <v>157</v>
      </c>
    </row>
    <row r="31" customFormat="false" ht="15" hidden="false" customHeight="true" outlineLevel="0" collapsed="false">
      <c r="A31" s="12" t="s">
        <v>158</v>
      </c>
    </row>
    <row r="32" customFormat="false" ht="15" hidden="false" customHeight="true" outlineLevel="0" collapsed="false">
      <c r="A32" s="12" t="s">
        <v>159</v>
      </c>
    </row>
    <row r="33" customFormat="false" ht="15" hidden="false" customHeight="true" outlineLevel="0" collapsed="false">
      <c r="A33" s="12"/>
    </row>
    <row r="34" customFormat="false" ht="15" hidden="false" customHeight="true" outlineLevel="0" collapsed="false">
      <c r="A34" s="3" t="s">
        <v>160</v>
      </c>
    </row>
    <row r="35" customFormat="false" ht="15" hidden="false" customHeight="true" outlineLevel="0" collapsed="false">
      <c r="A35" s="12" t="s">
        <v>161</v>
      </c>
    </row>
    <row r="36" customFormat="false" ht="15" hidden="false" customHeight="true" outlineLevel="0" collapsed="false">
      <c r="A36" s="12" t="s">
        <v>162</v>
      </c>
    </row>
    <row r="37" customFormat="false" ht="15" hidden="false" customHeight="true" outlineLevel="0" collapsed="false">
      <c r="A37" s="12" t="s">
        <v>163</v>
      </c>
    </row>
    <row r="38" customFormat="false" ht="15" hidden="false" customHeight="true" outlineLevel="0" collapsed="false">
      <c r="A38" s="12" t="s">
        <v>164</v>
      </c>
    </row>
    <row r="39" customFormat="false" ht="15" hidden="false" customHeight="true" outlineLevel="0" collapsed="false">
      <c r="A39" s="12" t="inlineStr">
        <is>
          <t xml:space="preserve">PORTFOLIO XIRR, INFLATION &amp; PROJECTION</t>
        </is>
      </c>
    </row>
    <row r="40" customFormat="false" ht="15" hidden="false" customHeight="true" outlineLevel="0" collapsed="false">
      <c r="A40" s="12" t="inlineStr">
        <is>
          <t xml:space="preserve">  - Dashboard 'Portfolio XIRR' blends the cashflows of Equity + Mutual Funds + FDs + PPF + Bonds.</t>
        </is>
      </c>
    </row>
    <row r="41" customFormat="false" ht="15" hidden="false" customHeight="true" outlineLevel="0" collapsed="false">
      <c r="A41" s="12" t="inlineStr">
        <is>
          <t xml:space="preserve">    Either updater (.bat) recomputes it, together with the per-class XIRR column on the Dashboard.</t>
        </is>
      </c>
    </row>
    <row r="42" customFormat="false" ht="15" hidden="false" customHeight="true" outlineLevel="0" collapsed="false">
      <c r="A42" s="12" t="inlineStr">
        <is>
          <t xml:space="preserve">  - PPF keeps no contribution history here, so it is estimated at its 'Rate %' from the as-on date.</t>
        </is>
      </c>
    </row>
    <row r="43" customFormat="false" ht="15" hidden="false" customHeight="true" outlineLevel="0" collapsed="false">
      <c r="A43" s="12" t="inlineStr">
        <is>
          <t xml:space="preserve">  - Bonds: fill the 'Buy Date' input column — rows without it are skipped. Coupons are not</t>
        </is>
      </c>
    </row>
    <row r="44" customFormat="false" ht="15" hidden="false" customHeight="true" outlineLevel="0" collapsed="false">
      <c r="A44" s="12" t="inlineStr">
        <is>
          <t xml:space="preserve">    tracked, so bond XIRR reflects price change only.</t>
        </is>
      </c>
    </row>
    <row r="45" customFormat="false" ht="15" hidden="false" customHeight="true" outlineLevel="0" collapsed="false">
      <c r="A45" s="12" t="inlineStr">
        <is>
          <t xml:space="preserve">  - 'Inflation % p.a.' on the Dashboard is yours to edit (default 7). 'Real return' and the whole</t>
        </is>
      </c>
    </row>
    <row r="46" customFormat="false" ht="15" hidden="false" customHeight="true" outlineLevel="0" collapsed="false">
      <c r="A46" s="12" t="inlineStr">
        <is>
          <t xml:space="preserve">    Projection sheet (20-year corpus trajectory chart) react instantly — no script run needed.</t>
        </is>
      </c>
    </row>
    <row r="47" customFormat="false" ht="15" hidden="false" customHeight="true" outlineLevel="0" collapsed="false">
      <c r="A47" s="12" t="inlineStr">
        <is>
          <t xml:space="preserve">  - The Projection assumes a constant return and no future contributions or withdrawals.</t>
        </is>
      </c>
    </row>
    <row r="48" customFormat="false" ht="15" hidden="false" customHeight="true" outlineLevel="0" collapsed="false">
      <c r="A48" s="12" t="inlineStr">
        <is>
          <t xml:space="preserve">MASTERS (MF_Master &amp; Stock_Master sheets)</t>
        </is>
      </c>
    </row>
    <row r="49" customFormat="false" ht="15" hidden="false" customHeight="true" outlineLevel="0" collapsed="false">
      <c r="A49" s="12" t="inlineStr">
        <is>
          <t xml:space="preserve">  - MF_Master holds every AMFI scheme with an ISIN (Fund Name / Scheme Name / ISIN) and</t>
        </is>
      </c>
    </row>
    <row r="50" customFormat="false" ht="15" hidden="false" customHeight="true" outlineLevel="0" collapsed="false">
      <c r="A50" s="12" t="inlineStr">
        <is>
          <t xml:space="preserve">    feeds the Scheme dropdowns on MutualFunds and MF_SIP. Do not edit it by hand.</t>
        </is>
      </c>
    </row>
    <row r="51" customFormat="false" ht="15" hidden="false" customHeight="true" outlineLevel="0" collapsed="false">
      <c r="A51" s="12" t="inlineStr">
        <is>
          <t xml:space="preserve">  - Double-click UpdateFundMaster.bat to refresh it (new/renamed schemes); the dropdowns</t>
        </is>
      </c>
    </row>
    <row r="52" customFormat="false" ht="15" hidden="false" customHeight="true" outlineLevel="0" collapsed="false">
      <c r="A52" s="12" t="inlineStr">
        <is>
          <t xml:space="preserve">    resize automatically. The refresh date shows in MF_Master!E2.</t>
        </is>
      </c>
    </row>
    <row r="53" customFormat="false" ht="15" hidden="false" customHeight="true" outlineLevel="0" collapsed="false">
      <c r="A53" s="12" t="inlineStr">
        <is>
          <t xml:space="preserve">  - A scheme missing from the master (delisted/merged fund)? Excel only warns - accept the</t>
        </is>
      </c>
    </row>
    <row r="54" customFormat="false" ht="15" hidden="false" customHeight="true" outlineLevel="0" collapsed="false">
      <c r="A54" s="12" t="inlineStr">
        <is>
          <t xml:space="preserve">    warning, then type Fund House and ISIN yourself on that row.</t>
        </is>
      </c>
    </row>
    <row r="55" customFormat="false" ht="15" hidden="false" customHeight="true" outlineLevel="0" collapsed="false">
      <c r="A55" s="12" t="inlineStr">
        <is>
          <t xml:space="preserve">  - Stock_Master feeds the Scrip dropdown on Equity the same way (pick the name, the</t>
        </is>
      </c>
    </row>
    <row r="56" customFormat="false" ht="15" hidden="false" customHeight="true" outlineLevel="0" collapsed="false">
      <c r="A56" s="12" t="inlineStr">
        <is>
          <t xml:space="preserve">    ISIN fills in). UpdatePrices.bat refreshes it automatically from the day's bhavcopy:</t>
        </is>
      </c>
    </row>
    <row r="57" customFormat="false" ht="15" hidden="false" customHeight="true" outlineLevel="0" collapsed="false">
      <c r="A57" s="12" t="inlineStr">
        <is>
          <t xml:space="preserve">    new listings are ADDED, existing names never change (your picked rows keep working).</t>
        </is>
      </c>
    </row>
    <row r="58" customFormat="false" ht="15" hidden="false" customHeight="true" outlineLevel="0" collapsed="false">
      <c r="A58" s="12" t="inlineStr">
        <is>
          <t xml:space="preserve">    Delisted scrips: accept the warning and type the ISIN yourself.</t>
        </is>
      </c>
    </row>
    <row r="59" customFormat="false" ht="15" hidden="false" customHeight="true" outlineLevel="0" collapsed="false">
      <c r="A59" s="12" t="inlineStr">
        <is>
          <t xml:space="preserve">  - TYPE-AHEAD: in a Scheme/Scrip cell, type the first letters and THEN click the</t>
        </is>
      </c>
    </row>
    <row r="60" customFormat="false" ht="15" hidden="false" customHeight="true" outlineLevel="0" collapsed="false">
      <c r="A60" s="12" t="inlineStr">
        <is>
          <t xml:space="preserve">    dropdown arrow - the list shows only names starting with what you typed. Excel 365</t>
        </is>
      </c>
    </row>
    <row r="61" customFormat="false" ht="15" hidden="false" customHeight="true" outlineLevel="0" collapsed="false">
      <c r="A61" s="12" t="inlineStr">
        <is>
          <t xml:space="preserve">    also filters as you type inside the dropdown itself. No pop-ups: if the ISIN stays</t>
        </is>
      </c>
    </row>
    <row r="62" customFormat="false" ht="15" hidden="false" customHeight="true" outlineLevel="0" collapsed="false">
      <c r="A62" s="12" t="inlineStr">
        <is>
          <t xml:space="preserve">    blank after entering a name, it did not match the master - re-pick from the list.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24"/>
  </cols>
  <sheetData>
    <row r="1" customFormat="false" ht="18" hidden="false" customHeight="true" outlineLevel="0" collapsed="false">
      <c r="A1" s="2" t="inlineStr">
        <is>
          <t xml:space="preserve">CORPUS PROJECTION — NEXT 20 YEARS</t>
        </is>
      </c>
    </row>
    <row r="2" customFormat="false" ht="15" hidden="false" customHeight="true" outlineLevel="0" collapsed="false">
      <c r="A2" s="22" t="inlineStr">
        <is>
          <t xml:space="preserve">Today's corpus compounding at the portfolio XIRR vs plain inflation. Assumes a constant return and no future contributions. Edit inflation on the Dashboard (yellow cell); the updaters refresh the XIRR.</t>
        </is>
      </c>
    </row>
    <row r="3" customFormat="false" ht="15" hidden="false" customHeight="true" outlineLevel="0" collapsed="false">
      <c r="A3" s="6" t="inlineStr">
        <is>
          <t xml:space="preserve">Year</t>
        </is>
      </c>
      <c r="B3" s="6" t="inlineStr">
        <is>
          <t xml:space="preserve">Corpus @ portfolio XIRR</t>
        </is>
      </c>
      <c r="C3" s="6" t="inlineStr">
        <is>
          <t xml:space="preserve">Corpus growing at inflation</t>
        </is>
      </c>
      <c r="D3" s="6" t="inlineStr">
        <is>
          <t xml:space="preserve">Real corpus (today's money)</t>
        </is>
      </c>
    </row>
    <row r="4" customFormat="false" ht="15" hidden="false" customHeight="true" outlineLevel="0" collapsed="false">
      <c r="A4" s="15" t="n">
        <f aca="false">YEAR(TODAY())+0</f>
        <v>2026</v>
      </c>
      <c r="B4" s="13" t="n">
        <f aca="false">Dashboard!$B$3*(1+Dashboard!$B$4)^0</f>
        <v>3259060.367785</v>
      </c>
      <c r="C4" s="13" t="n">
        <f aca="false">Dashboard!$B$3*(1+Dashboard!$E$3/100)^0</f>
        <v>3259060.367785</v>
      </c>
      <c r="D4" s="13" t="n">
        <f aca="false">B4/(1+Dashboard!$E$3/100)^0</f>
        <v>3259060.367785</v>
      </c>
    </row>
    <row r="5" customFormat="false" ht="15" hidden="false" customHeight="true" outlineLevel="0" collapsed="false">
      <c r="A5" s="15" t="n">
        <f aca="false">YEAR(TODAY())+1</f>
        <v>2027</v>
      </c>
      <c r="B5" s="13" t="n">
        <f aca="false">Dashboard!$B$3*(1+Dashboard!$B$4)^1</f>
        <v>3479441.189298</v>
      </c>
      <c r="C5" s="13" t="n">
        <f aca="false">Dashboard!$B$3*(1+Dashboard!$E$3/100)^1</f>
        <v>3487194.593530</v>
      </c>
      <c r="D5" s="13" t="n">
        <f aca="false">B5/(1+Dashboard!$E$3/100)^1</f>
        <v>3251814.195606</v>
      </c>
    </row>
    <row r="6" customFormat="false" ht="15" hidden="false" customHeight="true" outlineLevel="0" collapsed="false">
      <c r="A6" s="15" t="n">
        <f aca="false">YEAR(TODAY())+2</f>
        <v>2028</v>
      </c>
      <c r="B6" s="13" t="n">
        <f aca="false">Dashboard!$B$3*(1+Dashboard!$B$4)^2</f>
        <v>3714724.375608</v>
      </c>
      <c r="C6" s="13" t="n">
        <f aca="false">Dashboard!$B$3*(1+Dashboard!$E$3/100)^2</f>
        <v>3731298.215077</v>
      </c>
      <c r="D6" s="13" t="n">
        <f aca="false">B6/(1+Dashboard!$E$3/100)^2</f>
        <v>3244584.134516</v>
      </c>
    </row>
    <row r="7" customFormat="false" ht="15" hidden="false" customHeight="true" outlineLevel="0" collapsed="false">
      <c r="A7" s="15" t="n">
        <f aca="false">YEAR(TODAY())+3</f>
        <v>2029</v>
      </c>
      <c r="B7" s="13" t="n">
        <f aca="false">Dashboard!$B$3*(1+Dashboard!$B$4)^3</f>
        <v>3965917.639067</v>
      </c>
      <c r="C7" s="13" t="n">
        <f aca="false">Dashboard!$B$3*(1+Dashboard!$E$3/100)^3</f>
        <v>3992489.090132</v>
      </c>
      <c r="D7" s="13" t="n">
        <f aca="false">B7/(1+Dashboard!$E$3/100)^3</f>
        <v>3237370.148694</v>
      </c>
    </row>
    <row r="8" customFormat="false" ht="15" hidden="false" customHeight="true" outlineLevel="0" collapsed="false">
      <c r="A8" s="15" t="n">
        <f aca="false">YEAR(TODAY())+4</f>
        <v>2030</v>
      </c>
      <c r="B8" s="13" t="n">
        <f aca="false">Dashboard!$B$3*(1+Dashboard!$B$4)^4</f>
        <v>4234096.834516</v>
      </c>
      <c r="C8" s="13" t="n">
        <f aca="false">Dashboard!$B$3*(1+Dashboard!$E$3/100)^4</f>
        <v>4271963.326441</v>
      </c>
      <c r="D8" s="13" t="n">
        <f aca="false">B8/(1+Dashboard!$E$3/100)^4</f>
        <v>3230172.202398</v>
      </c>
    </row>
    <row r="9" customFormat="false" ht="15" hidden="false" customHeight="true" outlineLevel="0" collapsed="false">
      <c r="A9" s="15" t="n">
        <f aca="false">YEAR(TODAY())+5</f>
        <v>2031</v>
      </c>
      <c r="B9" s="13" t="n">
        <f aca="false">Dashboard!$B$3*(1+Dashboard!$B$4)^5</f>
        <v>4520410.567144</v>
      </c>
      <c r="C9" s="13" t="n">
        <f aca="false">Dashboard!$B$3*(1+Dashboard!$E$3/100)^5</f>
        <v>4571000.759292</v>
      </c>
      <c r="D9" s="13" t="n">
        <f aca="false">B9/(1+Dashboard!$E$3/100)^5</f>
        <v>3222990.259966</v>
      </c>
    </row>
    <row r="10" customFormat="false" ht="15" hidden="false" customHeight="true" outlineLevel="0" collapsed="false">
      <c r="A10" s="15" t="n">
        <f aca="false">YEAR(TODAY())+6</f>
        <v>2032</v>
      </c>
      <c r="B10" s="13" t="n">
        <f aca="false">Dashboard!$B$3*(1+Dashboard!$B$4)^6</f>
        <v>4826085.111934</v>
      </c>
      <c r="C10" s="13" t="n">
        <f aca="false">Dashboard!$B$3*(1+Dashboard!$E$3/100)^6</f>
        <v>4890970.812443</v>
      </c>
      <c r="D10" s="13" t="n">
        <f aca="false">B10/(1+Dashboard!$E$3/100)^6</f>
        <v>3215824.285814</v>
      </c>
    </row>
    <row r="11" customFormat="false" ht="15" hidden="false" customHeight="true" outlineLevel="0" collapsed="false">
      <c r="A11" s="15" t="n">
        <f aca="false">YEAR(TODAY())+7</f>
        <v>2033</v>
      </c>
      <c r="B11" s="13" t="n">
        <f aca="false">Dashboard!$B$3*(1+Dashboard!$B$4)^7</f>
        <v>5152429.665775</v>
      </c>
      <c r="C11" s="13" t="n">
        <f aca="false">Dashboard!$B$3*(1+Dashboard!$E$3/100)^7</f>
        <v>5233338.769313</v>
      </c>
      <c r="D11" s="13" t="n">
        <f aca="false">B11/(1+Dashboard!$E$3/100)^7</f>
        <v>3208674.244440</v>
      </c>
    </row>
    <row r="12" customFormat="false" ht="15" hidden="false" customHeight="true" outlineLevel="0" collapsed="false">
      <c r="A12" s="15" t="n">
        <f aca="false">YEAR(TODAY())+8</f>
        <v>2034</v>
      </c>
      <c r="B12" s="13" t="n">
        <f aca="false">Dashboard!$B$3*(1+Dashboard!$B$4)^8</f>
        <v>5500841.954716</v>
      </c>
      <c r="C12" s="13" t="n">
        <f aca="false">Dashboard!$B$3*(1+Dashboard!$E$3/100)^8</f>
        <v>5599672.483165</v>
      </c>
      <c r="D12" s="13" t="n">
        <f aca="false">B12/(1+Dashboard!$E$3/100)^8</f>
        <v>3201540.100418</v>
      </c>
    </row>
    <row r="13" customFormat="false" ht="15" hidden="false" customHeight="true" outlineLevel="0" collapsed="false">
      <c r="A13" s="15" t="n">
        <f aca="false">YEAR(TODAY())+9</f>
        <v>2035</v>
      </c>
      <c r="B13" s="13" t="n">
        <f aca="false">Dashboard!$B$3*(1+Dashboard!$B$4)^9</f>
        <v>5872814.220397</v>
      </c>
      <c r="C13" s="13" t="n">
        <f aca="false">Dashboard!$B$3*(1+Dashboard!$E$3/100)^9</f>
        <v>5991649.556987</v>
      </c>
      <c r="D13" s="13" t="n">
        <f aca="false">B13/(1+Dashboard!$E$3/100)^9</f>
        <v>3194421.818402</v>
      </c>
    </row>
    <row r="14" customFormat="false" ht="15" hidden="false" customHeight="true" outlineLevel="0" collapsed="false">
      <c r="A14" s="15" t="n">
        <f aca="false">YEAR(TODAY())+10</f>
        <v>2036</v>
      </c>
      <c r="B14" s="13" t="n">
        <f aca="false">Dashboard!$B$3*(1+Dashboard!$B$4)^10</f>
        <v>6269939.611287</v>
      </c>
      <c r="C14" s="13" t="n">
        <f aca="false">Dashboard!$B$3*(1+Dashboard!$E$3/100)^10</f>
        <v>6411065.025976</v>
      </c>
      <c r="D14" s="13" t="n">
        <f aca="false">B14/(1+Dashboard!$E$3/100)^10</f>
        <v>3187319.363125</v>
      </c>
    </row>
    <row r="15" customFormat="false" ht="15" hidden="false" customHeight="true" outlineLevel="0" collapsed="false">
      <c r="A15" s="15" t="n">
        <f aca="false">YEAR(TODAY())+11</f>
        <v>2037</v>
      </c>
      <c r="B15" s="13" t="n">
        <f aca="false">Dashboard!$B$3*(1+Dashboard!$B$4)^11</f>
        <v>6693919.006095</v>
      </c>
      <c r="C15" s="13" t="n">
        <f aca="false">Dashboard!$B$3*(1+Dashboard!$E$3/100)^11</f>
        <v>6859839.577794</v>
      </c>
      <c r="D15" s="13" t="n">
        <f aca="false">B15/(1+Dashboard!$E$3/100)^11</f>
        <v>3180232.699398</v>
      </c>
    </row>
    <row r="16" customFormat="false" ht="15" hidden="false" customHeight="true" outlineLevel="0" collapsed="false">
      <c r="A16" s="15" t="n">
        <f aca="false">YEAR(TODAY())+12</f>
        <v>2038</v>
      </c>
      <c r="B16" s="13" t="n">
        <f aca="false">Dashboard!$B$3*(1+Dashboard!$B$4)^12</f>
        <v>7146568.298601</v>
      </c>
      <c r="C16" s="13" t="n">
        <f aca="false">Dashboard!$B$3*(1+Dashboard!$E$3/100)^12</f>
        <v>7340028.348240</v>
      </c>
      <c r="D16" s="13" t="n">
        <f aca="false">B16/(1+Dashboard!$E$3/100)^12</f>
        <v>3173161.792109</v>
      </c>
    </row>
    <row r="17" customFormat="false" ht="15" hidden="false" customHeight="true" outlineLevel="0" collapsed="false">
      <c r="A17" s="15" t="n">
        <f aca="false">YEAR(TODAY())+13</f>
        <v>2039</v>
      </c>
      <c r="B17" s="13" t="n">
        <f aca="false">Dashboard!$B$3*(1+Dashboard!$B$4)^13</f>
        <v>7629826.175079</v>
      </c>
      <c r="C17" s="13" t="n">
        <f aca="false">Dashboard!$B$3*(1+Dashboard!$E$3/100)^13</f>
        <v>7853830.332617</v>
      </c>
      <c r="D17" s="13" t="n">
        <f aca="false">B17/(1+Dashboard!$E$3/100)^13</f>
        <v>3166106.606227</v>
      </c>
    </row>
    <row r="18" customFormat="false" ht="15" hidden="false" customHeight="true" outlineLevel="0" collapsed="false">
      <c r="A18" s="15" t="n">
        <f aca="false">YEAR(TODAY())+14</f>
        <v>2040</v>
      </c>
      <c r="B18" s="13" t="n">
        <f aca="false">Dashboard!$B$3*(1+Dashboard!$B$4)^14</f>
        <v>8145762.417652</v>
      </c>
      <c r="C18" s="13" t="n">
        <f aca="false">Dashboard!$B$3*(1+Dashboard!$E$3/100)^14</f>
        <v>8403598.455900</v>
      </c>
      <c r="D18" s="13" t="n">
        <f aca="false">B18/(1+Dashboard!$E$3/100)^14</f>
        <v>3159067.106796</v>
      </c>
    </row>
    <row r="19" customFormat="false" ht="15" hidden="false" customHeight="true" outlineLevel="0" collapsed="false">
      <c r="A19" s="15" t="n">
        <f aca="false">YEAR(TODAY())+15</f>
        <v>2041</v>
      </c>
      <c r="B19" s="13" t="n">
        <f aca="false">Dashboard!$B$3*(1+Dashboard!$B$4)^15</f>
        <v>8696586.769113</v>
      </c>
      <c r="C19" s="13" t="n">
        <f aca="false">Dashboard!$B$3*(1+Dashboard!$E$3/100)^15</f>
        <v>8991850.347813</v>
      </c>
      <c r="D19" s="13" t="n">
        <f aca="false">B19/(1+Dashboard!$E$3/100)^15</f>
        <v>3152043.258939</v>
      </c>
    </row>
    <row r="20" customFormat="false" ht="15" hidden="false" customHeight="true" outlineLevel="0" collapsed="false">
      <c r="A20" s="15" t="n">
        <f aca="false">YEAR(TODAY())+16</f>
        <v>2042</v>
      </c>
      <c r="B20" s="13" t="n">
        <f aca="false">Dashboard!$B$3*(1+Dashboard!$B$4)^16</f>
        <v>9284658.397208</v>
      </c>
      <c r="C20" s="13" t="n">
        <f aca="false">Dashboard!$B$3*(1+Dashboard!$E$3/100)^16</f>
        <v>9621279.872160</v>
      </c>
      <c r="D20" s="13" t="n">
        <f aca="false">B20/(1+Dashboard!$E$3/100)^16</f>
        <v>3145035.027857</v>
      </c>
    </row>
    <row r="21" customFormat="false" ht="15" hidden="false" customHeight="true" outlineLevel="0" collapsed="false">
      <c r="A21" s="15" t="n">
        <f aca="false">YEAR(TODAY())+17</f>
        <v>2043</v>
      </c>
      <c r="B21" s="13" t="n">
        <f aca="false">Dashboard!$B$3*(1+Dashboard!$B$4)^17</f>
        <v>9912495.998892</v>
      </c>
      <c r="C21" s="13" t="n">
        <f aca="false">Dashboard!$B$3*(1+Dashboard!$E$3/100)^17</f>
        <v>10294769.463211</v>
      </c>
      <c r="D21" s="13" t="n">
        <f aca="false">B21/(1+Dashboard!$E$3/100)^17</f>
        <v>3138042.378827</v>
      </c>
    </row>
    <row r="22" customFormat="false" ht="15" hidden="false" customHeight="true" outlineLevel="0" collapsed="false">
      <c r="A22" s="15" t="n">
        <f aca="false">YEAR(TODAY())+18</f>
        <v>2044</v>
      </c>
      <c r="B22" s="13" t="n">
        <f aca="false">Dashboard!$B$3*(1+Dashboard!$B$4)^18</f>
        <v>10582788.587848</v>
      </c>
      <c r="C22" s="13" t="n">
        <f aca="false">Dashboard!$B$3*(1+Dashboard!$E$3/100)^18</f>
        <v>11015403.325636</v>
      </c>
      <c r="D22" s="13" t="n">
        <f aca="false">B22/(1+Dashboard!$E$3/100)^18</f>
        <v>3131065.277204</v>
      </c>
    </row>
    <row r="23" customFormat="false" ht="15" hidden="false" customHeight="true" outlineLevel="0" collapsed="false">
      <c r="A23" s="15" t="n">
        <f aca="false">YEAR(TODAY())+19</f>
        <v>2045</v>
      </c>
      <c r="B23" s="13" t="n">
        <f aca="false">Dashboard!$B$3*(1+Dashboard!$B$4)^19</f>
        <v>11298407.011475</v>
      </c>
      <c r="C23" s="13" t="n">
        <f aca="false">Dashboard!$B$3*(1+Dashboard!$E$3/100)^19</f>
        <v>11786481.558430</v>
      </c>
      <c r="D23" s="13" t="n">
        <f aca="false">B23/(1+Dashboard!$E$3/100)^19</f>
        <v>3124103.688421</v>
      </c>
    </row>
    <row r="24" customFormat="false" ht="15" hidden="false" customHeight="true" outlineLevel="0" collapsed="false">
      <c r="A24" s="15" t="n">
        <f aca="false">YEAR(TODAY())+20</f>
        <v>2046</v>
      </c>
      <c r="B24" s="13" t="n">
        <f aca="false">Dashboard!$B$3*(1+Dashboard!$B$4)^20</f>
        <v>12062416.246652</v>
      </c>
      <c r="C24" s="13" t="n">
        <f aca="false">Dashboard!$B$3*(1+Dashboard!$E$3/100)^20</f>
        <v>12611535.267521</v>
      </c>
      <c r="D24" s="13" t="n">
        <f aca="false">B24/(1+Dashboard!$E$3/100)^20</f>
        <v>3117157.577986</v>
      </c>
    </row>
    <row r="27" customFormat="false" ht="15" hidden="false" customHeight="true" outlineLevel="0" collapsed="false">
      <c r="A27" s="3" t="inlineStr">
        <is>
          <t xml:space="preserve">HOW TO READ THIS SHEET (in plain words)</t>
        </is>
      </c>
    </row>
    <row r="28" customFormat="false" ht="15" hidden="false" customHeight="true" outlineLevel="0" collapsed="false">
      <c r="A28" s="12" t="inlineStr">
        <is>
          <t xml:space="preserve">Your family's money today (the Dashboard net worth) is shown on three paths:</t>
        </is>
      </c>
    </row>
    <row r="29" customFormat="false" ht="15" hidden="false" customHeight="true" outlineLevel="0" collapsed="false">
      <c r="A29" s="12" t="inlineStr">
        <is>
          <t xml:space="preserve">  1. Corpus @ portfolio XIRR — what your money can GROW TO if it keeps earning the</t>
        </is>
      </c>
    </row>
    <row r="30" customFormat="false" ht="15" hidden="false" customHeight="true" outlineLevel="0" collapsed="false">
      <c r="A30" s="12" t="inlineStr">
        <is>
          <t xml:space="preserve">     same yearly return it earns today (the 'Portfolio XIRR' on the Dashboard).</t>
        </is>
      </c>
    </row>
    <row r="31" customFormat="false" ht="15" hidden="false" customHeight="true" outlineLevel="0" collapsed="false">
      <c r="A31" s="12" t="inlineStr">
        <is>
          <t xml:space="preserve">  2. Corpus growing at inflation — what the same money must become JUST TO KEEP UP</t>
        </is>
      </c>
    </row>
    <row r="32" customFormat="false" ht="15" hidden="false" customHeight="true" outlineLevel="0" collapsed="false">
      <c r="A32" s="12" t="inlineStr">
        <is>
          <t xml:space="preserve">     with rising prices (the yellow 'Inflation %' cell on the Dashboard, normally 7).</t>
        </is>
      </c>
    </row>
    <row r="33" customFormat="false" ht="15" hidden="false" customHeight="true" outlineLevel="0" collapsed="false">
      <c r="A33" s="12" t="inlineStr">
        <is>
          <t xml:space="preserve">  3. Real corpus (today’s money) — the first path converted back into today’s prices:</t>
        </is>
      </c>
    </row>
    <row r="34" customFormat="false" ht="15" hidden="false" customHeight="true" outlineLevel="0" collapsed="false">
      <c r="A34" s="12" t="inlineStr">
        <is>
          <t xml:space="preserve">     what that future amount will actually feel like when you spend it.</t>
        </is>
      </c>
    </row>
    <row r="35" customFormat="false" ht="15" hidden="false" customHeight="true" outlineLevel="0" collapsed="false">
      <c r="A35" s="12" t="inlineStr">
        <is>
          <t xml:space="preserve">Simple rule: if the BLUE line (your portfolio) stays above the RED line (inflation),</t>
        </is>
      </c>
    </row>
    <row r="36" customFormat="false" ht="15" hidden="false" customHeight="true" outlineLevel="0" collapsed="false">
      <c r="A36" s="12" t="inlineStr">
        <is>
          <t xml:space="preserve">you are beating inflation and getting richer in real terms. If it dips below, your</t>
        </is>
      </c>
    </row>
    <row r="37" customFormat="false" ht="15" hidden="false" customHeight="true" outlineLevel="0" collapsed="false">
      <c r="A37" s="12" t="inlineStr">
        <is>
          <t xml:space="preserve">money is still growing but it quietly buys less every year.</t>
        </is>
      </c>
    </row>
    <row r="38" customFormat="false" ht="15" hidden="false" customHeight="true" outlineLevel="0" collapsed="false">
      <c r="A38" s="12" t="inlineStr">
        <is>
          <t xml:space="preserve">Example: at 7% inflation, 1 crore received 20 years from now buys only what roughly</t>
        </is>
      </c>
    </row>
    <row r="39" customFormat="false" ht="15" hidden="false" customHeight="true" outlineLevel="0" collapsed="false">
      <c r="A39" s="12" t="inlineStr">
        <is>
          <t xml:space="preserve">26 lakh buys today. That shrinkage is exactly what the GREEN line shows.</t>
        </is>
      </c>
    </row>
    <row r="40" customFormat="false" ht="15" hidden="false" customHeight="true" outlineLevel="0" collapsed="false">
      <c r="A40" s="12" t="inlineStr">
        <is>
          <t xml:space="preserve">Try it: change the yellow inflation cell on the Dashboard — the lines move instantly.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4049"/>
  <sheetViews>
    <sheetView tabSelected="false" workbookViewId="0">
      <selection pane="topLeft" activeCell="A1" activeCellId="0" sqref="A1"/>
    </sheetView>
  </sheetViews>
  <sheetFormatPr defaultColWidth="8.6796875" defaultRowHeight="15"/>
  <cols>
    <col collapsed="false" customWidth="true" hidden="false" outlineLevel="0" max="1" min="1" style="1" width="34"/>
    <col collapsed="false" customWidth="true" hidden="false" outlineLevel="0" max="2" min="2" style="1" width="64"/>
    <col collapsed="false" customWidth="true" hidden="false" outlineLevel="0" max="3" min="3" style="1" width="15"/>
    <col collapsed="false" customWidth="true" hidden="false" outlineLevel="0" max="5" min="4" style="1" width="12"/>
  </cols>
  <sheetData>
    <row r="1" ht="18" customHeight="true">
      <c r="A1" s="2" t="inlineStr">
        <is>
          <t xml:space="preserve">MUTUAL FUND MASTER (AMFI)</t>
        </is>
      </c>
    </row>
    <row r="2" ht="15" customHeight="true">
      <c r="A2" s="22" t="inlineStr">
        <is>
          <t xml:space="preserve">Every AMFI scheme with an ISIN — feeds the Scheme dropdowns on MutualFunds and MF_SIP. Kept sorted by scheme name (the dropdown filter needs that). Do not edit by hand: double-click UpdateFundMaster.bat to refresh it.</t>
        </is>
      </c>
      <c r="D2" s="3" t="inlineStr">
        <is>
          <t xml:space="preserve">Refreshed:</t>
        </is>
      </c>
      <c r="E2" s="15" t="inlineStr">
        <is>
          <t xml:space="preserve">14-07-2026</t>
        </is>
      </c>
    </row>
    <row r="3" ht="15" customHeight="true">
      <c r="A3" s="6" t="inlineStr">
        <is>
          <t xml:space="preserve">Fund Name</t>
        </is>
      </c>
      <c r="B3" s="6" t="inlineStr">
        <is>
          <t xml:space="preserve">Scheme Name</t>
        </is>
      </c>
      <c r="C3" s="6" t="inlineStr">
        <is>
          <t xml:space="preserve">ISIN</t>
        </is>
      </c>
    </row>
    <row r="4">
      <c r="A4" t="inlineStr">
        <is>
          <t xml:space="preserve">360 ONE Mutual Fund</t>
        </is>
      </c>
      <c r="B4" t="inlineStr">
        <is>
          <t xml:space="preserve">360 ONE Balanced Hybrid Fund - Direct Plan - IDCW</t>
        </is>
      </c>
      <c r="C4" t="inlineStr">
        <is>
          <t xml:space="preserve">INF579M01AZ6</t>
        </is>
      </c>
    </row>
    <row r="5">
      <c r="A5" t="inlineStr">
        <is>
          <t xml:space="preserve">360 ONE Mutual Fund</t>
        </is>
      </c>
      <c r="B5" t="inlineStr">
        <is>
          <t xml:space="preserve">360 ONE Balanced Hybrid Fund - Regular Plan - Growth</t>
        </is>
      </c>
      <c r="C5" t="inlineStr">
        <is>
          <t xml:space="preserve">INF579M01AV5</t>
        </is>
      </c>
    </row>
    <row r="6">
      <c r="A6" t="inlineStr">
        <is>
          <t xml:space="preserve">360 ONE Mutual Fund</t>
        </is>
      </c>
      <c r="B6" t="inlineStr">
        <is>
          <t xml:space="preserve">360 ONE Balanced Hybrid Fund- Direct Plan - Growth</t>
        </is>
      </c>
      <c r="C6" t="inlineStr">
        <is>
          <t xml:space="preserve">INF579M01AY9</t>
        </is>
      </c>
    </row>
    <row r="7">
      <c r="A7" t="inlineStr">
        <is>
          <t xml:space="preserve">360 ONE Mutual Fund</t>
        </is>
      </c>
      <c r="B7" t="inlineStr">
        <is>
          <t xml:space="preserve">360 ONE Balanced Hyrbrid fund - Regular Plan - IDCW</t>
        </is>
      </c>
      <c r="C7" t="inlineStr">
        <is>
          <t xml:space="preserve">INF579M01AW3</t>
        </is>
      </c>
    </row>
    <row r="8">
      <c r="A8" t="inlineStr">
        <is>
          <t xml:space="preserve">360 ONE Mutual Fund</t>
        </is>
      </c>
      <c r="B8" t="inlineStr">
        <is>
          <t xml:space="preserve">360 ONE Dynamic Bond Fund - Regular Plan - Growth Option</t>
        </is>
      </c>
      <c r="C8" t="inlineStr">
        <is>
          <t xml:space="preserve">INF579M01183</t>
        </is>
      </c>
    </row>
    <row r="9">
      <c r="A9" t="inlineStr">
        <is>
          <t xml:space="preserve">360 ONE Mutual Fund</t>
        </is>
      </c>
      <c r="B9" t="inlineStr">
        <is>
          <t xml:space="preserve">360 ONE Dynamic Bond Fund Direct Plan Growth</t>
        </is>
      </c>
      <c r="C9" t="inlineStr">
        <is>
          <t xml:space="preserve">INF579M01266</t>
        </is>
      </c>
    </row>
    <row r="10">
      <c r="A10" t="inlineStr">
        <is>
          <t xml:space="preserve">360 ONE Mutual Fund</t>
        </is>
      </c>
      <c r="B10" t="inlineStr">
        <is>
          <t xml:space="preserve">360 ONE Dynamic Bond Fund Direct Plan Monthly Dividend</t>
        </is>
      </c>
      <c r="C10" t="inlineStr">
        <is>
          <t xml:space="preserve">INF579M01282</t>
        </is>
      </c>
    </row>
    <row r="11">
      <c r="A11" t="inlineStr">
        <is>
          <t xml:space="preserve">360 ONE Mutual Fund</t>
        </is>
      </c>
      <c r="B11" t="inlineStr">
        <is>
          <t xml:space="preserve">360 ONE Dynamic Bond Fund Direct Plan Quarterly Dividend</t>
        </is>
      </c>
      <c r="C11" t="inlineStr">
        <is>
          <t xml:space="preserve">INF579M01290</t>
        </is>
      </c>
    </row>
    <row r="12">
      <c r="A12" t="inlineStr">
        <is>
          <t xml:space="preserve">360 ONE Mutual Fund</t>
        </is>
      </c>
      <c r="B12" t="inlineStr">
        <is>
          <t xml:space="preserve">360 ONE Dynamic Bond Fund Regular Plan Bonus</t>
        </is>
      </c>
      <c r="C12" t="inlineStr">
        <is>
          <t xml:space="preserve">INF579M01191</t>
        </is>
      </c>
    </row>
    <row r="13">
      <c r="A13" t="inlineStr">
        <is>
          <t xml:space="preserve">360 ONE Mutual Fund</t>
        </is>
      </c>
      <c r="B13" t="inlineStr">
        <is>
          <t xml:space="preserve">360 ONE Dynamic Bond Fund Regular Plan Half Yearly Dividend</t>
        </is>
      </c>
      <c r="C13" t="inlineStr">
        <is>
          <t xml:space="preserve">INF579M01225</t>
        </is>
      </c>
    </row>
    <row r="14">
      <c r="A14" t="inlineStr">
        <is>
          <t xml:space="preserve">360 ONE Mutual Fund</t>
        </is>
      </c>
      <c r="B14" t="inlineStr">
        <is>
          <t xml:space="preserve">360 ONE Dynamic Bond Fund Regular Plan Monthly Dividend</t>
        </is>
      </c>
      <c r="C14" t="inlineStr">
        <is>
          <t xml:space="preserve">INF579M01209</t>
        </is>
      </c>
    </row>
    <row r="15">
      <c r="A15" t="inlineStr">
        <is>
          <t xml:space="preserve">360 ONE Mutual Fund</t>
        </is>
      </c>
      <c r="B15" t="inlineStr">
        <is>
          <t xml:space="preserve">360 ONE Dynamic Bond Fund Regular Plan Quarterly Dividend</t>
        </is>
      </c>
      <c r="C15" t="inlineStr">
        <is>
          <t xml:space="preserve">INF579M01217</t>
        </is>
      </c>
    </row>
    <row r="16">
      <c r="A16" t="inlineStr">
        <is>
          <t xml:space="preserve">360 ONE Mutual Fund</t>
        </is>
      </c>
      <c r="B16" t="inlineStr">
        <is>
          <t xml:space="preserve">360 ONE ELSS Tax Saver Nifty 50 Index Fund - Direct Plan - Growth</t>
        </is>
      </c>
      <c r="C16" t="inlineStr">
        <is>
          <t xml:space="preserve">INF579M01AN2</t>
        </is>
      </c>
    </row>
    <row r="17">
      <c r="A17" t="inlineStr">
        <is>
          <t xml:space="preserve">360 ONE Mutual Fund</t>
        </is>
      </c>
      <c r="B17" t="inlineStr">
        <is>
          <t xml:space="preserve">360 ONE ELSS Tax Saver Nifty 50 Index Fund - Direct Plan - IDCW Payout</t>
        </is>
      </c>
      <c r="C17" t="inlineStr">
        <is>
          <t xml:space="preserve">INF579M01AO0</t>
        </is>
      </c>
    </row>
    <row r="18">
      <c r="A18" t="inlineStr">
        <is>
          <t xml:space="preserve">360 ONE Mutual Fund</t>
        </is>
      </c>
      <c r="B18" t="inlineStr">
        <is>
          <t xml:space="preserve">360 ONE ELSS Tax Saver Nifty 50 Index Fund - Regular Plan - Growth</t>
        </is>
      </c>
      <c r="C18" t="inlineStr">
        <is>
          <t xml:space="preserve">INF579M01AL6</t>
        </is>
      </c>
    </row>
    <row r="19">
      <c r="A19" t="inlineStr">
        <is>
          <t xml:space="preserve">360 ONE Mutual Fund</t>
        </is>
      </c>
      <c r="B19" t="inlineStr">
        <is>
          <t xml:space="preserve">360 ONE ELSS Tax Saver Nifty 50 Index Fund - Regular Plan - IDCW Payout</t>
        </is>
      </c>
      <c r="C19" t="inlineStr">
        <is>
          <t xml:space="preserve">INF579M01AM4</t>
        </is>
      </c>
    </row>
    <row r="20">
      <c r="A20" t="inlineStr">
        <is>
          <t xml:space="preserve">360 ONE Mutual Fund</t>
        </is>
      </c>
      <c r="B20" t="inlineStr">
        <is>
          <t xml:space="preserve">360 ONE FLEXICAP FUND-DIRECT PLAN- GROWTH</t>
        </is>
      </c>
      <c r="C20" t="inlineStr">
        <is>
          <t xml:space="preserve">INF579M01AS1</t>
        </is>
      </c>
    </row>
    <row r="21">
      <c r="A21" t="inlineStr">
        <is>
          <t xml:space="preserve">360 ONE Mutual Fund</t>
        </is>
      </c>
      <c r="B21" t="inlineStr">
        <is>
          <t xml:space="preserve">360 ONE FLEXICAP FUND-DIRECT PLAN- IDCW</t>
        </is>
      </c>
      <c r="C21" t="inlineStr">
        <is>
          <t xml:space="preserve">INF579M01AT9</t>
        </is>
      </c>
    </row>
    <row r="22">
      <c r="A22" t="inlineStr">
        <is>
          <t xml:space="preserve">360 ONE Mutual Fund</t>
        </is>
      </c>
      <c r="B22" t="inlineStr">
        <is>
          <t xml:space="preserve">360 ONE FLEXICAP FUND-REGULAR PLAN- GROWTH</t>
        </is>
      </c>
      <c r="C22" t="inlineStr">
        <is>
          <t xml:space="preserve">INF579M01AP7</t>
        </is>
      </c>
    </row>
    <row r="23">
      <c r="A23" t="inlineStr">
        <is>
          <t xml:space="preserve">360 ONE Mutual Fund</t>
        </is>
      </c>
      <c r="B23" t="inlineStr">
        <is>
          <t xml:space="preserve">360 ONE FLEXICAP FUND-REGULAR PLAN- IDCW</t>
        </is>
      </c>
      <c r="C23" t="inlineStr">
        <is>
          <t xml:space="preserve">INF579M01AQ5</t>
        </is>
      </c>
    </row>
    <row r="24">
      <c r="A24" t="inlineStr">
        <is>
          <t xml:space="preserve">360 ONE Mutual Fund</t>
        </is>
      </c>
      <c r="B24" t="inlineStr">
        <is>
          <t xml:space="preserve">360 ONE Focused Fund - Direct Plan - Dividend</t>
        </is>
      </c>
      <c r="C24" t="inlineStr">
        <is>
          <t xml:space="preserve">INF579M01910</t>
        </is>
      </c>
    </row>
    <row r="25">
      <c r="A25" t="inlineStr">
        <is>
          <t xml:space="preserve">360 ONE Mutual Fund</t>
        </is>
      </c>
      <c r="B25" t="inlineStr">
        <is>
          <t xml:space="preserve">360 ONE Focused Fund - Regular Plan - Dividend</t>
        </is>
      </c>
      <c r="C25" t="inlineStr">
        <is>
          <t xml:space="preserve">INF579M01886</t>
        </is>
      </c>
    </row>
    <row r="26">
      <c r="A26" t="inlineStr">
        <is>
          <t xml:space="preserve">360 ONE Mutual Fund</t>
        </is>
      </c>
      <c r="B26" t="inlineStr">
        <is>
          <t xml:space="preserve">360 ONE Focused Fund -Regular Plan - Growth</t>
        </is>
      </c>
      <c r="C26" t="inlineStr">
        <is>
          <t xml:space="preserve">INF579M01878</t>
        </is>
      </c>
    </row>
    <row r="27">
      <c r="A27" t="inlineStr">
        <is>
          <t xml:space="preserve">360 ONE Mutual Fund</t>
        </is>
      </c>
      <c r="B27" t="inlineStr">
        <is>
          <t xml:space="preserve">360 ONE Focused Fund-Direct Plan-Growth</t>
        </is>
      </c>
      <c r="C27" t="inlineStr">
        <is>
          <t xml:space="preserve">INF579M01902</t>
        </is>
      </c>
    </row>
    <row r="28">
      <c r="A28" t="inlineStr">
        <is>
          <t xml:space="preserve">360 ONE Mutual Fund</t>
        </is>
      </c>
      <c r="B28" t="inlineStr">
        <is>
          <t xml:space="preserve">360 ONE Gold ETF</t>
        </is>
      </c>
      <c r="C28" t="inlineStr">
        <is>
          <t xml:space="preserve">INF579M01BB5</t>
        </is>
      </c>
    </row>
    <row r="29">
      <c r="A29" t="inlineStr">
        <is>
          <t xml:space="preserve">360 ONE Mutual Fund</t>
        </is>
      </c>
      <c r="B29" t="inlineStr">
        <is>
          <t xml:space="preserve">360 ONE LIQUID FUND DIRECT PLAN  DAILY DIVIDEND REINVESTMENT</t>
        </is>
      </c>
      <c r="C29" t="inlineStr">
        <is>
          <t xml:space="preserve">INF579M01688</t>
        </is>
      </c>
    </row>
    <row r="30">
      <c r="A30" t="inlineStr">
        <is>
          <t xml:space="preserve">360 ONE Mutual Fund</t>
        </is>
      </c>
      <c r="B30" t="inlineStr">
        <is>
          <t xml:space="preserve">360 ONE LIQUID FUND DIRECT PLAN  GROWTH</t>
        </is>
      </c>
      <c r="C30" t="inlineStr">
        <is>
          <t xml:space="preserve">INF579M01621</t>
        </is>
      </c>
    </row>
    <row r="31">
      <c r="A31" t="inlineStr">
        <is>
          <t xml:space="preserve">360 ONE Mutual Fund</t>
        </is>
      </c>
      <c r="B31" t="inlineStr">
        <is>
          <t xml:space="preserve">360 ONE LIQUID FUND DIRECT PLAN  WEEKLY DIVIDEND</t>
        </is>
      </c>
      <c r="C31" t="inlineStr">
        <is>
          <t xml:space="preserve">INF579M01639</t>
        </is>
      </c>
    </row>
    <row r="32">
      <c r="A32" t="inlineStr">
        <is>
          <t xml:space="preserve">360 ONE Mutual Fund</t>
        </is>
      </c>
      <c r="B32" t="inlineStr">
        <is>
          <t xml:space="preserve">360 ONE LIQUID FUND REGULAR PLAN  DAILY DIVIDEND REINVESTMENT</t>
        </is>
      </c>
      <c r="C32" t="inlineStr">
        <is>
          <t xml:space="preserve">INF579M01563</t>
        </is>
      </c>
    </row>
    <row r="33">
      <c r="A33" t="inlineStr">
        <is>
          <t xml:space="preserve">360 ONE Mutual Fund</t>
        </is>
      </c>
      <c r="B33" t="inlineStr">
        <is>
          <t xml:space="preserve">360 ONE LIQUID FUND REGULAR PLAN  GROWTH</t>
        </is>
      </c>
      <c r="C33" t="inlineStr">
        <is>
          <t xml:space="preserve">INF579M01506</t>
        </is>
      </c>
    </row>
    <row r="34">
      <c r="A34" t="inlineStr">
        <is>
          <t xml:space="preserve">360 ONE Mutual Fund</t>
        </is>
      </c>
      <c r="B34" t="inlineStr">
        <is>
          <t xml:space="preserve">360 ONE LIQUID FUND REGULAR PLAN  WEEKLY DIVIDEND</t>
        </is>
      </c>
      <c r="C34" t="inlineStr">
        <is>
          <t xml:space="preserve">INF579M01514</t>
        </is>
      </c>
    </row>
    <row r="35">
      <c r="A35" t="inlineStr">
        <is>
          <t xml:space="preserve">360 ONE Mutual Fund</t>
        </is>
      </c>
      <c r="B35" t="inlineStr">
        <is>
          <t xml:space="preserve">360 ONE MSCI India ETF</t>
        </is>
      </c>
      <c r="C35" t="inlineStr">
        <is>
          <t xml:space="preserve">INF579M01BP5</t>
        </is>
      </c>
    </row>
    <row r="36">
      <c r="A36" t="inlineStr">
        <is>
          <t xml:space="preserve">360 ONE Mutual Fund</t>
        </is>
      </c>
      <c r="B36" t="inlineStr">
        <is>
          <t xml:space="preserve">360 ONE Multi Asset Allocation Fund - Direct Plan - Growth</t>
        </is>
      </c>
      <c r="C36" t="inlineStr">
        <is>
          <t xml:space="preserve">INF579M01BM2</t>
        </is>
      </c>
    </row>
    <row r="37">
      <c r="A37" t="inlineStr">
        <is>
          <t xml:space="preserve">360 ONE Mutual Fund</t>
        </is>
      </c>
      <c r="B37" t="inlineStr">
        <is>
          <t xml:space="preserve">360 ONE Multi Asset Allocation Fund - Direct Plan - IDCW</t>
        </is>
      </c>
      <c r="C37" t="inlineStr">
        <is>
          <t xml:space="preserve">INF579M01BN0</t>
        </is>
      </c>
    </row>
    <row r="38">
      <c r="A38" t="inlineStr">
        <is>
          <t xml:space="preserve">360 ONE Mutual Fund</t>
        </is>
      </c>
      <c r="B38" t="inlineStr">
        <is>
          <t xml:space="preserve">360 ONE Multi Asset Allocation Fund - Regular Plan - Growth</t>
        </is>
      </c>
      <c r="C38" t="inlineStr">
        <is>
          <t xml:space="preserve">INF579M01BJ8</t>
        </is>
      </c>
    </row>
    <row r="39">
      <c r="A39" t="inlineStr">
        <is>
          <t xml:space="preserve">360 ONE Mutual Fund</t>
        </is>
      </c>
      <c r="B39" t="inlineStr">
        <is>
          <t xml:space="preserve">360 ONE Multi Asset Allocation Fund - Regular Plan - IDCW</t>
        </is>
      </c>
      <c r="C39" t="inlineStr">
        <is>
          <t xml:space="preserve">INF579M01BK6</t>
        </is>
      </c>
    </row>
    <row r="40">
      <c r="A40" t="inlineStr">
        <is>
          <t xml:space="preserve">360 ONE Mutual Fund</t>
        </is>
      </c>
      <c r="B40" t="inlineStr">
        <is>
          <t xml:space="preserve">360 ONE Overnight Fund - Direct Plan - Growth</t>
        </is>
      </c>
      <c r="C40" t="inlineStr">
        <is>
          <t xml:space="preserve">INF579M01BG4</t>
        </is>
      </c>
    </row>
    <row r="41">
      <c r="A41" t="inlineStr">
        <is>
          <t xml:space="preserve">360 ONE Mutual Fund</t>
        </is>
      </c>
      <c r="B41" t="inlineStr">
        <is>
          <t xml:space="preserve">360 ONE Overnight Fund - Regular Plan - Growth</t>
        </is>
      </c>
      <c r="C41" t="inlineStr">
        <is>
          <t xml:space="preserve">INF579M01BD1</t>
        </is>
      </c>
    </row>
    <row r="42">
      <c r="A42" t="inlineStr">
        <is>
          <t xml:space="preserve">360 ONE Mutual Fund</t>
        </is>
      </c>
      <c r="B42" t="inlineStr">
        <is>
          <t xml:space="preserve">360 ONE Overnight Fund - Regular Plan - IDCW</t>
        </is>
      </c>
      <c r="C42" t="inlineStr">
        <is>
          <t xml:space="preserve">INF579M01BE9</t>
        </is>
      </c>
    </row>
    <row r="43">
      <c r="A43" t="inlineStr">
        <is>
          <t xml:space="preserve">360 ONE Mutual Fund</t>
        </is>
      </c>
      <c r="B43" t="inlineStr">
        <is>
          <t xml:space="preserve">360 ONE Overnight Fund- Direct Plan - IDCW</t>
        </is>
      </c>
      <c r="C43" t="inlineStr">
        <is>
          <t xml:space="preserve">INF579M01BH2</t>
        </is>
      </c>
    </row>
    <row r="44">
      <c r="A44" t="inlineStr">
        <is>
          <t xml:space="preserve">360 ONE Mutual Fund</t>
        </is>
      </c>
      <c r="B44" t="inlineStr">
        <is>
          <t xml:space="preserve">360 ONE QUANT FUND DIRECT GROWTH</t>
        </is>
      </c>
      <c r="C44" t="inlineStr">
        <is>
          <t xml:space="preserve">INF579M01AI2</t>
        </is>
      </c>
    </row>
    <row r="45">
      <c r="A45" t="inlineStr">
        <is>
          <t xml:space="preserve">360 ONE Mutual Fund</t>
        </is>
      </c>
      <c r="B45" t="inlineStr">
        <is>
          <t xml:space="preserve">360 ONE QUANT FUND DIRECT INCOME DISTRIBUTION CUM CAPITAL WITHDRAWAL</t>
        </is>
      </c>
      <c r="C45" t="inlineStr">
        <is>
          <t xml:space="preserve">INF579M01AJ0</t>
        </is>
      </c>
    </row>
    <row r="46">
      <c r="A46" t="inlineStr">
        <is>
          <t xml:space="preserve">360 ONE Mutual Fund</t>
        </is>
      </c>
      <c r="B46" t="inlineStr">
        <is>
          <t xml:space="preserve">360 ONE QUANT FUND REGULAR GROWTH</t>
        </is>
      </c>
      <c r="C46" t="inlineStr">
        <is>
          <t xml:space="preserve">INF579M01AF8</t>
        </is>
      </c>
    </row>
    <row r="47">
      <c r="A47" t="inlineStr">
        <is>
          <t xml:space="preserve">360 ONE Mutual Fund</t>
        </is>
      </c>
      <c r="B47" t="inlineStr">
        <is>
          <t xml:space="preserve">360 ONE QUANT FUND REGULAR INCOME DISTRIBUTION CUM CAPITAL WITHDRAWAL</t>
        </is>
      </c>
      <c r="C47" t="inlineStr">
        <is>
          <t xml:space="preserve">INF579M01AG6</t>
        </is>
      </c>
    </row>
    <row r="48">
      <c r="A48" t="inlineStr">
        <is>
          <t xml:space="preserve">360 ONE Mutual Fund</t>
        </is>
      </c>
      <c r="B48" t="inlineStr">
        <is>
          <t xml:space="preserve">360 ONE Silver ETF</t>
        </is>
      </c>
      <c r="C48" t="inlineStr">
        <is>
          <t xml:space="preserve">INF579M01BC3</t>
        </is>
      </c>
    </row>
    <row r="49">
      <c r="A49" t="inlineStr">
        <is>
          <t xml:space="preserve">Abakkus Mutual Fund</t>
        </is>
      </c>
      <c r="B49" t="inlineStr">
        <is>
          <t xml:space="preserve">Abakkus Flexi Cap Fund - Direct - Growth</t>
        </is>
      </c>
      <c r="C49" t="inlineStr">
        <is>
          <t xml:space="preserve">INF2JJD01136</t>
        </is>
      </c>
    </row>
    <row r="50">
      <c r="A50" t="inlineStr">
        <is>
          <t xml:space="preserve">Abakkus Mutual Fund</t>
        </is>
      </c>
      <c r="B50" t="inlineStr">
        <is>
          <t xml:space="preserve">Abakkus Flexi Cap Fund - Direct - IDCW</t>
        </is>
      </c>
      <c r="C50" t="inlineStr">
        <is>
          <t xml:space="preserve">INF2JJD01128</t>
        </is>
      </c>
    </row>
    <row r="51">
      <c r="A51" t="inlineStr">
        <is>
          <t xml:space="preserve">Abakkus Mutual Fund</t>
        </is>
      </c>
      <c r="B51" t="inlineStr">
        <is>
          <t xml:space="preserve">Abakkus Flexi Cap Fund - Regular - Growth</t>
        </is>
      </c>
      <c r="C51" t="inlineStr">
        <is>
          <t xml:space="preserve">INF2JJD01169</t>
        </is>
      </c>
    </row>
    <row r="52">
      <c r="A52" t="inlineStr">
        <is>
          <t xml:space="preserve">Abakkus Mutual Fund</t>
        </is>
      </c>
      <c r="B52" t="inlineStr">
        <is>
          <t xml:space="preserve">Abakkus Flexi Cap Fund - Regular - IDCW</t>
        </is>
      </c>
      <c r="C52" t="inlineStr">
        <is>
          <t xml:space="preserve">INF2JJD01151</t>
        </is>
      </c>
    </row>
    <row r="53">
      <c r="A53" t="inlineStr">
        <is>
          <t xml:space="preserve">Abakkus Mutual Fund</t>
        </is>
      </c>
      <c r="B53" t="inlineStr">
        <is>
          <t xml:space="preserve">Abakkus Liquid Fund - Direct Plan - Daily IDCW Reinvestment</t>
        </is>
      </c>
      <c r="C53" t="inlineStr">
        <is>
          <t xml:space="preserve">INF2JJD01011</t>
        </is>
      </c>
    </row>
    <row r="54">
      <c r="A54" t="inlineStr">
        <is>
          <t xml:space="preserve">Abakkus Mutual Fund</t>
        </is>
      </c>
      <c r="B54" t="inlineStr">
        <is>
          <t xml:space="preserve">Abakkus Liquid Fund - Direct Plan - Growth</t>
        </is>
      </c>
      <c r="C54" t="inlineStr">
        <is>
          <t xml:space="preserve">INF2JJD01029</t>
        </is>
      </c>
    </row>
    <row r="55">
      <c r="A55" t="inlineStr">
        <is>
          <t xml:space="preserve">Abakkus Mutual Fund</t>
        </is>
      </c>
      <c r="B55" t="inlineStr">
        <is>
          <t xml:space="preserve">Abakkus Liquid Fund - Direct Plan - Monthly IDCW Reinvestment</t>
        </is>
      </c>
      <c r="C55" t="inlineStr">
        <is>
          <t xml:space="preserve">INF2JJD01037</t>
        </is>
      </c>
    </row>
    <row r="56">
      <c r="A56" t="inlineStr">
        <is>
          <t xml:space="preserve">Abakkus Mutual Fund</t>
        </is>
      </c>
      <c r="B56" t="inlineStr">
        <is>
          <t xml:space="preserve">Abakkus Liquid Fund - Direct Plan - Quarterly IDCW Reinvestment</t>
        </is>
      </c>
      <c r="C56" t="inlineStr">
        <is>
          <t xml:space="preserve">INF2JJD01052</t>
        </is>
      </c>
    </row>
    <row r="57">
      <c r="A57" t="inlineStr">
        <is>
          <t xml:space="preserve">Abakkus Mutual Fund</t>
        </is>
      </c>
      <c r="B57" t="inlineStr">
        <is>
          <t xml:space="preserve">Abakkus Liquid Fund - Direct Plan - Weekly IDCW Reinvestment</t>
        </is>
      </c>
      <c r="C57" t="inlineStr">
        <is>
          <t xml:space="preserve">INF2JJD01045</t>
        </is>
      </c>
    </row>
    <row r="58">
      <c r="A58" t="inlineStr">
        <is>
          <t xml:space="preserve">Abakkus Mutual Fund</t>
        </is>
      </c>
      <c r="B58" t="inlineStr">
        <is>
          <t xml:space="preserve">Abakkus Liquid Fund - Regular Plan - Daily IDCW Reinvestment</t>
        </is>
      </c>
      <c r="C58" t="inlineStr">
        <is>
          <t xml:space="preserve">INF2JJD01060</t>
        </is>
      </c>
    </row>
    <row r="59">
      <c r="A59" t="inlineStr">
        <is>
          <t xml:space="preserve">Abakkus Mutual Fund</t>
        </is>
      </c>
      <c r="B59" t="inlineStr">
        <is>
          <t xml:space="preserve">Abakkus Liquid Fund - Regular Plan - Growth</t>
        </is>
      </c>
      <c r="C59" t="inlineStr">
        <is>
          <t xml:space="preserve">INF2JJD01078</t>
        </is>
      </c>
    </row>
    <row r="60">
      <c r="A60" t="inlineStr">
        <is>
          <t xml:space="preserve">Abakkus Mutual Fund</t>
        </is>
      </c>
      <c r="B60" t="inlineStr">
        <is>
          <t xml:space="preserve">Abakkus Liquid Fund - Regular Plan - Monthly IDCW Reinvestment</t>
        </is>
      </c>
      <c r="C60" t="inlineStr">
        <is>
          <t xml:space="preserve">INF2JJD01086</t>
        </is>
      </c>
    </row>
    <row r="61">
      <c r="A61" t="inlineStr">
        <is>
          <t xml:space="preserve">Abakkus Mutual Fund</t>
        </is>
      </c>
      <c r="B61" t="inlineStr">
        <is>
          <t xml:space="preserve">Abakkus Liquid Fund - Regular Plan - Quarterly IDCW Reinvestment</t>
        </is>
      </c>
      <c r="C61" t="inlineStr">
        <is>
          <t xml:space="preserve">INF2JJD01102</t>
        </is>
      </c>
    </row>
    <row r="62">
      <c r="A62" t="inlineStr">
        <is>
          <t xml:space="preserve">Abakkus Mutual Fund</t>
        </is>
      </c>
      <c r="B62" t="inlineStr">
        <is>
          <t xml:space="preserve">Abakkus Liquid Fund - Regular Plan - Weekly IDCW Reinvestment</t>
        </is>
      </c>
      <c r="C62" t="inlineStr">
        <is>
          <t xml:space="preserve">INF2JJD01094</t>
        </is>
      </c>
    </row>
    <row r="63">
      <c r="A63" t="inlineStr">
        <is>
          <t xml:space="preserve">Abakkus Mutual Fund</t>
        </is>
      </c>
      <c r="B63" t="inlineStr">
        <is>
          <t xml:space="preserve">Abakkus Small Cap Fund - Direct Plan - Growth</t>
        </is>
      </c>
      <c r="C63" t="inlineStr">
        <is>
          <t xml:space="preserve">INF2JJD01177</t>
        </is>
      </c>
    </row>
    <row r="64">
      <c r="A64" t="inlineStr">
        <is>
          <t xml:space="preserve">Abakkus Mutual Fund</t>
        </is>
      </c>
      <c r="B64" t="inlineStr">
        <is>
          <t xml:space="preserve">Abakkus Small Cap Fund - Regular  Plan - Growth</t>
        </is>
      </c>
      <c r="C64" t="inlineStr">
        <is>
          <t xml:space="preserve">INF2JJD01185</t>
        </is>
      </c>
    </row>
    <row r="65">
      <c r="A65" t="inlineStr">
        <is>
          <t xml:space="preserve">Aditya Birla Sun Life Mutual Fund</t>
        </is>
      </c>
      <c r="B65" t="inlineStr">
        <is>
          <t xml:space="preserve">Aditya Birla Sun Life Aggressive Hybrid Omni FOF-  Regular -  IDCW</t>
        </is>
      </c>
      <c r="C65" t="inlineStr">
        <is>
          <t xml:space="preserve">INF084M01085</t>
        </is>
      </c>
    </row>
    <row r="66">
      <c r="A66" t="inlineStr">
        <is>
          <t xml:space="preserve">Aditya Birla Sun Life Mutual Fund</t>
        </is>
      </c>
      <c r="B66" t="inlineStr">
        <is>
          <t xml:space="preserve">Aditya Birla Sun Life Aggressive Hybrid Omni FOF- Direct - IDCW</t>
        </is>
      </c>
      <c r="C66" t="inlineStr">
        <is>
          <t xml:space="preserve">INF084M01EU0</t>
        </is>
      </c>
    </row>
    <row r="67">
      <c r="A67" t="inlineStr">
        <is>
          <t xml:space="preserve">Aditya Birla Sun Life Mutual Fund</t>
        </is>
      </c>
      <c r="B67" t="inlineStr">
        <is>
          <t xml:space="preserve">Aditya Birla Sun Life Aggressive Hybrid Omni FOF- Direct Plan - Growth Option</t>
        </is>
      </c>
      <c r="C67" t="inlineStr">
        <is>
          <t xml:space="preserve">INF084M01ET2</t>
        </is>
      </c>
    </row>
    <row r="68">
      <c r="A68" t="inlineStr">
        <is>
          <t xml:space="preserve">Aditya Birla Sun Life Mutual Fund</t>
        </is>
      </c>
      <c r="B68" t="inlineStr">
        <is>
          <t xml:space="preserve">Aditya Birla Sun Life Aggressive Hybrid Omni FOF- Regular Plan - Growth Option</t>
        </is>
      </c>
      <c r="C68" t="inlineStr">
        <is>
          <t xml:space="preserve">INF084M01077</t>
        </is>
      </c>
    </row>
    <row r="69">
      <c r="A69" t="inlineStr">
        <is>
          <t xml:space="preserve">Aditya Birla Sun Life Mutual Fund</t>
        </is>
      </c>
      <c r="B69" t="inlineStr">
        <is>
          <t xml:space="preserve">Aditya Birla Sun Life Arbitrage Fund - Growth - Direct Plan</t>
        </is>
      </c>
      <c r="C69" t="inlineStr">
        <is>
          <t xml:space="preserve">INF209K01VP1</t>
        </is>
      </c>
    </row>
    <row r="70">
      <c r="A70" t="inlineStr">
        <is>
          <t xml:space="preserve">Aditya Birla Sun Life Mutual Fund</t>
        </is>
      </c>
      <c r="B70" t="inlineStr">
        <is>
          <t xml:space="preserve">Aditya BIRLA SUN LIFE ARBITRAGE FUND - REGULAR PLAN - GROWTH</t>
        </is>
      </c>
      <c r="C70" t="inlineStr">
        <is>
          <t xml:space="preserve">INF209K01264</t>
        </is>
      </c>
    </row>
    <row r="71">
      <c r="A71" t="inlineStr">
        <is>
          <t xml:space="preserve">Aditya Birla Sun Life Mutual Fund</t>
        </is>
      </c>
      <c r="B71" t="inlineStr">
        <is>
          <t xml:space="preserve">Aditya Birla Sun Life Arbitrage Fund-DIRECT - IDCW</t>
        </is>
      </c>
      <c r="C71" t="inlineStr">
        <is>
          <t xml:space="preserve">INF209K01P80</t>
        </is>
      </c>
    </row>
    <row r="72">
      <c r="A72" t="inlineStr">
        <is>
          <t xml:space="preserve">Aditya Birla Sun Life Mutual Fund</t>
        </is>
      </c>
      <c r="B72" t="inlineStr">
        <is>
          <t xml:space="preserve">Aditya Birla Sun Life Arbitrage Fund-Regular - IDCW</t>
        </is>
      </c>
      <c r="C72" t="inlineStr">
        <is>
          <t xml:space="preserve">INF209K01256</t>
        </is>
      </c>
    </row>
    <row r="73">
      <c r="A73" t="inlineStr">
        <is>
          <t xml:space="preserve">Aditya Birla Sun Life Mutual Fund</t>
        </is>
      </c>
      <c r="B73" t="inlineStr">
        <is>
          <t xml:space="preserve">ADITYA BIRLA SUN LIFE BAL BHAVISHYA YOJNA DIRECT GROWTH</t>
        </is>
      </c>
      <c r="C73" t="inlineStr">
        <is>
          <t xml:space="preserve">INF209KB1E84</t>
        </is>
      </c>
    </row>
    <row r="74">
      <c r="A74" t="inlineStr">
        <is>
          <t xml:space="preserve">Aditya Birla Sun Life Mutual Fund</t>
        </is>
      </c>
      <c r="B74" t="inlineStr">
        <is>
          <t xml:space="preserve">ADITYA BIRLA SUN LIFE BAL BHAVISHYA YOJNA REGULAR GROWTH</t>
        </is>
      </c>
      <c r="C74" t="inlineStr">
        <is>
          <t xml:space="preserve">INF209KB1E76</t>
        </is>
      </c>
    </row>
    <row r="75">
      <c r="A75" t="inlineStr">
        <is>
          <t xml:space="preserve">Aditya Birla Sun Life Mutual Fund</t>
        </is>
      </c>
      <c r="B75" t="inlineStr">
        <is>
          <t xml:space="preserve">ADITYA BIRLA SUN LIFE BAL BHAVISHYA YOJNA- Direct - IDCW</t>
        </is>
      </c>
      <c r="C75" t="inlineStr">
        <is>
          <t xml:space="preserve">INF209KB1F18</t>
        </is>
      </c>
    </row>
    <row r="76">
      <c r="A76" t="inlineStr">
        <is>
          <t xml:space="preserve">Aditya Birla Sun Life Mutual Fund</t>
        </is>
      </c>
      <c r="B76" t="inlineStr">
        <is>
          <t xml:space="preserve">ADITYA BIRLA SUN LIFE BAL BHAVISHYA YOJNA- Regular - IDCW</t>
        </is>
      </c>
      <c r="C76" t="inlineStr">
        <is>
          <t xml:space="preserve">INF209KB1E92</t>
        </is>
      </c>
    </row>
    <row r="77">
      <c r="A77" t="inlineStr">
        <is>
          <t xml:space="preserve">Aditya Birla Sun Life Mutual Fund</t>
        </is>
      </c>
      <c r="B77" t="inlineStr">
        <is>
          <t xml:space="preserve">Aditya Birla Sun Life Balanced Advantage Fund - Direct Plan - Growth Option</t>
        </is>
      </c>
      <c r="C77" t="inlineStr">
        <is>
          <t xml:space="preserve">INF084M01DJ5</t>
        </is>
      </c>
    </row>
    <row r="78">
      <c r="A78" t="inlineStr">
        <is>
          <t xml:space="preserve">Aditya Birla Sun Life Mutual Fund</t>
        </is>
      </c>
      <c r="B78" t="inlineStr">
        <is>
          <t xml:space="preserve">Aditya Birla Sun Life Balanced Advantage Fund - Regular Plan - Growth Option</t>
        </is>
      </c>
      <c r="C78" t="inlineStr">
        <is>
          <t xml:space="preserve">INF084M01AB8</t>
        </is>
      </c>
    </row>
    <row r="79">
      <c r="A79" t="inlineStr">
        <is>
          <t xml:space="preserve">Aditya Birla Sun Life Mutual Fund</t>
        </is>
      </c>
      <c r="B79" t="inlineStr">
        <is>
          <t xml:space="preserve">Aditya Birla Sun Life Balanced Advantage Fund -DIRECT - IDCW</t>
        </is>
      </c>
      <c r="C79" t="inlineStr">
        <is>
          <t xml:space="preserve">INF084M01DK3</t>
        </is>
      </c>
    </row>
    <row r="80">
      <c r="A80" t="inlineStr">
        <is>
          <t xml:space="preserve">Aditya Birla Sun Life Mutual Fund</t>
        </is>
      </c>
      <c r="B80" t="inlineStr">
        <is>
          <t xml:space="preserve">Aditya Birla Sun Life Balanced Advantage Fund -REGULAR - IDCW</t>
        </is>
      </c>
      <c r="C80" t="inlineStr">
        <is>
          <t xml:space="preserve">INF084M01AC6</t>
        </is>
      </c>
    </row>
    <row r="81">
      <c r="A81" t="inlineStr">
        <is>
          <t xml:space="preserve">Aditya Birla Sun Life Mutual Fund</t>
        </is>
      </c>
      <c r="B81" t="inlineStr">
        <is>
          <t xml:space="preserve">Aditya Birla Sun Life Banking &amp; PSU Debt Fund  - DIRECT - IDCW</t>
        </is>
      </c>
      <c r="C81" t="inlineStr">
        <is>
          <t xml:space="preserve">INF209KA12Z1</t>
        </is>
      </c>
    </row>
    <row r="82">
      <c r="A82" t="inlineStr">
        <is>
          <t xml:space="preserve">Aditya Birla Sun Life Mutual Fund</t>
        </is>
      </c>
      <c r="B82" t="inlineStr">
        <is>
          <t xml:space="preserve">Aditya Birla Sun Life Banking &amp; PSU Debt Fund  - DIRECT - MONTHLY IDCW</t>
        </is>
      </c>
      <c r="C82" t="inlineStr">
        <is>
          <t xml:space="preserve">INF209K01YM2</t>
        </is>
      </c>
    </row>
    <row r="83">
      <c r="A83" t="inlineStr">
        <is>
          <t xml:space="preserve">Aditya Birla Sun Life Mutual Fund</t>
        </is>
      </c>
      <c r="B83" t="inlineStr">
        <is>
          <t xml:space="preserve">Aditya Birla Sun Life Banking &amp; PSU Debt Fund  - Direct - Quarterly IDCW</t>
        </is>
      </c>
      <c r="C83" t="inlineStr">
        <is>
          <t xml:space="preserve">INF209K01YO8</t>
        </is>
      </c>
    </row>
    <row r="84">
      <c r="A84" t="inlineStr">
        <is>
          <t xml:space="preserve">Aditya Birla Sun Life Mutual Fund</t>
        </is>
      </c>
      <c r="B84" t="inlineStr">
        <is>
          <t xml:space="preserve">Aditya Birla Sun Life Banking &amp; PSU Debt Fund  - REGULAR - IDCW</t>
        </is>
      </c>
      <c r="C84" t="inlineStr">
        <is>
          <t xml:space="preserve">INF209K01LX6</t>
        </is>
      </c>
    </row>
    <row r="85">
      <c r="A85" t="inlineStr">
        <is>
          <t xml:space="preserve">Aditya Birla Sun Life Mutual Fund</t>
        </is>
      </c>
      <c r="B85" t="inlineStr">
        <is>
          <t xml:space="preserve">Aditya Birla Sun Life Banking &amp; PSU Debt Fund  - REGULAR - MONTHLY IDCW</t>
        </is>
      </c>
      <c r="C85" t="inlineStr">
        <is>
          <t xml:space="preserve">INF209K01LU2</t>
        </is>
      </c>
    </row>
    <row r="86">
      <c r="A86" t="inlineStr">
        <is>
          <t xml:space="preserve">Aditya Birla Sun Life Mutual Fund</t>
        </is>
      </c>
      <c r="B86" t="inlineStr">
        <is>
          <t xml:space="preserve">Aditya Birla Sun Life Banking &amp; PSU Debt Fund  - REGULAR - Quarterly IDCW</t>
        </is>
      </c>
      <c r="C86" t="inlineStr">
        <is>
          <t xml:space="preserve">INF209K01LN7</t>
        </is>
      </c>
    </row>
    <row r="87">
      <c r="A87" t="inlineStr">
        <is>
          <t xml:space="preserve">Aditya Birla Sun Life Mutual Fund</t>
        </is>
      </c>
      <c r="B87" t="inlineStr">
        <is>
          <t xml:space="preserve">Aditya Birla Sun Life Banking &amp; PSU Debt Fund - Regular Plan-Growth</t>
        </is>
      </c>
      <c r="C87" t="inlineStr">
        <is>
          <t xml:space="preserve">INF209K01LV0</t>
        </is>
      </c>
    </row>
    <row r="88">
      <c r="A88" t="inlineStr">
        <is>
          <t xml:space="preserve">Aditya Birla Sun Life Mutual Fund</t>
        </is>
      </c>
      <c r="B88" t="inlineStr">
        <is>
          <t xml:space="preserve">Aditya Birla Sun Life Banking &amp; PSU Debt Fund- Direct Plan-Growth</t>
        </is>
      </c>
      <c r="C88" t="inlineStr">
        <is>
          <t xml:space="preserve">INF209K01YN0</t>
        </is>
      </c>
    </row>
    <row r="89">
      <c r="A89" t="inlineStr">
        <is>
          <t xml:space="preserve">Aditya Birla Sun Life Mutual Fund</t>
        </is>
      </c>
      <c r="B89" t="inlineStr">
        <is>
          <t xml:space="preserve">Aditya Birla Sun Life Banking and Financial Services Fund - DIRECT - IDCW</t>
        </is>
      </c>
      <c r="C89" t="inlineStr">
        <is>
          <t xml:space="preserve">INF209K013W3</t>
        </is>
      </c>
    </row>
    <row r="90">
      <c r="A90" t="inlineStr">
        <is>
          <t xml:space="preserve">Aditya Birla Sun Life Mutual Fund</t>
        </is>
      </c>
      <c r="B90" t="inlineStr">
        <is>
          <t xml:space="preserve">Aditya Birla Sun Life Banking and Financial Services Fund - Direct Plan - Growth</t>
        </is>
      </c>
      <c r="C90" t="inlineStr">
        <is>
          <t xml:space="preserve">INF209K014W1</t>
        </is>
      </c>
    </row>
    <row r="91">
      <c r="A91" t="inlineStr">
        <is>
          <t xml:space="preserve">Aditya Birla Sun Life Mutual Fund</t>
        </is>
      </c>
      <c r="B91" t="inlineStr">
        <is>
          <t xml:space="preserve">Aditya Birla Sun Life Banking and Financial Services Fund - REGULAR - IDCW</t>
        </is>
      </c>
      <c r="C91" t="inlineStr">
        <is>
          <t xml:space="preserve">INF209K010W9</t>
        </is>
      </c>
    </row>
    <row r="92">
      <c r="A92" t="inlineStr">
        <is>
          <t xml:space="preserve">Aditya Birla Sun Life Mutual Fund</t>
        </is>
      </c>
      <c r="B92" t="inlineStr">
        <is>
          <t xml:space="preserve">Aditya Birla Sun Life Banking and Financial Services Fund - Regular Plan - Growth</t>
        </is>
      </c>
      <c r="C92" t="inlineStr">
        <is>
          <t xml:space="preserve">INF209K011W7</t>
        </is>
      </c>
    </row>
    <row r="93">
      <c r="A93" t="inlineStr">
        <is>
          <t xml:space="preserve">Aditya Birla Sun Life Mutual Fund</t>
        </is>
      </c>
      <c r="B93" t="inlineStr">
        <is>
          <t xml:space="preserve">Aditya Birla Sun Life BSE 500 Momentum 50 Index Fund- Regular Growth</t>
        </is>
      </c>
      <c r="C93" t="inlineStr">
        <is>
          <t xml:space="preserve">INF209KC1605</t>
        </is>
      </c>
    </row>
    <row r="94">
      <c r="A94" t="inlineStr">
        <is>
          <t xml:space="preserve">Aditya Birla Sun Life Mutual Fund</t>
        </is>
      </c>
      <c r="B94" t="inlineStr">
        <is>
          <t xml:space="preserve">Aditya Birla Sun Life BSE 500 Momentum 50 Index Fund-Direct Growth</t>
        </is>
      </c>
      <c r="C94" t="inlineStr">
        <is>
          <t xml:space="preserve">INF209KC1589</t>
        </is>
      </c>
    </row>
    <row r="95">
      <c r="A95" t="inlineStr">
        <is>
          <t xml:space="preserve">Aditya Birla Sun Life Mutual Fund</t>
        </is>
      </c>
      <c r="B95" t="inlineStr">
        <is>
          <t xml:space="preserve">Aditya Birla Sun Life BSE 500 Momentum 50 Index Fund-Direct IDCW Payout</t>
        </is>
      </c>
      <c r="C95" t="inlineStr">
        <is>
          <t xml:space="preserve">INF209KC1597</t>
        </is>
      </c>
    </row>
    <row r="96">
      <c r="A96" t="inlineStr">
        <is>
          <t xml:space="preserve">Aditya Birla Sun Life Mutual Fund</t>
        </is>
      </c>
      <c r="B96" t="inlineStr">
        <is>
          <t xml:space="preserve">Aditya Birla Sun Life BSE 500 Momentum 50 Index Fund-Regular IDCW Payout</t>
        </is>
      </c>
      <c r="C96" t="inlineStr">
        <is>
          <t xml:space="preserve">INF209KC1654</t>
        </is>
      </c>
    </row>
    <row r="97">
      <c r="A97" t="inlineStr">
        <is>
          <t xml:space="preserve">Aditya Birla Sun Life Mutual Fund</t>
        </is>
      </c>
      <c r="B97" t="inlineStr">
        <is>
          <t xml:space="preserve">Aditya Birla Sun Life BSE 500 Quality 50 Index Fund - Direct Growth</t>
        </is>
      </c>
      <c r="C97" t="inlineStr">
        <is>
          <t xml:space="preserve">INF209KC1613</t>
        </is>
      </c>
    </row>
    <row r="98">
      <c r="A98" t="inlineStr">
        <is>
          <t xml:space="preserve">Aditya Birla Sun Life Mutual Fund</t>
        </is>
      </c>
      <c r="B98" t="inlineStr">
        <is>
          <t xml:space="preserve">Aditya Birla Sun Life BSE 500 Quality 50 Index Fund - Direct IDCW Payout</t>
        </is>
      </c>
      <c r="C98" t="inlineStr">
        <is>
          <t xml:space="preserve">INF209KC1621</t>
        </is>
      </c>
    </row>
    <row r="99">
      <c r="A99" t="inlineStr">
        <is>
          <t xml:space="preserve">Aditya Birla Sun Life Mutual Fund</t>
        </is>
      </c>
      <c r="B99" t="inlineStr">
        <is>
          <t xml:space="preserve">Aditya Birla Sun Life BSE 500 Quality 50 Index Fund - Regular Growth</t>
        </is>
      </c>
      <c r="C99" t="inlineStr">
        <is>
          <t xml:space="preserve">INF209KC1639</t>
        </is>
      </c>
    </row>
    <row r="100">
      <c r="A100" t="inlineStr">
        <is>
          <t xml:space="preserve">Aditya Birla Sun Life Mutual Fund</t>
        </is>
      </c>
      <c r="B100" t="inlineStr">
        <is>
          <t xml:space="preserve">Aditya Birla Sun Life BSE 500 Quality 50 Index Fund - Regular IDCW Payout</t>
        </is>
      </c>
      <c r="C100" t="inlineStr">
        <is>
          <t xml:space="preserve">INF209KC1647</t>
        </is>
      </c>
    </row>
    <row r="101">
      <c r="A101" t="inlineStr">
        <is>
          <t xml:space="preserve">Aditya Birla Sun Life Mutual Fund</t>
        </is>
      </c>
      <c r="B101" t="inlineStr">
        <is>
          <t xml:space="preserve">Aditya Birla Sun Life BSE India Infrastructure Index Fund-Direct Growth</t>
        </is>
      </c>
      <c r="C101" t="inlineStr">
        <is>
          <t xml:space="preserve">INF209KC1332</t>
        </is>
      </c>
    </row>
    <row r="102">
      <c r="A102" t="inlineStr">
        <is>
          <t xml:space="preserve">Aditya Birla Sun Life Mutual Fund</t>
        </is>
      </c>
      <c r="B102" t="inlineStr">
        <is>
          <t xml:space="preserve">Aditya Birla Sun Life BSE India Infrastructure Index Fund-Direct IDCW Payout</t>
        </is>
      </c>
      <c r="C102" t="inlineStr">
        <is>
          <t xml:space="preserve">INF209KC1340</t>
        </is>
      </c>
    </row>
    <row r="103">
      <c r="A103" t="inlineStr">
        <is>
          <t xml:space="preserve">Aditya Birla Sun Life Mutual Fund</t>
        </is>
      </c>
      <c r="B103" t="inlineStr">
        <is>
          <t xml:space="preserve">Aditya Birla Sun Life BSE India Infrastructure Index Fund-Regular Growth</t>
        </is>
      </c>
      <c r="C103" t="inlineStr">
        <is>
          <t xml:space="preserve">INF209KC1357</t>
        </is>
      </c>
    </row>
    <row r="104">
      <c r="A104" t="inlineStr">
        <is>
          <t xml:space="preserve">Aditya Birla Sun Life Mutual Fund</t>
        </is>
      </c>
      <c r="B104" t="inlineStr">
        <is>
          <t xml:space="preserve">Aditya Birla Sun Life BSE India Infrastructure Index Fund-Regular IDCW Payout</t>
        </is>
      </c>
      <c r="C104" t="inlineStr">
        <is>
          <t xml:space="preserve">INF209KC1365</t>
        </is>
      </c>
    </row>
    <row r="105">
      <c r="A105" t="inlineStr">
        <is>
          <t xml:space="preserve">Aditya Birla Sun Life Mutual Fund</t>
        </is>
      </c>
      <c r="B105" t="inlineStr">
        <is>
          <t xml:space="preserve">Aditya Birla Sun Life BSE Sensex ETF</t>
        </is>
      </c>
      <c r="C105" t="inlineStr">
        <is>
          <t xml:space="preserve">INF209KB10E8</t>
        </is>
      </c>
    </row>
    <row r="106">
      <c r="A106" t="inlineStr">
        <is>
          <t xml:space="preserve">Aditya Birla Sun Life Mutual Fund</t>
        </is>
      </c>
      <c r="B106" t="inlineStr">
        <is>
          <t xml:space="preserve">Aditya Birla Sun Life BSE Top 10 Banks ETF</t>
        </is>
      </c>
      <c r="C106" t="inlineStr">
        <is>
          <t xml:space="preserve">INF209KC1670</t>
        </is>
      </c>
    </row>
    <row r="107">
      <c r="A107" t="inlineStr">
        <is>
          <t xml:space="preserve">Aditya Birla Sun Life Mutual Fund</t>
        </is>
      </c>
      <c r="B107" t="inlineStr">
        <is>
          <t xml:space="preserve">Aditya Birla Sun Life Business Cycle Fund-Direct Growth</t>
        </is>
      </c>
      <c r="C107" t="inlineStr">
        <is>
          <t xml:space="preserve">INF209KB14D2</t>
        </is>
      </c>
    </row>
    <row r="108">
      <c r="A108" t="inlineStr">
        <is>
          <t xml:space="preserve">Aditya Birla Sun Life Mutual Fund</t>
        </is>
      </c>
      <c r="B108" t="inlineStr">
        <is>
          <t xml:space="preserve">Aditya Birla Sun Life Business Cycle Fund-Direct IDCW Payout</t>
        </is>
      </c>
      <c r="C108" t="inlineStr">
        <is>
          <t xml:space="preserve">INF209KB15D9</t>
        </is>
      </c>
    </row>
    <row r="109">
      <c r="A109" t="inlineStr">
        <is>
          <t xml:space="preserve">Aditya Birla Sun Life Mutual Fund</t>
        </is>
      </c>
      <c r="B109" t="inlineStr">
        <is>
          <t xml:space="preserve">Aditya Birla Sun Life Business Cycle Fund-Regular IDCW Payout</t>
        </is>
      </c>
      <c r="C109" t="inlineStr">
        <is>
          <t xml:space="preserve">INF209KB13D4</t>
        </is>
      </c>
    </row>
    <row r="110">
      <c r="A110" t="inlineStr">
        <is>
          <t xml:space="preserve">Aditya Birla Sun Life Mutual Fund</t>
        </is>
      </c>
      <c r="B110" t="inlineStr">
        <is>
          <t xml:space="preserve">Aditya Birla Sun Life Business Cycle Fund-Regular-Growth</t>
        </is>
      </c>
      <c r="C110" t="inlineStr">
        <is>
          <t xml:space="preserve">INF209KB12D6</t>
        </is>
      </c>
    </row>
    <row r="111">
      <c r="A111" t="inlineStr">
        <is>
          <t xml:space="preserve">Aditya Birla Sun Life Mutual Fund</t>
        </is>
      </c>
      <c r="B111" t="inlineStr">
        <is>
          <t xml:space="preserve">Aditya Birla Sun Life Commodity Equities Fund - Global Agri Plan - Growth - Direct Plan</t>
        </is>
      </c>
      <c r="C111" t="inlineStr">
        <is>
          <t xml:space="preserve">INF209K01VL0</t>
        </is>
      </c>
    </row>
    <row r="112">
      <c r="A112" t="inlineStr">
        <is>
          <t xml:space="preserve">Aditya Birla Sun Life Mutual Fund</t>
        </is>
      </c>
      <c r="B112" t="inlineStr">
        <is>
          <t xml:space="preserve">Aditya Birla Sun Life Commodity Equities Fund - Global Agri Plan - Growth - Regular Plan</t>
        </is>
      </c>
      <c r="C112" t="inlineStr">
        <is>
          <t xml:space="preserve">INF209K01207</t>
        </is>
      </c>
    </row>
    <row r="113">
      <c r="A113" t="inlineStr">
        <is>
          <t xml:space="preserve">Aditya Birla Sun Life Mutual Fund</t>
        </is>
      </c>
      <c r="B113" t="inlineStr">
        <is>
          <t xml:space="preserve">Aditya Birla Sun Life Commodity Equities Fund - Global Agri Plan -Direct - IDCW</t>
        </is>
      </c>
      <c r="C113" t="inlineStr">
        <is>
          <t xml:space="preserve">INF209K01P64</t>
        </is>
      </c>
    </row>
    <row r="114">
      <c r="A114" t="inlineStr">
        <is>
          <t xml:space="preserve">Aditya Birla Sun Life Mutual Fund</t>
        </is>
      </c>
      <c r="B114" t="inlineStr">
        <is>
          <t xml:space="preserve">Aditya Birla Sun Life Commodity Equities Fund - Global Agri Plan -Regular - IDCW</t>
        </is>
      </c>
      <c r="C114" t="inlineStr">
        <is>
          <t xml:space="preserve">INF209K01199</t>
        </is>
      </c>
    </row>
    <row r="115">
      <c r="A115" t="inlineStr">
        <is>
          <t xml:space="preserve">Aditya Birla Sun Life Mutual Fund</t>
        </is>
      </c>
      <c r="B115" t="inlineStr">
        <is>
          <t xml:space="preserve">Aditya Birla Sun Life Conglomerate Fund-Direct Growth</t>
        </is>
      </c>
      <c r="C115" t="inlineStr">
        <is>
          <t xml:space="preserve">INF209KC1373</t>
        </is>
      </c>
    </row>
    <row r="116">
      <c r="A116" t="inlineStr">
        <is>
          <t xml:space="preserve">Aditya Birla Sun Life Mutual Fund</t>
        </is>
      </c>
      <c r="B116" t="inlineStr">
        <is>
          <t xml:space="preserve">Aditya Birla Sun Life Conglomerate Fund-Direct IDCW Payout</t>
        </is>
      </c>
      <c r="C116" t="inlineStr">
        <is>
          <t xml:space="preserve">INF209KC1381</t>
        </is>
      </c>
    </row>
    <row r="117">
      <c r="A117" t="inlineStr">
        <is>
          <t xml:space="preserve">Aditya Birla Sun Life Mutual Fund</t>
        </is>
      </c>
      <c r="B117" t="inlineStr">
        <is>
          <t xml:space="preserve">Aditya Birla Sun Life Conglomerate Fund-Regular Growth</t>
        </is>
      </c>
      <c r="C117" t="inlineStr">
        <is>
          <t xml:space="preserve">INF209KC1399</t>
        </is>
      </c>
    </row>
    <row r="118">
      <c r="A118" t="inlineStr">
        <is>
          <t xml:space="preserve">Aditya Birla Sun Life Mutual Fund</t>
        </is>
      </c>
      <c r="B118" t="inlineStr">
        <is>
          <t xml:space="preserve">Aditya Birla Sun Life Conglomerate Fund-Regular IDCW Payout</t>
        </is>
      </c>
      <c r="C118" t="inlineStr">
        <is>
          <t xml:space="preserve">INF209KC1407</t>
        </is>
      </c>
    </row>
    <row r="119">
      <c r="A119" t="inlineStr">
        <is>
          <t xml:space="preserve">Aditya Birla Sun Life Mutual Fund</t>
        </is>
      </c>
      <c r="B119" t="inlineStr">
        <is>
          <t xml:space="preserve">Aditya Birla Sun Life Conservative Hybrid Active FOF -Regular - IDCW</t>
        </is>
      </c>
      <c r="C119" t="inlineStr">
        <is>
          <t xml:space="preserve">INF084M01051</t>
        </is>
      </c>
    </row>
    <row r="120">
      <c r="A120" t="inlineStr">
        <is>
          <t xml:space="preserve">Aditya Birla Sun Life Mutual Fund</t>
        </is>
      </c>
      <c r="B120" t="inlineStr">
        <is>
          <t xml:space="preserve">Aditya Birla Sun Life Conservative Hybrid Active FOF- Direct Plan - Growth Option</t>
        </is>
      </c>
      <c r="C120" t="inlineStr">
        <is>
          <t xml:space="preserve">INF084M01EQ8</t>
        </is>
      </c>
    </row>
    <row r="121">
      <c r="A121" t="inlineStr">
        <is>
          <t xml:space="preserve">Aditya Birla Sun Life Mutual Fund</t>
        </is>
      </c>
      <c r="B121" t="inlineStr">
        <is>
          <t xml:space="preserve">Aditya Birla Sun Life Conservative Hybrid Active FOF- Regular Plan - Growth Option</t>
        </is>
      </c>
      <c r="C121" t="inlineStr">
        <is>
          <t xml:space="preserve">INF084M01044</t>
        </is>
      </c>
    </row>
    <row r="122">
      <c r="A122" t="inlineStr">
        <is>
          <t xml:space="preserve">Aditya Birla Sun Life Mutual Fund</t>
        </is>
      </c>
      <c r="B122" t="inlineStr">
        <is>
          <t xml:space="preserve">Aditya Birla Sun Life Conservative Hybrid Active FOF-Direct - IDCW</t>
        </is>
      </c>
      <c r="C122" t="inlineStr">
        <is>
          <t xml:space="preserve">INF084M01ER6</t>
        </is>
      </c>
    </row>
    <row r="123">
      <c r="A123" t="inlineStr">
        <is>
          <t xml:space="preserve">Aditya Birla Sun Life Mutual Fund</t>
        </is>
      </c>
      <c r="B123" t="inlineStr">
        <is>
          <t xml:space="preserve">Aditya Birla Sun Life Consumption Fund - Growth - Direct Plan</t>
        </is>
      </c>
      <c r="C123" t="inlineStr">
        <is>
          <t xml:space="preserve">INF209K01WC7</t>
        </is>
      </c>
    </row>
    <row r="124">
      <c r="A124" t="inlineStr">
        <is>
          <t xml:space="preserve">Aditya Birla Sun Life Mutual Fund</t>
        </is>
      </c>
      <c r="B124" t="inlineStr">
        <is>
          <t xml:space="preserve">Aditya Birla Sun Life Consumption Fund -DIRECT - IDCW</t>
        </is>
      </c>
      <c r="C124" t="inlineStr">
        <is>
          <t xml:space="preserve">INF209K01Q63</t>
        </is>
      </c>
    </row>
    <row r="125">
      <c r="A125" t="inlineStr">
        <is>
          <t xml:space="preserve">Aditya Birla Sun Life Mutual Fund</t>
        </is>
      </c>
      <c r="B125" t="inlineStr">
        <is>
          <t xml:space="preserve">Aditya Birla Sun Life Consumption Fund -Regular - IDCW</t>
        </is>
      </c>
      <c r="C125" t="inlineStr">
        <is>
          <t xml:space="preserve">INF209K01439</t>
        </is>
      </c>
    </row>
    <row r="126">
      <c r="A126" t="inlineStr">
        <is>
          <t xml:space="preserve">Aditya Birla Sun Life Mutual Fund</t>
        </is>
      </c>
      <c r="B126" t="inlineStr">
        <is>
          <t xml:space="preserve">Aditya Birla Sun Life Consumption Fund-Growth Option</t>
        </is>
      </c>
      <c r="C126" t="inlineStr">
        <is>
          <t xml:space="preserve">INF209K01447</t>
        </is>
      </c>
    </row>
    <row r="127">
      <c r="A127" t="inlineStr">
        <is>
          <t xml:space="preserve">Aditya Birla Sun Life Mutual Fund</t>
        </is>
      </c>
      <c r="B127" t="inlineStr">
        <is>
          <t xml:space="preserve">Aditya Birla Sun Life Corporate Bond Fund - Growth - Direct Plan</t>
        </is>
      </c>
      <c r="C127" t="inlineStr">
        <is>
          <t xml:space="preserve">INF209K01S38</t>
        </is>
      </c>
    </row>
    <row r="128">
      <c r="A128" t="inlineStr">
        <is>
          <t xml:space="preserve">Aditya Birla Sun Life Mutual Fund</t>
        </is>
      </c>
      <c r="B128" t="inlineStr">
        <is>
          <t xml:space="preserve">Aditya Birla Sun Life Corporate Bond Fund - Growth - Regular Plan</t>
        </is>
      </c>
      <c r="C128" t="inlineStr">
        <is>
          <t xml:space="preserve">INF209K01785</t>
        </is>
      </c>
    </row>
    <row r="129">
      <c r="A129" t="inlineStr">
        <is>
          <t xml:space="preserve">Aditya Birla Sun Life Mutual Fund</t>
        </is>
      </c>
      <c r="B129" t="inlineStr">
        <is>
          <t xml:space="preserve">Aditya Birla Sun Life Corporate Bond Fund -DIRECT - IDCW</t>
        </is>
      </c>
      <c r="C129" t="inlineStr">
        <is>
          <t xml:space="preserve">INF209KA1KT0</t>
        </is>
      </c>
    </row>
    <row r="130">
      <c r="A130" t="inlineStr">
        <is>
          <t xml:space="preserve">Aditya Birla Sun Life Mutual Fund</t>
        </is>
      </c>
      <c r="B130" t="inlineStr">
        <is>
          <t xml:space="preserve">Aditya Birla Sun Life Corporate Bond Fund -DIRECT - MONTHLY IDCW</t>
        </is>
      </c>
      <c r="C130" t="inlineStr">
        <is>
          <t xml:space="preserve">INF209K01N90</t>
        </is>
      </c>
    </row>
    <row r="131">
      <c r="A131" t="inlineStr">
        <is>
          <t xml:space="preserve">Aditya Birla Sun Life Mutual Fund</t>
        </is>
      </c>
      <c r="B131" t="inlineStr">
        <is>
          <t xml:space="preserve">Aditya Birla Sun Life Corporate Bond Fund -REGULAR - IDCW</t>
        </is>
      </c>
      <c r="C131" t="inlineStr">
        <is>
          <t xml:space="preserve">INF209KA1KS2</t>
        </is>
      </c>
    </row>
    <row r="132">
      <c r="A132" t="inlineStr">
        <is>
          <t xml:space="preserve">Aditya Birla Sun Life Mutual Fund</t>
        </is>
      </c>
      <c r="B132" t="inlineStr">
        <is>
          <t xml:space="preserve">Aditya Birla Sun Life Corporate Bond Fund -REGULAR - MONTHLY IDCW</t>
        </is>
      </c>
      <c r="C132" t="inlineStr">
        <is>
          <t xml:space="preserve">INF209K01983</t>
        </is>
      </c>
    </row>
    <row r="133">
      <c r="A133" t="inlineStr">
        <is>
          <t xml:space="preserve">Aditya Birla Sun Life Mutual Fund</t>
        </is>
      </c>
      <c r="B133" t="inlineStr">
        <is>
          <t xml:space="preserve">Aditya Birla Sun Life Credit Risk Fund - Direct - IDCW</t>
        </is>
      </c>
      <c r="C133" t="inlineStr">
        <is>
          <t xml:space="preserve">INF209KA1K96</t>
        </is>
      </c>
    </row>
    <row r="134">
      <c r="A134" t="inlineStr">
        <is>
          <t xml:space="preserve">Aditya Birla Sun Life Mutual Fund</t>
        </is>
      </c>
      <c r="B134" t="inlineStr">
        <is>
          <t xml:space="preserve">Aditya Birla Sun Life Credit Risk Fund - Direct Plan - Bonus</t>
        </is>
      </c>
      <c r="C134" t="inlineStr">
        <is>
          <t xml:space="preserve">INF209KA1L12</t>
        </is>
      </c>
    </row>
    <row r="135">
      <c r="A135" t="inlineStr">
        <is>
          <t xml:space="preserve">Aditya Birla Sun Life Mutual Fund</t>
        </is>
      </c>
      <c r="B135" t="inlineStr">
        <is>
          <t xml:space="preserve">Aditya Birla Sun Life Credit Risk Fund - Direct Plan - Growth</t>
        </is>
      </c>
      <c r="C135" t="inlineStr">
        <is>
          <t xml:space="preserve">INF209KA1K88</t>
        </is>
      </c>
    </row>
    <row r="136">
      <c r="A136" t="inlineStr">
        <is>
          <t xml:space="preserve">Aditya Birla Sun Life Mutual Fund</t>
        </is>
      </c>
      <c r="B136" t="inlineStr">
        <is>
          <t xml:space="preserve">Aditya Birla Sun Life Credit Risk Fund - Regular - IDCW</t>
        </is>
      </c>
      <c r="C136" t="inlineStr">
        <is>
          <t xml:space="preserve">INF209KA1K54</t>
        </is>
      </c>
    </row>
    <row r="137">
      <c r="A137" t="inlineStr">
        <is>
          <t xml:space="preserve">Aditya Birla Sun Life Mutual Fund</t>
        </is>
      </c>
      <c r="B137" t="inlineStr">
        <is>
          <t xml:space="preserve">Aditya Birla Sun Life Credit Risk Fund - Regular Plan - Bonus</t>
        </is>
      </c>
      <c r="C137" t="inlineStr">
        <is>
          <t xml:space="preserve">INF209KA1K70</t>
        </is>
      </c>
    </row>
    <row r="138">
      <c r="A138" t="inlineStr">
        <is>
          <t xml:space="preserve">Aditya Birla Sun Life Mutual Fund</t>
        </is>
      </c>
      <c r="B138" t="inlineStr">
        <is>
          <t xml:space="preserve">Aditya Birla Sun Life Credit Risk Fund - Regular Plan - Growth</t>
        </is>
      </c>
      <c r="C138" t="inlineStr">
        <is>
          <t xml:space="preserve">INF209KA1K47</t>
        </is>
      </c>
    </row>
    <row r="139">
      <c r="A139" t="inlineStr">
        <is>
          <t xml:space="preserve">Aditya Birla Sun Life Mutual Fund</t>
        </is>
      </c>
      <c r="B139" t="inlineStr">
        <is>
          <t xml:space="preserve">Aditya Birla Sun Life Crisil 10 Year Gilt ETF</t>
        </is>
      </c>
      <c r="C139" t="inlineStr">
        <is>
          <t xml:space="preserve">INF209KC1142</t>
        </is>
      </c>
    </row>
    <row r="140">
      <c r="A140" t="inlineStr">
        <is>
          <t xml:space="preserve">Aditya Birla Sun Life Mutual Fund</t>
        </is>
      </c>
      <c r="B140" t="inlineStr">
        <is>
          <t xml:space="preserve">ADITYA BIRLA SUN LIFE CRISIL BROAD BASED GILT ETF</t>
        </is>
      </c>
      <c r="C140" t="inlineStr">
        <is>
          <t xml:space="preserve">INF209KC1134</t>
        </is>
      </c>
    </row>
    <row r="141">
      <c r="A141" t="inlineStr">
        <is>
          <t xml:space="preserve">Aditya Birla Sun Life Mutual Fund</t>
        </is>
      </c>
      <c r="B141" t="inlineStr">
        <is>
          <t xml:space="preserve">Aditya Birla Sun Life Crisil IBX 50:50 Gilt Plus SDL Apr 2028 Index Fund-Direct Growth</t>
        </is>
      </c>
      <c r="C141" t="inlineStr">
        <is>
          <t xml:space="preserve">INF209KB14N1</t>
        </is>
      </c>
    </row>
    <row r="142">
      <c r="A142" t="inlineStr">
        <is>
          <t xml:space="preserve">Aditya Birla Sun Life Mutual Fund</t>
        </is>
      </c>
      <c r="B142" t="inlineStr">
        <is>
          <t xml:space="preserve">Aditya Birla Sun Life Crisil IBX 50:50 Gilt Plus SDL APR 2028 Index Fund-Direct IDCW</t>
        </is>
      </c>
      <c r="C142" t="inlineStr">
        <is>
          <t xml:space="preserve">INF209KB15N8</t>
        </is>
      </c>
    </row>
    <row r="143">
      <c r="A143" t="inlineStr">
        <is>
          <t xml:space="preserve">Aditya Birla Sun Life Mutual Fund</t>
        </is>
      </c>
      <c r="B143" t="inlineStr">
        <is>
          <t xml:space="preserve">Aditya Birla Sun Life Crisil IBX 50:50 Gilt Plus SDL Apr 2028 Index Fund-Regular Growth</t>
        </is>
      </c>
      <c r="C143" t="inlineStr">
        <is>
          <t xml:space="preserve">INF209KB12N5</t>
        </is>
      </c>
    </row>
    <row r="144">
      <c r="A144" t="inlineStr">
        <is>
          <t xml:space="preserve">Aditya Birla Sun Life Mutual Fund</t>
        </is>
      </c>
      <c r="B144" t="inlineStr">
        <is>
          <t xml:space="preserve">Aditya Birla Sun Life Crisil IBX 50:50 Gilt Plus SDL Apr 2028 Index Fund-Regular IDCW</t>
        </is>
      </c>
      <c r="C144" t="inlineStr">
        <is>
          <t xml:space="preserve">INF209KB13N3</t>
        </is>
      </c>
    </row>
    <row r="145">
      <c r="A145" t="inlineStr">
        <is>
          <t xml:space="preserve">Aditya Birla Sun Life Mutual Fund</t>
        </is>
      </c>
      <c r="B145" t="inlineStr">
        <is>
          <t xml:space="preserve">Aditya Birla Sun Life Crisil IBX 60:40 SDL + AAA PSU APR 2026 Index Fund-Direct Growth</t>
        </is>
      </c>
      <c r="C145" t="inlineStr">
        <is>
          <t xml:space="preserve">INF209KB10P4</t>
        </is>
      </c>
    </row>
    <row r="146">
      <c r="A146" t="inlineStr">
        <is>
          <t xml:space="preserve">Aditya Birla Sun Life Mutual Fund</t>
        </is>
      </c>
      <c r="B146" t="inlineStr">
        <is>
          <t xml:space="preserve">Aditya Birla Sun Life Crisil IBX 60:40 SDL+ AAA PSU APR 2026 Index Fund-Direct IDCW Payout</t>
        </is>
      </c>
      <c r="C146" t="inlineStr">
        <is>
          <t xml:space="preserve">INF209KB11P2</t>
        </is>
      </c>
    </row>
    <row r="147">
      <c r="A147" t="inlineStr">
        <is>
          <t xml:space="preserve">Aditya Birla Sun Life Mutual Fund</t>
        </is>
      </c>
      <c r="B147" t="inlineStr">
        <is>
          <t xml:space="preserve">Aditya Birla Sun Life Crisil IBX 60:40 SDL+AAA PSU APR 2026 Index Fund-Regular Growth</t>
        </is>
      </c>
      <c r="C147" t="inlineStr">
        <is>
          <t xml:space="preserve">INF209KB18O0</t>
        </is>
      </c>
    </row>
    <row r="148">
      <c r="A148" t="inlineStr">
        <is>
          <t xml:space="preserve">Aditya Birla Sun Life Mutual Fund</t>
        </is>
      </c>
      <c r="B148" t="inlineStr">
        <is>
          <t xml:space="preserve">Aditya Birla Sun Life Crisil IBX 60:40 SDL+AAA PSU APR 2026 Index Fund-Regular IDCW Payout</t>
        </is>
      </c>
      <c r="C148" t="inlineStr">
        <is>
          <t xml:space="preserve">INF209KB19O8</t>
        </is>
      </c>
    </row>
    <row r="149">
      <c r="A149" t="inlineStr">
        <is>
          <t xml:space="preserve">Aditya Birla Sun Life Mutual Fund</t>
        </is>
      </c>
      <c r="B149" t="inlineStr">
        <is>
          <t xml:space="preserve">Aditya Birla Sun Life Crisil IBX 60:40 SDL+AAA PSU-Apr 2027 Index Fund-Direct Growth</t>
        </is>
      </c>
      <c r="C149" t="inlineStr">
        <is>
          <t xml:space="preserve">INF209KB19H2</t>
        </is>
      </c>
    </row>
    <row r="150">
      <c r="A150" t="inlineStr">
        <is>
          <t xml:space="preserve">Aditya Birla Sun Life Mutual Fund</t>
        </is>
      </c>
      <c r="B150" t="inlineStr">
        <is>
          <t xml:space="preserve">Aditya Birla Sun Life Crisil IBX 60:40 SDL+AAA PSU-Apr 2027 Index Fund-Direct IDCW</t>
        </is>
      </c>
      <c r="C150" t="inlineStr">
        <is>
          <t xml:space="preserve">INF209KB10I9</t>
        </is>
      </c>
    </row>
    <row r="151">
      <c r="A151" t="inlineStr">
        <is>
          <t xml:space="preserve">Aditya Birla Sun Life Mutual Fund</t>
        </is>
      </c>
      <c r="B151" t="inlineStr">
        <is>
          <t xml:space="preserve">Aditya Birla Sun Life Crisil IBX 60:40 SDL+AAA PSU-Apr 2027 Index Fund-Regular Growth</t>
        </is>
      </c>
      <c r="C151" t="inlineStr">
        <is>
          <t xml:space="preserve">INF209KB17H6</t>
        </is>
      </c>
    </row>
    <row r="152">
      <c r="A152" t="inlineStr">
        <is>
          <t xml:space="preserve">Aditya Birla Sun Life Mutual Fund</t>
        </is>
      </c>
      <c r="B152" t="inlineStr">
        <is>
          <t xml:space="preserve">Aditya Birla Sun Life Crisil IBX 60:40 SDL+AAA PSU-Apr 2027 Index Fund-Regular IDCW</t>
        </is>
      </c>
      <c r="C152" t="inlineStr">
        <is>
          <t xml:space="preserve">INF209KB18H4</t>
        </is>
      </c>
    </row>
    <row r="153">
      <c r="A153" t="inlineStr">
        <is>
          <t xml:space="preserve">Aditya Birla Sun Life Mutual Fund</t>
        </is>
      </c>
      <c r="B153" t="inlineStr">
        <is>
          <t xml:space="preserve">Aditya Birla Sun Life Crisil IBX Gilt Apr 2028 Index Fund-Direct Growth</t>
        </is>
      </c>
      <c r="C153" t="inlineStr">
        <is>
          <t xml:space="preserve">INF209KB11U2</t>
        </is>
      </c>
    </row>
    <row r="154">
      <c r="A154" t="inlineStr">
        <is>
          <t xml:space="preserve">Aditya Birla Sun Life Mutual Fund</t>
        </is>
      </c>
      <c r="B154" t="inlineStr">
        <is>
          <t xml:space="preserve">Aditya Birla Sun Life Crisil IBX Gilt Apr 2028 Index Fund-Direct IDCW</t>
        </is>
      </c>
      <c r="C154" t="inlineStr">
        <is>
          <t xml:space="preserve">INF209KB12U0</t>
        </is>
      </c>
    </row>
    <row r="155">
      <c r="A155" t="inlineStr">
        <is>
          <t xml:space="preserve">Aditya Birla Sun Life Mutual Fund</t>
        </is>
      </c>
      <c r="B155" t="inlineStr">
        <is>
          <t xml:space="preserve">Aditya Birla Sun Life Crisil IBX Gilt Apr 2028 Index Fund-Regular Growth</t>
        </is>
      </c>
      <c r="C155" t="inlineStr">
        <is>
          <t xml:space="preserve">INF209KB19T7</t>
        </is>
      </c>
    </row>
    <row r="156">
      <c r="A156" t="inlineStr">
        <is>
          <t xml:space="preserve">Aditya Birla Sun Life Mutual Fund</t>
        </is>
      </c>
      <c r="B156" t="inlineStr">
        <is>
          <t xml:space="preserve">Aditya Birla Sun Life Crisil IBX Gilt Apr 2028 Index Fund-Regular IDCW</t>
        </is>
      </c>
      <c r="C156" t="inlineStr">
        <is>
          <t xml:space="preserve">INF209KB10U4</t>
        </is>
      </c>
    </row>
    <row r="157">
      <c r="A157" t="inlineStr">
        <is>
          <t xml:space="preserve">Aditya Birla Sun Life Mutual Fund</t>
        </is>
      </c>
      <c r="B157" t="inlineStr">
        <is>
          <t xml:space="preserve">Aditya Birla Sun Life Crisil IBX Gilt Apr 2033 Index Fund-Direct Growth</t>
        </is>
      </c>
      <c r="C157" t="inlineStr">
        <is>
          <t xml:space="preserve">INF209KB19Y7</t>
        </is>
      </c>
    </row>
    <row r="158">
      <c r="A158" t="inlineStr">
        <is>
          <t xml:space="preserve">Aditya Birla Sun Life Mutual Fund</t>
        </is>
      </c>
      <c r="B158" t="inlineStr">
        <is>
          <t xml:space="preserve">Aditya Birla Sun Life Crisil IBX Gilt Apr 2033 Index Fund-Direct IDCW Payout</t>
        </is>
      </c>
      <c r="C158" t="inlineStr">
        <is>
          <t xml:space="preserve">INF209KB10Z3</t>
        </is>
      </c>
    </row>
    <row r="159">
      <c r="A159" t="inlineStr">
        <is>
          <t xml:space="preserve">Aditya Birla Sun Life Mutual Fund</t>
        </is>
      </c>
      <c r="B159" t="inlineStr">
        <is>
          <t xml:space="preserve">Aditya Birla Sun Life Crisil IBX Gilt Apr 2033 Index Fund-Regular Growth</t>
        </is>
      </c>
      <c r="C159" t="inlineStr">
        <is>
          <t xml:space="preserve">INF209KB17Y1</t>
        </is>
      </c>
    </row>
    <row r="160">
      <c r="A160" t="inlineStr">
        <is>
          <t xml:space="preserve">Aditya Birla Sun Life Mutual Fund</t>
        </is>
      </c>
      <c r="B160" t="inlineStr">
        <is>
          <t xml:space="preserve">Aditya Birla Sun Life Crisil IBX Gilt Apr 2033 Index Fund-Regular IDCW payout</t>
        </is>
      </c>
      <c r="C160" t="inlineStr">
        <is>
          <t xml:space="preserve">INF209KB18Y9</t>
        </is>
      </c>
    </row>
    <row r="161">
      <c r="A161" t="inlineStr">
        <is>
          <t xml:space="preserve">Aditya Birla Sun Life Mutual Fund</t>
        </is>
      </c>
      <c r="B161" t="inlineStr">
        <is>
          <t xml:space="preserve">Aditya Birla Sun Life Crisil IBX Gilt June 2027 Index Fund-Direct Growth</t>
        </is>
      </c>
      <c r="C161" t="inlineStr">
        <is>
          <t xml:space="preserve">INF209KC1076</t>
        </is>
      </c>
    </row>
    <row r="162">
      <c r="A162" t="inlineStr">
        <is>
          <t xml:space="preserve">Aditya Birla Sun Life Mutual Fund</t>
        </is>
      </c>
      <c r="B162" t="inlineStr">
        <is>
          <t xml:space="preserve">Aditya Birla Sun Life Crisil Ibx Gilt June 2027 Index Fund-Direct IDCW Payout</t>
        </is>
      </c>
      <c r="C162" t="inlineStr">
        <is>
          <t xml:space="preserve">INF209KC1084</t>
        </is>
      </c>
    </row>
    <row r="163">
      <c r="A163" t="inlineStr">
        <is>
          <t xml:space="preserve">Aditya Birla Sun Life Mutual Fund</t>
        </is>
      </c>
      <c r="B163" t="inlineStr">
        <is>
          <t xml:space="preserve">Aditya Birla Sun Life Crisil IBX Gilt June 2027 Index Fund-Regular Growth</t>
        </is>
      </c>
      <c r="C163" t="inlineStr">
        <is>
          <t xml:space="preserve">INF209KC1050</t>
        </is>
      </c>
    </row>
    <row r="164">
      <c r="A164" t="inlineStr">
        <is>
          <t xml:space="preserve">Aditya Birla Sun Life Mutual Fund</t>
        </is>
      </c>
      <c r="B164" t="inlineStr">
        <is>
          <t xml:space="preserve">Aditya Birla Sun Life Crisil IBX Gilt June 2027 Index Fund-Regular IDCW Payout</t>
        </is>
      </c>
      <c r="C164" t="inlineStr">
        <is>
          <t xml:space="preserve">INF209KC1068</t>
        </is>
      </c>
    </row>
    <row r="165">
      <c r="A165" t="inlineStr">
        <is>
          <t xml:space="preserve">Aditya Birla Sun Life Mutual Fund</t>
        </is>
      </c>
      <c r="B165" t="inlineStr">
        <is>
          <t xml:space="preserve">Aditya Birla Sun Life Crisil IBX Gilt- April 2026 Index Fund-Direct IDCW</t>
        </is>
      </c>
      <c r="C165" t="inlineStr">
        <is>
          <t xml:space="preserve">INF209KB11N7</t>
        </is>
      </c>
    </row>
    <row r="166">
      <c r="A166" t="inlineStr">
        <is>
          <t xml:space="preserve">Aditya Birla Sun Life Mutual Fund</t>
        </is>
      </c>
      <c r="B166" t="inlineStr">
        <is>
          <t xml:space="preserve">Aditya Birla Sun Life Crisil IBX Gilt-Apr 2029 Index Fund-Direct IDCW</t>
        </is>
      </c>
      <c r="C166" t="inlineStr">
        <is>
          <t xml:space="preserve">INF209KB13O1</t>
        </is>
      </c>
    </row>
    <row r="167">
      <c r="A167" t="inlineStr">
        <is>
          <t xml:space="preserve">Aditya Birla Sun Life Mutual Fund</t>
        </is>
      </c>
      <c r="B167" t="inlineStr">
        <is>
          <t xml:space="preserve">Aditya Birla Sun Life Crisil IBX Gilt-Apr 2029 Index Fund-Regular Growth</t>
        </is>
      </c>
      <c r="C167" t="inlineStr">
        <is>
          <t xml:space="preserve">INF209KB10O7</t>
        </is>
      </c>
    </row>
    <row r="168">
      <c r="A168" t="inlineStr">
        <is>
          <t xml:space="preserve">Aditya Birla Sun Life Mutual Fund</t>
        </is>
      </c>
      <c r="B168" t="inlineStr">
        <is>
          <t xml:space="preserve">Aditya Birla Sun Life Crisil IBX Gilt-Apr 2029 Index Fund-Regular IDCW</t>
        </is>
      </c>
      <c r="C168" t="inlineStr">
        <is>
          <t xml:space="preserve">INF209KB11O5</t>
        </is>
      </c>
    </row>
    <row r="169">
      <c r="A169" t="inlineStr">
        <is>
          <t xml:space="preserve">Aditya Birla Sun Life Mutual Fund</t>
        </is>
      </c>
      <c r="B169" t="inlineStr">
        <is>
          <t xml:space="preserve">Aditya Birla Sun Life Crisil IBX Gilt-Apr-2029 Index Fund-Direct Growth</t>
        </is>
      </c>
      <c r="C169" t="inlineStr">
        <is>
          <t xml:space="preserve">INF209KB12O3</t>
        </is>
      </c>
    </row>
    <row r="170">
      <c r="A170" t="inlineStr">
        <is>
          <t xml:space="preserve">Aditya Birla Sun Life Mutual Fund</t>
        </is>
      </c>
      <c r="B170" t="inlineStr">
        <is>
          <t xml:space="preserve">Aditya Birla Sun Life Crisil IBX Gilt-April 2026 Index Fund-Direct Growth</t>
        </is>
      </c>
      <c r="C170" t="inlineStr">
        <is>
          <t xml:space="preserve">INF209KB10N9</t>
        </is>
      </c>
    </row>
    <row r="171">
      <c r="A171" t="inlineStr">
        <is>
          <t xml:space="preserve">Aditya Birla Sun Life Mutual Fund</t>
        </is>
      </c>
      <c r="B171" t="inlineStr">
        <is>
          <t xml:space="preserve">Aditya Birla Sun Life Crisil IBX Gilt-April 2026 Index Fund-Regular Growth</t>
        </is>
      </c>
      <c r="C171" t="inlineStr">
        <is>
          <t xml:space="preserve">INF209KB18M4</t>
        </is>
      </c>
    </row>
    <row r="172">
      <c r="A172" t="inlineStr">
        <is>
          <t xml:space="preserve">Aditya Birla Sun Life Mutual Fund</t>
        </is>
      </c>
      <c r="B172" t="inlineStr">
        <is>
          <t xml:space="preserve">Aditya Birla Sun Life Crisil IBX Gilt-April 2026 Index Fund-Regular IDCW</t>
        </is>
      </c>
      <c r="C172" t="inlineStr">
        <is>
          <t xml:space="preserve">INF209KB19M2</t>
        </is>
      </c>
    </row>
    <row r="173">
      <c r="A173" t="inlineStr">
        <is>
          <t xml:space="preserve">Aditya Birla Sun Life Mutual Fund</t>
        </is>
      </c>
      <c r="B173" t="inlineStr">
        <is>
          <t xml:space="preserve">Aditya Birla Sun Life CRISIL IBX SDL Jun 2032 INDEX FUND - Direct Growth</t>
        </is>
      </c>
      <c r="C173" t="inlineStr">
        <is>
          <t xml:space="preserve">INF209KB14S0</t>
        </is>
      </c>
    </row>
    <row r="174">
      <c r="A174" t="inlineStr">
        <is>
          <t xml:space="preserve">Aditya Birla Sun Life Mutual Fund</t>
        </is>
      </c>
      <c r="B174" t="inlineStr">
        <is>
          <t xml:space="preserve">Aditya Birla Sun Life CRISIL IBX SDL Jun 2032 INDEX FUND - Direct IDCW Payout</t>
        </is>
      </c>
      <c r="C174" t="inlineStr">
        <is>
          <t xml:space="preserve">INF209KB15S7</t>
        </is>
      </c>
    </row>
    <row r="175">
      <c r="A175" t="inlineStr">
        <is>
          <t xml:space="preserve">Aditya Birla Sun Life Mutual Fund</t>
        </is>
      </c>
      <c r="B175" t="inlineStr">
        <is>
          <t xml:space="preserve">Aditya Birla Sun Life CRISIL IBX SDL Jun 2032 INDEX FUND - Regular Growth</t>
        </is>
      </c>
      <c r="C175" t="inlineStr">
        <is>
          <t xml:space="preserve">INF209KB12S4</t>
        </is>
      </c>
    </row>
    <row r="176">
      <c r="A176" t="inlineStr">
        <is>
          <t xml:space="preserve">Aditya Birla Sun Life Mutual Fund</t>
        </is>
      </c>
      <c r="B176" t="inlineStr">
        <is>
          <t xml:space="preserve">Aditya Birla Sun Life CRISIL IBX SDL Jun 2032 INDEX FUND - Regular IDCW Payout</t>
        </is>
      </c>
      <c r="C176" t="inlineStr">
        <is>
          <t xml:space="preserve">INF209KB13S2</t>
        </is>
      </c>
    </row>
    <row r="177">
      <c r="A177" t="inlineStr">
        <is>
          <t xml:space="preserve">Aditya Birla Sun Life Mutual Fund</t>
        </is>
      </c>
      <c r="B177" t="inlineStr">
        <is>
          <t xml:space="preserve">Aditya Birla Sun Life CRISIL Liquid Overnight ETF - IDCW Daily Reinvestment with Weekly Payout</t>
        </is>
      </c>
      <c r="C177" t="inlineStr">
        <is>
          <t xml:space="preserve">INF209KB18T9</t>
        </is>
      </c>
    </row>
    <row r="178">
      <c r="A178" t="inlineStr">
        <is>
          <t xml:space="preserve">Aditya Birla Sun Life Mutual Fund</t>
        </is>
      </c>
      <c r="B178" t="inlineStr">
        <is>
          <t xml:space="preserve">Aditya Birla Sun Life Crisil-IBX AAA Financial Services Index-Sep 2027 Fund-Direct Growth</t>
        </is>
      </c>
      <c r="C178" t="inlineStr">
        <is>
          <t xml:space="preserve">INF209KC1290</t>
        </is>
      </c>
    </row>
    <row r="179">
      <c r="A179" t="inlineStr">
        <is>
          <t xml:space="preserve">Aditya Birla Sun Life Mutual Fund</t>
        </is>
      </c>
      <c r="B179" t="inlineStr">
        <is>
          <t xml:space="preserve">Aditya Birla Sun Life Crisil-IBX AAA Financial Services Index-Sep 2027 Fund-Direct IDCW Payout</t>
        </is>
      </c>
      <c r="C179" t="inlineStr">
        <is>
          <t xml:space="preserve">INF209KC1308</t>
        </is>
      </c>
    </row>
    <row r="180">
      <c r="A180" t="inlineStr">
        <is>
          <t xml:space="preserve">Aditya Birla Sun Life Mutual Fund</t>
        </is>
      </c>
      <c r="B180" t="inlineStr">
        <is>
          <t xml:space="preserve">Aditya Birla Sun Life Crisil-IBX AAA Financial Services Index-Sep 2027 Fund-Regular Growth</t>
        </is>
      </c>
      <c r="C180" t="inlineStr">
        <is>
          <t xml:space="preserve">INF209KC1316</t>
        </is>
      </c>
    </row>
    <row r="181">
      <c r="A181" t="inlineStr">
        <is>
          <t xml:space="preserve">Aditya Birla Sun Life Mutual Fund</t>
        </is>
      </c>
      <c r="B181" t="inlineStr">
        <is>
          <t xml:space="preserve">Aditya Birla Sun Life Crisil-IBX AAA Financial Services Index-Sep 2027 Fund-Regular IDCW Payout</t>
        </is>
      </c>
      <c r="C181" t="inlineStr">
        <is>
          <t xml:space="preserve">INF209KC1324</t>
        </is>
      </c>
    </row>
    <row r="182">
      <c r="A182" t="inlineStr">
        <is>
          <t xml:space="preserve">Aditya Birla Sun Life Mutual Fund</t>
        </is>
      </c>
      <c r="B182" t="inlineStr">
        <is>
          <t xml:space="preserve">Aditya Birla Sun Life Crisil-IBX AAA NBFC-HFC Index-Sep 2026 Fund-Direct Growth</t>
        </is>
      </c>
      <c r="C182" t="inlineStr">
        <is>
          <t xml:space="preserve">INF209KC1217</t>
        </is>
      </c>
    </row>
    <row r="183">
      <c r="A183" t="inlineStr">
        <is>
          <t xml:space="preserve">Aditya Birla Sun Life Mutual Fund</t>
        </is>
      </c>
      <c r="B183" t="inlineStr">
        <is>
          <t xml:space="preserve">Aditya Birla Sun Life Crisil-IBX AAA NBFC-HFC INDEX-Sep 2026 Fund-Direct IDCW Payout</t>
        </is>
      </c>
      <c r="C183" t="inlineStr">
        <is>
          <t xml:space="preserve">INF209KC1225</t>
        </is>
      </c>
    </row>
    <row r="184">
      <c r="A184" t="inlineStr">
        <is>
          <t xml:space="preserve">Aditya Birla Sun Life Mutual Fund</t>
        </is>
      </c>
      <c r="B184" t="inlineStr">
        <is>
          <t xml:space="preserve">Aditya Birla Sun Life Crisil-IBX AAA NBFC-HFC Index-Sep 2026 Fund-Regular Growth</t>
        </is>
      </c>
      <c r="C184" t="inlineStr">
        <is>
          <t xml:space="preserve">INF209KC1233</t>
        </is>
      </c>
    </row>
    <row r="185">
      <c r="A185" t="inlineStr">
        <is>
          <t xml:space="preserve">Aditya Birla Sun Life Mutual Fund</t>
        </is>
      </c>
      <c r="B185" t="inlineStr">
        <is>
          <t xml:space="preserve">Aditya Birla Sun Life Crisil-IBX AAA NBFC-HFC Index-Sep 2026 Fund-Regular IDCW Payout</t>
        </is>
      </c>
      <c r="C185" t="inlineStr">
        <is>
          <t xml:space="preserve">INF209KC1241</t>
        </is>
      </c>
    </row>
    <row r="186">
      <c r="A186" t="inlineStr">
        <is>
          <t xml:space="preserve">Aditya Birla Sun Life Mutual Fund</t>
        </is>
      </c>
      <c r="B186" t="inlineStr">
        <is>
          <t xml:space="preserve">Aditya Birla Sun Life Crisil-IBX Financial Services 3 to 6 Months  Debt Index Fund-Regular IDCW Payout</t>
        </is>
      </c>
      <c r="C186" t="inlineStr">
        <is>
          <t xml:space="preserve">INF209KC1480</t>
        </is>
      </c>
    </row>
    <row r="187">
      <c r="A187" t="inlineStr">
        <is>
          <t xml:space="preserve">Aditya Birla Sun Life Mutual Fund</t>
        </is>
      </c>
      <c r="B187" t="inlineStr">
        <is>
          <t xml:space="preserve">Aditya Birla Sun Life Crisil-IBX financial Services 3 to 6 months Debt Index Fund-Direct Growth</t>
        </is>
      </c>
      <c r="C187" t="inlineStr">
        <is>
          <t xml:space="preserve">INF209KC1456</t>
        </is>
      </c>
    </row>
    <row r="188">
      <c r="A188" t="inlineStr">
        <is>
          <t xml:space="preserve">Aditya Birla Sun Life Mutual Fund</t>
        </is>
      </c>
      <c r="B188" t="inlineStr">
        <is>
          <t xml:space="preserve">Aditya Birla Sun Life Crisil-IBX Financial Services 3 to 6 months Debt Index Fund-Direct IDCW Payout</t>
        </is>
      </c>
      <c r="C188" t="inlineStr">
        <is>
          <t xml:space="preserve">INF209KC1464</t>
        </is>
      </c>
    </row>
    <row r="189">
      <c r="A189" t="inlineStr">
        <is>
          <t xml:space="preserve">Aditya Birla Sun Life Mutual Fund</t>
        </is>
      </c>
      <c r="B189" t="inlineStr">
        <is>
          <t xml:space="preserve">Aditya Birla Sun Life Crisil-IBX Financial Services 3 to 6 Months Debt Index Fund-Regular Growth</t>
        </is>
      </c>
      <c r="C189" t="inlineStr">
        <is>
          <t xml:space="preserve">INF209KC1472</t>
        </is>
      </c>
    </row>
    <row r="190">
      <c r="A190" t="inlineStr">
        <is>
          <t xml:space="preserve">Aditya Birla Sun Life Mutual Fund</t>
        </is>
      </c>
      <c r="B190" t="inlineStr">
        <is>
          <t xml:space="preserve">Aditya Birla Sun Life Crisil-IBX Financial Services 9-12 Months Debt Index Fund-Direct Growth</t>
        </is>
      </c>
      <c r="C190" t="inlineStr">
        <is>
          <t xml:space="preserve">INF209KC1498</t>
        </is>
      </c>
    </row>
    <row r="191">
      <c r="A191" t="inlineStr">
        <is>
          <t xml:space="preserve">Aditya Birla Sun Life Mutual Fund</t>
        </is>
      </c>
      <c r="B191" t="inlineStr">
        <is>
          <t xml:space="preserve">Aditya Birla Sun Life Crisil-IBX Financial Services 9-12 Months Debt Index Fund-Direct IDCW Payout</t>
        </is>
      </c>
      <c r="C191" t="inlineStr">
        <is>
          <t xml:space="preserve">INF209KC1506</t>
        </is>
      </c>
    </row>
    <row r="192">
      <c r="A192" t="inlineStr">
        <is>
          <t xml:space="preserve">Aditya Birla Sun Life Mutual Fund</t>
        </is>
      </c>
      <c r="B192" t="inlineStr">
        <is>
          <t xml:space="preserve">Aditya Birla Sun Life Crisil-IBX Financial Services 9-12 Months Debt Index Fund-Regular Growth</t>
        </is>
      </c>
      <c r="C192" t="inlineStr">
        <is>
          <t xml:space="preserve">INF209KC1514</t>
        </is>
      </c>
    </row>
    <row r="193">
      <c r="A193" t="inlineStr">
        <is>
          <t xml:space="preserve">Aditya Birla Sun Life Mutual Fund</t>
        </is>
      </c>
      <c r="B193" t="inlineStr">
        <is>
          <t xml:space="preserve">Aditya Birla Sun Life Digital India Fund - Growth - Direct Plan</t>
        </is>
      </c>
      <c r="C193" t="inlineStr">
        <is>
          <t xml:space="preserve">INF209K01VF2</t>
        </is>
      </c>
    </row>
    <row r="194">
      <c r="A194" t="inlineStr">
        <is>
          <t xml:space="preserve">Aditya Birla Sun Life Mutual Fund</t>
        </is>
      </c>
      <c r="B194" t="inlineStr">
        <is>
          <t xml:space="preserve">Aditya Birla Sun Life Digital India Fund - Growth - Regular Plan</t>
        </is>
      </c>
      <c r="C194" t="inlineStr">
        <is>
          <t xml:space="preserve">INF209K01140</t>
        </is>
      </c>
    </row>
    <row r="195">
      <c r="A195" t="inlineStr">
        <is>
          <t xml:space="preserve">Aditya Birla Sun Life Mutual Fund</t>
        </is>
      </c>
      <c r="B195" t="inlineStr">
        <is>
          <t xml:space="preserve">Aditya Birla Sun Life Digital India Fund -DIRECT - IDCW</t>
        </is>
      </c>
      <c r="C195" t="inlineStr">
        <is>
          <t xml:space="preserve">INF209K01P49</t>
        </is>
      </c>
    </row>
    <row r="196">
      <c r="A196" t="inlineStr">
        <is>
          <t xml:space="preserve">Aditya Birla Sun Life Mutual Fund</t>
        </is>
      </c>
      <c r="B196" t="inlineStr">
        <is>
          <t xml:space="preserve">Aditya Birla Sun Life Digital India Fund -Regular - IDCW</t>
        </is>
      </c>
      <c r="C196" t="inlineStr">
        <is>
          <t xml:space="preserve">INF209K01132</t>
        </is>
      </c>
    </row>
    <row r="197">
      <c r="A197" t="inlineStr">
        <is>
          <t xml:space="preserve">Aditya Birla Sun Life Mutual Fund</t>
        </is>
      </c>
      <c r="B197" t="inlineStr">
        <is>
          <t xml:space="preserve">Aditya Birla Sun Life Dividend Yield Fund - Growth - Direct Plan</t>
        </is>
      </c>
      <c r="C197" t="inlineStr">
        <is>
          <t xml:space="preserve">INF209K01WA1</t>
        </is>
      </c>
    </row>
    <row r="198">
      <c r="A198" t="inlineStr">
        <is>
          <t xml:space="preserve">Aditya Birla Sun Life Mutual Fund</t>
        </is>
      </c>
      <c r="B198" t="inlineStr">
        <is>
          <t xml:space="preserve">Aditya Birla Sun Life Dividend Yield Fund - Growth - Regular Plan</t>
        </is>
      </c>
      <c r="C198" t="inlineStr">
        <is>
          <t xml:space="preserve">INF209K01405</t>
        </is>
      </c>
    </row>
    <row r="199">
      <c r="A199" t="inlineStr">
        <is>
          <t xml:space="preserve">Aditya Birla Sun Life Mutual Fund</t>
        </is>
      </c>
      <c r="B199" t="inlineStr">
        <is>
          <t xml:space="preserve">Aditya Birla Sun Life Dividend Yield Fund -DIRECT - IDCW</t>
        </is>
      </c>
      <c r="C199" t="inlineStr">
        <is>
          <t xml:space="preserve">INF209K01Q55</t>
        </is>
      </c>
    </row>
    <row r="200">
      <c r="A200" t="inlineStr">
        <is>
          <t xml:space="preserve">Aditya Birla Sun Life Mutual Fund</t>
        </is>
      </c>
      <c r="B200" t="inlineStr">
        <is>
          <t xml:space="preserve">Aditya Birla Sun Life Dividend Yield Fund -REGULAR - IDCW</t>
        </is>
      </c>
      <c r="C200" t="inlineStr">
        <is>
          <t xml:space="preserve">INF209K01397</t>
        </is>
      </c>
    </row>
    <row r="201">
      <c r="A201" t="inlineStr">
        <is>
          <t xml:space="preserve">Aditya Birla Sun Life Mutual Fund</t>
        </is>
      </c>
      <c r="B201" t="inlineStr">
        <is>
          <t xml:space="preserve">Aditya Birla Sun Life Dynamic Asset Allocation Omni FOF- Direct - IDCW</t>
        </is>
      </c>
      <c r="C201" t="inlineStr">
        <is>
          <t xml:space="preserve">INF084M01EX4</t>
        </is>
      </c>
    </row>
    <row r="202">
      <c r="A202" t="inlineStr">
        <is>
          <t xml:space="preserve">Aditya Birla Sun Life Mutual Fund</t>
        </is>
      </c>
      <c r="B202" t="inlineStr">
        <is>
          <t xml:space="preserve">Aditya Birla Sun Life Dynamic Asset Allocation Omni FOF- Direct Plan - Growth Option</t>
        </is>
      </c>
      <c r="C202" t="inlineStr">
        <is>
          <t xml:space="preserve">INF084M01EW6</t>
        </is>
      </c>
    </row>
    <row r="203">
      <c r="A203" t="inlineStr">
        <is>
          <t xml:space="preserve">Aditya Birla Sun Life Mutual Fund</t>
        </is>
      </c>
      <c r="B203" t="inlineStr">
        <is>
          <t xml:space="preserve">Aditya Birla Sun Life Dynamic Asset Allocation Omni FOF- Regular Plan - Growth Option</t>
        </is>
      </c>
      <c r="C203" t="inlineStr">
        <is>
          <t xml:space="preserve">INF084M01101</t>
        </is>
      </c>
    </row>
    <row r="204">
      <c r="A204" t="inlineStr">
        <is>
          <t xml:space="preserve">Aditya Birla Sun Life Mutual Fund</t>
        </is>
      </c>
      <c r="B204" t="inlineStr">
        <is>
          <t xml:space="preserve">Aditya Birla Sun Life Dynamic Asset Allocation Omni FOF-Regular - IDCW</t>
        </is>
      </c>
      <c r="C204" t="inlineStr">
        <is>
          <t xml:space="preserve">INF084M01119</t>
        </is>
      </c>
    </row>
    <row r="205">
      <c r="A205" t="inlineStr">
        <is>
          <t xml:space="preserve">Aditya Birla Sun Life Mutual Fund</t>
        </is>
      </c>
      <c r="B205" t="inlineStr">
        <is>
          <t xml:space="preserve">Aditya Birla Sun Life Dynamic Bond Fund - Growth - Direct Plan</t>
        </is>
      </c>
      <c r="C205" t="inlineStr">
        <is>
          <t xml:space="preserve">INF209K01N82</t>
        </is>
      </c>
    </row>
    <row r="206">
      <c r="A206" t="inlineStr">
        <is>
          <t xml:space="preserve">Aditya Birla Sun Life Mutual Fund</t>
        </is>
      </c>
      <c r="B206" t="inlineStr">
        <is>
          <t xml:space="preserve">Aditya Birla Sun Life Dynamic Bond Fund - Growth - Regular Plan</t>
        </is>
      </c>
      <c r="C206" t="inlineStr">
        <is>
          <t xml:space="preserve">INF209K01793</t>
        </is>
      </c>
    </row>
    <row r="207">
      <c r="A207" t="inlineStr">
        <is>
          <t xml:space="preserve">Aditya Birla Sun Life Mutual Fund</t>
        </is>
      </c>
      <c r="B207" t="inlineStr">
        <is>
          <t xml:space="preserve">Aditya Birla Sun Life Dynamic Bond Fund -Direct - IDCW</t>
        </is>
      </c>
      <c r="C207" t="inlineStr">
        <is>
          <t xml:space="preserve">INF209KA1TX3</t>
        </is>
      </c>
    </row>
    <row r="208">
      <c r="A208" t="inlineStr">
        <is>
          <t xml:space="preserve">Aditya Birla Sun Life Mutual Fund</t>
        </is>
      </c>
      <c r="B208" t="inlineStr">
        <is>
          <t xml:space="preserve">Aditya Birla Sun Life Dynamic Bond Fund -DIRECT - MONTHLY IDCW</t>
        </is>
      </c>
      <c r="C208" t="inlineStr">
        <is>
          <t xml:space="preserve">INF209K01R62</t>
        </is>
      </c>
    </row>
    <row r="209">
      <c r="A209" t="inlineStr">
        <is>
          <t xml:space="preserve">Aditya Birla Sun Life Mutual Fund</t>
        </is>
      </c>
      <c r="B209" t="inlineStr">
        <is>
          <t xml:space="preserve">Aditya Birla Sun Life Dynamic Bond Fund -Direct - Quarterly IDCW</t>
        </is>
      </c>
      <c r="C209" t="inlineStr">
        <is>
          <t xml:space="preserve">INF209K01R88</t>
        </is>
      </c>
    </row>
    <row r="210">
      <c r="A210" t="inlineStr">
        <is>
          <t xml:space="preserve">Aditya Birla Sun Life Mutual Fund</t>
        </is>
      </c>
      <c r="B210" t="inlineStr">
        <is>
          <t xml:space="preserve">Aditya Birla Sun Life Dynamic Bond Fund -Regular - IDCW</t>
        </is>
      </c>
      <c r="C210" t="inlineStr">
        <is>
          <t xml:space="preserve">INF209KA1TV7</t>
        </is>
      </c>
    </row>
    <row r="211">
      <c r="A211" t="inlineStr">
        <is>
          <t xml:space="preserve">Aditya Birla Sun Life Mutual Fund</t>
        </is>
      </c>
      <c r="B211" t="inlineStr">
        <is>
          <t xml:space="preserve">Aditya Birla Sun Life Dynamic Bond Fund -REGULAR - MONTHLY IDCW</t>
        </is>
      </c>
      <c r="C211" t="inlineStr">
        <is>
          <t xml:space="preserve">INF209K01801</t>
        </is>
      </c>
    </row>
    <row r="212">
      <c r="A212" t="inlineStr">
        <is>
          <t xml:space="preserve">Aditya Birla Sun Life Mutual Fund</t>
        </is>
      </c>
      <c r="B212" t="inlineStr">
        <is>
          <t xml:space="preserve">Aditya Birla Sun Life Dynamic Bond Fund -Regular - Quarterly IDCW</t>
        </is>
      </c>
      <c r="C212" t="inlineStr">
        <is>
          <t xml:space="preserve">INF209K01819</t>
        </is>
      </c>
    </row>
    <row r="213">
      <c r="A213" t="inlineStr">
        <is>
          <t xml:space="preserve">Aditya Birla Sun Life Mutual Fund</t>
        </is>
      </c>
      <c r="B213" t="inlineStr">
        <is>
          <t xml:space="preserve">Aditya Birla Sun Life ELSS Tax Saver Fund - Growth - Direct Plan</t>
        </is>
      </c>
      <c r="C213" t="inlineStr">
        <is>
          <t xml:space="preserve">INF209K01UN8</t>
        </is>
      </c>
    </row>
    <row r="214">
      <c r="A214" t="inlineStr">
        <is>
          <t xml:space="preserve">Aditya Birla Sun Life Mutual Fund</t>
        </is>
      </c>
      <c r="B214" t="inlineStr">
        <is>
          <t xml:space="preserve">Aditya Birla Sun Life ELSS Tax Saver Fund - Growth Option</t>
        </is>
      </c>
      <c r="C214" t="inlineStr">
        <is>
          <t xml:space="preserve">INF209K01108</t>
        </is>
      </c>
    </row>
    <row r="215">
      <c r="A215" t="inlineStr">
        <is>
          <t xml:space="preserve">Aditya Birla Sun Life Mutual Fund</t>
        </is>
      </c>
      <c r="B215" t="inlineStr">
        <is>
          <t xml:space="preserve">Aditya Birla Sun Life ELSS Tax Saver Fund-DIRECT - IDCW</t>
        </is>
      </c>
      <c r="C215" t="inlineStr">
        <is>
          <t xml:space="preserve">INF209K01P23</t>
        </is>
      </c>
    </row>
    <row r="216">
      <c r="A216" t="inlineStr">
        <is>
          <t xml:space="preserve">Aditya Birla Sun Life Mutual Fund</t>
        </is>
      </c>
      <c r="B216" t="inlineStr">
        <is>
          <t xml:space="preserve">Aditya Birla Sun Life ELSS Tax Saver Fund-Regular - IDCW</t>
        </is>
      </c>
      <c r="C216" t="inlineStr">
        <is>
          <t xml:space="preserve">INF209K01090</t>
        </is>
      </c>
    </row>
    <row r="217">
      <c r="A217" t="inlineStr">
        <is>
          <t xml:space="preserve">Aditya Birla Sun Life Mutual Fund</t>
        </is>
      </c>
      <c r="B217" t="inlineStr">
        <is>
          <t xml:space="preserve">Aditya Birla Sun Life Equity Hybrid'95 Fund - Direct Plan-Growth</t>
        </is>
      </c>
      <c r="C217" t="inlineStr">
        <is>
          <t xml:space="preserve">INF209K01ZC0</t>
        </is>
      </c>
    </row>
    <row r="218">
      <c r="A218" t="inlineStr">
        <is>
          <t xml:space="preserve">Aditya Birla Sun Life Mutual Fund</t>
        </is>
      </c>
      <c r="B218" t="inlineStr">
        <is>
          <t xml:space="preserve">Aditya Birla Sun Life Equity Hybrid'95 Fund - Regular Plan-Growth</t>
        </is>
      </c>
      <c r="C218" t="inlineStr">
        <is>
          <t xml:space="preserve">INF209K01BT5</t>
        </is>
      </c>
    </row>
    <row r="219">
      <c r="A219" t="inlineStr">
        <is>
          <t xml:space="preserve">Aditya Birla Sun Life Mutual Fund</t>
        </is>
      </c>
      <c r="B219" t="inlineStr">
        <is>
          <t xml:space="preserve">Aditya Birla Sun Life Equity Hybrid'95 Fund -DIRECT - IDCW</t>
        </is>
      </c>
      <c r="C219" t="inlineStr">
        <is>
          <t xml:space="preserve">INF209KA1LH3</t>
        </is>
      </c>
    </row>
    <row r="220">
      <c r="A220" t="inlineStr">
        <is>
          <t xml:space="preserve">Aditya Birla Sun Life Mutual Fund</t>
        </is>
      </c>
      <c r="B220" t="inlineStr">
        <is>
          <t xml:space="preserve">Aditya Birla Sun Life Equity Hybrid'95 Fund -Regular - IDCW</t>
        </is>
      </c>
      <c r="C220" t="inlineStr">
        <is>
          <t xml:space="preserve">INF209K01BS7</t>
        </is>
      </c>
    </row>
    <row r="221">
      <c r="A221" t="inlineStr">
        <is>
          <t xml:space="preserve">Aditya Birla Sun Life Mutual Fund</t>
        </is>
      </c>
      <c r="B221" t="inlineStr">
        <is>
          <t xml:space="preserve">Aditya Birla Sun Life Equity Savings Fund - Direct - IDCW</t>
        </is>
      </c>
      <c r="C221" t="inlineStr">
        <is>
          <t xml:space="preserve">INF209KA1TQ7</t>
        </is>
      </c>
    </row>
    <row r="222">
      <c r="A222" t="inlineStr">
        <is>
          <t xml:space="preserve">Aditya Birla Sun Life Mutual Fund</t>
        </is>
      </c>
      <c r="B222" t="inlineStr">
        <is>
          <t xml:space="preserve">Aditya Birla Sun Life Equity Savings Fund - Direct Plan - Growth</t>
        </is>
      </c>
      <c r="C222" t="inlineStr">
        <is>
          <t xml:space="preserve">INF209KA1TP9</t>
        </is>
      </c>
    </row>
    <row r="223">
      <c r="A223" t="inlineStr">
        <is>
          <t xml:space="preserve">Aditya Birla Sun Life Mutual Fund</t>
        </is>
      </c>
      <c r="B223" t="inlineStr">
        <is>
          <t xml:space="preserve">Aditya Birla Sun Life Equity Savings Fund - Regular - IDCW</t>
        </is>
      </c>
      <c r="C223" t="inlineStr">
        <is>
          <t xml:space="preserve">INF209KA1TT1</t>
        </is>
      </c>
    </row>
    <row r="224">
      <c r="A224" t="inlineStr">
        <is>
          <t xml:space="preserve">Aditya Birla Sun Life Mutual Fund</t>
        </is>
      </c>
      <c r="B224" t="inlineStr">
        <is>
          <t xml:space="preserve">Aditya Birla Sun Life Equity Savings Fund - Regular Plan - Growth</t>
        </is>
      </c>
      <c r="C224" t="inlineStr">
        <is>
          <t xml:space="preserve">INF209KA1TS3</t>
        </is>
      </c>
    </row>
    <row r="225">
      <c r="A225" t="inlineStr">
        <is>
          <t xml:space="preserve">Aditya Birla Sun Life Mutual Fund</t>
        </is>
      </c>
      <c r="B225" t="inlineStr">
        <is>
          <t xml:space="preserve">Aditya Birla Sun Life ESG Integration Strategy Fund-Direct - Payout of IDCW</t>
        </is>
      </c>
      <c r="C225" t="inlineStr">
        <is>
          <t xml:space="preserve">INF209KB1U84</t>
        </is>
      </c>
    </row>
    <row r="226">
      <c r="A226" t="inlineStr">
        <is>
          <t xml:space="preserve">Aditya Birla Sun Life Mutual Fund</t>
        </is>
      </c>
      <c r="B226" t="inlineStr">
        <is>
          <t xml:space="preserve">Aditya Birla Sun Life ESG Integration Strategy Fund-Direct Plan-Growth</t>
        </is>
      </c>
      <c r="C226" t="inlineStr">
        <is>
          <t xml:space="preserve">INF209KB1U76</t>
        </is>
      </c>
    </row>
    <row r="227">
      <c r="A227" t="inlineStr">
        <is>
          <t xml:space="preserve">Aditya Birla Sun Life Mutual Fund</t>
        </is>
      </c>
      <c r="B227" t="inlineStr">
        <is>
          <t xml:space="preserve">Aditya Birla Sun Life ESG Integration Strategy Fund-Regular - Payout of IDCW</t>
        </is>
      </c>
      <c r="C227" t="inlineStr">
        <is>
          <t xml:space="preserve">INF209KB1U50</t>
        </is>
      </c>
    </row>
    <row r="228">
      <c r="A228" t="inlineStr">
        <is>
          <t xml:space="preserve">Aditya Birla Sun Life Mutual Fund</t>
        </is>
      </c>
      <c r="B228" t="inlineStr">
        <is>
          <t xml:space="preserve">Aditya Birla Sun Life ESG Integration Strategy Fund-Regular Plan-Growth</t>
        </is>
      </c>
      <c r="C228" t="inlineStr">
        <is>
          <t xml:space="preserve">INF209KB1U43</t>
        </is>
      </c>
    </row>
    <row r="229">
      <c r="A229" t="inlineStr">
        <is>
          <t xml:space="preserve">Aditya Birla Sun Life Mutual Fund</t>
        </is>
      </c>
      <c r="B229" t="inlineStr">
        <is>
          <t xml:space="preserve">Aditya Birla Sun Life Fixed Maturity Plan - Series UQ (92 days) - Direct Plan - Growth Option</t>
        </is>
      </c>
      <c r="C229" t="inlineStr">
        <is>
          <t xml:space="preserve">INF209KB11Y4</t>
        </is>
      </c>
    </row>
    <row r="230">
      <c r="A230" t="inlineStr">
        <is>
          <t xml:space="preserve">Aditya Birla Sun Life Mutual Fund</t>
        </is>
      </c>
      <c r="B230" t="inlineStr">
        <is>
          <t xml:space="preserve">Aditya Birla Sun Life Fixed Maturity Plan - Series UQ (92 days) - Direct Plan - Payout of IDCW Option</t>
        </is>
      </c>
      <c r="C230" t="inlineStr">
        <is>
          <t xml:space="preserve">INF209KB12Y2</t>
        </is>
      </c>
    </row>
    <row r="231">
      <c r="A231" t="inlineStr">
        <is>
          <t xml:space="preserve">Aditya Birla Sun Life Mutual Fund</t>
        </is>
      </c>
      <c r="B231" t="inlineStr">
        <is>
          <t xml:space="preserve">Aditya Birla Sun Life Fixed Maturity Plan - Series UQ (92 days) - Regular Plan - Growth Option</t>
        </is>
      </c>
      <c r="C231" t="inlineStr">
        <is>
          <t xml:space="preserve">INF209KB19X9</t>
        </is>
      </c>
    </row>
    <row r="232">
      <c r="A232" t="inlineStr">
        <is>
          <t xml:space="preserve">Aditya Birla Sun Life Mutual Fund</t>
        </is>
      </c>
      <c r="B232" t="inlineStr">
        <is>
          <t xml:space="preserve">Aditya Birla Sun Life Fixed Maturity Plan - Series UQ (92 days) - Regular Plan - Payout of IDCW Option</t>
        </is>
      </c>
      <c r="C232" t="inlineStr">
        <is>
          <t xml:space="preserve">INF209KB10Y6</t>
        </is>
      </c>
    </row>
    <row r="233">
      <c r="A233" t="inlineStr">
        <is>
          <t xml:space="preserve">Aditya Birla Sun Life Mutual Fund</t>
        </is>
      </c>
      <c r="B233" t="inlineStr">
        <is>
          <t xml:space="preserve">Aditya Birla Sun Life Fixed Maturity Plan - Series UR (85 days) - Direct Plan - Growth Option</t>
        </is>
      </c>
      <c r="C233" t="inlineStr">
        <is>
          <t xml:space="preserve">INF209KB15Y5</t>
        </is>
      </c>
    </row>
    <row r="234">
      <c r="A234" t="inlineStr">
        <is>
          <t xml:space="preserve">Aditya Birla Sun Life Mutual Fund</t>
        </is>
      </c>
      <c r="B234" t="inlineStr">
        <is>
          <t xml:space="preserve">Aditya Birla Sun Life Fixed Maturity Plan - Series UR (85 days) - Direct Plan - Payout of IDCW Option</t>
        </is>
      </c>
      <c r="C234" t="inlineStr">
        <is>
          <t xml:space="preserve">INF209KB16Y3</t>
        </is>
      </c>
    </row>
    <row r="235">
      <c r="A235" t="inlineStr">
        <is>
          <t xml:space="preserve">Aditya Birla Sun Life Mutual Fund</t>
        </is>
      </c>
      <c r="B235" t="inlineStr">
        <is>
          <t xml:space="preserve">Aditya Birla Sun Life Fixed Maturity Plan - Series UR (85 days) - Regular Plan - Growth Option</t>
        </is>
      </c>
      <c r="C235" t="inlineStr">
        <is>
          <t xml:space="preserve">INF209KB13Y0</t>
        </is>
      </c>
    </row>
    <row r="236">
      <c r="A236" t="inlineStr">
        <is>
          <t xml:space="preserve">Aditya Birla Sun Life Mutual Fund</t>
        </is>
      </c>
      <c r="B236" t="inlineStr">
        <is>
          <t xml:space="preserve">Aditya Birla Sun Life Fixed Maturity Plan - Series UR (85 days) - Regular Plan - Payout of IDCW Option</t>
        </is>
      </c>
      <c r="C236" t="inlineStr">
        <is>
          <t xml:space="preserve">INF209KB14Y8</t>
        </is>
      </c>
    </row>
    <row r="237">
      <c r="A237" t="inlineStr">
        <is>
          <t xml:space="preserve">Aditya Birla Sun Life Mutual Fund</t>
        </is>
      </c>
      <c r="B237" t="inlineStr">
        <is>
          <t xml:space="preserve">Aditya Birla Sun Life Fixed Maturity Plan - Series US (100 days) - Direct Plan - Growth Option</t>
        </is>
      </c>
      <c r="C237" t="inlineStr">
        <is>
          <t xml:space="preserve">INF209KB13Z7</t>
        </is>
      </c>
    </row>
    <row r="238">
      <c r="A238" t="inlineStr">
        <is>
          <t xml:space="preserve">Aditya Birla Sun Life Mutual Fund</t>
        </is>
      </c>
      <c r="B238" t="inlineStr">
        <is>
          <t xml:space="preserve">Aditya Birla Sun Life Fixed Maturity Plan - Series US (100 days) - Direct Plan - Payout of IDCW Option</t>
        </is>
      </c>
      <c r="C238" t="inlineStr">
        <is>
          <t xml:space="preserve">INF209KB14Z5</t>
        </is>
      </c>
    </row>
    <row r="239">
      <c r="A239" t="inlineStr">
        <is>
          <t xml:space="preserve">Aditya Birla Sun Life Mutual Fund</t>
        </is>
      </c>
      <c r="B239" t="inlineStr">
        <is>
          <t xml:space="preserve">Aditya Birla Sun Life Fixed Maturity Plan - Series US (100 days) - Regular Plan - Growth Option</t>
        </is>
      </c>
      <c r="C239" t="inlineStr">
        <is>
          <t xml:space="preserve">INF209KB11Z1</t>
        </is>
      </c>
    </row>
    <row r="240">
      <c r="A240" t="inlineStr">
        <is>
          <t xml:space="preserve">Aditya Birla Sun Life Mutual Fund</t>
        </is>
      </c>
      <c r="B240" t="inlineStr">
        <is>
          <t xml:space="preserve">Aditya Birla Sun Life Fixed Maturity Plan - Series US (100 days) - Regular Plan - Payout of IDCW Option</t>
        </is>
      </c>
      <c r="C240" t="inlineStr">
        <is>
          <t xml:space="preserve">INF209KB12Z9</t>
        </is>
      </c>
    </row>
    <row r="241">
      <c r="A241" t="inlineStr">
        <is>
          <t xml:space="preserve">Aditya Birla Sun Life Mutual Fund</t>
        </is>
      </c>
      <c r="B241" t="inlineStr">
        <is>
          <t xml:space="preserve">Aditya Birla Sun Life Fixed Term Plan - Series TI (1837 days) - Direct Plan - Growth Option</t>
        </is>
      </c>
      <c r="C241" t="inlineStr">
        <is>
          <t xml:space="preserve">INF209KB12A2</t>
        </is>
      </c>
    </row>
    <row r="242">
      <c r="A242" t="inlineStr">
        <is>
          <t xml:space="preserve">Aditya Birla Sun Life Mutual Fund</t>
        </is>
      </c>
      <c r="B242" t="inlineStr">
        <is>
          <t xml:space="preserve">Aditya Birla Sun Life Fixed Term Plan - Series TI (1837 days) - Direct Plan - Payout of IDCW option</t>
        </is>
      </c>
      <c r="C242" t="inlineStr">
        <is>
          <t xml:space="preserve">INF209KB13A0</t>
        </is>
      </c>
    </row>
    <row r="243">
      <c r="A243" t="inlineStr">
        <is>
          <t xml:space="preserve">Aditya Birla Sun Life Mutual Fund</t>
        </is>
      </c>
      <c r="B243" t="inlineStr">
        <is>
          <t xml:space="preserve">Aditya Birla Sun Life Fixed Term Plan - Series TI (1837 days) - Regular Plan - Growth Option</t>
        </is>
      </c>
      <c r="C243" t="inlineStr">
        <is>
          <t xml:space="preserve">INF209KB10A6</t>
        </is>
      </c>
    </row>
    <row r="244">
      <c r="A244" t="inlineStr">
        <is>
          <t xml:space="preserve">Aditya Birla Sun Life Mutual Fund</t>
        </is>
      </c>
      <c r="B244" t="inlineStr">
        <is>
          <t xml:space="preserve">Aditya Birla Sun Life Fixed Term Plan - Series TI (1837 days) - Regular Plan - Payout of IDCW option</t>
        </is>
      </c>
      <c r="C244" t="inlineStr">
        <is>
          <t xml:space="preserve">INF209KB11A4</t>
        </is>
      </c>
    </row>
    <row r="245">
      <c r="A245" t="inlineStr">
        <is>
          <t xml:space="preserve">Aditya Birla Sun Life Mutual Fund</t>
        </is>
      </c>
      <c r="B245" t="inlineStr">
        <is>
          <t xml:space="preserve">Aditya Birla Sun Life Fixed Term Plan - Series TJ (1838 days) - Direct Plan - Growth Option</t>
        </is>
      </c>
      <c r="C245" t="inlineStr">
        <is>
          <t xml:space="preserve">INF209KB16A3</t>
        </is>
      </c>
    </row>
    <row r="246">
      <c r="A246" t="inlineStr">
        <is>
          <t xml:space="preserve">Aditya Birla Sun Life Mutual Fund</t>
        </is>
      </c>
      <c r="B246" t="inlineStr">
        <is>
          <t xml:space="preserve">Aditya Birla Sun Life Fixed Term Plan - Series TJ (1838 days) - Direct Plan - Payout of IDCW Option</t>
        </is>
      </c>
      <c r="C246" t="inlineStr">
        <is>
          <t xml:space="preserve">INF209KB17A1</t>
        </is>
      </c>
    </row>
    <row r="247">
      <c r="A247" t="inlineStr">
        <is>
          <t xml:space="preserve">Aditya Birla Sun Life Mutual Fund</t>
        </is>
      </c>
      <c r="B247" t="inlineStr">
        <is>
          <t xml:space="preserve">Aditya Birla Sun Life Fixed Term Plan - Series TJ (1838 days) - Regular Plan - Growth Option</t>
        </is>
      </c>
      <c r="C247" t="inlineStr">
        <is>
          <t xml:space="preserve">INF209KB14A8</t>
        </is>
      </c>
    </row>
    <row r="248">
      <c r="A248" t="inlineStr">
        <is>
          <t xml:space="preserve">Aditya Birla Sun Life Mutual Fund</t>
        </is>
      </c>
      <c r="B248" t="inlineStr">
        <is>
          <t xml:space="preserve">Aditya Birla Sun Life Fixed Term Plan - Series TJ (1838 days) - Regular Plan - Payout of IDCW Option</t>
        </is>
      </c>
      <c r="C248" t="inlineStr">
        <is>
          <t xml:space="preserve">INF209KB15A5</t>
        </is>
      </c>
    </row>
    <row r="249">
      <c r="A249" t="inlineStr">
        <is>
          <t xml:space="preserve">Aditya Birla Sun Life Mutual Fund</t>
        </is>
      </c>
      <c r="B249" t="inlineStr">
        <is>
          <t xml:space="preserve">Aditya Birla Sun Life Fixed Term Plan - Series TQ (1879 days) - Direct Plan - Growth Option</t>
        </is>
      </c>
      <c r="C249" t="inlineStr">
        <is>
          <t xml:space="preserve">INF209KB14H3</t>
        </is>
      </c>
    </row>
    <row r="250">
      <c r="A250" t="inlineStr">
        <is>
          <t xml:space="preserve">Aditya Birla Sun Life Mutual Fund</t>
        </is>
      </c>
      <c r="B250" t="inlineStr">
        <is>
          <t xml:space="preserve">Aditya Birla Sun Life Fixed Term Plan - Series TQ (1879 days) - Regular Plan - Growth Option</t>
        </is>
      </c>
      <c r="C250" t="inlineStr">
        <is>
          <t xml:space="preserve">INF209KB12H7</t>
        </is>
      </c>
    </row>
    <row r="251">
      <c r="A251" t="inlineStr">
        <is>
          <t xml:space="preserve">Aditya Birla Sun Life Mutual Fund</t>
        </is>
      </c>
      <c r="B251" t="inlineStr">
        <is>
          <t xml:space="preserve">Aditya Birla Sun Life Fixed Term Plan - Series TQ (1879 days) - Regular Plan - Payout of IDCW option</t>
        </is>
      </c>
      <c r="C251" t="inlineStr">
        <is>
          <t xml:space="preserve">INF209KB13H5</t>
        </is>
      </c>
    </row>
    <row r="252">
      <c r="A252" t="inlineStr">
        <is>
          <t xml:space="preserve">Aditya Birla Sun Life Mutual Fund</t>
        </is>
      </c>
      <c r="B252" t="inlineStr">
        <is>
          <t xml:space="preserve">Aditya Birla Sun Life Fixed Term Plan - Series UB (1224 days) - Direct Plan Growth Option</t>
        </is>
      </c>
      <c r="C252" t="inlineStr">
        <is>
          <t xml:space="preserve">INF209KB18P7</t>
        </is>
      </c>
    </row>
    <row r="253">
      <c r="A253" t="inlineStr">
        <is>
          <t xml:space="preserve">Aditya Birla Sun Life Mutual Fund</t>
        </is>
      </c>
      <c r="B253" t="inlineStr">
        <is>
          <t xml:space="preserve">Aditya Birla Sun Life Fixed Term Plan - Series UB (1224 days) - Regular Plan - Payout of IDCW Option</t>
        </is>
      </c>
      <c r="C253" t="inlineStr">
        <is>
          <t xml:space="preserve">INF209KB17P9</t>
        </is>
      </c>
    </row>
    <row r="254">
      <c r="A254" t="inlineStr">
        <is>
          <t xml:space="preserve">Aditya Birla Sun Life Mutual Fund</t>
        </is>
      </c>
      <c r="B254" t="inlineStr">
        <is>
          <t xml:space="preserve">Aditya Birla Sun Life Fixed Term Plan - Series UB (1224 days)- Regular Plan - Growth Option</t>
        </is>
      </c>
      <c r="C254" t="inlineStr">
        <is>
          <t xml:space="preserve">INF209KB16P1</t>
        </is>
      </c>
    </row>
    <row r="255">
      <c r="A255" t="inlineStr">
        <is>
          <t xml:space="preserve">Aditya Birla Sun Life Mutual Fund</t>
        </is>
      </c>
      <c r="B255" t="inlineStr">
        <is>
          <t xml:space="preserve">Aditya Birla Sun Life Fixed Term Plan - Series UF (180 days) - Direct Plan - Growth Option</t>
        </is>
      </c>
      <c r="C255" t="inlineStr">
        <is>
          <t xml:space="preserve">INF209KB18S1</t>
        </is>
      </c>
    </row>
    <row r="256">
      <c r="A256" t="inlineStr">
        <is>
          <t xml:space="preserve">Aditya Birla Sun Life Mutual Fund</t>
        </is>
      </c>
      <c r="B256" t="inlineStr">
        <is>
          <t xml:space="preserve">Aditya Birla Sun Life Fixed Term Plan - Series UF (180 days) - Direct Plan - Payout of IDCW Option</t>
        </is>
      </c>
      <c r="C256" t="inlineStr">
        <is>
          <t xml:space="preserve">INF209KB19S9</t>
        </is>
      </c>
    </row>
    <row r="257">
      <c r="A257" t="inlineStr">
        <is>
          <t xml:space="preserve">Aditya Birla Sun Life Mutual Fund</t>
        </is>
      </c>
      <c r="B257" t="inlineStr">
        <is>
          <t xml:space="preserve">Aditya Birla Sun Life Fixed Term Plan - Series UF (180 days) - Regular Plan - Growth Option</t>
        </is>
      </c>
      <c r="C257" t="inlineStr">
        <is>
          <t xml:space="preserve">INF209KB16S5</t>
        </is>
      </c>
    </row>
    <row r="258">
      <c r="A258" t="inlineStr">
        <is>
          <t xml:space="preserve">Aditya Birla Sun Life Mutual Fund</t>
        </is>
      </c>
      <c r="B258" t="inlineStr">
        <is>
          <t xml:space="preserve">Aditya Birla Sun Life Fixed Term Plan - Series UF (180 days) - Regular Plan - Payout of IDCW Option</t>
        </is>
      </c>
      <c r="C258" t="inlineStr">
        <is>
          <t xml:space="preserve">INF209KB17S3</t>
        </is>
      </c>
    </row>
    <row r="259">
      <c r="A259" t="inlineStr">
        <is>
          <t xml:space="preserve">Aditya Birla Sun Life Mutual Fund</t>
        </is>
      </c>
      <c r="B259" t="inlineStr">
        <is>
          <t xml:space="preserve">Aditya Birla Sun Life Fixed Term Plan - Series UJ (1110 days) - Direct Plan - Growth Option</t>
        </is>
      </c>
      <c r="C259" t="inlineStr">
        <is>
          <t xml:space="preserve">INF209KB13V6</t>
        </is>
      </c>
    </row>
    <row r="260">
      <c r="A260" t="inlineStr">
        <is>
          <t xml:space="preserve">Aditya Birla Sun Life Mutual Fund</t>
        </is>
      </c>
      <c r="B260" t="inlineStr">
        <is>
          <t xml:space="preserve">Aditya Birla Sun Life Fixed Term Plan - Series UJ (1110 days) - Direct Plan - Payout of IDCW Option</t>
        </is>
      </c>
      <c r="C260" t="inlineStr">
        <is>
          <t xml:space="preserve">INF209KB14V4</t>
        </is>
      </c>
    </row>
    <row r="261">
      <c r="A261" t="inlineStr">
        <is>
          <t xml:space="preserve">Aditya Birla Sun Life Mutual Fund</t>
        </is>
      </c>
      <c r="B261" t="inlineStr">
        <is>
          <t xml:space="preserve">Aditya Birla Sun Life Fixed Term Plan - Series UJ (1110 days) - Regular Plan - Growth Option</t>
        </is>
      </c>
      <c r="C261" t="inlineStr">
        <is>
          <t xml:space="preserve">INF209KB11V0</t>
        </is>
      </c>
    </row>
    <row r="262">
      <c r="A262" t="inlineStr">
        <is>
          <t xml:space="preserve">Aditya Birla Sun Life Mutual Fund</t>
        </is>
      </c>
      <c r="B262" t="inlineStr">
        <is>
          <t xml:space="preserve">Aditya Birla Sun Life Fixed Term Plan - Series UJ (1110 days) - Regular Plan - Payout of IDCW Option</t>
        </is>
      </c>
      <c r="C262" t="inlineStr">
        <is>
          <t xml:space="preserve">INF209KB12V8</t>
        </is>
      </c>
    </row>
    <row r="263">
      <c r="A263" t="inlineStr">
        <is>
          <t xml:space="preserve">Aditya Birla Sun Life Mutual Fund</t>
        </is>
      </c>
      <c r="B263" t="inlineStr">
        <is>
          <t xml:space="preserve">Aditya Birla Sun Life Flexi Cap Fund - Growth - Direct Plan</t>
        </is>
      </c>
      <c r="C263" t="inlineStr">
        <is>
          <t xml:space="preserve">INF209K01XX1</t>
        </is>
      </c>
    </row>
    <row r="264">
      <c r="A264" t="inlineStr">
        <is>
          <t xml:space="preserve">Aditya Birla Sun Life Mutual Fund</t>
        </is>
      </c>
      <c r="B264" t="inlineStr">
        <is>
          <t xml:space="preserve">Aditya Birla Sun Life Flexi Cap Fund - Growth - Regular Plan</t>
        </is>
      </c>
      <c r="C264" t="inlineStr">
        <is>
          <t xml:space="preserve">INF209K01AJ8</t>
        </is>
      </c>
    </row>
    <row r="265">
      <c r="A265" t="inlineStr">
        <is>
          <t xml:space="preserve">Aditya Birla Sun Life Mutual Fund</t>
        </is>
      </c>
      <c r="B265" t="inlineStr">
        <is>
          <t xml:space="preserve">Aditya Birla Sun Life Flexi Cap Fund -DIRECT - IDCW</t>
        </is>
      </c>
      <c r="C265" t="inlineStr">
        <is>
          <t xml:space="preserve">INF209KA1LE0</t>
        </is>
      </c>
    </row>
    <row r="266">
      <c r="A266" t="inlineStr">
        <is>
          <t xml:space="preserve">Aditya Birla Sun Life Mutual Fund</t>
        </is>
      </c>
      <c r="B266" t="inlineStr">
        <is>
          <t xml:space="preserve">Aditya Birla Sun Life Flexi Cap Fund -Regular - IDCW</t>
        </is>
      </c>
      <c r="C266" t="inlineStr">
        <is>
          <t xml:space="preserve">INF209K01AQ3</t>
        </is>
      </c>
    </row>
    <row r="267">
      <c r="A267" t="inlineStr">
        <is>
          <t xml:space="preserve">Aditya Birla Sun Life Mutual Fund</t>
        </is>
      </c>
      <c r="B267" t="inlineStr">
        <is>
          <t xml:space="preserve">Aditya Birla Sun Life Floating Rate Fund-Direct - daily IDCW</t>
        </is>
      </c>
      <c r="C267" t="inlineStr">
        <is>
          <t xml:space="preserve">INF209K01UW9</t>
        </is>
      </c>
    </row>
    <row r="268">
      <c r="A268" t="inlineStr">
        <is>
          <t xml:space="preserve">Aditya Birla Sun Life Mutual Fund</t>
        </is>
      </c>
      <c r="B268" t="inlineStr">
        <is>
          <t xml:space="preserve">Aditya Birla Sun Life Floating Rate Fund-Direct - weekly IDCW</t>
        </is>
      </c>
      <c r="C268" t="inlineStr">
        <is>
          <t xml:space="preserve">INF209K01UY5</t>
        </is>
      </c>
    </row>
    <row r="269">
      <c r="A269" t="inlineStr">
        <is>
          <t xml:space="preserve">Aditya Birla Sun Life Mutual Fund</t>
        </is>
      </c>
      <c r="B269" t="inlineStr">
        <is>
          <t xml:space="preserve">Aditya Birla Sun Life Floating Rate Fund-Direct Plan-Growth</t>
        </is>
      </c>
      <c r="C269" t="inlineStr">
        <is>
          <t xml:space="preserve">INF209K01UX7</t>
        </is>
      </c>
    </row>
    <row r="270">
      <c r="A270" t="inlineStr">
        <is>
          <t xml:space="preserve">Aditya Birla Sun Life Mutual Fund</t>
        </is>
      </c>
      <c r="B270" t="inlineStr">
        <is>
          <t xml:space="preserve">Aditya Birla Sun Life Floating Rate Fund-Regular - DAILY IDCW</t>
        </is>
      </c>
      <c r="C270" t="inlineStr">
        <is>
          <t xml:space="preserve">INF209KA1LN1</t>
        </is>
      </c>
    </row>
    <row r="271">
      <c r="A271" t="inlineStr">
        <is>
          <t xml:space="preserve">Aditya Birla Sun Life Mutual Fund</t>
        </is>
      </c>
      <c r="B271" t="inlineStr">
        <is>
          <t xml:space="preserve">Aditya Birla Sun Life Floating Rate Fund-REGULAR - WEEKLY IDCW</t>
        </is>
      </c>
      <c r="C271" t="inlineStr">
        <is>
          <t xml:space="preserve">INF209K01MH7</t>
        </is>
      </c>
    </row>
    <row r="272">
      <c r="A272" t="inlineStr">
        <is>
          <t xml:space="preserve">Aditya Birla Sun Life Mutual Fund</t>
        </is>
      </c>
      <c r="B272" t="inlineStr">
        <is>
          <t xml:space="preserve">Aditya Birla Sun Life Floating Rate Fund-Regular Plan-Growth</t>
        </is>
      </c>
      <c r="C272" t="inlineStr">
        <is>
          <t xml:space="preserve">INF209K01MG9</t>
        </is>
      </c>
    </row>
    <row r="273">
      <c r="A273" t="inlineStr">
        <is>
          <t xml:space="preserve">Aditya Birla Sun Life Mutual Fund</t>
        </is>
      </c>
      <c r="B273" t="inlineStr">
        <is>
          <t xml:space="preserve">Aditya Birla Sun Life Focused Fund - Growth - Direct Plan</t>
        </is>
      </c>
      <c r="C273" t="inlineStr">
        <is>
          <t xml:space="preserve">INF209K01WE3</t>
        </is>
      </c>
    </row>
    <row r="274">
      <c r="A274" t="inlineStr">
        <is>
          <t xml:space="preserve">Aditya Birla Sun Life Mutual Fund</t>
        </is>
      </c>
      <c r="B274" t="inlineStr">
        <is>
          <t xml:space="preserve">Aditya Birla Sun Life Focused Fund -Direct - IDCW</t>
        </is>
      </c>
      <c r="C274" t="inlineStr">
        <is>
          <t xml:space="preserve">INF209K01Q71</t>
        </is>
      </c>
    </row>
    <row r="275">
      <c r="A275" t="inlineStr">
        <is>
          <t xml:space="preserve">Aditya Birla Sun Life Mutual Fund</t>
        </is>
      </c>
      <c r="B275" t="inlineStr">
        <is>
          <t xml:space="preserve">Aditya Birla Sun Life Focused Fund -Growth Option</t>
        </is>
      </c>
      <c r="C275" t="inlineStr">
        <is>
          <t xml:space="preserve">INF209K01462</t>
        </is>
      </c>
    </row>
    <row r="276">
      <c r="A276" t="inlineStr">
        <is>
          <t xml:space="preserve">Aditya Birla Sun Life Mutual Fund</t>
        </is>
      </c>
      <c r="B276" t="inlineStr">
        <is>
          <t xml:space="preserve">Aditya Birla Sun Life Focused Fund -Regular - IDCW</t>
        </is>
      </c>
      <c r="C276" t="inlineStr">
        <is>
          <t xml:space="preserve">INF209K01454</t>
        </is>
      </c>
    </row>
    <row r="277">
      <c r="A277" t="inlineStr">
        <is>
          <t xml:space="preserve">Aditya Birla Sun Life Mutual Fund</t>
        </is>
      </c>
      <c r="B277" t="inlineStr">
        <is>
          <t xml:space="preserve">Aditya Birla Sun Life Global Emerging Opportunities Fund - Direct - IDCW</t>
        </is>
      </c>
      <c r="C277" t="inlineStr">
        <is>
          <t xml:space="preserve">INF084M01EC8</t>
        </is>
      </c>
    </row>
    <row r="278">
      <c r="A278" t="inlineStr">
        <is>
          <t xml:space="preserve">Aditya Birla Sun Life Mutual Fund</t>
        </is>
      </c>
      <c r="B278" t="inlineStr">
        <is>
          <t xml:space="preserve">Aditya Birla Sun Life Global Emerging Opportunities Fund - Direct plan - Growth Option</t>
        </is>
      </c>
      <c r="C278" t="inlineStr">
        <is>
          <t xml:space="preserve">INF084M01EB0</t>
        </is>
      </c>
    </row>
    <row r="279">
      <c r="A279" t="inlineStr">
        <is>
          <t xml:space="preserve">Aditya Birla Sun Life Mutual Fund</t>
        </is>
      </c>
      <c r="B279" t="inlineStr">
        <is>
          <t xml:space="preserve">Aditya Birla Sun Life Global Emerging Opportunities Fund - Regular - IDCW</t>
        </is>
      </c>
      <c r="C279" t="inlineStr">
        <is>
          <t xml:space="preserve">INF084M01AU8</t>
        </is>
      </c>
    </row>
    <row r="280">
      <c r="A280" t="inlineStr">
        <is>
          <t xml:space="preserve">Aditya Birla Sun Life Mutual Fund</t>
        </is>
      </c>
      <c r="B280" t="inlineStr">
        <is>
          <t xml:space="preserve">Aditya Birla SUn Life Global Emerging Opportunities Fund - Regular Plan - Growth Option</t>
        </is>
      </c>
      <c r="C280" t="inlineStr">
        <is>
          <t xml:space="preserve">INF084M01AT0</t>
        </is>
      </c>
    </row>
    <row r="281">
      <c r="A281" t="inlineStr">
        <is>
          <t xml:space="preserve">Aditya Birla Sun Life Mutual Fund</t>
        </is>
      </c>
      <c r="B281" t="inlineStr">
        <is>
          <t xml:space="preserve">Aditya Birla Sun Life Global Excellence Equity Fund Of Fund - Retail Plan - Direct Plan - Growth Option</t>
        </is>
      </c>
      <c r="C281" t="inlineStr">
        <is>
          <t xml:space="preserve">INF084M01EH7</t>
        </is>
      </c>
    </row>
    <row r="282">
      <c r="A282" t="inlineStr">
        <is>
          <t xml:space="preserve">Aditya Birla Sun Life Mutual Fund</t>
        </is>
      </c>
      <c r="B282" t="inlineStr">
        <is>
          <t xml:space="preserve">Aditya Birla Sun Life Global Excellence Equity Fund Of Fund- Retail Plan - Regular Plan - Growth Option</t>
        </is>
      </c>
      <c r="C282" t="inlineStr">
        <is>
          <t xml:space="preserve">INF084M01AZ7</t>
        </is>
      </c>
    </row>
    <row r="283">
      <c r="A283" t="inlineStr">
        <is>
          <t xml:space="preserve">Aditya Birla Sun Life Mutual Fund</t>
        </is>
      </c>
      <c r="B283" t="inlineStr">
        <is>
          <t xml:space="preserve">Aditya Birla Sun Life Global Excellence Equity Fund Of Fund-DIRECT - RETAIL - IDCW</t>
        </is>
      </c>
      <c r="C283" t="inlineStr">
        <is>
          <t xml:space="preserve">INF084M01EI5</t>
        </is>
      </c>
    </row>
    <row r="284">
      <c r="A284" t="inlineStr">
        <is>
          <t xml:space="preserve">Aditya Birla Sun Life Mutual Fund</t>
        </is>
      </c>
      <c r="B284" t="inlineStr">
        <is>
          <t xml:space="preserve">Aditya Birla Sun Life Global Excellence Equity Fund Of Fund-REGULAR - RETAIL - IDCW</t>
        </is>
      </c>
      <c r="C284" t="inlineStr">
        <is>
          <t xml:space="preserve">INF084M01BA8</t>
        </is>
      </c>
    </row>
    <row r="285">
      <c r="A285" t="inlineStr">
        <is>
          <t xml:space="preserve">Aditya Birla Sun Life Mutual Fund</t>
        </is>
      </c>
      <c r="B285" t="inlineStr">
        <is>
          <t xml:space="preserve">Aditya Birla Sun Life Gold ETF</t>
        </is>
      </c>
      <c r="C285" t="inlineStr">
        <is>
          <t xml:space="preserve">INF209KB18D3</t>
        </is>
      </c>
    </row>
    <row r="286">
      <c r="A286" t="inlineStr">
        <is>
          <t xml:space="preserve">Aditya Birla Sun Life Mutual Fund</t>
        </is>
      </c>
      <c r="B286" t="inlineStr">
        <is>
          <t xml:space="preserve">Aditya Birla Sun Life Gold Fund - Growth - Direct Plan</t>
        </is>
      </c>
      <c r="C286" t="inlineStr">
        <is>
          <t xml:space="preserve">INF209K01YU5</t>
        </is>
      </c>
    </row>
    <row r="287">
      <c r="A287" t="inlineStr">
        <is>
          <t xml:space="preserve">Aditya Birla Sun Life Mutual Fund</t>
        </is>
      </c>
      <c r="B287" t="inlineStr">
        <is>
          <t xml:space="preserve">Aditya Birla Sun Life Gold Fund-DIRECT - IDCW</t>
        </is>
      </c>
      <c r="C287" t="inlineStr">
        <is>
          <t xml:space="preserve">INF209K01YT7</t>
        </is>
      </c>
    </row>
    <row r="288">
      <c r="A288" t="inlineStr">
        <is>
          <t xml:space="preserve">Aditya Birla Sun Life Mutual Fund</t>
        </is>
      </c>
      <c r="B288" t="inlineStr">
        <is>
          <t xml:space="preserve">Aditya Birla Sun Life Gold Fund-Growth</t>
        </is>
      </c>
      <c r="C288" t="inlineStr">
        <is>
          <t xml:space="preserve">INF209K01PF4</t>
        </is>
      </c>
    </row>
    <row r="289">
      <c r="A289" t="inlineStr">
        <is>
          <t xml:space="preserve">Aditya Birla Sun Life Mutual Fund</t>
        </is>
      </c>
      <c r="B289" t="inlineStr">
        <is>
          <t xml:space="preserve">Aditya Birla Sun Life Gold Fund-REGULAR - IDCW</t>
        </is>
      </c>
      <c r="C289" t="inlineStr">
        <is>
          <t xml:space="preserve">INF209K01PG2</t>
        </is>
      </c>
    </row>
    <row r="290">
      <c r="A290" t="inlineStr">
        <is>
          <t xml:space="preserve">Aditya Birla Sun Life Mutual Fund</t>
        </is>
      </c>
      <c r="B290" t="inlineStr">
        <is>
          <t xml:space="preserve">Aditya Birla Sun Life Govenment Securities Fund -DIRECT - Quarterly IDCW</t>
        </is>
      </c>
      <c r="C290" t="inlineStr">
        <is>
          <t xml:space="preserve">INF209KA1LC4</t>
        </is>
      </c>
    </row>
    <row r="291">
      <c r="A291" t="inlineStr">
        <is>
          <t xml:space="preserve">Aditya Birla Sun Life Mutual Fund</t>
        </is>
      </c>
      <c r="B291" t="inlineStr">
        <is>
          <t xml:space="preserve">Aditya Birla Sun Life Govenment Securities Fund -Regular - Quarterly IDCW</t>
        </is>
      </c>
      <c r="C291" t="inlineStr">
        <is>
          <t xml:space="preserve">INF209K01AF6</t>
        </is>
      </c>
    </row>
    <row r="292">
      <c r="A292" t="inlineStr">
        <is>
          <t xml:space="preserve">Aditya Birla Sun Life Mutual Fund</t>
        </is>
      </c>
      <c r="B292" t="inlineStr">
        <is>
          <t xml:space="preserve">Aditya Birla Sun Life Government Securities Fund  - Growth - Regular Plan</t>
        </is>
      </c>
      <c r="C292" t="inlineStr">
        <is>
          <t xml:space="preserve">INF209K01AC3</t>
        </is>
      </c>
    </row>
    <row r="293">
      <c r="A293" t="inlineStr">
        <is>
          <t xml:space="preserve">Aditya Birla Sun Life Mutual Fund</t>
        </is>
      </c>
      <c r="B293" t="inlineStr">
        <is>
          <t xml:space="preserve">Aditya Birla Sun Life Government Securities Fund - Growth - Direct Plan</t>
        </is>
      </c>
      <c r="C293" t="inlineStr">
        <is>
          <t xml:space="preserve">INF209K01XP7</t>
        </is>
      </c>
    </row>
    <row r="294">
      <c r="A294" t="inlineStr">
        <is>
          <t xml:space="preserve">Aditya Birla Sun Life Mutual Fund</t>
        </is>
      </c>
      <c r="B294" t="inlineStr">
        <is>
          <t xml:space="preserve">Aditya Birla Sun Life Income Fund (Discipline Advantage Plan)</t>
        </is>
      </c>
      <c r="C294" t="inlineStr">
        <is>
          <t xml:space="preserve">INF209K01LD8</t>
        </is>
      </c>
    </row>
    <row r="295">
      <c r="A295" t="inlineStr">
        <is>
          <t xml:space="preserve">Aditya Birla Sun Life Mutual Fund</t>
        </is>
      </c>
      <c r="B295" t="inlineStr">
        <is>
          <t xml:space="preserve">Aditya Birla Sun Life Income Fund - Direct - IDCW</t>
        </is>
      </c>
      <c r="C295" t="inlineStr">
        <is>
          <t xml:space="preserve">INF209KA1WL2</t>
        </is>
      </c>
    </row>
    <row r="296">
      <c r="A296" t="inlineStr">
        <is>
          <t xml:space="preserve">Aditya Birla Sun Life Mutual Fund</t>
        </is>
      </c>
      <c r="B296" t="inlineStr">
        <is>
          <t xml:space="preserve">Aditya Birla Sun Life Income Fund - Direct - Quarterly IDCW</t>
        </is>
      </c>
      <c r="C296" t="inlineStr">
        <is>
          <t xml:space="preserve">INF209K01R13</t>
        </is>
      </c>
    </row>
    <row r="297">
      <c r="A297" t="inlineStr">
        <is>
          <t xml:space="preserve">Aditya Birla Sun Life Mutual Fund</t>
        </is>
      </c>
      <c r="B297" t="inlineStr">
        <is>
          <t xml:space="preserve">Aditya Birla Sun Life Income Fund - Growth - Direct Plan</t>
        </is>
      </c>
      <c r="C297" t="inlineStr">
        <is>
          <t xml:space="preserve">INF209K01WY1</t>
        </is>
      </c>
    </row>
    <row r="298">
      <c r="A298" t="inlineStr">
        <is>
          <t xml:space="preserve">Aditya Birla Sun Life Mutual Fund</t>
        </is>
      </c>
      <c r="B298" t="inlineStr">
        <is>
          <t xml:space="preserve">Aditya Birla Sun Life Income Fund - Growth - Regular Plan</t>
        </is>
      </c>
      <c r="C298" t="inlineStr">
        <is>
          <t xml:space="preserve">INF209K01579</t>
        </is>
      </c>
    </row>
    <row r="299">
      <c r="A299" t="inlineStr">
        <is>
          <t xml:space="preserve">Aditya Birla Sun Life Mutual Fund</t>
        </is>
      </c>
      <c r="B299" t="inlineStr">
        <is>
          <t xml:space="preserve">Aditya Birla Sun Life Income Fund - Regular - IDCW</t>
        </is>
      </c>
      <c r="C299" t="inlineStr">
        <is>
          <t xml:space="preserve">INF209KA1WJ6</t>
        </is>
      </c>
    </row>
    <row r="300">
      <c r="A300" t="inlineStr">
        <is>
          <t xml:space="preserve">Aditya Birla Sun Life Mutual Fund</t>
        </is>
      </c>
      <c r="B300" t="inlineStr">
        <is>
          <t xml:space="preserve">Aditya Birla Sun Life Income Fund - Regular - Quarterly IDCW</t>
        </is>
      </c>
      <c r="C300" t="inlineStr">
        <is>
          <t xml:space="preserve">INF209K01587</t>
        </is>
      </c>
    </row>
    <row r="301">
      <c r="A301" t="inlineStr">
        <is>
          <t xml:space="preserve">Aditya Birla Sun Life Mutual Fund</t>
        </is>
      </c>
      <c r="B301" t="inlineStr">
        <is>
          <t xml:space="preserve">Aditya Birla Sun Life Income Plus Arbitrage Active FOF- DIRECT - IDCW</t>
        </is>
      </c>
      <c r="C301" t="inlineStr">
        <is>
          <t xml:space="preserve">INF084M01DQ0</t>
        </is>
      </c>
    </row>
    <row r="302">
      <c r="A302" t="inlineStr">
        <is>
          <t xml:space="preserve">Aditya Birla Sun Life Mutual Fund</t>
        </is>
      </c>
      <c r="B302" t="inlineStr">
        <is>
          <t xml:space="preserve">Aditya Birla Sun Life Income Plus Arbitrage Active FOF- Direct Plan - Growth Option</t>
        </is>
      </c>
      <c r="C302" t="inlineStr">
        <is>
          <t xml:space="preserve">INF084M01DP2</t>
        </is>
      </c>
    </row>
    <row r="303">
      <c r="A303" t="inlineStr">
        <is>
          <t xml:space="preserve">Aditya Birla Sun Life Mutual Fund</t>
        </is>
      </c>
      <c r="B303" t="inlineStr">
        <is>
          <t xml:space="preserve">Aditya Birla Sun Life Income Plus Arbitrage Active FOF- REGULAR - IDCW</t>
        </is>
      </c>
      <c r="C303" t="inlineStr">
        <is>
          <t xml:space="preserve">INF084M01AI3</t>
        </is>
      </c>
    </row>
    <row r="304">
      <c r="A304" t="inlineStr">
        <is>
          <t xml:space="preserve">Aditya Birla Sun Life Mutual Fund</t>
        </is>
      </c>
      <c r="B304" t="inlineStr">
        <is>
          <t xml:space="preserve">Aditya Birla Sun Life Income Plus Arbitrage Active FOF- Regular Plan - Growth Option</t>
        </is>
      </c>
      <c r="C304" t="inlineStr">
        <is>
          <t xml:space="preserve">INF084M01AH5</t>
        </is>
      </c>
    </row>
    <row r="305">
      <c r="A305" t="inlineStr">
        <is>
          <t xml:space="preserve">Aditya Birla Sun Life Mutual Fund</t>
        </is>
      </c>
      <c r="B305" t="inlineStr">
        <is>
          <t xml:space="preserve">Aditya Birla Sun Life Infrastructure Fund -  Direct - IDCW</t>
        </is>
      </c>
      <c r="C305" t="inlineStr">
        <is>
          <t xml:space="preserve">INF209K01WG8</t>
        </is>
      </c>
    </row>
    <row r="306">
      <c r="A306" t="inlineStr">
        <is>
          <t xml:space="preserve">Aditya Birla Sun Life Mutual Fund</t>
        </is>
      </c>
      <c r="B306" t="inlineStr">
        <is>
          <t xml:space="preserve">Aditya Birla Sun Life Infrastructure Fund -  Regular - IDCW</t>
        </is>
      </c>
      <c r="C306" t="inlineStr">
        <is>
          <t xml:space="preserve">INF209K01470</t>
        </is>
      </c>
    </row>
    <row r="307">
      <c r="A307" t="inlineStr">
        <is>
          <t xml:space="preserve">Aditya Birla Sun Life Mutual Fund</t>
        </is>
      </c>
      <c r="B307" t="inlineStr">
        <is>
          <t xml:space="preserve">Aditya Birla Sun Life Infrastructure Fund - Growth - Direct Plan</t>
        </is>
      </c>
      <c r="C307" t="inlineStr">
        <is>
          <t xml:space="preserve">INF209K01WH6</t>
        </is>
      </c>
    </row>
    <row r="308">
      <c r="A308" t="inlineStr">
        <is>
          <t xml:space="preserve">Aditya Birla Sun Life Mutual Fund</t>
        </is>
      </c>
      <c r="B308" t="inlineStr">
        <is>
          <t xml:space="preserve">Aditya Birla Sun Life Infrastructure Fund-Growth</t>
        </is>
      </c>
      <c r="C308" t="inlineStr">
        <is>
          <t xml:space="preserve">INF209K01504</t>
        </is>
      </c>
    </row>
    <row r="309">
      <c r="A309" t="inlineStr">
        <is>
          <t xml:space="preserve">Aditya Birla Sun Life Mutual Fund</t>
        </is>
      </c>
      <c r="B309" t="inlineStr">
        <is>
          <t xml:space="preserve">Aditya Birla Sun Life International Equity Fund - Direct - IDCW</t>
        </is>
      </c>
      <c r="C309" t="inlineStr">
        <is>
          <t xml:space="preserve">INF209K01Q89</t>
        </is>
      </c>
    </row>
    <row r="310">
      <c r="A310" t="inlineStr">
        <is>
          <t xml:space="preserve">Aditya Birla Sun Life Mutual Fund</t>
        </is>
      </c>
      <c r="B310" t="inlineStr">
        <is>
          <t xml:space="preserve">Aditya Birla Sun Life International Equity Fund - Growth - Direct Plan</t>
        </is>
      </c>
      <c r="C310" t="inlineStr">
        <is>
          <t xml:space="preserve">INF209K01WS3</t>
        </is>
      </c>
    </row>
    <row r="311">
      <c r="A311" t="inlineStr">
        <is>
          <t xml:space="preserve">Aditya Birla Sun Life Mutual Fund</t>
        </is>
      </c>
      <c r="B311" t="inlineStr">
        <is>
          <t xml:space="preserve">Aditya Birla Sun Life International Equity Fund - Growth - Regular Plan</t>
        </is>
      </c>
      <c r="C311" t="inlineStr">
        <is>
          <t xml:space="preserve">INF209K01520</t>
        </is>
      </c>
    </row>
    <row r="312">
      <c r="A312" t="inlineStr">
        <is>
          <t xml:space="preserve">Aditya Birla Sun Life Mutual Fund</t>
        </is>
      </c>
      <c r="B312" t="inlineStr">
        <is>
          <t xml:space="preserve">Aditya Birla Sun Life International Equity Fund - Plan B - Direct - IDCW</t>
        </is>
      </c>
      <c r="C312" t="inlineStr">
        <is>
          <t xml:space="preserve">INF209K01Q97</t>
        </is>
      </c>
    </row>
    <row r="313">
      <c r="A313" t="inlineStr">
        <is>
          <t xml:space="preserve">Aditya Birla Sun Life Mutual Fund</t>
        </is>
      </c>
      <c r="B313" t="inlineStr">
        <is>
          <t xml:space="preserve">Aditya Birla Sun Life International Equity Fund - Plan B - Growth - Direct Plan</t>
        </is>
      </c>
      <c r="C313" t="inlineStr">
        <is>
          <t xml:space="preserve">INF209K01WU9</t>
        </is>
      </c>
    </row>
    <row r="314">
      <c r="A314" t="inlineStr">
        <is>
          <t xml:space="preserve">Aditya Birla Sun Life Mutual Fund</t>
        </is>
      </c>
      <c r="B314" t="inlineStr">
        <is>
          <t xml:space="preserve">Aditya Birla Sun Life International Equity Fund - Plan B - Growth - Regular Plan</t>
        </is>
      </c>
      <c r="C314" t="inlineStr">
        <is>
          <t xml:space="preserve">INF209K01546</t>
        </is>
      </c>
    </row>
    <row r="315">
      <c r="A315" t="inlineStr">
        <is>
          <t xml:space="preserve">Aditya Birla Sun Life Mutual Fund</t>
        </is>
      </c>
      <c r="B315" t="inlineStr">
        <is>
          <t xml:space="preserve">Aditya Birla Sun Life International Equity Fund - Plan B - Regular - IDCW</t>
        </is>
      </c>
      <c r="C315" t="inlineStr">
        <is>
          <t xml:space="preserve">INF209K01538</t>
        </is>
      </c>
    </row>
    <row r="316">
      <c r="A316" t="inlineStr">
        <is>
          <t xml:space="preserve">Aditya Birla Sun Life Mutual Fund</t>
        </is>
      </c>
      <c r="B316" t="inlineStr">
        <is>
          <t xml:space="preserve">Aditya Birla Sun Life International Equity Fund - Regular - IDCW</t>
        </is>
      </c>
      <c r="C316" t="inlineStr">
        <is>
          <t xml:space="preserve">INF209K01512</t>
        </is>
      </c>
    </row>
    <row r="317">
      <c r="A317" t="inlineStr">
        <is>
          <t xml:space="preserve">Aditya Birla Sun Life Mutual Fund</t>
        </is>
      </c>
      <c r="B317" t="inlineStr">
        <is>
          <t xml:space="preserve">Aditya Birla Sun Life Large &amp; Mid Cap Fund - Growth - Direct Plan</t>
        </is>
      </c>
      <c r="C317" t="inlineStr">
        <is>
          <t xml:space="preserve">INF209K01VH8</t>
        </is>
      </c>
    </row>
    <row r="318">
      <c r="A318" t="inlineStr">
        <is>
          <t xml:space="preserve">Aditya Birla Sun Life Mutual Fund</t>
        </is>
      </c>
      <c r="B318" t="inlineStr">
        <is>
          <t xml:space="preserve">Aditya Birla Sun Life Large &amp; Mid Cap Fund - Regular Growth</t>
        </is>
      </c>
      <c r="C318" t="inlineStr">
        <is>
          <t xml:space="preserve">INF209K01165</t>
        </is>
      </c>
    </row>
    <row r="319">
      <c r="A319" t="inlineStr">
        <is>
          <t xml:space="preserve">Aditya Birla Sun Life Mutual Fund</t>
        </is>
      </c>
      <c r="B319" t="inlineStr">
        <is>
          <t xml:space="preserve">Aditya Birla Sun Life Large &amp; Mid Cap Fund -Direct - IDCW</t>
        </is>
      </c>
      <c r="C319" t="inlineStr">
        <is>
          <t xml:space="preserve">INF209K01VG0</t>
        </is>
      </c>
    </row>
    <row r="320">
      <c r="A320" t="inlineStr">
        <is>
          <t xml:space="preserve">Aditya Birla Sun Life Mutual Fund</t>
        </is>
      </c>
      <c r="B320" t="inlineStr">
        <is>
          <t xml:space="preserve">Aditya Birla Sun Life Large &amp; Mid Cap Fund -Regular - IDCW</t>
        </is>
      </c>
      <c r="C320" t="inlineStr">
        <is>
          <t xml:space="preserve">INF209K01157</t>
        </is>
      </c>
    </row>
    <row r="321">
      <c r="A321" t="inlineStr">
        <is>
          <t xml:space="preserve">Aditya Birla Sun Life Mutual Fund</t>
        </is>
      </c>
      <c r="B321" t="inlineStr">
        <is>
          <t xml:space="preserve">Aditya Birla Sun Life Large Cap Fund - Growth - Direct Plan</t>
        </is>
      </c>
      <c r="C321" t="inlineStr">
        <is>
          <t xml:space="preserve">INF209K01YY7</t>
        </is>
      </c>
    </row>
    <row r="322">
      <c r="A322" t="inlineStr">
        <is>
          <t xml:space="preserve">Aditya Birla Sun Life Mutual Fund</t>
        </is>
      </c>
      <c r="B322" t="inlineStr">
        <is>
          <t xml:space="preserve">Aditya Birla Sun Life Large Cap Fund-DIRECT - IDCW</t>
        </is>
      </c>
      <c r="C322" t="inlineStr">
        <is>
          <t xml:space="preserve">INF209K01YX9</t>
        </is>
      </c>
    </row>
    <row r="323">
      <c r="A323" t="inlineStr">
        <is>
          <t xml:space="preserve">Aditya Birla Sun Life Mutual Fund</t>
        </is>
      </c>
      <c r="B323" t="inlineStr">
        <is>
          <t xml:space="preserve">Aditya Birla Sun Life Large Cap Fund-Growth</t>
        </is>
      </c>
      <c r="C323" t="inlineStr">
        <is>
          <t xml:space="preserve">INF209K01BR9</t>
        </is>
      </c>
    </row>
    <row r="324">
      <c r="A324" t="inlineStr">
        <is>
          <t xml:space="preserve">Aditya Birla Sun Life Mutual Fund</t>
        </is>
      </c>
      <c r="B324" t="inlineStr">
        <is>
          <t xml:space="preserve">Aditya Birla Sun Life Large Cap Fund-Regular - IDCW</t>
        </is>
      </c>
      <c r="C324" t="inlineStr">
        <is>
          <t xml:space="preserve">INF209K01BO6</t>
        </is>
      </c>
    </row>
    <row r="325">
      <c r="A325" t="inlineStr">
        <is>
          <t xml:space="preserve">Aditya Birla Sun Life Mutual Fund</t>
        </is>
      </c>
      <c r="B325" t="inlineStr">
        <is>
          <t xml:space="preserve">Aditya Birla Sun Life Liquid Fund - Growth</t>
        </is>
      </c>
      <c r="C325" t="inlineStr">
        <is>
          <t xml:space="preserve">INF209K01RU9</t>
        </is>
      </c>
    </row>
    <row r="326">
      <c r="A326" t="inlineStr">
        <is>
          <t xml:space="preserve">Aditya Birla Sun Life Mutual Fund</t>
        </is>
      </c>
      <c r="B326" t="inlineStr">
        <is>
          <t xml:space="preserve">Aditya Birla Sun Life Liquid Fund - Growth - Direct Plan</t>
        </is>
      </c>
      <c r="C326" t="inlineStr">
        <is>
          <t xml:space="preserve">INF209K01VA3</t>
        </is>
      </c>
    </row>
    <row r="327">
      <c r="A327" t="inlineStr">
        <is>
          <t xml:space="preserve">Aditya Birla Sun Life Mutual Fund</t>
        </is>
      </c>
      <c r="B327" t="inlineStr">
        <is>
          <t xml:space="preserve">Aditya Birla Sun Life Liquid Fund -Daily IDCW</t>
        </is>
      </c>
      <c r="C327" t="inlineStr">
        <is>
          <t xml:space="preserve">INF209K01KQ2</t>
        </is>
      </c>
    </row>
    <row r="328">
      <c r="A328" t="inlineStr">
        <is>
          <t xml:space="preserve">Aditya Birla Sun Life Mutual Fund</t>
        </is>
      </c>
      <c r="B328" t="inlineStr">
        <is>
          <t xml:space="preserve">Aditya Birla Sun Life Liquid Fund -Direct - daily IDCW</t>
        </is>
      </c>
      <c r="C328" t="inlineStr">
        <is>
          <t xml:space="preserve">INF209K01UZ2</t>
        </is>
      </c>
    </row>
    <row r="329">
      <c r="A329" t="inlineStr">
        <is>
          <t xml:space="preserve">Aditya Birla Sun Life Mutual Fund</t>
        </is>
      </c>
      <c r="B329" t="inlineStr">
        <is>
          <t xml:space="preserve">Aditya Birla Sun Life Liquid Fund -DIRECT - IDCW</t>
        </is>
      </c>
      <c r="C329" t="inlineStr">
        <is>
          <t xml:space="preserve">INF209K01VD7</t>
        </is>
      </c>
    </row>
    <row r="330">
      <c r="A330" t="inlineStr">
        <is>
          <t xml:space="preserve">Aditya Birla Sun Life Mutual Fund</t>
        </is>
      </c>
      <c r="B330" t="inlineStr">
        <is>
          <t xml:space="preserve">Aditya Birla Sun Life Liquid Fund -Direct - weekly IDCW</t>
        </is>
      </c>
      <c r="C330" t="inlineStr">
        <is>
          <t xml:space="preserve">INF209K01VC9</t>
        </is>
      </c>
    </row>
    <row r="331">
      <c r="A331" t="inlineStr">
        <is>
          <t xml:space="preserve">Aditya Birla Sun Life Mutual Fund</t>
        </is>
      </c>
      <c r="B331" t="inlineStr">
        <is>
          <t xml:space="preserve">Aditya Birla Sun Life Liquid Fund -Institutional - IDCW</t>
        </is>
      </c>
      <c r="C331" t="inlineStr">
        <is>
          <t xml:space="preserve">INF209K01KN9</t>
        </is>
      </c>
    </row>
    <row r="332">
      <c r="A332" t="inlineStr">
        <is>
          <t xml:space="preserve">Aditya Birla Sun Life Mutual Fund</t>
        </is>
      </c>
      <c r="B332" t="inlineStr">
        <is>
          <t xml:space="preserve">Aditya Birla Sun Life Liquid Fund -Institutional - weekly  IDCW</t>
        </is>
      </c>
      <c r="C332" t="inlineStr">
        <is>
          <t xml:space="preserve">INF209KA1LK7</t>
        </is>
      </c>
    </row>
    <row r="333">
      <c r="A333" t="inlineStr">
        <is>
          <t xml:space="preserve">Aditya Birla Sun Life Mutual Fund</t>
        </is>
      </c>
      <c r="B333" t="inlineStr">
        <is>
          <t xml:space="preserve">Aditya Birla Sun Life Liquid Fund -Regular - IDCW</t>
        </is>
      </c>
      <c r="C333" t="inlineStr">
        <is>
          <t xml:space="preserve">INF209KA1LI1</t>
        </is>
      </c>
    </row>
    <row r="334">
      <c r="A334" t="inlineStr">
        <is>
          <t xml:space="preserve">Aditya Birla Sun Life Mutual Fund</t>
        </is>
      </c>
      <c r="B334" t="inlineStr">
        <is>
          <t xml:space="preserve">Aditya Birla Sun Life Liquid Fund -Retail - IDCW</t>
        </is>
      </c>
      <c r="C334" t="inlineStr">
        <is>
          <t xml:space="preserve">INF209K01KP4</t>
        </is>
      </c>
    </row>
    <row r="335">
      <c r="A335" t="inlineStr">
        <is>
          <t xml:space="preserve">Aditya Birla Sun Life Mutual Fund</t>
        </is>
      </c>
      <c r="B335" t="inlineStr">
        <is>
          <t xml:space="preserve">Aditya Birla Sun Life Liquid Fund -weekly IDCW</t>
        </is>
      </c>
      <c r="C335" t="inlineStr">
        <is>
          <t xml:space="preserve">INF209K01KU4</t>
        </is>
      </c>
    </row>
    <row r="336">
      <c r="A336" t="inlineStr">
        <is>
          <t xml:space="preserve">Aditya Birla Sun Life Mutual Fund</t>
        </is>
      </c>
      <c r="B336" t="inlineStr">
        <is>
          <t xml:space="preserve">Aditya Birla Sun Life Long Duration Fund-Direct Growth</t>
        </is>
      </c>
      <c r="C336" t="inlineStr">
        <is>
          <t xml:space="preserve">INF209KB17J2</t>
        </is>
      </c>
    </row>
    <row r="337">
      <c r="A337" t="inlineStr">
        <is>
          <t xml:space="preserve">Aditya Birla Sun Life Mutual Fund</t>
        </is>
      </c>
      <c r="B337" t="inlineStr">
        <is>
          <t xml:space="preserve">Aditya Birla Sun Life Long Duration Fund-Direct IDCW Payout</t>
        </is>
      </c>
      <c r="C337" t="inlineStr">
        <is>
          <t xml:space="preserve">INF209KB18J0</t>
        </is>
      </c>
    </row>
    <row r="338">
      <c r="A338" t="inlineStr">
        <is>
          <t xml:space="preserve">Aditya Birla Sun Life Mutual Fund</t>
        </is>
      </c>
      <c r="B338" t="inlineStr">
        <is>
          <t xml:space="preserve">Aditya Birla Sun Life Long Duration Fund-Regular Growth</t>
        </is>
      </c>
      <c r="C338" t="inlineStr">
        <is>
          <t xml:space="preserve">INF209KB14J9</t>
        </is>
      </c>
    </row>
    <row r="339">
      <c r="A339" t="inlineStr">
        <is>
          <t xml:space="preserve">Aditya Birla Sun Life Mutual Fund</t>
        </is>
      </c>
      <c r="B339" t="inlineStr">
        <is>
          <t xml:space="preserve">Aditya Birla Sun Life Long Duration Fund-Regular IDCW Payout</t>
        </is>
      </c>
      <c r="C339" t="inlineStr">
        <is>
          <t xml:space="preserve">INF209KB15J6</t>
        </is>
      </c>
    </row>
    <row r="340">
      <c r="A340" t="inlineStr">
        <is>
          <t xml:space="preserve">Aditya Birla Sun Life Mutual Fund</t>
        </is>
      </c>
      <c r="B340" t="inlineStr">
        <is>
          <t xml:space="preserve">Aditya Birla Sun Life Low duration Fund - Growth - Direct Plan</t>
        </is>
      </c>
      <c r="C340" t="inlineStr">
        <is>
          <t xml:space="preserve">INF209K01XU7</t>
        </is>
      </c>
    </row>
    <row r="341">
      <c r="A341" t="inlineStr">
        <is>
          <t xml:space="preserve">Aditya Birla Sun Life Mutual Fund</t>
        </is>
      </c>
      <c r="B341" t="inlineStr">
        <is>
          <t xml:space="preserve">Aditya Birla Sun Life Low Duration Fund -Direct - daily IDCW</t>
        </is>
      </c>
      <c r="C341" t="inlineStr">
        <is>
          <t xml:space="preserve">INF209K01XW3</t>
        </is>
      </c>
    </row>
    <row r="342">
      <c r="A342" t="inlineStr">
        <is>
          <t xml:space="preserve">Aditya Birla Sun Life Mutual Fund</t>
        </is>
      </c>
      <c r="B342" t="inlineStr">
        <is>
          <t xml:space="preserve">Aditya Birla Sun Life Low Duration Fund -Direct - weekly IDCW</t>
        </is>
      </c>
      <c r="C342" t="inlineStr">
        <is>
          <t xml:space="preserve">INF209K01XV5</t>
        </is>
      </c>
    </row>
    <row r="343">
      <c r="A343" t="inlineStr">
        <is>
          <t xml:space="preserve">Aditya Birla Sun Life Mutual Fund</t>
        </is>
      </c>
      <c r="B343" t="inlineStr">
        <is>
          <t xml:space="preserve">Aditya Birla Sun Life Low Duration Fund -Institutional - weekly  IDCW</t>
        </is>
      </c>
      <c r="C343" t="inlineStr">
        <is>
          <t xml:space="preserve">INF209K01KG3</t>
        </is>
      </c>
    </row>
    <row r="344">
      <c r="A344" t="inlineStr">
        <is>
          <t xml:space="preserve">Aditya Birla Sun Life Mutual Fund</t>
        </is>
      </c>
      <c r="B344" t="inlineStr">
        <is>
          <t xml:space="preserve">Aditya Birla Sun Life Low Duration Fund -Regular - DAILY IDCW</t>
        </is>
      </c>
      <c r="C344" t="inlineStr">
        <is>
          <t xml:space="preserve">INF209KA1LP6</t>
        </is>
      </c>
    </row>
    <row r="345">
      <c r="A345" t="inlineStr">
        <is>
          <t xml:space="preserve">Aditya Birla Sun Life Mutual Fund</t>
        </is>
      </c>
      <c r="B345" t="inlineStr">
        <is>
          <t xml:space="preserve">Aditya Birla Sun Life Low Duration Fund -REGULAR - WEEKLY IDCW</t>
        </is>
      </c>
      <c r="C345" t="inlineStr">
        <is>
          <t xml:space="preserve">INF209KA1LQ4</t>
        </is>
      </c>
    </row>
    <row r="346">
      <c r="A346" t="inlineStr">
        <is>
          <t xml:space="preserve">Aditya Birla Sun Life Mutual Fund</t>
        </is>
      </c>
      <c r="B346" t="inlineStr">
        <is>
          <t xml:space="preserve">Aditya Birla Sun Life Low Duration Fund -Regular- Growth Plan</t>
        </is>
      </c>
      <c r="C346" t="inlineStr">
        <is>
          <t xml:space="preserve">INF209K01LQ0</t>
        </is>
      </c>
    </row>
    <row r="347">
      <c r="A347" t="inlineStr">
        <is>
          <t xml:space="preserve">Aditya Birla Sun Life Mutual Fund</t>
        </is>
      </c>
      <c r="B347" t="inlineStr">
        <is>
          <t xml:space="preserve">Aditya Birla Sun Life Manufacturing Equity Fund - Direct - IDCW</t>
        </is>
      </c>
      <c r="C347" t="inlineStr">
        <is>
          <t xml:space="preserve">INF209KA1YL8</t>
        </is>
      </c>
    </row>
    <row r="348">
      <c r="A348" t="inlineStr">
        <is>
          <t xml:space="preserve">Aditya Birla Sun Life Mutual Fund</t>
        </is>
      </c>
      <c r="B348" t="inlineStr">
        <is>
          <t xml:space="preserve">Aditya Birla Sun Life Manufacturing Equity Fund - Direct Plan - Growth</t>
        </is>
      </c>
      <c r="C348" t="inlineStr">
        <is>
          <t xml:space="preserve">INF209KA1YK0</t>
        </is>
      </c>
    </row>
    <row r="349">
      <c r="A349" t="inlineStr">
        <is>
          <t xml:space="preserve">Aditya Birla Sun Life Mutual Fund</t>
        </is>
      </c>
      <c r="B349" t="inlineStr">
        <is>
          <t xml:space="preserve">Aditya Birla Sun Life Manufacturing Equity Fund - Regular - IDCW</t>
        </is>
      </c>
      <c r="C349" t="inlineStr">
        <is>
          <t xml:space="preserve">INF209KA1YI4</t>
        </is>
      </c>
    </row>
    <row r="350">
      <c r="A350" t="inlineStr">
        <is>
          <t xml:space="preserve">Aditya Birla Sun Life Mutual Fund</t>
        </is>
      </c>
      <c r="B350" t="inlineStr">
        <is>
          <t xml:space="preserve">Aditya Birla Sun Life Manufacturing Equity Fund - Regular Plan - Growth</t>
        </is>
      </c>
      <c r="C350" t="inlineStr">
        <is>
          <t xml:space="preserve">INF209KA1YH6</t>
        </is>
      </c>
    </row>
    <row r="351">
      <c r="A351" t="inlineStr">
        <is>
          <t xml:space="preserve">Aditya Birla Sun Life Mutual Fund</t>
        </is>
      </c>
      <c r="B351" t="inlineStr">
        <is>
          <t xml:space="preserve">Aditya Birla Sun Life Medium Term Plan - DIRECT - HALF YEARLY IDCW</t>
        </is>
      </c>
      <c r="C351" t="inlineStr">
        <is>
          <t xml:space="preserve">INF209KA1KN3</t>
        </is>
      </c>
    </row>
    <row r="352">
      <c r="A352" t="inlineStr">
        <is>
          <t xml:space="preserve">Aditya Birla Sun Life Mutual Fund</t>
        </is>
      </c>
      <c r="B352" t="inlineStr">
        <is>
          <t xml:space="preserve">Aditya Birla Sun Life Medium Term Plan - Direct - IDCW</t>
        </is>
      </c>
      <c r="C352" t="inlineStr">
        <is>
          <t xml:space="preserve">INF209KA1KO1</t>
        </is>
      </c>
    </row>
    <row r="353">
      <c r="A353" t="inlineStr">
        <is>
          <t xml:space="preserve">Aditya Birla Sun Life Mutual Fund</t>
        </is>
      </c>
      <c r="B353" t="inlineStr">
        <is>
          <t xml:space="preserve">Aditya Birla Sun Life Medium Term Plan - DIRECT - Quarterly IDCW</t>
        </is>
      </c>
      <c r="C353" t="inlineStr">
        <is>
          <t xml:space="preserve">INF209KA1KP8</t>
        </is>
      </c>
    </row>
    <row r="354">
      <c r="A354" t="inlineStr">
        <is>
          <t xml:space="preserve">Aditya Birla Sun Life Mutual Fund</t>
        </is>
      </c>
      <c r="B354" t="inlineStr">
        <is>
          <t xml:space="preserve">Aditya Birla Sun Life Medium Term Plan - Growth - Direct Plan</t>
        </is>
      </c>
      <c r="C354" t="inlineStr">
        <is>
          <t xml:space="preserve">INF209K01XA9</t>
        </is>
      </c>
    </row>
    <row r="355">
      <c r="A355" t="inlineStr">
        <is>
          <t xml:space="preserve">Aditya Birla Sun Life Mutual Fund</t>
        </is>
      </c>
      <c r="B355" t="inlineStr">
        <is>
          <t xml:space="preserve">Aditya Birla Sun Life Medium Term Plan - Growth - Regular Plan</t>
        </is>
      </c>
      <c r="C355" t="inlineStr">
        <is>
          <t xml:space="preserve">INF209K01603</t>
        </is>
      </c>
    </row>
    <row r="356">
      <c r="A356" t="inlineStr">
        <is>
          <t xml:space="preserve">Aditya Birla Sun Life Mutual Fund</t>
        </is>
      </c>
      <c r="B356" t="inlineStr">
        <is>
          <t xml:space="preserve">Aditya Birla Sun Life Medium Term Plan - Institutional - Growth Plan</t>
        </is>
      </c>
      <c r="C356" t="inlineStr">
        <is>
          <t xml:space="preserve">INF209K01660</t>
        </is>
      </c>
    </row>
    <row r="357">
      <c r="A357" t="inlineStr">
        <is>
          <t xml:space="preserve">Aditya Birla Sun Life Mutual Fund</t>
        </is>
      </c>
      <c r="B357" t="inlineStr">
        <is>
          <t xml:space="preserve">Aditya Birla Sun Life Medium Term Plan - REGULAR - HALFYEARLY IDCW</t>
        </is>
      </c>
      <c r="C357" t="inlineStr">
        <is>
          <t xml:space="preserve">INF209K01595</t>
        </is>
      </c>
    </row>
    <row r="358">
      <c r="A358" t="inlineStr">
        <is>
          <t xml:space="preserve">Aditya Birla Sun Life Mutual Fund</t>
        </is>
      </c>
      <c r="B358" t="inlineStr">
        <is>
          <t xml:space="preserve">Aditya Birla Sun Life Medium Term Plan - Regular - IDCW</t>
        </is>
      </c>
      <c r="C358" t="inlineStr">
        <is>
          <t xml:space="preserve">INF209K01611</t>
        </is>
      </c>
    </row>
    <row r="359">
      <c r="A359" t="inlineStr">
        <is>
          <t xml:space="preserve">Aditya Birla Sun Life Mutual Fund</t>
        </is>
      </c>
      <c r="B359" t="inlineStr">
        <is>
          <t xml:space="preserve">Aditya Birla Sun Life Medium Term Plan - REGULAR - Quarterly IDCW</t>
        </is>
      </c>
      <c r="C359" t="inlineStr">
        <is>
          <t xml:space="preserve">INF209K01637</t>
        </is>
      </c>
    </row>
    <row r="360">
      <c r="A360" t="inlineStr">
        <is>
          <t xml:space="preserve">Aditya Birla Sun Life Mutual Fund</t>
        </is>
      </c>
      <c r="B360" t="inlineStr">
        <is>
          <t xml:space="preserve">Aditya Birla Sun Life Midcap Fund - Growth - Direct Plan</t>
        </is>
      </c>
      <c r="C360" t="inlineStr">
        <is>
          <t xml:space="preserve">INF209K01Q30</t>
        </is>
      </c>
    </row>
    <row r="361">
      <c r="A361" t="inlineStr">
        <is>
          <t xml:space="preserve">Aditya Birla Sun Life Mutual Fund</t>
        </is>
      </c>
      <c r="B361" t="inlineStr">
        <is>
          <t xml:space="preserve">Aditya Birla Sun Life Midcap Fund -DIRECT - IDCW</t>
        </is>
      </c>
      <c r="C361" t="inlineStr">
        <is>
          <t xml:space="preserve">INF209K01Q22</t>
        </is>
      </c>
    </row>
    <row r="362">
      <c r="A362" t="inlineStr">
        <is>
          <t xml:space="preserve">Aditya Birla Sun Life Mutual Fund</t>
        </is>
      </c>
      <c r="B362" t="inlineStr">
        <is>
          <t xml:space="preserve">Aditya Birla Sun Life Midcap Fund -REGULAR - IDCW</t>
        </is>
      </c>
      <c r="C362" t="inlineStr">
        <is>
          <t xml:space="preserve">INF209K01355</t>
        </is>
      </c>
    </row>
    <row r="363">
      <c r="A363" t="inlineStr">
        <is>
          <t xml:space="preserve">Aditya Birla Sun Life Mutual Fund</t>
        </is>
      </c>
      <c r="B363" t="inlineStr">
        <is>
          <t xml:space="preserve">Aditya Birla Sun Life MIDCAP Fund-Growth</t>
        </is>
      </c>
      <c r="C363" t="inlineStr">
        <is>
          <t xml:space="preserve">INF209K01363</t>
        </is>
      </c>
    </row>
    <row r="364">
      <c r="A364" t="inlineStr">
        <is>
          <t xml:space="preserve">Aditya Birla Sun Life Mutual Fund</t>
        </is>
      </c>
      <c r="B364" t="inlineStr">
        <is>
          <t xml:space="preserve">Aditya Birla Sun Life MNC Fund - DIRECT - IDCW</t>
        </is>
      </c>
      <c r="C364" t="inlineStr">
        <is>
          <t xml:space="preserve">INF209K01Q06</t>
        </is>
      </c>
    </row>
    <row r="365">
      <c r="A365" t="inlineStr">
        <is>
          <t xml:space="preserve">Aditya Birla Sun Life Mutual Fund</t>
        </is>
      </c>
      <c r="B365" t="inlineStr">
        <is>
          <t xml:space="preserve">Aditya Birla Sun Life MNC Fund - Growth - Direct Plan</t>
        </is>
      </c>
      <c r="C365" t="inlineStr">
        <is>
          <t xml:space="preserve">INF209K01VT3</t>
        </is>
      </c>
    </row>
    <row r="366">
      <c r="A366" t="inlineStr">
        <is>
          <t xml:space="preserve">Aditya Birla Sun Life Mutual Fund</t>
        </is>
      </c>
      <c r="B366" t="inlineStr">
        <is>
          <t xml:space="preserve">Aditya Birla Sun Life MNC Fund - Growth - Regular Plan</t>
        </is>
      </c>
      <c r="C366" t="inlineStr">
        <is>
          <t xml:space="preserve">INF209K01322</t>
        </is>
      </c>
    </row>
    <row r="367">
      <c r="A367" t="inlineStr">
        <is>
          <t xml:space="preserve">Aditya Birla Sun Life Mutual Fund</t>
        </is>
      </c>
      <c r="B367" t="inlineStr">
        <is>
          <t xml:space="preserve">Aditya Birla Sun Life MNC Fund - Regular - IDCW</t>
        </is>
      </c>
      <c r="C367" t="inlineStr">
        <is>
          <t xml:space="preserve">INF209K01314</t>
        </is>
      </c>
    </row>
    <row r="368">
      <c r="A368" t="inlineStr">
        <is>
          <t xml:space="preserve">Aditya Birla Sun Life Mutual Fund</t>
        </is>
      </c>
      <c r="B368" t="inlineStr">
        <is>
          <t xml:space="preserve">Aditya Birla Sun Life Money Manager Fund - Daily IDCW</t>
        </is>
      </c>
      <c r="C368" t="inlineStr">
        <is>
          <t xml:space="preserve">INF209K01SZ6</t>
        </is>
      </c>
    </row>
    <row r="369">
      <c r="A369" t="inlineStr">
        <is>
          <t xml:space="preserve">Aditya Birla Sun Life Mutual Fund</t>
        </is>
      </c>
      <c r="B369" t="inlineStr">
        <is>
          <t xml:space="preserve">Aditya Birla Sun Life Money Manager Fund - Direct - daily IDCW</t>
        </is>
      </c>
      <c r="C369" t="inlineStr">
        <is>
          <t xml:space="preserve">INF209K01UT5</t>
        </is>
      </c>
    </row>
    <row r="370">
      <c r="A370" t="inlineStr">
        <is>
          <t xml:space="preserve">Aditya Birla Sun Life Mutual Fund</t>
        </is>
      </c>
      <c r="B370" t="inlineStr">
        <is>
          <t xml:space="preserve">Aditya Birla Sun Life Money Manager Fund - Direct - weekly IDCW</t>
        </is>
      </c>
      <c r="C370" t="inlineStr">
        <is>
          <t xml:space="preserve">INF209K01UV1</t>
        </is>
      </c>
    </row>
    <row r="371">
      <c r="A371" t="inlineStr">
        <is>
          <t xml:space="preserve">Aditya Birla Sun Life Mutual Fund</t>
        </is>
      </c>
      <c r="B371" t="inlineStr">
        <is>
          <t xml:space="preserve">Aditya Birla Sun Life Money Manager Fund - Growth</t>
        </is>
      </c>
      <c r="C371" t="inlineStr">
        <is>
          <t xml:space="preserve">INF209K01RV7</t>
        </is>
      </c>
    </row>
    <row r="372">
      <c r="A372" t="inlineStr">
        <is>
          <t xml:space="preserve">Aditya Birla Sun Life Mutual Fund</t>
        </is>
      </c>
      <c r="B372" t="inlineStr">
        <is>
          <t xml:space="preserve">Aditya Birla Sun Life Money Manager Fund - Growth - Direct Plan</t>
        </is>
      </c>
      <c r="C372" t="inlineStr">
        <is>
          <t xml:space="preserve">INF209K01UU3</t>
        </is>
      </c>
    </row>
    <row r="373">
      <c r="A373" t="inlineStr">
        <is>
          <t xml:space="preserve">Aditya Birla Sun Life Mutual Fund</t>
        </is>
      </c>
      <c r="B373" t="inlineStr">
        <is>
          <t xml:space="preserve">Aditya Birla Sun Life Money Manager Fund - Retail - Daily IDCW</t>
        </is>
      </c>
      <c r="C373" t="inlineStr">
        <is>
          <t xml:space="preserve">INF209K01JZ5</t>
        </is>
      </c>
    </row>
    <row r="374">
      <c r="A374" t="inlineStr">
        <is>
          <t xml:space="preserve">Aditya Birla Sun Life Mutual Fund</t>
        </is>
      </c>
      <c r="B374" t="inlineStr">
        <is>
          <t xml:space="preserve">Aditya Birla Sun Life Money Manager Fund - WEEKLY IDCW</t>
        </is>
      </c>
      <c r="C374" t="inlineStr">
        <is>
          <t xml:space="preserve">INF209K01SY9</t>
        </is>
      </c>
    </row>
    <row r="375">
      <c r="A375" t="inlineStr">
        <is>
          <t xml:space="preserve">Aditya Birla Sun Life Mutual Fund</t>
        </is>
      </c>
      <c r="B375" t="inlineStr">
        <is>
          <t xml:space="preserve">Aditya Birla Sun Life MSCI India ETF</t>
        </is>
      </c>
      <c r="C375" t="inlineStr">
        <is>
          <t xml:space="preserve">INF209KC1662</t>
        </is>
      </c>
    </row>
    <row r="376">
      <c r="A376" t="inlineStr">
        <is>
          <t xml:space="preserve">Aditya Birla Sun Life Mutual Fund</t>
        </is>
      </c>
      <c r="B376" t="inlineStr">
        <is>
          <t xml:space="preserve">Aditya Birla Sun Life Multi Asset Allocation Fund-Direct Growth</t>
        </is>
      </c>
      <c r="C376" t="inlineStr">
        <is>
          <t xml:space="preserve">INF209KB15R9</t>
        </is>
      </c>
    </row>
    <row r="377">
      <c r="A377" t="inlineStr">
        <is>
          <t xml:space="preserve">Aditya Birla Sun Life Mutual Fund</t>
        </is>
      </c>
      <c r="B377" t="inlineStr">
        <is>
          <t xml:space="preserve">Aditya Birla Sun Life Multi Asset Allocation Fund-Direct IDCW</t>
        </is>
      </c>
      <c r="C377" t="inlineStr">
        <is>
          <t xml:space="preserve">INF209KB16R7</t>
        </is>
      </c>
    </row>
    <row r="378">
      <c r="A378" t="inlineStr">
        <is>
          <t xml:space="preserve">Aditya Birla Sun Life Mutual Fund</t>
        </is>
      </c>
      <c r="B378" t="inlineStr">
        <is>
          <t xml:space="preserve">Aditya Birla Sun Life Multi Asset Allocation Fund-Regular Growth</t>
        </is>
      </c>
      <c r="C378" t="inlineStr">
        <is>
          <t xml:space="preserve">INF209KB12R6</t>
        </is>
      </c>
    </row>
    <row r="379">
      <c r="A379" t="inlineStr">
        <is>
          <t xml:space="preserve">Aditya Birla Sun Life Mutual Fund</t>
        </is>
      </c>
      <c r="B379" t="inlineStr">
        <is>
          <t xml:space="preserve">Aditya Birla Sun Life Multi Asset Allocation Fund-Regular IDCW</t>
        </is>
      </c>
      <c r="C379" t="inlineStr">
        <is>
          <t xml:space="preserve">INF209KB13R4</t>
        </is>
      </c>
    </row>
    <row r="380">
      <c r="A380" t="inlineStr">
        <is>
          <t xml:space="preserve">Aditya Birla Sun Life Mutual Fund</t>
        </is>
      </c>
      <c r="B380" t="inlineStr">
        <is>
          <t xml:space="preserve">Aditya Birla Sun Life Multi Asset Omni FoF- Direct Plan - Growth Option</t>
        </is>
      </c>
      <c r="C380" t="inlineStr">
        <is>
          <t xml:space="preserve">INF084M01DM9</t>
        </is>
      </c>
    </row>
    <row r="381">
      <c r="A381" t="inlineStr">
        <is>
          <t xml:space="preserve">Aditya Birla Sun Life Mutual Fund</t>
        </is>
      </c>
      <c r="B381" t="inlineStr">
        <is>
          <t xml:space="preserve">Aditya Birla Sun Life Multi Asset Omni FoF- Regular Plan - Growth Option</t>
        </is>
      </c>
      <c r="C381" t="inlineStr">
        <is>
          <t xml:space="preserve">INF084M01AE2</t>
        </is>
      </c>
    </row>
    <row r="382">
      <c r="A382" t="inlineStr">
        <is>
          <t xml:space="preserve">Aditya Birla Sun Life Mutual Fund</t>
        </is>
      </c>
      <c r="B382" t="inlineStr">
        <is>
          <t xml:space="preserve">Aditya Birla Sun Life Multi Asset Omni FOF-DIRECT - IDCW</t>
        </is>
      </c>
      <c r="C382" t="inlineStr">
        <is>
          <t xml:space="preserve">INF084M01DN7</t>
        </is>
      </c>
    </row>
    <row r="383">
      <c r="A383" t="inlineStr">
        <is>
          <t xml:space="preserve">Aditya Birla Sun Life Mutual Fund</t>
        </is>
      </c>
      <c r="B383" t="inlineStr">
        <is>
          <t xml:space="preserve">Aditya Birla Sun Life Multi Asset Omni FoF-REGULAR - IDCW</t>
        </is>
      </c>
      <c r="C383" t="inlineStr">
        <is>
          <t xml:space="preserve">INF084M01AF9</t>
        </is>
      </c>
    </row>
    <row r="384">
      <c r="A384" t="inlineStr">
        <is>
          <t xml:space="preserve">Aditya Birla Sun Life Mutual Fund</t>
        </is>
      </c>
      <c r="B384" t="inlineStr">
        <is>
          <t xml:space="preserve">Aditya Birla Sun Life Multi-Asset Passive FOF-Direct Growth</t>
        </is>
      </c>
      <c r="C384" t="inlineStr">
        <is>
          <t xml:space="preserve">INF209KB15M0</t>
        </is>
      </c>
    </row>
    <row r="385">
      <c r="A385" t="inlineStr">
        <is>
          <t xml:space="preserve">Aditya Birla Sun Life Mutual Fund</t>
        </is>
      </c>
      <c r="B385" t="inlineStr">
        <is>
          <t xml:space="preserve">Aditya Birla Sun Life Multi-Asset Passive FOF-Direct IDCW</t>
        </is>
      </c>
      <c r="C385" t="inlineStr">
        <is>
          <t xml:space="preserve">INF209KB16M8</t>
        </is>
      </c>
    </row>
    <row r="386">
      <c r="A386" t="inlineStr">
        <is>
          <t xml:space="preserve">Aditya Birla Sun Life Mutual Fund</t>
        </is>
      </c>
      <c r="B386" t="inlineStr">
        <is>
          <t xml:space="preserve">Aditya Birla Sun Life Multi-Asset Passive FOF-Regular Growth</t>
        </is>
      </c>
      <c r="C386" t="inlineStr">
        <is>
          <t xml:space="preserve">INF209KB12M7</t>
        </is>
      </c>
    </row>
    <row r="387">
      <c r="A387" t="inlineStr">
        <is>
          <t xml:space="preserve">Aditya Birla Sun Life Mutual Fund</t>
        </is>
      </c>
      <c r="B387" t="inlineStr">
        <is>
          <t xml:space="preserve">Aditya Birla Sun Life Multi-Asset Passive FOF-Regular IDCW</t>
        </is>
      </c>
      <c r="C387" t="inlineStr">
        <is>
          <t xml:space="preserve">INF209KB13M5</t>
        </is>
      </c>
    </row>
    <row r="388">
      <c r="A388" t="inlineStr">
        <is>
          <t xml:space="preserve">Aditya Birla Sun Life Mutual Fund</t>
        </is>
      </c>
      <c r="B388" t="inlineStr">
        <is>
          <t xml:space="preserve">Aditya Birla Sun Life Multi-Cap Fund-Direct Growth</t>
        </is>
      </c>
      <c r="C388" t="inlineStr">
        <is>
          <t xml:space="preserve">INF209KB1Y49</t>
        </is>
      </c>
    </row>
    <row r="389">
      <c r="A389" t="inlineStr">
        <is>
          <t xml:space="preserve">Aditya Birla Sun Life Mutual Fund</t>
        </is>
      </c>
      <c r="B389" t="inlineStr">
        <is>
          <t xml:space="preserve">Aditya Birla Sun Life Multi-Cap Fund-Direct IDCW Payout</t>
        </is>
      </c>
      <c r="C389" t="inlineStr">
        <is>
          <t xml:space="preserve">INF209KB1Y56</t>
        </is>
      </c>
    </row>
    <row r="390">
      <c r="A390" t="inlineStr">
        <is>
          <t xml:space="preserve">Aditya Birla Sun Life Mutual Fund</t>
        </is>
      </c>
      <c r="B390" t="inlineStr">
        <is>
          <t xml:space="preserve">Aditya Birla Sun Life Multi-Cap Fund-Regular Growth</t>
        </is>
      </c>
      <c r="C390" t="inlineStr">
        <is>
          <t xml:space="preserve">INF209KB1Y23</t>
        </is>
      </c>
    </row>
    <row r="391">
      <c r="A391" t="inlineStr">
        <is>
          <t xml:space="preserve">Aditya Birla Sun Life Mutual Fund</t>
        </is>
      </c>
      <c r="B391" t="inlineStr">
        <is>
          <t xml:space="preserve">Aditya Birla Sun Life Multi-Cap Fund-Regular-IDCW Payout</t>
        </is>
      </c>
      <c r="C391" t="inlineStr">
        <is>
          <t xml:space="preserve">INF209KB1Y31</t>
        </is>
      </c>
    </row>
    <row r="392">
      <c r="A392" t="inlineStr">
        <is>
          <t xml:space="preserve">Aditya Birla Sun Life Mutual Fund</t>
        </is>
      </c>
      <c r="B392" t="inlineStr">
        <is>
          <t xml:space="preserve">Aditya Birla Sun Life Nifty 200 Momentum 30 ETF</t>
        </is>
      </c>
      <c r="C392" t="inlineStr">
        <is>
          <t xml:space="preserve">INF209KB14K7</t>
        </is>
      </c>
    </row>
    <row r="393">
      <c r="A393" t="inlineStr">
        <is>
          <t xml:space="preserve">Aditya Birla Sun Life Mutual Fund</t>
        </is>
      </c>
      <c r="B393" t="inlineStr">
        <is>
          <t xml:space="preserve">Aditya Birla Sun Life Nifty 200 Quality 30 ETF</t>
        </is>
      </c>
      <c r="C393" t="inlineStr">
        <is>
          <t xml:space="preserve">INF209KB15K4</t>
        </is>
      </c>
    </row>
    <row r="394">
      <c r="A394" t="inlineStr">
        <is>
          <t xml:space="preserve">Aditya Birla Sun Life Mutual Fund</t>
        </is>
      </c>
      <c r="B394" t="inlineStr">
        <is>
          <t xml:space="preserve">Aditya Birla Sun Life Nifty 50 Equal Weight Index Fund-Direct Growth</t>
        </is>
      </c>
      <c r="C394" t="inlineStr">
        <is>
          <t xml:space="preserve">INF209KB1Z71</t>
        </is>
      </c>
    </row>
    <row r="395">
      <c r="A395" t="inlineStr">
        <is>
          <t xml:space="preserve">Aditya Birla Sun Life Mutual Fund</t>
        </is>
      </c>
      <c r="B395" t="inlineStr">
        <is>
          <t xml:space="preserve">Aditya Birla Sun Life Nifty 50 Equal Weight Index Fund-Direct-IDCW</t>
        </is>
      </c>
      <c r="C395" t="inlineStr">
        <is>
          <t xml:space="preserve">INF209KB1Z89</t>
        </is>
      </c>
    </row>
    <row r="396">
      <c r="A396" t="inlineStr">
        <is>
          <t xml:space="preserve">Aditya Birla Sun Life Mutual Fund</t>
        </is>
      </c>
      <c r="B396" t="inlineStr">
        <is>
          <t xml:space="preserve">Aditya Birla Sun Life Nifty 50 Equal Weight Index Fund-Regular Growth</t>
        </is>
      </c>
      <c r="C396" t="inlineStr">
        <is>
          <t xml:space="preserve">INF209KB1Z48</t>
        </is>
      </c>
    </row>
    <row r="397">
      <c r="A397" t="inlineStr">
        <is>
          <t xml:space="preserve">Aditya Birla Sun Life Mutual Fund</t>
        </is>
      </c>
      <c r="B397" t="inlineStr">
        <is>
          <t xml:space="preserve">Aditya Birla Sun Life Nifty 50 Equal Weight Index Fund-Regular IDCW</t>
        </is>
      </c>
      <c r="C397" t="inlineStr">
        <is>
          <t xml:space="preserve">INF209KB1Z55</t>
        </is>
      </c>
    </row>
    <row r="398">
      <c r="A398" t="inlineStr">
        <is>
          <t xml:space="preserve">Aditya Birla Sun Life Mutual Fund</t>
        </is>
      </c>
      <c r="B398" t="inlineStr">
        <is>
          <t xml:space="preserve">Aditya Birla Sun Life Nifty 50 ETF</t>
        </is>
      </c>
      <c r="C398" t="inlineStr">
        <is>
          <t xml:space="preserve">INF209KB19D1</t>
        </is>
      </c>
    </row>
    <row r="399">
      <c r="A399" t="inlineStr">
        <is>
          <t xml:space="preserve">Aditya Birla Sun Life Mutual Fund</t>
        </is>
      </c>
      <c r="B399" t="inlineStr">
        <is>
          <t xml:space="preserve">Aditya Birla Sun Life Nifty 50 Index Fund - Growth - Direct Plan</t>
        </is>
      </c>
      <c r="C399" t="inlineStr">
        <is>
          <t xml:space="preserve">INF209K01VY3</t>
        </is>
      </c>
    </row>
    <row r="400">
      <c r="A400" t="inlineStr">
        <is>
          <t xml:space="preserve">Aditya Birla Sun Life Mutual Fund</t>
        </is>
      </c>
      <c r="B400" t="inlineStr">
        <is>
          <t xml:space="preserve">Aditya Birla Sun Life Nifty 50 Index Fund - Growth - Regular Plan</t>
        </is>
      </c>
      <c r="C400" t="inlineStr">
        <is>
          <t xml:space="preserve">INF209K01LB2</t>
        </is>
      </c>
    </row>
    <row r="401">
      <c r="A401" t="inlineStr">
        <is>
          <t xml:space="preserve">Aditya Birla Sun Life Mutual Fund</t>
        </is>
      </c>
      <c r="B401" t="inlineStr">
        <is>
          <t xml:space="preserve">Aditya Birla Sun Life Nifty 50 Index Fund -DIRECT - IDCW</t>
        </is>
      </c>
      <c r="C401" t="inlineStr">
        <is>
          <t xml:space="preserve">INF209K01VX5</t>
        </is>
      </c>
    </row>
    <row r="402">
      <c r="A402" t="inlineStr">
        <is>
          <t xml:space="preserve">Aditya Birla Sun Life Mutual Fund</t>
        </is>
      </c>
      <c r="B402" t="inlineStr">
        <is>
          <t xml:space="preserve">Aditya Birla Sun Life Nifty 50 Index Fund -REGULAR - IDCW</t>
        </is>
      </c>
      <c r="C402" t="inlineStr">
        <is>
          <t xml:space="preserve">INF209K01LA4</t>
        </is>
      </c>
    </row>
    <row r="403">
      <c r="A403" t="inlineStr">
        <is>
          <t xml:space="preserve">Aditya Birla Sun Life Mutual Fund</t>
        </is>
      </c>
      <c r="B403" t="inlineStr">
        <is>
          <t xml:space="preserve">Aditya Birla Sun Life Nifty Bank ETF</t>
        </is>
      </c>
      <c r="C403" t="inlineStr">
        <is>
          <t xml:space="preserve">INF209KB17D5</t>
        </is>
      </c>
    </row>
    <row r="404">
      <c r="A404" t="inlineStr">
        <is>
          <t xml:space="preserve">Aditya Birla Sun Life Mutual Fund</t>
        </is>
      </c>
      <c r="B404" t="inlineStr">
        <is>
          <t xml:space="preserve">Aditya Birla Sun Life Nifty Healthcare ETF</t>
        </is>
      </c>
      <c r="C404" t="inlineStr">
        <is>
          <t xml:space="preserve">INF209KB10C2</t>
        </is>
      </c>
    </row>
    <row r="405">
      <c r="A405" t="inlineStr">
        <is>
          <t xml:space="preserve">Aditya Birla Sun Life Mutual Fund</t>
        </is>
      </c>
      <c r="B405" t="inlineStr">
        <is>
          <t xml:space="preserve">Aditya Birla Sun Life Nifty India Defence Index Fund-Direct Growth</t>
        </is>
      </c>
      <c r="C405" t="inlineStr">
        <is>
          <t xml:space="preserve">INF209KC1183</t>
        </is>
      </c>
    </row>
    <row r="406">
      <c r="A406" t="inlineStr">
        <is>
          <t xml:space="preserve">Aditya Birla Sun Life Mutual Fund</t>
        </is>
      </c>
      <c r="B406" t="inlineStr">
        <is>
          <t xml:space="preserve">Aditya Birla Sun Life Nifty India Defence Index Fund-Direct IDCW Payout</t>
        </is>
      </c>
      <c r="C406" t="inlineStr">
        <is>
          <t xml:space="preserve">INF209KC1191</t>
        </is>
      </c>
    </row>
    <row r="407">
      <c r="A407" t="inlineStr">
        <is>
          <t xml:space="preserve">Aditya Birla Sun Life Mutual Fund</t>
        </is>
      </c>
      <c r="B407" t="inlineStr">
        <is>
          <t xml:space="preserve">Aditya Birla Sun Life Nifty India Defence Index Fund-Regular IDCW Payout</t>
        </is>
      </c>
      <c r="C407" t="inlineStr">
        <is>
          <t xml:space="preserve">INF209KC1167</t>
        </is>
      </c>
    </row>
    <row r="408">
      <c r="A408" t="inlineStr">
        <is>
          <t xml:space="preserve">Aditya Birla Sun Life Mutual Fund</t>
        </is>
      </c>
      <c r="B408" t="inlineStr">
        <is>
          <t xml:space="preserve">Aditya Birla Sun Life Nifty India Defence Index Fund-Regular-Growth</t>
        </is>
      </c>
      <c r="C408" t="inlineStr">
        <is>
          <t xml:space="preserve">INF209KC1159</t>
        </is>
      </c>
    </row>
    <row r="409">
      <c r="A409" t="inlineStr">
        <is>
          <t xml:space="preserve">Aditya Birla Sun Life Mutual Fund</t>
        </is>
      </c>
      <c r="B409" t="inlineStr">
        <is>
          <t xml:space="preserve">Aditya Birla Sun Life Nifty IT ETF</t>
        </is>
      </c>
      <c r="C409" t="inlineStr">
        <is>
          <t xml:space="preserve">INF209KB11D8</t>
        </is>
      </c>
    </row>
    <row r="410">
      <c r="A410" t="inlineStr">
        <is>
          <t xml:space="preserve">Aditya Birla Sun Life Mutual Fund</t>
        </is>
      </c>
      <c r="B410" t="inlineStr">
        <is>
          <t xml:space="preserve">Aditya Birla Sun Life Nifty Midcap 150 Index Fund - Direct - Payout of IDCW</t>
        </is>
      </c>
      <c r="C410" t="inlineStr">
        <is>
          <t xml:space="preserve">INF209KB1W82</t>
        </is>
      </c>
    </row>
    <row r="411">
      <c r="A411" t="inlineStr">
        <is>
          <t xml:space="preserve">Aditya Birla Sun Life Mutual Fund</t>
        </is>
      </c>
      <c r="B411" t="inlineStr">
        <is>
          <t xml:space="preserve">Aditya Birla Sun Life Nifty Midcap 150 Index Fund - Regular - Payout of IDCW</t>
        </is>
      </c>
      <c r="C411" t="inlineStr">
        <is>
          <t xml:space="preserve">INF209KB1W58</t>
        </is>
      </c>
    </row>
    <row r="412">
      <c r="A412" t="inlineStr">
        <is>
          <t xml:space="preserve">Aditya Birla Sun Life Mutual Fund</t>
        </is>
      </c>
      <c r="B412" t="inlineStr">
        <is>
          <t xml:space="preserve">Aditya Birla Sun Life Nifty Midcap 150 Index Fund-Direct Growth</t>
        </is>
      </c>
      <c r="C412" t="inlineStr">
        <is>
          <t xml:space="preserve">INF209KB1W74</t>
        </is>
      </c>
    </row>
    <row r="413">
      <c r="A413" t="inlineStr">
        <is>
          <t xml:space="preserve">Aditya Birla Sun Life Mutual Fund</t>
        </is>
      </c>
      <c r="B413" t="inlineStr">
        <is>
          <t xml:space="preserve">Aditya Birla Sun Life Nifty Midcap 150 Index Fund-Regular Growth</t>
        </is>
      </c>
      <c r="C413" t="inlineStr">
        <is>
          <t xml:space="preserve">INF209KB1W41</t>
        </is>
      </c>
    </row>
    <row r="414">
      <c r="A414" t="inlineStr">
        <is>
          <t xml:space="preserve">Aditya Birla Sun Life Mutual Fund</t>
        </is>
      </c>
      <c r="B414" t="inlineStr">
        <is>
          <t xml:space="preserve">Aditya Birla Sun Life Nifty Next 50 Index Fund-Direct Growth</t>
        </is>
      </c>
      <c r="C414" t="inlineStr">
        <is>
          <t xml:space="preserve">INF209KB10G3</t>
        </is>
      </c>
    </row>
    <row r="415">
      <c r="A415" t="inlineStr">
        <is>
          <t xml:space="preserve">Aditya Birla Sun Life Mutual Fund</t>
        </is>
      </c>
      <c r="B415" t="inlineStr">
        <is>
          <t xml:space="preserve">Aditya Birla Sun Life Nifty Next 50 Index Fund-Direct IDCW</t>
        </is>
      </c>
      <c r="C415" t="inlineStr">
        <is>
          <t xml:space="preserve">INF209KB11G1</t>
        </is>
      </c>
    </row>
    <row r="416">
      <c r="A416" t="inlineStr">
        <is>
          <t xml:space="preserve">Aditya Birla Sun Life Mutual Fund</t>
        </is>
      </c>
      <c r="B416" t="inlineStr">
        <is>
          <t xml:space="preserve">Aditya Birla Sun Life Nifty Next 50 Index Fund-Regular Growth</t>
        </is>
      </c>
      <c r="C416" t="inlineStr">
        <is>
          <t xml:space="preserve">INF209KB12G9</t>
        </is>
      </c>
    </row>
    <row r="417">
      <c r="A417" t="inlineStr">
        <is>
          <t xml:space="preserve">Aditya Birla Sun Life Mutual Fund</t>
        </is>
      </c>
      <c r="B417" t="inlineStr">
        <is>
          <t xml:space="preserve">Aditya Birla Sun Life Nifty Next 50 Index Fund-Regular IDCW</t>
        </is>
      </c>
      <c r="C417" t="inlineStr">
        <is>
          <t xml:space="preserve">INF209KB13G7</t>
        </is>
      </c>
    </row>
    <row r="418">
      <c r="A418" t="inlineStr">
        <is>
          <t xml:space="preserve">Aditya Birla Sun Life Mutual Fund</t>
        </is>
      </c>
      <c r="B418" t="inlineStr">
        <is>
          <t xml:space="preserve">Aditya Birla Sun Life Nifty PSE ETF</t>
        </is>
      </c>
      <c r="C418" t="inlineStr">
        <is>
          <t xml:space="preserve">INF209KB19Z4</t>
        </is>
      </c>
    </row>
    <row r="419">
      <c r="A419" t="inlineStr">
        <is>
          <t xml:space="preserve">Aditya Birla Sun Life Mutual Fund</t>
        </is>
      </c>
      <c r="B419" t="inlineStr">
        <is>
          <t xml:space="preserve">Aditya Birla Sun Life Nifty SDL Apr 2027 Index Fund-Direct Growth</t>
        </is>
      </c>
      <c r="C419" t="inlineStr">
        <is>
          <t xml:space="preserve">INF209KB11F3</t>
        </is>
      </c>
    </row>
    <row r="420">
      <c r="A420" t="inlineStr">
        <is>
          <t xml:space="preserve">Aditya Birla Sun Life Mutual Fund</t>
        </is>
      </c>
      <c r="B420" t="inlineStr">
        <is>
          <t xml:space="preserve">Aditya Birla Sun Life Nifty SDL Apr 2027 Index Fund-Direct IDCW Payout</t>
        </is>
      </c>
      <c r="C420" t="inlineStr">
        <is>
          <t xml:space="preserve">INF209KB12F1</t>
        </is>
      </c>
    </row>
    <row r="421">
      <c r="A421" t="inlineStr">
        <is>
          <t xml:space="preserve">Aditya Birla Sun Life Mutual Fund</t>
        </is>
      </c>
      <c r="B421" t="inlineStr">
        <is>
          <t xml:space="preserve">Aditya Birla Sun Life Nifty SDL Apr 2027 Index Fund-Regular Growth</t>
        </is>
      </c>
      <c r="C421" t="inlineStr">
        <is>
          <t xml:space="preserve">INF209KB19E9</t>
        </is>
      </c>
    </row>
    <row r="422">
      <c r="A422" t="inlineStr">
        <is>
          <t xml:space="preserve">Aditya Birla Sun Life Mutual Fund</t>
        </is>
      </c>
      <c r="B422" t="inlineStr">
        <is>
          <t xml:space="preserve">Aditya Birla Sun Life Nifty SDL Apr 2027 Index Fund-Regular-IDCW Payout</t>
        </is>
      </c>
      <c r="C422" t="inlineStr">
        <is>
          <t xml:space="preserve">INF209KB10F5</t>
        </is>
      </c>
    </row>
    <row r="423">
      <c r="A423" t="inlineStr">
        <is>
          <t xml:space="preserve">Aditya Birla Sun Life Mutual Fund</t>
        </is>
      </c>
      <c r="B423" t="inlineStr">
        <is>
          <t xml:space="preserve">Aditya Birla Sun Life Nifty SDL Plus PSU Bond SEP 2026 60:40 Index Fund-Direct Growth</t>
        </is>
      </c>
      <c r="C423" t="inlineStr">
        <is>
          <t xml:space="preserve">INF209KB18B7</t>
        </is>
      </c>
    </row>
    <row r="424">
      <c r="A424" t="inlineStr">
        <is>
          <t xml:space="preserve">Aditya Birla Sun Life Mutual Fund</t>
        </is>
      </c>
      <c r="B424" t="inlineStr">
        <is>
          <t xml:space="preserve">Aditya Birla Sun Life Nifty SDL Plus PSU Bond SEP 2026 60:40 Index Fund-Direct IDCW</t>
        </is>
      </c>
      <c r="C424" t="inlineStr">
        <is>
          <t xml:space="preserve">INF209KB19B5</t>
        </is>
      </c>
    </row>
    <row r="425">
      <c r="A425" t="inlineStr">
        <is>
          <t xml:space="preserve">Aditya Birla Sun Life Mutual Fund</t>
        </is>
      </c>
      <c r="B425" t="inlineStr">
        <is>
          <t xml:space="preserve">Aditya Birla Sun Life Nifty SDL Plus PSU Bond SEP 2026 60:40 Index Fund-Regular Growth</t>
        </is>
      </c>
      <c r="C425" t="inlineStr">
        <is>
          <t xml:space="preserve">INF209KB16B1</t>
        </is>
      </c>
    </row>
    <row r="426">
      <c r="A426" t="inlineStr">
        <is>
          <t xml:space="preserve">Aditya Birla Sun Life Mutual Fund</t>
        </is>
      </c>
      <c r="B426" t="inlineStr">
        <is>
          <t xml:space="preserve">Aditya Birla Sun Life Nifty SDL Plus PSU Bond SEP 2026 60:40 Index Fund-Regular IDCW</t>
        </is>
      </c>
      <c r="C426" t="inlineStr">
        <is>
          <t xml:space="preserve">INF209KB17B9</t>
        </is>
      </c>
    </row>
    <row r="427">
      <c r="A427" t="inlineStr">
        <is>
          <t xml:space="preserve">Aditya Birla Sun Life Mutual Fund</t>
        </is>
      </c>
      <c r="B427" t="inlineStr">
        <is>
          <t xml:space="preserve">Aditya Birla Sun Life Nifty SDL Sep 2025 Index Fund-Direct Growth</t>
        </is>
      </c>
      <c r="C427" t="inlineStr">
        <is>
          <t xml:space="preserve">INF209KB10M1</t>
        </is>
      </c>
    </row>
    <row r="428">
      <c r="A428" t="inlineStr">
        <is>
          <t xml:space="preserve">Aditya Birla Sun Life Mutual Fund</t>
        </is>
      </c>
      <c r="B428" t="inlineStr">
        <is>
          <t xml:space="preserve">Aditya Birla Sun Life Nifty SDL Sep 2025 Index Fund-Direct IDCW</t>
        </is>
      </c>
      <c r="C428" t="inlineStr">
        <is>
          <t xml:space="preserve">INF209KB11M9</t>
        </is>
      </c>
    </row>
    <row r="429">
      <c r="A429" t="inlineStr">
        <is>
          <t xml:space="preserve">Aditya Birla Sun Life Mutual Fund</t>
        </is>
      </c>
      <c r="B429" t="inlineStr">
        <is>
          <t xml:space="preserve">Aditya Birla Sun Life Nifty SDL SEP 2025 Index Fund-Regular Growth</t>
        </is>
      </c>
      <c r="C429" t="inlineStr">
        <is>
          <t xml:space="preserve">INF209KB18L6</t>
        </is>
      </c>
    </row>
    <row r="430">
      <c r="A430" t="inlineStr">
        <is>
          <t xml:space="preserve">Aditya Birla Sun Life Mutual Fund</t>
        </is>
      </c>
      <c r="B430" t="inlineStr">
        <is>
          <t xml:space="preserve">Aditya Birla Sun Life Nifty SDL Sep 2025 Index Fund-Regular IDCW</t>
        </is>
      </c>
      <c r="C430" t="inlineStr">
        <is>
          <t xml:space="preserve">INF209KB19L4</t>
        </is>
      </c>
    </row>
    <row r="431">
      <c r="A431" t="inlineStr">
        <is>
          <t xml:space="preserve">Aditya Birla Sun Life Mutual Fund</t>
        </is>
      </c>
      <c r="B431" t="inlineStr">
        <is>
          <t xml:space="preserve">Aditya Birla Sun Life Nifty SDL SEP 2027 Index Fund-Direct Growth</t>
        </is>
      </c>
      <c r="C431" t="inlineStr">
        <is>
          <t xml:space="preserve">INF209KB16T3</t>
        </is>
      </c>
    </row>
    <row r="432">
      <c r="A432" t="inlineStr">
        <is>
          <t xml:space="preserve">Aditya Birla Sun Life Mutual Fund</t>
        </is>
      </c>
      <c r="B432" t="inlineStr">
        <is>
          <t xml:space="preserve">Aditya Birla Sun Life Nifty SDL SEP 2027 Index Fund-Direct IDCW</t>
        </is>
      </c>
      <c r="C432" t="inlineStr">
        <is>
          <t xml:space="preserve">INF209KB17T1</t>
        </is>
      </c>
    </row>
    <row r="433">
      <c r="A433" t="inlineStr">
        <is>
          <t xml:space="preserve">Aditya Birla Sun Life Mutual Fund</t>
        </is>
      </c>
      <c r="B433" t="inlineStr">
        <is>
          <t xml:space="preserve">Aditya Birla Sun Life Nifty SDL SEP 2027 Index Fund-Regular Growth</t>
        </is>
      </c>
      <c r="C433" t="inlineStr">
        <is>
          <t xml:space="preserve">INF209KB14T8</t>
        </is>
      </c>
    </row>
    <row r="434">
      <c r="A434" t="inlineStr">
        <is>
          <t xml:space="preserve">Aditya Birla Sun Life Mutual Fund</t>
        </is>
      </c>
      <c r="B434" t="inlineStr">
        <is>
          <t xml:space="preserve">Aditya Birla Sun Life Nifty SDL SEP 2027 Index Fund-Regular IDCW</t>
        </is>
      </c>
      <c r="C434" t="inlineStr">
        <is>
          <t xml:space="preserve">INF209KB15T5</t>
        </is>
      </c>
    </row>
    <row r="435">
      <c r="A435" t="inlineStr">
        <is>
          <t xml:space="preserve">Aditya Birla Sun Life Mutual Fund</t>
        </is>
      </c>
      <c r="B435" t="inlineStr">
        <is>
          <t xml:space="preserve">Aditya Birla Sun Life Nifty Smallcap 50 Index Fund-Direct - Payout of IDCW</t>
        </is>
      </c>
      <c r="C435" t="inlineStr">
        <is>
          <t xml:space="preserve">INF209KB1W25</t>
        </is>
      </c>
    </row>
    <row r="436">
      <c r="A436" t="inlineStr">
        <is>
          <t xml:space="preserve">Aditya Birla Sun Life Mutual Fund</t>
        </is>
      </c>
      <c r="B436" t="inlineStr">
        <is>
          <t xml:space="preserve">Aditya Birla Sun Life Nifty Smallcap 50 Index Fund-Direct Growth</t>
        </is>
      </c>
      <c r="C436" t="inlineStr">
        <is>
          <t xml:space="preserve">INF209KB1W17</t>
        </is>
      </c>
    </row>
    <row r="437">
      <c r="A437" t="inlineStr">
        <is>
          <t xml:space="preserve">Aditya Birla Sun Life Mutual Fund</t>
        </is>
      </c>
      <c r="B437" t="inlineStr">
        <is>
          <t xml:space="preserve">Aditya Birla Sun Life Nifty Smallcap 50 Index Fund-Regular - Payout of IDCW</t>
        </is>
      </c>
      <c r="C437" t="inlineStr">
        <is>
          <t xml:space="preserve">INF209KB1V91</t>
        </is>
      </c>
    </row>
    <row r="438">
      <c r="A438" t="inlineStr">
        <is>
          <t xml:space="preserve">Aditya Birla Sun Life Mutual Fund</t>
        </is>
      </c>
      <c r="B438" t="inlineStr">
        <is>
          <t xml:space="preserve">Aditya Birla Sun Life Nifty Smallcap 50 Index Fund-Regular Growth</t>
        </is>
      </c>
      <c r="C438" t="inlineStr">
        <is>
          <t xml:space="preserve">INF209KB1V83</t>
        </is>
      </c>
    </row>
    <row r="439">
      <c r="A439" t="inlineStr">
        <is>
          <t xml:space="preserve">Aditya Birla Sun Life Mutual Fund</t>
        </is>
      </c>
      <c r="B439" t="inlineStr">
        <is>
          <t xml:space="preserve">ADITYA BIRLA SUN LIFE OVERNIGHT FUND-  Direct - Monthly Payout of IDCW</t>
        </is>
      </c>
      <c r="C439" t="inlineStr">
        <is>
          <t xml:space="preserve">INF209KB1ZL4</t>
        </is>
      </c>
    </row>
    <row r="440">
      <c r="A440" t="inlineStr">
        <is>
          <t xml:space="preserve">Aditya Birla Sun Life Mutual Fund</t>
        </is>
      </c>
      <c r="B440" t="inlineStr">
        <is>
          <t xml:space="preserve">ADITYA BIRLA SUN LIFE OVERNIGHT FUND-  Direct - Weekly Reinvestment of IDCW</t>
        </is>
      </c>
      <c r="C440" t="inlineStr">
        <is>
          <t xml:space="preserve">INF209KB1ZJ8</t>
        </is>
      </c>
    </row>
    <row r="441">
      <c r="A441" t="inlineStr">
        <is>
          <t xml:space="preserve">Aditya Birla Sun Life Mutual Fund</t>
        </is>
      </c>
      <c r="B441" t="inlineStr">
        <is>
          <t xml:space="preserve">ADITYA BIRLA SUN LIFE OVERNIGHT FUND-  Regular - Weekly Reinvestment of IDCW option</t>
        </is>
      </c>
      <c r="C441" t="inlineStr">
        <is>
          <t xml:space="preserve">INF209KB1ZE9</t>
        </is>
      </c>
    </row>
    <row r="442">
      <c r="A442" t="inlineStr">
        <is>
          <t xml:space="preserve">Aditya Birla Sun Life Mutual Fund</t>
        </is>
      </c>
      <c r="B442" t="inlineStr">
        <is>
          <t xml:space="preserve">ADITYA BIRLA SUN LIFE OVERNIGHT FUND- Direct - Daily Reinvestment of IDCW</t>
        </is>
      </c>
      <c r="C442" t="inlineStr">
        <is>
          <t xml:space="preserve">INF209KB1ZI0</t>
        </is>
      </c>
    </row>
    <row r="443">
      <c r="A443" t="inlineStr">
        <is>
          <t xml:space="preserve">Aditya Birla Sun Life Mutual Fund</t>
        </is>
      </c>
      <c r="B443" t="inlineStr">
        <is>
          <t xml:space="preserve">ADITYA BIRLA SUN LIFE OVERNIGHT FUND- Regular - Daily Reinvestment of IDCW</t>
        </is>
      </c>
      <c r="C443" t="inlineStr">
        <is>
          <t xml:space="preserve">INF209KB1ZD1</t>
        </is>
      </c>
    </row>
    <row r="444">
      <c r="A444" t="inlineStr">
        <is>
          <t xml:space="preserve">Aditya Birla Sun Life Mutual Fund</t>
        </is>
      </c>
      <c r="B444" t="inlineStr">
        <is>
          <t xml:space="preserve">ADITYA BIRLA SUN LIFE OVERNIGHT FUND- Regular- Monthly Payout of IDCW option</t>
        </is>
      </c>
      <c r="C444" t="inlineStr">
        <is>
          <t xml:space="preserve">INF209KB1ZG4</t>
        </is>
      </c>
    </row>
    <row r="445">
      <c r="A445" t="inlineStr">
        <is>
          <t xml:space="preserve">Aditya Birla Sun Life Mutual Fund</t>
        </is>
      </c>
      <c r="B445" t="inlineStr">
        <is>
          <t xml:space="preserve">ADITYA BIRLA SUN LIFE OVERNIGHT FUND-DIRECT PLAN-GROWTH</t>
        </is>
      </c>
      <c r="C445" t="inlineStr">
        <is>
          <t xml:space="preserve">INF209KB1ZH2</t>
        </is>
      </c>
    </row>
    <row r="446">
      <c r="A446" t="inlineStr">
        <is>
          <t xml:space="preserve">Aditya Birla Sun Life Mutual Fund</t>
        </is>
      </c>
      <c r="B446" t="inlineStr">
        <is>
          <t xml:space="preserve">Aditya Birla Sun Life Pharma and Healthcare Fund-Direct - Payout of IDCW</t>
        </is>
      </c>
      <c r="C446" t="inlineStr">
        <is>
          <t xml:space="preserve">INF209KB1O33</t>
        </is>
      </c>
    </row>
    <row r="447">
      <c r="A447" t="inlineStr">
        <is>
          <t xml:space="preserve">Aditya Birla Sun Life Mutual Fund</t>
        </is>
      </c>
      <c r="B447" t="inlineStr">
        <is>
          <t xml:space="preserve">Aditya Birla Sun Life Pharma and Healthcare Fund-Direct-Growth</t>
        </is>
      </c>
      <c r="C447" t="inlineStr">
        <is>
          <t xml:space="preserve">INF209KB1O25</t>
        </is>
      </c>
    </row>
    <row r="448">
      <c r="A448" t="inlineStr">
        <is>
          <t xml:space="preserve">Aditya Birla Sun Life Mutual Fund</t>
        </is>
      </c>
      <c r="B448" t="inlineStr">
        <is>
          <t xml:space="preserve">Aditya Birla Sun Life Pharma and Healthcare Fund-Regular - Payout of IDCW</t>
        </is>
      </c>
      <c r="C448" t="inlineStr">
        <is>
          <t xml:space="preserve">INF209KB1O09</t>
        </is>
      </c>
    </row>
    <row r="449">
      <c r="A449" t="inlineStr">
        <is>
          <t xml:space="preserve">Aditya Birla Sun Life Mutual Fund</t>
        </is>
      </c>
      <c r="B449" t="inlineStr">
        <is>
          <t xml:space="preserve">Aditya Birla Sun Life Pharma and Healthcare Fund-Regular-Growth</t>
        </is>
      </c>
      <c r="C449" t="inlineStr">
        <is>
          <t xml:space="preserve">INF209KB1N91</t>
        </is>
      </c>
    </row>
    <row r="450">
      <c r="A450" t="inlineStr">
        <is>
          <t xml:space="preserve">Aditya Birla Sun Life Mutual Fund</t>
        </is>
      </c>
      <c r="B450" t="inlineStr">
        <is>
          <t xml:space="preserve">Aditya Birla Sun Life PSU Equity Fund-Direct - Payout of IDCW</t>
        </is>
      </c>
      <c r="C450" t="inlineStr">
        <is>
          <t xml:space="preserve">INF209KB1O90</t>
        </is>
      </c>
    </row>
    <row r="451">
      <c r="A451" t="inlineStr">
        <is>
          <t xml:space="preserve">Aditya Birla Sun Life Mutual Fund</t>
        </is>
      </c>
      <c r="B451" t="inlineStr">
        <is>
          <t xml:space="preserve">Aditya Birla Sun Life PSU Equity Fund-Direct Plan-Growth</t>
        </is>
      </c>
      <c r="C451" t="inlineStr">
        <is>
          <t xml:space="preserve">INF209KB1O82</t>
        </is>
      </c>
    </row>
    <row r="452">
      <c r="A452" t="inlineStr">
        <is>
          <t xml:space="preserve">Aditya Birla Sun Life Mutual Fund</t>
        </is>
      </c>
      <c r="B452" t="inlineStr">
        <is>
          <t xml:space="preserve">Aditya Birla Sun Life PSU Equity Fund-Regular - Payout of IDCW</t>
        </is>
      </c>
      <c r="C452" t="inlineStr">
        <is>
          <t xml:space="preserve">INF209KB1O74</t>
        </is>
      </c>
    </row>
    <row r="453">
      <c r="A453" t="inlineStr">
        <is>
          <t xml:space="preserve">Aditya Birla Sun Life Mutual Fund</t>
        </is>
      </c>
      <c r="B453" t="inlineStr">
        <is>
          <t xml:space="preserve">Aditya Birla Sun Life PSU Equity Fund-Regular Plan-Growth</t>
        </is>
      </c>
      <c r="C453" t="inlineStr">
        <is>
          <t xml:space="preserve">INF209KB1O66</t>
        </is>
      </c>
    </row>
    <row r="454">
      <c r="A454" t="inlineStr">
        <is>
          <t xml:space="preserve">Aditya Birla Sun Life Mutual Fund</t>
        </is>
      </c>
      <c r="B454" t="inlineStr">
        <is>
          <t xml:space="preserve">Aditya Birla Sun Life Quant Fund - Direct Growth</t>
        </is>
      </c>
      <c r="C454" t="inlineStr">
        <is>
          <t xml:space="preserve">INF209KC1118</t>
        </is>
      </c>
    </row>
    <row r="455">
      <c r="A455" t="inlineStr">
        <is>
          <t xml:space="preserve">Aditya Birla Sun Life Mutual Fund</t>
        </is>
      </c>
      <c r="B455" t="inlineStr">
        <is>
          <t xml:space="preserve">Aditya Birla Sun Life Quant Fund - Direct IDCW Payout</t>
        </is>
      </c>
      <c r="C455" t="inlineStr">
        <is>
          <t xml:space="preserve">INF209KC1126</t>
        </is>
      </c>
    </row>
    <row r="456">
      <c r="A456" t="inlineStr">
        <is>
          <t xml:space="preserve">Aditya Birla Sun Life Mutual Fund</t>
        </is>
      </c>
      <c r="B456" t="inlineStr">
        <is>
          <t xml:space="preserve">Aditya Birla Sun Life Quant Fund - Regular Growth</t>
        </is>
      </c>
      <c r="C456" t="inlineStr">
        <is>
          <t xml:space="preserve">INF209KC1092</t>
        </is>
      </c>
    </row>
    <row r="457">
      <c r="A457" t="inlineStr">
        <is>
          <t xml:space="preserve">Aditya Birla Sun Life Mutual Fund</t>
        </is>
      </c>
      <c r="B457" t="inlineStr">
        <is>
          <t xml:space="preserve">Aditya Birla Sun Life Quant Fund - Regular IDCW Payout</t>
        </is>
      </c>
      <c r="C457" t="inlineStr">
        <is>
          <t xml:space="preserve">INF209KC1100</t>
        </is>
      </c>
    </row>
    <row r="458">
      <c r="A458" t="inlineStr">
        <is>
          <t xml:space="preserve">Aditya Birla Sun Life Mutual Fund</t>
        </is>
      </c>
      <c r="B458" t="inlineStr">
        <is>
          <t xml:space="preserve">Aditya Birla Sun Life Regular Savings Fund - DIRECT - MONTHLY IDCW</t>
        </is>
      </c>
      <c r="C458" t="inlineStr">
        <is>
          <t xml:space="preserve">INF209K01R47</t>
        </is>
      </c>
    </row>
    <row r="459">
      <c r="A459" t="inlineStr">
        <is>
          <t xml:space="preserve">Aditya Birla Sun Life Mutual Fund</t>
        </is>
      </c>
      <c r="B459" t="inlineStr">
        <is>
          <t xml:space="preserve">Aditya Birla Sun Life Regular Savings Fund - Growth / Payment - Direct Plan</t>
        </is>
      </c>
      <c r="C459" t="inlineStr">
        <is>
          <t xml:space="preserve">INF209K01XH4</t>
        </is>
      </c>
    </row>
    <row r="460">
      <c r="A460" t="inlineStr">
        <is>
          <t xml:space="preserve">Aditya Birla Sun Life Mutual Fund</t>
        </is>
      </c>
      <c r="B460" t="inlineStr">
        <is>
          <t xml:space="preserve">Aditya Birla Sun Life Regular Savings Fund - Growth / Payment - Regular Plan</t>
        </is>
      </c>
      <c r="C460" t="inlineStr">
        <is>
          <t xml:space="preserve">INF209K01751</t>
        </is>
      </c>
    </row>
    <row r="461">
      <c r="A461" t="inlineStr">
        <is>
          <t xml:space="preserve">Aditya Birla Sun Life Mutual Fund</t>
        </is>
      </c>
      <c r="B461" t="inlineStr">
        <is>
          <t xml:space="preserve">Aditya Birla Sun Life Regular Savings Fund - REGULAR - MONTHLY IDCW</t>
        </is>
      </c>
      <c r="C461" t="inlineStr">
        <is>
          <t xml:space="preserve">INF209K01769</t>
        </is>
      </c>
    </row>
    <row r="462">
      <c r="A462" t="inlineStr">
        <is>
          <t xml:space="preserve">Aditya Birla Sun Life Mutual Fund</t>
        </is>
      </c>
      <c r="B462" t="inlineStr">
        <is>
          <t xml:space="preserve">Aditya Birla Sun Life Retirement Fund-The 30s Plan-Direct - Payout of IDCW</t>
        </is>
      </c>
      <c r="C462" t="inlineStr">
        <is>
          <t xml:space="preserve">INF209KB1I31</t>
        </is>
      </c>
    </row>
    <row r="463">
      <c r="A463" t="inlineStr">
        <is>
          <t xml:space="preserve">Aditya Birla Sun Life Mutual Fund</t>
        </is>
      </c>
      <c r="B463" t="inlineStr">
        <is>
          <t xml:space="preserve">Aditya Birla Sun Life Retirement Fund-The 30s Plan-Direct Growth</t>
        </is>
      </c>
      <c r="C463" t="inlineStr">
        <is>
          <t xml:space="preserve">INF209KB1I23</t>
        </is>
      </c>
    </row>
    <row r="464">
      <c r="A464" t="inlineStr">
        <is>
          <t xml:space="preserve">Aditya Birla Sun Life Mutual Fund</t>
        </is>
      </c>
      <c r="B464" t="inlineStr">
        <is>
          <t xml:space="preserve">Aditya Birla Sun Life Retirement Fund-The 30s Plan-Regular - Payout of IDCW</t>
        </is>
      </c>
      <c r="C464" t="inlineStr">
        <is>
          <t xml:space="preserve">INF209KB1I07</t>
        </is>
      </c>
    </row>
    <row r="465">
      <c r="A465" t="inlineStr">
        <is>
          <t xml:space="preserve">Aditya Birla Sun Life Mutual Fund</t>
        </is>
      </c>
      <c r="B465" t="inlineStr">
        <is>
          <t xml:space="preserve">Aditya Birla Sun Life Retirement Fund-The 30s Plan-Regular Growth</t>
        </is>
      </c>
      <c r="C465" t="inlineStr">
        <is>
          <t xml:space="preserve">INF209KB1H99</t>
        </is>
      </c>
    </row>
    <row r="466">
      <c r="A466" t="inlineStr">
        <is>
          <t xml:space="preserve">Aditya Birla Sun Life Mutual Fund</t>
        </is>
      </c>
      <c r="B466" t="inlineStr">
        <is>
          <t xml:space="preserve">Aditya Birla Sun Life Retirement Fund-The 40s Plan- Direct - Payout of IDCW</t>
        </is>
      </c>
      <c r="C466" t="inlineStr">
        <is>
          <t xml:space="preserve">INF209KB1I98</t>
        </is>
      </c>
    </row>
    <row r="467">
      <c r="A467" t="inlineStr">
        <is>
          <t xml:space="preserve">Aditya Birla Sun Life Mutual Fund</t>
        </is>
      </c>
      <c r="B467" t="inlineStr">
        <is>
          <t xml:space="preserve">Aditya Birla Sun Life Retirement Fund-The 40s Plan-Direct Plan-Growth</t>
        </is>
      </c>
      <c r="C467" t="inlineStr">
        <is>
          <t xml:space="preserve">INF209KB1I80</t>
        </is>
      </c>
    </row>
    <row r="468">
      <c r="A468" t="inlineStr">
        <is>
          <t xml:space="preserve">Aditya Birla Sun Life Mutual Fund</t>
        </is>
      </c>
      <c r="B468" t="inlineStr">
        <is>
          <t xml:space="preserve">Aditya Birla Sun Life Retirement Fund-The 40s Plan-Regular - Payout of IDCW</t>
        </is>
      </c>
      <c r="C468" t="inlineStr">
        <is>
          <t xml:space="preserve">INF209KB1I64</t>
        </is>
      </c>
    </row>
    <row r="469">
      <c r="A469" t="inlineStr">
        <is>
          <t xml:space="preserve">Aditya Birla Sun Life Mutual Fund</t>
        </is>
      </c>
      <c r="B469" t="inlineStr">
        <is>
          <t xml:space="preserve">Aditya Birla Sun Life Retirement Fund-The 40s Plan-Regular Plan-Growth</t>
        </is>
      </c>
      <c r="C469" t="inlineStr">
        <is>
          <t xml:space="preserve">INF209KB1I56</t>
        </is>
      </c>
    </row>
    <row r="470">
      <c r="A470" t="inlineStr">
        <is>
          <t xml:space="preserve">Aditya Birla Sun Life Mutual Fund</t>
        </is>
      </c>
      <c r="B470" t="inlineStr">
        <is>
          <t xml:space="preserve">Aditya Birla Sun Life Retirement Fund-The 50s Plan- Direct - Payout of IDCW</t>
        </is>
      </c>
      <c r="C470" t="inlineStr">
        <is>
          <t xml:space="preserve">INF209KB1J55</t>
        </is>
      </c>
    </row>
    <row r="471">
      <c r="A471" t="inlineStr">
        <is>
          <t xml:space="preserve">Aditya Birla Sun Life Mutual Fund</t>
        </is>
      </c>
      <c r="B471" t="inlineStr">
        <is>
          <t xml:space="preserve">Aditya Birla Sun Life Retirement Fund-The 50s Plan- Regular - Payout of IDCW</t>
        </is>
      </c>
      <c r="C471" t="inlineStr">
        <is>
          <t xml:space="preserve">INF209KB1J22</t>
        </is>
      </c>
    </row>
    <row r="472">
      <c r="A472" t="inlineStr">
        <is>
          <t xml:space="preserve">Aditya Birla Sun Life Mutual Fund</t>
        </is>
      </c>
      <c r="B472" t="inlineStr">
        <is>
          <t xml:space="preserve">Aditya Birla Sun Life Retirement Fund-The 50s Plan-Direct Plan-Growth</t>
        </is>
      </c>
      <c r="C472" t="inlineStr">
        <is>
          <t xml:space="preserve">INF209KB1J48</t>
        </is>
      </c>
    </row>
    <row r="473">
      <c r="A473" t="inlineStr">
        <is>
          <t xml:space="preserve">Aditya Birla Sun Life Mutual Fund</t>
        </is>
      </c>
      <c r="B473" t="inlineStr">
        <is>
          <t xml:space="preserve">Aditya Birla Sun Life Retirement Fund-The 50s Plan-Regular Plan-Growth</t>
        </is>
      </c>
      <c r="C473" t="inlineStr">
        <is>
          <t xml:space="preserve">INF209KB1J14</t>
        </is>
      </c>
    </row>
    <row r="474">
      <c r="A474" t="inlineStr">
        <is>
          <t xml:space="preserve">Aditya Birla Sun Life Mutual Fund</t>
        </is>
      </c>
      <c r="B474" t="inlineStr">
        <is>
          <t xml:space="preserve">Aditya Birla Sun Life Retirement Fund-The 50s Plus-Debt Plan - Direct - Payout of IDCW</t>
        </is>
      </c>
      <c r="C474" t="inlineStr">
        <is>
          <t xml:space="preserve">INF209KB1K11</t>
        </is>
      </c>
    </row>
    <row r="475">
      <c r="A475" t="inlineStr">
        <is>
          <t xml:space="preserve">Aditya Birla Sun Life Mutual Fund</t>
        </is>
      </c>
      <c r="B475" t="inlineStr">
        <is>
          <t xml:space="preserve">Aditya Birla Sun Life Retirement Fund-The 50s Plus-Debt Plan - Regular - Payout of IDCW</t>
        </is>
      </c>
      <c r="C475" t="inlineStr">
        <is>
          <t xml:space="preserve">INF209KB1J89</t>
        </is>
      </c>
    </row>
    <row r="476">
      <c r="A476" t="inlineStr">
        <is>
          <t xml:space="preserve">Aditya Birla Sun Life Mutual Fund</t>
        </is>
      </c>
      <c r="B476" t="inlineStr">
        <is>
          <t xml:space="preserve">Aditya Birla Sun Life Retirement Fund-The 50s Plus-Debt Plan-Direct Plan-Growth</t>
        </is>
      </c>
      <c r="C476" t="inlineStr">
        <is>
          <t xml:space="preserve">INF209KB1K03</t>
        </is>
      </c>
    </row>
    <row r="477">
      <c r="A477" t="inlineStr">
        <is>
          <t xml:space="preserve">Aditya Birla Sun Life Mutual Fund</t>
        </is>
      </c>
      <c r="B477" t="inlineStr">
        <is>
          <t xml:space="preserve">Aditya Birla Sun Life Retirement Fund-The 50s Plus-Debt Plan-Regular Plan-Growth</t>
        </is>
      </c>
      <c r="C477" t="inlineStr">
        <is>
          <t xml:space="preserve">INF209KB1J71</t>
        </is>
      </c>
    </row>
    <row r="478">
      <c r="A478" t="inlineStr">
        <is>
          <t xml:space="preserve">Aditya Birla Sun Life Mutual Fund</t>
        </is>
      </c>
      <c r="B478" t="inlineStr">
        <is>
          <t xml:space="preserve">Aditya Birla Sun Life Savings Fund - Discipline Advantage Plan</t>
        </is>
      </c>
      <c r="C478" t="inlineStr">
        <is>
          <t xml:space="preserve">INF209K01JT8</t>
        </is>
      </c>
    </row>
    <row r="479">
      <c r="A479" t="inlineStr">
        <is>
          <t xml:space="preserve">Aditya Birla Sun Life Mutual Fund</t>
        </is>
      </c>
      <c r="B479" t="inlineStr">
        <is>
          <t xml:space="preserve">Aditya Birla Sun Life Savings Fund - Growth - Direct Plan</t>
        </is>
      </c>
      <c r="C479" t="inlineStr">
        <is>
          <t xml:space="preserve">INF209K01UR9</t>
        </is>
      </c>
    </row>
    <row r="480">
      <c r="A480" t="inlineStr">
        <is>
          <t xml:space="preserve">Aditya Birla Sun Life Mutual Fund</t>
        </is>
      </c>
      <c r="B480" t="inlineStr">
        <is>
          <t xml:space="preserve">Aditya Birla Sun Life Savings Fund - Growth - Regular Plan</t>
        </is>
      </c>
      <c r="C480" t="inlineStr">
        <is>
          <t xml:space="preserve">INF209K01LZ1</t>
        </is>
      </c>
    </row>
    <row r="481">
      <c r="A481" t="inlineStr">
        <is>
          <t xml:space="preserve">Aditya Birla Sun Life Mutual Fund</t>
        </is>
      </c>
      <c r="B481" t="inlineStr">
        <is>
          <t xml:space="preserve">Aditya Birla Sun Life Savings Fund-DIRECT - DAILY IDCW</t>
        </is>
      </c>
      <c r="C481" t="inlineStr">
        <is>
          <t xml:space="preserve">INF209K01UQ1</t>
        </is>
      </c>
    </row>
    <row r="482">
      <c r="A482" t="inlineStr">
        <is>
          <t xml:space="preserve">Aditya Birla Sun Life Mutual Fund</t>
        </is>
      </c>
      <c r="B482" t="inlineStr">
        <is>
          <t xml:space="preserve">Aditya Birla Sun Life Savings Fund-DIRECT - WEEKLY IDCW</t>
        </is>
      </c>
      <c r="C482" t="inlineStr">
        <is>
          <t xml:space="preserve">INF209K01US7</t>
        </is>
      </c>
    </row>
    <row r="483">
      <c r="A483" t="inlineStr">
        <is>
          <t xml:space="preserve">Aditya Birla Sun Life Mutual Fund</t>
        </is>
      </c>
      <c r="B483" t="inlineStr">
        <is>
          <t xml:space="preserve">Aditya Birla Sun Life Savings Fund-Regular - DAILY IDCW</t>
        </is>
      </c>
      <c r="C483" t="inlineStr">
        <is>
          <t xml:space="preserve">INF209K01LY4</t>
        </is>
      </c>
    </row>
    <row r="484">
      <c r="A484" t="inlineStr">
        <is>
          <t xml:space="preserve">Aditya Birla Sun Life Mutual Fund</t>
        </is>
      </c>
      <c r="B484" t="inlineStr">
        <is>
          <t xml:space="preserve">Aditya Birla Sun Life Savings Fund-Regular - weekly IDCW</t>
        </is>
      </c>
      <c r="C484" t="inlineStr">
        <is>
          <t xml:space="preserve">INF209K01MA2</t>
        </is>
      </c>
    </row>
    <row r="485">
      <c r="A485" t="inlineStr">
        <is>
          <t xml:space="preserve">Aditya Birla Sun Life Mutual Fund</t>
        </is>
      </c>
      <c r="B485" t="inlineStr">
        <is>
          <t xml:space="preserve">Aditya Birla Sun Life Short Term Fund - DIRECT - IDCW</t>
        </is>
      </c>
      <c r="C485" t="inlineStr">
        <is>
          <t xml:space="preserve">INF209KA1KQ6</t>
        </is>
      </c>
    </row>
    <row r="486">
      <c r="A486" t="inlineStr">
        <is>
          <t xml:space="preserve">Aditya Birla Sun Life Mutual Fund</t>
        </is>
      </c>
      <c r="B486" t="inlineStr">
        <is>
          <t xml:space="preserve">Aditya Birla Sun Life Short Term Fund - Growth - Direct Plan</t>
        </is>
      </c>
      <c r="C486" t="inlineStr">
        <is>
          <t xml:space="preserve">INF209K01XK8</t>
        </is>
      </c>
    </row>
    <row r="487">
      <c r="A487" t="inlineStr">
        <is>
          <t xml:space="preserve">Aditya Birla Sun Life Mutual Fund</t>
        </is>
      </c>
      <c r="B487" t="inlineStr">
        <is>
          <t xml:space="preserve">Aditya Birla Sun Life Short Term Fund - Growth - Regular Plan</t>
        </is>
      </c>
      <c r="C487" t="inlineStr">
        <is>
          <t xml:space="preserve">INF209K01942</t>
        </is>
      </c>
    </row>
    <row r="488">
      <c r="A488" t="inlineStr">
        <is>
          <t xml:space="preserve">Aditya Birla Sun Life Mutual Fund</t>
        </is>
      </c>
      <c r="B488" t="inlineStr">
        <is>
          <t xml:space="preserve">Aditya Birla Sun Life Short Term Fund - REGULAR - IDCW</t>
        </is>
      </c>
      <c r="C488" t="inlineStr">
        <is>
          <t xml:space="preserve">INF209K01975</t>
        </is>
      </c>
    </row>
    <row r="489">
      <c r="A489" t="inlineStr">
        <is>
          <t xml:space="preserve">Aditya Birla Sun Life Mutual Fund</t>
        </is>
      </c>
      <c r="B489" t="inlineStr">
        <is>
          <t xml:space="preserve">Aditya Birla Sun Life Short Term Fund - REGULAR - Quarterly IDCW</t>
        </is>
      </c>
      <c r="C489" t="inlineStr">
        <is>
          <t xml:space="preserve">INF209K01BU3</t>
        </is>
      </c>
    </row>
    <row r="490">
      <c r="A490" t="inlineStr">
        <is>
          <t xml:space="preserve">Aditya Birla Sun Life Mutual Fund</t>
        </is>
      </c>
      <c r="B490" t="inlineStr">
        <is>
          <t xml:space="preserve">Aditya Birla Sun Life Short Term Fund-Quarterly-IDCW-Direct</t>
        </is>
      </c>
      <c r="C490" t="inlineStr">
        <is>
          <t xml:space="preserve">INF209K01R96</t>
        </is>
      </c>
    </row>
    <row r="491">
      <c r="A491" t="inlineStr">
        <is>
          <t xml:space="preserve">Aditya Birla Sun Life Mutual Fund</t>
        </is>
      </c>
      <c r="B491" t="inlineStr">
        <is>
          <t xml:space="preserve">Aditya Birla Sun Life Silver ETF</t>
        </is>
      </c>
      <c r="C491" t="inlineStr">
        <is>
          <t xml:space="preserve">INF209KB19F6</t>
        </is>
      </c>
    </row>
    <row r="492">
      <c r="A492" t="inlineStr">
        <is>
          <t xml:space="preserve">Aditya Birla Sun Life Mutual Fund</t>
        </is>
      </c>
      <c r="B492" t="inlineStr">
        <is>
          <t xml:space="preserve">Aditya Birla Sun Life Silver ETF FOF-Direct Growth</t>
        </is>
      </c>
      <c r="C492" t="inlineStr">
        <is>
          <t xml:space="preserve">INF209KB16F2</t>
        </is>
      </c>
    </row>
    <row r="493">
      <c r="A493" t="inlineStr">
        <is>
          <t xml:space="preserve">Aditya Birla Sun Life Mutual Fund</t>
        </is>
      </c>
      <c r="B493" t="inlineStr">
        <is>
          <t xml:space="preserve">Aditya Birla Sun Life Silver ETF FOF-Direct IDCW</t>
        </is>
      </c>
      <c r="C493" t="inlineStr">
        <is>
          <t xml:space="preserve">INF209KB17F0</t>
        </is>
      </c>
    </row>
    <row r="494">
      <c r="A494" t="inlineStr">
        <is>
          <t xml:space="preserve">Aditya Birla Sun Life Mutual Fund</t>
        </is>
      </c>
      <c r="B494" t="inlineStr">
        <is>
          <t xml:space="preserve">Aditya Birla Sun Life Silver ETF FOF-Regular Growth</t>
        </is>
      </c>
      <c r="C494" t="inlineStr">
        <is>
          <t xml:space="preserve">INF209KB13F9</t>
        </is>
      </c>
    </row>
    <row r="495">
      <c r="A495" t="inlineStr">
        <is>
          <t xml:space="preserve">Aditya Birla Sun Life Mutual Fund</t>
        </is>
      </c>
      <c r="B495" t="inlineStr">
        <is>
          <t xml:space="preserve">Aditya Birla Sun Life Silver ETF FOF-Regular IDCW</t>
        </is>
      </c>
      <c r="C495" t="inlineStr">
        <is>
          <t xml:space="preserve">INF209KB14F7</t>
        </is>
      </c>
    </row>
    <row r="496">
      <c r="A496" t="inlineStr">
        <is>
          <t xml:space="preserve">Aditya Birla Sun Life Mutual Fund</t>
        </is>
      </c>
      <c r="B496" t="inlineStr">
        <is>
          <t xml:space="preserve">Aditya Birla Sun Life Small Cap Fund - GROWTH</t>
        </is>
      </c>
      <c r="C496" t="inlineStr">
        <is>
          <t xml:space="preserve">INF209K01EN2</t>
        </is>
      </c>
    </row>
    <row r="497">
      <c r="A497" t="inlineStr">
        <is>
          <t xml:space="preserve">Aditya Birla Sun Life Mutual Fund</t>
        </is>
      </c>
      <c r="B497" t="inlineStr">
        <is>
          <t xml:space="preserve">Aditya Birla Sun Life Small Cap Fund - Growth - Direct Plan</t>
        </is>
      </c>
      <c r="C497" t="inlineStr">
        <is>
          <t xml:space="preserve">INF209K01WN4</t>
        </is>
      </c>
    </row>
    <row r="498">
      <c r="A498" t="inlineStr">
        <is>
          <t xml:space="preserve">Aditya Birla Sun Life Mutual Fund</t>
        </is>
      </c>
      <c r="B498" t="inlineStr">
        <is>
          <t xml:space="preserve">Aditya Birla Sun Life Small Cap Fund -Direct - IDCW</t>
        </is>
      </c>
      <c r="C498" t="inlineStr">
        <is>
          <t xml:space="preserve">INF209K01WM6</t>
        </is>
      </c>
    </row>
    <row r="499">
      <c r="A499" t="inlineStr">
        <is>
          <t xml:space="preserve">Aditya Birla Sun Life Mutual Fund</t>
        </is>
      </c>
      <c r="B499" t="inlineStr">
        <is>
          <t xml:space="preserve">Aditya Birla Sun Life Small Cap Fund -Regular - IDCW</t>
        </is>
      </c>
      <c r="C499" t="inlineStr">
        <is>
          <t xml:space="preserve">INF209K01EO0</t>
        </is>
      </c>
    </row>
    <row r="500">
      <c r="A500" t="inlineStr">
        <is>
          <t xml:space="preserve">Aditya Birla Sun Life Mutual Fund</t>
        </is>
      </c>
      <c r="B500" t="inlineStr">
        <is>
          <t xml:space="preserve">Aditya Birla Sun Life Special Opportunities Fund-Direct - IDCW</t>
        </is>
      </c>
      <c r="C500" t="inlineStr">
        <is>
          <t xml:space="preserve">INF209KB1T87</t>
        </is>
      </c>
    </row>
    <row r="501">
      <c r="A501" t="inlineStr">
        <is>
          <t xml:space="preserve">Aditya Birla Sun Life Mutual Fund</t>
        </is>
      </c>
      <c r="B501" t="inlineStr">
        <is>
          <t xml:space="preserve">Aditya Birla Sun Life Special Opportunities Fund-Direct-Growth</t>
        </is>
      </c>
      <c r="C501" t="inlineStr">
        <is>
          <t xml:space="preserve">INF209KB1T79</t>
        </is>
      </c>
    </row>
    <row r="502">
      <c r="A502" t="inlineStr">
        <is>
          <t xml:space="preserve">Aditya Birla Sun Life Mutual Fund</t>
        </is>
      </c>
      <c r="B502" t="inlineStr">
        <is>
          <t xml:space="preserve">Aditya Birla Sun Life Special Opportunities Fund-Regular - IDCW</t>
        </is>
      </c>
      <c r="C502" t="inlineStr">
        <is>
          <t xml:space="preserve">INF209KB1T53</t>
        </is>
      </c>
    </row>
    <row r="503">
      <c r="A503" t="inlineStr">
        <is>
          <t xml:space="preserve">Aditya Birla Sun Life Mutual Fund</t>
        </is>
      </c>
      <c r="B503" t="inlineStr">
        <is>
          <t xml:space="preserve">Aditya Birla Sun Life Special Opportunities Fund-Regular Plan-Growth</t>
        </is>
      </c>
      <c r="C503" t="inlineStr">
        <is>
          <t xml:space="preserve">INF209KB1T46</t>
        </is>
      </c>
    </row>
    <row r="504">
      <c r="A504" t="inlineStr">
        <is>
          <t xml:space="preserve">Aditya Birla Sun Life Mutual Fund</t>
        </is>
      </c>
      <c r="B504" t="inlineStr">
        <is>
          <t xml:space="preserve">Aditya Birla Sun Life Transportation and Logistics Fund-Direct Growth</t>
        </is>
      </c>
      <c r="C504" t="inlineStr">
        <is>
          <t xml:space="preserve">INF209KB15X7</t>
        </is>
      </c>
    </row>
    <row r="505">
      <c r="A505" t="inlineStr">
        <is>
          <t xml:space="preserve">Aditya Birla Sun Life Mutual Fund</t>
        </is>
      </c>
      <c r="B505" t="inlineStr">
        <is>
          <t xml:space="preserve">Aditya Birla Sun Life Transportation and Logistics Fund-Direct IDCW</t>
        </is>
      </c>
      <c r="C505" t="inlineStr">
        <is>
          <t xml:space="preserve">INF209KB16X5</t>
        </is>
      </c>
    </row>
    <row r="506">
      <c r="A506" t="inlineStr">
        <is>
          <t xml:space="preserve">Aditya Birla Sun Life Mutual Fund</t>
        </is>
      </c>
      <c r="B506" t="inlineStr">
        <is>
          <t xml:space="preserve">Aditya Birla Sun Life Transportation and Logistics Fund-Regular Growth</t>
        </is>
      </c>
      <c r="C506" t="inlineStr">
        <is>
          <t xml:space="preserve">INF209KB17X3</t>
        </is>
      </c>
    </row>
    <row r="507">
      <c r="A507" t="inlineStr">
        <is>
          <t xml:space="preserve">Aditya Birla Sun Life Mutual Fund</t>
        </is>
      </c>
      <c r="B507" t="inlineStr">
        <is>
          <t xml:space="preserve">Aditya Birla Sun Life Transportation and Logistics Fund-Regular IDCW</t>
        </is>
      </c>
      <c r="C507" t="inlineStr">
        <is>
          <t xml:space="preserve">INF209KB18X1</t>
        </is>
      </c>
    </row>
    <row r="508">
      <c r="A508" t="inlineStr">
        <is>
          <t xml:space="preserve">Aditya Birla Sun Life Mutual Fund</t>
        </is>
      </c>
      <c r="B508" t="inlineStr">
        <is>
          <t xml:space="preserve">Aditya Birla Sun Life US Equity Passive FOF-Direct IDCW</t>
        </is>
      </c>
      <c r="C508" t="inlineStr">
        <is>
          <t xml:space="preserve">INF209KB19C3</t>
        </is>
      </c>
    </row>
    <row r="509">
      <c r="A509" t="inlineStr">
        <is>
          <t xml:space="preserve">Aditya Birla Sun Life Mutual Fund</t>
        </is>
      </c>
      <c r="B509" t="inlineStr">
        <is>
          <t xml:space="preserve">Aditya Birla Sun Life US Equity Passive FOF-Direct-Growth</t>
        </is>
      </c>
      <c r="C509" t="inlineStr">
        <is>
          <t xml:space="preserve">INF209KB18C5</t>
        </is>
      </c>
    </row>
    <row r="510">
      <c r="A510" t="inlineStr">
        <is>
          <t xml:space="preserve">Aditya Birla Sun Life Mutual Fund</t>
        </is>
      </c>
      <c r="B510" t="inlineStr">
        <is>
          <t xml:space="preserve">Aditya Birla Sun Life US Equity Passive FOF-Regular Growth</t>
        </is>
      </c>
      <c r="C510" t="inlineStr">
        <is>
          <t xml:space="preserve">INF209KB15C1</t>
        </is>
      </c>
    </row>
    <row r="511">
      <c r="A511" t="inlineStr">
        <is>
          <t xml:space="preserve">Aditya Birla Sun Life Mutual Fund</t>
        </is>
      </c>
      <c r="B511" t="inlineStr">
        <is>
          <t xml:space="preserve">Aditya Birla Sun Life US Equity Passive FOF-Regular IDCW</t>
        </is>
      </c>
      <c r="C511" t="inlineStr">
        <is>
          <t xml:space="preserve">INF209KB16C9</t>
        </is>
      </c>
    </row>
    <row r="512">
      <c r="A512" t="inlineStr">
        <is>
          <t xml:space="preserve">Aditya Birla Sun Life Mutual Fund</t>
        </is>
      </c>
      <c r="B512" t="inlineStr">
        <is>
          <t xml:space="preserve">Aditya Birla Sun Life US Treasury 1-3 Year Bond ETFs Fund Of Funds-Direct Growth</t>
        </is>
      </c>
      <c r="C512" t="inlineStr">
        <is>
          <t xml:space="preserve">INF209KB16W7</t>
        </is>
      </c>
    </row>
    <row r="513">
      <c r="A513" t="inlineStr">
        <is>
          <t xml:space="preserve">Aditya Birla Sun Life Mutual Fund</t>
        </is>
      </c>
      <c r="B513" t="inlineStr">
        <is>
          <t xml:space="preserve">Aditya Birla Sun Life US Treasury 1-3 Year Bond ETFs Fund Of Funds-Direct IDCW Payout</t>
        </is>
      </c>
      <c r="C513" t="inlineStr">
        <is>
          <t xml:space="preserve">INF209KB17W5</t>
        </is>
      </c>
    </row>
    <row r="514">
      <c r="A514" t="inlineStr">
        <is>
          <t xml:space="preserve">Aditya Birla Sun Life Mutual Fund</t>
        </is>
      </c>
      <c r="B514" t="inlineStr">
        <is>
          <t xml:space="preserve">Aditya Birla Sun Life US Treasury 1-3 Year Bond ETFs Fund Of Funds-Regular Growth</t>
        </is>
      </c>
      <c r="C514" t="inlineStr">
        <is>
          <t xml:space="preserve">INF209KB13W4</t>
        </is>
      </c>
    </row>
    <row r="515">
      <c r="A515" t="inlineStr">
        <is>
          <t xml:space="preserve">Aditya Birla Sun Life Mutual Fund</t>
        </is>
      </c>
      <c r="B515" t="inlineStr">
        <is>
          <t xml:space="preserve">Aditya Birla Sun Life US Treasury 1-3 Year Bond ETFs Fund Of Funds-Regular IDCW</t>
        </is>
      </c>
      <c r="C515" t="inlineStr">
        <is>
          <t xml:space="preserve">INF209KB14W2</t>
        </is>
      </c>
    </row>
    <row r="516">
      <c r="A516" t="inlineStr">
        <is>
          <t xml:space="preserve">Aditya Birla Sun Life Mutual Fund</t>
        </is>
      </c>
      <c r="B516" t="inlineStr">
        <is>
          <t xml:space="preserve">Aditya Birla Sun Life US Treasury 3-10 Year Bond ETFs Fund Of Funds-Direct Growth</t>
        </is>
      </c>
      <c r="C516" t="inlineStr">
        <is>
          <t xml:space="preserve">INF209KB12X4</t>
        </is>
      </c>
    </row>
    <row r="517">
      <c r="A517" t="inlineStr">
        <is>
          <t xml:space="preserve">Aditya Birla Sun Life Mutual Fund</t>
        </is>
      </c>
      <c r="B517" t="inlineStr">
        <is>
          <t xml:space="preserve">Aditya Birla Sun Life US Treasury 3-10 Year Bond ETFs Fund Of Funds-Direct IDCW</t>
        </is>
      </c>
      <c r="C517" t="inlineStr">
        <is>
          <t xml:space="preserve">INF209KB13X2</t>
        </is>
      </c>
    </row>
    <row r="518">
      <c r="A518" t="inlineStr">
        <is>
          <t xml:space="preserve">Aditya Birla Sun Life Mutual Fund</t>
        </is>
      </c>
      <c r="B518" t="inlineStr">
        <is>
          <t xml:space="preserve">Aditya Birla Sun Life US Treasury 3-10 Year Bond ETFs Fund Of Funds-Regular Growth</t>
        </is>
      </c>
      <c r="C518" t="inlineStr">
        <is>
          <t xml:space="preserve">INF209KB19W1</t>
        </is>
      </c>
    </row>
    <row r="519">
      <c r="A519" t="inlineStr">
        <is>
          <t xml:space="preserve">Aditya Birla Sun Life Mutual Fund</t>
        </is>
      </c>
      <c r="B519" t="inlineStr">
        <is>
          <t xml:space="preserve">Aditya Birla Sun Life US Treasury 3-10 Year Bond ETFs Fund Of Funds-Regular IDCW</t>
        </is>
      </c>
      <c r="C519" t="inlineStr">
        <is>
          <t xml:space="preserve">INF209KB10X8</t>
        </is>
      </c>
    </row>
    <row r="520">
      <c r="A520" t="inlineStr">
        <is>
          <t xml:space="preserve">Aditya Birla Sun Life Mutual Fund</t>
        </is>
      </c>
      <c r="B520" t="inlineStr">
        <is>
          <t xml:space="preserve">Aditya Birla Sun Life Value Fund - Direct - IDCW</t>
        </is>
      </c>
      <c r="C520" t="inlineStr">
        <is>
          <t xml:space="preserve">INF209K01WP9</t>
        </is>
      </c>
    </row>
    <row r="521">
      <c r="A521" t="inlineStr">
        <is>
          <t xml:space="preserve">Aditya Birla Sun Life Mutual Fund</t>
        </is>
      </c>
      <c r="B521" t="inlineStr">
        <is>
          <t xml:space="preserve">Aditya Birla Sun Life Value Fund - Growth - Direct Plan</t>
        </is>
      </c>
      <c r="C521" t="inlineStr">
        <is>
          <t xml:space="preserve">INF209K01WQ7</t>
        </is>
      </c>
    </row>
    <row r="522">
      <c r="A522" t="inlineStr">
        <is>
          <t xml:space="preserve">Aditya Birla Sun Life Mutual Fund</t>
        </is>
      </c>
      <c r="B522" t="inlineStr">
        <is>
          <t xml:space="preserve">Aditya Birla Sun Life Value Fund - Growth Option</t>
        </is>
      </c>
      <c r="C522" t="inlineStr">
        <is>
          <t xml:space="preserve">INF209K01LF3</t>
        </is>
      </c>
    </row>
    <row r="523">
      <c r="A523" t="inlineStr">
        <is>
          <t xml:space="preserve">Aditya Birla Sun Life Mutual Fund</t>
        </is>
      </c>
      <c r="B523" t="inlineStr">
        <is>
          <t xml:space="preserve">Aditya Birla Sun Life Value Fund - Regular - IDCW</t>
        </is>
      </c>
      <c r="C523" t="inlineStr">
        <is>
          <t xml:space="preserve">INF209K01LE6</t>
        </is>
      </c>
    </row>
    <row r="524">
      <c r="A524" t="inlineStr">
        <is>
          <t xml:space="preserve">Aditya Birla Sun Life Mutual Fund</t>
        </is>
      </c>
      <c r="B524" t="inlineStr">
        <is>
          <t xml:space="preserve">Aditya Birla Sunlife Nifty Next 50 ETF</t>
        </is>
      </c>
      <c r="C524" t="inlineStr">
        <is>
          <t xml:space="preserve">INF209KB16D7</t>
        </is>
      </c>
    </row>
    <row r="525">
      <c r="A525" t="inlineStr">
        <is>
          <t xml:space="preserve">Aditya Birla Sun Life Mutual Fund</t>
        </is>
      </c>
      <c r="B525" t="inlineStr">
        <is>
          <t xml:space="preserve">ADITYA BIRLA SUNLIFE OVERNIGHT FUND-REGULAR PLAN-GROWTH</t>
        </is>
      </c>
      <c r="C525" t="inlineStr">
        <is>
          <t xml:space="preserve">INF209KB1ZC3</t>
        </is>
      </c>
    </row>
    <row r="526">
      <c r="A526" t="inlineStr">
        <is>
          <t xml:space="preserve">Angel One Mutual Fund</t>
        </is>
      </c>
      <c r="B526" t="inlineStr">
        <is>
          <t xml:space="preserve">ANGEL ONE GOLD ETF</t>
        </is>
      </c>
      <c r="C526" t="inlineStr">
        <is>
          <t xml:space="preserve">INF1J2R01114</t>
        </is>
      </c>
    </row>
    <row r="527">
      <c r="A527" t="inlineStr">
        <is>
          <t xml:space="preserve">Angel One Mutual Fund</t>
        </is>
      </c>
      <c r="B527" t="inlineStr">
        <is>
          <t xml:space="preserve">ANGEL ONE GOLD ETF FOF - REGULAR GROWTH</t>
        </is>
      </c>
      <c r="C527" t="inlineStr">
        <is>
          <t xml:space="preserve">INF1J2R01106</t>
        </is>
      </c>
    </row>
    <row r="528">
      <c r="A528" t="inlineStr">
        <is>
          <t xml:space="preserve">Angel One Mutual Fund</t>
        </is>
      </c>
      <c r="B528" t="inlineStr">
        <is>
          <t xml:space="preserve">ANGEL ONE GOLD ETF FOF- DIRECT GROWTH</t>
        </is>
      </c>
      <c r="C528" t="inlineStr">
        <is>
          <t xml:space="preserve">INF1J2R01098</t>
        </is>
      </c>
    </row>
    <row r="529">
      <c r="A529" t="inlineStr">
        <is>
          <t xml:space="preserve">Angel One Mutual Fund</t>
        </is>
      </c>
      <c r="B529" t="inlineStr">
        <is>
          <t xml:space="preserve">ANGEL ONE NIFTY 1D RATE LIQUID ETF - GROWTH</t>
        </is>
      </c>
      <c r="C529" t="inlineStr">
        <is>
          <t xml:space="preserve">INF1J2R01056</t>
        </is>
      </c>
    </row>
    <row r="530">
      <c r="A530" t="inlineStr">
        <is>
          <t xml:space="preserve">Angel One Mutual Fund</t>
        </is>
      </c>
      <c r="B530" t="inlineStr">
        <is>
          <t xml:space="preserve">ANGEL ONE NIFTY 50 ETF</t>
        </is>
      </c>
      <c r="C530" t="inlineStr">
        <is>
          <t xml:space="preserve">INF1J2R01064</t>
        </is>
      </c>
    </row>
    <row r="531">
      <c r="A531" t="inlineStr">
        <is>
          <t xml:space="preserve">Angel One Mutual Fund</t>
        </is>
      </c>
      <c r="B531" t="inlineStr">
        <is>
          <t xml:space="preserve">ANGEL ONE NIFTY 50 INDEX FUND-DIRECT-GROWTH</t>
        </is>
      </c>
      <c r="C531" t="inlineStr">
        <is>
          <t xml:space="preserve">INF1J2R01072</t>
        </is>
      </c>
    </row>
    <row r="532">
      <c r="A532" t="inlineStr">
        <is>
          <t xml:space="preserve">Angel One Mutual Fund</t>
        </is>
      </c>
      <c r="B532" t="inlineStr">
        <is>
          <t xml:space="preserve">ANGEL ONE NIFTY 50 INDEX FUND-REGULAR-GROWTH</t>
        </is>
      </c>
      <c r="C532" t="inlineStr">
        <is>
          <t xml:space="preserve">INF1J2R01080</t>
        </is>
      </c>
    </row>
    <row r="533">
      <c r="A533" t="inlineStr">
        <is>
          <t xml:space="preserve">Angel One Mutual Fund</t>
        </is>
      </c>
      <c r="B533" t="inlineStr">
        <is>
          <t xml:space="preserve">ANGEL ONE NIFTY TOTAL MARKET ETF</t>
        </is>
      </c>
      <c r="C533" t="inlineStr">
        <is>
          <t xml:space="preserve">INF1J2R01015</t>
        </is>
      </c>
    </row>
    <row r="534">
      <c r="A534" t="inlineStr">
        <is>
          <t xml:space="preserve">Angel One Mutual Fund</t>
        </is>
      </c>
      <c r="B534" t="inlineStr">
        <is>
          <t xml:space="preserve">ANGEL ONE NIFTY TOTAL MARKET INDEX FUND DIRECT PLAN GROWTH OPTION</t>
        </is>
      </c>
      <c r="C534" t="inlineStr">
        <is>
          <t xml:space="preserve">INF1J2R01023</t>
        </is>
      </c>
    </row>
    <row r="535">
      <c r="A535" t="inlineStr">
        <is>
          <t xml:space="preserve">Angel One Mutual Fund</t>
        </is>
      </c>
      <c r="B535" t="inlineStr">
        <is>
          <t xml:space="preserve">ANGEL ONE NIFTY TOTAL MARKET INDEX FUND REGULAR PLAN GROWTH OPTION</t>
        </is>
      </c>
      <c r="C535" t="inlineStr">
        <is>
          <t xml:space="preserve">INF1J2R01031</t>
        </is>
      </c>
    </row>
    <row r="536">
      <c r="A536" t="inlineStr">
        <is>
          <t xml:space="preserve">Angel One Mutual Fund</t>
        </is>
      </c>
      <c r="B536" t="inlineStr">
        <is>
          <t xml:space="preserve">ANGEL ONE NIFTY TOTAL MARKET MOMENTUM QUALITY 50 ETF</t>
        </is>
      </c>
      <c r="C536" t="inlineStr">
        <is>
          <t xml:space="preserve">INF1J2R01148</t>
        </is>
      </c>
    </row>
    <row r="537">
      <c r="A537" t="inlineStr">
        <is>
          <t xml:space="preserve">Angel One Mutual Fund</t>
        </is>
      </c>
      <c r="B537" t="inlineStr">
        <is>
          <t xml:space="preserve">ANGEL ONE NIFTY TOTAL MARKET MOMENTUM QUALITY 50 INDEX FUND - DIRECT GROWTH</t>
        </is>
      </c>
      <c r="C537" t="inlineStr">
        <is>
          <t xml:space="preserve">INF1J2R01122</t>
        </is>
      </c>
    </row>
    <row r="538">
      <c r="A538" t="inlineStr">
        <is>
          <t xml:space="preserve">Angel One Mutual Fund</t>
        </is>
      </c>
      <c r="B538" t="inlineStr">
        <is>
          <t xml:space="preserve">ANGEL ONE NIFTY TOTAL MARKET MOMENTUM QUALITY 50 INDEX FUND - REGULAR GROWTH</t>
        </is>
      </c>
      <c r="C538" t="inlineStr">
        <is>
          <t xml:space="preserve">INF1J2R01130</t>
        </is>
      </c>
    </row>
    <row r="539">
      <c r="A539" t="inlineStr">
        <is>
          <t xml:space="preserve">Angel One Mutual Fund</t>
        </is>
      </c>
      <c r="B539" t="inlineStr">
        <is>
          <t xml:space="preserve">ANGEL ONE SILVER ETF</t>
        </is>
      </c>
      <c r="C539" t="inlineStr">
        <is>
          <t xml:space="preserve">INF1J2R01171</t>
        </is>
      </c>
    </row>
    <row r="540">
      <c r="A540" t="inlineStr">
        <is>
          <t xml:space="preserve">Angel One Mutual Fund</t>
        </is>
      </c>
      <c r="B540" t="inlineStr">
        <is>
          <t xml:space="preserve">ANGEL ONE SILVER ETF FOF -DIRECT GROWTH</t>
        </is>
      </c>
      <c r="C540" t="inlineStr">
        <is>
          <t xml:space="preserve">INF1J2R01155</t>
        </is>
      </c>
    </row>
    <row r="541">
      <c r="A541" t="inlineStr">
        <is>
          <t xml:space="preserve">Angel One Mutual Fund</t>
        </is>
      </c>
      <c r="B541" t="inlineStr">
        <is>
          <t xml:space="preserve">ANGEL ONE SILVER ETF FOF -REGULAR GROWTH</t>
        </is>
      </c>
      <c r="C541" t="inlineStr">
        <is>
          <t xml:space="preserve">INF1J2R01163</t>
        </is>
      </c>
    </row>
    <row r="542">
      <c r="A542" t="inlineStr">
        <is>
          <t xml:space="preserve">Axis Mutual Fund</t>
        </is>
      </c>
      <c r="B542" t="inlineStr">
        <is>
          <t xml:space="preserve">Axis Aggressive Hybrid Fund - Direct Plan - Growth Option</t>
        </is>
      </c>
      <c r="C542" t="inlineStr">
        <is>
          <t xml:space="preserve">INF846K01E25</t>
        </is>
      </c>
    </row>
    <row r="543">
      <c r="A543" t="inlineStr">
        <is>
          <t xml:space="preserve">Axis Mutual Fund</t>
        </is>
      </c>
      <c r="B543" t="inlineStr">
        <is>
          <t xml:space="preserve">Axis Aggressive Hybrid Fund - Direct Plan - Monthly IDCW</t>
        </is>
      </c>
      <c r="C543" t="inlineStr">
        <is>
          <t xml:space="preserve">INF846K01E33</t>
        </is>
      </c>
    </row>
    <row r="544">
      <c r="A544" t="inlineStr">
        <is>
          <t xml:space="preserve">Axis Mutual Fund</t>
        </is>
      </c>
      <c r="B544" t="inlineStr">
        <is>
          <t xml:space="preserve">Axis Aggressive Hybrid Fund - Direct Plan - Quarterly IDCW</t>
        </is>
      </c>
      <c r="C544" t="inlineStr">
        <is>
          <t xml:space="preserve">INF846K01E58</t>
        </is>
      </c>
    </row>
    <row r="545">
      <c r="A545" t="inlineStr">
        <is>
          <t xml:space="preserve">Axis Mutual Fund</t>
        </is>
      </c>
      <c r="B545" t="inlineStr">
        <is>
          <t xml:space="preserve">Axis Aggressive Hybrid Fund - Direct Plan - Regular IDCW</t>
        </is>
      </c>
      <c r="C545" t="inlineStr">
        <is>
          <t xml:space="preserve">INF846K01E09</t>
        </is>
      </c>
    </row>
    <row r="546">
      <c r="A546" t="inlineStr">
        <is>
          <t xml:space="preserve">Axis Mutual Fund</t>
        </is>
      </c>
      <c r="B546" t="inlineStr">
        <is>
          <t xml:space="preserve">Axis Aggressive Hybrid Fund - Regular Plan - Growth Option</t>
        </is>
      </c>
      <c r="C546" t="inlineStr">
        <is>
          <t xml:space="preserve">INF846K01E90</t>
        </is>
      </c>
    </row>
    <row r="547">
      <c r="A547" t="inlineStr">
        <is>
          <t xml:space="preserve">Axis Mutual Fund</t>
        </is>
      </c>
      <c r="B547" t="inlineStr">
        <is>
          <t xml:space="preserve">Axis Aggressive Hybrid Fund - Regular Plan - Monthly IDCW</t>
        </is>
      </c>
      <c r="C547" t="inlineStr">
        <is>
          <t xml:space="preserve">INF846K01F08</t>
        </is>
      </c>
    </row>
    <row r="548">
      <c r="A548" t="inlineStr">
        <is>
          <t xml:space="preserve">Axis Mutual Fund</t>
        </is>
      </c>
      <c r="B548" t="inlineStr">
        <is>
          <t xml:space="preserve">Axis Aggressive Hybrid Fund - Regular Plan - Quarterly IDCW</t>
        </is>
      </c>
      <c r="C548" t="inlineStr">
        <is>
          <t xml:space="preserve">INF846K01F24</t>
        </is>
      </c>
    </row>
    <row r="549">
      <c r="A549" t="inlineStr">
        <is>
          <t xml:space="preserve">Axis Mutual Fund</t>
        </is>
      </c>
      <c r="B549" t="inlineStr">
        <is>
          <t xml:space="preserve">Axis Aggressive Hybrid Fund - Regular Plan - Regular IDCW</t>
        </is>
      </c>
      <c r="C549" t="inlineStr">
        <is>
          <t xml:space="preserve">INF846K01E74</t>
        </is>
      </c>
    </row>
    <row r="550">
      <c r="A550" t="inlineStr">
        <is>
          <t xml:space="preserve">Axis Mutual Fund</t>
        </is>
      </c>
      <c r="B550" t="inlineStr">
        <is>
          <t xml:space="preserve">Axis Arbitrage Fund - Direct Plan - Growth</t>
        </is>
      </c>
      <c r="C550" t="inlineStr">
        <is>
          <t xml:space="preserve">INF846K01PZ1</t>
        </is>
      </c>
    </row>
    <row r="551">
      <c r="A551" t="inlineStr">
        <is>
          <t xml:space="preserve">Axis Mutual Fund</t>
        </is>
      </c>
      <c r="B551" t="inlineStr">
        <is>
          <t xml:space="preserve">Axis Arbitrage Fund - Direct Plan - Monthly IDCW</t>
        </is>
      </c>
      <c r="C551" t="inlineStr">
        <is>
          <t xml:space="preserve">INF846K01QA2</t>
        </is>
      </c>
    </row>
    <row r="552">
      <c r="A552" t="inlineStr">
        <is>
          <t xml:space="preserve">Axis Mutual Fund</t>
        </is>
      </c>
      <c r="B552" t="inlineStr">
        <is>
          <t xml:space="preserve">Axis Arbitrage Fund - Regular Plan - Growth</t>
        </is>
      </c>
      <c r="C552" t="inlineStr">
        <is>
          <t xml:space="preserve">INF846K01QC8</t>
        </is>
      </c>
    </row>
    <row r="553">
      <c r="A553" t="inlineStr">
        <is>
          <t xml:space="preserve">Axis Mutual Fund</t>
        </is>
      </c>
      <c r="B553" t="inlineStr">
        <is>
          <t xml:space="preserve">Axis Arbitrage Fund - Regular Plan - Monthly IDCW</t>
        </is>
      </c>
      <c r="C553" t="inlineStr">
        <is>
          <t xml:space="preserve">INF846K01QD6</t>
        </is>
      </c>
    </row>
    <row r="554">
      <c r="A554" t="inlineStr">
        <is>
          <t xml:space="preserve">Axis Mutual Fund</t>
        </is>
      </c>
      <c r="B554" t="inlineStr">
        <is>
          <t xml:space="preserve">Axis Balanced Advantage Fund - Direct Plan - Growth</t>
        </is>
      </c>
      <c r="C554" t="inlineStr">
        <is>
          <t xml:space="preserve">INF846K01A29</t>
        </is>
      </c>
    </row>
    <row r="555">
      <c r="A555" t="inlineStr">
        <is>
          <t xml:space="preserve">Axis Mutual Fund</t>
        </is>
      </c>
      <c r="B555" t="inlineStr">
        <is>
          <t xml:space="preserve">Axis Balanced Advantage Fund - Direct Plan - IDCW</t>
        </is>
      </c>
      <c r="C555" t="inlineStr">
        <is>
          <t xml:space="preserve">INF846K01A37</t>
        </is>
      </c>
    </row>
    <row r="556">
      <c r="A556" t="inlineStr">
        <is>
          <t xml:space="preserve">Axis Mutual Fund</t>
        </is>
      </c>
      <c r="B556" t="inlineStr">
        <is>
          <t xml:space="preserve">Axis Balanced Advantage Fund - Regular Plan - Growth</t>
        </is>
      </c>
      <c r="C556" t="inlineStr">
        <is>
          <t xml:space="preserve">INF846K01A52</t>
        </is>
      </c>
    </row>
    <row r="557">
      <c r="A557" t="inlineStr">
        <is>
          <t xml:space="preserve">Axis Mutual Fund</t>
        </is>
      </c>
      <c r="B557" t="inlineStr">
        <is>
          <t xml:space="preserve">Axis Balanced Advantage Fund - Regular Plan - IDCW</t>
        </is>
      </c>
      <c r="C557" t="inlineStr">
        <is>
          <t xml:space="preserve">INF846K01A60</t>
        </is>
      </c>
    </row>
    <row r="558">
      <c r="A558" t="inlineStr">
        <is>
          <t xml:space="preserve">Axis Mutual Fund</t>
        </is>
      </c>
      <c r="B558" t="inlineStr">
        <is>
          <t xml:space="preserve">Axis Banking &amp; PSU Debt Fund - Direct Plan - Bonus Option</t>
        </is>
      </c>
      <c r="C558" t="inlineStr">
        <is>
          <t xml:space="preserve">INF846K01NF8</t>
        </is>
      </c>
    </row>
    <row r="559">
      <c r="A559" t="inlineStr">
        <is>
          <t xml:space="preserve">Axis Mutual Fund</t>
        </is>
      </c>
      <c r="B559" t="inlineStr">
        <is>
          <t xml:space="preserve">Axis Banking &amp; PSU Debt Fund - Direct Plan - Daily IDCW</t>
        </is>
      </c>
      <c r="C559" t="inlineStr">
        <is>
          <t xml:space="preserve">INF846K01CU0</t>
        </is>
      </c>
    </row>
    <row r="560">
      <c r="A560" t="inlineStr">
        <is>
          <t xml:space="preserve">Axis Mutual Fund</t>
        </is>
      </c>
      <c r="B560" t="inlineStr">
        <is>
          <t xml:space="preserve">Axis Banking &amp; PSU Debt Fund - Direct Plan - Growth Option</t>
        </is>
      </c>
      <c r="C560" t="inlineStr">
        <is>
          <t xml:space="preserve">INF846K01CR6</t>
        </is>
      </c>
    </row>
    <row r="561">
      <c r="A561" t="inlineStr">
        <is>
          <t xml:space="preserve">Axis Mutual Fund</t>
        </is>
      </c>
      <c r="B561" t="inlineStr">
        <is>
          <t xml:space="preserve">Axis Banking &amp; PSU Debt Fund - Direct Plan - Monthly IDCW</t>
        </is>
      </c>
      <c r="C561" t="inlineStr">
        <is>
          <t xml:space="preserve">INF846K01CT2</t>
        </is>
      </c>
    </row>
    <row r="562">
      <c r="A562" t="inlineStr">
        <is>
          <t xml:space="preserve">Axis Mutual Fund</t>
        </is>
      </c>
      <c r="B562" t="inlineStr">
        <is>
          <t xml:space="preserve">Axis Banking &amp; PSU Debt Fund - Direct Plan - Weekly IDCW</t>
        </is>
      </c>
      <c r="C562" t="inlineStr">
        <is>
          <t xml:space="preserve">INF846K01CV8</t>
        </is>
      </c>
    </row>
    <row r="563">
      <c r="A563" t="inlineStr">
        <is>
          <t xml:space="preserve">Axis Mutual Fund</t>
        </is>
      </c>
      <c r="B563" t="inlineStr">
        <is>
          <t xml:space="preserve">Axis Banking &amp; PSU Debt Fund - Regular Plan - Bonus Option</t>
        </is>
      </c>
      <c r="C563" t="inlineStr">
        <is>
          <t xml:space="preserve">INF846K01NG6</t>
        </is>
      </c>
    </row>
    <row r="564">
      <c r="A564" t="inlineStr">
        <is>
          <t xml:space="preserve">Axis Mutual Fund</t>
        </is>
      </c>
      <c r="B564" t="inlineStr">
        <is>
          <t xml:space="preserve">Axis Banking &amp; PSU Debt Fund - Regular Plan - Daily IDCW</t>
        </is>
      </c>
      <c r="C564" t="inlineStr">
        <is>
          <t xml:space="preserve">INF846K01CC8</t>
        </is>
      </c>
    </row>
    <row r="565">
      <c r="A565" t="inlineStr">
        <is>
          <t xml:space="preserve">Axis Mutual Fund</t>
        </is>
      </c>
      <c r="B565" t="inlineStr">
        <is>
          <t xml:space="preserve">Axis Banking &amp; PSU Debt Fund - Regular Plan - Growth option</t>
        </is>
      </c>
      <c r="C565" t="inlineStr">
        <is>
          <t xml:space="preserve">INF846K01CB0</t>
        </is>
      </c>
    </row>
    <row r="566">
      <c r="A566" t="inlineStr">
        <is>
          <t xml:space="preserve">Axis Mutual Fund</t>
        </is>
      </c>
      <c r="B566" t="inlineStr">
        <is>
          <t xml:space="preserve">Axis Banking &amp; PSU Debt Fund - Regular Plan - Monthly IDCW</t>
        </is>
      </c>
      <c r="C566" t="inlineStr">
        <is>
          <t xml:space="preserve">INF846K01CF1</t>
        </is>
      </c>
    </row>
    <row r="567">
      <c r="A567" t="inlineStr">
        <is>
          <t xml:space="preserve">Axis Mutual Fund</t>
        </is>
      </c>
      <c r="B567" t="inlineStr">
        <is>
          <t xml:space="preserve">Axis Banking &amp; PSU Debt Fund - Regular Plan - Weekly IDCW</t>
        </is>
      </c>
      <c r="C567" t="inlineStr">
        <is>
          <t xml:space="preserve">INF846K01CD6</t>
        </is>
      </c>
    </row>
    <row r="568">
      <c r="A568" t="inlineStr">
        <is>
          <t xml:space="preserve">Axis Mutual Fund</t>
        </is>
      </c>
      <c r="B568" t="inlineStr">
        <is>
          <t xml:space="preserve">Axis BSE India Sectors Leaders Index Fund- Direct Plan- Growth Option</t>
        </is>
      </c>
      <c r="C568" t="inlineStr">
        <is>
          <t xml:space="preserve">INF846KA1424</t>
        </is>
      </c>
    </row>
    <row r="569">
      <c r="A569" t="inlineStr">
        <is>
          <t xml:space="preserve">Axis Mutual Fund</t>
        </is>
      </c>
      <c r="B569" t="inlineStr">
        <is>
          <t xml:space="preserve">Axis BSE India Sectors Leaders Index Fund- Regular Plan- Growth Option</t>
        </is>
      </c>
      <c r="C569" t="inlineStr">
        <is>
          <t xml:space="preserve">INF846KA1416</t>
        </is>
      </c>
    </row>
    <row r="570">
      <c r="A570" t="inlineStr">
        <is>
          <t xml:space="preserve">Axis Mutual Fund</t>
        </is>
      </c>
      <c r="B570" t="inlineStr">
        <is>
          <t xml:space="preserve">Axis BSE Sensex ETF</t>
        </is>
      </c>
      <c r="C570" t="inlineStr">
        <is>
          <t xml:space="preserve">INF846K010Q0</t>
        </is>
      </c>
    </row>
    <row r="571">
      <c r="A571" t="inlineStr">
        <is>
          <t xml:space="preserve">Axis Mutual Fund</t>
        </is>
      </c>
      <c r="B571" t="inlineStr">
        <is>
          <t xml:space="preserve">Axis BSE Sensex Index Fund - Direct Plan - Growth</t>
        </is>
      </c>
      <c r="C571" t="inlineStr">
        <is>
          <t xml:space="preserve">INF846K012V6</t>
        </is>
      </c>
    </row>
    <row r="572">
      <c r="A572" t="inlineStr">
        <is>
          <t xml:space="preserve">Axis Mutual Fund</t>
        </is>
      </c>
      <c r="B572" t="inlineStr">
        <is>
          <t xml:space="preserve">Axis BSE Sensex Index Fund - Direct Plan - IDCW</t>
        </is>
      </c>
      <c r="C572" t="inlineStr">
        <is>
          <t xml:space="preserve">INF846K013V4</t>
        </is>
      </c>
    </row>
    <row r="573">
      <c r="A573" t="inlineStr">
        <is>
          <t xml:space="preserve">Axis Mutual Fund</t>
        </is>
      </c>
      <c r="B573" t="inlineStr">
        <is>
          <t xml:space="preserve">Axis BSE Sensex Index Fund - Regular Plan - Growth</t>
        </is>
      </c>
      <c r="C573" t="inlineStr">
        <is>
          <t xml:space="preserve">INF846K014V2</t>
        </is>
      </c>
    </row>
    <row r="574">
      <c r="A574" t="inlineStr">
        <is>
          <t xml:space="preserve">Axis Mutual Fund</t>
        </is>
      </c>
      <c r="B574" t="inlineStr">
        <is>
          <t xml:space="preserve">Axis BSE Sensex Index Fund - Regular Plan - IDCW</t>
        </is>
      </c>
      <c r="C574" t="inlineStr">
        <is>
          <t xml:space="preserve">INF846K010V0</t>
        </is>
      </c>
    </row>
    <row r="575">
      <c r="A575" t="inlineStr">
        <is>
          <t xml:space="preserve">Axis Mutual Fund</t>
        </is>
      </c>
      <c r="B575" t="inlineStr">
        <is>
          <t xml:space="preserve">Axis Business Cycles Fund - Direct Plan - Growth</t>
        </is>
      </c>
      <c r="C575" t="inlineStr">
        <is>
          <t xml:space="preserve">INF846K016N4</t>
        </is>
      </c>
    </row>
    <row r="576">
      <c r="A576" t="inlineStr">
        <is>
          <t xml:space="preserve">Axis Mutual Fund</t>
        </is>
      </c>
      <c r="B576" t="inlineStr">
        <is>
          <t xml:space="preserve">Axis Business Cycles Fund - Direct Plan - IDCW</t>
        </is>
      </c>
      <c r="C576" t="inlineStr">
        <is>
          <t xml:space="preserve">INF846K017N2</t>
        </is>
      </c>
    </row>
    <row r="577">
      <c r="A577" t="inlineStr">
        <is>
          <t xml:space="preserve">Axis Mutual Fund</t>
        </is>
      </c>
      <c r="B577" t="inlineStr">
        <is>
          <t xml:space="preserve">Axis Business Cycles Fund - Regular Plan - Growth</t>
        </is>
      </c>
      <c r="C577" t="inlineStr">
        <is>
          <t xml:space="preserve">INF846K019N8</t>
        </is>
      </c>
    </row>
    <row r="578">
      <c r="A578" t="inlineStr">
        <is>
          <t xml:space="preserve">Axis Mutual Fund</t>
        </is>
      </c>
      <c r="B578" t="inlineStr">
        <is>
          <t xml:space="preserve">Axis Business Cycles Fund - Regular Plan - IDCW</t>
        </is>
      </c>
      <c r="C578" t="inlineStr">
        <is>
          <t xml:space="preserve">INF846K010O5</t>
        </is>
      </c>
    </row>
    <row r="579">
      <c r="A579" t="inlineStr">
        <is>
          <t xml:space="preserve">Axis Mutual Fund</t>
        </is>
      </c>
      <c r="B579" t="inlineStr">
        <is>
          <t xml:space="preserve">Axis Children's Fund - Lock in - Direct Growth</t>
        </is>
      </c>
      <c r="C579" t="inlineStr">
        <is>
          <t xml:space="preserve">INF846K01WO1</t>
        </is>
      </c>
    </row>
    <row r="580">
      <c r="A580" t="inlineStr">
        <is>
          <t xml:space="preserve">Axis Mutual Fund</t>
        </is>
      </c>
      <c r="B580" t="inlineStr">
        <is>
          <t xml:space="preserve">Axis Children's Fund - Lock in - Direct Plan - IDCW</t>
        </is>
      </c>
      <c r="C580" t="inlineStr">
        <is>
          <t xml:space="preserve">INF846K01WP8</t>
        </is>
      </c>
    </row>
    <row r="581">
      <c r="A581" t="inlineStr">
        <is>
          <t xml:space="preserve">Axis Mutual Fund</t>
        </is>
      </c>
      <c r="B581" t="inlineStr">
        <is>
          <t xml:space="preserve">Axis Children's Fund - Lock in - Regular Growth</t>
        </is>
      </c>
      <c r="C581" t="inlineStr">
        <is>
          <t xml:space="preserve">INF846K01WJ1</t>
        </is>
      </c>
    </row>
    <row r="582">
      <c r="A582" t="inlineStr">
        <is>
          <t xml:space="preserve">Axis Mutual Fund</t>
        </is>
      </c>
      <c r="B582" t="inlineStr">
        <is>
          <t xml:space="preserve">Axis Children's Fund - Lock in - Regular Plan - IDCW</t>
        </is>
      </c>
      <c r="C582" t="inlineStr">
        <is>
          <t xml:space="preserve">INF846K01WK9</t>
        </is>
      </c>
    </row>
    <row r="583">
      <c r="A583" t="inlineStr">
        <is>
          <t xml:space="preserve">Axis Mutual Fund</t>
        </is>
      </c>
      <c r="B583" t="inlineStr">
        <is>
          <t xml:space="preserve">Axis Children's Fund - No Lock in - Direct Growth</t>
        </is>
      </c>
      <c r="C583" t="inlineStr">
        <is>
          <t xml:space="preserve">INF846K01WR4</t>
        </is>
      </c>
    </row>
    <row r="584">
      <c r="A584" t="inlineStr">
        <is>
          <t xml:space="preserve">Axis Mutual Fund</t>
        </is>
      </c>
      <c r="B584" t="inlineStr">
        <is>
          <t xml:space="preserve">Axis Children's Fund - No Lock in - Direct Plan - IDCW</t>
        </is>
      </c>
      <c r="C584" t="inlineStr">
        <is>
          <t xml:space="preserve">INF846K01WS2</t>
        </is>
      </c>
    </row>
    <row r="585">
      <c r="A585" t="inlineStr">
        <is>
          <t xml:space="preserve">Axis Mutual Fund</t>
        </is>
      </c>
      <c r="B585" t="inlineStr">
        <is>
          <t xml:space="preserve">Axis Children's Fund - No Lock in - Regular Plan - Growth</t>
        </is>
      </c>
      <c r="C585" t="inlineStr">
        <is>
          <t xml:space="preserve">INF846K01WM5</t>
        </is>
      </c>
    </row>
    <row r="586">
      <c r="A586" t="inlineStr">
        <is>
          <t xml:space="preserve">Axis Mutual Fund</t>
        </is>
      </c>
      <c r="B586" t="inlineStr">
        <is>
          <t xml:space="preserve">Axis Children's Fund - No Lock in - Regular Plan - IDCW</t>
        </is>
      </c>
      <c r="C586" t="inlineStr">
        <is>
          <t xml:space="preserve">INF846K01WN3</t>
        </is>
      </c>
    </row>
    <row r="587">
      <c r="A587" t="inlineStr">
        <is>
          <t xml:space="preserve">Axis Mutual Fund</t>
        </is>
      </c>
      <c r="B587" t="inlineStr">
        <is>
          <t xml:space="preserve">Axis Conservative Hybrid Fund - Direct Plan - Annual IDCW</t>
        </is>
      </c>
      <c r="C587" t="inlineStr">
        <is>
          <t xml:space="preserve">INF846K01DY0</t>
        </is>
      </c>
    </row>
    <row r="588">
      <c r="A588" t="inlineStr">
        <is>
          <t xml:space="preserve">Axis Mutual Fund</t>
        </is>
      </c>
      <c r="B588" t="inlineStr">
        <is>
          <t xml:space="preserve">Axis Conservative Hybrid Fund - Direct Plan - Growth Option</t>
        </is>
      </c>
      <c r="C588" t="inlineStr">
        <is>
          <t xml:space="preserve">INF846K01EA8</t>
        </is>
      </c>
    </row>
    <row r="589">
      <c r="A589" t="inlineStr">
        <is>
          <t xml:space="preserve">Axis Mutual Fund</t>
        </is>
      </c>
      <c r="B589" t="inlineStr">
        <is>
          <t xml:space="preserve">Axis Conservative Hybrid Fund - Direct Plan - Half Yearly</t>
        </is>
      </c>
      <c r="C589" t="inlineStr">
        <is>
          <t xml:space="preserve">INF846K01EB6</t>
        </is>
      </c>
    </row>
    <row r="590">
      <c r="A590" t="inlineStr">
        <is>
          <t xml:space="preserve">Axis Mutual Fund</t>
        </is>
      </c>
      <c r="B590" t="inlineStr">
        <is>
          <t xml:space="preserve">Axis Conservative Hybrid Fund - Direct Plan - Quarterly</t>
        </is>
      </c>
      <c r="C590" t="inlineStr">
        <is>
          <t xml:space="preserve">INF846K01ED2</t>
        </is>
      </c>
    </row>
    <row r="591">
      <c r="A591" t="inlineStr">
        <is>
          <t xml:space="preserve">Axis Mutual Fund</t>
        </is>
      </c>
      <c r="B591" t="inlineStr">
        <is>
          <t xml:space="preserve">Axis Conservative Hybrid Fund - Regular Plan - Annual IDCW</t>
        </is>
      </c>
      <c r="C591" t="inlineStr">
        <is>
          <t xml:space="preserve">INF846K01743</t>
        </is>
      </c>
    </row>
    <row r="592">
      <c r="A592" t="inlineStr">
        <is>
          <t xml:space="preserve">Axis Mutual Fund</t>
        </is>
      </c>
      <c r="B592" t="inlineStr">
        <is>
          <t xml:space="preserve">Axis Conservative Hybrid Fund - Regular Plan - Growth Option</t>
        </is>
      </c>
      <c r="C592" t="inlineStr">
        <is>
          <t xml:space="preserve">INF846K01693</t>
        </is>
      </c>
    </row>
    <row r="593">
      <c r="A593" t="inlineStr">
        <is>
          <t xml:space="preserve">Axis Mutual Fund</t>
        </is>
      </c>
      <c r="B593" t="inlineStr">
        <is>
          <t xml:space="preserve">Axis Conservative Hybrid Fund - Regular Plan - Half Yearly IDCW</t>
        </is>
      </c>
      <c r="C593" t="inlineStr">
        <is>
          <t xml:space="preserve">INF846K01727</t>
        </is>
      </c>
    </row>
    <row r="594">
      <c r="A594" t="inlineStr">
        <is>
          <t xml:space="preserve">Axis Mutual Fund</t>
        </is>
      </c>
      <c r="B594" t="inlineStr">
        <is>
          <t xml:space="preserve">Axis Conservative Hybrid Fund - Regular Plan - Quarterly IDCW</t>
        </is>
      </c>
      <c r="C594" t="inlineStr">
        <is>
          <t xml:space="preserve">INF846K01701</t>
        </is>
      </c>
    </row>
    <row r="595">
      <c r="A595" t="inlineStr">
        <is>
          <t xml:space="preserve">Axis Mutual Fund</t>
        </is>
      </c>
      <c r="B595" t="inlineStr">
        <is>
          <t xml:space="preserve">Axis Consumption Fund Direct Plan - Growth</t>
        </is>
      </c>
      <c r="C595" t="inlineStr">
        <is>
          <t xml:space="preserve">INF846K013X0</t>
        </is>
      </c>
    </row>
    <row r="596">
      <c r="A596" t="inlineStr">
        <is>
          <t xml:space="preserve">Axis Mutual Fund</t>
        </is>
      </c>
      <c r="B596" t="inlineStr">
        <is>
          <t xml:space="preserve">Axis Consumption Fund Direct Plan - IDCW</t>
        </is>
      </c>
      <c r="C596" t="inlineStr">
        <is>
          <t xml:space="preserve">INF846K014X8</t>
        </is>
      </c>
    </row>
    <row r="597">
      <c r="A597" t="inlineStr">
        <is>
          <t xml:space="preserve">Axis Mutual Fund</t>
        </is>
      </c>
      <c r="B597" t="inlineStr">
        <is>
          <t xml:space="preserve">Axis Consumption Fund Regular Plan - Growth</t>
        </is>
      </c>
      <c r="C597" t="inlineStr">
        <is>
          <t xml:space="preserve">INF846K010X6</t>
        </is>
      </c>
    </row>
    <row r="598">
      <c r="A598" t="inlineStr">
        <is>
          <t xml:space="preserve">Axis Mutual Fund</t>
        </is>
      </c>
      <c r="B598" t="inlineStr">
        <is>
          <t xml:space="preserve">Axis Consumption Fund Regular Plan - IDCW</t>
        </is>
      </c>
      <c r="C598" t="inlineStr">
        <is>
          <t xml:space="preserve">INF846K011X4</t>
        </is>
      </c>
    </row>
    <row r="599">
      <c r="A599" t="inlineStr">
        <is>
          <t xml:space="preserve">Axis Mutual Fund</t>
        </is>
      </c>
      <c r="B599" t="inlineStr">
        <is>
          <t xml:space="preserve">Axis Corporate Bond Fund - Direct Plan - Daily IDCW</t>
        </is>
      </c>
      <c r="C599" t="inlineStr">
        <is>
          <t xml:space="preserve">INF846K01ZN6</t>
        </is>
      </c>
    </row>
    <row r="600">
      <c r="A600" t="inlineStr">
        <is>
          <t xml:space="preserve">Axis Mutual Fund</t>
        </is>
      </c>
      <c r="B600" t="inlineStr">
        <is>
          <t xml:space="preserve">Axis Corporate Bond Fund - Direct Plan - Monthly IDCW</t>
        </is>
      </c>
      <c r="C600" t="inlineStr">
        <is>
          <t xml:space="preserve">INF846K01ZQ9</t>
        </is>
      </c>
    </row>
    <row r="601">
      <c r="A601" t="inlineStr">
        <is>
          <t xml:space="preserve">Axis Mutual Fund</t>
        </is>
      </c>
      <c r="B601" t="inlineStr">
        <is>
          <t xml:space="preserve">Axis Corporate Bond Fund - Direct Plan - Regular IDCW</t>
        </is>
      </c>
      <c r="C601" t="inlineStr">
        <is>
          <t xml:space="preserve">INF846K01ZS5</t>
        </is>
      </c>
    </row>
    <row r="602">
      <c r="A602" t="inlineStr">
        <is>
          <t xml:space="preserve">Axis Mutual Fund</t>
        </is>
      </c>
      <c r="B602" t="inlineStr">
        <is>
          <t xml:space="preserve">Axis Corporate Bond Fund - Direct Plan - Weekly IDCW</t>
        </is>
      </c>
      <c r="C602" t="inlineStr">
        <is>
          <t xml:space="preserve">INF846K01ZO4</t>
        </is>
      </c>
    </row>
    <row r="603">
      <c r="A603" t="inlineStr">
        <is>
          <t xml:space="preserve">Axis Mutual Fund</t>
        </is>
      </c>
      <c r="B603" t="inlineStr">
        <is>
          <t xml:space="preserve">Axis Corporate Bond Fund - Direct Plan Growth</t>
        </is>
      </c>
      <c r="C603" t="inlineStr">
        <is>
          <t xml:space="preserve">INF846K01ZM8</t>
        </is>
      </c>
    </row>
    <row r="604">
      <c r="A604" t="inlineStr">
        <is>
          <t xml:space="preserve">Axis Mutual Fund</t>
        </is>
      </c>
      <c r="B604" t="inlineStr">
        <is>
          <t xml:space="preserve">Axis Corporate Bond Fund - Regular Plan - Daily IDCW</t>
        </is>
      </c>
      <c r="C604" t="inlineStr">
        <is>
          <t xml:space="preserve">INF846K01ZV9</t>
        </is>
      </c>
    </row>
    <row r="605">
      <c r="A605" t="inlineStr">
        <is>
          <t xml:space="preserve">Axis Mutual Fund</t>
        </is>
      </c>
      <c r="B605" t="inlineStr">
        <is>
          <t xml:space="preserve">Axis Corporate Bond Fund - Regular Plan - Monthly IDCW</t>
        </is>
      </c>
      <c r="C605" t="inlineStr">
        <is>
          <t xml:space="preserve">INF846K01ZY3</t>
        </is>
      </c>
    </row>
    <row r="606">
      <c r="A606" t="inlineStr">
        <is>
          <t xml:space="preserve">Axis Mutual Fund</t>
        </is>
      </c>
      <c r="B606" t="inlineStr">
        <is>
          <t xml:space="preserve">Axis Corporate Bond Fund - Regular Plan - Regular IDCW</t>
        </is>
      </c>
      <c r="C606" t="inlineStr">
        <is>
          <t xml:space="preserve">INF846K01A03</t>
        </is>
      </c>
    </row>
    <row r="607">
      <c r="A607" t="inlineStr">
        <is>
          <t xml:space="preserve">Axis Mutual Fund</t>
        </is>
      </c>
      <c r="B607" t="inlineStr">
        <is>
          <t xml:space="preserve">Axis Corporate Bond Fund - Regular Plan - Weekly IDCW</t>
        </is>
      </c>
      <c r="C607" t="inlineStr">
        <is>
          <t xml:space="preserve">INF846K01ZW7</t>
        </is>
      </c>
    </row>
    <row r="608">
      <c r="A608" t="inlineStr">
        <is>
          <t xml:space="preserve">Axis Mutual Fund</t>
        </is>
      </c>
      <c r="B608" t="inlineStr">
        <is>
          <t xml:space="preserve">Axis Corporate Bond Fund - Regular Plan Growth</t>
        </is>
      </c>
      <c r="C608" t="inlineStr">
        <is>
          <t xml:space="preserve">INF846K01ZU1</t>
        </is>
      </c>
    </row>
    <row r="609">
      <c r="A609" t="inlineStr">
        <is>
          <t xml:space="preserve">Axis Mutual Fund</t>
        </is>
      </c>
      <c r="B609" t="inlineStr">
        <is>
          <t xml:space="preserve">Axis Credit Risk Fund - Direct Plan - Growth</t>
        </is>
      </c>
      <c r="C609" t="inlineStr">
        <is>
          <t xml:space="preserve">INF846K01PJ5</t>
        </is>
      </c>
    </row>
    <row r="610">
      <c r="A610" t="inlineStr">
        <is>
          <t xml:space="preserve">Axis Mutual Fund</t>
        </is>
      </c>
      <c r="B610" t="inlineStr">
        <is>
          <t xml:space="preserve">Axis Credit Risk Fund - Direct Plan - Monthly IDCW</t>
        </is>
      </c>
      <c r="C610" t="inlineStr">
        <is>
          <t xml:space="preserve">INF846K01PM9</t>
        </is>
      </c>
    </row>
    <row r="611">
      <c r="A611" t="inlineStr">
        <is>
          <t xml:space="preserve">Axis Mutual Fund</t>
        </is>
      </c>
      <c r="B611" t="inlineStr">
        <is>
          <t xml:space="preserve">Axis Credit Risk Fund - Direct Plan - Weekly IDCW</t>
        </is>
      </c>
      <c r="C611" t="inlineStr">
        <is>
          <t xml:space="preserve">INF846K01PK3</t>
        </is>
      </c>
    </row>
    <row r="612">
      <c r="A612" t="inlineStr">
        <is>
          <t xml:space="preserve">Axis Mutual Fund</t>
        </is>
      </c>
      <c r="B612" t="inlineStr">
        <is>
          <t xml:space="preserve">Axis Credit Risk Fund - Regular Plan - Growth</t>
        </is>
      </c>
      <c r="C612" t="inlineStr">
        <is>
          <t xml:space="preserve">INF846K01PO5</t>
        </is>
      </c>
    </row>
    <row r="613">
      <c r="A613" t="inlineStr">
        <is>
          <t xml:space="preserve">Axis Mutual Fund</t>
        </is>
      </c>
      <c r="B613" t="inlineStr">
        <is>
          <t xml:space="preserve">Axis Credit Risk Fund - Regular Plan - Monthly IDCW</t>
        </is>
      </c>
      <c r="C613" t="inlineStr">
        <is>
          <t xml:space="preserve">INF846K01PR8</t>
        </is>
      </c>
    </row>
    <row r="614">
      <c r="A614" t="inlineStr">
        <is>
          <t xml:space="preserve">Axis Mutual Fund</t>
        </is>
      </c>
      <c r="B614" t="inlineStr">
        <is>
          <t xml:space="preserve">Axis Credit Risk Fund - Regular Plan - Weekly IDCW</t>
        </is>
      </c>
      <c r="C614" t="inlineStr">
        <is>
          <t xml:space="preserve">INF846K01PP2</t>
        </is>
      </c>
    </row>
    <row r="615">
      <c r="A615" t="inlineStr">
        <is>
          <t xml:space="preserve">Axis Mutual Fund</t>
        </is>
      </c>
      <c r="B615" t="inlineStr">
        <is>
          <t xml:space="preserve">Axis CRISIL IBX 50:50 Gilt Plus SDL June 2028 Index Fund - Direct Plan - Growth</t>
        </is>
      </c>
      <c r="C615" t="inlineStr">
        <is>
          <t xml:space="preserve">INF846K010N7</t>
        </is>
      </c>
    </row>
    <row r="616">
      <c r="A616" t="inlineStr">
        <is>
          <t xml:space="preserve">Axis Mutual Fund</t>
        </is>
      </c>
      <c r="B616" t="inlineStr">
        <is>
          <t xml:space="preserve">Axis CRISIL IBX 50:50 Gilt Plus SDL June 2028 Index Fund - Direct Plan - IDCW</t>
        </is>
      </c>
      <c r="C616" t="inlineStr">
        <is>
          <t xml:space="preserve">INF846K011N5</t>
        </is>
      </c>
    </row>
    <row r="617">
      <c r="A617" t="inlineStr">
        <is>
          <t xml:space="preserve">Axis Mutual Fund</t>
        </is>
      </c>
      <c r="B617" t="inlineStr">
        <is>
          <t xml:space="preserve">Axis CRISIL IBX 50:50 Gilt Plus SDL June 2028 Index Fund - Regular Plan - Growth</t>
        </is>
      </c>
      <c r="C617" t="inlineStr">
        <is>
          <t xml:space="preserve">INF846K013N1</t>
        </is>
      </c>
    </row>
    <row r="618">
      <c r="A618" t="inlineStr">
        <is>
          <t xml:space="preserve">Axis Mutual Fund</t>
        </is>
      </c>
      <c r="B618" t="inlineStr">
        <is>
          <t xml:space="preserve">Axis CRISIL IBX 50:50 Gilt Plus SDL June 2028 Index Fund - Regular Plan - IDCW</t>
        </is>
      </c>
      <c r="C618" t="inlineStr">
        <is>
          <t xml:space="preserve">INF846K014N9</t>
        </is>
      </c>
    </row>
    <row r="619">
      <c r="A619" t="inlineStr">
        <is>
          <t xml:space="preserve">Axis Mutual Fund</t>
        </is>
      </c>
      <c r="B619" t="inlineStr">
        <is>
          <t xml:space="preserve">AXIS CRISIL IBX 50:50 Gilt Plus SDL September 2027 Index Fund- DIRECT PLAN- IDCW</t>
        </is>
      </c>
      <c r="C619" t="inlineStr">
        <is>
          <t xml:space="preserve">INF846K013O9</t>
        </is>
      </c>
    </row>
    <row r="620">
      <c r="A620" t="inlineStr">
        <is>
          <t xml:space="preserve">Axis Mutual Fund</t>
        </is>
      </c>
      <c r="B620" t="inlineStr">
        <is>
          <t xml:space="preserve">AXIS CRISIL IBX 50:50 Gilt Plus SDL September 2027 Index Fund- DIRECT PLAN-GROWTH</t>
        </is>
      </c>
      <c r="C620" t="inlineStr">
        <is>
          <t xml:space="preserve">INF846K012O1</t>
        </is>
      </c>
    </row>
    <row r="621">
      <c r="A621" t="inlineStr">
        <is>
          <t xml:space="preserve">Axis Mutual Fund</t>
        </is>
      </c>
      <c r="B621" t="inlineStr">
        <is>
          <t xml:space="preserve">AXIS CRISIL IBX 50:50 Gilt Plus SDL September 2027 Index Fund- REGULAR PLAN-GROWTH</t>
        </is>
      </c>
      <c r="C621" t="inlineStr">
        <is>
          <t xml:space="preserve">INF846K015O4</t>
        </is>
      </c>
    </row>
    <row r="622">
      <c r="A622" t="inlineStr">
        <is>
          <t xml:space="preserve">Axis Mutual Fund</t>
        </is>
      </c>
      <c r="B622" t="inlineStr">
        <is>
          <t xml:space="preserve">AXIS CRISIL IBX 50:50 Gilt Plus SDL September 2027 Index Fund- REGULAR PLAN-IDCW</t>
        </is>
      </c>
      <c r="C622" t="inlineStr">
        <is>
          <t xml:space="preserve">INF846K016O2</t>
        </is>
      </c>
    </row>
    <row r="623">
      <c r="A623" t="inlineStr">
        <is>
          <t xml:space="preserve">Axis Mutual Fund</t>
        </is>
      </c>
      <c r="B623" t="inlineStr">
        <is>
          <t xml:space="preserve">Axis CRISIL IBX SDL May 2027 Index Fund - Direct Plan - Growth</t>
        </is>
      </c>
      <c r="C623" t="inlineStr">
        <is>
          <t xml:space="preserve">INF846K017G6</t>
        </is>
      </c>
    </row>
    <row r="624">
      <c r="A624" t="inlineStr">
        <is>
          <t xml:space="preserve">Axis Mutual Fund</t>
        </is>
      </c>
      <c r="B624" t="inlineStr">
        <is>
          <t xml:space="preserve">Axis CRISIL IBX SDL May 2027 Index Fund - Direct Plan - IDCW</t>
        </is>
      </c>
      <c r="C624" t="inlineStr">
        <is>
          <t xml:space="preserve">INF846K018G4</t>
        </is>
      </c>
    </row>
    <row r="625">
      <c r="A625" t="inlineStr">
        <is>
          <t xml:space="preserve">Axis Mutual Fund</t>
        </is>
      </c>
      <c r="B625" t="inlineStr">
        <is>
          <t xml:space="preserve">Axis CRISIL IBX SDL May 2027 Index Fund - Regular Plan - Growth</t>
        </is>
      </c>
      <c r="C625" t="inlineStr">
        <is>
          <t xml:space="preserve">INF846K010H9</t>
        </is>
      </c>
    </row>
    <row r="626">
      <c r="A626" t="inlineStr">
        <is>
          <t xml:space="preserve">Axis Mutual Fund</t>
        </is>
      </c>
      <c r="B626" t="inlineStr">
        <is>
          <t xml:space="preserve">Axis CRISIL IBX SDL May 2027 Index Fund - Regular Plan - IDCW</t>
        </is>
      </c>
      <c r="C626" t="inlineStr">
        <is>
          <t xml:space="preserve">INF846K011H7</t>
        </is>
      </c>
    </row>
    <row r="627">
      <c r="A627" t="inlineStr">
        <is>
          <t xml:space="preserve">Axis Mutual Fund</t>
        </is>
      </c>
      <c r="B627" t="inlineStr">
        <is>
          <t xml:space="preserve">Axis CRISIL-IBX AAA Bond Financial Services - Sep 2027 Index Fund - Direct Plan - Growth Option</t>
        </is>
      </c>
      <c r="C627" t="inlineStr">
        <is>
          <t xml:space="preserve">INF846K015Y3</t>
        </is>
      </c>
    </row>
    <row r="628">
      <c r="A628" t="inlineStr">
        <is>
          <t xml:space="preserve">Axis Mutual Fund</t>
        </is>
      </c>
      <c r="B628" t="inlineStr">
        <is>
          <t xml:space="preserve">Axis CRISIL-IBX AAA Bond Financial Services - Sep 2027 Index Fund - Direct Plan - IDCW Option</t>
        </is>
      </c>
      <c r="C628" t="inlineStr">
        <is>
          <t xml:space="preserve">INF846K017Y9</t>
        </is>
      </c>
    </row>
    <row r="629">
      <c r="A629" t="inlineStr">
        <is>
          <t xml:space="preserve">Axis Mutual Fund</t>
        </is>
      </c>
      <c r="B629" t="inlineStr">
        <is>
          <t xml:space="preserve">Axis CRISIL-IBX AAA Bond Financial Services - Sep 2027 Index Fund - Regular Plan - Growth Option</t>
        </is>
      </c>
      <c r="C629" t="inlineStr">
        <is>
          <t xml:space="preserve">INF846K014Y6</t>
        </is>
      </c>
    </row>
    <row r="630">
      <c r="A630" t="inlineStr">
        <is>
          <t xml:space="preserve">Axis Mutual Fund</t>
        </is>
      </c>
      <c r="B630" t="inlineStr">
        <is>
          <t xml:space="preserve">Axis CRISIL-IBX AAA Bond Financial Services - Sep 2027 Index Fund - Regular Plan - IDCW Option</t>
        </is>
      </c>
      <c r="C630" t="inlineStr">
        <is>
          <t xml:space="preserve">INF846K016Y1</t>
        </is>
      </c>
    </row>
    <row r="631">
      <c r="A631" t="inlineStr">
        <is>
          <t xml:space="preserve">Axis Mutual Fund</t>
        </is>
      </c>
      <c r="B631" t="inlineStr">
        <is>
          <t xml:space="preserve">Axis CRISIL-IBX AAA Bond NBFC - Jun 2027 Index Fund - Direct Plan - Growth Option</t>
        </is>
      </c>
      <c r="C631" t="inlineStr">
        <is>
          <t xml:space="preserve">INF846K017X1</t>
        </is>
      </c>
    </row>
    <row r="632">
      <c r="A632" t="inlineStr">
        <is>
          <t xml:space="preserve">Axis Mutual Fund</t>
        </is>
      </c>
      <c r="B632" t="inlineStr">
        <is>
          <t xml:space="preserve">Axis CRISIL-IBX AAA Bond NBFC - Jun 2027 Index Fund - Direct Plan - IDCW Option</t>
        </is>
      </c>
      <c r="C632" t="inlineStr">
        <is>
          <t xml:space="preserve">INF846K019X7</t>
        </is>
      </c>
    </row>
    <row r="633">
      <c r="A633" t="inlineStr">
        <is>
          <t xml:space="preserve">Axis Mutual Fund</t>
        </is>
      </c>
      <c r="B633" t="inlineStr">
        <is>
          <t xml:space="preserve">Axis CRISIL-IBX AAA Bond NBFC - Jun 2027 Index Fund - Regular Plan - Growth Option</t>
        </is>
      </c>
      <c r="C633" t="inlineStr">
        <is>
          <t xml:space="preserve">INF846K016X3</t>
        </is>
      </c>
    </row>
    <row r="634">
      <c r="A634" t="inlineStr">
        <is>
          <t xml:space="preserve">Axis Mutual Fund</t>
        </is>
      </c>
      <c r="B634" t="inlineStr">
        <is>
          <t xml:space="preserve">Axis CRISIL-IBX AAA Bond NBFC - Jun 2027 Index Fund - Regular Plan - IDCW Option</t>
        </is>
      </c>
      <c r="C634" t="inlineStr">
        <is>
          <t xml:space="preserve">INF846K018X9</t>
        </is>
      </c>
    </row>
    <row r="635">
      <c r="A635" t="inlineStr">
        <is>
          <t xml:space="preserve">Axis Mutual Fund</t>
        </is>
      </c>
      <c r="B635" t="inlineStr">
        <is>
          <t xml:space="preserve">Axis CRISIL-IBX AAA Bond NBFC-HFC - Jun 2027 Index Fund - Direct Plan - Growth option</t>
        </is>
      </c>
      <c r="C635" t="inlineStr">
        <is>
          <t xml:space="preserve">INF846KA1028</t>
        </is>
      </c>
    </row>
    <row r="636">
      <c r="A636" t="inlineStr">
        <is>
          <t xml:space="preserve">Axis Mutual Fund</t>
        </is>
      </c>
      <c r="B636" t="inlineStr">
        <is>
          <t xml:space="preserve">Axis CRISIL-IBX AAA Bond NBFC-HFC - Jun 2027 Index Fund - Direct Plan - IDCW option</t>
        </is>
      </c>
      <c r="C636" t="inlineStr">
        <is>
          <t xml:space="preserve">INF846K018Z4</t>
        </is>
      </c>
    </row>
    <row r="637">
      <c r="A637" t="inlineStr">
        <is>
          <t xml:space="preserve">Axis Mutual Fund</t>
        </is>
      </c>
      <c r="B637" t="inlineStr">
        <is>
          <t xml:space="preserve">Axis CRISIL-IBX AAA Bond NBFC-HFC - Jun 2027 Index Fund - Regular Plan - Growth option</t>
        </is>
      </c>
      <c r="C637" t="inlineStr">
        <is>
          <t xml:space="preserve">INF846K016Z8</t>
        </is>
      </c>
    </row>
    <row r="638">
      <c r="A638" t="inlineStr">
        <is>
          <t xml:space="preserve">Axis Mutual Fund</t>
        </is>
      </c>
      <c r="B638" t="inlineStr">
        <is>
          <t xml:space="preserve">Axis CRISIL-IBX AAA Bond NBFC-HFC - Jun 2027 Index Fund - Regular Plan - IDCW option</t>
        </is>
      </c>
      <c r="C638" t="inlineStr">
        <is>
          <t xml:space="preserve">INF846K017Z6</t>
        </is>
      </c>
    </row>
    <row r="639">
      <c r="A639" t="inlineStr">
        <is>
          <t xml:space="preserve">Axis Mutual Fund</t>
        </is>
      </c>
      <c r="B639" t="inlineStr">
        <is>
          <t xml:space="preserve">Axis CRISIL-IBX Financial Services 3-6 Months Debt Index Fund - Direct Plan - Growth option</t>
        </is>
      </c>
      <c r="C639" t="inlineStr">
        <is>
          <t xml:space="preserve">INF846KA1226</t>
        </is>
      </c>
    </row>
    <row r="640">
      <c r="A640" t="inlineStr">
        <is>
          <t xml:space="preserve">Axis Mutual Fund</t>
        </is>
      </c>
      <c r="B640" t="inlineStr">
        <is>
          <t xml:space="preserve">Axis CRISIL-IBX Financial Services 3-6 Months Debt Index Fund - Direct Plan - IDCW option</t>
        </is>
      </c>
      <c r="C640" t="inlineStr">
        <is>
          <t xml:space="preserve">INF846KA1242</t>
        </is>
      </c>
    </row>
    <row r="641">
      <c r="A641" t="inlineStr">
        <is>
          <t xml:space="preserve">Axis Mutual Fund</t>
        </is>
      </c>
      <c r="B641" t="inlineStr">
        <is>
          <t xml:space="preserve">Axis CRISIL-IBX Financial Services 3-6 Months Debt Index Fund - Regular Plan - Growth option</t>
        </is>
      </c>
      <c r="C641" t="inlineStr">
        <is>
          <t xml:space="preserve">INF846KA1218</t>
        </is>
      </c>
    </row>
    <row r="642">
      <c r="A642" t="inlineStr">
        <is>
          <t xml:space="preserve">Axis Mutual Fund</t>
        </is>
      </c>
      <c r="B642" t="inlineStr">
        <is>
          <t xml:space="preserve">Axis CRISIL-IBX Financial Services 3-6 Months Debt Index Fund - Regular Plan - IDCW option</t>
        </is>
      </c>
      <c r="C642" t="inlineStr">
        <is>
          <t xml:space="preserve">INF846KA1234</t>
        </is>
      </c>
    </row>
    <row r="643">
      <c r="A643" t="inlineStr">
        <is>
          <t xml:space="preserve">Axis Mutual Fund</t>
        </is>
      </c>
      <c r="B643" t="inlineStr">
        <is>
          <t xml:space="preserve">Axis Dynamic Bond Fund - Direct Plan - Growth Option</t>
        </is>
      </c>
      <c r="C643" t="inlineStr">
        <is>
          <t xml:space="preserve">INF846K01DI3</t>
        </is>
      </c>
    </row>
    <row r="644">
      <c r="A644" t="inlineStr">
        <is>
          <t xml:space="preserve">Axis Mutual Fund</t>
        </is>
      </c>
      <c r="B644" t="inlineStr">
        <is>
          <t xml:space="preserve">Axis Dynamic Bond Fund - Direct Plan - Half Yearly IDCW</t>
        </is>
      </c>
      <c r="C644" t="inlineStr">
        <is>
          <t xml:space="preserve">INF846K01DJ1</t>
        </is>
      </c>
    </row>
    <row r="645">
      <c r="A645" t="inlineStr">
        <is>
          <t xml:space="preserve">Axis Mutual Fund</t>
        </is>
      </c>
      <c r="B645" t="inlineStr">
        <is>
          <t xml:space="preserve">Axis Dynamic Bond Fund - Direct Plan - Quarterly IDCW</t>
        </is>
      </c>
      <c r="C645" t="inlineStr">
        <is>
          <t xml:space="preserve">INF846K01DL7</t>
        </is>
      </c>
    </row>
    <row r="646">
      <c r="A646" t="inlineStr">
        <is>
          <t xml:space="preserve">Axis Mutual Fund</t>
        </is>
      </c>
      <c r="B646" t="inlineStr">
        <is>
          <t xml:space="preserve">Axis Dynamic Bond Fund - Regular Plan - Growth Option</t>
        </is>
      </c>
      <c r="C646" t="inlineStr">
        <is>
          <t xml:space="preserve">INF846K01917</t>
        </is>
      </c>
    </row>
    <row r="647">
      <c r="A647" t="inlineStr">
        <is>
          <t xml:space="preserve">Axis Mutual Fund</t>
        </is>
      </c>
      <c r="B647" t="inlineStr">
        <is>
          <t xml:space="preserve">Axis Dynamic Bond Fund - Regular Plan - Half Yearly IDCW</t>
        </is>
      </c>
      <c r="C647" t="inlineStr">
        <is>
          <t xml:space="preserve">INF846K01941</t>
        </is>
      </c>
    </row>
    <row r="648">
      <c r="A648" t="inlineStr">
        <is>
          <t xml:space="preserve">Axis Mutual Fund</t>
        </is>
      </c>
      <c r="B648" t="inlineStr">
        <is>
          <t xml:space="preserve">Axis Dynamic Bond Fund - Regular Plan - Quarterly IDCW</t>
        </is>
      </c>
      <c r="C648" t="inlineStr">
        <is>
          <t xml:space="preserve">INF846K01925</t>
        </is>
      </c>
    </row>
    <row r="649">
      <c r="A649" t="inlineStr">
        <is>
          <t xml:space="preserve">Axis Mutual Fund</t>
        </is>
      </c>
      <c r="B649" t="inlineStr">
        <is>
          <t xml:space="preserve">Axis ELSS Tax Saver Fund - Direct Plan - Growth Option</t>
        </is>
      </c>
      <c r="C649" t="inlineStr">
        <is>
          <t xml:space="preserve">INF846K01EW2</t>
        </is>
      </c>
    </row>
    <row r="650">
      <c r="A650" t="inlineStr">
        <is>
          <t xml:space="preserve">Axis Mutual Fund</t>
        </is>
      </c>
      <c r="B650" t="inlineStr">
        <is>
          <t xml:space="preserve">Axis ELSS Tax Saver Fund - Direct Plan - IDCW</t>
        </is>
      </c>
      <c r="C650" t="inlineStr">
        <is>
          <t xml:space="preserve">INF846K01EX0</t>
        </is>
      </c>
    </row>
    <row r="651">
      <c r="A651" t="inlineStr">
        <is>
          <t xml:space="preserve">Axis Mutual Fund</t>
        </is>
      </c>
      <c r="B651" t="inlineStr">
        <is>
          <t xml:space="preserve">Axis ELSS Tax Saver Fund - Regular Plan - Growth</t>
        </is>
      </c>
      <c r="C651" t="inlineStr">
        <is>
          <t xml:space="preserve">INF846K01131</t>
        </is>
      </c>
    </row>
    <row r="652">
      <c r="A652" t="inlineStr">
        <is>
          <t xml:space="preserve">Axis Mutual Fund</t>
        </is>
      </c>
      <c r="B652" t="inlineStr">
        <is>
          <t xml:space="preserve">Axis ELSS Tax Saver Fund - Regular Plan - IDCW</t>
        </is>
      </c>
      <c r="C652" t="inlineStr">
        <is>
          <t xml:space="preserve">INF846K01149</t>
        </is>
      </c>
    </row>
    <row r="653">
      <c r="A653" t="inlineStr">
        <is>
          <t xml:space="preserve">Axis Mutual Fund</t>
        </is>
      </c>
      <c r="B653" t="inlineStr">
        <is>
          <t xml:space="preserve">Axis Equity Savings Fund - Direct Plan - Growth</t>
        </is>
      </c>
      <c r="C653" t="inlineStr">
        <is>
          <t xml:space="preserve">INF846K01VJ3</t>
        </is>
      </c>
    </row>
    <row r="654">
      <c r="A654" t="inlineStr">
        <is>
          <t xml:space="preserve">Axis Mutual Fund</t>
        </is>
      </c>
      <c r="B654" t="inlineStr">
        <is>
          <t xml:space="preserve">Axis Equity Savings Fund - Direct Plan - Monthly IDCW</t>
        </is>
      </c>
      <c r="C654" t="inlineStr">
        <is>
          <t xml:space="preserve">INF846K01VK1</t>
        </is>
      </c>
    </row>
    <row r="655">
      <c r="A655" t="inlineStr">
        <is>
          <t xml:space="preserve">Axis Mutual Fund</t>
        </is>
      </c>
      <c r="B655" t="inlineStr">
        <is>
          <t xml:space="preserve">Axis Equity Savings Fund - Direct Plan - Quarterly IDCW</t>
        </is>
      </c>
      <c r="C655" t="inlineStr">
        <is>
          <t xml:space="preserve">INF846K01VM7</t>
        </is>
      </c>
    </row>
    <row r="656">
      <c r="A656" t="inlineStr">
        <is>
          <t xml:space="preserve">Axis Mutual Fund</t>
        </is>
      </c>
      <c r="B656" t="inlineStr">
        <is>
          <t xml:space="preserve">Axis Equity Savings Fund - Direct Plan - Regular IDCW</t>
        </is>
      </c>
      <c r="C656" t="inlineStr">
        <is>
          <t xml:space="preserve">INF846K01XP6</t>
        </is>
      </c>
    </row>
    <row r="657">
      <c r="A657" t="inlineStr">
        <is>
          <t xml:space="preserve">Axis Mutual Fund</t>
        </is>
      </c>
      <c r="B657" t="inlineStr">
        <is>
          <t xml:space="preserve">Axis Equity Savings Fund - Regular Plan - Growth</t>
        </is>
      </c>
      <c r="C657" t="inlineStr">
        <is>
          <t xml:space="preserve">INF846K01VO3</t>
        </is>
      </c>
    </row>
    <row r="658">
      <c r="A658" t="inlineStr">
        <is>
          <t xml:space="preserve">Axis Mutual Fund</t>
        </is>
      </c>
      <c r="B658" t="inlineStr">
        <is>
          <t xml:space="preserve">Axis Equity Savings Fund - Regular Plan - Monthly IDCW</t>
        </is>
      </c>
      <c r="C658" t="inlineStr">
        <is>
          <t xml:space="preserve">INF846K01VP0</t>
        </is>
      </c>
    </row>
    <row r="659">
      <c r="A659" t="inlineStr">
        <is>
          <t xml:space="preserve">Axis Mutual Fund</t>
        </is>
      </c>
      <c r="B659" t="inlineStr">
        <is>
          <t xml:space="preserve">Axis Equity Savings Fund - Regular Plan - Quarterly IDCW</t>
        </is>
      </c>
      <c r="C659" t="inlineStr">
        <is>
          <t xml:space="preserve">INF846K01VR6</t>
        </is>
      </c>
    </row>
    <row r="660">
      <c r="A660" t="inlineStr">
        <is>
          <t xml:space="preserve">Axis Mutual Fund</t>
        </is>
      </c>
      <c r="B660" t="inlineStr">
        <is>
          <t xml:space="preserve">Axis Equity Savings Fund - Regular Plan - Regular IDCW</t>
        </is>
      </c>
      <c r="C660" t="inlineStr">
        <is>
          <t xml:space="preserve">INF846K01XR2</t>
        </is>
      </c>
    </row>
    <row r="661">
      <c r="A661" t="inlineStr">
        <is>
          <t xml:space="preserve">Axis Mutual Fund</t>
        </is>
      </c>
      <c r="B661" t="inlineStr">
        <is>
          <t xml:space="preserve">Axis ESG Integration Strategy Fund - Direct Plan - Growth Option</t>
        </is>
      </c>
      <c r="C661" t="inlineStr">
        <is>
          <t xml:space="preserve">INF846K01W23</t>
        </is>
      </c>
    </row>
    <row r="662">
      <c r="A662" t="inlineStr">
        <is>
          <t xml:space="preserve">Axis Mutual Fund</t>
        </is>
      </c>
      <c r="B662" t="inlineStr">
        <is>
          <t xml:space="preserve">Axis ESG Integration Strategy Fund - Direct Plan - IDCW</t>
        </is>
      </c>
      <c r="C662" t="inlineStr">
        <is>
          <t xml:space="preserve">INF846K01W31</t>
        </is>
      </c>
    </row>
    <row r="663">
      <c r="A663" t="inlineStr">
        <is>
          <t xml:space="preserve">Axis Mutual Fund</t>
        </is>
      </c>
      <c r="B663" t="inlineStr">
        <is>
          <t xml:space="preserve">Axis ESG Integration Strategy Fund - Regular Plan - Growth Option</t>
        </is>
      </c>
      <c r="C663" t="inlineStr">
        <is>
          <t xml:space="preserve">INF846K01W56</t>
        </is>
      </c>
    </row>
    <row r="664">
      <c r="A664" t="inlineStr">
        <is>
          <t xml:space="preserve">Axis Mutual Fund</t>
        </is>
      </c>
      <c r="B664" t="inlineStr">
        <is>
          <t xml:space="preserve">Axis ESG Integration Strategy Fund - Regular Plan - IDCW</t>
        </is>
      </c>
      <c r="C664" t="inlineStr">
        <is>
          <t xml:space="preserve">INF846K01W64</t>
        </is>
      </c>
    </row>
    <row r="665">
      <c r="A665" t="inlineStr">
        <is>
          <t xml:space="preserve">Axis Mutual Fund</t>
        </is>
      </c>
      <c r="B665" t="inlineStr">
        <is>
          <t xml:space="preserve">Axis Fixed Maturity Plan - Series 129 (108 Days) - Direct Plan - Growth</t>
        </is>
      </c>
      <c r="C665" t="inlineStr">
        <is>
          <t xml:space="preserve">INF846KA1440</t>
        </is>
      </c>
    </row>
    <row r="666">
      <c r="A666" t="inlineStr">
        <is>
          <t xml:space="preserve">Axis Mutual Fund</t>
        </is>
      </c>
      <c r="B666" t="inlineStr">
        <is>
          <t xml:space="preserve">Axis Fixed Maturity Plan - Series 129 (108 Days) - Direct Plan - IDCW</t>
        </is>
      </c>
      <c r="C666" t="inlineStr">
        <is>
          <t xml:space="preserve">INF846KA1465</t>
        </is>
      </c>
    </row>
    <row r="667">
      <c r="A667" t="inlineStr">
        <is>
          <t xml:space="preserve">Axis Mutual Fund</t>
        </is>
      </c>
      <c r="B667" t="inlineStr">
        <is>
          <t xml:space="preserve">Axis Fixed Maturity Plan - Series 129 (108 Days) - Regular Plan - Growth</t>
        </is>
      </c>
      <c r="C667" t="inlineStr">
        <is>
          <t xml:space="preserve">INF846KA1432</t>
        </is>
      </c>
    </row>
    <row r="668">
      <c r="A668" t="inlineStr">
        <is>
          <t xml:space="preserve">Axis Mutual Fund</t>
        </is>
      </c>
      <c r="B668" t="inlineStr">
        <is>
          <t xml:space="preserve">Axis Fixed Maturity Plan - Series 129 (108 Days) - Regular Plan - IDCW</t>
        </is>
      </c>
      <c r="C668" t="inlineStr">
        <is>
          <t xml:space="preserve">INF846KA1457</t>
        </is>
      </c>
    </row>
    <row r="669">
      <c r="A669" t="inlineStr">
        <is>
          <t xml:space="preserve">Axis Mutual Fund</t>
        </is>
      </c>
      <c r="B669" t="inlineStr">
        <is>
          <t xml:space="preserve">Axis Fixed Maturity Plan - Series 130 (92 Days) - Direct Plan - Growth</t>
        </is>
      </c>
      <c r="C669" t="inlineStr">
        <is>
          <t xml:space="preserve">INF846KA1481</t>
        </is>
      </c>
    </row>
    <row r="670">
      <c r="A670" t="inlineStr">
        <is>
          <t xml:space="preserve">Axis Mutual Fund</t>
        </is>
      </c>
      <c r="B670" t="inlineStr">
        <is>
          <t xml:space="preserve">Axis Fixed Maturity Plan - Series 130 (92 Days) - Direct Plan - IDCW</t>
        </is>
      </c>
      <c r="C670" t="inlineStr">
        <is>
          <t xml:space="preserve">INF846KA1507</t>
        </is>
      </c>
    </row>
    <row r="671">
      <c r="A671" t="inlineStr">
        <is>
          <t xml:space="preserve">Axis Mutual Fund</t>
        </is>
      </c>
      <c r="B671" t="inlineStr">
        <is>
          <t xml:space="preserve">Axis Fixed Maturity Plan - Series 130 (92 Days) - Regular Plan - Growth</t>
        </is>
      </c>
      <c r="C671" t="inlineStr">
        <is>
          <t xml:space="preserve">INF846KA1473</t>
        </is>
      </c>
    </row>
    <row r="672">
      <c r="A672" t="inlineStr">
        <is>
          <t xml:space="preserve">Axis Mutual Fund</t>
        </is>
      </c>
      <c r="B672" t="inlineStr">
        <is>
          <t xml:space="preserve">Axis Fixed Maturity Plan - Series 130 (92 Days) - Regular Plan - IDCW</t>
        </is>
      </c>
      <c r="C672" t="inlineStr">
        <is>
          <t xml:space="preserve">INF846KA1499</t>
        </is>
      </c>
    </row>
    <row r="673">
      <c r="A673" t="inlineStr">
        <is>
          <t xml:space="preserve">Axis Mutual Fund</t>
        </is>
      </c>
      <c r="B673" t="inlineStr">
        <is>
          <t xml:space="preserve">Axis Fixed Term Plan - Series 113 (1228 Days) - Direct Plan - Growth</t>
        </is>
      </c>
      <c r="C673" t="inlineStr">
        <is>
          <t xml:space="preserve">INF846K011Q8</t>
        </is>
      </c>
    </row>
    <row r="674">
      <c r="A674" t="inlineStr">
        <is>
          <t xml:space="preserve">Axis Mutual Fund</t>
        </is>
      </c>
      <c r="B674" t="inlineStr">
        <is>
          <t xml:space="preserve">Axis Fixed Term Plan - Series 113 (1228 Days) - Direct Plan - Quarterly IDCW</t>
        </is>
      </c>
      <c r="C674" t="inlineStr">
        <is>
          <t xml:space="preserve">INF846K012Q6</t>
        </is>
      </c>
    </row>
    <row r="675">
      <c r="A675" t="inlineStr">
        <is>
          <t xml:space="preserve">Axis Mutual Fund</t>
        </is>
      </c>
      <c r="B675" t="inlineStr">
        <is>
          <t xml:space="preserve">Axis Fixed Term Plan - Series 113 (1228 Days) - Regular Plan - Growth</t>
        </is>
      </c>
      <c r="C675" t="inlineStr">
        <is>
          <t xml:space="preserve">INF846K014Q2</t>
        </is>
      </c>
    </row>
    <row r="676">
      <c r="A676" t="inlineStr">
        <is>
          <t xml:space="preserve">Axis Mutual Fund</t>
        </is>
      </c>
      <c r="B676" t="inlineStr">
        <is>
          <t xml:space="preserve">Axis Fixed Term Plan - Series 113 (1228 Days) - Regular Plan - Half Yearly IDCW</t>
        </is>
      </c>
      <c r="C676" t="inlineStr">
        <is>
          <t xml:space="preserve">INF846K016Q7</t>
        </is>
      </c>
    </row>
    <row r="677">
      <c r="A677" t="inlineStr">
        <is>
          <t xml:space="preserve">Axis Mutual Fund</t>
        </is>
      </c>
      <c r="B677" t="inlineStr">
        <is>
          <t xml:space="preserve">Axis Fixed Term Plan - Series 113 (1228 Days) - Regular Plan - Quarterly IDCW</t>
        </is>
      </c>
      <c r="C677" t="inlineStr">
        <is>
          <t xml:space="preserve">INF846K015Q9</t>
        </is>
      </c>
    </row>
    <row r="678">
      <c r="A678" t="inlineStr">
        <is>
          <t xml:space="preserve">Axis Mutual Fund</t>
        </is>
      </c>
      <c r="B678" t="inlineStr">
        <is>
          <t xml:space="preserve">Axis Flexi Cap Fund - Direct Plan - Growth</t>
        </is>
      </c>
      <c r="C678" t="inlineStr">
        <is>
          <t xml:space="preserve">INF846K01B28</t>
        </is>
      </c>
    </row>
    <row r="679">
      <c r="A679" t="inlineStr">
        <is>
          <t xml:space="preserve">Axis Mutual Fund</t>
        </is>
      </c>
      <c r="B679" t="inlineStr">
        <is>
          <t xml:space="preserve">Axis Flexi Cap fund - Direct Plan - IDCW</t>
        </is>
      </c>
      <c r="C679" t="inlineStr">
        <is>
          <t xml:space="preserve">INF846K01B02</t>
        </is>
      </c>
    </row>
    <row r="680">
      <c r="A680" t="inlineStr">
        <is>
          <t xml:space="preserve">Axis Mutual Fund</t>
        </is>
      </c>
      <c r="B680" t="inlineStr">
        <is>
          <t xml:space="preserve">Axis Flexi Cap Fund - Regular Plan - Growth</t>
        </is>
      </c>
      <c r="C680" t="inlineStr">
        <is>
          <t xml:space="preserve">INF846K01B51</t>
        </is>
      </c>
    </row>
    <row r="681">
      <c r="A681" t="inlineStr">
        <is>
          <t xml:space="preserve">Axis Mutual Fund</t>
        </is>
      </c>
      <c r="B681" t="inlineStr">
        <is>
          <t xml:space="preserve">Axis Flexi Cap Fund - Regular Plan - IDCW</t>
        </is>
      </c>
      <c r="C681" t="inlineStr">
        <is>
          <t xml:space="preserve">INF846K01B36</t>
        </is>
      </c>
    </row>
    <row r="682">
      <c r="A682" t="inlineStr">
        <is>
          <t xml:space="preserve">Axis Mutual Fund</t>
        </is>
      </c>
      <c r="B682" t="inlineStr">
        <is>
          <t xml:space="preserve">Axis Floater Fund - Direct Plan - Annual IDCW</t>
        </is>
      </c>
      <c r="C682" t="inlineStr">
        <is>
          <t xml:space="preserve">INF846K016A1</t>
        </is>
      </c>
    </row>
    <row r="683">
      <c r="A683" t="inlineStr">
        <is>
          <t xml:space="preserve">Axis Mutual Fund</t>
        </is>
      </c>
      <c r="B683" t="inlineStr">
        <is>
          <t xml:space="preserve">Axis Floater Fund - Direct Plan - Daily IDCW</t>
        </is>
      </c>
      <c r="C683" t="inlineStr">
        <is>
          <t xml:space="preserve">INF846K011B0</t>
        </is>
      </c>
    </row>
    <row r="684">
      <c r="A684" t="inlineStr">
        <is>
          <t xml:space="preserve">Axis Mutual Fund</t>
        </is>
      </c>
      <c r="B684" t="inlineStr">
        <is>
          <t xml:space="preserve">Axis Floater Fund - Direct Plan - Growth</t>
        </is>
      </c>
      <c r="C684" t="inlineStr">
        <is>
          <t xml:space="preserve">INF846K014A6</t>
        </is>
      </c>
    </row>
    <row r="685">
      <c r="A685" t="inlineStr">
        <is>
          <t xml:space="preserve">Axis Mutual Fund</t>
        </is>
      </c>
      <c r="B685" t="inlineStr">
        <is>
          <t xml:space="preserve">Axis Floater Fund - Direct Plan - Monthly IDCW</t>
        </is>
      </c>
      <c r="C685" t="inlineStr">
        <is>
          <t xml:space="preserve">INF846K018A7</t>
        </is>
      </c>
    </row>
    <row r="686">
      <c r="A686" t="inlineStr">
        <is>
          <t xml:space="preserve">Axis Mutual Fund</t>
        </is>
      </c>
      <c r="B686" t="inlineStr">
        <is>
          <t xml:space="preserve">Axis Floater Fund - Direct Plan - Quarterly IDCW</t>
        </is>
      </c>
      <c r="C686" t="inlineStr">
        <is>
          <t xml:space="preserve">INF846K019A5</t>
        </is>
      </c>
    </row>
    <row r="687">
      <c r="A687" t="inlineStr">
        <is>
          <t xml:space="preserve">Axis Mutual Fund</t>
        </is>
      </c>
      <c r="B687" t="inlineStr">
        <is>
          <t xml:space="preserve">Axis Floater Fund - Regular Plan - Annual IDCW</t>
        </is>
      </c>
      <c r="C687" t="inlineStr">
        <is>
          <t xml:space="preserve">INF846K014B4</t>
        </is>
      </c>
    </row>
    <row r="688">
      <c r="A688" t="inlineStr">
        <is>
          <t xml:space="preserve">Axis Mutual Fund</t>
        </is>
      </c>
      <c r="B688" t="inlineStr">
        <is>
          <t xml:space="preserve">Axis Floater Fund - Regular Plan - Daily IDCW</t>
        </is>
      </c>
      <c r="C688" t="inlineStr">
        <is>
          <t xml:space="preserve">INF846K019B3</t>
        </is>
      </c>
    </row>
    <row r="689">
      <c r="A689" t="inlineStr">
        <is>
          <t xml:space="preserve">Axis Mutual Fund</t>
        </is>
      </c>
      <c r="B689" t="inlineStr">
        <is>
          <t xml:space="preserve">Axis Floater Fund - Regular Plan - Growth</t>
        </is>
      </c>
      <c r="C689" t="inlineStr">
        <is>
          <t xml:space="preserve">INF846K012B8</t>
        </is>
      </c>
    </row>
    <row r="690">
      <c r="A690" t="inlineStr">
        <is>
          <t xml:space="preserve">Axis Mutual Fund</t>
        </is>
      </c>
      <c r="B690" t="inlineStr">
        <is>
          <t xml:space="preserve">Axis Floater Fund - Regular Plan - Monthly IDCW</t>
        </is>
      </c>
      <c r="C690" t="inlineStr">
        <is>
          <t xml:space="preserve">INF846K016B9</t>
        </is>
      </c>
    </row>
    <row r="691">
      <c r="A691" t="inlineStr">
        <is>
          <t xml:space="preserve">Axis Mutual Fund</t>
        </is>
      </c>
      <c r="B691" t="inlineStr">
        <is>
          <t xml:space="preserve">Axis Floater Fund - Regular Plan - Quarterly IDCW</t>
        </is>
      </c>
      <c r="C691" t="inlineStr">
        <is>
          <t xml:space="preserve">INF846K018B5</t>
        </is>
      </c>
    </row>
    <row r="692">
      <c r="A692" t="inlineStr">
        <is>
          <t xml:space="preserve">Axis Mutual Fund</t>
        </is>
      </c>
      <c r="B692" t="inlineStr">
        <is>
          <t xml:space="preserve">Axis Focused Fund - Direct Plan - Growth Option</t>
        </is>
      </c>
      <c r="C692" t="inlineStr">
        <is>
          <t xml:space="preserve">INF846K01CQ8</t>
        </is>
      </c>
    </row>
    <row r="693">
      <c r="A693" t="inlineStr">
        <is>
          <t xml:space="preserve">Axis Mutual Fund</t>
        </is>
      </c>
      <c r="B693" t="inlineStr">
        <is>
          <t xml:space="preserve">Axis Focused Fund - Direct Plan - IDCW</t>
        </is>
      </c>
      <c r="C693" t="inlineStr">
        <is>
          <t xml:space="preserve">INF846K01CO3</t>
        </is>
      </c>
    </row>
    <row r="694">
      <c r="A694" t="inlineStr">
        <is>
          <t xml:space="preserve">Axis Mutual Fund</t>
        </is>
      </c>
      <c r="B694" t="inlineStr">
        <is>
          <t xml:space="preserve">Axis Focused Fund - Regular Plan - Growth Option</t>
        </is>
      </c>
      <c r="C694" t="inlineStr">
        <is>
          <t xml:space="preserve">INF846K01CH7</t>
        </is>
      </c>
    </row>
    <row r="695">
      <c r="A695" t="inlineStr">
        <is>
          <t xml:space="preserve">Axis Mutual Fund</t>
        </is>
      </c>
      <c r="B695" t="inlineStr">
        <is>
          <t xml:space="preserve">Axis Focused Fund - Regular Plan - IDCW</t>
        </is>
      </c>
      <c r="C695" t="inlineStr">
        <is>
          <t xml:space="preserve">INF846K01CI5</t>
        </is>
      </c>
    </row>
    <row r="696">
      <c r="A696" t="inlineStr">
        <is>
          <t xml:space="preserve">Axis Mutual Fund</t>
        </is>
      </c>
      <c r="B696" t="inlineStr">
        <is>
          <t xml:space="preserve">Axis Gilt Fund - Direct Plan - Bonus Option</t>
        </is>
      </c>
      <c r="C696" t="inlineStr">
        <is>
          <t xml:space="preserve">INF846K01NJ0</t>
        </is>
      </c>
    </row>
    <row r="697">
      <c r="A697" t="inlineStr">
        <is>
          <t xml:space="preserve">Axis Mutual Fund</t>
        </is>
      </c>
      <c r="B697" t="inlineStr">
        <is>
          <t xml:space="preserve">Axis Gilt Fund - Direct Plan - Growth Option</t>
        </is>
      </c>
      <c r="C697" t="inlineStr">
        <is>
          <t xml:space="preserve">INF846K01DD4</t>
        </is>
      </c>
    </row>
    <row r="698">
      <c r="A698" t="inlineStr">
        <is>
          <t xml:space="preserve">Axis Mutual Fund</t>
        </is>
      </c>
      <c r="B698" t="inlineStr">
        <is>
          <t xml:space="preserve">Axis Gilt Fund - Direct Plan - Half Yearly IDCW</t>
        </is>
      </c>
      <c r="C698" t="inlineStr">
        <is>
          <t xml:space="preserve">INF846K01DF9</t>
        </is>
      </c>
    </row>
    <row r="699">
      <c r="A699" t="inlineStr">
        <is>
          <t xml:space="preserve">Axis Mutual Fund</t>
        </is>
      </c>
      <c r="B699" t="inlineStr">
        <is>
          <t xml:space="preserve">Axis Gilt Fund - Direct Plan - Regular IDCW</t>
        </is>
      </c>
      <c r="C699" t="inlineStr">
        <is>
          <t xml:space="preserve">INF846K01DG7</t>
        </is>
      </c>
    </row>
    <row r="700">
      <c r="A700" t="inlineStr">
        <is>
          <t xml:space="preserve">Axis Mutual Fund</t>
        </is>
      </c>
      <c r="B700" t="inlineStr">
        <is>
          <t xml:space="preserve">Axis Gilt Fund - Regular Plan - Growth Option</t>
        </is>
      </c>
      <c r="C700" t="inlineStr">
        <is>
          <t xml:space="preserve">INF846K01AX8</t>
        </is>
      </c>
    </row>
    <row r="701">
      <c r="A701" t="inlineStr">
        <is>
          <t xml:space="preserve">Axis Mutual Fund</t>
        </is>
      </c>
      <c r="B701" t="inlineStr">
        <is>
          <t xml:space="preserve">Axis Gilt Fund - Regular Plan - Half Yearly IDCW</t>
        </is>
      </c>
      <c r="C701" t="inlineStr">
        <is>
          <t xml:space="preserve">INF846K01AZ3</t>
        </is>
      </c>
    </row>
    <row r="702">
      <c r="A702" t="inlineStr">
        <is>
          <t xml:space="preserve">Axis Mutual Fund</t>
        </is>
      </c>
      <c r="B702" t="inlineStr">
        <is>
          <t xml:space="preserve">Axis Gilt Fund - Regular Plan - Regular IDCW</t>
        </is>
      </c>
      <c r="C702" t="inlineStr">
        <is>
          <t xml:space="preserve">INF846K01CK1</t>
        </is>
      </c>
    </row>
    <row r="703">
      <c r="A703" t="inlineStr">
        <is>
          <t xml:space="preserve">Axis Mutual Fund</t>
        </is>
      </c>
      <c r="B703" t="inlineStr">
        <is>
          <t xml:space="preserve">Axis Global Equity Alpha Fund of Fund - Direct Plan - Growth Option</t>
        </is>
      </c>
      <c r="C703" t="inlineStr">
        <is>
          <t xml:space="preserve">INF846K01X06</t>
        </is>
      </c>
    </row>
    <row r="704">
      <c r="A704" t="inlineStr">
        <is>
          <t xml:space="preserve">Axis Mutual Fund</t>
        </is>
      </c>
      <c r="B704" t="inlineStr">
        <is>
          <t xml:space="preserve">Axis Global Equity Alpha Fund of Fund - Direct Plan - IDCW</t>
        </is>
      </c>
      <c r="C704" t="inlineStr">
        <is>
          <t xml:space="preserve">INF846K01X14</t>
        </is>
      </c>
    </row>
    <row r="705">
      <c r="A705" t="inlineStr">
        <is>
          <t xml:space="preserve">Axis Mutual Fund</t>
        </is>
      </c>
      <c r="B705" t="inlineStr">
        <is>
          <t xml:space="preserve">Axis Global Equity Alpha Fund of Fund - Regular Plan - Growth Option</t>
        </is>
      </c>
      <c r="C705" t="inlineStr">
        <is>
          <t xml:space="preserve">INF846K01X30</t>
        </is>
      </c>
    </row>
    <row r="706">
      <c r="A706" t="inlineStr">
        <is>
          <t xml:space="preserve">Axis Mutual Fund</t>
        </is>
      </c>
      <c r="B706" t="inlineStr">
        <is>
          <t xml:space="preserve">Axis Global Equity Alpha Fund of Fund - Regular Plan - IDCW</t>
        </is>
      </c>
      <c r="C706" t="inlineStr">
        <is>
          <t xml:space="preserve">INF846K01X48</t>
        </is>
      </c>
    </row>
    <row r="707">
      <c r="A707" t="inlineStr">
        <is>
          <t xml:space="preserve">Axis Mutual Fund</t>
        </is>
      </c>
      <c r="B707" t="inlineStr">
        <is>
          <t xml:space="preserve">Axis Global Innovation Fund of Fund - Direct Plan - Growth</t>
        </is>
      </c>
      <c r="C707" t="inlineStr">
        <is>
          <t xml:space="preserve">INF846K01Z20</t>
        </is>
      </c>
    </row>
    <row r="708">
      <c r="A708" t="inlineStr">
        <is>
          <t xml:space="preserve">Axis Mutual Fund</t>
        </is>
      </c>
      <c r="B708" t="inlineStr">
        <is>
          <t xml:space="preserve">Axis Global Innovation Fund of Fund - Direct Plan - IDCW</t>
        </is>
      </c>
      <c r="C708" t="inlineStr">
        <is>
          <t xml:space="preserve">INF846K01Z38</t>
        </is>
      </c>
    </row>
    <row r="709">
      <c r="A709" t="inlineStr">
        <is>
          <t xml:space="preserve">Axis Mutual Fund</t>
        </is>
      </c>
      <c r="B709" t="inlineStr">
        <is>
          <t xml:space="preserve">Axis Global Innovation Fund of Fund - Regular Plan - Growth</t>
        </is>
      </c>
      <c r="C709" t="inlineStr">
        <is>
          <t xml:space="preserve">INF846K01Z53</t>
        </is>
      </c>
    </row>
    <row r="710">
      <c r="A710" t="inlineStr">
        <is>
          <t xml:space="preserve">Axis Mutual Fund</t>
        </is>
      </c>
      <c r="B710" t="inlineStr">
        <is>
          <t xml:space="preserve">Axis Global Innovation Fund of Fund - Regular Plan - IDCW</t>
        </is>
      </c>
      <c r="C710" t="inlineStr">
        <is>
          <t xml:space="preserve">INF846K01Z61</t>
        </is>
      </c>
    </row>
    <row r="711">
      <c r="A711" t="inlineStr">
        <is>
          <t xml:space="preserve">Axis Mutual Fund</t>
        </is>
      </c>
      <c r="B711" t="inlineStr">
        <is>
          <t xml:space="preserve">Axis Gold and Silver Passive FOF - Direct Plan - Growth</t>
        </is>
      </c>
      <c r="C711" t="inlineStr">
        <is>
          <t xml:space="preserve">INF846KA1408</t>
        </is>
      </c>
    </row>
    <row r="712">
      <c r="A712" t="inlineStr">
        <is>
          <t xml:space="preserve">Axis Mutual Fund</t>
        </is>
      </c>
      <c r="B712" t="inlineStr">
        <is>
          <t xml:space="preserve">Axis Gold and Silver Passive FOF - Regular Plan - Growth</t>
        </is>
      </c>
      <c r="C712" t="inlineStr">
        <is>
          <t xml:space="preserve">INF846KA1390</t>
        </is>
      </c>
    </row>
    <row r="713">
      <c r="A713" t="inlineStr">
        <is>
          <t xml:space="preserve">Axis Mutual Fund</t>
        </is>
      </c>
      <c r="B713" t="inlineStr">
        <is>
          <t xml:space="preserve">Axis Gold ETF</t>
        </is>
      </c>
      <c r="C713" t="inlineStr">
        <is>
          <t xml:space="preserve">INF846K01W80</t>
        </is>
      </c>
    </row>
    <row r="714">
      <c r="A714" t="inlineStr">
        <is>
          <t xml:space="preserve">Axis Mutual Fund</t>
        </is>
      </c>
      <c r="B714" t="inlineStr">
        <is>
          <t xml:space="preserve">Axis Gold Fund - Direct Plan - Growth option</t>
        </is>
      </c>
      <c r="C714" t="inlineStr">
        <is>
          <t xml:space="preserve">INF846K01DS2</t>
        </is>
      </c>
    </row>
    <row r="715">
      <c r="A715" t="inlineStr">
        <is>
          <t xml:space="preserve">Axis Mutual Fund</t>
        </is>
      </c>
      <c r="B715" t="inlineStr">
        <is>
          <t xml:space="preserve">Axis Gold Fund - Direct Plan - IDCW</t>
        </is>
      </c>
      <c r="C715" t="inlineStr">
        <is>
          <t xml:space="preserve">INF846K01DQ6</t>
        </is>
      </c>
    </row>
    <row r="716">
      <c r="A716" t="inlineStr">
        <is>
          <t xml:space="preserve">Axis Mutual Fund</t>
        </is>
      </c>
      <c r="B716" t="inlineStr">
        <is>
          <t xml:space="preserve">Axis Gold Fund - Regular Plan - Growth Option</t>
        </is>
      </c>
      <c r="C716" t="inlineStr">
        <is>
          <t xml:space="preserve">INF846K01AL3</t>
        </is>
      </c>
    </row>
    <row r="717">
      <c r="A717" t="inlineStr">
        <is>
          <t xml:space="preserve">Axis Mutual Fund</t>
        </is>
      </c>
      <c r="B717" t="inlineStr">
        <is>
          <t xml:space="preserve">Axis Gold Fund - Regular Plan - IDCW</t>
        </is>
      </c>
      <c r="C717" t="inlineStr">
        <is>
          <t xml:space="preserve">INF846K01AM1</t>
        </is>
      </c>
    </row>
    <row r="718">
      <c r="A718" t="inlineStr">
        <is>
          <t xml:space="preserve">Axis Mutual Fund</t>
        </is>
      </c>
      <c r="B718" t="inlineStr">
        <is>
          <t xml:space="preserve">Axis Greater China Equity Fund of Fund - Direct Plan - Growth Option</t>
        </is>
      </c>
      <c r="C718" t="inlineStr">
        <is>
          <t xml:space="preserve">INF846K01Y39</t>
        </is>
      </c>
    </row>
    <row r="719">
      <c r="A719" t="inlineStr">
        <is>
          <t xml:space="preserve">Axis Mutual Fund</t>
        </is>
      </c>
      <c r="B719" t="inlineStr">
        <is>
          <t xml:space="preserve">Axis Greater China Equity Fund of Fund - Direct Plan - IDCW</t>
        </is>
      </c>
      <c r="C719" t="inlineStr">
        <is>
          <t xml:space="preserve">INF846K01Y47</t>
        </is>
      </c>
    </row>
    <row r="720">
      <c r="A720" t="inlineStr">
        <is>
          <t xml:space="preserve">Axis Mutual Fund</t>
        </is>
      </c>
      <c r="B720" t="inlineStr">
        <is>
          <t xml:space="preserve">Axis Greater China Equity Fund of Fund - Regular Plan - Growth Option</t>
        </is>
      </c>
      <c r="C720" t="inlineStr">
        <is>
          <t xml:space="preserve">INF846K01Y62</t>
        </is>
      </c>
    </row>
    <row r="721">
      <c r="A721" t="inlineStr">
        <is>
          <t xml:space="preserve">Axis Mutual Fund</t>
        </is>
      </c>
      <c r="B721" t="inlineStr">
        <is>
          <t xml:space="preserve">Axis Greater China Equity Fund of Fund - Regular Plan - IDCW</t>
        </is>
      </c>
      <c r="C721" t="inlineStr">
        <is>
          <t xml:space="preserve">INF846K01Y70</t>
        </is>
      </c>
    </row>
    <row r="722">
      <c r="A722" t="inlineStr">
        <is>
          <t xml:space="preserve">Axis Mutual Fund</t>
        </is>
      </c>
      <c r="B722" t="inlineStr">
        <is>
          <t xml:space="preserve">Axis Income Plus Arbitrage Active FOF - Direct Plan - Annual IDCW</t>
        </is>
      </c>
      <c r="C722" t="inlineStr">
        <is>
          <t xml:space="preserve">INF846K01U25</t>
        </is>
      </c>
    </row>
    <row r="723">
      <c r="A723" t="inlineStr">
        <is>
          <t xml:space="preserve">Axis Mutual Fund</t>
        </is>
      </c>
      <c r="B723" t="inlineStr">
        <is>
          <t xml:space="preserve">Axis Income Plus Arbitrage Active FOF - Direct Plan - Growth Option</t>
        </is>
      </c>
      <c r="C723" t="inlineStr">
        <is>
          <t xml:space="preserve">INF846K01U09</t>
        </is>
      </c>
    </row>
    <row r="724">
      <c r="A724" t="inlineStr">
        <is>
          <t xml:space="preserve">Axis Mutual Fund</t>
        </is>
      </c>
      <c r="B724" t="inlineStr">
        <is>
          <t xml:space="preserve">Axis Income Plus Arbitrage Active FOF - Direct Plan - Half Yearly Dividend Option</t>
        </is>
      </c>
      <c r="C724" t="inlineStr">
        <is>
          <t xml:space="preserve">INF846K01U74</t>
        </is>
      </c>
    </row>
    <row r="725">
      <c r="A725" t="inlineStr">
        <is>
          <t xml:space="preserve">Axis Mutual Fund</t>
        </is>
      </c>
      <c r="B725" t="inlineStr">
        <is>
          <t xml:space="preserve">Axis Income Plus Arbitrage Active FOF - Direct Plan - IDCW</t>
        </is>
      </c>
      <c r="C725" t="inlineStr">
        <is>
          <t xml:space="preserve">INF846K01U90</t>
        </is>
      </c>
    </row>
    <row r="726">
      <c r="A726" t="inlineStr">
        <is>
          <t xml:space="preserve">Axis Mutual Fund</t>
        </is>
      </c>
      <c r="B726" t="inlineStr">
        <is>
          <t xml:space="preserve">Axis Income Plus Arbitrage Active FOF - Direct Plan - Monthly IDCW</t>
        </is>
      </c>
      <c r="C726" t="inlineStr">
        <is>
          <t xml:space="preserve">INF846K01U41</t>
        </is>
      </c>
    </row>
    <row r="727">
      <c r="A727" t="inlineStr">
        <is>
          <t xml:space="preserve">Axis Mutual Fund</t>
        </is>
      </c>
      <c r="B727" t="inlineStr">
        <is>
          <t xml:space="preserve">Axis Income Plus Arbitrage Active FOF - Direct Plan - Quarterly IDCW</t>
        </is>
      </c>
      <c r="C727" t="inlineStr">
        <is>
          <t xml:space="preserve">INF846K01U66</t>
        </is>
      </c>
    </row>
    <row r="728">
      <c r="A728" t="inlineStr">
        <is>
          <t xml:space="preserve">Axis Mutual Fund</t>
        </is>
      </c>
      <c r="B728" t="inlineStr">
        <is>
          <t xml:space="preserve">Axis Income Plus Arbitrage Active FOF - Regular Plan - Annual IDCW</t>
        </is>
      </c>
      <c r="C728" t="inlineStr">
        <is>
          <t xml:space="preserve">INF846K01V32</t>
        </is>
      </c>
    </row>
    <row r="729">
      <c r="A729" t="inlineStr">
        <is>
          <t xml:space="preserve">Axis Mutual Fund</t>
        </is>
      </c>
      <c r="B729" t="inlineStr">
        <is>
          <t xml:space="preserve">Axis Income Plus Arbitrage Active FOF - Regular Plan - Growth Option</t>
        </is>
      </c>
      <c r="C729" t="inlineStr">
        <is>
          <t xml:space="preserve">INF846K01V16</t>
        </is>
      </c>
    </row>
    <row r="730">
      <c r="A730" t="inlineStr">
        <is>
          <t xml:space="preserve">Axis Mutual Fund</t>
        </is>
      </c>
      <c r="B730" t="inlineStr">
        <is>
          <t xml:space="preserve">Axis Income Plus Arbitrage Active FOF - Regular Plan - Half Yearly IDCW</t>
        </is>
      </c>
      <c r="C730" t="inlineStr">
        <is>
          <t xml:space="preserve">INF846K01V81</t>
        </is>
      </c>
    </row>
    <row r="731">
      <c r="A731" t="inlineStr">
        <is>
          <t xml:space="preserve">Axis Mutual Fund</t>
        </is>
      </c>
      <c r="B731" t="inlineStr">
        <is>
          <t xml:space="preserve">Axis Income Plus Arbitrage Active FOF - Regular Plan - IDCW</t>
        </is>
      </c>
      <c r="C731" t="inlineStr">
        <is>
          <t xml:space="preserve">INF846K01W07</t>
        </is>
      </c>
    </row>
    <row r="732">
      <c r="A732" t="inlineStr">
        <is>
          <t xml:space="preserve">Axis Mutual Fund</t>
        </is>
      </c>
      <c r="B732" t="inlineStr">
        <is>
          <t xml:space="preserve">Axis Income Plus Arbitrage Active FOF - Regular Plan - Monthly IDCW</t>
        </is>
      </c>
      <c r="C732" t="inlineStr">
        <is>
          <t xml:space="preserve">INF846K01V57</t>
        </is>
      </c>
    </row>
    <row r="733">
      <c r="A733" t="inlineStr">
        <is>
          <t xml:space="preserve">Axis Mutual Fund</t>
        </is>
      </c>
      <c r="B733" t="inlineStr">
        <is>
          <t xml:space="preserve">Axis Income Plus Arbitrage Active FOF - Regular Plan - Quarterly IDCW</t>
        </is>
      </c>
      <c r="C733" t="inlineStr">
        <is>
          <t xml:space="preserve">INF846K01V73</t>
        </is>
      </c>
    </row>
    <row r="734">
      <c r="A734" t="inlineStr">
        <is>
          <t xml:space="preserve">Axis Mutual Fund</t>
        </is>
      </c>
      <c r="B734" t="inlineStr">
        <is>
          <t xml:space="preserve">Axis Income Plus Arbitrage Passive FOF - Direct Plan - Growth Option</t>
        </is>
      </c>
      <c r="C734" t="inlineStr">
        <is>
          <t xml:space="preserve">INF846KA1283</t>
        </is>
      </c>
    </row>
    <row r="735">
      <c r="A735" t="inlineStr">
        <is>
          <t xml:space="preserve">Axis Mutual Fund</t>
        </is>
      </c>
      <c r="B735" t="inlineStr">
        <is>
          <t xml:space="preserve">Axis Income Plus Arbitrage Passive FOF - Direct Plan - IDCW Option</t>
        </is>
      </c>
      <c r="C735" t="inlineStr">
        <is>
          <t xml:space="preserve">INF846KA1309</t>
        </is>
      </c>
    </row>
    <row r="736">
      <c r="A736" t="inlineStr">
        <is>
          <t xml:space="preserve">Axis Mutual Fund</t>
        </is>
      </c>
      <c r="B736" t="inlineStr">
        <is>
          <t xml:space="preserve">Axis Income Plus Arbitrage Passive FOF - Regular Plan - Growth Option</t>
        </is>
      </c>
      <c r="C736" t="inlineStr">
        <is>
          <t xml:space="preserve">INF846KA1275</t>
        </is>
      </c>
    </row>
    <row r="737">
      <c r="A737" t="inlineStr">
        <is>
          <t xml:space="preserve">Axis Mutual Fund</t>
        </is>
      </c>
      <c r="B737" t="inlineStr">
        <is>
          <t xml:space="preserve">Axis Income Plus Arbitrage Passive FOF - Regular Plan - IDCW Option</t>
        </is>
      </c>
      <c r="C737" t="inlineStr">
        <is>
          <t xml:space="preserve">INF846KA1291</t>
        </is>
      </c>
    </row>
    <row r="738">
      <c r="A738" t="inlineStr">
        <is>
          <t xml:space="preserve">Axis Mutual Fund</t>
        </is>
      </c>
      <c r="B738" t="inlineStr">
        <is>
          <t xml:space="preserve">Axis India Manufacturing Fund - Direct Plan - Growth</t>
        </is>
      </c>
      <c r="C738" t="inlineStr">
        <is>
          <t xml:space="preserve">INF846K016S3</t>
        </is>
      </c>
    </row>
    <row r="739">
      <c r="A739" t="inlineStr">
        <is>
          <t xml:space="preserve">Axis Mutual Fund</t>
        </is>
      </c>
      <c r="B739" t="inlineStr">
        <is>
          <t xml:space="preserve">Axis India Manufacturing Fund - Direct Plan - IDCW</t>
        </is>
      </c>
      <c r="C739" t="inlineStr">
        <is>
          <t xml:space="preserve">INF846K017S1</t>
        </is>
      </c>
    </row>
    <row r="740">
      <c r="A740" t="inlineStr">
        <is>
          <t xml:space="preserve">Axis Mutual Fund</t>
        </is>
      </c>
      <c r="B740" t="inlineStr">
        <is>
          <t xml:space="preserve">Axis India Manufacturing Fund - Regular Plan - Growth</t>
        </is>
      </c>
      <c r="C740" t="inlineStr">
        <is>
          <t xml:space="preserve">INF846K013S0</t>
        </is>
      </c>
    </row>
    <row r="741">
      <c r="A741" t="inlineStr">
        <is>
          <t xml:space="preserve">Axis Mutual Fund</t>
        </is>
      </c>
      <c r="B741" t="inlineStr">
        <is>
          <t xml:space="preserve">Axis India Manufacturing Fund - Regular Plan - IDCW</t>
        </is>
      </c>
      <c r="C741" t="inlineStr">
        <is>
          <t xml:space="preserve">INF846K014S8</t>
        </is>
      </c>
    </row>
    <row r="742">
      <c r="A742" t="inlineStr">
        <is>
          <t xml:space="preserve">Axis Mutual Fund</t>
        </is>
      </c>
      <c r="B742" t="inlineStr">
        <is>
          <t xml:space="preserve">Axis Innovation Fund - Direct Plan - Growth Option</t>
        </is>
      </c>
      <c r="C742" t="inlineStr">
        <is>
          <t xml:space="preserve">INF846K01X71</t>
        </is>
      </c>
    </row>
    <row r="743">
      <c r="A743" t="inlineStr">
        <is>
          <t xml:space="preserve">Axis Mutual Fund</t>
        </is>
      </c>
      <c r="B743" t="inlineStr">
        <is>
          <t xml:space="preserve">Axis Innovation Fund - Direct Plan - IDCW</t>
        </is>
      </c>
      <c r="C743" t="inlineStr">
        <is>
          <t xml:space="preserve">INF846K01X89</t>
        </is>
      </c>
    </row>
    <row r="744">
      <c r="A744" t="inlineStr">
        <is>
          <t xml:space="preserve">Axis Mutual Fund</t>
        </is>
      </c>
      <c r="B744" t="inlineStr">
        <is>
          <t xml:space="preserve">Axis Innovation Fund - Regular Plan - Growth Option</t>
        </is>
      </c>
      <c r="C744" t="inlineStr">
        <is>
          <t xml:space="preserve">INF846K01Y05</t>
        </is>
      </c>
    </row>
    <row r="745">
      <c r="A745" t="inlineStr">
        <is>
          <t xml:space="preserve">Axis Mutual Fund</t>
        </is>
      </c>
      <c r="B745" t="inlineStr">
        <is>
          <t xml:space="preserve">Axis Innovation Fund - Regular Plan - IDCW</t>
        </is>
      </c>
      <c r="C745" t="inlineStr">
        <is>
          <t xml:space="preserve">INF846K01Y13</t>
        </is>
      </c>
    </row>
    <row r="746">
      <c r="A746" t="inlineStr">
        <is>
          <t xml:space="preserve">Axis Mutual Fund</t>
        </is>
      </c>
      <c r="B746" t="inlineStr">
        <is>
          <t xml:space="preserve">Axis IT ETF</t>
        </is>
      </c>
      <c r="C746" t="inlineStr">
        <is>
          <t xml:space="preserve">INF846K01Y96</t>
        </is>
      </c>
    </row>
    <row r="747">
      <c r="A747" t="inlineStr">
        <is>
          <t xml:space="preserve">Axis Mutual Fund</t>
        </is>
      </c>
      <c r="B747" t="inlineStr">
        <is>
          <t xml:space="preserve">Axis Large &amp; Mid Cap Fund - Direct Plan - Growth</t>
        </is>
      </c>
      <c r="C747" t="inlineStr">
        <is>
          <t xml:space="preserve">INF846K01J46</t>
        </is>
      </c>
    </row>
    <row r="748">
      <c r="A748" t="inlineStr">
        <is>
          <t xml:space="preserve">Axis Mutual Fund</t>
        </is>
      </c>
      <c r="B748" t="inlineStr">
        <is>
          <t xml:space="preserve">Axis Large &amp; Mid Cap Fund - Direct Plan - IDCW</t>
        </is>
      </c>
      <c r="C748" t="inlineStr">
        <is>
          <t xml:space="preserve">INF846K01J53</t>
        </is>
      </c>
    </row>
    <row r="749">
      <c r="A749" t="inlineStr">
        <is>
          <t xml:space="preserve">Axis Mutual Fund</t>
        </is>
      </c>
      <c r="B749" t="inlineStr">
        <is>
          <t xml:space="preserve">Axis Large &amp; Mid Cap Fund - Regular Plan - Growth</t>
        </is>
      </c>
      <c r="C749" t="inlineStr">
        <is>
          <t xml:space="preserve">INF846K01J79</t>
        </is>
      </c>
    </row>
    <row r="750">
      <c r="A750" t="inlineStr">
        <is>
          <t xml:space="preserve">Axis Mutual Fund</t>
        </is>
      </c>
      <c r="B750" t="inlineStr">
        <is>
          <t xml:space="preserve">Axis Large &amp; Mid Cap Fund - Regular Plan - IDCW</t>
        </is>
      </c>
      <c r="C750" t="inlineStr">
        <is>
          <t xml:space="preserve">INF846K01J87</t>
        </is>
      </c>
    </row>
    <row r="751">
      <c r="A751" t="inlineStr">
        <is>
          <t xml:space="preserve">Axis Mutual Fund</t>
        </is>
      </c>
      <c r="B751" t="inlineStr">
        <is>
          <t xml:space="preserve">Axis Large Cap Fund - Direct Plan - Growth</t>
        </is>
      </c>
      <c r="C751" t="inlineStr">
        <is>
          <t xml:space="preserve">INF846K01DP8</t>
        </is>
      </c>
    </row>
    <row r="752">
      <c r="A752" t="inlineStr">
        <is>
          <t xml:space="preserve">Axis Mutual Fund</t>
        </is>
      </c>
      <c r="B752" t="inlineStr">
        <is>
          <t xml:space="preserve">Axis Large Cap Fund - Direct Plan - IDCW</t>
        </is>
      </c>
      <c r="C752" t="inlineStr">
        <is>
          <t xml:space="preserve">INF846K01DN3</t>
        </is>
      </c>
    </row>
    <row r="753">
      <c r="A753" t="inlineStr">
        <is>
          <t xml:space="preserve">Axis Mutual Fund</t>
        </is>
      </c>
      <c r="B753" t="inlineStr">
        <is>
          <t xml:space="preserve">Axis Large Cap Fund - Regular Plan - Growth</t>
        </is>
      </c>
      <c r="C753" t="inlineStr">
        <is>
          <t xml:space="preserve">INF846K01164</t>
        </is>
      </c>
    </row>
    <row r="754">
      <c r="A754" t="inlineStr">
        <is>
          <t xml:space="preserve">Axis Mutual Fund</t>
        </is>
      </c>
      <c r="B754" t="inlineStr">
        <is>
          <t xml:space="preserve">Axis Large Cap Fund - Regular Plan - IDCW</t>
        </is>
      </c>
      <c r="C754" t="inlineStr">
        <is>
          <t xml:space="preserve">INF846K01172</t>
        </is>
      </c>
    </row>
    <row r="755">
      <c r="A755" t="inlineStr">
        <is>
          <t xml:space="preserve">Axis Mutual Fund</t>
        </is>
      </c>
      <c r="B755" t="inlineStr">
        <is>
          <t xml:space="preserve">Axis Liquid Fund - Direct plan - Bonus Option</t>
        </is>
      </c>
      <c r="C755" t="inlineStr">
        <is>
          <t xml:space="preserve">INF846K01NH4</t>
        </is>
      </c>
    </row>
    <row r="756">
      <c r="A756" t="inlineStr">
        <is>
          <t xml:space="preserve">Axis Mutual Fund</t>
        </is>
      </c>
      <c r="B756" t="inlineStr">
        <is>
          <t xml:space="preserve">Axis Liquid Fund - Direct Plan - Daily IDCW</t>
        </is>
      </c>
      <c r="C756" t="inlineStr">
        <is>
          <t xml:space="preserve">INF846K01DA0</t>
        </is>
      </c>
    </row>
    <row r="757">
      <c r="A757" t="inlineStr">
        <is>
          <t xml:space="preserve">Axis Mutual Fund</t>
        </is>
      </c>
      <c r="B757" t="inlineStr">
        <is>
          <t xml:space="preserve">Axis Liquid Fund - Direct Plan - Growth Option</t>
        </is>
      </c>
      <c r="C757" t="inlineStr">
        <is>
          <t xml:space="preserve">INF846K01CX4</t>
        </is>
      </c>
    </row>
    <row r="758">
      <c r="A758" t="inlineStr">
        <is>
          <t xml:space="preserve">Axis Mutual Fund</t>
        </is>
      </c>
      <c r="B758" t="inlineStr">
        <is>
          <t xml:space="preserve">Axis Liquid Fund - Direct Plan - Monthly IDCW</t>
        </is>
      </c>
      <c r="C758" t="inlineStr">
        <is>
          <t xml:space="preserve">INF846K01CY2</t>
        </is>
      </c>
    </row>
    <row r="759">
      <c r="A759" t="inlineStr">
        <is>
          <t xml:space="preserve">Axis Mutual Fund</t>
        </is>
      </c>
      <c r="B759" t="inlineStr">
        <is>
          <t xml:space="preserve">Axis Liquid Fund - Direct Plan - Weekly IDCW</t>
        </is>
      </c>
      <c r="C759" t="inlineStr">
        <is>
          <t xml:space="preserve">INF846K01DB8</t>
        </is>
      </c>
    </row>
    <row r="760">
      <c r="A760" t="inlineStr">
        <is>
          <t xml:space="preserve">Axis Mutual Fund</t>
        </is>
      </c>
      <c r="B760" t="inlineStr">
        <is>
          <t xml:space="preserve">Axis Liquid Fund - Regular Plan - Daily IDCW</t>
        </is>
      </c>
      <c r="C760" t="inlineStr">
        <is>
          <t xml:space="preserve">INF846K01420</t>
        </is>
      </c>
    </row>
    <row r="761">
      <c r="A761" t="inlineStr">
        <is>
          <t xml:space="preserve">Axis Mutual Fund</t>
        </is>
      </c>
      <c r="B761" t="inlineStr">
        <is>
          <t xml:space="preserve">Axis Liquid Fund - Regular Plan - Growth Option</t>
        </is>
      </c>
      <c r="C761" t="inlineStr">
        <is>
          <t xml:space="preserve">INF846K01412</t>
        </is>
      </c>
    </row>
    <row r="762">
      <c r="A762" t="inlineStr">
        <is>
          <t xml:space="preserve">Axis Mutual Fund</t>
        </is>
      </c>
      <c r="B762" t="inlineStr">
        <is>
          <t xml:space="preserve">Axis Liquid Fund - Regular Plan - Monthly IDCW</t>
        </is>
      </c>
      <c r="C762" t="inlineStr">
        <is>
          <t xml:space="preserve">INF846K01453</t>
        </is>
      </c>
    </row>
    <row r="763">
      <c r="A763" t="inlineStr">
        <is>
          <t xml:space="preserve">Axis Mutual Fund</t>
        </is>
      </c>
      <c r="B763" t="inlineStr">
        <is>
          <t xml:space="preserve">Axis Liquid Fund - Regular Plan - Weekly IDCW</t>
        </is>
      </c>
      <c r="C763" t="inlineStr">
        <is>
          <t xml:space="preserve">INF846K01438</t>
        </is>
      </c>
    </row>
    <row r="764">
      <c r="A764" t="inlineStr">
        <is>
          <t xml:space="preserve">Axis Mutual Fund</t>
        </is>
      </c>
      <c r="B764" t="inlineStr">
        <is>
          <t xml:space="preserve">Axis Liquid Fund - Retail Plan - Daily IDCW</t>
        </is>
      </c>
      <c r="C764" t="inlineStr">
        <is>
          <t xml:space="preserve">INF846K01362</t>
        </is>
      </c>
    </row>
    <row r="765">
      <c r="A765" t="inlineStr">
        <is>
          <t xml:space="preserve">Axis Mutual Fund</t>
        </is>
      </c>
      <c r="B765" t="inlineStr">
        <is>
          <t xml:space="preserve">Axis Liquid Fund - Retail Plan - Growth Option</t>
        </is>
      </c>
      <c r="C765" t="inlineStr">
        <is>
          <t xml:space="preserve">INF846K01354</t>
        </is>
      </c>
    </row>
    <row r="766">
      <c r="A766" t="inlineStr">
        <is>
          <t xml:space="preserve">Axis Mutual Fund</t>
        </is>
      </c>
      <c r="B766" t="inlineStr">
        <is>
          <t xml:space="preserve">Axis Liquid Fund - Retail Plan - Monthly IDCW</t>
        </is>
      </c>
      <c r="C766" t="inlineStr">
        <is>
          <t xml:space="preserve">INF846K01396</t>
        </is>
      </c>
    </row>
    <row r="767">
      <c r="A767" t="inlineStr">
        <is>
          <t xml:space="preserve">Axis Mutual Fund</t>
        </is>
      </c>
      <c r="B767" t="inlineStr">
        <is>
          <t xml:space="preserve">Axis Liquid Fund - Retail Plan - Weekly IDCW</t>
        </is>
      </c>
      <c r="C767" t="inlineStr">
        <is>
          <t xml:space="preserve">INF846K01370</t>
        </is>
      </c>
    </row>
    <row r="768">
      <c r="A768" t="inlineStr">
        <is>
          <t xml:space="preserve">Axis Mutual Fund</t>
        </is>
      </c>
      <c r="B768" t="inlineStr">
        <is>
          <t xml:space="preserve">Axis Long Duration Fund - Direct Plan - Annual IDCW</t>
        </is>
      </c>
      <c r="C768" t="inlineStr">
        <is>
          <t xml:space="preserve">INF846K017M4</t>
        </is>
      </c>
    </row>
    <row r="769">
      <c r="A769" t="inlineStr">
        <is>
          <t xml:space="preserve">Axis Mutual Fund</t>
        </is>
      </c>
      <c r="B769" t="inlineStr">
        <is>
          <t xml:space="preserve">Axis Long Duration Fund - Direct Plan - Growth</t>
        </is>
      </c>
      <c r="C769" t="inlineStr">
        <is>
          <t xml:space="preserve">INF846K014L3</t>
        </is>
      </c>
    </row>
    <row r="770">
      <c r="A770" t="inlineStr">
        <is>
          <t xml:space="preserve">Axis Mutual Fund</t>
        </is>
      </c>
      <c r="B770" t="inlineStr">
        <is>
          <t xml:space="preserve">Axis Long Duration Fund - Direct Plan - Monthly IDCW</t>
        </is>
      </c>
      <c r="C770" t="inlineStr">
        <is>
          <t xml:space="preserve">INF846K019L2</t>
        </is>
      </c>
    </row>
    <row r="771">
      <c r="A771" t="inlineStr">
        <is>
          <t xml:space="preserve">Axis Mutual Fund</t>
        </is>
      </c>
      <c r="B771" t="inlineStr">
        <is>
          <t xml:space="preserve">Axis Long Duration Fund - Direct Plan - Quarterly IDCW</t>
        </is>
      </c>
      <c r="C771" t="inlineStr">
        <is>
          <t xml:space="preserve">INF846K013M3</t>
        </is>
      </c>
    </row>
    <row r="772">
      <c r="A772" t="inlineStr">
        <is>
          <t xml:space="preserve">Axis Mutual Fund</t>
        </is>
      </c>
      <c r="B772" t="inlineStr">
        <is>
          <t xml:space="preserve">Axis Long Duration Fund - Direct Plan -Daily IDCW</t>
        </is>
      </c>
      <c r="C772" t="inlineStr">
        <is>
          <t xml:space="preserve">INF846K017L6</t>
        </is>
      </c>
    </row>
    <row r="773">
      <c r="A773" t="inlineStr">
        <is>
          <t xml:space="preserve">Axis Mutual Fund</t>
        </is>
      </c>
      <c r="B773" t="inlineStr">
        <is>
          <t xml:space="preserve">Axis Long Duration Fund - Regular Plan - Annual IDCW</t>
        </is>
      </c>
      <c r="C773" t="inlineStr">
        <is>
          <t xml:space="preserve">INF846K016M6</t>
        </is>
      </c>
    </row>
    <row r="774">
      <c r="A774" t="inlineStr">
        <is>
          <t xml:space="preserve">Axis Mutual Fund</t>
        </is>
      </c>
      <c r="B774" t="inlineStr">
        <is>
          <t xml:space="preserve">Axis Long Duration Fund - Regular Plan - Daily IDCW</t>
        </is>
      </c>
      <c r="C774" t="inlineStr">
        <is>
          <t xml:space="preserve">INF846K016L8</t>
        </is>
      </c>
    </row>
    <row r="775">
      <c r="A775" t="inlineStr">
        <is>
          <t xml:space="preserve">Axis Mutual Fund</t>
        </is>
      </c>
      <c r="B775" t="inlineStr">
        <is>
          <t xml:space="preserve">Axis Long Duration Fund - Regular Plan - Growth</t>
        </is>
      </c>
      <c r="C775" t="inlineStr">
        <is>
          <t xml:space="preserve">INF846K015L0</t>
        </is>
      </c>
    </row>
    <row r="776">
      <c r="A776" t="inlineStr">
        <is>
          <t xml:space="preserve">Axis Mutual Fund</t>
        </is>
      </c>
      <c r="B776" t="inlineStr">
        <is>
          <t xml:space="preserve">Axis Long Duration Fund - Regular Plan - Monthly IDCW</t>
        </is>
      </c>
      <c r="C776" t="inlineStr">
        <is>
          <t xml:space="preserve">INF846K018L4</t>
        </is>
      </c>
    </row>
    <row r="777">
      <c r="A777" t="inlineStr">
        <is>
          <t xml:space="preserve">Axis Mutual Fund</t>
        </is>
      </c>
      <c r="B777" t="inlineStr">
        <is>
          <t xml:space="preserve">Axis Long Duration Fund - Regular Plan - Quarterly IDCW</t>
        </is>
      </c>
      <c r="C777" t="inlineStr">
        <is>
          <t xml:space="preserve">INF846K012M5</t>
        </is>
      </c>
    </row>
    <row r="778">
      <c r="A778" t="inlineStr">
        <is>
          <t xml:space="preserve">Axis Mutual Fund</t>
        </is>
      </c>
      <c r="B778" t="inlineStr">
        <is>
          <t xml:space="preserve">Axis Midcap Fund - Direct Plan - Growth</t>
        </is>
      </c>
      <c r="C778" t="inlineStr">
        <is>
          <t xml:space="preserve">INF846K01EH3</t>
        </is>
      </c>
    </row>
    <row r="779">
      <c r="A779" t="inlineStr">
        <is>
          <t xml:space="preserve">Axis Mutual Fund</t>
        </is>
      </c>
      <c r="B779" t="inlineStr">
        <is>
          <t xml:space="preserve">Axis Midcap Fund - Direct Plan - IDCW</t>
        </is>
      </c>
      <c r="C779" t="inlineStr">
        <is>
          <t xml:space="preserve">INF846K01EF7</t>
        </is>
      </c>
    </row>
    <row r="780">
      <c r="A780" t="inlineStr">
        <is>
          <t xml:space="preserve">Axis Mutual Fund</t>
        </is>
      </c>
      <c r="B780" t="inlineStr">
        <is>
          <t xml:space="preserve">Axis Midcap Fund - Regular Plan - Growth</t>
        </is>
      </c>
      <c r="C780" t="inlineStr">
        <is>
          <t xml:space="preserve">INF846K01859</t>
        </is>
      </c>
    </row>
    <row r="781">
      <c r="A781" t="inlineStr">
        <is>
          <t xml:space="preserve">Axis Mutual Fund</t>
        </is>
      </c>
      <c r="B781" t="inlineStr">
        <is>
          <t xml:space="preserve">Axis Midcap Fund - Regular Plan - IDCW</t>
        </is>
      </c>
      <c r="C781" t="inlineStr">
        <is>
          <t xml:space="preserve">INF846K01867</t>
        </is>
      </c>
    </row>
    <row r="782">
      <c r="A782" t="inlineStr">
        <is>
          <t xml:space="preserve">Axis Mutual Fund</t>
        </is>
      </c>
      <c r="B782" t="inlineStr">
        <is>
          <t xml:space="preserve">Axis Momentum Fund - Direct Plan - Growth Option</t>
        </is>
      </c>
      <c r="C782" t="inlineStr">
        <is>
          <t xml:space="preserve">INF846K011Z9</t>
        </is>
      </c>
    </row>
    <row r="783">
      <c r="A783" t="inlineStr">
        <is>
          <t xml:space="preserve">Axis Mutual Fund</t>
        </is>
      </c>
      <c r="B783" t="inlineStr">
        <is>
          <t xml:space="preserve">Axis Momentum Fund - Direct Plan - IDCW Option</t>
        </is>
      </c>
      <c r="C783" t="inlineStr">
        <is>
          <t xml:space="preserve">INF846K013Z5</t>
        </is>
      </c>
    </row>
    <row r="784">
      <c r="A784" t="inlineStr">
        <is>
          <t xml:space="preserve">Axis Mutual Fund</t>
        </is>
      </c>
      <c r="B784" t="inlineStr">
        <is>
          <t xml:space="preserve">Axis Momentum Fund - Regular Plan - Growth Option</t>
        </is>
      </c>
      <c r="C784" t="inlineStr">
        <is>
          <t xml:space="preserve">INF846K010Z1</t>
        </is>
      </c>
    </row>
    <row r="785">
      <c r="A785" t="inlineStr">
        <is>
          <t xml:space="preserve">Axis Mutual Fund</t>
        </is>
      </c>
      <c r="B785" t="inlineStr">
        <is>
          <t xml:space="preserve">Axis Momentum Fund - Regular Plan - IDCW Option</t>
        </is>
      </c>
      <c r="C785" t="inlineStr">
        <is>
          <t xml:space="preserve">INF846K012Z7</t>
        </is>
      </c>
    </row>
    <row r="786">
      <c r="A786" t="inlineStr">
        <is>
          <t xml:space="preserve">Axis Mutual Fund</t>
        </is>
      </c>
      <c r="B786" t="inlineStr">
        <is>
          <t xml:space="preserve">Axis Money Market Fund - Direct Plan - Annual IDCW</t>
        </is>
      </c>
      <c r="C786" t="inlineStr">
        <is>
          <t xml:space="preserve">INF846K01Q96</t>
        </is>
      </c>
    </row>
    <row r="787">
      <c r="A787" t="inlineStr">
        <is>
          <t xml:space="preserve">Axis Mutual Fund</t>
        </is>
      </c>
      <c r="B787" t="inlineStr">
        <is>
          <t xml:space="preserve">Axis Money Market Fund - Direct Plan - Daily IDCW</t>
        </is>
      </c>
      <c r="C787" t="inlineStr">
        <is>
          <t xml:space="preserve">INF846K01Q70</t>
        </is>
      </c>
    </row>
    <row r="788">
      <c r="A788" t="inlineStr">
        <is>
          <t xml:space="preserve">Axis Mutual Fund</t>
        </is>
      </c>
      <c r="B788" t="inlineStr">
        <is>
          <t xml:space="preserve">Axis Money Market Fund - Direct Plan - Growth Option</t>
        </is>
      </c>
      <c r="C788" t="inlineStr">
        <is>
          <t xml:space="preserve">INF846K01Q62</t>
        </is>
      </c>
    </row>
    <row r="789">
      <c r="A789" t="inlineStr">
        <is>
          <t xml:space="preserve">Axis Mutual Fund</t>
        </is>
      </c>
      <c r="B789" t="inlineStr">
        <is>
          <t xml:space="preserve">Axis Money Market Fund - Direct Plan - Monthly IDCW</t>
        </is>
      </c>
      <c r="C789" t="inlineStr">
        <is>
          <t xml:space="preserve">INF846K01R12</t>
        </is>
      </c>
    </row>
    <row r="790">
      <c r="A790" t="inlineStr">
        <is>
          <t xml:space="preserve">Axis Mutual Fund</t>
        </is>
      </c>
      <c r="B790" t="inlineStr">
        <is>
          <t xml:space="preserve">Axis Money Market Fund - Direct Plan - Quarterly IDCW</t>
        </is>
      </c>
      <c r="C790" t="inlineStr">
        <is>
          <t xml:space="preserve">INF846K01R38</t>
        </is>
      </c>
    </row>
    <row r="791">
      <c r="A791" t="inlineStr">
        <is>
          <t xml:space="preserve">Axis Mutual Fund</t>
        </is>
      </c>
      <c r="B791" t="inlineStr">
        <is>
          <t xml:space="preserve">Axis Money Market Fund - Regular Plan - Annual IDCW</t>
        </is>
      </c>
      <c r="C791" t="inlineStr">
        <is>
          <t xml:space="preserve">INF846K01R79</t>
        </is>
      </c>
    </row>
    <row r="792">
      <c r="A792" t="inlineStr">
        <is>
          <t xml:space="preserve">Axis Mutual Fund</t>
        </is>
      </c>
      <c r="B792" t="inlineStr">
        <is>
          <t xml:space="preserve">Axis Money Market Fund - Regular Plan - Daily IDCW</t>
        </is>
      </c>
      <c r="C792" t="inlineStr">
        <is>
          <t xml:space="preserve">INF846K01R53</t>
        </is>
      </c>
    </row>
    <row r="793">
      <c r="A793" t="inlineStr">
        <is>
          <t xml:space="preserve">Axis Mutual Fund</t>
        </is>
      </c>
      <c r="B793" t="inlineStr">
        <is>
          <t xml:space="preserve">Axis Money Market Fund - Regular Plan - Growth Option</t>
        </is>
      </c>
      <c r="C793" t="inlineStr">
        <is>
          <t xml:space="preserve">INF846K01R46</t>
        </is>
      </c>
    </row>
    <row r="794">
      <c r="A794" t="inlineStr">
        <is>
          <t xml:space="preserve">Axis Mutual Fund</t>
        </is>
      </c>
      <c r="B794" t="inlineStr">
        <is>
          <t xml:space="preserve">Axis Money Market Fund - Regular Plan - Monthly IDCW</t>
        </is>
      </c>
      <c r="C794" t="inlineStr">
        <is>
          <t xml:space="preserve">INF846K01R95</t>
        </is>
      </c>
    </row>
    <row r="795">
      <c r="A795" t="inlineStr">
        <is>
          <t xml:space="preserve">Axis Mutual Fund</t>
        </is>
      </c>
      <c r="B795" t="inlineStr">
        <is>
          <t xml:space="preserve">Axis Money Market Fund - Regular Plan - Quarterly IDCW</t>
        </is>
      </c>
      <c r="C795" t="inlineStr">
        <is>
          <t xml:space="preserve">INF846K01S11</t>
        </is>
      </c>
    </row>
    <row r="796">
      <c r="A796" t="inlineStr">
        <is>
          <t xml:space="preserve">Axis Mutual Fund</t>
        </is>
      </c>
      <c r="B796" t="inlineStr">
        <is>
          <t xml:space="preserve">Axis Multi Asset Allocation Fund - Direct Plan - Growth Option</t>
        </is>
      </c>
      <c r="C796" t="inlineStr">
        <is>
          <t xml:space="preserve">INF846K01EV4</t>
        </is>
      </c>
    </row>
    <row r="797">
      <c r="A797" t="inlineStr">
        <is>
          <t xml:space="preserve">Axis Mutual Fund</t>
        </is>
      </c>
      <c r="B797" t="inlineStr">
        <is>
          <t xml:space="preserve">Axis Multi Asset Allocation Fund - Direct Plan - Monthly IDCW</t>
        </is>
      </c>
      <c r="C797" t="inlineStr">
        <is>
          <t xml:space="preserve">INF846K01ET8</t>
        </is>
      </c>
    </row>
    <row r="798">
      <c r="A798" t="inlineStr">
        <is>
          <t xml:space="preserve">Axis Mutual Fund</t>
        </is>
      </c>
      <c r="B798" t="inlineStr">
        <is>
          <t xml:space="preserve">Axis Multi Asset Allocation Fund - Regular Plan - Growth Option</t>
        </is>
      </c>
      <c r="C798" t="inlineStr">
        <is>
          <t xml:space="preserve">INF846K01768</t>
        </is>
      </c>
    </row>
    <row r="799">
      <c r="A799" t="inlineStr">
        <is>
          <t xml:space="preserve">Axis Mutual Fund</t>
        </is>
      </c>
      <c r="B799" t="inlineStr">
        <is>
          <t xml:space="preserve">Axis Multi Asset Allocation Fund - Regular Plan - Monthly IDCW</t>
        </is>
      </c>
      <c r="C799" t="inlineStr">
        <is>
          <t xml:space="preserve">INF846K01776</t>
        </is>
      </c>
    </row>
    <row r="800">
      <c r="A800" t="inlineStr">
        <is>
          <t xml:space="preserve">Axis Mutual Fund</t>
        </is>
      </c>
      <c r="B800" t="inlineStr">
        <is>
          <t xml:space="preserve">Axis Multi Factor Passive FoF - Direct Plan - Growth Option</t>
        </is>
      </c>
      <c r="C800" t="inlineStr">
        <is>
          <t xml:space="preserve">INF846K011G9</t>
        </is>
      </c>
    </row>
    <row r="801">
      <c r="A801" t="inlineStr">
        <is>
          <t xml:space="preserve">Axis Mutual Fund</t>
        </is>
      </c>
      <c r="B801" t="inlineStr">
        <is>
          <t xml:space="preserve">Axis Multi Factor Passive FoF - Direct Plan - IDCW</t>
        </is>
      </c>
      <c r="C801" t="inlineStr">
        <is>
          <t xml:space="preserve">INF846K012G7</t>
        </is>
      </c>
    </row>
    <row r="802">
      <c r="A802" t="inlineStr">
        <is>
          <t xml:space="preserve">Axis Mutual Fund</t>
        </is>
      </c>
      <c r="B802" t="inlineStr">
        <is>
          <t xml:space="preserve">Axis Multi Factor Passive FoF - Regular Plan - Growth Option</t>
        </is>
      </c>
      <c r="C802" t="inlineStr">
        <is>
          <t xml:space="preserve">INF846K014G3</t>
        </is>
      </c>
    </row>
    <row r="803">
      <c r="A803" t="inlineStr">
        <is>
          <t xml:space="preserve">Axis Mutual Fund</t>
        </is>
      </c>
      <c r="B803" t="inlineStr">
        <is>
          <t xml:space="preserve">Axis Multi Factor Passive FoF - Regular Plan - IDCW</t>
        </is>
      </c>
      <c r="C803" t="inlineStr">
        <is>
          <t xml:space="preserve">INF846K015G0</t>
        </is>
      </c>
    </row>
    <row r="804">
      <c r="A804" t="inlineStr">
        <is>
          <t xml:space="preserve">Axis Mutual Fund</t>
        </is>
      </c>
      <c r="B804" t="inlineStr">
        <is>
          <t xml:space="preserve">Axis Multi-Asset Active FoF - Direct Plan - Growth</t>
        </is>
      </c>
      <c r="C804" t="inlineStr">
        <is>
          <t xml:space="preserve">INF846KA1366</t>
        </is>
      </c>
    </row>
    <row r="805">
      <c r="A805" t="inlineStr">
        <is>
          <t xml:space="preserve">Axis Mutual Fund</t>
        </is>
      </c>
      <c r="B805" t="inlineStr">
        <is>
          <t xml:space="preserve">Axis Multi-Asset Active FoF - Direct Plan - IDCW</t>
        </is>
      </c>
      <c r="C805" t="inlineStr">
        <is>
          <t xml:space="preserve">INF846KA1374</t>
        </is>
      </c>
    </row>
    <row r="806">
      <c r="A806" t="inlineStr">
        <is>
          <t xml:space="preserve">Axis Mutual Fund</t>
        </is>
      </c>
      <c r="B806" t="inlineStr">
        <is>
          <t xml:space="preserve">Axis Multi-Asset Active FoF - Regular Plan - Growth</t>
        </is>
      </c>
      <c r="C806" t="inlineStr">
        <is>
          <t xml:space="preserve">INF846KA1333</t>
        </is>
      </c>
    </row>
    <row r="807">
      <c r="A807" t="inlineStr">
        <is>
          <t xml:space="preserve">Axis Mutual Fund</t>
        </is>
      </c>
      <c r="B807" t="inlineStr">
        <is>
          <t xml:space="preserve">Axis Multi-Asset Active FoF - Regular Plan - IDCW</t>
        </is>
      </c>
      <c r="C807" t="inlineStr">
        <is>
          <t xml:space="preserve">INF846KA1341</t>
        </is>
      </c>
    </row>
    <row r="808">
      <c r="A808" t="inlineStr">
        <is>
          <t xml:space="preserve">Axis Mutual Fund</t>
        </is>
      </c>
      <c r="B808" t="inlineStr">
        <is>
          <t xml:space="preserve">Axis Multicap Fund - Direct Growth</t>
        </is>
      </c>
      <c r="C808" t="inlineStr">
        <is>
          <t xml:space="preserve">INF846K013E0</t>
        </is>
      </c>
    </row>
    <row r="809">
      <c r="A809" t="inlineStr">
        <is>
          <t xml:space="preserve">Axis Mutual Fund</t>
        </is>
      </c>
      <c r="B809" t="inlineStr">
        <is>
          <t xml:space="preserve">Axis Multicap Fund - Direct Plan - IDCW</t>
        </is>
      </c>
      <c r="C809" t="inlineStr">
        <is>
          <t xml:space="preserve">INF846K014E8</t>
        </is>
      </c>
    </row>
    <row r="810">
      <c r="A810" t="inlineStr">
        <is>
          <t xml:space="preserve">Axis Mutual Fund</t>
        </is>
      </c>
      <c r="B810" t="inlineStr">
        <is>
          <t xml:space="preserve">Axis Multicap Fund - Regular Plan - Growth</t>
        </is>
      </c>
      <c r="C810" t="inlineStr">
        <is>
          <t xml:space="preserve">INF846K016E3</t>
        </is>
      </c>
    </row>
    <row r="811">
      <c r="A811" t="inlineStr">
        <is>
          <t xml:space="preserve">Axis Mutual Fund</t>
        </is>
      </c>
      <c r="B811" t="inlineStr">
        <is>
          <t xml:space="preserve">Axis Multicap Fund - Regular Plan - IDCW</t>
        </is>
      </c>
      <c r="C811" t="inlineStr">
        <is>
          <t xml:space="preserve">INF846K017E1</t>
        </is>
      </c>
    </row>
    <row r="812">
      <c r="A812" t="inlineStr">
        <is>
          <t xml:space="preserve">Axis Mutual Fund</t>
        </is>
      </c>
      <c r="B812" t="inlineStr">
        <is>
          <t xml:space="preserve">Axis NASDAQ 100 US Specific Equity Passive FOF - Direct Plan - Growth</t>
        </is>
      </c>
      <c r="C812" t="inlineStr">
        <is>
          <t xml:space="preserve">INF846K012K9</t>
        </is>
      </c>
    </row>
    <row r="813">
      <c r="A813" t="inlineStr">
        <is>
          <t xml:space="preserve">Axis Mutual Fund</t>
        </is>
      </c>
      <c r="B813" t="inlineStr">
        <is>
          <t xml:space="preserve">Axis NASDAQ 100 US Specific Equity Passive FOF - Direct Plan - IDCW</t>
        </is>
      </c>
      <c r="C813" t="inlineStr">
        <is>
          <t xml:space="preserve">INF846K013K7</t>
        </is>
      </c>
    </row>
    <row r="814">
      <c r="A814" t="inlineStr">
        <is>
          <t xml:space="preserve">Axis Mutual Fund</t>
        </is>
      </c>
      <c r="B814" t="inlineStr">
        <is>
          <t xml:space="preserve">Axis NASDAQ 100 US Specific Equity Passive FOF - Regular Plan - Growth</t>
        </is>
      </c>
      <c r="C814" t="inlineStr">
        <is>
          <t xml:space="preserve">INF846K015K2</t>
        </is>
      </c>
    </row>
    <row r="815">
      <c r="A815" t="inlineStr">
        <is>
          <t xml:space="preserve">Axis Mutual Fund</t>
        </is>
      </c>
      <c r="B815" t="inlineStr">
        <is>
          <t xml:space="preserve">Axis NASDAQ 100 US Specific Equity Passive FOF - Regular Plan - IDCW</t>
        </is>
      </c>
      <c r="C815" t="inlineStr">
        <is>
          <t xml:space="preserve">INF846K016K0</t>
        </is>
      </c>
    </row>
    <row r="816">
      <c r="A816" t="inlineStr">
        <is>
          <t xml:space="preserve">Axis Mutual Fund</t>
        </is>
      </c>
      <c r="B816" t="inlineStr">
        <is>
          <t xml:space="preserve">Axis Nifty 100 Index Fund - Direct Plan - Growth Option</t>
        </is>
      </c>
      <c r="C816" t="inlineStr">
        <is>
          <t xml:space="preserve">INF846K01S29</t>
        </is>
      </c>
    </row>
    <row r="817">
      <c r="A817" t="inlineStr">
        <is>
          <t xml:space="preserve">Axis Mutual Fund</t>
        </is>
      </c>
      <c r="B817" t="inlineStr">
        <is>
          <t xml:space="preserve">Axis Nifty 100 Index Fund - Direct Plan - IDCW</t>
        </is>
      </c>
      <c r="C817" t="inlineStr">
        <is>
          <t xml:space="preserve">INF846K01S37</t>
        </is>
      </c>
    </row>
    <row r="818">
      <c r="A818" t="inlineStr">
        <is>
          <t xml:space="preserve">Axis Mutual Fund</t>
        </is>
      </c>
      <c r="B818" t="inlineStr">
        <is>
          <t xml:space="preserve">Axis Nifty 100 Index Fund - Regular Plan - Growth Option</t>
        </is>
      </c>
      <c r="C818" t="inlineStr">
        <is>
          <t xml:space="preserve">INF846K01S52</t>
        </is>
      </c>
    </row>
    <row r="819">
      <c r="A819" t="inlineStr">
        <is>
          <t xml:space="preserve">Axis Mutual Fund</t>
        </is>
      </c>
      <c r="B819" t="inlineStr">
        <is>
          <t xml:space="preserve">Axis Nifty 100 Index Fund - Regular Plan - IDCW</t>
        </is>
      </c>
      <c r="C819" t="inlineStr">
        <is>
          <t xml:space="preserve">INF846K01S60</t>
        </is>
      </c>
    </row>
    <row r="820">
      <c r="A820" t="inlineStr">
        <is>
          <t xml:space="preserve">Axis Mutual Fund</t>
        </is>
      </c>
      <c r="B820" t="inlineStr">
        <is>
          <t xml:space="preserve">Axis Nifty 50 ETF</t>
        </is>
      </c>
      <c r="C820" t="inlineStr">
        <is>
          <t xml:space="preserve">INF846K01W98</t>
        </is>
      </c>
    </row>
    <row r="821">
      <c r="A821" t="inlineStr">
        <is>
          <t xml:space="preserve">Axis Mutual Fund</t>
        </is>
      </c>
      <c r="B821" t="inlineStr">
        <is>
          <t xml:space="preserve">Axis Nifty 50 Index Fund - Direct Plan - Growth</t>
        </is>
      </c>
      <c r="C821" t="inlineStr">
        <is>
          <t xml:space="preserve">INF846K013D2</t>
        </is>
      </c>
    </row>
    <row r="822">
      <c r="A822" t="inlineStr">
        <is>
          <t xml:space="preserve">Axis Mutual Fund</t>
        </is>
      </c>
      <c r="B822" t="inlineStr">
        <is>
          <t xml:space="preserve">Axis Nifty 50 Index Fund - Direct Plan - IDCW</t>
        </is>
      </c>
      <c r="C822" t="inlineStr">
        <is>
          <t xml:space="preserve">INF846K014D0</t>
        </is>
      </c>
    </row>
    <row r="823">
      <c r="A823" t="inlineStr">
        <is>
          <t xml:space="preserve">Axis Mutual Fund</t>
        </is>
      </c>
      <c r="B823" t="inlineStr">
        <is>
          <t xml:space="preserve">Axis Nifty 50 Index Fund - Regular Plan - Growth Option</t>
        </is>
      </c>
      <c r="C823" t="inlineStr">
        <is>
          <t xml:space="preserve">INF846K016D5</t>
        </is>
      </c>
    </row>
    <row r="824">
      <c r="A824" t="inlineStr">
        <is>
          <t xml:space="preserve">Axis Mutual Fund</t>
        </is>
      </c>
      <c r="B824" t="inlineStr">
        <is>
          <t xml:space="preserve">Axis Nifty 50 Index Fund - Regular Plan - IDCW</t>
        </is>
      </c>
      <c r="C824" t="inlineStr">
        <is>
          <t xml:space="preserve">INF846K017D3</t>
        </is>
      </c>
    </row>
    <row r="825">
      <c r="A825" t="inlineStr">
        <is>
          <t xml:space="preserve">Axis Mutual Fund</t>
        </is>
      </c>
      <c r="B825" t="inlineStr">
        <is>
          <t xml:space="preserve">Axis Nifty 500 Index Fund - Direct Plan - Growth Option</t>
        </is>
      </c>
      <c r="C825" t="inlineStr">
        <is>
          <t xml:space="preserve">INF846K019W9</t>
        </is>
      </c>
    </row>
    <row r="826">
      <c r="A826" t="inlineStr">
        <is>
          <t xml:space="preserve">Axis Mutual Fund</t>
        </is>
      </c>
      <c r="B826" t="inlineStr">
        <is>
          <t xml:space="preserve">Axis Nifty 500 Index Fund - Regular Plan - Growth Option</t>
        </is>
      </c>
      <c r="C826" t="inlineStr">
        <is>
          <t xml:space="preserve">INF846K018W1</t>
        </is>
      </c>
    </row>
    <row r="827">
      <c r="A827" t="inlineStr">
        <is>
          <t xml:space="preserve">Axis Mutual Fund</t>
        </is>
      </c>
      <c r="B827" t="inlineStr">
        <is>
          <t xml:space="preserve">Axis NIFTY Bank ETF</t>
        </is>
      </c>
      <c r="C827" t="inlineStr">
        <is>
          <t xml:space="preserve">INF846K01X63</t>
        </is>
      </c>
    </row>
    <row r="828">
      <c r="A828" t="inlineStr">
        <is>
          <t xml:space="preserve">Axis Mutual Fund</t>
        </is>
      </c>
      <c r="B828" t="inlineStr">
        <is>
          <t xml:space="preserve">Axis Nifty Bank Index Fund - Direct Plan - Growth Option</t>
        </is>
      </c>
      <c r="C828" t="inlineStr">
        <is>
          <t xml:space="preserve">INF846K015W7</t>
        </is>
      </c>
    </row>
    <row r="829">
      <c r="A829" t="inlineStr">
        <is>
          <t xml:space="preserve">Axis Mutual Fund</t>
        </is>
      </c>
      <c r="B829" t="inlineStr">
        <is>
          <t xml:space="preserve">Axis Nifty Bank Index Fund - Direct Plan - IDCW Option</t>
        </is>
      </c>
      <c r="C829" t="inlineStr">
        <is>
          <t xml:space="preserve">INF846K016W5</t>
        </is>
      </c>
    </row>
    <row r="830">
      <c r="A830" t="inlineStr">
        <is>
          <t xml:space="preserve">Axis Mutual Fund</t>
        </is>
      </c>
      <c r="B830" t="inlineStr">
        <is>
          <t xml:space="preserve">Axis Nifty Bank Index Fund - Regular Plan - Growth Option</t>
        </is>
      </c>
      <c r="C830" t="inlineStr">
        <is>
          <t xml:space="preserve">INF846K012W4</t>
        </is>
      </c>
    </row>
    <row r="831">
      <c r="A831" t="inlineStr">
        <is>
          <t xml:space="preserve">Axis Mutual Fund</t>
        </is>
      </c>
      <c r="B831" t="inlineStr">
        <is>
          <t xml:space="preserve">Axis Nifty Bank Index Fund - Regular Plan - IDCW Option</t>
        </is>
      </c>
      <c r="C831" t="inlineStr">
        <is>
          <t xml:space="preserve">INF846K013W2</t>
        </is>
      </c>
    </row>
    <row r="832">
      <c r="A832" t="inlineStr">
        <is>
          <t xml:space="preserve">Axis Mutual Fund</t>
        </is>
      </c>
      <c r="B832" t="inlineStr">
        <is>
          <t xml:space="preserve">Axis Nifty Capital Markets Index Fund- Direct Plan</t>
        </is>
      </c>
      <c r="C832" t="inlineStr">
        <is>
          <t xml:space="preserve">INF846KA1549</t>
        </is>
      </c>
    </row>
    <row r="833">
      <c r="A833" t="inlineStr">
        <is>
          <t xml:space="preserve">Axis Mutual Fund</t>
        </is>
      </c>
      <c r="B833" t="inlineStr">
        <is>
          <t xml:space="preserve">Axis Nifty Capital Markets Index Fund- Regular Plan</t>
        </is>
      </c>
      <c r="C833" t="inlineStr">
        <is>
          <t xml:space="preserve">INF846KA1531</t>
        </is>
      </c>
    </row>
    <row r="834">
      <c r="A834" t="inlineStr">
        <is>
          <t xml:space="preserve">Axis Mutual Fund</t>
        </is>
      </c>
      <c r="B834" t="inlineStr">
        <is>
          <t xml:space="preserve">Axis NIFTY Healthcare ETF</t>
        </is>
      </c>
      <c r="C834" t="inlineStr">
        <is>
          <t xml:space="preserve">INF846K01Z12</t>
        </is>
      </c>
    </row>
    <row r="835">
      <c r="A835" t="inlineStr">
        <is>
          <t xml:space="preserve">Axis Mutual Fund</t>
        </is>
      </c>
      <c r="B835" t="inlineStr">
        <is>
          <t xml:space="preserve">Axis NIFTY India Consumption ETF</t>
        </is>
      </c>
      <c r="C835" t="inlineStr">
        <is>
          <t xml:space="preserve">INF846K016C7</t>
        </is>
      </c>
    </row>
    <row r="836">
      <c r="A836" t="inlineStr">
        <is>
          <t xml:space="preserve">Axis Mutual Fund</t>
        </is>
      </c>
      <c r="B836" t="inlineStr">
        <is>
          <t xml:space="preserve">Axis Nifty India Defence Index Fund - Direct Plan - Growth</t>
        </is>
      </c>
      <c r="C836" t="inlineStr">
        <is>
          <t xml:space="preserve">INF846KA1523</t>
        </is>
      </c>
    </row>
    <row r="837">
      <c r="A837" t="inlineStr">
        <is>
          <t xml:space="preserve">Axis Mutual Fund</t>
        </is>
      </c>
      <c r="B837" t="inlineStr">
        <is>
          <t xml:space="preserve">Axis Nifty India Defence Index Fund - Regular Plan - Growth</t>
        </is>
      </c>
      <c r="C837" t="inlineStr">
        <is>
          <t xml:space="preserve">INF846KA1515</t>
        </is>
      </c>
    </row>
    <row r="838">
      <c r="A838" t="inlineStr">
        <is>
          <t xml:space="preserve">Axis Mutual Fund</t>
        </is>
      </c>
      <c r="B838" t="inlineStr">
        <is>
          <t xml:space="preserve">Axis Nifty IT Index Fund - Direct Plan - Growth</t>
        </is>
      </c>
      <c r="C838" t="inlineStr">
        <is>
          <t xml:space="preserve">INF846K017R3</t>
        </is>
      </c>
    </row>
    <row r="839">
      <c r="A839" t="inlineStr">
        <is>
          <t xml:space="preserve">Axis Mutual Fund</t>
        </is>
      </c>
      <c r="B839" t="inlineStr">
        <is>
          <t xml:space="preserve">Axis Nifty IT Index Fund - Direct Plan - IDCW</t>
        </is>
      </c>
      <c r="C839" t="inlineStr">
        <is>
          <t xml:space="preserve">INF846K018R1</t>
        </is>
      </c>
    </row>
    <row r="840">
      <c r="A840" t="inlineStr">
        <is>
          <t xml:space="preserve">Axis Mutual Fund</t>
        </is>
      </c>
      <c r="B840" t="inlineStr">
        <is>
          <t xml:space="preserve">Axis Nifty IT Index Fund - Regular Plan - Growth</t>
        </is>
      </c>
      <c r="C840" t="inlineStr">
        <is>
          <t xml:space="preserve">INF846K010S6</t>
        </is>
      </c>
    </row>
    <row r="841">
      <c r="A841" t="inlineStr">
        <is>
          <t xml:space="preserve">Axis Mutual Fund</t>
        </is>
      </c>
      <c r="B841" t="inlineStr">
        <is>
          <t xml:space="preserve">Axis Nifty IT Index Fund - Regular Plan - IDCW</t>
        </is>
      </c>
      <c r="C841" t="inlineStr">
        <is>
          <t xml:space="preserve">INF846K011S4</t>
        </is>
      </c>
    </row>
    <row r="842">
      <c r="A842" t="inlineStr">
        <is>
          <t xml:space="preserve">Axis Mutual Fund</t>
        </is>
      </c>
      <c r="B842" t="inlineStr">
        <is>
          <t xml:space="preserve">Axis Nifty Midcap 50 Index Fund - Direct Plan - Growth Option</t>
        </is>
      </c>
      <c r="C842" t="inlineStr">
        <is>
          <t xml:space="preserve">INF846K019H0</t>
        </is>
      </c>
    </row>
    <row r="843">
      <c r="A843" t="inlineStr">
        <is>
          <t xml:space="preserve">Axis Mutual Fund</t>
        </is>
      </c>
      <c r="B843" t="inlineStr">
        <is>
          <t xml:space="preserve">Axis Nifty Midcap 50 Index Fund - Direct Plan - IDCW Option</t>
        </is>
      </c>
      <c r="C843" t="inlineStr">
        <is>
          <t xml:space="preserve">INF846K010I7</t>
        </is>
      </c>
    </row>
    <row r="844">
      <c r="A844" t="inlineStr">
        <is>
          <t xml:space="preserve">Axis Mutual Fund</t>
        </is>
      </c>
      <c r="B844" t="inlineStr">
        <is>
          <t xml:space="preserve">Axis Nifty Midcap 50 Index Fund - Regular Plan - Growth Option</t>
        </is>
      </c>
      <c r="C844" t="inlineStr">
        <is>
          <t xml:space="preserve">INF846K012I3</t>
        </is>
      </c>
    </row>
    <row r="845">
      <c r="A845" t="inlineStr">
        <is>
          <t xml:space="preserve">Axis Mutual Fund</t>
        </is>
      </c>
      <c r="B845" t="inlineStr">
        <is>
          <t xml:space="preserve">Axis Nifty Midcap 50 Index Fund - Regular Plan - IDCW Option</t>
        </is>
      </c>
      <c r="C845" t="inlineStr">
        <is>
          <t xml:space="preserve">INF846K013I1</t>
        </is>
      </c>
    </row>
    <row r="846">
      <c r="A846" t="inlineStr">
        <is>
          <t xml:space="preserve">Axis Mutual Fund</t>
        </is>
      </c>
      <c r="B846" t="inlineStr">
        <is>
          <t xml:space="preserve">Axis Nifty Next 50 Index Fund - Direct Plan - Growth</t>
        </is>
      </c>
      <c r="C846" t="inlineStr">
        <is>
          <t xml:space="preserve">INF846K019E7</t>
        </is>
      </c>
    </row>
    <row r="847">
      <c r="A847" t="inlineStr">
        <is>
          <t xml:space="preserve">Axis Mutual Fund</t>
        </is>
      </c>
      <c r="B847" t="inlineStr">
        <is>
          <t xml:space="preserve">Axis Nifty Next 50 Index Fund - Direct Plan - IDCW</t>
        </is>
      </c>
      <c r="C847" t="inlineStr">
        <is>
          <t xml:space="preserve">INF846K010F3</t>
        </is>
      </c>
    </row>
    <row r="848">
      <c r="A848" t="inlineStr">
        <is>
          <t xml:space="preserve">Axis Mutual Fund</t>
        </is>
      </c>
      <c r="B848" t="inlineStr">
        <is>
          <t xml:space="preserve">Axis Nifty Next 50 Index Fund - Regular Plan - Growth</t>
        </is>
      </c>
      <c r="C848" t="inlineStr">
        <is>
          <t xml:space="preserve">INF846K012F9</t>
        </is>
      </c>
    </row>
    <row r="849">
      <c r="A849" t="inlineStr">
        <is>
          <t xml:space="preserve">Axis Mutual Fund</t>
        </is>
      </c>
      <c r="B849" t="inlineStr">
        <is>
          <t xml:space="preserve">Axis Nifty Next 50 Index Fund - Regular Plan - IDCW</t>
        </is>
      </c>
      <c r="C849" t="inlineStr">
        <is>
          <t xml:space="preserve">INF846K013F7</t>
        </is>
      </c>
    </row>
    <row r="850">
      <c r="A850" t="inlineStr">
        <is>
          <t xml:space="preserve">Axis Mutual Fund</t>
        </is>
      </c>
      <c r="B850" t="inlineStr">
        <is>
          <t xml:space="preserve">Axis Nifty SDL September 2026 Debt Index Fund - Direct Plan - Growth</t>
        </is>
      </c>
      <c r="C850" t="inlineStr">
        <is>
          <t xml:space="preserve">INF846K018K6</t>
        </is>
      </c>
    </row>
    <row r="851">
      <c r="A851" t="inlineStr">
        <is>
          <t xml:space="preserve">Axis Mutual Fund</t>
        </is>
      </c>
      <c r="B851" t="inlineStr">
        <is>
          <t xml:space="preserve">Axis Nifty SDL September 2026 Debt Index Fund - Direct Plan - IDCW</t>
        </is>
      </c>
      <c r="C851" t="inlineStr">
        <is>
          <t xml:space="preserve">INF846K019K4</t>
        </is>
      </c>
    </row>
    <row r="852">
      <c r="A852" t="inlineStr">
        <is>
          <t xml:space="preserve">Axis Mutual Fund</t>
        </is>
      </c>
      <c r="B852" t="inlineStr">
        <is>
          <t xml:space="preserve">Axis Nifty SDL September 2026 Debt Index Fund - Regular Plan -  IDCW</t>
        </is>
      </c>
      <c r="C852" t="inlineStr">
        <is>
          <t xml:space="preserve">INF846K012L7</t>
        </is>
      </c>
    </row>
    <row r="853">
      <c r="A853" t="inlineStr">
        <is>
          <t xml:space="preserve">Axis Mutual Fund</t>
        </is>
      </c>
      <c r="B853" t="inlineStr">
        <is>
          <t xml:space="preserve">Axis Nifty SDL September 2026 Debt Index Fund - Regular Plan - Growth</t>
        </is>
      </c>
      <c r="C853" t="inlineStr">
        <is>
          <t xml:space="preserve">INF846K011L9</t>
        </is>
      </c>
    </row>
    <row r="854">
      <c r="A854" t="inlineStr">
        <is>
          <t xml:space="preserve">Axis Mutual Fund</t>
        </is>
      </c>
      <c r="B854" t="inlineStr">
        <is>
          <t xml:space="preserve">Axis Nifty Smallcap 50 Index Fund - Direct Plan - Growth Option</t>
        </is>
      </c>
      <c r="C854" t="inlineStr">
        <is>
          <t xml:space="preserve">INF846K013H3</t>
        </is>
      </c>
    </row>
    <row r="855">
      <c r="A855" t="inlineStr">
        <is>
          <t xml:space="preserve">Axis Mutual Fund</t>
        </is>
      </c>
      <c r="B855" t="inlineStr">
        <is>
          <t xml:space="preserve">Axis Nifty Smallcap 50 Index Fund - Direct Plan - IDCW</t>
        </is>
      </c>
      <c r="C855" t="inlineStr">
        <is>
          <t xml:space="preserve">INF846K014H1</t>
        </is>
      </c>
    </row>
    <row r="856">
      <c r="A856" t="inlineStr">
        <is>
          <t xml:space="preserve">Axis Mutual Fund</t>
        </is>
      </c>
      <c r="B856" t="inlineStr">
        <is>
          <t xml:space="preserve">Axis Nifty Smallcap 50 Index Fund - Regular Plan - Growth Option</t>
        </is>
      </c>
      <c r="C856" t="inlineStr">
        <is>
          <t xml:space="preserve">INF846K016H6</t>
        </is>
      </c>
    </row>
    <row r="857">
      <c r="A857" t="inlineStr">
        <is>
          <t xml:space="preserve">Axis Mutual Fund</t>
        </is>
      </c>
      <c r="B857" t="inlineStr">
        <is>
          <t xml:space="preserve">Axis Nifty Smallcap 50 Index Fund - Regular Plan - IDCW</t>
        </is>
      </c>
      <c r="C857" t="inlineStr">
        <is>
          <t xml:space="preserve">INF846K017H4</t>
        </is>
      </c>
    </row>
    <row r="858">
      <c r="A858" t="inlineStr">
        <is>
          <t xml:space="preserve">Axis Mutual Fund</t>
        </is>
      </c>
      <c r="B858" t="inlineStr">
        <is>
          <t xml:space="preserve">Axis Nifty500 Momentum 50 Index Fund - Direct Plan - Growth Option</t>
        </is>
      </c>
      <c r="C858" t="inlineStr">
        <is>
          <t xml:space="preserve">INF846KA1044</t>
        </is>
      </c>
    </row>
    <row r="859">
      <c r="A859" t="inlineStr">
        <is>
          <t xml:space="preserve">Axis Mutual Fund</t>
        </is>
      </c>
      <c r="B859" t="inlineStr">
        <is>
          <t xml:space="preserve">Axis Nifty500 Momentum 50 Index Fund - Regular Plan - Growth Option</t>
        </is>
      </c>
      <c r="C859" t="inlineStr">
        <is>
          <t xml:space="preserve">INF846KA1036</t>
        </is>
      </c>
    </row>
    <row r="860">
      <c r="A860" t="inlineStr">
        <is>
          <t xml:space="preserve">Axis Mutual Fund</t>
        </is>
      </c>
      <c r="B860" t="inlineStr">
        <is>
          <t xml:space="preserve">Axis Nifty500 Quality 50 Index Fund - Direct Plan - Growth Option</t>
        </is>
      </c>
      <c r="C860" t="inlineStr">
        <is>
          <t xml:space="preserve">INF846KA1200</t>
        </is>
      </c>
    </row>
    <row r="861">
      <c r="A861" t="inlineStr">
        <is>
          <t xml:space="preserve">Axis Mutual Fund</t>
        </is>
      </c>
      <c r="B861" t="inlineStr">
        <is>
          <t xml:space="preserve">Axis Nifty500 Quality 50 Index Fund - Regular Plan - Growth Option</t>
        </is>
      </c>
      <c r="C861" t="inlineStr">
        <is>
          <t xml:space="preserve">INF846KA1192</t>
        </is>
      </c>
    </row>
    <row r="862">
      <c r="A862" t="inlineStr">
        <is>
          <t xml:space="preserve">Axis Mutual Fund</t>
        </is>
      </c>
      <c r="B862" t="inlineStr">
        <is>
          <t xml:space="preserve">Axis Nifty500 Value 50 ETF</t>
        </is>
      </c>
      <c r="C862" t="inlineStr">
        <is>
          <t xml:space="preserve">INF846KA1119</t>
        </is>
      </c>
    </row>
    <row r="863">
      <c r="A863" t="inlineStr">
        <is>
          <t xml:space="preserve">Axis Mutual Fund</t>
        </is>
      </c>
      <c r="B863" t="inlineStr">
        <is>
          <t xml:space="preserve">Axis Nifty500 Value 50 Index Fund - Direct Plan - Growth Option</t>
        </is>
      </c>
      <c r="C863" t="inlineStr">
        <is>
          <t xml:space="preserve">INF846K013Y8</t>
        </is>
      </c>
    </row>
    <row r="864">
      <c r="A864" t="inlineStr">
        <is>
          <t xml:space="preserve">Axis Mutual Fund</t>
        </is>
      </c>
      <c r="B864" t="inlineStr">
        <is>
          <t xml:space="preserve">Axis Nifty500 Value 50 Index Fund - Regular Plan - Growth Option</t>
        </is>
      </c>
      <c r="C864" t="inlineStr">
        <is>
          <t xml:space="preserve">INF846K012Y0</t>
        </is>
      </c>
    </row>
    <row r="865">
      <c r="A865" t="inlineStr">
        <is>
          <t xml:space="preserve">Axis Mutual Fund</t>
        </is>
      </c>
      <c r="B865" t="inlineStr">
        <is>
          <t xml:space="preserve">Axis Overnight Fund - Direct Plan - Daily IDCW</t>
        </is>
      </c>
      <c r="C865" t="inlineStr">
        <is>
          <t xml:space="preserve">INF846K01N99</t>
        </is>
      </c>
    </row>
    <row r="866">
      <c r="A866" t="inlineStr">
        <is>
          <t xml:space="preserve">Axis Mutual Fund</t>
        </is>
      </c>
      <c r="B866" t="inlineStr">
        <is>
          <t xml:space="preserve">Axis Overnight Fund - Direct Plan - Growth Option</t>
        </is>
      </c>
      <c r="C866" t="inlineStr">
        <is>
          <t xml:space="preserve">INF846K01N65</t>
        </is>
      </c>
    </row>
    <row r="867">
      <c r="A867" t="inlineStr">
        <is>
          <t xml:space="preserve">Axis Mutual Fund</t>
        </is>
      </c>
      <c r="B867" t="inlineStr">
        <is>
          <t xml:space="preserve">Axis Overnight Fund - Direct Plan - Monthly IDCW</t>
        </is>
      </c>
      <c r="C867" t="inlineStr">
        <is>
          <t xml:space="preserve">INF846K01N73</t>
        </is>
      </c>
    </row>
    <row r="868">
      <c r="A868" t="inlineStr">
        <is>
          <t xml:space="preserve">Axis Mutual Fund</t>
        </is>
      </c>
      <c r="B868" t="inlineStr">
        <is>
          <t xml:space="preserve">Axis Overnight Fund - Direct Plan - Weekly IDCW</t>
        </is>
      </c>
      <c r="C868" t="inlineStr">
        <is>
          <t xml:space="preserve">INF846K01N40</t>
        </is>
      </c>
    </row>
    <row r="869">
      <c r="A869" t="inlineStr">
        <is>
          <t xml:space="preserve">Axis Mutual Fund</t>
        </is>
      </c>
      <c r="B869" t="inlineStr">
        <is>
          <t xml:space="preserve">Axis Overnight Fund - Regular Plan - Daily IDCW</t>
        </is>
      </c>
      <c r="C869" t="inlineStr">
        <is>
          <t xml:space="preserve">INF846K01O56</t>
        </is>
      </c>
    </row>
    <row r="870">
      <c r="A870" t="inlineStr">
        <is>
          <t xml:space="preserve">Axis Mutual Fund</t>
        </is>
      </c>
      <c r="B870" t="inlineStr">
        <is>
          <t xml:space="preserve">Axis Overnight Fund - Regular Plan - Growth Option</t>
        </is>
      </c>
      <c r="C870" t="inlineStr">
        <is>
          <t xml:space="preserve">INF846K01O23</t>
        </is>
      </c>
    </row>
    <row r="871">
      <c r="A871" t="inlineStr">
        <is>
          <t xml:space="preserve">Axis Mutual Fund</t>
        </is>
      </c>
      <c r="B871" t="inlineStr">
        <is>
          <t xml:space="preserve">Axis Overnight Fund - Regular Plan - Monthly IDCW</t>
        </is>
      </c>
      <c r="C871" t="inlineStr">
        <is>
          <t xml:space="preserve">INF846K01O31</t>
        </is>
      </c>
    </row>
    <row r="872">
      <c r="A872" t="inlineStr">
        <is>
          <t xml:space="preserve">Axis Mutual Fund</t>
        </is>
      </c>
      <c r="B872" t="inlineStr">
        <is>
          <t xml:space="preserve">Axis Overnight Fund - Regular Plan - Weekly IDCW</t>
        </is>
      </c>
      <c r="C872" t="inlineStr">
        <is>
          <t xml:space="preserve">INF846K01O07</t>
        </is>
      </c>
    </row>
    <row r="873">
      <c r="A873" t="inlineStr">
        <is>
          <t xml:space="preserve">Axis Mutual Fund</t>
        </is>
      </c>
      <c r="B873" t="inlineStr">
        <is>
          <t xml:space="preserve">Axis Quant Fund - Direct Plan - Growth</t>
        </is>
      </c>
      <c r="C873" t="inlineStr">
        <is>
          <t xml:space="preserve">INF846K01Z87</t>
        </is>
      </c>
    </row>
    <row r="874">
      <c r="A874" t="inlineStr">
        <is>
          <t xml:space="preserve">Axis Mutual Fund</t>
        </is>
      </c>
      <c r="B874" t="inlineStr">
        <is>
          <t xml:space="preserve">Axis Quant Fund - Direct Plan - IDCW</t>
        </is>
      </c>
      <c r="C874" t="inlineStr">
        <is>
          <t xml:space="preserve">INF846K01Z95</t>
        </is>
      </c>
    </row>
    <row r="875">
      <c r="A875" t="inlineStr">
        <is>
          <t xml:space="preserve">Axis Mutual Fund</t>
        </is>
      </c>
      <c r="B875" t="inlineStr">
        <is>
          <t xml:space="preserve">Axis Quant Fund - Regular Plan - Growth</t>
        </is>
      </c>
      <c r="C875" t="inlineStr">
        <is>
          <t xml:space="preserve">INF846K011A2</t>
        </is>
      </c>
    </row>
    <row r="876">
      <c r="A876" t="inlineStr">
        <is>
          <t xml:space="preserve">Axis Mutual Fund</t>
        </is>
      </c>
      <c r="B876" t="inlineStr">
        <is>
          <t xml:space="preserve">Axis Quant Fund - Regular Plan - IDCW</t>
        </is>
      </c>
      <c r="C876" t="inlineStr">
        <is>
          <t xml:space="preserve">INF846K012A0</t>
        </is>
      </c>
    </row>
    <row r="877">
      <c r="A877" t="inlineStr">
        <is>
          <t xml:space="preserve">Axis Mutual Fund</t>
        </is>
      </c>
      <c r="B877" t="inlineStr">
        <is>
          <t xml:space="preserve">Axis Retirement Fund - Aggressive Plan - Direct Growth</t>
        </is>
      </c>
      <c r="C877" t="inlineStr">
        <is>
          <t xml:space="preserve">INF846K01S86</t>
        </is>
      </c>
    </row>
    <row r="878">
      <c r="A878" t="inlineStr">
        <is>
          <t xml:space="preserve">Axis Mutual Fund</t>
        </is>
      </c>
      <c r="B878" t="inlineStr">
        <is>
          <t xml:space="preserve">Axis Retirement Fund - Aggressive Plan - Direct Plan - IDCW</t>
        </is>
      </c>
      <c r="C878" t="inlineStr">
        <is>
          <t xml:space="preserve">INF846K01S94</t>
        </is>
      </c>
    </row>
    <row r="879">
      <c r="A879" t="inlineStr">
        <is>
          <t xml:space="preserve">Axis Mutual Fund</t>
        </is>
      </c>
      <c r="B879" t="inlineStr">
        <is>
          <t xml:space="preserve">Axis Retirement Fund - Aggressive Plan - Regular Growth</t>
        </is>
      </c>
      <c r="C879" t="inlineStr">
        <is>
          <t xml:space="preserve">INF846K01T02</t>
        </is>
      </c>
    </row>
    <row r="880">
      <c r="A880" t="inlineStr">
        <is>
          <t xml:space="preserve">Axis Mutual Fund</t>
        </is>
      </c>
      <c r="B880" t="inlineStr">
        <is>
          <t xml:space="preserve">Axis Retirement Fund - Aggressive Plan - Regular Plan - IDCW</t>
        </is>
      </c>
      <c r="C880" t="inlineStr">
        <is>
          <t xml:space="preserve">INF846K01T10</t>
        </is>
      </c>
    </row>
    <row r="881">
      <c r="A881" t="inlineStr">
        <is>
          <t xml:space="preserve">Axis Mutual Fund</t>
        </is>
      </c>
      <c r="B881" t="inlineStr">
        <is>
          <t xml:space="preserve">Axis Retirement Fund - Conservative Plan - Direct Growth</t>
        </is>
      </c>
      <c r="C881" t="inlineStr">
        <is>
          <t xml:space="preserve">INF846K01T69</t>
        </is>
      </c>
    </row>
    <row r="882">
      <c r="A882" t="inlineStr">
        <is>
          <t xml:space="preserve">Axis Mutual Fund</t>
        </is>
      </c>
      <c r="B882" t="inlineStr">
        <is>
          <t xml:space="preserve">Axis Retirement Fund - Conservative Plan - Direct Plan - IDCW</t>
        </is>
      </c>
      <c r="C882" t="inlineStr">
        <is>
          <t xml:space="preserve">INF846K01T77</t>
        </is>
      </c>
    </row>
    <row r="883">
      <c r="A883" t="inlineStr">
        <is>
          <t xml:space="preserve">Axis Mutual Fund</t>
        </is>
      </c>
      <c r="B883" t="inlineStr">
        <is>
          <t xml:space="preserve">Axis Retirement Fund - Conservative Plan - Regular Growth</t>
        </is>
      </c>
      <c r="C883" t="inlineStr">
        <is>
          <t xml:space="preserve">INF846K01T85</t>
        </is>
      </c>
    </row>
    <row r="884">
      <c r="A884" t="inlineStr">
        <is>
          <t xml:space="preserve">Axis Mutual Fund</t>
        </is>
      </c>
      <c r="B884" t="inlineStr">
        <is>
          <t xml:space="preserve">Axis Retirement Fund - Conservative Plan - Regular Plan - IDCW</t>
        </is>
      </c>
      <c r="C884" t="inlineStr">
        <is>
          <t xml:space="preserve">INF846K01T93</t>
        </is>
      </c>
    </row>
    <row r="885">
      <c r="A885" t="inlineStr">
        <is>
          <t xml:space="preserve">Axis Mutual Fund</t>
        </is>
      </c>
      <c r="B885" t="inlineStr">
        <is>
          <t xml:space="preserve">Axis Retirement Fund - Dynamic Plan - Direct Growth</t>
        </is>
      </c>
      <c r="C885" t="inlineStr">
        <is>
          <t xml:space="preserve">INF846K01T28</t>
        </is>
      </c>
    </row>
    <row r="886">
      <c r="A886" t="inlineStr">
        <is>
          <t xml:space="preserve">Axis Mutual Fund</t>
        </is>
      </c>
      <c r="B886" t="inlineStr">
        <is>
          <t xml:space="preserve">Axis Retirement Fund - Dynamic Plan - Direct Plan - IDCW</t>
        </is>
      </c>
      <c r="C886" t="inlineStr">
        <is>
          <t xml:space="preserve">INF846K01T36</t>
        </is>
      </c>
    </row>
    <row r="887">
      <c r="A887" t="inlineStr">
        <is>
          <t xml:space="preserve">Axis Mutual Fund</t>
        </is>
      </c>
      <c r="B887" t="inlineStr">
        <is>
          <t xml:space="preserve">Axis Retirement Fund - Dynamic Plan - Regular Growth</t>
        </is>
      </c>
      <c r="C887" t="inlineStr">
        <is>
          <t xml:space="preserve">INF846K01T44</t>
        </is>
      </c>
    </row>
    <row r="888">
      <c r="A888" t="inlineStr">
        <is>
          <t xml:space="preserve">Axis Mutual Fund</t>
        </is>
      </c>
      <c r="B888" t="inlineStr">
        <is>
          <t xml:space="preserve">Axis Retirement Fund - Dynamic Plan - Regular Plan - IDCW</t>
        </is>
      </c>
      <c r="C888" t="inlineStr">
        <is>
          <t xml:space="preserve">INF846K01T51</t>
        </is>
      </c>
    </row>
    <row r="889">
      <c r="A889" t="inlineStr">
        <is>
          <t xml:space="preserve">Axis Mutual Fund</t>
        </is>
      </c>
      <c r="B889" t="inlineStr">
        <is>
          <t xml:space="preserve">Axis Services Opportunities Fund - Direct Plan - Growth Option</t>
        </is>
      </c>
      <c r="C889" t="inlineStr">
        <is>
          <t xml:space="preserve">INF846KA1168</t>
        </is>
      </c>
    </row>
    <row r="890">
      <c r="A890" t="inlineStr">
        <is>
          <t xml:space="preserve">Axis Mutual Fund</t>
        </is>
      </c>
      <c r="B890" t="inlineStr">
        <is>
          <t xml:space="preserve">Axis Services Opportunities Fund - Direct Plan - IDCW Option</t>
        </is>
      </c>
      <c r="C890" t="inlineStr">
        <is>
          <t xml:space="preserve">INF846KA1176</t>
        </is>
      </c>
    </row>
    <row r="891">
      <c r="A891" t="inlineStr">
        <is>
          <t xml:space="preserve">Axis Mutual Fund</t>
        </is>
      </c>
      <c r="B891" t="inlineStr">
        <is>
          <t xml:space="preserve">Axis Services Opportunities Fund - Regular Plan - Growth Option</t>
        </is>
      </c>
      <c r="C891" t="inlineStr">
        <is>
          <t xml:space="preserve">INF846KA1135</t>
        </is>
      </c>
    </row>
    <row r="892">
      <c r="A892" t="inlineStr">
        <is>
          <t xml:space="preserve">Axis Mutual Fund</t>
        </is>
      </c>
      <c r="B892" t="inlineStr">
        <is>
          <t xml:space="preserve">Axis Services Opportunities Fund - Regular Plan - IDCW Option</t>
        </is>
      </c>
      <c r="C892" t="inlineStr">
        <is>
          <t xml:space="preserve">INF846KA1143</t>
        </is>
      </c>
    </row>
    <row r="893">
      <c r="A893" t="inlineStr">
        <is>
          <t xml:space="preserve">Axis Mutual Fund</t>
        </is>
      </c>
      <c r="B893" t="inlineStr">
        <is>
          <t xml:space="preserve">Axis Short Duration Fund - Direct Plan - Growth Option</t>
        </is>
      </c>
      <c r="C893" t="inlineStr">
        <is>
          <t xml:space="preserve">INF846K01EI1</t>
        </is>
      </c>
    </row>
    <row r="894">
      <c r="A894" t="inlineStr">
        <is>
          <t xml:space="preserve">Axis Mutual Fund</t>
        </is>
      </c>
      <c r="B894" t="inlineStr">
        <is>
          <t xml:space="preserve">Axis Short Duration Fund - Direct Plan - Monthly IDCW</t>
        </is>
      </c>
      <c r="C894" t="inlineStr">
        <is>
          <t xml:space="preserve">INF846K01EJ9</t>
        </is>
      </c>
    </row>
    <row r="895">
      <c r="A895" t="inlineStr">
        <is>
          <t xml:space="preserve">Axis Mutual Fund</t>
        </is>
      </c>
      <c r="B895" t="inlineStr">
        <is>
          <t xml:space="preserve">Axis Short Duration Fund - Direct Plan - Regular IDCW</t>
        </is>
      </c>
      <c r="C895" t="inlineStr">
        <is>
          <t xml:space="preserve">INF846K01RH5</t>
        </is>
      </c>
    </row>
    <row r="896">
      <c r="A896" t="inlineStr">
        <is>
          <t xml:space="preserve">Axis Mutual Fund</t>
        </is>
      </c>
      <c r="B896" t="inlineStr">
        <is>
          <t xml:space="preserve">Axis Short Duration Fund - Direct Plan - Weekly IDCW</t>
        </is>
      </c>
      <c r="C896" t="inlineStr">
        <is>
          <t xml:space="preserve">INF846K01EL5</t>
        </is>
      </c>
    </row>
    <row r="897">
      <c r="A897" t="inlineStr">
        <is>
          <t xml:space="preserve">Axis Mutual Fund</t>
        </is>
      </c>
      <c r="B897" t="inlineStr">
        <is>
          <t xml:space="preserve">Axis Short Duration Fund - Regular Plan - Bonus Option</t>
        </is>
      </c>
      <c r="C897" t="inlineStr">
        <is>
          <t xml:space="preserve">INF846K01NS1</t>
        </is>
      </c>
    </row>
    <row r="898">
      <c r="A898" t="inlineStr">
        <is>
          <t xml:space="preserve">Axis Mutual Fund</t>
        </is>
      </c>
      <c r="B898" t="inlineStr">
        <is>
          <t xml:space="preserve">Axis Short Duration Fund - Regular Plan - Growth Option</t>
        </is>
      </c>
      <c r="C898" t="inlineStr">
        <is>
          <t xml:space="preserve">INF846K01644</t>
        </is>
      </c>
    </row>
    <row r="899">
      <c r="A899" t="inlineStr">
        <is>
          <t xml:space="preserve">Axis Mutual Fund</t>
        </is>
      </c>
      <c r="B899" t="inlineStr">
        <is>
          <t xml:space="preserve">Axis Short Duration Fund - Regular Plan - Monthly IDCW</t>
        </is>
      </c>
      <c r="C899" t="inlineStr">
        <is>
          <t xml:space="preserve">INF846K01651</t>
        </is>
      </c>
    </row>
    <row r="900">
      <c r="A900" t="inlineStr">
        <is>
          <t xml:space="preserve">Axis Mutual Fund</t>
        </is>
      </c>
      <c r="B900" t="inlineStr">
        <is>
          <t xml:space="preserve">Axis Short Duration Fund - Regular Plan - Regular IDCW</t>
        </is>
      </c>
      <c r="C900" t="inlineStr">
        <is>
          <t xml:space="preserve">INF846K01RJ1</t>
        </is>
      </c>
    </row>
    <row r="901">
      <c r="A901" t="inlineStr">
        <is>
          <t xml:space="preserve">Axis Mutual Fund</t>
        </is>
      </c>
      <c r="B901" t="inlineStr">
        <is>
          <t xml:space="preserve">Axis Short Duration Fund - Regular Plan - Weekly IDCW</t>
        </is>
      </c>
      <c r="C901" t="inlineStr">
        <is>
          <t xml:space="preserve">INF846K01677</t>
        </is>
      </c>
    </row>
    <row r="902">
      <c r="A902" t="inlineStr">
        <is>
          <t xml:space="preserve">Axis Mutual Fund</t>
        </is>
      </c>
      <c r="B902" t="inlineStr">
        <is>
          <t xml:space="preserve">Axis Short Duration Fund - Retail Plan - Growth Option</t>
        </is>
      </c>
      <c r="C902" t="inlineStr">
        <is>
          <t xml:space="preserve">INF846K01594</t>
        </is>
      </c>
    </row>
    <row r="903">
      <c r="A903" t="inlineStr">
        <is>
          <t xml:space="preserve">Axis Mutual Fund</t>
        </is>
      </c>
      <c r="B903" t="inlineStr">
        <is>
          <t xml:space="preserve">Axis Short Duration Fund - Retail Plan - Monthly IDCW</t>
        </is>
      </c>
      <c r="C903" t="inlineStr">
        <is>
          <t xml:space="preserve">INF846K01602</t>
        </is>
      </c>
    </row>
    <row r="904">
      <c r="A904" t="inlineStr">
        <is>
          <t xml:space="preserve">Axis Mutual Fund</t>
        </is>
      </c>
      <c r="B904" t="inlineStr">
        <is>
          <t xml:space="preserve">Axis Short Duration Fund - Retail Plan - Weekly IDCW</t>
        </is>
      </c>
      <c r="C904" t="inlineStr">
        <is>
          <t xml:space="preserve">INF846K01628</t>
        </is>
      </c>
    </row>
    <row r="905">
      <c r="A905" t="inlineStr">
        <is>
          <t xml:space="preserve">Axis Mutual Fund</t>
        </is>
      </c>
      <c r="B905" t="inlineStr">
        <is>
          <t xml:space="preserve">Axis Silver ETF</t>
        </is>
      </c>
      <c r="C905" t="inlineStr">
        <is>
          <t xml:space="preserve">INF846K011K1</t>
        </is>
      </c>
    </row>
    <row r="906">
      <c r="A906" t="inlineStr">
        <is>
          <t xml:space="preserve">Axis Mutual Fund</t>
        </is>
      </c>
      <c r="B906" t="inlineStr">
        <is>
          <t xml:space="preserve">Axis Silver Fund of Fund - Regular Plan - IDCW Option</t>
        </is>
      </c>
      <c r="C906" t="inlineStr">
        <is>
          <t xml:space="preserve">INF846K019J6</t>
        </is>
      </c>
    </row>
    <row r="907">
      <c r="A907" t="inlineStr">
        <is>
          <t xml:space="preserve">Axis Mutual Fund</t>
        </is>
      </c>
      <c r="B907" t="inlineStr">
        <is>
          <t xml:space="preserve">Axis Silver Fund of Fund -Regular Plan- Growth Option</t>
        </is>
      </c>
      <c r="C907" t="inlineStr">
        <is>
          <t xml:space="preserve">INF846K018J8</t>
        </is>
      </c>
    </row>
    <row r="908">
      <c r="A908" t="inlineStr">
        <is>
          <t xml:space="preserve">Axis Mutual Fund</t>
        </is>
      </c>
      <c r="B908" t="inlineStr">
        <is>
          <t xml:space="preserve">Axis Silver Fund of Fund- Direct Plan - IDCW Option</t>
        </is>
      </c>
      <c r="C908" t="inlineStr">
        <is>
          <t xml:space="preserve">INF846K016J2</t>
        </is>
      </c>
    </row>
    <row r="909">
      <c r="A909" t="inlineStr">
        <is>
          <t xml:space="preserve">Axis Mutual Fund</t>
        </is>
      </c>
      <c r="B909" t="inlineStr">
        <is>
          <t xml:space="preserve">Axis Silver Fund of Fund- Direct Plan-Growth Option</t>
        </is>
      </c>
      <c r="C909" t="inlineStr">
        <is>
          <t xml:space="preserve">INF846K015J4</t>
        </is>
      </c>
    </row>
    <row r="910">
      <c r="A910" t="inlineStr">
        <is>
          <t xml:space="preserve">Axis Mutual Fund</t>
        </is>
      </c>
      <c r="B910" t="inlineStr">
        <is>
          <t xml:space="preserve">Axis Small Cap Fund - Direct Plan - Growth</t>
        </is>
      </c>
      <c r="C910" t="inlineStr">
        <is>
          <t xml:space="preserve">INF846K01K35</t>
        </is>
      </c>
    </row>
    <row r="911">
      <c r="A911" t="inlineStr">
        <is>
          <t xml:space="preserve">Axis Mutual Fund</t>
        </is>
      </c>
      <c r="B911" t="inlineStr">
        <is>
          <t xml:space="preserve">Axis Small Cap Fund - Direct Plan - IDCW</t>
        </is>
      </c>
      <c r="C911" t="inlineStr">
        <is>
          <t xml:space="preserve">INF846K01K43</t>
        </is>
      </c>
    </row>
    <row r="912">
      <c r="A912" t="inlineStr">
        <is>
          <t xml:space="preserve">Axis Mutual Fund</t>
        </is>
      </c>
      <c r="B912" t="inlineStr">
        <is>
          <t xml:space="preserve">Axis Small Cap Fund - Regular Plan - Growth</t>
        </is>
      </c>
      <c r="C912" t="inlineStr">
        <is>
          <t xml:space="preserve">INF846K01K01</t>
        </is>
      </c>
    </row>
    <row r="913">
      <c r="A913" t="inlineStr">
        <is>
          <t xml:space="preserve">Axis Mutual Fund</t>
        </is>
      </c>
      <c r="B913" t="inlineStr">
        <is>
          <t xml:space="preserve">Axis Small Cap Fund - Regular Plan - IDCW</t>
        </is>
      </c>
      <c r="C913" t="inlineStr">
        <is>
          <t xml:space="preserve">INF846K01K19</t>
        </is>
      </c>
    </row>
    <row r="914">
      <c r="A914" t="inlineStr">
        <is>
          <t xml:space="preserve">Axis Mutual Fund</t>
        </is>
      </c>
      <c r="B914" t="inlineStr">
        <is>
          <t xml:space="preserve">Axis Strategic Bond Fund - Direct Plan - Growth Option</t>
        </is>
      </c>
      <c r="C914" t="inlineStr">
        <is>
          <t xml:space="preserve">INF846K01DT0</t>
        </is>
      </c>
    </row>
    <row r="915">
      <c r="A915" t="inlineStr">
        <is>
          <t xml:space="preserve">Axis Mutual Fund</t>
        </is>
      </c>
      <c r="B915" t="inlineStr">
        <is>
          <t xml:space="preserve">Axis Strategic Bond Fund - Direct Plan - Half Yearly IDCW</t>
        </is>
      </c>
      <c r="C915" t="inlineStr">
        <is>
          <t xml:space="preserve">INF846K01DU8</t>
        </is>
      </c>
    </row>
    <row r="916">
      <c r="A916" t="inlineStr">
        <is>
          <t xml:space="preserve">Axis Mutual Fund</t>
        </is>
      </c>
      <c r="B916" t="inlineStr">
        <is>
          <t xml:space="preserve">Axis Strategic Bond Fund - Direct Plan - Quarterly IDCW</t>
        </is>
      </c>
      <c r="C916" t="inlineStr">
        <is>
          <t xml:space="preserve">INF846K01DW4</t>
        </is>
      </c>
    </row>
    <row r="917">
      <c r="A917" t="inlineStr">
        <is>
          <t xml:space="preserve">Axis Mutual Fund</t>
        </is>
      </c>
      <c r="B917" t="inlineStr">
        <is>
          <t xml:space="preserve">Axis Strategic Bond Fund - Regular Plan - Bonus Option</t>
        </is>
      </c>
      <c r="C917" t="inlineStr">
        <is>
          <t xml:space="preserve">INF846K01NO0</t>
        </is>
      </c>
    </row>
    <row r="918">
      <c r="A918" t="inlineStr">
        <is>
          <t xml:space="preserve">Axis Mutual Fund</t>
        </is>
      </c>
      <c r="B918" t="inlineStr">
        <is>
          <t xml:space="preserve">Axis Strategic Bond Fund - Regular Plan - Growth Option</t>
        </is>
      </c>
      <c r="C918" t="inlineStr">
        <is>
          <t xml:space="preserve">INF846K01BP2</t>
        </is>
      </c>
    </row>
    <row r="919">
      <c r="A919" t="inlineStr">
        <is>
          <t xml:space="preserve">Axis Mutual Fund</t>
        </is>
      </c>
      <c r="B919" t="inlineStr">
        <is>
          <t xml:space="preserve">Axis Strategic Bond Fund - Regular Plan - Half Yearly IDCW</t>
        </is>
      </c>
      <c r="C919" t="inlineStr">
        <is>
          <t xml:space="preserve">INF846K01BR8</t>
        </is>
      </c>
    </row>
    <row r="920">
      <c r="A920" t="inlineStr">
        <is>
          <t xml:space="preserve">Axis Mutual Fund</t>
        </is>
      </c>
      <c r="B920" t="inlineStr">
        <is>
          <t xml:space="preserve">Axis Strategic Bond Fund - Regular Plan - Quarterly IDCW</t>
        </is>
      </c>
      <c r="C920" t="inlineStr">
        <is>
          <t xml:space="preserve">INF846K01BQ0</t>
        </is>
      </c>
    </row>
    <row r="921">
      <c r="A921" t="inlineStr">
        <is>
          <t xml:space="preserve">Axis Mutual Fund</t>
        </is>
      </c>
      <c r="B921" t="inlineStr">
        <is>
          <t xml:space="preserve">Axis Treasury Advantage Fund - Direct Plan - Bonus Option</t>
        </is>
      </c>
      <c r="C921" t="inlineStr">
        <is>
          <t xml:space="preserve">INF846K01NQ5</t>
        </is>
      </c>
    </row>
    <row r="922">
      <c r="A922" t="inlineStr">
        <is>
          <t xml:space="preserve">Axis Mutual Fund</t>
        </is>
      </c>
      <c r="B922" t="inlineStr">
        <is>
          <t xml:space="preserve">Axis Treasury Advantage Fund - Direct Plan - Daily IDCW</t>
        </is>
      </c>
      <c r="C922" t="inlineStr">
        <is>
          <t xml:space="preserve">INF846K01EQ4</t>
        </is>
      </c>
    </row>
    <row r="923">
      <c r="A923" t="inlineStr">
        <is>
          <t xml:space="preserve">Axis Mutual Fund</t>
        </is>
      </c>
      <c r="B923" t="inlineStr">
        <is>
          <t xml:space="preserve">Axis Treasury Advantage Fund - Direct Plan - Growth Option</t>
        </is>
      </c>
      <c r="C923" t="inlineStr">
        <is>
          <t xml:space="preserve">INF846K01EN1</t>
        </is>
      </c>
    </row>
    <row r="924">
      <c r="A924" t="inlineStr">
        <is>
          <t xml:space="preserve">Axis Mutual Fund</t>
        </is>
      </c>
      <c r="B924" t="inlineStr">
        <is>
          <t xml:space="preserve">Axis Treasury Advantage Fund - Direct Plan - Monthly IDCW</t>
        </is>
      </c>
      <c r="C924" t="inlineStr">
        <is>
          <t xml:space="preserve">INF846K01EO9</t>
        </is>
      </c>
    </row>
    <row r="925">
      <c r="A925" t="inlineStr">
        <is>
          <t xml:space="preserve">Axis Mutual Fund</t>
        </is>
      </c>
      <c r="B925" t="inlineStr">
        <is>
          <t xml:space="preserve">Axis Treasury Advantage Fund - Direct Plan - Weekly IDCW</t>
        </is>
      </c>
      <c r="C925" t="inlineStr">
        <is>
          <t xml:space="preserve">INF846K01ER2</t>
        </is>
      </c>
    </row>
    <row r="926">
      <c r="A926" t="inlineStr">
        <is>
          <t xml:space="preserve">Axis Mutual Fund</t>
        </is>
      </c>
      <c r="B926" t="inlineStr">
        <is>
          <t xml:space="preserve">Axis Treasury Advantage Fund - Regular Plan - Daily IDCW</t>
        </is>
      </c>
      <c r="C926" t="inlineStr">
        <is>
          <t xml:space="preserve">INF846K01545</t>
        </is>
      </c>
    </row>
    <row r="927">
      <c r="A927" t="inlineStr">
        <is>
          <t xml:space="preserve">Axis Mutual Fund</t>
        </is>
      </c>
      <c r="B927" t="inlineStr">
        <is>
          <t xml:space="preserve">Axis Treasury Advantage Fund - Regular Plan - Growth Option</t>
        </is>
      </c>
      <c r="C927" t="inlineStr">
        <is>
          <t xml:space="preserve">INF846K01537</t>
        </is>
      </c>
    </row>
    <row r="928">
      <c r="A928" t="inlineStr">
        <is>
          <t xml:space="preserve">Axis Mutual Fund</t>
        </is>
      </c>
      <c r="B928" t="inlineStr">
        <is>
          <t xml:space="preserve">Axis Treasury Advantage Fund - Regular Plan - Monthly IDCW</t>
        </is>
      </c>
      <c r="C928" t="inlineStr">
        <is>
          <t xml:space="preserve">INF846K01578</t>
        </is>
      </c>
    </row>
    <row r="929">
      <c r="A929" t="inlineStr">
        <is>
          <t xml:space="preserve">Axis Mutual Fund</t>
        </is>
      </c>
      <c r="B929" t="inlineStr">
        <is>
          <t xml:space="preserve">Axis Treasury Advantage Fund - Regular Plan - Weekly IDCW</t>
        </is>
      </c>
      <c r="C929" t="inlineStr">
        <is>
          <t xml:space="preserve">INF846K01552</t>
        </is>
      </c>
    </row>
    <row r="930">
      <c r="A930" t="inlineStr">
        <is>
          <t xml:space="preserve">Axis Mutual Fund</t>
        </is>
      </c>
      <c r="B930" t="inlineStr">
        <is>
          <t xml:space="preserve">Axis Treasury Advantage Fund - Retail Plan - Daily IDCW</t>
        </is>
      </c>
      <c r="C930" t="inlineStr">
        <is>
          <t xml:space="preserve">INF846K01487</t>
        </is>
      </c>
    </row>
    <row r="931">
      <c r="A931" t="inlineStr">
        <is>
          <t xml:space="preserve">Axis Mutual Fund</t>
        </is>
      </c>
      <c r="B931" t="inlineStr">
        <is>
          <t xml:space="preserve">Axis Treasury Advantage Fund - Retail Plan - Growth Option</t>
        </is>
      </c>
      <c r="C931" t="inlineStr">
        <is>
          <t xml:space="preserve">INF846K01479</t>
        </is>
      </c>
    </row>
    <row r="932">
      <c r="A932" t="inlineStr">
        <is>
          <t xml:space="preserve">Axis Mutual Fund</t>
        </is>
      </c>
      <c r="B932" t="inlineStr">
        <is>
          <t xml:space="preserve">Axis Treasury Advantage Fund - Retail Plan - Monthly IDCW</t>
        </is>
      </c>
      <c r="C932" t="inlineStr">
        <is>
          <t xml:space="preserve">INF846K01511</t>
        </is>
      </c>
    </row>
    <row r="933">
      <c r="A933" t="inlineStr">
        <is>
          <t xml:space="preserve">Axis Mutual Fund</t>
        </is>
      </c>
      <c r="B933" t="inlineStr">
        <is>
          <t xml:space="preserve">Axis Treasury Advantage Fund - Retail Plan - Weekly IDCW</t>
        </is>
      </c>
      <c r="C933" t="inlineStr">
        <is>
          <t xml:space="preserve">INF846K01495</t>
        </is>
      </c>
    </row>
    <row r="934">
      <c r="A934" t="inlineStr">
        <is>
          <t xml:space="preserve">Axis Mutual Fund</t>
        </is>
      </c>
      <c r="B934" t="inlineStr">
        <is>
          <t xml:space="preserve">Axis Ultra Short Duration Fund - Direct Plan - Daily IDCW</t>
        </is>
      </c>
      <c r="C934" t="inlineStr">
        <is>
          <t xml:space="preserve">INF846K01F57</t>
        </is>
      </c>
    </row>
    <row r="935">
      <c r="A935" t="inlineStr">
        <is>
          <t xml:space="preserve">Axis Mutual Fund</t>
        </is>
      </c>
      <c r="B935" t="inlineStr">
        <is>
          <t xml:space="preserve">Axis Ultra Short Duration Fund - Direct Plan - Monthly IDCW</t>
        </is>
      </c>
      <c r="C935" t="inlineStr">
        <is>
          <t xml:space="preserve">INF846K01F99</t>
        </is>
      </c>
    </row>
    <row r="936">
      <c r="A936" t="inlineStr">
        <is>
          <t xml:space="preserve">Axis Mutual Fund</t>
        </is>
      </c>
      <c r="B936" t="inlineStr">
        <is>
          <t xml:space="preserve">Axis Ultra Short Duration Fund - Direct Plan - Regular IDCW</t>
        </is>
      </c>
      <c r="C936" t="inlineStr">
        <is>
          <t xml:space="preserve">INF846K01G15</t>
        </is>
      </c>
    </row>
    <row r="937">
      <c r="A937" t="inlineStr">
        <is>
          <t xml:space="preserve">Axis Mutual Fund</t>
        </is>
      </c>
      <c r="B937" t="inlineStr">
        <is>
          <t xml:space="preserve">Axis Ultra Short Duration Fund - Direct Plan - Weekly IDCW</t>
        </is>
      </c>
      <c r="C937" t="inlineStr">
        <is>
          <t xml:space="preserve">INF846K01F73</t>
        </is>
      </c>
    </row>
    <row r="938">
      <c r="A938" t="inlineStr">
        <is>
          <t xml:space="preserve">Axis Mutual Fund</t>
        </is>
      </c>
      <c r="B938" t="inlineStr">
        <is>
          <t xml:space="preserve">Axis Ultra Short Duration Fund - Direct Plan Growth</t>
        </is>
      </c>
      <c r="C938" t="inlineStr">
        <is>
          <t xml:space="preserve">INF846K01F40</t>
        </is>
      </c>
    </row>
    <row r="939">
      <c r="A939" t="inlineStr">
        <is>
          <t xml:space="preserve">Axis Mutual Fund</t>
        </is>
      </c>
      <c r="B939" t="inlineStr">
        <is>
          <t xml:space="preserve">Axis Ultra Short Duration Fund - Regular Plan - Daily IDCW</t>
        </is>
      </c>
      <c r="C939" t="inlineStr">
        <is>
          <t xml:space="preserve">INF846K01G31</t>
        </is>
      </c>
    </row>
    <row r="940">
      <c r="A940" t="inlineStr">
        <is>
          <t xml:space="preserve">Axis Mutual Fund</t>
        </is>
      </c>
      <c r="B940" t="inlineStr">
        <is>
          <t xml:space="preserve">Axis Ultra Short Duration Fund - Regular Plan - Monthly IDCW</t>
        </is>
      </c>
      <c r="C940" t="inlineStr">
        <is>
          <t xml:space="preserve">INF846K01G72</t>
        </is>
      </c>
    </row>
    <row r="941">
      <c r="A941" t="inlineStr">
        <is>
          <t xml:space="preserve">Axis Mutual Fund</t>
        </is>
      </c>
      <c r="B941" t="inlineStr">
        <is>
          <t xml:space="preserve">Axis Ultra Short Duration Fund - Regular Plan - Regular IDCW</t>
        </is>
      </c>
      <c r="C941" t="inlineStr">
        <is>
          <t xml:space="preserve">INF846K01G98</t>
        </is>
      </c>
    </row>
    <row r="942">
      <c r="A942" t="inlineStr">
        <is>
          <t xml:space="preserve">Axis Mutual Fund</t>
        </is>
      </c>
      <c r="B942" t="inlineStr">
        <is>
          <t xml:space="preserve">Axis Ultra Short Duration Fund - Regular Plan - Weekly IDCW</t>
        </is>
      </c>
      <c r="C942" t="inlineStr">
        <is>
          <t xml:space="preserve">INF846K01G56</t>
        </is>
      </c>
    </row>
    <row r="943">
      <c r="A943" t="inlineStr">
        <is>
          <t xml:space="preserve">Axis Mutual Fund</t>
        </is>
      </c>
      <c r="B943" t="inlineStr">
        <is>
          <t xml:space="preserve">Axis Ultra Short Duration Fund - Regular Plan Growth</t>
        </is>
      </c>
      <c r="C943" t="inlineStr">
        <is>
          <t xml:space="preserve">INF846K01G23</t>
        </is>
      </c>
    </row>
    <row r="944">
      <c r="A944" t="inlineStr">
        <is>
          <t xml:space="preserve">Axis Mutual Fund</t>
        </is>
      </c>
      <c r="B944" t="inlineStr">
        <is>
          <t xml:space="preserve">Axis US Specific Treasury Dynamic Debt Passive FOF - Direct Plan - Growth Option</t>
        </is>
      </c>
      <c r="C944" t="inlineStr">
        <is>
          <t xml:space="preserve">INF846K017T9</t>
        </is>
      </c>
    </row>
    <row r="945">
      <c r="A945" t="inlineStr">
        <is>
          <t xml:space="preserve">Axis Mutual Fund</t>
        </is>
      </c>
      <c r="B945" t="inlineStr">
        <is>
          <t xml:space="preserve">Axis US Specific Treasury Dynamic Debt Passive FOF - Direct Plan - IDCW Option</t>
        </is>
      </c>
      <c r="C945" t="inlineStr">
        <is>
          <t xml:space="preserve">INF846K018T7</t>
        </is>
      </c>
    </row>
    <row r="946">
      <c r="A946" t="inlineStr">
        <is>
          <t xml:space="preserve">Axis Mutual Fund</t>
        </is>
      </c>
      <c r="B946" t="inlineStr">
        <is>
          <t xml:space="preserve">Axis US Specific Treasury Dynamic Debt Passive FOF - Regular Plan - Growth Option</t>
        </is>
      </c>
      <c r="C946" t="inlineStr">
        <is>
          <t xml:space="preserve">INF846K013T8</t>
        </is>
      </c>
    </row>
    <row r="947">
      <c r="A947" t="inlineStr">
        <is>
          <t xml:space="preserve">Axis Mutual Fund</t>
        </is>
      </c>
      <c r="B947" t="inlineStr">
        <is>
          <t xml:space="preserve">Axis US Specific Treasury Dynamic Debt Passive FOF - Regular Plan - IDCW Option</t>
        </is>
      </c>
      <c r="C947" t="inlineStr">
        <is>
          <t xml:space="preserve">INF846K014T6</t>
        </is>
      </c>
    </row>
    <row r="948">
      <c r="A948" t="inlineStr">
        <is>
          <t xml:space="preserve">Axis Mutual Fund</t>
        </is>
      </c>
      <c r="B948" t="inlineStr">
        <is>
          <t xml:space="preserve">Axis Value Fund - Direct Plan - Growth</t>
        </is>
      </c>
      <c r="C948" t="inlineStr">
        <is>
          <t xml:space="preserve">INF846K010C0</t>
        </is>
      </c>
    </row>
    <row r="949">
      <c r="A949" t="inlineStr">
        <is>
          <t xml:space="preserve">Axis Mutual Fund</t>
        </is>
      </c>
      <c r="B949" t="inlineStr">
        <is>
          <t xml:space="preserve">Axis Value Fund - Direct Plan - IDCW</t>
        </is>
      </c>
      <c r="C949" t="inlineStr">
        <is>
          <t xml:space="preserve">INF846K011C8</t>
        </is>
      </c>
    </row>
    <row r="950">
      <c r="A950" t="inlineStr">
        <is>
          <t xml:space="preserve">Axis Mutual Fund</t>
        </is>
      </c>
      <c r="B950" t="inlineStr">
        <is>
          <t xml:space="preserve">Axis Value Fund - Regular Plan - Growth</t>
        </is>
      </c>
      <c r="C950" t="inlineStr">
        <is>
          <t xml:space="preserve">INF846K013C4</t>
        </is>
      </c>
    </row>
    <row r="951">
      <c r="A951" t="inlineStr">
        <is>
          <t xml:space="preserve">Axis Mutual Fund</t>
        </is>
      </c>
      <c r="B951" t="inlineStr">
        <is>
          <t xml:space="preserve">Axis Value Fund - Regular Plan - IDCW</t>
        </is>
      </c>
      <c r="C951" t="inlineStr">
        <is>
          <t xml:space="preserve">INF846K014C2</t>
        </is>
      </c>
    </row>
    <row r="952">
      <c r="A952" t="inlineStr">
        <is>
          <t xml:space="preserve">Bajaj Finserv Mutual Fund</t>
        </is>
      </c>
      <c r="B952" t="inlineStr">
        <is>
          <t xml:space="preserve">Bajaj Finserv Arbitrage Fund- Direct Plan-IDCW</t>
        </is>
      </c>
      <c r="C952" t="inlineStr">
        <is>
          <t xml:space="preserve">INF0QA701532</t>
        </is>
      </c>
    </row>
    <row r="953">
      <c r="A953" t="inlineStr">
        <is>
          <t xml:space="preserve">Bajaj Finserv Mutual Fund</t>
        </is>
      </c>
      <c r="B953" t="inlineStr">
        <is>
          <t xml:space="preserve">Bajaj Finserv Arbitrage Fund- Regular Plan-Growth</t>
        </is>
      </c>
      <c r="C953" t="inlineStr">
        <is>
          <t xml:space="preserve">INF0QA701490</t>
        </is>
      </c>
    </row>
    <row r="954">
      <c r="A954" t="inlineStr">
        <is>
          <t xml:space="preserve">Bajaj Finserv Mutual Fund</t>
        </is>
      </c>
      <c r="B954" t="inlineStr">
        <is>
          <t xml:space="preserve">Bajaj Finserv Arbitrage Fund-Direct Plan-Growth</t>
        </is>
      </c>
      <c r="C954" t="inlineStr">
        <is>
          <t xml:space="preserve">INF0QA701524</t>
        </is>
      </c>
    </row>
    <row r="955">
      <c r="A955" t="inlineStr">
        <is>
          <t xml:space="preserve">Bajaj Finserv Mutual Fund</t>
        </is>
      </c>
      <c r="B955" t="inlineStr">
        <is>
          <t xml:space="preserve">Bajaj Finserv Arbitrage Fund-Regular Plan-IDCW</t>
        </is>
      </c>
      <c r="C955" t="inlineStr">
        <is>
          <t xml:space="preserve">INF0QA701508</t>
        </is>
      </c>
    </row>
    <row r="956">
      <c r="A956" t="inlineStr">
        <is>
          <t xml:space="preserve">Bajaj Finserv Mutual Fund</t>
        </is>
      </c>
      <c r="B956" t="inlineStr">
        <is>
          <t xml:space="preserve">Bajaj Finserv Balanced Advantage Fund-Direct Plan-Growth</t>
        </is>
      </c>
      <c r="C956" t="inlineStr">
        <is>
          <t xml:space="preserve">INF0QA701656</t>
        </is>
      </c>
    </row>
    <row r="957">
      <c r="A957" t="inlineStr">
        <is>
          <t xml:space="preserve">Bajaj Finserv Mutual Fund</t>
        </is>
      </c>
      <c r="B957" t="inlineStr">
        <is>
          <t xml:space="preserve">Bajaj Finserv Balanced Advantage Fund-Direct Plan-IDCW</t>
        </is>
      </c>
      <c r="C957" t="inlineStr">
        <is>
          <t xml:space="preserve">INF0QA701664</t>
        </is>
      </c>
    </row>
    <row r="958">
      <c r="A958" t="inlineStr">
        <is>
          <t xml:space="preserve">Bajaj Finserv Mutual Fund</t>
        </is>
      </c>
      <c r="B958" t="inlineStr">
        <is>
          <t xml:space="preserve">Bajaj Finserv Balanced Advantage Fund-Regular Plan-Growth</t>
        </is>
      </c>
      <c r="C958" t="inlineStr">
        <is>
          <t xml:space="preserve">INF0QA701680</t>
        </is>
      </c>
    </row>
    <row r="959">
      <c r="A959" t="inlineStr">
        <is>
          <t xml:space="preserve">Bajaj Finserv Mutual Fund</t>
        </is>
      </c>
      <c r="B959" t="inlineStr">
        <is>
          <t xml:space="preserve">Bajaj Finserv Balanced Advantage Fund-Regular Plan-IDCW</t>
        </is>
      </c>
      <c r="C959" t="inlineStr">
        <is>
          <t xml:space="preserve">INF0QA701698</t>
        </is>
      </c>
    </row>
    <row r="960">
      <c r="A960" t="inlineStr">
        <is>
          <t xml:space="preserve">Bajaj Finserv Mutual Fund</t>
        </is>
      </c>
      <c r="B960" t="inlineStr">
        <is>
          <t xml:space="preserve">Bajaj Finserv Banking and Financial Services Fund - Direct - Growth</t>
        </is>
      </c>
      <c r="C960" t="inlineStr">
        <is>
          <t xml:space="preserve">INF0QA701BZ6</t>
        </is>
      </c>
    </row>
    <row r="961">
      <c r="A961" t="inlineStr">
        <is>
          <t xml:space="preserve">Bajaj Finserv Mutual Fund</t>
        </is>
      </c>
      <c r="B961" t="inlineStr">
        <is>
          <t xml:space="preserve">Bajaj Finserv Banking and Financial Services Fund - Direct - IDCW</t>
        </is>
      </c>
      <c r="C961" t="inlineStr">
        <is>
          <t xml:space="preserve">INF0QA701CA7</t>
        </is>
      </c>
    </row>
    <row r="962">
      <c r="A962" t="inlineStr">
        <is>
          <t xml:space="preserve">Bajaj Finserv Mutual Fund</t>
        </is>
      </c>
      <c r="B962" t="inlineStr">
        <is>
          <t xml:space="preserve">Bajaj Finserv Banking and Financial Services Fund - Regular - Growth</t>
        </is>
      </c>
      <c r="C962" t="inlineStr">
        <is>
          <t xml:space="preserve">INF0QA701BW3</t>
        </is>
      </c>
    </row>
    <row r="963">
      <c r="A963" t="inlineStr">
        <is>
          <t xml:space="preserve">Bajaj Finserv Mutual Fund</t>
        </is>
      </c>
      <c r="B963" t="inlineStr">
        <is>
          <t xml:space="preserve">Bajaj Finserv Banking and Financial Services Fund - Regular - IDCW</t>
        </is>
      </c>
      <c r="C963" t="inlineStr">
        <is>
          <t xml:space="preserve">INF0QA701BX1</t>
        </is>
      </c>
    </row>
    <row r="964">
      <c r="A964" t="inlineStr">
        <is>
          <t xml:space="preserve">Bajaj Finserv Mutual Fund</t>
        </is>
      </c>
      <c r="B964" t="inlineStr">
        <is>
          <t xml:space="preserve">Bajaj Finserv Banking and PSU Fund-  Direct Plan-Monthly- IDCW</t>
        </is>
      </c>
      <c r="C964" t="inlineStr">
        <is>
          <t xml:space="preserve">INF0QA701649</t>
        </is>
      </c>
    </row>
    <row r="965">
      <c r="A965" t="inlineStr">
        <is>
          <t xml:space="preserve">Bajaj Finserv Mutual Fund</t>
        </is>
      </c>
      <c r="B965" t="inlineStr">
        <is>
          <t xml:space="preserve">Bajaj Finserv Banking and PSU Fund- Direct Plan- IDCW</t>
        </is>
      </c>
      <c r="C965" t="inlineStr">
        <is>
          <t xml:space="preserve">INF0QA701615</t>
        </is>
      </c>
    </row>
    <row r="966">
      <c r="A966" t="inlineStr">
        <is>
          <t xml:space="preserve">Bajaj Finserv Mutual Fund</t>
        </is>
      </c>
      <c r="B966" t="inlineStr">
        <is>
          <t xml:space="preserve">Bajaj Finserv Banking and PSU Fund- Regular Plan- Growth</t>
        </is>
      </c>
      <c r="C966" t="inlineStr">
        <is>
          <t xml:space="preserve">INF0QA701557</t>
        </is>
      </c>
    </row>
    <row r="967">
      <c r="A967" t="inlineStr">
        <is>
          <t xml:space="preserve">Bajaj Finserv Mutual Fund</t>
        </is>
      </c>
      <c r="B967" t="inlineStr">
        <is>
          <t xml:space="preserve">Bajaj Finserv Banking and PSU Fund- Regular Plan- IDCW</t>
        </is>
      </c>
      <c r="C967" t="inlineStr">
        <is>
          <t xml:space="preserve">INF0QA701565</t>
        </is>
      </c>
    </row>
    <row r="968">
      <c r="A968" t="inlineStr">
        <is>
          <t xml:space="preserve">Bajaj Finserv Mutual Fund</t>
        </is>
      </c>
      <c r="B968" t="inlineStr">
        <is>
          <t xml:space="preserve">Bajaj Finserv Banking and PSU Fund-Direct Plan- Growth</t>
        </is>
      </c>
      <c r="C968" t="inlineStr">
        <is>
          <t xml:space="preserve">INF0QA701607</t>
        </is>
      </c>
    </row>
    <row r="969">
      <c r="A969" t="inlineStr">
        <is>
          <t xml:space="preserve">Bajaj Finserv Mutual Fund</t>
        </is>
      </c>
      <c r="B969" t="inlineStr">
        <is>
          <t xml:space="preserve">Bajaj Finserv Banking and PSU Fund-Regular Plan-Monthly-IDCW</t>
        </is>
      </c>
      <c r="C969" t="inlineStr">
        <is>
          <t xml:space="preserve">INF0QA701599</t>
        </is>
      </c>
    </row>
    <row r="970">
      <c r="A970" t="inlineStr">
        <is>
          <t xml:space="preserve">Bajaj Finserv Mutual Fund</t>
        </is>
      </c>
      <c r="B970" t="inlineStr">
        <is>
          <t xml:space="preserve">BAJAJ FINSERV CONSUMPTION FUND - DIRECT - GROWTH</t>
        </is>
      </c>
      <c r="C970" t="inlineStr">
        <is>
          <t xml:space="preserve">INF0QA701946</t>
        </is>
      </c>
    </row>
    <row r="971">
      <c r="A971" t="inlineStr">
        <is>
          <t xml:space="preserve">Bajaj Finserv Mutual Fund</t>
        </is>
      </c>
      <c r="B971" t="inlineStr">
        <is>
          <t xml:space="preserve">BAJAJ FINSERV CONSUMPTION FUND - DIRECT - IDCW</t>
        </is>
      </c>
      <c r="C971" t="inlineStr">
        <is>
          <t xml:space="preserve">INF0QA701953</t>
        </is>
      </c>
    </row>
    <row r="972">
      <c r="A972" t="inlineStr">
        <is>
          <t xml:space="preserve">Bajaj Finserv Mutual Fund</t>
        </is>
      </c>
      <c r="B972" t="inlineStr">
        <is>
          <t xml:space="preserve">BAJAJ FINSERV CONSUMPTION FUND - REGULAR - GROWTH</t>
        </is>
      </c>
      <c r="C972" t="inlineStr">
        <is>
          <t xml:space="preserve">INF0QA701979</t>
        </is>
      </c>
    </row>
    <row r="973">
      <c r="A973" t="inlineStr">
        <is>
          <t xml:space="preserve">Bajaj Finserv Mutual Fund</t>
        </is>
      </c>
      <c r="B973" t="inlineStr">
        <is>
          <t xml:space="preserve">BAJAJ FINSERV CONSUMPTION FUND - REGULAR - IDCW</t>
        </is>
      </c>
      <c r="C973" t="inlineStr">
        <is>
          <t xml:space="preserve">INF0QA701920</t>
        </is>
      </c>
    </row>
    <row r="974">
      <c r="A974" t="inlineStr">
        <is>
          <t xml:space="preserve">Bajaj Finserv Mutual Fund</t>
        </is>
      </c>
      <c r="B974" t="inlineStr">
        <is>
          <t xml:space="preserve">BAJAJ FINSERV ELSS TAX SAVER FUND - DIRECT - GROWTH</t>
        </is>
      </c>
      <c r="C974" t="inlineStr">
        <is>
          <t xml:space="preserve">INF0QA701AK0</t>
        </is>
      </c>
    </row>
    <row r="975">
      <c r="A975" t="inlineStr">
        <is>
          <t xml:space="preserve">Bajaj Finserv Mutual Fund</t>
        </is>
      </c>
      <c r="B975" t="inlineStr">
        <is>
          <t xml:space="preserve">BAJAJ FINSERV ELSS TAX SAVER FUND - DIRECT - IDCW</t>
        </is>
      </c>
      <c r="C975" t="inlineStr">
        <is>
          <t xml:space="preserve">INF0QA701AL8</t>
        </is>
      </c>
    </row>
    <row r="976">
      <c r="A976" t="inlineStr">
        <is>
          <t xml:space="preserve">Bajaj Finserv Mutual Fund</t>
        </is>
      </c>
      <c r="B976" t="inlineStr">
        <is>
          <t xml:space="preserve">BAJAJ FINSERV ELSS TAX SAVER FUND - REGULAR - GROWTH</t>
        </is>
      </c>
      <c r="C976" t="inlineStr">
        <is>
          <t xml:space="preserve">INF0QA701AI4</t>
        </is>
      </c>
    </row>
    <row r="977">
      <c r="A977" t="inlineStr">
        <is>
          <t xml:space="preserve">Bajaj Finserv Mutual Fund</t>
        </is>
      </c>
      <c r="B977" t="inlineStr">
        <is>
          <t xml:space="preserve">BAJAJ FINSERV ELSS TAX SAVER FUND - REGULAR - IDCW</t>
        </is>
      </c>
      <c r="C977" t="inlineStr">
        <is>
          <t xml:space="preserve">INF0QA701AJ2</t>
        </is>
      </c>
    </row>
    <row r="978">
      <c r="A978" t="inlineStr">
        <is>
          <t xml:space="preserve">Bajaj Finserv Mutual Fund</t>
        </is>
      </c>
      <c r="B978" t="inlineStr">
        <is>
          <t xml:space="preserve">BAJAJ FINSERV EQUITY SAVINGS FUND -  DIRECT - IDCW</t>
        </is>
      </c>
      <c r="C978" t="inlineStr">
        <is>
          <t xml:space="preserve">INF0QA701BU7</t>
        </is>
      </c>
    </row>
    <row r="979">
      <c r="A979" t="inlineStr">
        <is>
          <t xml:space="preserve">Bajaj Finserv Mutual Fund</t>
        </is>
      </c>
      <c r="B979" t="inlineStr">
        <is>
          <t xml:space="preserve">BAJAJ FINSERV EQUITY SAVINGS FUND - DIRECT - GROWTH</t>
        </is>
      </c>
      <c r="C979" t="inlineStr">
        <is>
          <t xml:space="preserve">INF0QA701BT9</t>
        </is>
      </c>
    </row>
    <row r="980">
      <c r="A980" t="inlineStr">
        <is>
          <t xml:space="preserve">Bajaj Finserv Mutual Fund</t>
        </is>
      </c>
      <c r="B980" t="inlineStr">
        <is>
          <t xml:space="preserve">BAJAJ FINSERV EQUITY SAVINGS FUND - REGULAR - GROWTH</t>
        </is>
      </c>
      <c r="C980" t="inlineStr">
        <is>
          <t xml:space="preserve">INF0QA701BQ5</t>
        </is>
      </c>
    </row>
    <row r="981">
      <c r="A981" t="inlineStr">
        <is>
          <t xml:space="preserve">Bajaj Finserv Mutual Fund</t>
        </is>
      </c>
      <c r="B981" t="inlineStr">
        <is>
          <t xml:space="preserve">BAJAJ FINSERV EQUITY SAVINGS FUND - REGULAR - IDCW</t>
        </is>
      </c>
      <c r="C981" t="inlineStr">
        <is>
          <t xml:space="preserve">INF0QA701BR3</t>
        </is>
      </c>
    </row>
    <row r="982">
      <c r="A982" t="inlineStr">
        <is>
          <t xml:space="preserve">Bajaj Finserv Mutual Fund</t>
        </is>
      </c>
      <c r="B982" t="inlineStr">
        <is>
          <t xml:space="preserve">Bajaj Finserv Flexi Cap Fund -Regular Plan-Growth</t>
        </is>
      </c>
      <c r="C982" t="inlineStr">
        <is>
          <t xml:space="preserve">INF0QA701383</t>
        </is>
      </c>
    </row>
    <row r="983">
      <c r="A983" t="inlineStr">
        <is>
          <t xml:space="preserve">Bajaj Finserv Mutual Fund</t>
        </is>
      </c>
      <c r="B983" t="inlineStr">
        <is>
          <t xml:space="preserve">Bajaj Finserv Flexi Cap Fund-Direct Plan-Growth</t>
        </is>
      </c>
      <c r="C983" t="inlineStr">
        <is>
          <t xml:space="preserve">INF0QA701342</t>
        </is>
      </c>
    </row>
    <row r="984">
      <c r="A984" t="inlineStr">
        <is>
          <t xml:space="preserve">Bajaj Finserv Mutual Fund</t>
        </is>
      </c>
      <c r="B984" t="inlineStr">
        <is>
          <t xml:space="preserve">Bajaj Finserv Flexi Cap Fund-Direct Plan-IDCW</t>
        </is>
      </c>
      <c r="C984" t="inlineStr">
        <is>
          <t xml:space="preserve">INF0QA701359</t>
        </is>
      </c>
    </row>
    <row r="985">
      <c r="A985" t="inlineStr">
        <is>
          <t xml:space="preserve">Bajaj Finserv Mutual Fund</t>
        </is>
      </c>
      <c r="B985" t="inlineStr">
        <is>
          <t xml:space="preserve">Bajaj Finserv Flexi Cap Fund-Regular Plan-IDCW</t>
        </is>
      </c>
      <c r="C985" t="inlineStr">
        <is>
          <t xml:space="preserve">INF0QA701409</t>
        </is>
      </c>
    </row>
    <row r="986">
      <c r="A986" t="inlineStr">
        <is>
          <t xml:space="preserve">Bajaj Finserv Mutual Fund</t>
        </is>
      </c>
      <c r="B986" t="inlineStr">
        <is>
          <t xml:space="preserve">Bajaj Finserv Gilt Fund - Direct - Growth</t>
        </is>
      </c>
      <c r="C986" t="inlineStr">
        <is>
          <t xml:space="preserve">INF0QA701AP9</t>
        </is>
      </c>
    </row>
    <row r="987">
      <c r="A987" t="inlineStr">
        <is>
          <t xml:space="preserve">Bajaj Finserv Mutual Fund</t>
        </is>
      </c>
      <c r="B987" t="inlineStr">
        <is>
          <t xml:space="preserve">Bajaj Finserv Gilt Fund - Direct - IDCW</t>
        </is>
      </c>
      <c r="C987" t="inlineStr">
        <is>
          <t xml:space="preserve">INF0QA701AQ7</t>
        </is>
      </c>
    </row>
    <row r="988">
      <c r="A988" t="inlineStr">
        <is>
          <t xml:space="preserve">Bajaj Finserv Mutual Fund</t>
        </is>
      </c>
      <c r="B988" t="inlineStr">
        <is>
          <t xml:space="preserve">Bajaj Finserv Gilt Fund - Regular - Growth</t>
        </is>
      </c>
      <c r="C988" t="inlineStr">
        <is>
          <t xml:space="preserve">INF0QA701AM6</t>
        </is>
      </c>
    </row>
    <row r="989">
      <c r="A989" t="inlineStr">
        <is>
          <t xml:space="preserve">Bajaj Finserv Mutual Fund</t>
        </is>
      </c>
      <c r="B989" t="inlineStr">
        <is>
          <t xml:space="preserve">Bajaj Finserv Gilt Fund - Regular - IDCW</t>
        </is>
      </c>
      <c r="C989" t="inlineStr">
        <is>
          <t xml:space="preserve">INF0QA701AN4</t>
        </is>
      </c>
    </row>
    <row r="990">
      <c r="A990" t="inlineStr">
        <is>
          <t xml:space="preserve">Bajaj Finserv Mutual Fund</t>
        </is>
      </c>
      <c r="B990" t="inlineStr">
        <is>
          <t xml:space="preserve">BAJAJ FINSERV HEALTHCARE FUND - DIRECT - GROWTH</t>
        </is>
      </c>
      <c r="C990" t="inlineStr">
        <is>
          <t xml:space="preserve">INF0QA701AB9</t>
        </is>
      </c>
    </row>
    <row r="991">
      <c r="A991" t="inlineStr">
        <is>
          <t xml:space="preserve">Bajaj Finserv Mutual Fund</t>
        </is>
      </c>
      <c r="B991" t="inlineStr">
        <is>
          <t xml:space="preserve">BAJAJ FINSERV HEALTHCARE FUND - DIRECT - IDCW</t>
        </is>
      </c>
      <c r="C991" t="inlineStr">
        <is>
          <t xml:space="preserve">INF0QA701AC7</t>
        </is>
      </c>
    </row>
    <row r="992">
      <c r="A992" t="inlineStr">
        <is>
          <t xml:space="preserve">Bajaj Finserv Mutual Fund</t>
        </is>
      </c>
      <c r="B992" t="inlineStr">
        <is>
          <t xml:space="preserve">BAJAJ FINSERV HEALTHCARE FUND - REGULAR - GROWTH</t>
        </is>
      </c>
      <c r="C992" t="inlineStr">
        <is>
          <t xml:space="preserve">INF0QA701987</t>
        </is>
      </c>
    </row>
    <row r="993">
      <c r="A993" t="inlineStr">
        <is>
          <t xml:space="preserve">Bajaj Finserv Mutual Fund</t>
        </is>
      </c>
      <c r="B993" t="inlineStr">
        <is>
          <t xml:space="preserve">BAJAJ FINSERV HEALTHCARE FUND - REGULAR - IDCW</t>
        </is>
      </c>
      <c r="C993" t="inlineStr">
        <is>
          <t xml:space="preserve">INF0QA701995</t>
        </is>
      </c>
    </row>
    <row r="994">
      <c r="A994" t="inlineStr">
        <is>
          <t xml:space="preserve">Bajaj Finserv Mutual Fund</t>
        </is>
      </c>
      <c r="B994" t="inlineStr">
        <is>
          <t xml:space="preserve">Bajaj Finserv Large and Mid Cap Fund- Direct Plan- Growth</t>
        </is>
      </c>
      <c r="C994" t="inlineStr">
        <is>
          <t xml:space="preserve">INF0QA701763</t>
        </is>
      </c>
    </row>
    <row r="995">
      <c r="A995" t="inlineStr">
        <is>
          <t xml:space="preserve">Bajaj Finserv Mutual Fund</t>
        </is>
      </c>
      <c r="B995" t="inlineStr">
        <is>
          <t xml:space="preserve">Bajaj Finserv Large and Mid Cap Fund- Direct Plan- IDCW</t>
        </is>
      </c>
      <c r="C995" t="inlineStr">
        <is>
          <t xml:space="preserve">INF0QA701771</t>
        </is>
      </c>
    </row>
    <row r="996">
      <c r="A996" t="inlineStr">
        <is>
          <t xml:space="preserve">Bajaj Finserv Mutual Fund</t>
        </is>
      </c>
      <c r="B996" t="inlineStr">
        <is>
          <t xml:space="preserve">Bajaj Finserv Large and Mid Cap Fund- Regular Plan- Growth</t>
        </is>
      </c>
      <c r="C996" t="inlineStr">
        <is>
          <t xml:space="preserve">INF0QA701730</t>
        </is>
      </c>
    </row>
    <row r="997">
      <c r="A997" t="inlineStr">
        <is>
          <t xml:space="preserve">Bajaj Finserv Mutual Fund</t>
        </is>
      </c>
      <c r="B997" t="inlineStr">
        <is>
          <t xml:space="preserve">Bajaj Finserv Large and Mid Cap Fund- Regular Plan- IDCW</t>
        </is>
      </c>
      <c r="C997" t="inlineStr">
        <is>
          <t xml:space="preserve">INF0QA701748</t>
        </is>
      </c>
    </row>
    <row r="998">
      <c r="A998" t="inlineStr">
        <is>
          <t xml:space="preserve">Bajaj Finserv Mutual Fund</t>
        </is>
      </c>
      <c r="B998" t="inlineStr">
        <is>
          <t xml:space="preserve">BAJAJ FINSERV LARGE CAP FUND - DIRECT PLAN - GROWTH</t>
        </is>
      </c>
      <c r="C998" t="inlineStr">
        <is>
          <t xml:space="preserve">INF0QA701896</t>
        </is>
      </c>
    </row>
    <row r="999">
      <c r="A999" t="inlineStr">
        <is>
          <t xml:space="preserve">Bajaj Finserv Mutual Fund</t>
        </is>
      </c>
      <c r="B999" t="inlineStr">
        <is>
          <t xml:space="preserve">BAJAJ FINSERV LARGE CAP FUND - DIRECT PLAN - IDCW</t>
        </is>
      </c>
      <c r="C999" t="inlineStr">
        <is>
          <t xml:space="preserve">INF0QA701904</t>
        </is>
      </c>
    </row>
    <row r="1000">
      <c r="A1000" t="inlineStr">
        <is>
          <t xml:space="preserve">Bajaj Finserv Mutual Fund</t>
        </is>
      </c>
      <c r="B1000" t="inlineStr">
        <is>
          <t xml:space="preserve">BAJAJ FINSERV LARGE CAP FUND - REGULAR PLAN - GROWTH</t>
        </is>
      </c>
      <c r="C1000" t="inlineStr">
        <is>
          <t xml:space="preserve">INF0QA701862</t>
        </is>
      </c>
    </row>
    <row r="1001">
      <c r="A1001" t="inlineStr">
        <is>
          <t xml:space="preserve">Bajaj Finserv Mutual Fund</t>
        </is>
      </c>
      <c r="B1001" t="inlineStr">
        <is>
          <t xml:space="preserve">BAJAJ FINSERV LARGE CAP FUND - REGULAR PLAN - IDCW</t>
        </is>
      </c>
      <c r="C1001" t="inlineStr">
        <is>
          <t xml:space="preserve">INF0QA701870</t>
        </is>
      </c>
    </row>
    <row r="1002">
      <c r="A1002" t="inlineStr">
        <is>
          <t xml:space="preserve">Bajaj Finserv Mutual Fund</t>
        </is>
      </c>
      <c r="B1002" t="inlineStr">
        <is>
          <t xml:space="preserve">Bajaj Finserv Liquid Fund - Direct Plan - Daily - IDCW</t>
        </is>
      </c>
      <c r="C1002" t="inlineStr">
        <is>
          <t xml:space="preserve">INF0QA701029</t>
        </is>
      </c>
    </row>
    <row r="1003">
      <c r="A1003" t="inlineStr">
        <is>
          <t xml:space="preserve">Bajaj Finserv Mutual Fund</t>
        </is>
      </c>
      <c r="B1003" t="inlineStr">
        <is>
          <t xml:space="preserve">Bajaj Finserv Liquid Fund - Direct Plan - Fortnightly - IDCW</t>
        </is>
      </c>
      <c r="C1003" t="inlineStr">
        <is>
          <t xml:space="preserve">INF0QA701078</t>
        </is>
      </c>
    </row>
    <row r="1004">
      <c r="A1004" t="inlineStr">
        <is>
          <t xml:space="preserve">Bajaj Finserv Mutual Fund</t>
        </is>
      </c>
      <c r="B1004" t="inlineStr">
        <is>
          <t xml:space="preserve">Bajaj Finserv Liquid Fund - Direct Plan - Growth</t>
        </is>
      </c>
      <c r="C1004" t="inlineStr">
        <is>
          <t xml:space="preserve">INF0QA701011</t>
        </is>
      </c>
    </row>
    <row r="1005">
      <c r="A1005" t="inlineStr">
        <is>
          <t xml:space="preserve">Bajaj Finserv Mutual Fund</t>
        </is>
      </c>
      <c r="B1005" t="inlineStr">
        <is>
          <t xml:space="preserve">Bajaj Finserv Liquid Fund - Direct Plan - Monthly - IDCW</t>
        </is>
      </c>
      <c r="C1005" t="inlineStr">
        <is>
          <t xml:space="preserve">INF0QA701086</t>
        </is>
      </c>
    </row>
    <row r="1006">
      <c r="A1006" t="inlineStr">
        <is>
          <t xml:space="preserve">Bajaj Finserv Mutual Fund</t>
        </is>
      </c>
      <c r="B1006" t="inlineStr">
        <is>
          <t xml:space="preserve">Bajaj Finserv Liquid Fund - Direct Plan - Weekly - IDCW</t>
        </is>
      </c>
      <c r="C1006" t="inlineStr">
        <is>
          <t xml:space="preserve">INF0QA701060</t>
        </is>
      </c>
    </row>
    <row r="1007">
      <c r="A1007" t="inlineStr">
        <is>
          <t xml:space="preserve">Bajaj Finserv Mutual Fund</t>
        </is>
      </c>
      <c r="B1007" t="inlineStr">
        <is>
          <t xml:space="preserve">Bajaj Finserv Liquid Fund - Regular Plan - Daily - IDCW</t>
        </is>
      </c>
      <c r="C1007" t="inlineStr">
        <is>
          <t xml:space="preserve">INF0QA701136</t>
        </is>
      </c>
    </row>
    <row r="1008">
      <c r="A1008" t="inlineStr">
        <is>
          <t xml:space="preserve">Bajaj Finserv Mutual Fund</t>
        </is>
      </c>
      <c r="B1008" t="inlineStr">
        <is>
          <t xml:space="preserve">Bajaj Finserv Liquid Fund - Regular Plan - Fortnightly - IDCW</t>
        </is>
      </c>
      <c r="C1008" t="inlineStr">
        <is>
          <t xml:space="preserve">INF0QA701151</t>
        </is>
      </c>
    </row>
    <row r="1009">
      <c r="A1009" t="inlineStr">
        <is>
          <t xml:space="preserve">Bajaj Finserv Mutual Fund</t>
        </is>
      </c>
      <c r="B1009" t="inlineStr">
        <is>
          <t xml:space="preserve">Bajaj Finserv Liquid Fund - Regular Plan - Growth</t>
        </is>
      </c>
      <c r="C1009" t="inlineStr">
        <is>
          <t xml:space="preserve">INF0QA701094</t>
        </is>
      </c>
    </row>
    <row r="1010">
      <c r="A1010" t="inlineStr">
        <is>
          <t xml:space="preserve">Bajaj Finserv Mutual Fund</t>
        </is>
      </c>
      <c r="B1010" t="inlineStr">
        <is>
          <t xml:space="preserve">Bajaj Finserv Liquid Fund - Regular Plan - Monthly - IDCW</t>
        </is>
      </c>
      <c r="C1010" t="inlineStr">
        <is>
          <t xml:space="preserve">INF0QA701169</t>
        </is>
      </c>
    </row>
    <row r="1011">
      <c r="A1011" t="inlineStr">
        <is>
          <t xml:space="preserve">Bajaj Finserv Mutual Fund</t>
        </is>
      </c>
      <c r="B1011" t="inlineStr">
        <is>
          <t xml:space="preserve">Bajaj Finserv Liquid Fund - Regular Plan - Weekly - IDCW</t>
        </is>
      </c>
      <c r="C1011" t="inlineStr">
        <is>
          <t xml:space="preserve">INF0QA701144</t>
        </is>
      </c>
    </row>
    <row r="1012">
      <c r="A1012" t="inlineStr">
        <is>
          <t xml:space="preserve">Bajaj Finserv Mutual Fund</t>
        </is>
      </c>
      <c r="B1012" t="inlineStr">
        <is>
          <t xml:space="preserve">Bajaj Finserv Low Duration Fund - Direct - Growth</t>
        </is>
      </c>
      <c r="C1012" t="inlineStr">
        <is>
          <t xml:space="preserve">INF0QA701CF6</t>
        </is>
      </c>
    </row>
    <row r="1013">
      <c r="A1013" t="inlineStr">
        <is>
          <t xml:space="preserve">Bajaj Finserv Mutual Fund</t>
        </is>
      </c>
      <c r="B1013" t="inlineStr">
        <is>
          <t xml:space="preserve">Bajaj Finserv Low Duration Fund - Direct - IDCW</t>
        </is>
      </c>
      <c r="C1013" t="inlineStr">
        <is>
          <t xml:space="preserve">INF0QA701CG4</t>
        </is>
      </c>
    </row>
    <row r="1014">
      <c r="A1014" t="inlineStr">
        <is>
          <t xml:space="preserve">Bajaj Finserv Mutual Fund</t>
        </is>
      </c>
      <c r="B1014" t="inlineStr">
        <is>
          <t xml:space="preserve">Bajaj Finserv Low Duration Fund - Regular - Growth</t>
        </is>
      </c>
      <c r="C1014" t="inlineStr">
        <is>
          <t xml:space="preserve">INF0QA701CC3</t>
        </is>
      </c>
    </row>
    <row r="1015">
      <c r="A1015" t="inlineStr">
        <is>
          <t xml:space="preserve">Bajaj Finserv Mutual Fund</t>
        </is>
      </c>
      <c r="B1015" t="inlineStr">
        <is>
          <t xml:space="preserve">Bajaj Finserv Low Duration Fund - Regular - IDCW</t>
        </is>
      </c>
      <c r="C1015" t="inlineStr">
        <is>
          <t xml:space="preserve">INF0QA701CD1</t>
        </is>
      </c>
    </row>
    <row r="1016">
      <c r="A1016" t="inlineStr">
        <is>
          <t xml:space="preserve">Bajaj Finserv Mutual Fund</t>
        </is>
      </c>
      <c r="B1016" t="inlineStr">
        <is>
          <t xml:space="preserve">Bajaj Finserv Money Market Fund-Direct Plan-Growth</t>
        </is>
      </c>
      <c r="C1016" t="inlineStr">
        <is>
          <t xml:space="preserve">INF0QA701334</t>
        </is>
      </c>
    </row>
    <row r="1017">
      <c r="A1017" t="inlineStr">
        <is>
          <t xml:space="preserve">Bajaj Finserv Mutual Fund</t>
        </is>
      </c>
      <c r="B1017" t="inlineStr">
        <is>
          <t xml:space="preserve">Bajaj Finserv Money Market Fund-Direct Plan-IDCW</t>
        </is>
      </c>
      <c r="C1017" t="inlineStr">
        <is>
          <t xml:space="preserve">INF0QA701391</t>
        </is>
      </c>
    </row>
    <row r="1018">
      <c r="A1018" t="inlineStr">
        <is>
          <t xml:space="preserve">Bajaj Finserv Mutual Fund</t>
        </is>
      </c>
      <c r="B1018" t="inlineStr">
        <is>
          <t xml:space="preserve">Bajaj Finserv Money Market Fund-Direct Plan-Monthly-IDCW</t>
        </is>
      </c>
      <c r="C1018" t="inlineStr">
        <is>
          <t xml:space="preserve">INF0QA701433</t>
        </is>
      </c>
    </row>
    <row r="1019">
      <c r="A1019" t="inlineStr">
        <is>
          <t xml:space="preserve">Bajaj Finserv Mutual Fund</t>
        </is>
      </c>
      <c r="B1019" t="inlineStr">
        <is>
          <t xml:space="preserve">Bajaj Finserv Money Market Fund-Regular Plan-Growth</t>
        </is>
      </c>
      <c r="C1019" t="inlineStr">
        <is>
          <t xml:space="preserve">INF0QA701441</t>
        </is>
      </c>
    </row>
    <row r="1020">
      <c r="A1020" t="inlineStr">
        <is>
          <t xml:space="preserve">Bajaj Finserv Mutual Fund</t>
        </is>
      </c>
      <c r="B1020" t="inlineStr">
        <is>
          <t xml:space="preserve">Bajaj Finserv Money Market Fund-Regular Plan-IDCW</t>
        </is>
      </c>
      <c r="C1020" t="inlineStr">
        <is>
          <t xml:space="preserve">INF0QA701466</t>
        </is>
      </c>
    </row>
    <row r="1021">
      <c r="A1021" t="inlineStr">
        <is>
          <t xml:space="preserve">Bajaj Finserv Mutual Fund</t>
        </is>
      </c>
      <c r="B1021" t="inlineStr">
        <is>
          <t xml:space="preserve">Bajaj Finserv Money Market Fund-Regular Plan-Monthly-IDCW</t>
        </is>
      </c>
      <c r="C1021" t="inlineStr">
        <is>
          <t xml:space="preserve">INF0QA701482</t>
        </is>
      </c>
    </row>
    <row r="1022">
      <c r="A1022" t="inlineStr">
        <is>
          <t xml:space="preserve">Bajaj Finserv Mutual Fund</t>
        </is>
      </c>
      <c r="B1022" t="inlineStr">
        <is>
          <t xml:space="preserve">Bajaj Finserv Multi Asset Allocation Fund - Direct Growth</t>
        </is>
      </c>
      <c r="C1022" t="inlineStr">
        <is>
          <t xml:space="preserve">INF0QA701821</t>
        </is>
      </c>
    </row>
    <row r="1023">
      <c r="A1023" t="inlineStr">
        <is>
          <t xml:space="preserve">Bajaj Finserv Mutual Fund</t>
        </is>
      </c>
      <c r="B1023" t="inlineStr">
        <is>
          <t xml:space="preserve">Bajaj Finserv Multi Asset Allocation Fund - Direct IDCW</t>
        </is>
      </c>
      <c r="C1023" t="inlineStr">
        <is>
          <t xml:space="preserve">INF0QA701839</t>
        </is>
      </c>
    </row>
    <row r="1024">
      <c r="A1024" t="inlineStr">
        <is>
          <t xml:space="preserve">Bajaj Finserv Mutual Fund</t>
        </is>
      </c>
      <c r="B1024" t="inlineStr">
        <is>
          <t xml:space="preserve">Bajaj Finserv Multi Asset Allocation Fund - Regular Growth</t>
        </is>
      </c>
      <c r="C1024" t="inlineStr">
        <is>
          <t xml:space="preserve">INF0QA701797</t>
        </is>
      </c>
    </row>
    <row r="1025">
      <c r="A1025" t="inlineStr">
        <is>
          <t xml:space="preserve">Bajaj Finserv Mutual Fund</t>
        </is>
      </c>
      <c r="B1025" t="inlineStr">
        <is>
          <t xml:space="preserve">Bajaj Finserv Multi Asset Allocation Fund - Regular IDCW</t>
        </is>
      </c>
      <c r="C1025" t="inlineStr">
        <is>
          <t xml:space="preserve">INF0QA701805</t>
        </is>
      </c>
    </row>
    <row r="1026">
      <c r="A1026" t="inlineStr">
        <is>
          <t xml:space="preserve">Bajaj Finserv Mutual Fund</t>
        </is>
      </c>
      <c r="B1026" t="inlineStr">
        <is>
          <t xml:space="preserve">BAJAJ FINSERV MULTI CAP FUND - DIRECT - GROWTH</t>
        </is>
      </c>
      <c r="C1026" t="inlineStr">
        <is>
          <t xml:space="preserve">INF0QA701AV7</t>
        </is>
      </c>
    </row>
    <row r="1027">
      <c r="A1027" t="inlineStr">
        <is>
          <t xml:space="preserve">Bajaj Finserv Mutual Fund</t>
        </is>
      </c>
      <c r="B1027" t="inlineStr">
        <is>
          <t xml:space="preserve">BAJAJ FINSERV MULTI CAP FUND - DIRECT - IDCW</t>
        </is>
      </c>
      <c r="C1027" t="inlineStr">
        <is>
          <t xml:space="preserve">INF0QA701AW5</t>
        </is>
      </c>
    </row>
    <row r="1028">
      <c r="A1028" t="inlineStr">
        <is>
          <t xml:space="preserve">Bajaj Finserv Mutual Fund</t>
        </is>
      </c>
      <c r="B1028" t="inlineStr">
        <is>
          <t xml:space="preserve">BAJAJ FINSERV MULTI CAP FUND - REGULAR - GROWTH</t>
        </is>
      </c>
      <c r="C1028" t="inlineStr">
        <is>
          <t xml:space="preserve">INF0QA701AS3</t>
        </is>
      </c>
    </row>
    <row r="1029">
      <c r="A1029" t="inlineStr">
        <is>
          <t xml:space="preserve">Bajaj Finserv Mutual Fund</t>
        </is>
      </c>
      <c r="B1029" t="inlineStr">
        <is>
          <t xml:space="preserve">BAJAJ FINSERV MULTI CAP FUND - REGULAR - IDCW</t>
        </is>
      </c>
      <c r="C1029" t="inlineStr">
        <is>
          <t xml:space="preserve">INF0QA701AT1</t>
        </is>
      </c>
    </row>
    <row r="1030">
      <c r="A1030" t="inlineStr">
        <is>
          <t xml:space="preserve">Bajaj Finserv Mutual Fund</t>
        </is>
      </c>
      <c r="B1030" t="inlineStr">
        <is>
          <t xml:space="preserve">Bajaj Finserv Nifty 1D Rate Liquid ETF</t>
        </is>
      </c>
      <c r="C1030" t="inlineStr">
        <is>
          <t xml:space="preserve">INF0QA701854</t>
        </is>
      </c>
    </row>
    <row r="1031">
      <c r="A1031" t="inlineStr">
        <is>
          <t xml:space="preserve">Bajaj Finserv Mutual Fund</t>
        </is>
      </c>
      <c r="B1031" t="inlineStr">
        <is>
          <t xml:space="preserve">Bajaj Finserv Nifty 50 ETF</t>
        </is>
      </c>
      <c r="C1031" t="inlineStr">
        <is>
          <t xml:space="preserve">INF0QA701722</t>
        </is>
      </c>
    </row>
    <row r="1032">
      <c r="A1032" t="inlineStr">
        <is>
          <t xml:space="preserve">Bajaj Finserv Mutual Fund</t>
        </is>
      </c>
      <c r="B1032" t="inlineStr">
        <is>
          <t xml:space="preserve">Bajaj Finserv Nifty 50 Index Fund - Direct - Growth</t>
        </is>
      </c>
      <c r="C1032" t="inlineStr">
        <is>
          <t xml:space="preserve">INF0QA701BA9</t>
        </is>
      </c>
    </row>
    <row r="1033">
      <c r="A1033" t="inlineStr">
        <is>
          <t xml:space="preserve">Bajaj Finserv Mutual Fund</t>
        </is>
      </c>
      <c r="B1033" t="inlineStr">
        <is>
          <t xml:space="preserve">Bajaj Finserv Nifty 50 Index Fund - Direct - IDCW</t>
        </is>
      </c>
      <c r="C1033" t="inlineStr">
        <is>
          <t xml:space="preserve">INF0QA701BB7</t>
        </is>
      </c>
    </row>
    <row r="1034">
      <c r="A1034" t="inlineStr">
        <is>
          <t xml:space="preserve">Bajaj Finserv Mutual Fund</t>
        </is>
      </c>
      <c r="B1034" t="inlineStr">
        <is>
          <t xml:space="preserve">Bajaj Finserv Nifty 50 Index Fund - Regular - Growth</t>
        </is>
      </c>
      <c r="C1034" t="inlineStr">
        <is>
          <t xml:space="preserve">INF0QA701AY1</t>
        </is>
      </c>
    </row>
    <row r="1035">
      <c r="A1035" t="inlineStr">
        <is>
          <t xml:space="preserve">Bajaj Finserv Mutual Fund</t>
        </is>
      </c>
      <c r="B1035" t="inlineStr">
        <is>
          <t xml:space="preserve">Bajaj Finserv Nifty 50 Index Fund - Regular - IDCW</t>
        </is>
      </c>
      <c r="C1035" t="inlineStr">
        <is>
          <t xml:space="preserve">INF0QA701BJ0</t>
        </is>
      </c>
    </row>
    <row r="1036">
      <c r="A1036" t="inlineStr">
        <is>
          <t xml:space="preserve">Bajaj Finserv Mutual Fund</t>
        </is>
      </c>
      <c r="B1036" t="inlineStr">
        <is>
          <t xml:space="preserve">Bajaj Finserv Nifty Bank ETF</t>
        </is>
      </c>
      <c r="C1036" t="inlineStr">
        <is>
          <t xml:space="preserve">INF0QA701714</t>
        </is>
      </c>
    </row>
    <row r="1037">
      <c r="A1037" t="inlineStr">
        <is>
          <t xml:space="preserve">Bajaj Finserv Mutual Fund</t>
        </is>
      </c>
      <c r="B1037" t="inlineStr">
        <is>
          <t xml:space="preserve">Bajaj Finserv Nifty Next 50 Index Fund - Direct - Growth</t>
        </is>
      </c>
      <c r="C1037" t="inlineStr">
        <is>
          <t xml:space="preserve">INF0QA701BG6</t>
        </is>
      </c>
    </row>
    <row r="1038">
      <c r="A1038" t="inlineStr">
        <is>
          <t xml:space="preserve">Bajaj Finserv Mutual Fund</t>
        </is>
      </c>
      <c r="B1038" t="inlineStr">
        <is>
          <t xml:space="preserve">Bajaj Finserv Nifty Next 50 Index Fund - Direct - IDCW</t>
        </is>
      </c>
      <c r="C1038" t="inlineStr">
        <is>
          <t xml:space="preserve">INF0QA701BH4</t>
        </is>
      </c>
    </row>
    <row r="1039">
      <c r="A1039" t="inlineStr">
        <is>
          <t xml:space="preserve">Bajaj Finserv Mutual Fund</t>
        </is>
      </c>
      <c r="B1039" t="inlineStr">
        <is>
          <t xml:space="preserve">Bajaj Finserv Nifty Next 50 Index Fund - Regular - Growth</t>
        </is>
      </c>
      <c r="C1039" t="inlineStr">
        <is>
          <t xml:space="preserve">INF0QA701BD3</t>
        </is>
      </c>
    </row>
    <row r="1040">
      <c r="A1040" t="inlineStr">
        <is>
          <t xml:space="preserve">Bajaj Finserv Mutual Fund</t>
        </is>
      </c>
      <c r="B1040" t="inlineStr">
        <is>
          <t xml:space="preserve">Bajaj Finserv Nifty Next 50 Index Fund - Regular - IDCW</t>
        </is>
      </c>
      <c r="C1040" t="inlineStr">
        <is>
          <t xml:space="preserve">INF0QA701BE1</t>
        </is>
      </c>
    </row>
    <row r="1041">
      <c r="A1041" t="inlineStr">
        <is>
          <t xml:space="preserve">Bajaj Finserv Mutual Fund</t>
        </is>
      </c>
      <c r="B1041" t="inlineStr">
        <is>
          <t xml:space="preserve">Bajaj Finserv Overnight Fund - Direct - Unclaimed less than 3 years IDCW Plan</t>
        </is>
      </c>
      <c r="C1041" t="inlineStr">
        <is>
          <t xml:space="preserve">INF0QA701AE3</t>
        </is>
      </c>
    </row>
    <row r="1042">
      <c r="A1042" t="inlineStr">
        <is>
          <t xml:space="preserve">Bajaj Finserv Mutual Fund</t>
        </is>
      </c>
      <c r="B1042" t="inlineStr">
        <is>
          <t xml:space="preserve">Bajaj Finserv Overnight Fund - Direct - Unclaimed less than 3 years Redemption Plan</t>
        </is>
      </c>
      <c r="C1042" t="inlineStr">
        <is>
          <t xml:space="preserve">INF0QA701AF0</t>
        </is>
      </c>
    </row>
    <row r="1043">
      <c r="A1043" t="inlineStr">
        <is>
          <t xml:space="preserve">Bajaj Finserv Mutual Fund</t>
        </is>
      </c>
      <c r="B1043" t="inlineStr">
        <is>
          <t xml:space="preserve">Bajaj Finserv Overnight Fund - Direct Plan - Daily - IDCW</t>
        </is>
      </c>
      <c r="C1043" t="inlineStr">
        <is>
          <t xml:space="preserve">INF0QA701185</t>
        </is>
      </c>
    </row>
    <row r="1044">
      <c r="A1044" t="inlineStr">
        <is>
          <t xml:space="preserve">Bajaj Finserv Mutual Fund</t>
        </is>
      </c>
      <c r="B1044" t="inlineStr">
        <is>
          <t xml:space="preserve">Bajaj Finserv Overnight Fund - Direct Plan - Fortnightly - IDCW</t>
        </is>
      </c>
      <c r="C1044" t="inlineStr">
        <is>
          <t xml:space="preserve">INF0QA701235</t>
        </is>
      </c>
    </row>
    <row r="1045">
      <c r="A1045" t="inlineStr">
        <is>
          <t xml:space="preserve">Bajaj Finserv Mutual Fund</t>
        </is>
      </c>
      <c r="B1045" t="inlineStr">
        <is>
          <t xml:space="preserve">Bajaj Finserv Overnight Fund - Direct Plan - Growth</t>
        </is>
      </c>
      <c r="C1045" t="inlineStr">
        <is>
          <t xml:space="preserve">INF0QA701177</t>
        </is>
      </c>
    </row>
    <row r="1046">
      <c r="A1046" t="inlineStr">
        <is>
          <t xml:space="preserve">Bajaj Finserv Mutual Fund</t>
        </is>
      </c>
      <c r="B1046" t="inlineStr">
        <is>
          <t xml:space="preserve">Bajaj Finserv Overnight Fund - Direct Plan - Monthly - IDCW</t>
        </is>
      </c>
      <c r="C1046" t="inlineStr">
        <is>
          <t xml:space="preserve">INF0QA701243</t>
        </is>
      </c>
    </row>
    <row r="1047">
      <c r="A1047" t="inlineStr">
        <is>
          <t xml:space="preserve">Bajaj Finserv Mutual Fund</t>
        </is>
      </c>
      <c r="B1047" t="inlineStr">
        <is>
          <t xml:space="preserve">Bajaj Finserv Overnight Fund - Direct Plan - Weekly - IDCW</t>
        </is>
      </c>
      <c r="C1047" t="inlineStr">
        <is>
          <t xml:space="preserve">INF0QA701227</t>
        </is>
      </c>
    </row>
    <row r="1048">
      <c r="A1048" t="inlineStr">
        <is>
          <t xml:space="preserve">Bajaj Finserv Mutual Fund</t>
        </is>
      </c>
      <c r="B1048" t="inlineStr">
        <is>
          <t xml:space="preserve">Bajaj Finserv Overnight Fund - Regular Plan - Daily - IDCW</t>
        </is>
      </c>
      <c r="C1048" t="inlineStr">
        <is>
          <t xml:space="preserve">INF0QA701292</t>
        </is>
      </c>
    </row>
    <row r="1049">
      <c r="A1049" t="inlineStr">
        <is>
          <t xml:space="preserve">Bajaj Finserv Mutual Fund</t>
        </is>
      </c>
      <c r="B1049" t="inlineStr">
        <is>
          <t xml:space="preserve">Bajaj Finserv Overnight Fund - Regular Plan - Fortnightly - IDCW</t>
        </is>
      </c>
      <c r="C1049" t="inlineStr">
        <is>
          <t xml:space="preserve">INF0QA701318</t>
        </is>
      </c>
    </row>
    <row r="1050">
      <c r="A1050" t="inlineStr">
        <is>
          <t xml:space="preserve">Bajaj Finserv Mutual Fund</t>
        </is>
      </c>
      <c r="B1050" t="inlineStr">
        <is>
          <t xml:space="preserve">Bajaj Finserv Overnight Fund - Regular Plan - Growth</t>
        </is>
      </c>
      <c r="C1050" t="inlineStr">
        <is>
          <t xml:space="preserve">INF0QA701250</t>
        </is>
      </c>
    </row>
    <row r="1051">
      <c r="A1051" t="inlineStr">
        <is>
          <t xml:space="preserve">Bajaj Finserv Mutual Fund</t>
        </is>
      </c>
      <c r="B1051" t="inlineStr">
        <is>
          <t xml:space="preserve">Bajaj Finserv Overnight Fund - Regular Plan - Monthly - IDCW</t>
        </is>
      </c>
      <c r="C1051" t="inlineStr">
        <is>
          <t xml:space="preserve">INF0QA701326</t>
        </is>
      </c>
    </row>
    <row r="1052">
      <c r="A1052" t="inlineStr">
        <is>
          <t xml:space="preserve">Bajaj Finserv Mutual Fund</t>
        </is>
      </c>
      <c r="B1052" t="inlineStr">
        <is>
          <t xml:space="preserve">Bajaj Finserv Overnight Fund - Regular Plan - Weekly - IDCW</t>
        </is>
      </c>
      <c r="C1052" t="inlineStr">
        <is>
          <t xml:space="preserve">INF0QA701300</t>
        </is>
      </c>
    </row>
    <row r="1053">
      <c r="A1053" t="inlineStr">
        <is>
          <t xml:space="preserve">Bajaj Finserv Mutual Fund</t>
        </is>
      </c>
      <c r="B1053" t="inlineStr">
        <is>
          <t xml:space="preserve">BAJAJ FINSERV SMALL CAP FUND - DIRECT - GROWTH</t>
        </is>
      </c>
      <c r="C1053" t="inlineStr">
        <is>
          <t xml:space="preserve">INF0QA701BN2</t>
        </is>
      </c>
    </row>
    <row r="1054">
      <c r="A1054" t="inlineStr">
        <is>
          <t xml:space="preserve">Bajaj Finserv Mutual Fund</t>
        </is>
      </c>
      <c r="B1054" t="inlineStr">
        <is>
          <t xml:space="preserve">BAJAJ FINSERV SMALL CAP FUND - DIRECT - IDCW</t>
        </is>
      </c>
      <c r="C1054" t="inlineStr">
        <is>
          <t xml:space="preserve">INF0QA701BO0</t>
        </is>
      </c>
    </row>
    <row r="1055">
      <c r="A1055" t="inlineStr">
        <is>
          <t xml:space="preserve">Bajaj Finserv Mutual Fund</t>
        </is>
      </c>
      <c r="B1055" t="inlineStr">
        <is>
          <t xml:space="preserve">BAJAJ FINSERV SMALL CAP FUND - REGULAR - GROWTH</t>
        </is>
      </c>
      <c r="C1055" t="inlineStr">
        <is>
          <t xml:space="preserve">INF0QA701BK8</t>
        </is>
      </c>
    </row>
    <row r="1056">
      <c r="A1056" t="inlineStr">
        <is>
          <t xml:space="preserve">Bajaj Finserv Mutual Fund</t>
        </is>
      </c>
      <c r="B1056" t="inlineStr">
        <is>
          <t xml:space="preserve">BAJAJ FINSERV SMALL CAP FUND - REGULAR - IDCW</t>
        </is>
      </c>
      <c r="C1056" t="inlineStr">
        <is>
          <t xml:space="preserve">INF0QA701BL6</t>
        </is>
      </c>
    </row>
    <row r="1057">
      <c r="A1057" t="inlineStr">
        <is>
          <t xml:space="preserve">Bandhan Mutual Fund</t>
        </is>
      </c>
      <c r="B1057" t="inlineStr">
        <is>
          <t xml:space="preserve">Bandhan Aggressive Hybrid Fund-Direct Plan Growth</t>
        </is>
      </c>
      <c r="C1057" t="inlineStr">
        <is>
          <t xml:space="preserve">INF194KA1U56</t>
        </is>
      </c>
    </row>
    <row r="1058">
      <c r="A1058" t="inlineStr">
        <is>
          <t xml:space="preserve">Bandhan Mutual Fund</t>
        </is>
      </c>
      <c r="B1058" t="inlineStr">
        <is>
          <t xml:space="preserve">Bandhan Aggressive Hybrid Fund-Direct Plan IDCW</t>
        </is>
      </c>
      <c r="C1058" t="inlineStr">
        <is>
          <t xml:space="preserve">INF194KA1U64</t>
        </is>
      </c>
    </row>
    <row r="1059">
      <c r="A1059" t="inlineStr">
        <is>
          <t xml:space="preserve">Bandhan Mutual Fund</t>
        </is>
      </c>
      <c r="B1059" t="inlineStr">
        <is>
          <t xml:space="preserve">Bandhan Aggressive Hybrid Fund-Regular Plan Growth</t>
        </is>
      </c>
      <c r="C1059" t="inlineStr">
        <is>
          <t xml:space="preserve">INF194KA1U15</t>
        </is>
      </c>
    </row>
    <row r="1060">
      <c r="A1060" t="inlineStr">
        <is>
          <t xml:space="preserve">Bandhan Mutual Fund</t>
        </is>
      </c>
      <c r="B1060" t="inlineStr">
        <is>
          <t xml:space="preserve">Bandhan Aggressive Hybrid Fund-Regular Plan IDCW</t>
        </is>
      </c>
      <c r="C1060" t="inlineStr">
        <is>
          <t xml:space="preserve">INF194KA1U23</t>
        </is>
      </c>
    </row>
    <row r="1061">
      <c r="A1061" t="inlineStr">
        <is>
          <t xml:space="preserve">Bandhan Mutual Fund</t>
        </is>
      </c>
      <c r="B1061" t="inlineStr">
        <is>
          <t xml:space="preserve">Bandhan Aggressive Hybrid Passive FOF - Direct Plan - Growth</t>
        </is>
      </c>
      <c r="C1061" t="inlineStr">
        <is>
          <t xml:space="preserve">INF194K012B6</t>
        </is>
      </c>
    </row>
    <row r="1062">
      <c r="A1062" t="inlineStr">
        <is>
          <t xml:space="preserve">Bandhan Mutual Fund</t>
        </is>
      </c>
      <c r="B1062" t="inlineStr">
        <is>
          <t xml:space="preserve">Bandhan Aggressive Hybrid Passive FOF - Direct Plan - IDCW</t>
        </is>
      </c>
      <c r="C1062" t="inlineStr">
        <is>
          <t xml:space="preserve">INF194K013B4</t>
        </is>
      </c>
    </row>
    <row r="1063">
      <c r="A1063" t="inlineStr">
        <is>
          <t xml:space="preserve">Bandhan Mutual Fund</t>
        </is>
      </c>
      <c r="B1063" t="inlineStr">
        <is>
          <t xml:space="preserve">Bandhan Aggressive Hybrid Passive FOF - Regular Plan - Growth</t>
        </is>
      </c>
      <c r="C1063" t="inlineStr">
        <is>
          <t xml:space="preserve">INF194K01953</t>
        </is>
      </c>
    </row>
    <row r="1064">
      <c r="A1064" t="inlineStr">
        <is>
          <t xml:space="preserve">Bandhan Mutual Fund</t>
        </is>
      </c>
      <c r="B1064" t="inlineStr">
        <is>
          <t xml:space="preserve">Bandhan Aggressive Hybrid Passive FOF - Regular Plan - IDCW</t>
        </is>
      </c>
      <c r="C1064" t="inlineStr">
        <is>
          <t xml:space="preserve">INF194K01961</t>
        </is>
      </c>
    </row>
    <row r="1065">
      <c r="A1065" t="inlineStr">
        <is>
          <t xml:space="preserve">Bandhan Mutual Fund</t>
        </is>
      </c>
      <c r="B1065" t="inlineStr">
        <is>
          <t xml:space="preserve">BANDHAN Arbitrage Fund - Plan B - Dividend</t>
        </is>
      </c>
      <c r="C1065" t="inlineStr">
        <is>
          <t xml:space="preserve">INF194K01623</t>
        </is>
      </c>
    </row>
    <row r="1066">
      <c r="A1066" t="inlineStr">
        <is>
          <t xml:space="preserve">Bandhan Mutual Fund</t>
        </is>
      </c>
      <c r="B1066" t="inlineStr">
        <is>
          <t xml:space="preserve">BANDHAN Arbitrage Fund - Plan B - Growth</t>
        </is>
      </c>
      <c r="C1066" t="inlineStr">
        <is>
          <t xml:space="preserve">INF194K01615</t>
        </is>
      </c>
    </row>
    <row r="1067">
      <c r="A1067" t="inlineStr">
        <is>
          <t xml:space="preserve">Bandhan Mutual Fund</t>
        </is>
      </c>
      <c r="B1067" t="inlineStr">
        <is>
          <t xml:space="preserve">BANDHAN Arbitrage Fund - Regular Plan - Annual IDCW</t>
        </is>
      </c>
      <c r="C1067" t="inlineStr">
        <is>
          <t xml:space="preserve">INF194KA1YD2</t>
        </is>
      </c>
    </row>
    <row r="1068">
      <c r="A1068" t="inlineStr">
        <is>
          <t xml:space="preserve">Bandhan Mutual Fund</t>
        </is>
      </c>
      <c r="B1068" t="inlineStr">
        <is>
          <t xml:space="preserve">BANDHAN Arbitrage Fund - Regular Plan - Growth</t>
        </is>
      </c>
      <c r="C1068" t="inlineStr">
        <is>
          <t xml:space="preserve">INF194K01649</t>
        </is>
      </c>
    </row>
    <row r="1069">
      <c r="A1069" t="inlineStr">
        <is>
          <t xml:space="preserve">Bandhan Mutual Fund</t>
        </is>
      </c>
      <c r="B1069" t="inlineStr">
        <is>
          <t xml:space="preserve">BANDHAN Arbitrage Fund - Regular Plan - Monthly IDCW</t>
        </is>
      </c>
      <c r="C1069" t="inlineStr">
        <is>
          <t xml:space="preserve">INF194K01656</t>
        </is>
      </c>
    </row>
    <row r="1070">
      <c r="A1070" t="inlineStr">
        <is>
          <t xml:space="preserve">Bandhan Mutual Fund</t>
        </is>
      </c>
      <c r="B1070" t="inlineStr">
        <is>
          <t xml:space="preserve">BANDHAN Arbitrage Fund-Direct Plan- Growth</t>
        </is>
      </c>
      <c r="C1070" t="inlineStr">
        <is>
          <t xml:space="preserve">INF194K01Y60</t>
        </is>
      </c>
    </row>
    <row r="1071">
      <c r="A1071" t="inlineStr">
        <is>
          <t xml:space="preserve">Bandhan Mutual Fund</t>
        </is>
      </c>
      <c r="B1071" t="inlineStr">
        <is>
          <t xml:space="preserve">BANDHAN Arbitrage Fund-Direct Plan-Annual IDCW</t>
        </is>
      </c>
      <c r="C1071" t="inlineStr">
        <is>
          <t xml:space="preserve">INF194KA1YG5</t>
        </is>
      </c>
    </row>
    <row r="1072">
      <c r="A1072" t="inlineStr">
        <is>
          <t xml:space="preserve">Bandhan Mutual Fund</t>
        </is>
      </c>
      <c r="B1072" t="inlineStr">
        <is>
          <t xml:space="preserve">BANDHAN Arbitrage Fund-Direct Plan-Monthly IDCW</t>
        </is>
      </c>
      <c r="C1072" t="inlineStr">
        <is>
          <t xml:space="preserve">INF194K01Y78</t>
        </is>
      </c>
    </row>
    <row r="1073">
      <c r="A1073" t="inlineStr">
        <is>
          <t xml:space="preserve">Bandhan Mutual Fund</t>
        </is>
      </c>
      <c r="B1073" t="inlineStr">
        <is>
          <t xml:space="preserve">BANDHAN Balanced Advantage Fund Direct Plan Growth</t>
        </is>
      </c>
      <c r="C1073" t="inlineStr">
        <is>
          <t xml:space="preserve">INF194KA1UH1</t>
        </is>
      </c>
    </row>
    <row r="1074">
      <c r="A1074" t="inlineStr">
        <is>
          <t xml:space="preserve">Bandhan Mutual Fund</t>
        </is>
      </c>
      <c r="B1074" t="inlineStr">
        <is>
          <t xml:space="preserve">BANDHAN Balanced Advantage Fund Direct Plan IDCW</t>
        </is>
      </c>
      <c r="C1074" t="inlineStr">
        <is>
          <t xml:space="preserve">INF194KA1UI9</t>
        </is>
      </c>
    </row>
    <row r="1075">
      <c r="A1075" t="inlineStr">
        <is>
          <t xml:space="preserve">Bandhan Mutual Fund</t>
        </is>
      </c>
      <c r="B1075" t="inlineStr">
        <is>
          <t xml:space="preserve">BANDHAN Balanced Advantage Fund Regular Plan Growth</t>
        </is>
      </c>
      <c r="C1075" t="inlineStr">
        <is>
          <t xml:space="preserve">INF194KA1UE8</t>
        </is>
      </c>
    </row>
    <row r="1076">
      <c r="A1076" t="inlineStr">
        <is>
          <t xml:space="preserve">Bandhan Mutual Fund</t>
        </is>
      </c>
      <c r="B1076" t="inlineStr">
        <is>
          <t xml:space="preserve">BANDHAN Balanced Advantage Fund Regular Plan IDCW</t>
        </is>
      </c>
      <c r="C1076" t="inlineStr">
        <is>
          <t xml:space="preserve">INF194KA1UF5</t>
        </is>
      </c>
    </row>
    <row r="1077">
      <c r="A1077" t="inlineStr">
        <is>
          <t xml:space="preserve">Bandhan Mutual Fund</t>
        </is>
      </c>
      <c r="B1077" t="inlineStr">
        <is>
          <t xml:space="preserve">Bandhan Banking and PSU Fund - Direct Annual IDCW</t>
        </is>
      </c>
      <c r="C1077" t="inlineStr">
        <is>
          <t xml:space="preserve">INF194K019M8</t>
        </is>
      </c>
    </row>
    <row r="1078">
      <c r="A1078" t="inlineStr">
        <is>
          <t xml:space="preserve">Bandhan Mutual Fund</t>
        </is>
      </c>
      <c r="B1078" t="inlineStr">
        <is>
          <t xml:space="preserve">Bandhan Banking and PSU Fund - Direct Daily IDCW</t>
        </is>
      </c>
      <c r="C1078" t="inlineStr">
        <is>
          <t xml:space="preserve">INF194KA1JD3</t>
        </is>
      </c>
    </row>
    <row r="1079">
      <c r="A1079" t="inlineStr">
        <is>
          <t xml:space="preserve">Bandhan Mutual Fund</t>
        </is>
      </c>
      <c r="B1079" t="inlineStr">
        <is>
          <t xml:space="preserve">Bandhan Banking and PSU Fund - Direct Fortnightly IDCW</t>
        </is>
      </c>
      <c r="C1079" t="inlineStr">
        <is>
          <t xml:space="preserve">INF194K010N5</t>
        </is>
      </c>
    </row>
    <row r="1080">
      <c r="A1080" t="inlineStr">
        <is>
          <t xml:space="preserve">Bandhan Mutual Fund</t>
        </is>
      </c>
      <c r="B1080" t="inlineStr">
        <is>
          <t xml:space="preserve">Bandhan Banking and PSU Fund - Direct Growth</t>
        </is>
      </c>
      <c r="C1080" t="inlineStr">
        <is>
          <t xml:space="preserve">INF194K015G8</t>
        </is>
      </c>
    </row>
    <row r="1081">
      <c r="A1081" t="inlineStr">
        <is>
          <t xml:space="preserve">Bandhan Mutual Fund</t>
        </is>
      </c>
      <c r="B1081" t="inlineStr">
        <is>
          <t xml:space="preserve">Bandhan Banking and PSU Fund - Direct IDCW</t>
        </is>
      </c>
      <c r="C1081" t="inlineStr">
        <is>
          <t xml:space="preserve">INF194K016G6</t>
        </is>
      </c>
    </row>
    <row r="1082">
      <c r="A1082" t="inlineStr">
        <is>
          <t xml:space="preserve">Bandhan Mutual Fund</t>
        </is>
      </c>
      <c r="B1082" t="inlineStr">
        <is>
          <t xml:space="preserve">Bandhan Banking and PSU Fund - Direct Monthly IDCW</t>
        </is>
      </c>
      <c r="C1082" t="inlineStr">
        <is>
          <t xml:space="preserve">INF194K011N3</t>
        </is>
      </c>
    </row>
    <row r="1083">
      <c r="A1083" t="inlineStr">
        <is>
          <t xml:space="preserve">Bandhan Mutual Fund</t>
        </is>
      </c>
      <c r="B1083" t="inlineStr">
        <is>
          <t xml:space="preserve">Bandhan Banking and PSU Fund - Direct Quarterly IDCW</t>
        </is>
      </c>
      <c r="C1083" t="inlineStr">
        <is>
          <t xml:space="preserve">INF194K018M0</t>
        </is>
      </c>
    </row>
    <row r="1084">
      <c r="A1084" t="inlineStr">
        <is>
          <t xml:space="preserve">Bandhan Mutual Fund</t>
        </is>
      </c>
      <c r="B1084" t="inlineStr">
        <is>
          <t xml:space="preserve">Bandhan Banking and PSU Fund - Regular Annual IDCW</t>
        </is>
      </c>
      <c r="C1084" t="inlineStr">
        <is>
          <t xml:space="preserve">INF194K015M6</t>
        </is>
      </c>
    </row>
    <row r="1085">
      <c r="A1085" t="inlineStr">
        <is>
          <t xml:space="preserve">Bandhan Mutual Fund</t>
        </is>
      </c>
      <c r="B1085" t="inlineStr">
        <is>
          <t xml:space="preserve">Bandhan Banking and PSU Fund - Regular Daily IDCW</t>
        </is>
      </c>
      <c r="C1085" t="inlineStr">
        <is>
          <t xml:space="preserve">INF194KA1JC5</t>
        </is>
      </c>
    </row>
    <row r="1086">
      <c r="A1086" t="inlineStr">
        <is>
          <t xml:space="preserve">Bandhan Mutual Fund</t>
        </is>
      </c>
      <c r="B1086" t="inlineStr">
        <is>
          <t xml:space="preserve">Bandhan Banking and PSU Fund - Regular Fortnightly IDCW</t>
        </is>
      </c>
      <c r="C1086" t="inlineStr">
        <is>
          <t xml:space="preserve">INF194K016M4</t>
        </is>
      </c>
    </row>
    <row r="1087">
      <c r="A1087" t="inlineStr">
        <is>
          <t xml:space="preserve">Bandhan Mutual Fund</t>
        </is>
      </c>
      <c r="B1087" t="inlineStr">
        <is>
          <t xml:space="preserve">Bandhan Banking and PSU Fund - Regular Growth</t>
        </is>
      </c>
      <c r="C1087" t="inlineStr">
        <is>
          <t xml:space="preserve">INF194K01SN6</t>
        </is>
      </c>
    </row>
    <row r="1088">
      <c r="A1088" t="inlineStr">
        <is>
          <t xml:space="preserve">Bandhan Mutual Fund</t>
        </is>
      </c>
      <c r="B1088" t="inlineStr">
        <is>
          <t xml:space="preserve">Bandhan Banking and PSU Fund - Regular IDCW</t>
        </is>
      </c>
      <c r="C1088" t="inlineStr">
        <is>
          <t xml:space="preserve">INF194K01SO4</t>
        </is>
      </c>
    </row>
    <row r="1089">
      <c r="A1089" t="inlineStr">
        <is>
          <t xml:space="preserve">Bandhan Mutual Fund</t>
        </is>
      </c>
      <c r="B1089" t="inlineStr">
        <is>
          <t xml:space="preserve">Bandhan Banking and PSU Fund - Regular Monthly IDCW</t>
        </is>
      </c>
      <c r="C1089" t="inlineStr">
        <is>
          <t xml:space="preserve">INF194K017M2</t>
        </is>
      </c>
    </row>
    <row r="1090">
      <c r="A1090" t="inlineStr">
        <is>
          <t xml:space="preserve">Bandhan Mutual Fund</t>
        </is>
      </c>
      <c r="B1090" t="inlineStr">
        <is>
          <t xml:space="preserve">Bandhan Banking and PSU Fund - Regular Quarterly IDCW</t>
        </is>
      </c>
      <c r="C1090" t="inlineStr">
        <is>
          <t xml:space="preserve">INF194K014M9</t>
        </is>
      </c>
    </row>
    <row r="1091">
      <c r="A1091" t="inlineStr">
        <is>
          <t xml:space="preserve">Bandhan Mutual Fund</t>
        </is>
      </c>
      <c r="B1091" t="inlineStr">
        <is>
          <t xml:space="preserve">Bandhan BSE Healthcare Index Fund Direct Plan - Growth</t>
        </is>
      </c>
      <c r="C1091" t="inlineStr">
        <is>
          <t xml:space="preserve">INF194KB1IS2</t>
        </is>
      </c>
    </row>
    <row r="1092">
      <c r="A1092" t="inlineStr">
        <is>
          <t xml:space="preserve">Bandhan Mutual Fund</t>
        </is>
      </c>
      <c r="B1092" t="inlineStr">
        <is>
          <t xml:space="preserve">Bandhan BSE Healthcare Index Fund Regular Plan - Growth</t>
        </is>
      </c>
      <c r="C1092" t="inlineStr">
        <is>
          <t xml:space="preserve">INF194KB1IR4</t>
        </is>
      </c>
    </row>
    <row r="1093">
      <c r="A1093" t="inlineStr">
        <is>
          <t xml:space="preserve">Bandhan Mutual Fund</t>
        </is>
      </c>
      <c r="B1093" t="inlineStr">
        <is>
          <t xml:space="preserve">Bandhan BSE India Sector Leaders Index Fund - Direct Plan - Growth</t>
        </is>
      </c>
      <c r="C1093" t="inlineStr">
        <is>
          <t xml:space="preserve">INF194KB1KB4</t>
        </is>
      </c>
    </row>
    <row r="1094">
      <c r="A1094" t="inlineStr">
        <is>
          <t xml:space="preserve">Bandhan Mutual Fund</t>
        </is>
      </c>
      <c r="B1094" t="inlineStr">
        <is>
          <t xml:space="preserve">Bandhan BSE India Sector Leaders Index Fund - Regular Plan - Growth</t>
        </is>
      </c>
      <c r="C1094" t="inlineStr">
        <is>
          <t xml:space="preserve">INF194KB1KA6</t>
        </is>
      </c>
    </row>
    <row r="1095">
      <c r="A1095" t="inlineStr">
        <is>
          <t xml:space="preserve">Bandhan Mutual Fund</t>
        </is>
      </c>
      <c r="B1095" t="inlineStr">
        <is>
          <t xml:space="preserve">BANDHAN BSE Sensex ETF</t>
        </is>
      </c>
      <c r="C1095" t="inlineStr">
        <is>
          <t xml:space="preserve">INF194KA1T91</t>
        </is>
      </c>
    </row>
    <row r="1096">
      <c r="A1096" t="inlineStr">
        <is>
          <t xml:space="preserve">Bandhan Mutual Fund</t>
        </is>
      </c>
      <c r="B1096" t="inlineStr">
        <is>
          <t xml:space="preserve">Bandhan Business Cycle Fund - Direct Plan - Growth</t>
        </is>
      </c>
      <c r="C1096" t="inlineStr">
        <is>
          <t xml:space="preserve">INF194KB1IQ6</t>
        </is>
      </c>
    </row>
    <row r="1097">
      <c r="A1097" t="inlineStr">
        <is>
          <t xml:space="preserve">Bandhan Mutual Fund</t>
        </is>
      </c>
      <c r="B1097" t="inlineStr">
        <is>
          <t xml:space="preserve">Bandhan Business Cycle Fund - Direct Plan - IDCW</t>
        </is>
      </c>
      <c r="C1097" t="inlineStr">
        <is>
          <t xml:space="preserve">INF194KB1IL7</t>
        </is>
      </c>
    </row>
    <row r="1098">
      <c r="A1098" t="inlineStr">
        <is>
          <t xml:space="preserve">Bandhan Mutual Fund</t>
        </is>
      </c>
      <c r="B1098" t="inlineStr">
        <is>
          <t xml:space="preserve">Bandhan Business Cycle Fund - Regular Plan - Growth</t>
        </is>
      </c>
      <c r="C1098" t="inlineStr">
        <is>
          <t xml:space="preserve">INF194KB1IP8</t>
        </is>
      </c>
    </row>
    <row r="1099">
      <c r="A1099" t="inlineStr">
        <is>
          <t xml:space="preserve">Bandhan Mutual Fund</t>
        </is>
      </c>
      <c r="B1099" t="inlineStr">
        <is>
          <t xml:space="preserve">Bandhan Business Cycle Fund - Regular Plan - IDCW</t>
        </is>
      </c>
      <c r="C1099" t="inlineStr">
        <is>
          <t xml:space="preserve">INF194KB1II3</t>
        </is>
      </c>
    </row>
    <row r="1100">
      <c r="A1100" t="inlineStr">
        <is>
          <t xml:space="preserve">Bandhan Mutual Fund</t>
        </is>
      </c>
      <c r="B1100" t="inlineStr">
        <is>
          <t xml:space="preserve">BANDHAN Conservative Hybrid Fund - Regular Plan - Growth</t>
        </is>
      </c>
      <c r="C1100" t="inlineStr">
        <is>
          <t xml:space="preserve">INF194K01RW9</t>
        </is>
      </c>
    </row>
    <row r="1101">
      <c r="A1101" t="inlineStr">
        <is>
          <t xml:space="preserve">Bandhan Mutual Fund</t>
        </is>
      </c>
      <c r="B1101" t="inlineStr">
        <is>
          <t xml:space="preserve">BANDHAN Conservative Hybrid Fund - Regular Plan - IDCW</t>
        </is>
      </c>
      <c r="C1101" t="inlineStr">
        <is>
          <t xml:space="preserve">INF194K01RY5</t>
        </is>
      </c>
    </row>
    <row r="1102">
      <c r="A1102" t="inlineStr">
        <is>
          <t xml:space="preserve">Bandhan Mutual Fund</t>
        </is>
      </c>
      <c r="B1102" t="inlineStr">
        <is>
          <t xml:space="preserve">BANDHAN Conservative Hybrid Fund - Regular Plan - Quarterly IDCW</t>
        </is>
      </c>
      <c r="C1102" t="inlineStr">
        <is>
          <t xml:space="preserve">INF194K01SB1</t>
        </is>
      </c>
    </row>
    <row r="1103">
      <c r="A1103" t="inlineStr">
        <is>
          <t xml:space="preserve">Bandhan Mutual Fund</t>
        </is>
      </c>
      <c r="B1103" t="inlineStr">
        <is>
          <t xml:space="preserve">BANDHAN Conservative Hybrid Fund-Direct Plan-Growth</t>
        </is>
      </c>
      <c r="C1103" t="inlineStr">
        <is>
          <t xml:space="preserve">INF194K015B9</t>
        </is>
      </c>
    </row>
    <row r="1104">
      <c r="A1104" t="inlineStr">
        <is>
          <t xml:space="preserve">Bandhan Mutual Fund</t>
        </is>
      </c>
      <c r="B1104" t="inlineStr">
        <is>
          <t xml:space="preserve">BANDHAN Conservative Hybrid Fund-Direct Plan-IDCW</t>
        </is>
      </c>
      <c r="C1104" t="inlineStr">
        <is>
          <t xml:space="preserve">INF194K017B5</t>
        </is>
      </c>
    </row>
    <row r="1105">
      <c r="A1105" t="inlineStr">
        <is>
          <t xml:space="preserve">Bandhan Mutual Fund</t>
        </is>
      </c>
      <c r="B1105" t="inlineStr">
        <is>
          <t xml:space="preserve">BANDHAN Conservative Hybrid Fund-Direct Plan-Quarterly IDCW</t>
        </is>
      </c>
      <c r="C1105" t="inlineStr">
        <is>
          <t xml:space="preserve">INF194K010C8</t>
        </is>
      </c>
    </row>
    <row r="1106">
      <c r="A1106" t="inlineStr">
        <is>
          <t xml:space="preserve">Bandhan Mutual Fund</t>
        </is>
      </c>
      <c r="B1106" t="inlineStr">
        <is>
          <t xml:space="preserve">Bandhan Conservative Hybrid Passive FOF - Direct Plan - Growth</t>
        </is>
      </c>
      <c r="C1106" t="inlineStr">
        <is>
          <t xml:space="preserve">INF194K016A9</t>
        </is>
      </c>
    </row>
    <row r="1107">
      <c r="A1107" t="inlineStr">
        <is>
          <t xml:space="preserve">Bandhan Mutual Fund</t>
        </is>
      </c>
      <c r="B1107" t="inlineStr">
        <is>
          <t xml:space="preserve">Bandhan Conservative Hybrid Passive FOF - Direct Plan - IDCW</t>
        </is>
      </c>
      <c r="C1107" t="inlineStr">
        <is>
          <t xml:space="preserve">INF194K017A7</t>
        </is>
      </c>
    </row>
    <row r="1108">
      <c r="A1108" t="inlineStr">
        <is>
          <t xml:space="preserve">Bandhan Mutual Fund</t>
        </is>
      </c>
      <c r="B1108" t="inlineStr">
        <is>
          <t xml:space="preserve">Bandhan Conservative Hybrid Passive FOF - Regular Plan - Growth</t>
        </is>
      </c>
      <c r="C1108" t="inlineStr">
        <is>
          <t xml:space="preserve">INF194K01987</t>
        </is>
      </c>
    </row>
    <row r="1109">
      <c r="A1109" t="inlineStr">
        <is>
          <t xml:space="preserve">Bandhan Mutual Fund</t>
        </is>
      </c>
      <c r="B1109" t="inlineStr">
        <is>
          <t xml:space="preserve">Bandhan Conservative Hybrid Passive FOF - Regular Plan - IDCW</t>
        </is>
      </c>
      <c r="C1109" t="inlineStr">
        <is>
          <t xml:space="preserve">INF194K01995</t>
        </is>
      </c>
    </row>
    <row r="1110">
      <c r="A1110" t="inlineStr">
        <is>
          <t xml:space="preserve">Bandhan Mutual Fund</t>
        </is>
      </c>
      <c r="B1110" t="inlineStr">
        <is>
          <t xml:space="preserve">BANDHAN Corporate Bond Fund - Direct Annual IDCW</t>
        </is>
      </c>
      <c r="C1110" t="inlineStr">
        <is>
          <t xml:space="preserve">INF194KA1T34</t>
        </is>
      </c>
    </row>
    <row r="1111">
      <c r="A1111" t="inlineStr">
        <is>
          <t xml:space="preserve">Bandhan Mutual Fund</t>
        </is>
      </c>
      <c r="B1111" t="inlineStr">
        <is>
          <t xml:space="preserve">BANDHAN Corporate Bond Fund - Direct Growth</t>
        </is>
      </c>
      <c r="C1111" t="inlineStr">
        <is>
          <t xml:space="preserve">INF194KA1M23</t>
        </is>
      </c>
    </row>
    <row r="1112">
      <c r="A1112" t="inlineStr">
        <is>
          <t xml:space="preserve">Bandhan Mutual Fund</t>
        </is>
      </c>
      <c r="B1112" t="inlineStr">
        <is>
          <t xml:space="preserve">BANDHAN Corporate Bond Fund - Direct Half Yearly IDCW</t>
        </is>
      </c>
      <c r="C1112" t="inlineStr">
        <is>
          <t xml:space="preserve">INF194KA1T00</t>
        </is>
      </c>
    </row>
    <row r="1113">
      <c r="A1113" t="inlineStr">
        <is>
          <t xml:space="preserve">Bandhan Mutual Fund</t>
        </is>
      </c>
      <c r="B1113" t="inlineStr">
        <is>
          <t xml:space="preserve">BANDHAN Corporate Bond Fund - Direct Monthly IDCW</t>
        </is>
      </c>
      <c r="C1113" t="inlineStr">
        <is>
          <t xml:space="preserve">INF194KA1S43</t>
        </is>
      </c>
    </row>
    <row r="1114">
      <c r="A1114" t="inlineStr">
        <is>
          <t xml:space="preserve">Bandhan Mutual Fund</t>
        </is>
      </c>
      <c r="B1114" t="inlineStr">
        <is>
          <t xml:space="preserve">BANDHAN Corporate Bond Fund - Direct Periodic IDCW</t>
        </is>
      </c>
      <c r="C1114" t="inlineStr">
        <is>
          <t xml:space="preserve">INF194KA1M31</t>
        </is>
      </c>
    </row>
    <row r="1115">
      <c r="A1115" t="inlineStr">
        <is>
          <t xml:space="preserve">Bandhan Mutual Fund</t>
        </is>
      </c>
      <c r="B1115" t="inlineStr">
        <is>
          <t xml:space="preserve">BANDHAN Corporate Bond Fund - Direct Quarterly IDCW</t>
        </is>
      </c>
      <c r="C1115" t="inlineStr">
        <is>
          <t xml:space="preserve">INF194KA1S76</t>
        </is>
      </c>
    </row>
    <row r="1116">
      <c r="A1116" t="inlineStr">
        <is>
          <t xml:space="preserve">Bandhan Mutual Fund</t>
        </is>
      </c>
      <c r="B1116" t="inlineStr">
        <is>
          <t xml:space="preserve">BANDHAN Corporate Bond Fund - Regular Annual IDCW</t>
        </is>
      </c>
      <c r="C1116" t="inlineStr">
        <is>
          <t xml:space="preserve">INF194KA1S19</t>
        </is>
      </c>
    </row>
    <row r="1117">
      <c r="A1117" t="inlineStr">
        <is>
          <t xml:space="preserve">Bandhan Mutual Fund</t>
        </is>
      </c>
      <c r="B1117" t="inlineStr">
        <is>
          <t xml:space="preserve">BANDHAN Corporate Bond Fund - Regular Growth</t>
        </is>
      </c>
      <c r="C1117" t="inlineStr">
        <is>
          <t xml:space="preserve">INF194KA1L81</t>
        </is>
      </c>
    </row>
    <row r="1118">
      <c r="A1118" t="inlineStr">
        <is>
          <t xml:space="preserve">Bandhan Mutual Fund</t>
        </is>
      </c>
      <c r="B1118" t="inlineStr">
        <is>
          <t xml:space="preserve">BANDHAN Corporate Bond Fund - Regular Half Yearly IDCW</t>
        </is>
      </c>
      <c r="C1118" t="inlineStr">
        <is>
          <t xml:space="preserve">INF194KA1R85</t>
        </is>
      </c>
    </row>
    <row r="1119">
      <c r="A1119" t="inlineStr">
        <is>
          <t xml:space="preserve">Bandhan Mutual Fund</t>
        </is>
      </c>
      <c r="B1119" t="inlineStr">
        <is>
          <t xml:space="preserve">BANDHAN Corporate Bond Fund - Regular Monthly IDCW</t>
        </is>
      </c>
      <c r="C1119" t="inlineStr">
        <is>
          <t xml:space="preserve">INF194KA1R28</t>
        </is>
      </c>
    </row>
    <row r="1120">
      <c r="A1120" t="inlineStr">
        <is>
          <t xml:space="preserve">Bandhan Mutual Fund</t>
        </is>
      </c>
      <c r="B1120" t="inlineStr">
        <is>
          <t xml:space="preserve">BANDHAN Corporate Bond Fund - Regular Periodic IDCW</t>
        </is>
      </c>
      <c r="C1120" t="inlineStr">
        <is>
          <t xml:space="preserve">INF194KA1L99</t>
        </is>
      </c>
    </row>
    <row r="1121">
      <c r="A1121" t="inlineStr">
        <is>
          <t xml:space="preserve">Bandhan Mutual Fund</t>
        </is>
      </c>
      <c r="B1121" t="inlineStr">
        <is>
          <t xml:space="preserve">BANDHAN Corporate Bond Fund - Regular Quarterly IDCW</t>
        </is>
      </c>
      <c r="C1121" t="inlineStr">
        <is>
          <t xml:space="preserve">INF194KA1R51</t>
        </is>
      </c>
    </row>
    <row r="1122">
      <c r="A1122" t="inlineStr">
        <is>
          <t xml:space="preserve">Bandhan Mutual Fund</t>
        </is>
      </c>
      <c r="B1122" t="inlineStr">
        <is>
          <t xml:space="preserve">BANDHAN CREDIT RISK FUND - DIRECT PLAN HALF YEARLY IDCW</t>
        </is>
      </c>
      <c r="C1122" t="inlineStr">
        <is>
          <t xml:space="preserve">INF194KA1X04</t>
        </is>
      </c>
    </row>
    <row r="1123">
      <c r="A1123" t="inlineStr">
        <is>
          <t xml:space="preserve">Bandhan Mutual Fund</t>
        </is>
      </c>
      <c r="B1123" t="inlineStr">
        <is>
          <t xml:space="preserve">BANDHAN Credit Risk Fund - Regular Plan Annual IDCW</t>
        </is>
      </c>
      <c r="C1123" t="inlineStr">
        <is>
          <t xml:space="preserve">INF194KA1W05</t>
        </is>
      </c>
    </row>
    <row r="1124">
      <c r="A1124" t="inlineStr">
        <is>
          <t xml:space="preserve">Bandhan Mutual Fund</t>
        </is>
      </c>
      <c r="B1124" t="inlineStr">
        <is>
          <t xml:space="preserve">BANDHAN Credit Risk Fund - Regular Plan Growth</t>
        </is>
      </c>
      <c r="C1124" t="inlineStr">
        <is>
          <t xml:space="preserve">INF194KA1W39</t>
        </is>
      </c>
    </row>
    <row r="1125">
      <c r="A1125" t="inlineStr">
        <is>
          <t xml:space="preserve">Bandhan Mutual Fund</t>
        </is>
      </c>
      <c r="B1125" t="inlineStr">
        <is>
          <t xml:space="preserve">BANDHAN Credit Risk Fund - Regular Plan Half Yearly IDCW</t>
        </is>
      </c>
      <c r="C1125" t="inlineStr">
        <is>
          <t xml:space="preserve">INF194KA1V71</t>
        </is>
      </c>
    </row>
    <row r="1126">
      <c r="A1126" t="inlineStr">
        <is>
          <t xml:space="preserve">Bandhan Mutual Fund</t>
        </is>
      </c>
      <c r="B1126" t="inlineStr">
        <is>
          <t xml:space="preserve">BANDHAN Credit Risk Fund - Regular Plan Periodic IDCW</t>
        </is>
      </c>
      <c r="C1126" t="inlineStr">
        <is>
          <t xml:space="preserve">INF194KA1V14</t>
        </is>
      </c>
    </row>
    <row r="1127">
      <c r="A1127" t="inlineStr">
        <is>
          <t xml:space="preserve">Bandhan Mutual Fund</t>
        </is>
      </c>
      <c r="B1127" t="inlineStr">
        <is>
          <t xml:space="preserve">BANDHAN Credit Risk Fund - Regular Plan Quarterly IDCW</t>
        </is>
      </c>
      <c r="C1127" t="inlineStr">
        <is>
          <t xml:space="preserve">INF194KA1V48</t>
        </is>
      </c>
    </row>
    <row r="1128">
      <c r="A1128" t="inlineStr">
        <is>
          <t xml:space="preserve">Bandhan Mutual Fund</t>
        </is>
      </c>
      <c r="B1128" t="inlineStr">
        <is>
          <t xml:space="preserve">BANDHAN Credit Risk Fund-Direct Plan-Annual IDCW</t>
        </is>
      </c>
      <c r="C1128" t="inlineStr">
        <is>
          <t xml:space="preserve">INF194KA1X38</t>
        </is>
      </c>
    </row>
    <row r="1129">
      <c r="A1129" t="inlineStr">
        <is>
          <t xml:space="preserve">Bandhan Mutual Fund</t>
        </is>
      </c>
      <c r="B1129" t="inlineStr">
        <is>
          <t xml:space="preserve">BANDHAN Credit Risk Fund-Direct Plan-Growth</t>
        </is>
      </c>
      <c r="C1129" t="inlineStr">
        <is>
          <t xml:space="preserve">INF194KA1X61</t>
        </is>
      </c>
    </row>
    <row r="1130">
      <c r="A1130" t="inlineStr">
        <is>
          <t xml:space="preserve">Bandhan Mutual Fund</t>
        </is>
      </c>
      <c r="B1130" t="inlineStr">
        <is>
          <t xml:space="preserve">BANDHAN Credit Risk Fund-Direct Plan-Periodic IDCW</t>
        </is>
      </c>
      <c r="C1130" t="inlineStr">
        <is>
          <t xml:space="preserve">INF194KA1W47</t>
        </is>
      </c>
    </row>
    <row r="1131">
      <c r="A1131" t="inlineStr">
        <is>
          <t xml:space="preserve">Bandhan Mutual Fund</t>
        </is>
      </c>
      <c r="B1131" t="inlineStr">
        <is>
          <t xml:space="preserve">BANDHAN Credit Risk Fund-Direct Plan-Quarterly IDCW</t>
        </is>
      </c>
      <c r="C1131" t="inlineStr">
        <is>
          <t xml:space="preserve">INF194KA1W70</t>
        </is>
      </c>
    </row>
    <row r="1132">
      <c r="A1132" t="inlineStr">
        <is>
          <t xml:space="preserve">Bandhan Mutual Fund</t>
        </is>
      </c>
      <c r="B1132" t="inlineStr">
        <is>
          <t xml:space="preserve">BANDHAN CRISIL IBX 90:10 SDL PLUS GILT - NOV 2026 INDEX FUND - DIRECT GROWTH</t>
        </is>
      </c>
      <c r="C1132" t="inlineStr">
        <is>
          <t xml:space="preserve">INF194KB1ET9</t>
        </is>
      </c>
    </row>
    <row r="1133">
      <c r="A1133" t="inlineStr">
        <is>
          <t xml:space="preserve">Bandhan Mutual Fund</t>
        </is>
      </c>
      <c r="B1133" t="inlineStr">
        <is>
          <t xml:space="preserve">BANDHAN CRISIL IBX 90:10 SDL PLUS GILT - NOV 2026 INDEX FUND - DIRECT IDCW</t>
        </is>
      </c>
      <c r="C1133" t="inlineStr">
        <is>
          <t xml:space="preserve">INF194KB1EU7</t>
        </is>
      </c>
    </row>
    <row r="1134">
      <c r="A1134" t="inlineStr">
        <is>
          <t xml:space="preserve">Bandhan Mutual Fund</t>
        </is>
      </c>
      <c r="B1134" t="inlineStr">
        <is>
          <t xml:space="preserve">BANDHAN CRISIL IBX 90:10 SDL PLUS GILT - NOV 2026 INDEX FUND - REGULAR GROWTH</t>
        </is>
      </c>
      <c r="C1134" t="inlineStr">
        <is>
          <t xml:space="preserve">INF194KB1EW3</t>
        </is>
      </c>
    </row>
    <row r="1135">
      <c r="A1135" t="inlineStr">
        <is>
          <t xml:space="preserve">Bandhan Mutual Fund</t>
        </is>
      </c>
      <c r="B1135" t="inlineStr">
        <is>
          <t xml:space="preserve">BANDHAN CRISIL IBX 90:10 SDL PLUS GILT - NOV 2026 INDEX FUND - REGULAR IDCW</t>
        </is>
      </c>
      <c r="C1135" t="inlineStr">
        <is>
          <t xml:space="preserve">INF194KB1EX1</t>
        </is>
      </c>
    </row>
    <row r="1136">
      <c r="A1136" t="inlineStr">
        <is>
          <t xml:space="preserve">Bandhan Mutual Fund</t>
        </is>
      </c>
      <c r="B1136" t="inlineStr">
        <is>
          <t xml:space="preserve">BANDHAN CRISIL IBX 90:10 SDL PLUS GILT - SEP27 INDEX FUND - DIRECT GROWTH</t>
        </is>
      </c>
      <c r="C1136" t="inlineStr">
        <is>
          <t xml:space="preserve">INF194KB1EZ6</t>
        </is>
      </c>
    </row>
    <row r="1137">
      <c r="A1137" t="inlineStr">
        <is>
          <t xml:space="preserve">Bandhan Mutual Fund</t>
        </is>
      </c>
      <c r="B1137" t="inlineStr">
        <is>
          <t xml:space="preserve">BANDHAN CRISIL IBX 90:10 SDL PLUS GILT APRIL 2032 INDEX FUND - DIRECT GROWTH</t>
        </is>
      </c>
      <c r="C1137" t="inlineStr">
        <is>
          <t xml:space="preserve">INF194KB1EN2</t>
        </is>
      </c>
    </row>
    <row r="1138">
      <c r="A1138" t="inlineStr">
        <is>
          <t xml:space="preserve">Bandhan Mutual Fund</t>
        </is>
      </c>
      <c r="B1138" t="inlineStr">
        <is>
          <t xml:space="preserve">BANDHAN CRISIL IBX 90:10 SDL PLUS GILT APRIL 2032 INDEX FUND - DIRECT IDCW</t>
        </is>
      </c>
      <c r="C1138" t="inlineStr">
        <is>
          <t xml:space="preserve">INF194KB1EO0</t>
        </is>
      </c>
    </row>
    <row r="1139">
      <c r="A1139" t="inlineStr">
        <is>
          <t xml:space="preserve">Bandhan Mutual Fund</t>
        </is>
      </c>
      <c r="B1139" t="inlineStr">
        <is>
          <t xml:space="preserve">BANDHAN CRISIL IBX 90:10 SDL PLUS GILT APRIL 2032 INDEX FUND - REGULAR GROWTH</t>
        </is>
      </c>
      <c r="C1139" t="inlineStr">
        <is>
          <t xml:space="preserve">INF194KB1EQ5</t>
        </is>
      </c>
    </row>
    <row r="1140">
      <c r="A1140" t="inlineStr">
        <is>
          <t xml:space="preserve">Bandhan Mutual Fund</t>
        </is>
      </c>
      <c r="B1140" t="inlineStr">
        <is>
          <t xml:space="preserve">BANDHAN CRISIL IBX 90:10 SDL PLUS GILT APRIL 2032 INDEX FUND - REGULAR IDCW</t>
        </is>
      </c>
      <c r="C1140" t="inlineStr">
        <is>
          <t xml:space="preserve">INF194KB1ER3</t>
        </is>
      </c>
    </row>
    <row r="1141">
      <c r="A1141" t="inlineStr">
        <is>
          <t xml:space="preserve">Bandhan Mutual Fund</t>
        </is>
      </c>
      <c r="B1141" t="inlineStr">
        <is>
          <t xml:space="preserve">BANDHAN CRISIL IBX 90:10 SDL PLUS GILT SEP27 INDEX FUND - DIRECT IDCW</t>
        </is>
      </c>
      <c r="C1141" t="inlineStr">
        <is>
          <t xml:space="preserve">INF194KB1FA6</t>
        </is>
      </c>
    </row>
    <row r="1142">
      <c r="A1142" t="inlineStr">
        <is>
          <t xml:space="preserve">Bandhan Mutual Fund</t>
        </is>
      </c>
      <c r="B1142" t="inlineStr">
        <is>
          <t xml:space="preserve">BANDHAN CRISIL IBX 90:10 SDL PLUS GILT SEP27 INDEX FUND - REGULAR GROWTH</t>
        </is>
      </c>
      <c r="C1142" t="inlineStr">
        <is>
          <t xml:space="preserve">INF194KB1FC2</t>
        </is>
      </c>
    </row>
    <row r="1143">
      <c r="A1143" t="inlineStr">
        <is>
          <t xml:space="preserve">Bandhan Mutual Fund</t>
        </is>
      </c>
      <c r="B1143" t="inlineStr">
        <is>
          <t xml:space="preserve">BANDHAN CRISIL IBX 90:10 SDL PLUS GILT SEP27 INDEX FUND - REGULAR IDCW</t>
        </is>
      </c>
      <c r="C1143" t="inlineStr">
        <is>
          <t xml:space="preserve">INF194KB1FD0</t>
        </is>
      </c>
    </row>
    <row r="1144">
      <c r="A1144" t="inlineStr">
        <is>
          <t xml:space="preserve">Bandhan Mutual Fund</t>
        </is>
      </c>
      <c r="B1144" t="inlineStr">
        <is>
          <t xml:space="preserve">BANDHAN CRISIL IBX GILT APRIL 2026 INDEX FUND - DIRECT PLAN - GROWTH</t>
        </is>
      </c>
      <c r="C1144" t="inlineStr">
        <is>
          <t xml:space="preserve">INF194KB1EH4</t>
        </is>
      </c>
    </row>
    <row r="1145">
      <c r="A1145" t="inlineStr">
        <is>
          <t xml:space="preserve">Bandhan Mutual Fund</t>
        </is>
      </c>
      <c r="B1145" t="inlineStr">
        <is>
          <t xml:space="preserve">BANDHAN CRISIL IBX GILT APRIL 2026 INDEX FUND - DIRECT PLAN - IDCW</t>
        </is>
      </c>
      <c r="C1145" t="inlineStr">
        <is>
          <t xml:space="preserve">INF194KB1EI2</t>
        </is>
      </c>
    </row>
    <row r="1146">
      <c r="A1146" t="inlineStr">
        <is>
          <t xml:space="preserve">Bandhan Mutual Fund</t>
        </is>
      </c>
      <c r="B1146" t="inlineStr">
        <is>
          <t xml:space="preserve">BANDHAN CRISIL IBX GILT APRIL 2026 INDEX FUND - REGULAR PLAN - GROWTH</t>
        </is>
      </c>
      <c r="C1146" t="inlineStr">
        <is>
          <t xml:space="preserve">INF194KB1EK8</t>
        </is>
      </c>
    </row>
    <row r="1147">
      <c r="A1147" t="inlineStr">
        <is>
          <t xml:space="preserve">Bandhan Mutual Fund</t>
        </is>
      </c>
      <c r="B1147" t="inlineStr">
        <is>
          <t xml:space="preserve">BANDHAN CRISIL IBX GILT APRIL 2026 INDEX FUND - REGULAR PLAN - IDCW</t>
        </is>
      </c>
      <c r="C1147" t="inlineStr">
        <is>
          <t xml:space="preserve">INF194KB1EL6</t>
        </is>
      </c>
    </row>
    <row r="1148">
      <c r="A1148" t="inlineStr">
        <is>
          <t xml:space="preserve">Bandhan Mutual Fund</t>
        </is>
      </c>
      <c r="B1148" t="inlineStr">
        <is>
          <t xml:space="preserve">BANDHAN CRISIL IBX Gilt April 2028 Index Fund Direct Plan-Growth</t>
        </is>
      </c>
      <c r="C1148" t="inlineStr">
        <is>
          <t xml:space="preserve">INF194KB1BV1</t>
        </is>
      </c>
    </row>
    <row r="1149">
      <c r="A1149" t="inlineStr">
        <is>
          <t xml:space="preserve">Bandhan Mutual Fund</t>
        </is>
      </c>
      <c r="B1149" t="inlineStr">
        <is>
          <t xml:space="preserve">BANDHAN CRISIL IBX Gilt April 2028 Index Fund Direct Plan-IDCW</t>
        </is>
      </c>
      <c r="C1149" t="inlineStr">
        <is>
          <t xml:space="preserve">INF194KB1BW9</t>
        </is>
      </c>
    </row>
    <row r="1150">
      <c r="A1150" t="inlineStr">
        <is>
          <t xml:space="preserve">Bandhan Mutual Fund</t>
        </is>
      </c>
      <c r="B1150" t="inlineStr">
        <is>
          <t xml:space="preserve">BANDHAN CRISIL IBX Gilt April 2028 Index Fund Regular Plan-Growth</t>
        </is>
      </c>
      <c r="C1150" t="inlineStr">
        <is>
          <t xml:space="preserve">INF194KB1BS7</t>
        </is>
      </c>
    </row>
    <row r="1151">
      <c r="A1151" t="inlineStr">
        <is>
          <t xml:space="preserve">Bandhan Mutual Fund</t>
        </is>
      </c>
      <c r="B1151" t="inlineStr">
        <is>
          <t xml:space="preserve">BANDHAN CRISIL IBX Gilt April 2028 Index Fund Regular Plan-IDCW</t>
        </is>
      </c>
      <c r="C1151" t="inlineStr">
        <is>
          <t xml:space="preserve">INF194KB1BT5</t>
        </is>
      </c>
    </row>
    <row r="1152">
      <c r="A1152" t="inlineStr">
        <is>
          <t xml:space="preserve">Bandhan Mutual Fund</t>
        </is>
      </c>
      <c r="B1152" t="inlineStr">
        <is>
          <t xml:space="preserve">BANDHAN CRISIL IBX GILT APRIL 2032 INDEX FUND - DIRECT GROWTH</t>
        </is>
      </c>
      <c r="C1152" t="inlineStr">
        <is>
          <t xml:space="preserve">INF194KB1FF5</t>
        </is>
      </c>
    </row>
    <row r="1153">
      <c r="A1153" t="inlineStr">
        <is>
          <t xml:space="preserve">Bandhan Mutual Fund</t>
        </is>
      </c>
      <c r="B1153" t="inlineStr">
        <is>
          <t xml:space="preserve">BANDHAN CRISIL IBX GILT APRIL 2032 INDEX FUND - DIRECT IDCW</t>
        </is>
      </c>
      <c r="C1153" t="inlineStr">
        <is>
          <t xml:space="preserve">INF194KB1FG3</t>
        </is>
      </c>
    </row>
    <row r="1154">
      <c r="A1154" t="inlineStr">
        <is>
          <t xml:space="preserve">Bandhan Mutual Fund</t>
        </is>
      </c>
      <c r="B1154" t="inlineStr">
        <is>
          <t xml:space="preserve">BANDHAN CRISIL IBX GILT APRIL 2032 INDEX FUND - REGULAR GROWTH</t>
        </is>
      </c>
      <c r="C1154" t="inlineStr">
        <is>
          <t xml:space="preserve">INF194KB1FI9</t>
        </is>
      </c>
    </row>
    <row r="1155">
      <c r="A1155" t="inlineStr">
        <is>
          <t xml:space="preserve">Bandhan Mutual Fund</t>
        </is>
      </c>
      <c r="B1155" t="inlineStr">
        <is>
          <t xml:space="preserve">BANDHAN CRISIL IBX GILT APRIL 2032 INDEX FUND - REGULAR IDCW</t>
        </is>
      </c>
      <c r="C1155" t="inlineStr">
        <is>
          <t xml:space="preserve">INF194KB1FJ7</t>
        </is>
      </c>
    </row>
    <row r="1156">
      <c r="A1156" t="inlineStr">
        <is>
          <t xml:space="preserve">Bandhan Mutual Fund</t>
        </is>
      </c>
      <c r="B1156" t="inlineStr">
        <is>
          <t xml:space="preserve">BANDHAN CRISIL IBX Gilt June 2027 Index Fund Direct Plan-Growth</t>
        </is>
      </c>
      <c r="C1156" t="inlineStr">
        <is>
          <t xml:space="preserve">INF194KB1BP3</t>
        </is>
      </c>
    </row>
    <row r="1157">
      <c r="A1157" t="inlineStr">
        <is>
          <t xml:space="preserve">Bandhan Mutual Fund</t>
        </is>
      </c>
      <c r="B1157" t="inlineStr">
        <is>
          <t xml:space="preserve">BANDHAN CRISIL IBX Gilt June 2027 Index Fund Direct Plan-IDCW</t>
        </is>
      </c>
      <c r="C1157" t="inlineStr">
        <is>
          <t xml:space="preserve">INF194KB1BQ1</t>
        </is>
      </c>
    </row>
    <row r="1158">
      <c r="A1158" t="inlineStr">
        <is>
          <t xml:space="preserve">Bandhan Mutual Fund</t>
        </is>
      </c>
      <c r="B1158" t="inlineStr">
        <is>
          <t xml:space="preserve">BANDHAN CRISIL IBX Gilt June 2027 Index Fund Regular Plan-Growth</t>
        </is>
      </c>
      <c r="C1158" t="inlineStr">
        <is>
          <t xml:space="preserve">INF194KB1BL2</t>
        </is>
      </c>
    </row>
    <row r="1159">
      <c r="A1159" t="inlineStr">
        <is>
          <t xml:space="preserve">Bandhan Mutual Fund</t>
        </is>
      </c>
      <c r="B1159" t="inlineStr">
        <is>
          <t xml:space="preserve">BANDHAN CRISIL IBX Gilt June 2027 Index Fund Regular Plan-IDCW</t>
        </is>
      </c>
      <c r="C1159" t="inlineStr">
        <is>
          <t xml:space="preserve">INF194KB1BM0</t>
        </is>
      </c>
    </row>
    <row r="1160">
      <c r="A1160" t="inlineStr">
        <is>
          <t xml:space="preserve">Bandhan Mutual Fund</t>
        </is>
      </c>
      <c r="B1160" t="inlineStr">
        <is>
          <t xml:space="preserve">Bandhan CRISIL-IBX 10:90 Gilt Plus SDL Index - Dec 2029 Fund-Direct Plan-Growth</t>
        </is>
      </c>
      <c r="C1160" t="inlineStr">
        <is>
          <t xml:space="preserve">INF194KB1JL5</t>
        </is>
      </c>
    </row>
    <row r="1161">
      <c r="A1161" t="inlineStr">
        <is>
          <t xml:space="preserve">Bandhan Mutual Fund</t>
        </is>
      </c>
      <c r="B1161" t="inlineStr">
        <is>
          <t xml:space="preserve">Bandhan CRISIL-IBX 10:90 Gilt Plus SDL Index - Dec 2029 Fund-Direct Plan-IDCW</t>
        </is>
      </c>
      <c r="C1161" t="inlineStr">
        <is>
          <t xml:space="preserve">INF194KB1JM3</t>
        </is>
      </c>
    </row>
    <row r="1162">
      <c r="A1162" t="inlineStr">
        <is>
          <t xml:space="preserve">Bandhan Mutual Fund</t>
        </is>
      </c>
      <c r="B1162" t="inlineStr">
        <is>
          <t xml:space="preserve">Bandhan CRISIL-IBX 10:90 Gilt Plus SDL Index - Dec 2029 Fund-Regular Plan-Growth</t>
        </is>
      </c>
      <c r="C1162" t="inlineStr">
        <is>
          <t xml:space="preserve">INF194KB1JO9</t>
        </is>
      </c>
    </row>
    <row r="1163">
      <c r="A1163" t="inlineStr">
        <is>
          <t xml:space="preserve">Bandhan Mutual Fund</t>
        </is>
      </c>
      <c r="B1163" t="inlineStr">
        <is>
          <t xml:space="preserve">Bandhan CRISIL-IBX 10:90 Gilt Plus SDL Index - Dec 2029 Fund-Regular Plan-IDCW</t>
        </is>
      </c>
      <c r="C1163" t="inlineStr">
        <is>
          <t xml:space="preserve">INF194KB1JP6</t>
        </is>
      </c>
    </row>
    <row r="1164">
      <c r="A1164" t="inlineStr">
        <is>
          <t xml:space="preserve">Bandhan Mutual Fund</t>
        </is>
      </c>
      <c r="B1164" t="inlineStr">
        <is>
          <t xml:space="preserve">Bandhan CRISIL-IBX Financial Services 3-6 Months Debt Index Fund - Direct Plan - Growth</t>
        </is>
      </c>
      <c r="C1164" t="inlineStr">
        <is>
          <t xml:space="preserve">INF194KB1JR2</t>
        </is>
      </c>
    </row>
    <row r="1165">
      <c r="A1165" t="inlineStr">
        <is>
          <t xml:space="preserve">Bandhan Mutual Fund</t>
        </is>
      </c>
      <c r="B1165" t="inlineStr">
        <is>
          <t xml:space="preserve">Bandhan CRISIL-IBX Financial Services 3-6 Months Debt Index Fund - Regular Plan - Growth</t>
        </is>
      </c>
      <c r="C1165" t="inlineStr">
        <is>
          <t xml:space="preserve">INF194KB1JS0</t>
        </is>
      </c>
    </row>
    <row r="1166">
      <c r="A1166" t="inlineStr">
        <is>
          <t xml:space="preserve">Bandhan Mutual Fund</t>
        </is>
      </c>
      <c r="B1166" t="inlineStr">
        <is>
          <t xml:space="preserve">BANDHAN Dynamic Bond Fund - Regular Plan B - Annual IDCW</t>
        </is>
      </c>
      <c r="C1166" t="inlineStr">
        <is>
          <t xml:space="preserve">INF194K01QL4</t>
        </is>
      </c>
    </row>
    <row r="1167">
      <c r="A1167" t="inlineStr">
        <is>
          <t xml:space="preserve">Bandhan Mutual Fund</t>
        </is>
      </c>
      <c r="B1167" t="inlineStr">
        <is>
          <t xml:space="preserve">BANDHAN Dynamic Bond Fund - Regular Plan B - Growth</t>
        </is>
      </c>
      <c r="C1167" t="inlineStr">
        <is>
          <t xml:space="preserve">INF194K01QG4</t>
        </is>
      </c>
    </row>
    <row r="1168">
      <c r="A1168" t="inlineStr">
        <is>
          <t xml:space="preserve">Bandhan Mutual Fund</t>
        </is>
      </c>
      <c r="B1168" t="inlineStr">
        <is>
          <t xml:space="preserve">BANDHAN Dynamic Bond Fund - Regular Plan B - Half Yearly IDCW</t>
        </is>
      </c>
      <c r="C1168" t="inlineStr">
        <is>
          <t xml:space="preserve">INF194K018R9</t>
        </is>
      </c>
    </row>
    <row r="1169">
      <c r="A1169" t="inlineStr">
        <is>
          <t xml:space="preserve">Bandhan Mutual Fund</t>
        </is>
      </c>
      <c r="B1169" t="inlineStr">
        <is>
          <t xml:space="preserve">BANDHAN Dynamic Bond Fund - Regular Plan B - IDCW</t>
        </is>
      </c>
      <c r="C1169" t="inlineStr">
        <is>
          <t xml:space="preserve">INF194K01QO8</t>
        </is>
      </c>
    </row>
    <row r="1170">
      <c r="A1170" t="inlineStr">
        <is>
          <t xml:space="preserve">Bandhan Mutual Fund</t>
        </is>
      </c>
      <c r="B1170" t="inlineStr">
        <is>
          <t xml:space="preserve">BANDHAN Dynamic Bond Fund - Regular Plan B - Periodic IDCW</t>
        </is>
      </c>
      <c r="C1170" t="inlineStr">
        <is>
          <t xml:space="preserve">INF194KA1TM3</t>
        </is>
      </c>
    </row>
    <row r="1171">
      <c r="A1171" t="inlineStr">
        <is>
          <t xml:space="preserve">Bandhan Mutual Fund</t>
        </is>
      </c>
      <c r="B1171" t="inlineStr">
        <is>
          <t xml:space="preserve">BANDHAN Dynamic Bond Fund - Regular Plan B - Quarterly IDCW</t>
        </is>
      </c>
      <c r="C1171" t="inlineStr">
        <is>
          <t xml:space="preserve">INF194K01QI0</t>
        </is>
      </c>
    </row>
    <row r="1172">
      <c r="A1172" t="inlineStr">
        <is>
          <t xml:space="preserve">Bandhan Mutual Fund</t>
        </is>
      </c>
      <c r="B1172" t="inlineStr">
        <is>
          <t xml:space="preserve">BANDHAN Dynamic Bond Fund-Direct Plan-Annual IDCW</t>
        </is>
      </c>
      <c r="C1172" t="inlineStr">
        <is>
          <t xml:space="preserve">INF194K01O13</t>
        </is>
      </c>
    </row>
    <row r="1173">
      <c r="A1173" t="inlineStr">
        <is>
          <t xml:space="preserve">Bandhan Mutual Fund</t>
        </is>
      </c>
      <c r="B1173" t="inlineStr">
        <is>
          <t xml:space="preserve">BANDHAN Dynamic Bond Fund-Direct Plan-Growth</t>
        </is>
      </c>
      <c r="C1173" t="inlineStr">
        <is>
          <t xml:space="preserve">INF194K01N63</t>
        </is>
      </c>
    </row>
    <row r="1174">
      <c r="A1174" t="inlineStr">
        <is>
          <t xml:space="preserve">Bandhan Mutual Fund</t>
        </is>
      </c>
      <c r="B1174" t="inlineStr">
        <is>
          <t xml:space="preserve">BANDHAN Dynamic Bond Fund-Direct Plan-Half Yearly IDCW</t>
        </is>
      </c>
      <c r="C1174" t="inlineStr">
        <is>
          <t xml:space="preserve">INF194K011P8</t>
        </is>
      </c>
    </row>
    <row r="1175">
      <c r="A1175" t="inlineStr">
        <is>
          <t xml:space="preserve">Bandhan Mutual Fund</t>
        </is>
      </c>
      <c r="B1175" t="inlineStr">
        <is>
          <t xml:space="preserve">BANDHAN Dynamic Bond Fund-Direct Plan-IDCW</t>
        </is>
      </c>
      <c r="C1175" t="inlineStr">
        <is>
          <t xml:space="preserve">INF194K01O47</t>
        </is>
      </c>
    </row>
    <row r="1176">
      <c r="A1176" t="inlineStr">
        <is>
          <t xml:space="preserve">Bandhan Mutual Fund</t>
        </is>
      </c>
      <c r="B1176" t="inlineStr">
        <is>
          <t xml:space="preserve">BANDHAN Dynamic Bond Fund-Direct Plan-Periodic IDCW</t>
        </is>
      </c>
      <c r="C1176" t="inlineStr">
        <is>
          <t xml:space="preserve">INF194KA1TP6</t>
        </is>
      </c>
    </row>
    <row r="1177">
      <c r="A1177" t="inlineStr">
        <is>
          <t xml:space="preserve">Bandhan Mutual Fund</t>
        </is>
      </c>
      <c r="B1177" t="inlineStr">
        <is>
          <t xml:space="preserve">BANDHAN Dynamic Bond Fund-Direct Plan-Quarterly IDCW</t>
        </is>
      </c>
      <c r="C1177" t="inlineStr">
        <is>
          <t xml:space="preserve">INF194K01N89</t>
        </is>
      </c>
    </row>
    <row r="1178">
      <c r="A1178" t="inlineStr">
        <is>
          <t xml:space="preserve">Bandhan Mutual Fund</t>
        </is>
      </c>
      <c r="B1178" t="inlineStr">
        <is>
          <t xml:space="preserve">BANDHAN ELSS Tax Saver Fund - Direct Plan - Growth</t>
        </is>
      </c>
      <c r="C1178" t="inlineStr">
        <is>
          <t xml:space="preserve">INF194K01Y29</t>
        </is>
      </c>
    </row>
    <row r="1179">
      <c r="A1179" t="inlineStr">
        <is>
          <t xml:space="preserve">Bandhan Mutual Fund</t>
        </is>
      </c>
      <c r="B1179" t="inlineStr">
        <is>
          <t xml:space="preserve">BANDHAN ELSS Tax Saver Fund - Direct Plan - IDCW</t>
        </is>
      </c>
      <c r="C1179" t="inlineStr">
        <is>
          <t xml:space="preserve">INF194K01Y37</t>
        </is>
      </c>
    </row>
    <row r="1180">
      <c r="A1180" t="inlineStr">
        <is>
          <t xml:space="preserve">Bandhan Mutual Fund</t>
        </is>
      </c>
      <c r="B1180" t="inlineStr">
        <is>
          <t xml:space="preserve">BANDHAN ELSS Tax Saver Fund - Regular Plan - Growth</t>
        </is>
      </c>
      <c r="C1180" t="inlineStr">
        <is>
          <t xml:space="preserve">INF194K01292</t>
        </is>
      </c>
    </row>
    <row r="1181">
      <c r="A1181" t="inlineStr">
        <is>
          <t xml:space="preserve">Bandhan Mutual Fund</t>
        </is>
      </c>
      <c r="B1181" t="inlineStr">
        <is>
          <t xml:space="preserve">BANDHAN ELSS Tax Saver Fund - Regular Plan - IDCW</t>
        </is>
      </c>
      <c r="C1181" t="inlineStr">
        <is>
          <t xml:space="preserve">INF194K01300</t>
        </is>
      </c>
    </row>
    <row r="1182">
      <c r="A1182" t="inlineStr">
        <is>
          <t xml:space="preserve">Bandhan Mutual Fund</t>
        </is>
      </c>
      <c r="B1182" t="inlineStr">
        <is>
          <t xml:space="preserve">BANDHAN Equity Savings Fund - Regular Plan - Growth</t>
        </is>
      </c>
      <c r="C1182" t="inlineStr">
        <is>
          <t xml:space="preserve">INF194K01581</t>
        </is>
      </c>
    </row>
    <row r="1183">
      <c r="A1183" t="inlineStr">
        <is>
          <t xml:space="preserve">Bandhan Mutual Fund</t>
        </is>
      </c>
      <c r="B1183" t="inlineStr">
        <is>
          <t xml:space="preserve">BANDHAN Equity Savings Fund - Regular Plan - Monthly IDCW</t>
        </is>
      </c>
      <c r="C1183" t="inlineStr">
        <is>
          <t xml:space="preserve">INF194K01599</t>
        </is>
      </c>
    </row>
    <row r="1184">
      <c r="A1184" t="inlineStr">
        <is>
          <t xml:space="preserve">Bandhan Mutual Fund</t>
        </is>
      </c>
      <c r="B1184" t="inlineStr">
        <is>
          <t xml:space="preserve">BANDHAN Equity Savings Fund - Regular Plan -Annual IDCW</t>
        </is>
      </c>
      <c r="C1184" t="inlineStr">
        <is>
          <t xml:space="preserve">INF194KA1XX2</t>
        </is>
      </c>
    </row>
    <row r="1185">
      <c r="A1185" t="inlineStr">
        <is>
          <t xml:space="preserve">Bandhan Mutual Fund</t>
        </is>
      </c>
      <c r="B1185" t="inlineStr">
        <is>
          <t xml:space="preserve">BANDHAN Equity Savings Fund -B-DIVIDEND</t>
        </is>
      </c>
      <c r="C1185" t="inlineStr">
        <is>
          <t xml:space="preserve">INF194K01565</t>
        </is>
      </c>
    </row>
    <row r="1186">
      <c r="A1186" t="inlineStr">
        <is>
          <t xml:space="preserve">Bandhan Mutual Fund</t>
        </is>
      </c>
      <c r="B1186" t="inlineStr">
        <is>
          <t xml:space="preserve">BANDHAN Equity Savings Fund -B-GROWTH</t>
        </is>
      </c>
      <c r="C1186" t="inlineStr">
        <is>
          <t xml:space="preserve">INF194K01557</t>
        </is>
      </c>
    </row>
    <row r="1187">
      <c r="A1187" t="inlineStr">
        <is>
          <t xml:space="preserve">Bandhan Mutual Fund</t>
        </is>
      </c>
      <c r="B1187" t="inlineStr">
        <is>
          <t xml:space="preserve">BANDHAN Equity Savings Fund- Regular Plan -Quarterly IDCW</t>
        </is>
      </c>
      <c r="C1187" t="inlineStr">
        <is>
          <t xml:space="preserve">INF194KA16J0</t>
        </is>
      </c>
    </row>
    <row r="1188">
      <c r="A1188" t="inlineStr">
        <is>
          <t xml:space="preserve">Bandhan Mutual Fund</t>
        </is>
      </c>
      <c r="B1188" t="inlineStr">
        <is>
          <t xml:space="preserve">BANDHAN Equity Savings Fund-Direct Plan -Quarterly IDCW</t>
        </is>
      </c>
      <c r="C1188" t="inlineStr">
        <is>
          <t xml:space="preserve">INF194KA19J4</t>
        </is>
      </c>
    </row>
    <row r="1189">
      <c r="A1189" t="inlineStr">
        <is>
          <t xml:space="preserve">Bandhan Mutual Fund</t>
        </is>
      </c>
      <c r="B1189" t="inlineStr">
        <is>
          <t xml:space="preserve">BANDHAN Equity Savings Fund-Direct Plan-Annual IDCW</t>
        </is>
      </c>
      <c r="C1189" t="inlineStr">
        <is>
          <t xml:space="preserve">INF194KA1YA8</t>
        </is>
      </c>
    </row>
    <row r="1190">
      <c r="A1190" t="inlineStr">
        <is>
          <t xml:space="preserve">Bandhan Mutual Fund</t>
        </is>
      </c>
      <c r="B1190" t="inlineStr">
        <is>
          <t xml:space="preserve">BANDHAN Equity Savings Fund-Direct Plan-Growth</t>
        </is>
      </c>
      <c r="C1190" t="inlineStr">
        <is>
          <t xml:space="preserve">INF194K01Z02</t>
        </is>
      </c>
    </row>
    <row r="1191">
      <c r="A1191" t="inlineStr">
        <is>
          <t xml:space="preserve">Bandhan Mutual Fund</t>
        </is>
      </c>
      <c r="B1191" t="inlineStr">
        <is>
          <t xml:space="preserve">BANDHAN Equity Savings Fund-Direct Plan-Monthly IDCW</t>
        </is>
      </c>
      <c r="C1191" t="inlineStr">
        <is>
          <t xml:space="preserve">INF194K01Z10</t>
        </is>
      </c>
    </row>
    <row r="1192">
      <c r="A1192" t="inlineStr">
        <is>
          <t xml:space="preserve">Bandhan Mutual Fund</t>
        </is>
      </c>
      <c r="B1192" t="inlineStr">
        <is>
          <t xml:space="preserve">BANDHAN FINANCIAL SERVICES FUND - DIRECT PLAN - GROWTH</t>
        </is>
      </c>
      <c r="C1192" t="inlineStr">
        <is>
          <t xml:space="preserve">INF194KB1GB2</t>
        </is>
      </c>
    </row>
    <row r="1193">
      <c r="A1193" t="inlineStr">
        <is>
          <t xml:space="preserve">Bandhan Mutual Fund</t>
        </is>
      </c>
      <c r="B1193" t="inlineStr">
        <is>
          <t xml:space="preserve">BANDHAN FINANCIAL SERVICES FUND - DIRECT PLAN - IDCW</t>
        </is>
      </c>
      <c r="C1193" t="inlineStr">
        <is>
          <t xml:space="preserve">INF194KB1GC0</t>
        </is>
      </c>
    </row>
    <row r="1194">
      <c r="A1194" t="inlineStr">
        <is>
          <t xml:space="preserve">Bandhan Mutual Fund</t>
        </is>
      </c>
      <c r="B1194" t="inlineStr">
        <is>
          <t xml:space="preserve">BANDHAN FINANCIAL SERVICES FUND - REGULAR PLAN - GROWTH</t>
        </is>
      </c>
      <c r="C1194" t="inlineStr">
        <is>
          <t xml:space="preserve">INF194KB1GE6</t>
        </is>
      </c>
    </row>
    <row r="1195">
      <c r="A1195" t="inlineStr">
        <is>
          <t xml:space="preserve">Bandhan Mutual Fund</t>
        </is>
      </c>
      <c r="B1195" t="inlineStr">
        <is>
          <t xml:space="preserve">BANDHAN FINANCIAL SERVICES FUND - REGULAR PLAN - IDCW</t>
        </is>
      </c>
      <c r="C1195" t="inlineStr">
        <is>
          <t xml:space="preserve">INF194KB1GF3</t>
        </is>
      </c>
    </row>
    <row r="1196">
      <c r="A1196" t="inlineStr">
        <is>
          <t xml:space="preserve">Bandhan Mutual Fund</t>
        </is>
      </c>
      <c r="B1196" t="inlineStr">
        <is>
          <t xml:space="preserve">Bandhan Fixed Maturity Plan (FMP) - Series 209 (93 Days) - Direct Plan - Growth</t>
        </is>
      </c>
      <c r="C1196" t="inlineStr">
        <is>
          <t xml:space="preserve">INF194KB1JD2</t>
        </is>
      </c>
    </row>
    <row r="1197">
      <c r="A1197" t="inlineStr">
        <is>
          <t xml:space="preserve">Bandhan Mutual Fund</t>
        </is>
      </c>
      <c r="B1197" t="inlineStr">
        <is>
          <t xml:space="preserve">Bandhan Fixed Maturity Plan (FMP) - Series 209 (93 Days) - Direct Plan - IDCW</t>
        </is>
      </c>
      <c r="C1197" t="inlineStr">
        <is>
          <t xml:space="preserve">INF194KB1JE0</t>
        </is>
      </c>
    </row>
    <row r="1198">
      <c r="A1198" t="inlineStr">
        <is>
          <t xml:space="preserve">Bandhan Mutual Fund</t>
        </is>
      </c>
      <c r="B1198" t="inlineStr">
        <is>
          <t xml:space="preserve">Bandhan Fixed Maturity Plan (FMP) - Series 209 (93 Days) - Regular Plan - Growth</t>
        </is>
      </c>
      <c r="C1198" t="inlineStr">
        <is>
          <t xml:space="preserve">INF194KB1JG5</t>
        </is>
      </c>
    </row>
    <row r="1199">
      <c r="A1199" t="inlineStr">
        <is>
          <t xml:space="preserve">Bandhan Mutual Fund</t>
        </is>
      </c>
      <c r="B1199" t="inlineStr">
        <is>
          <t xml:space="preserve">Bandhan Fixed Maturity Plan (FMP) - Series 209 (93 Days) - Regular Plan - IDCW</t>
        </is>
      </c>
      <c r="C1199" t="inlineStr">
        <is>
          <t xml:space="preserve">INF194KB1JH3</t>
        </is>
      </c>
    </row>
    <row r="1200">
      <c r="A1200" t="inlineStr">
        <is>
          <t xml:space="preserve">Bandhan Mutual Fund</t>
        </is>
      </c>
      <c r="B1200" t="inlineStr">
        <is>
          <t xml:space="preserve">BANDHAN Fixed Term Plan Series 179 DIRECT PLAN HALF YEARLY-IDCW (3652 days)</t>
        </is>
      </c>
      <c r="C1200" t="inlineStr">
        <is>
          <t xml:space="preserve">INF194KB1793</t>
        </is>
      </c>
    </row>
    <row r="1201">
      <c r="A1201" t="inlineStr">
        <is>
          <t xml:space="preserve">Bandhan Mutual Fund</t>
        </is>
      </c>
      <c r="B1201" t="inlineStr">
        <is>
          <t xml:space="preserve">BANDHAN Fixed Term Plan Series 179 DIRECT PLAN-GROWTH (3652 days)</t>
        </is>
      </c>
      <c r="C1201" t="inlineStr">
        <is>
          <t xml:space="preserve">INF194KB1777</t>
        </is>
      </c>
    </row>
    <row r="1202">
      <c r="A1202" t="inlineStr">
        <is>
          <t xml:space="preserve">Bandhan Mutual Fund</t>
        </is>
      </c>
      <c r="B1202" t="inlineStr">
        <is>
          <t xml:space="preserve">BANDHAN Fixed Term Plan Series 179 REGULAR PLAN PERIODIC-IDCW (3652 days)</t>
        </is>
      </c>
      <c r="C1202" t="inlineStr">
        <is>
          <t xml:space="preserve">INF194KB1769</t>
        </is>
      </c>
    </row>
    <row r="1203">
      <c r="A1203" t="inlineStr">
        <is>
          <t xml:space="preserve">Bandhan Mutual Fund</t>
        </is>
      </c>
      <c r="B1203" t="inlineStr">
        <is>
          <t xml:space="preserve">BANDHAN Fixed Term Plan Series 179 REGULAR PLAN-GROWTH (3652 days)</t>
        </is>
      </c>
      <c r="C1203" t="inlineStr">
        <is>
          <t xml:space="preserve">INF194KB1736</t>
        </is>
      </c>
    </row>
    <row r="1204">
      <c r="A1204" t="inlineStr">
        <is>
          <t xml:space="preserve">Bandhan Mutual Fund</t>
        </is>
      </c>
      <c r="B1204" t="inlineStr">
        <is>
          <t xml:space="preserve">BANDHAN Flexi Cap Fund - Regular Plan - Growth</t>
        </is>
      </c>
      <c r="C1204" t="inlineStr">
        <is>
          <t xml:space="preserve">INF194K01391</t>
        </is>
      </c>
    </row>
    <row r="1205">
      <c r="A1205" t="inlineStr">
        <is>
          <t xml:space="preserve">Bandhan Mutual Fund</t>
        </is>
      </c>
      <c r="B1205" t="inlineStr">
        <is>
          <t xml:space="preserve">BANDHAN Flexi Cap Fund - Regular Plan - IDCW</t>
        </is>
      </c>
      <c r="C1205" t="inlineStr">
        <is>
          <t xml:space="preserve">INF194K01409</t>
        </is>
      </c>
    </row>
    <row r="1206">
      <c r="A1206" t="inlineStr">
        <is>
          <t xml:space="preserve">Bandhan Mutual Fund</t>
        </is>
      </c>
      <c r="B1206" t="inlineStr">
        <is>
          <t xml:space="preserve">BANDHAN Flexi Cap Fund-Direct Plan-Growth</t>
        </is>
      </c>
      <c r="C1206" t="inlineStr">
        <is>
          <t xml:space="preserve">INF194K01W62</t>
        </is>
      </c>
    </row>
    <row r="1207">
      <c r="A1207" t="inlineStr">
        <is>
          <t xml:space="preserve">Bandhan Mutual Fund</t>
        </is>
      </c>
      <c r="B1207" t="inlineStr">
        <is>
          <t xml:space="preserve">BANDHAN Flexi Cap Fund-Direct Plan-IDCW</t>
        </is>
      </c>
      <c r="C1207" t="inlineStr">
        <is>
          <t xml:space="preserve">INF194K01W70</t>
        </is>
      </c>
    </row>
    <row r="1208">
      <c r="A1208" t="inlineStr">
        <is>
          <t xml:space="preserve">Bandhan Mutual Fund</t>
        </is>
      </c>
      <c r="B1208" t="inlineStr">
        <is>
          <t xml:space="preserve">BANDHAN FLOATER FUND  - DIRECT PLAN DAILY IDCW</t>
        </is>
      </c>
      <c r="C1208" t="inlineStr">
        <is>
          <t xml:space="preserve">INF194KB1BB3</t>
        </is>
      </c>
    </row>
    <row r="1209">
      <c r="A1209" t="inlineStr">
        <is>
          <t xml:space="preserve">Bandhan Mutual Fund</t>
        </is>
      </c>
      <c r="B1209" t="inlineStr">
        <is>
          <t xml:space="preserve">BANDHAN FLOATER FUND  - DIRECT PLAN GROWTH</t>
        </is>
      </c>
      <c r="C1209" t="inlineStr">
        <is>
          <t xml:space="preserve">INF194KB1BA5</t>
        </is>
      </c>
    </row>
    <row r="1210">
      <c r="A1210" t="inlineStr">
        <is>
          <t xml:space="preserve">Bandhan Mutual Fund</t>
        </is>
      </c>
      <c r="B1210" t="inlineStr">
        <is>
          <t xml:space="preserve">BANDHAN FLOATER FUND  - DIRECT PLAN MONTHLY IDCW</t>
        </is>
      </c>
      <c r="C1210" t="inlineStr">
        <is>
          <t xml:space="preserve">INF194KB1BD9</t>
        </is>
      </c>
    </row>
    <row r="1211">
      <c r="A1211" t="inlineStr">
        <is>
          <t xml:space="preserve">Bandhan Mutual Fund</t>
        </is>
      </c>
      <c r="B1211" t="inlineStr">
        <is>
          <t xml:space="preserve">BANDHAN FLOATER FUND  - DIRECT PLAN PERIODIC IDCW</t>
        </is>
      </c>
      <c r="C1211" t="inlineStr">
        <is>
          <t xml:space="preserve">INF194KB1BH0</t>
        </is>
      </c>
    </row>
    <row r="1212">
      <c r="A1212" t="inlineStr">
        <is>
          <t xml:space="preserve">Bandhan Mutual Fund</t>
        </is>
      </c>
      <c r="B1212" t="inlineStr">
        <is>
          <t xml:space="preserve">BANDHAN FLOATER FUND  - DIRECT PLAN QUARTERLY IDCW</t>
        </is>
      </c>
      <c r="C1212" t="inlineStr">
        <is>
          <t xml:space="preserve">INF194KB1BF4</t>
        </is>
      </c>
    </row>
    <row r="1213">
      <c r="A1213" t="inlineStr">
        <is>
          <t xml:space="preserve">Bandhan Mutual Fund</t>
        </is>
      </c>
      <c r="B1213" t="inlineStr">
        <is>
          <t xml:space="preserve">BANDHAN FLOATER FUND  - DIRECT PLAN WEEKLY IDCW</t>
        </is>
      </c>
      <c r="C1213" t="inlineStr">
        <is>
          <t xml:space="preserve">INF194KB1BC1</t>
        </is>
      </c>
    </row>
    <row r="1214">
      <c r="A1214" t="inlineStr">
        <is>
          <t xml:space="preserve">Bandhan Mutual Fund</t>
        </is>
      </c>
      <c r="B1214" t="inlineStr">
        <is>
          <t xml:space="preserve">BANDHAN FLOATER FUND  - REGULAR PLAN ANNUAL IDCW</t>
        </is>
      </c>
      <c r="C1214" t="inlineStr">
        <is>
          <t xml:space="preserve">INF194KB1AY7</t>
        </is>
      </c>
    </row>
    <row r="1215">
      <c r="A1215" t="inlineStr">
        <is>
          <t xml:space="preserve">Bandhan Mutual Fund</t>
        </is>
      </c>
      <c r="B1215" t="inlineStr">
        <is>
          <t xml:space="preserve">BANDHAN FLOATER FUND  - REGULAR PLAN DAILY IDCW</t>
        </is>
      </c>
      <c r="C1215" t="inlineStr">
        <is>
          <t xml:space="preserve">INF194KB1AQ3</t>
        </is>
      </c>
    </row>
    <row r="1216">
      <c r="A1216" t="inlineStr">
        <is>
          <t xml:space="preserve">Bandhan Mutual Fund</t>
        </is>
      </c>
      <c r="B1216" t="inlineStr">
        <is>
          <t xml:space="preserve">BANDHAN FLOATER FUND  - REGULAR PLAN GROWTH</t>
        </is>
      </c>
      <c r="C1216" t="inlineStr">
        <is>
          <t xml:space="preserve">INF194KB1AP5</t>
        </is>
      </c>
    </row>
    <row r="1217">
      <c r="A1217" t="inlineStr">
        <is>
          <t xml:space="preserve">Bandhan Mutual Fund</t>
        </is>
      </c>
      <c r="B1217" t="inlineStr">
        <is>
          <t xml:space="preserve">BANDHAN FLOATER FUND  - REGULAR PLAN MONTHLY IDCW</t>
        </is>
      </c>
      <c r="C1217" t="inlineStr">
        <is>
          <t xml:space="preserve">INF194KB1AS9</t>
        </is>
      </c>
    </row>
    <row r="1218">
      <c r="A1218" t="inlineStr">
        <is>
          <t xml:space="preserve">Bandhan Mutual Fund</t>
        </is>
      </c>
      <c r="B1218" t="inlineStr">
        <is>
          <t xml:space="preserve">BANDHAN FLOATER FUND  - REGULAR PLAN PERIODIC IDCW</t>
        </is>
      </c>
      <c r="C1218" t="inlineStr">
        <is>
          <t xml:space="preserve">INF194KB1AW1</t>
        </is>
      </c>
    </row>
    <row r="1219">
      <c r="A1219" t="inlineStr">
        <is>
          <t xml:space="preserve">Bandhan Mutual Fund</t>
        </is>
      </c>
      <c r="B1219" t="inlineStr">
        <is>
          <t xml:space="preserve">BANDHAN FLOATER FUND  - REGULAR PLAN QUARTERLY IDCW</t>
        </is>
      </c>
      <c r="C1219" t="inlineStr">
        <is>
          <t xml:space="preserve">INF194KB1AU5</t>
        </is>
      </c>
    </row>
    <row r="1220">
      <c r="A1220" t="inlineStr">
        <is>
          <t xml:space="preserve">Bandhan Mutual Fund</t>
        </is>
      </c>
      <c r="B1220" t="inlineStr">
        <is>
          <t xml:space="preserve">BANDHAN FLOATER FUND  - REGULAR PLAN WEEKLY IDCW</t>
        </is>
      </c>
      <c r="C1220" t="inlineStr">
        <is>
          <t xml:space="preserve">INF194KB1AR1</t>
        </is>
      </c>
    </row>
    <row r="1221">
      <c r="A1221" t="inlineStr">
        <is>
          <t xml:space="preserve">Bandhan Mutual Fund</t>
        </is>
      </c>
      <c r="B1221" t="inlineStr">
        <is>
          <t xml:space="preserve">BANDHAN FLOATER FUND- DIRECT PLAN ANNUAL IDCW</t>
        </is>
      </c>
      <c r="C1221" t="inlineStr">
        <is>
          <t xml:space="preserve">INF194KB1BJ6</t>
        </is>
      </c>
    </row>
    <row r="1222">
      <c r="A1222" t="inlineStr">
        <is>
          <t xml:space="preserve">Bandhan Mutual Fund</t>
        </is>
      </c>
      <c r="B1222" t="inlineStr">
        <is>
          <t xml:space="preserve">Bandhan Focused Fund - Direct Plan - Growth</t>
        </is>
      </c>
      <c r="C1222" t="inlineStr">
        <is>
          <t xml:space="preserve">INF194K01W21</t>
        </is>
      </c>
    </row>
    <row r="1223">
      <c r="A1223" t="inlineStr">
        <is>
          <t xml:space="preserve">Bandhan Mutual Fund</t>
        </is>
      </c>
      <c r="B1223" t="inlineStr">
        <is>
          <t xml:space="preserve">Bandhan Focused Fund - Direct Plan - IDCW</t>
        </is>
      </c>
      <c r="C1223" t="inlineStr">
        <is>
          <t xml:space="preserve">INF194K01W39</t>
        </is>
      </c>
    </row>
    <row r="1224">
      <c r="A1224" t="inlineStr">
        <is>
          <t xml:space="preserve">Bandhan Mutual Fund</t>
        </is>
      </c>
      <c r="B1224" t="inlineStr">
        <is>
          <t xml:space="preserve">Bandhan Focused Fund - Regular Plan - Growth</t>
        </is>
      </c>
      <c r="C1224" t="inlineStr">
        <is>
          <t xml:space="preserve">INF194K01466</t>
        </is>
      </c>
    </row>
    <row r="1225">
      <c r="A1225" t="inlineStr">
        <is>
          <t xml:space="preserve">Bandhan Mutual Fund</t>
        </is>
      </c>
      <c r="B1225" t="inlineStr">
        <is>
          <t xml:space="preserve">Bandhan Focused Fund - Regular Plan - IDCW</t>
        </is>
      </c>
      <c r="C1225" t="inlineStr">
        <is>
          <t xml:space="preserve">INF194K01474</t>
        </is>
      </c>
    </row>
    <row r="1226">
      <c r="A1226" t="inlineStr">
        <is>
          <t xml:space="preserve">Bandhan Mutual Fund</t>
        </is>
      </c>
      <c r="B1226" t="inlineStr">
        <is>
          <t xml:space="preserve">Bandhan Gilt Fund - Direct Plan - Annual IDCW</t>
        </is>
      </c>
      <c r="C1226" t="inlineStr">
        <is>
          <t xml:space="preserve">INF194K01Q78</t>
        </is>
      </c>
    </row>
    <row r="1227">
      <c r="A1227" t="inlineStr">
        <is>
          <t xml:space="preserve">Bandhan Mutual Fund</t>
        </is>
      </c>
      <c r="B1227" t="inlineStr">
        <is>
          <t xml:space="preserve">Bandhan Gilt Fund - Direct Plan - Growth</t>
        </is>
      </c>
      <c r="C1227" t="inlineStr">
        <is>
          <t xml:space="preserve">INF194K01Q29</t>
        </is>
      </c>
    </row>
    <row r="1228">
      <c r="A1228" t="inlineStr">
        <is>
          <t xml:space="preserve">Bandhan Mutual Fund</t>
        </is>
      </c>
      <c r="B1228" t="inlineStr">
        <is>
          <t xml:space="preserve">Bandhan Gilt Fund - Direct Plan - Half Yearly IDCW</t>
        </is>
      </c>
      <c r="C1228" t="inlineStr">
        <is>
          <t xml:space="preserve">INF194K01Q45</t>
        </is>
      </c>
    </row>
    <row r="1229">
      <c r="A1229" t="inlineStr">
        <is>
          <t xml:space="preserve">Bandhan Mutual Fund</t>
        </is>
      </c>
      <c r="B1229" t="inlineStr">
        <is>
          <t xml:space="preserve">Bandhan Gilt Fund - Direct Plan - IDCW</t>
        </is>
      </c>
      <c r="C1229" t="inlineStr">
        <is>
          <t xml:space="preserve">INF194K01R36</t>
        </is>
      </c>
    </row>
    <row r="1230">
      <c r="A1230" t="inlineStr">
        <is>
          <t xml:space="preserve">Bandhan Mutual Fund</t>
        </is>
      </c>
      <c r="B1230" t="inlineStr">
        <is>
          <t xml:space="preserve">Bandhan Gilt Fund - Direct Plan - Periodic IDCW</t>
        </is>
      </c>
      <c r="C1230" t="inlineStr">
        <is>
          <t xml:space="preserve">INF194KA1RZ9</t>
        </is>
      </c>
    </row>
    <row r="1231">
      <c r="A1231" t="inlineStr">
        <is>
          <t xml:space="preserve">Bandhan Mutual Fund</t>
        </is>
      </c>
      <c r="B1231" t="inlineStr">
        <is>
          <t xml:space="preserve">Bandhan Gilt Fund - Direct Plan - Quarterly IDCW</t>
        </is>
      </c>
      <c r="C1231" t="inlineStr">
        <is>
          <t xml:space="preserve">INF194K01R02</t>
        </is>
      </c>
    </row>
    <row r="1232">
      <c r="A1232" t="inlineStr">
        <is>
          <t xml:space="preserve">Bandhan Mutual Fund</t>
        </is>
      </c>
      <c r="B1232" t="inlineStr">
        <is>
          <t xml:space="preserve">Bandhan Gilt Fund - Regular - Plan B - Half Yearly IDCW</t>
        </is>
      </c>
      <c r="C1232" t="inlineStr">
        <is>
          <t xml:space="preserve">INF194K01EB1</t>
        </is>
      </c>
    </row>
    <row r="1233">
      <c r="A1233" t="inlineStr">
        <is>
          <t xml:space="preserve">Bandhan Mutual Fund</t>
        </is>
      </c>
      <c r="B1233" t="inlineStr">
        <is>
          <t xml:space="preserve">Bandhan Gilt Fund - Regular Plan - Annual IDCW</t>
        </is>
      </c>
      <c r="C1233" t="inlineStr">
        <is>
          <t xml:space="preserve">INF194K01EE5</t>
        </is>
      </c>
    </row>
    <row r="1234">
      <c r="A1234" t="inlineStr">
        <is>
          <t xml:space="preserve">Bandhan Mutual Fund</t>
        </is>
      </c>
      <c r="B1234" t="inlineStr">
        <is>
          <t xml:space="preserve">Bandhan Gilt Fund - Regular Plan - Growth</t>
        </is>
      </c>
      <c r="C1234" t="inlineStr">
        <is>
          <t xml:space="preserve">INF194K01DZ2</t>
        </is>
      </c>
    </row>
    <row r="1235">
      <c r="A1235" t="inlineStr">
        <is>
          <t xml:space="preserve">Bandhan Mutual Fund</t>
        </is>
      </c>
      <c r="B1235" t="inlineStr">
        <is>
          <t xml:space="preserve">Bandhan Gilt Fund - Regular Plan - IDCW</t>
        </is>
      </c>
      <c r="C1235" t="inlineStr">
        <is>
          <t xml:space="preserve">INF194K01EK2</t>
        </is>
      </c>
    </row>
    <row r="1236">
      <c r="A1236" t="inlineStr">
        <is>
          <t xml:space="preserve">Bandhan Mutual Fund</t>
        </is>
      </c>
      <c r="B1236" t="inlineStr">
        <is>
          <t xml:space="preserve">Bandhan Gilt Fund - Regular Plan - Quarterly IDCW</t>
        </is>
      </c>
      <c r="C1236" t="inlineStr">
        <is>
          <t xml:space="preserve">INF194K01EH8</t>
        </is>
      </c>
    </row>
    <row r="1237">
      <c r="A1237" t="inlineStr">
        <is>
          <t xml:space="preserve">Bandhan Mutual Fund</t>
        </is>
      </c>
      <c r="B1237" t="inlineStr">
        <is>
          <t xml:space="preserve">Bandhan Gilt Fund - Regular Plan B - Periodic IDCW</t>
        </is>
      </c>
      <c r="C1237" t="inlineStr">
        <is>
          <t xml:space="preserve">INF194KA1RW6</t>
        </is>
      </c>
    </row>
    <row r="1238">
      <c r="A1238" t="inlineStr">
        <is>
          <t xml:space="preserve">Bandhan Mutual Fund</t>
        </is>
      </c>
      <c r="B1238" t="inlineStr">
        <is>
          <t xml:space="preserve">Bandhan Gilt Fund with 10 year constant duration Fund - Direct Plan - Growth</t>
        </is>
      </c>
      <c r="C1238" t="inlineStr">
        <is>
          <t xml:space="preserve">INF194K01P38</t>
        </is>
      </c>
    </row>
    <row r="1239">
      <c r="A1239" t="inlineStr">
        <is>
          <t xml:space="preserve">Bandhan Mutual Fund</t>
        </is>
      </c>
      <c r="B1239" t="inlineStr">
        <is>
          <t xml:space="preserve">Bandhan Gilt Fund with 10 year constant duration Fund - Direct Plan - Monthly IDCW</t>
        </is>
      </c>
      <c r="C1239" t="inlineStr">
        <is>
          <t xml:space="preserve">INF194K01P53</t>
        </is>
      </c>
    </row>
    <row r="1240">
      <c r="A1240" t="inlineStr">
        <is>
          <t xml:space="preserve">Bandhan Mutual Fund</t>
        </is>
      </c>
      <c r="B1240" t="inlineStr">
        <is>
          <t xml:space="preserve">Bandhan Gilt Fund with 10 year constant duration Fund - Direct Plan - Periodic IDCW</t>
        </is>
      </c>
      <c r="C1240" t="inlineStr">
        <is>
          <t xml:space="preserve">INF194KA1SL7</t>
        </is>
      </c>
    </row>
    <row r="1241">
      <c r="A1241" t="inlineStr">
        <is>
          <t xml:space="preserve">Bandhan Mutual Fund</t>
        </is>
      </c>
      <c r="B1241" t="inlineStr">
        <is>
          <t xml:space="preserve">Bandhan Gilt Fund with 10 year constant duration Fund - Direct Plan - Quarterly IDCW</t>
        </is>
      </c>
      <c r="C1241" t="inlineStr">
        <is>
          <t xml:space="preserve">INF194K01P87</t>
        </is>
      </c>
    </row>
    <row r="1242">
      <c r="A1242" t="inlineStr">
        <is>
          <t xml:space="preserve">Bandhan Mutual Fund</t>
        </is>
      </c>
      <c r="B1242" t="inlineStr">
        <is>
          <t xml:space="preserve">Bandhan Gilt Fund with 10 year constant duration Fund - Direct Plan - Weekly IDCW</t>
        </is>
      </c>
      <c r="C1242" t="inlineStr">
        <is>
          <t xml:space="preserve">INF194K01Q03</t>
        </is>
      </c>
    </row>
    <row r="1243">
      <c r="A1243" t="inlineStr">
        <is>
          <t xml:space="preserve">Bandhan Mutual Fund</t>
        </is>
      </c>
      <c r="B1243" t="inlineStr">
        <is>
          <t xml:space="preserve">Bandhan Gilt Fund with 10 year constant duration Fund - Regular Plan - Growth</t>
        </is>
      </c>
      <c r="C1243" t="inlineStr">
        <is>
          <t xml:space="preserve">INF194K01FA0</t>
        </is>
      </c>
    </row>
    <row r="1244">
      <c r="A1244" t="inlineStr">
        <is>
          <t xml:space="preserve">Bandhan Mutual Fund</t>
        </is>
      </c>
      <c r="B1244" t="inlineStr">
        <is>
          <t xml:space="preserve">Bandhan Gilt Fund with 10 year constant duration Fund - Regular Plan - Monthly IDCW</t>
        </is>
      </c>
      <c r="C1244" t="inlineStr">
        <is>
          <t xml:space="preserve">INF194K01FC6</t>
        </is>
      </c>
    </row>
    <row r="1245">
      <c r="A1245" t="inlineStr">
        <is>
          <t xml:space="preserve">Bandhan Mutual Fund</t>
        </is>
      </c>
      <c r="B1245" t="inlineStr">
        <is>
          <t xml:space="preserve">Bandhan Gilt Fund with 10 year constant duration Fund - Regular Plan - Periodic IDCW</t>
        </is>
      </c>
      <c r="C1245" t="inlineStr">
        <is>
          <t xml:space="preserve">INF194KA1SI3</t>
        </is>
      </c>
    </row>
    <row r="1246">
      <c r="A1246" t="inlineStr">
        <is>
          <t xml:space="preserve">Bandhan Mutual Fund</t>
        </is>
      </c>
      <c r="B1246" t="inlineStr">
        <is>
          <t xml:space="preserve">Bandhan Gilt Fund with 10 year constant duration Fund - Regular Plan - Quarterly IDCW</t>
        </is>
      </c>
      <c r="C1246" t="inlineStr">
        <is>
          <t xml:space="preserve">INF194K01FF9</t>
        </is>
      </c>
    </row>
    <row r="1247">
      <c r="A1247" t="inlineStr">
        <is>
          <t xml:space="preserve">Bandhan Mutual Fund</t>
        </is>
      </c>
      <c r="B1247" t="inlineStr">
        <is>
          <t xml:space="preserve">Bandhan Gilt Fund with 10 year constant duration Fund - Regular Plan - Weekly IDCW</t>
        </is>
      </c>
      <c r="C1247" t="inlineStr">
        <is>
          <t xml:space="preserve">INF194K01FI3</t>
        </is>
      </c>
    </row>
    <row r="1248">
      <c r="A1248" t="inlineStr">
        <is>
          <t xml:space="preserve">Bandhan Mutual Fund</t>
        </is>
      </c>
      <c r="B1248" t="inlineStr">
        <is>
          <t xml:space="preserve">Bandhan Gold ETF</t>
        </is>
      </c>
      <c r="C1248" t="inlineStr">
        <is>
          <t xml:space="preserve">INF194KB1KJ7</t>
        </is>
      </c>
    </row>
    <row r="1249">
      <c r="A1249" t="inlineStr">
        <is>
          <t xml:space="preserve">Bandhan Mutual Fund</t>
        </is>
      </c>
      <c r="B1249" t="inlineStr">
        <is>
          <t xml:space="preserve">Bandhan Gold ETF FOF-Direct-Growth</t>
        </is>
      </c>
      <c r="C1249" t="inlineStr">
        <is>
          <t xml:space="preserve">INF194KB1KL3</t>
        </is>
      </c>
    </row>
    <row r="1250">
      <c r="A1250" t="inlineStr">
        <is>
          <t xml:space="preserve">Bandhan Mutual Fund</t>
        </is>
      </c>
      <c r="B1250" t="inlineStr">
        <is>
          <t xml:space="preserve">Bandhan Gold ETF FOF-Regular-Growth</t>
        </is>
      </c>
      <c r="C1250" t="inlineStr">
        <is>
          <t xml:space="preserve">INF194KB1KK5</t>
        </is>
      </c>
    </row>
    <row r="1251">
      <c r="A1251" t="inlineStr">
        <is>
          <t xml:space="preserve">Bandhan Mutual Fund</t>
        </is>
      </c>
      <c r="B1251" t="inlineStr">
        <is>
          <t xml:space="preserve">Bandhan Healthcare Fund - Direct Plan - Growth</t>
        </is>
      </c>
      <c r="C1251" t="inlineStr">
        <is>
          <t xml:space="preserve">INF194KB1KF5</t>
        </is>
      </c>
    </row>
    <row r="1252">
      <c r="A1252" t="inlineStr">
        <is>
          <t xml:space="preserve">Bandhan Mutual Fund</t>
        </is>
      </c>
      <c r="B1252" t="inlineStr">
        <is>
          <t xml:space="preserve">Bandhan Healthcare Fund - Direct Plan - IDCW</t>
        </is>
      </c>
      <c r="C1252" t="inlineStr">
        <is>
          <t xml:space="preserve">INF194KB1KG3</t>
        </is>
      </c>
    </row>
    <row r="1253">
      <c r="A1253" t="inlineStr">
        <is>
          <t xml:space="preserve">Bandhan Mutual Fund</t>
        </is>
      </c>
      <c r="B1253" t="inlineStr">
        <is>
          <t xml:space="preserve">Bandhan Healthcare Fund - Regular Plan - Growth</t>
        </is>
      </c>
      <c r="C1253" t="inlineStr">
        <is>
          <t xml:space="preserve">INF194KB1KC2</t>
        </is>
      </c>
    </row>
    <row r="1254">
      <c r="A1254" t="inlineStr">
        <is>
          <t xml:space="preserve">Bandhan Mutual Fund</t>
        </is>
      </c>
      <c r="B1254" t="inlineStr">
        <is>
          <t xml:space="preserve">Bandhan Healthcare Fund - Regular Plan - IDCW</t>
        </is>
      </c>
      <c r="C1254" t="inlineStr">
        <is>
          <t xml:space="preserve">INF194KB1KD0</t>
        </is>
      </c>
    </row>
    <row r="1255">
      <c r="A1255" t="inlineStr">
        <is>
          <t xml:space="preserve">Bandhan Mutual Fund</t>
        </is>
      </c>
      <c r="B1255" t="inlineStr">
        <is>
          <t xml:space="preserve">Bandhan Income Plus Arbitrage Active FOF - Direct Plan - Annual IDCW</t>
        </is>
      </c>
      <c r="C1255" t="inlineStr">
        <is>
          <t xml:space="preserve">INF194K01U98</t>
        </is>
      </c>
    </row>
    <row r="1256">
      <c r="A1256" t="inlineStr">
        <is>
          <t xml:space="preserve">Bandhan Mutual Fund</t>
        </is>
      </c>
      <c r="B1256" t="inlineStr">
        <is>
          <t xml:space="preserve">Bandhan Income Plus Arbitrage Active FOF - Direct Plan - Daily IDCW</t>
        </is>
      </c>
      <c r="C1256" t="inlineStr">
        <is>
          <t xml:space="preserve">INF194K01V63</t>
        </is>
      </c>
    </row>
    <row r="1257">
      <c r="A1257" t="inlineStr">
        <is>
          <t xml:space="preserve">Bandhan Mutual Fund</t>
        </is>
      </c>
      <c r="B1257" t="inlineStr">
        <is>
          <t xml:space="preserve">Bandhan Income Plus Arbitrage Active FOF - Direct Plan - Fortnightly IDCW</t>
        </is>
      </c>
      <c r="C1257" t="inlineStr">
        <is>
          <t xml:space="preserve">INF194K01V55</t>
        </is>
      </c>
    </row>
    <row r="1258">
      <c r="A1258" t="inlineStr">
        <is>
          <t xml:space="preserve">Bandhan Mutual Fund</t>
        </is>
      </c>
      <c r="B1258" t="inlineStr">
        <is>
          <t xml:space="preserve">Bandhan Income Plus Arbitrage Active FOF - Direct Plan - Growth</t>
        </is>
      </c>
      <c r="C1258" t="inlineStr">
        <is>
          <t xml:space="preserve">INF194K01U72</t>
        </is>
      </c>
    </row>
    <row r="1259">
      <c r="A1259" t="inlineStr">
        <is>
          <t xml:space="preserve">Bandhan Mutual Fund</t>
        </is>
      </c>
      <c r="B1259" t="inlineStr">
        <is>
          <t xml:space="preserve">Bandhan Income Plus Arbitrage Active FOF - Direct Plan - Half Yearly IDCW</t>
        </is>
      </c>
      <c r="C1259" t="inlineStr">
        <is>
          <t xml:space="preserve">INF194K01V14</t>
        </is>
      </c>
    </row>
    <row r="1260">
      <c r="A1260" t="inlineStr">
        <is>
          <t xml:space="preserve">Bandhan Mutual Fund</t>
        </is>
      </c>
      <c r="B1260" t="inlineStr">
        <is>
          <t xml:space="preserve">Bandhan Income Plus Arbitrage Active FOF - Direct Plan - Periodic IDCW</t>
        </is>
      </c>
      <c r="C1260" t="inlineStr">
        <is>
          <t xml:space="preserve">INF194KA1TV4</t>
        </is>
      </c>
    </row>
    <row r="1261">
      <c r="A1261" t="inlineStr">
        <is>
          <t xml:space="preserve">Bandhan Mutual Fund</t>
        </is>
      </c>
      <c r="B1261" t="inlineStr">
        <is>
          <t xml:space="preserve">Bandhan Income Plus Arbitrage Active FOF - Direct Plan - Quarterly IDCW</t>
        </is>
      </c>
      <c r="C1261" t="inlineStr">
        <is>
          <t xml:space="preserve">INF194K01V30</t>
        </is>
      </c>
    </row>
    <row r="1262">
      <c r="A1262" t="inlineStr">
        <is>
          <t xml:space="preserve">Bandhan Mutual Fund</t>
        </is>
      </c>
      <c r="B1262" t="inlineStr">
        <is>
          <t xml:space="preserve">Bandhan Income Plus Arbitrage Active FOF - Direct Plan - Weekly IDCW</t>
        </is>
      </c>
      <c r="C1262" t="inlineStr">
        <is>
          <t xml:space="preserve">INF194K01V71</t>
        </is>
      </c>
    </row>
    <row r="1263">
      <c r="A1263" t="inlineStr">
        <is>
          <t xml:space="preserve">Bandhan Mutual Fund</t>
        </is>
      </c>
      <c r="B1263" t="inlineStr">
        <is>
          <t xml:space="preserve">Bandhan Income Plus Arbitrage Active FOF - Regular Plan - Annual IDCW</t>
        </is>
      </c>
      <c r="C1263" t="inlineStr">
        <is>
          <t xml:space="preserve">INF194K01SG0</t>
        </is>
      </c>
    </row>
    <row r="1264">
      <c r="A1264" t="inlineStr">
        <is>
          <t xml:space="preserve">Bandhan Mutual Fund</t>
        </is>
      </c>
      <c r="B1264" t="inlineStr">
        <is>
          <t xml:space="preserve">Bandhan Income Plus Arbitrage Active FOF - Regular Plan - Daily IDCW</t>
        </is>
      </c>
      <c r="C1264" t="inlineStr">
        <is>
          <t xml:space="preserve">INF194K01F55</t>
        </is>
      </c>
    </row>
    <row r="1265">
      <c r="A1265" t="inlineStr">
        <is>
          <t xml:space="preserve">Bandhan Mutual Fund</t>
        </is>
      </c>
      <c r="B1265" t="inlineStr">
        <is>
          <t xml:space="preserve">Bandhan Income Plus Arbitrage Active FOF - Regular Plan - Fortnightly IDCW</t>
        </is>
      </c>
      <c r="C1265" t="inlineStr">
        <is>
          <t xml:space="preserve">INF194K01SM8</t>
        </is>
      </c>
    </row>
    <row r="1266">
      <c r="A1266" t="inlineStr">
        <is>
          <t xml:space="preserve">Bandhan Mutual Fund</t>
        </is>
      </c>
      <c r="B1266" t="inlineStr">
        <is>
          <t xml:space="preserve">Bandhan Income Plus Arbitrage Active FOF - Regular Plan - Growth</t>
        </is>
      </c>
      <c r="C1266" t="inlineStr">
        <is>
          <t xml:space="preserve">INF194K01SE5</t>
        </is>
      </c>
    </row>
    <row r="1267">
      <c r="A1267" t="inlineStr">
        <is>
          <t xml:space="preserve">Bandhan Mutual Fund</t>
        </is>
      </c>
      <c r="B1267" t="inlineStr">
        <is>
          <t xml:space="preserve">Bandhan Income Plus Arbitrage Active FOF - Regular Plan - Half Yearly IDCW</t>
        </is>
      </c>
      <c r="C1267" t="inlineStr">
        <is>
          <t xml:space="preserve">INF194K01SI6</t>
        </is>
      </c>
    </row>
    <row r="1268">
      <c r="A1268" t="inlineStr">
        <is>
          <t xml:space="preserve">Bandhan Mutual Fund</t>
        </is>
      </c>
      <c r="B1268" t="inlineStr">
        <is>
          <t xml:space="preserve">Bandhan Income Plus Arbitrage Active FOF - Regular Plan - Periodic IDCW</t>
        </is>
      </c>
      <c r="C1268" t="inlineStr">
        <is>
          <t xml:space="preserve">INF194KA1TS0</t>
        </is>
      </c>
    </row>
    <row r="1269">
      <c r="A1269" t="inlineStr">
        <is>
          <t xml:space="preserve">Bandhan Mutual Fund</t>
        </is>
      </c>
      <c r="B1269" t="inlineStr">
        <is>
          <t xml:space="preserve">Bandhan Income Plus Arbitrage Active FOF - Regular Plan - Quarterly IDCW</t>
        </is>
      </c>
      <c r="C1269" t="inlineStr">
        <is>
          <t xml:space="preserve">INF194K01SK2</t>
        </is>
      </c>
    </row>
    <row r="1270">
      <c r="A1270" t="inlineStr">
        <is>
          <t xml:space="preserve">Bandhan Mutual Fund</t>
        </is>
      </c>
      <c r="B1270" t="inlineStr">
        <is>
          <t xml:space="preserve">Bandhan Income Plus Arbitrage Active FOF - Regular Plan - Weekly IDCW</t>
        </is>
      </c>
      <c r="C1270" t="inlineStr">
        <is>
          <t xml:space="preserve">INF194K01F63</t>
        </is>
      </c>
    </row>
    <row r="1271">
      <c r="A1271" t="inlineStr">
        <is>
          <t xml:space="preserve">Bandhan Mutual Fund</t>
        </is>
      </c>
      <c r="B1271" t="inlineStr">
        <is>
          <t xml:space="preserve">BANDHAN Infrastructure Fund - Regular Plan - Growth</t>
        </is>
      </c>
      <c r="C1271" t="inlineStr">
        <is>
          <t xml:space="preserve">INF194K01BY9</t>
        </is>
      </c>
    </row>
    <row r="1272">
      <c r="A1272" t="inlineStr">
        <is>
          <t xml:space="preserve">Bandhan Mutual Fund</t>
        </is>
      </c>
      <c r="B1272" t="inlineStr">
        <is>
          <t xml:space="preserve">BANDHAN Infrastructure Fund - Regular Plan - IDCW</t>
        </is>
      </c>
      <c r="C1272" t="inlineStr">
        <is>
          <t xml:space="preserve">INF194K01BZ6</t>
        </is>
      </c>
    </row>
    <row r="1273">
      <c r="A1273" t="inlineStr">
        <is>
          <t xml:space="preserve">Bandhan Mutual Fund</t>
        </is>
      </c>
      <c r="B1273" t="inlineStr">
        <is>
          <t xml:space="preserve">BANDHAN Infrastructure Fund-Direct Plan-Growth</t>
        </is>
      </c>
      <c r="C1273" t="inlineStr">
        <is>
          <t xml:space="preserve">INF194K01X46</t>
        </is>
      </c>
    </row>
    <row r="1274">
      <c r="A1274" t="inlineStr">
        <is>
          <t xml:space="preserve">Bandhan Mutual Fund</t>
        </is>
      </c>
      <c r="B1274" t="inlineStr">
        <is>
          <t xml:space="preserve">BANDHAN Infrastructure Fund-Direct Plan-IDCW</t>
        </is>
      </c>
      <c r="C1274" t="inlineStr">
        <is>
          <t xml:space="preserve">INF194K01X53</t>
        </is>
      </c>
    </row>
    <row r="1275">
      <c r="A1275" t="inlineStr">
        <is>
          <t xml:space="preserve">Bandhan Mutual Fund</t>
        </is>
      </c>
      <c r="B1275" t="inlineStr">
        <is>
          <t xml:space="preserve">Bandhan Innovation Fund - Direct Plan - Growth</t>
        </is>
      </c>
      <c r="C1275" t="inlineStr">
        <is>
          <t xml:space="preserve">INF194KB1IE2</t>
        </is>
      </c>
    </row>
    <row r="1276">
      <c r="A1276" t="inlineStr">
        <is>
          <t xml:space="preserve">Bandhan Mutual Fund</t>
        </is>
      </c>
      <c r="B1276" t="inlineStr">
        <is>
          <t xml:space="preserve">Bandhan Innovation Fund - Direct Plan - IDCW</t>
        </is>
      </c>
      <c r="C1276" t="inlineStr">
        <is>
          <t xml:space="preserve">INF194KB1IF9</t>
        </is>
      </c>
    </row>
    <row r="1277">
      <c r="A1277" t="inlineStr">
        <is>
          <t xml:space="preserve">Bandhan Mutual Fund</t>
        </is>
      </c>
      <c r="B1277" t="inlineStr">
        <is>
          <t xml:space="preserve">Bandhan Innovation Fund - Regular Plan - Growth</t>
        </is>
      </c>
      <c r="C1277" t="inlineStr">
        <is>
          <t xml:space="preserve">INF194KB1IB8</t>
        </is>
      </c>
    </row>
    <row r="1278">
      <c r="A1278" t="inlineStr">
        <is>
          <t xml:space="preserve">Bandhan Mutual Fund</t>
        </is>
      </c>
      <c r="B1278" t="inlineStr">
        <is>
          <t xml:space="preserve">Bandhan Innovation Fund - Regular Plan - IDCW</t>
        </is>
      </c>
      <c r="C1278" t="inlineStr">
        <is>
          <t xml:space="preserve">INF194KB1IC6</t>
        </is>
      </c>
    </row>
    <row r="1279">
      <c r="A1279" t="inlineStr">
        <is>
          <t xml:space="preserve">Bandhan Mutual Fund</t>
        </is>
      </c>
      <c r="B1279" t="inlineStr">
        <is>
          <t xml:space="preserve">Bandhan Large &amp; Mid Cap Fund - Direct Plan - Growth</t>
        </is>
      </c>
      <c r="C1279" t="inlineStr">
        <is>
          <t xml:space="preserve">INF194K01V89</t>
        </is>
      </c>
    </row>
    <row r="1280">
      <c r="A1280" t="inlineStr">
        <is>
          <t xml:space="preserve">Bandhan Mutual Fund</t>
        </is>
      </c>
      <c r="B1280" t="inlineStr">
        <is>
          <t xml:space="preserve">Bandhan Large &amp; Mid Cap Fund - Direct Plan - IDCW</t>
        </is>
      </c>
      <c r="C1280" t="inlineStr">
        <is>
          <t xml:space="preserve">INF194K01V97</t>
        </is>
      </c>
    </row>
    <row r="1281">
      <c r="A1281" t="inlineStr">
        <is>
          <t xml:space="preserve">Bandhan Mutual Fund</t>
        </is>
      </c>
      <c r="B1281" t="inlineStr">
        <is>
          <t xml:space="preserve">Bandhan Large &amp; Mid Cap Fund - Regular Plan - Growth</t>
        </is>
      </c>
      <c r="C1281" t="inlineStr">
        <is>
          <t xml:space="preserve">INF194K01524</t>
        </is>
      </c>
    </row>
    <row r="1282">
      <c r="A1282" t="inlineStr">
        <is>
          <t xml:space="preserve">Bandhan Mutual Fund</t>
        </is>
      </c>
      <c r="B1282" t="inlineStr">
        <is>
          <t xml:space="preserve">Bandhan Large &amp; Mid Cap Fund - Regular Plan - IDCW</t>
        </is>
      </c>
      <c r="C1282" t="inlineStr">
        <is>
          <t xml:space="preserve">INF194K01532</t>
        </is>
      </c>
    </row>
    <row r="1283">
      <c r="A1283" t="inlineStr">
        <is>
          <t xml:space="preserve">Bandhan Mutual Fund</t>
        </is>
      </c>
      <c r="B1283" t="inlineStr">
        <is>
          <t xml:space="preserve">BANDHAN Large Cap Fund - Regular Plan - Growth</t>
        </is>
      </c>
      <c r="C1283" t="inlineStr">
        <is>
          <t xml:space="preserve">INF194K01516</t>
        </is>
      </c>
    </row>
    <row r="1284">
      <c r="A1284" t="inlineStr">
        <is>
          <t xml:space="preserve">Bandhan Mutual Fund</t>
        </is>
      </c>
      <c r="B1284" t="inlineStr">
        <is>
          <t xml:space="preserve">BANDHAN Large Cap Fund - Regular Plan - IDCW</t>
        </is>
      </c>
      <c r="C1284" t="inlineStr">
        <is>
          <t xml:space="preserve">INF194K01490</t>
        </is>
      </c>
    </row>
    <row r="1285">
      <c r="A1285" t="inlineStr">
        <is>
          <t xml:space="preserve">Bandhan Mutual Fund</t>
        </is>
      </c>
      <c r="B1285" t="inlineStr">
        <is>
          <t xml:space="preserve">BANDHAN Large Cap Fund-Direct Plan-Growth</t>
        </is>
      </c>
      <c r="C1285" t="inlineStr">
        <is>
          <t xml:space="preserve">INF194K01Z44</t>
        </is>
      </c>
    </row>
    <row r="1286">
      <c r="A1286" t="inlineStr">
        <is>
          <t xml:space="preserve">Bandhan Mutual Fund</t>
        </is>
      </c>
      <c r="B1286" t="inlineStr">
        <is>
          <t xml:space="preserve">BANDHAN Large Cap Fund-Direct Plan-IDCW</t>
        </is>
      </c>
      <c r="C1286" t="inlineStr">
        <is>
          <t xml:space="preserve">INF194K01Z51</t>
        </is>
      </c>
    </row>
    <row r="1287">
      <c r="A1287" t="inlineStr">
        <is>
          <t xml:space="preserve">Bandhan Mutual Fund</t>
        </is>
      </c>
      <c r="B1287" t="inlineStr">
        <is>
          <t xml:space="preserve">BANDHAN LIQUID FUND - Inst Plan B - Periodic Div</t>
        </is>
      </c>
      <c r="C1287" t="inlineStr">
        <is>
          <t xml:space="preserve">INF194K01VP5</t>
        </is>
      </c>
    </row>
    <row r="1288">
      <c r="A1288" t="inlineStr">
        <is>
          <t xml:space="preserve">Bandhan Mutual Fund</t>
        </is>
      </c>
      <c r="B1288" t="inlineStr">
        <is>
          <t xml:space="preserve">BANDHAN LIQUID Fund - Regular Plan - Daily IDCW</t>
        </is>
      </c>
      <c r="C1288" t="inlineStr">
        <is>
          <t xml:space="preserve">INF194K01VZ4</t>
        </is>
      </c>
    </row>
    <row r="1289">
      <c r="A1289" t="inlineStr">
        <is>
          <t xml:space="preserve">Bandhan Mutual Fund</t>
        </is>
      </c>
      <c r="B1289" t="inlineStr">
        <is>
          <t xml:space="preserve">BANDHAN LIQUID Fund - Regular Plan - Growth</t>
        </is>
      </c>
      <c r="C1289" t="inlineStr">
        <is>
          <t xml:space="preserve">INF194K01VX9</t>
        </is>
      </c>
    </row>
    <row r="1290">
      <c r="A1290" t="inlineStr">
        <is>
          <t xml:space="preserve">Bandhan Mutual Fund</t>
        </is>
      </c>
      <c r="B1290" t="inlineStr">
        <is>
          <t xml:space="preserve">BANDHAN LIQUID Fund - Regular Plan - Monthly IDCW</t>
        </is>
      </c>
      <c r="C1290" t="inlineStr">
        <is>
          <t xml:space="preserve">INF194K01WF4</t>
        </is>
      </c>
    </row>
    <row r="1291">
      <c r="A1291" t="inlineStr">
        <is>
          <t xml:space="preserve">Bandhan Mutual Fund</t>
        </is>
      </c>
      <c r="B1291" t="inlineStr">
        <is>
          <t xml:space="preserve">BANDHAN LIQUID Fund - Regular Plan - Periodic IDCW</t>
        </is>
      </c>
      <c r="C1291" t="inlineStr">
        <is>
          <t xml:space="preserve">INF194K01WC1</t>
        </is>
      </c>
    </row>
    <row r="1292">
      <c r="A1292" t="inlineStr">
        <is>
          <t xml:space="preserve">Bandhan Mutual Fund</t>
        </is>
      </c>
      <c r="B1292" t="inlineStr">
        <is>
          <t xml:space="preserve">BANDHAN LIQUID Fund - Regular Plan - Weekly IDCW</t>
        </is>
      </c>
      <c r="C1292" t="inlineStr">
        <is>
          <t xml:space="preserve">INF194K01WI8</t>
        </is>
      </c>
    </row>
    <row r="1293">
      <c r="A1293" t="inlineStr">
        <is>
          <t xml:space="preserve">Bandhan Mutual Fund</t>
        </is>
      </c>
      <c r="B1293" t="inlineStr">
        <is>
          <t xml:space="preserve">BANDHAN LIQUID Fund - Unclaimed IDCW Less than 3 years</t>
        </is>
      </c>
      <c r="C1293" t="inlineStr">
        <is>
          <t xml:space="preserve">INF194KA14C0</t>
        </is>
      </c>
    </row>
    <row r="1294">
      <c r="A1294" t="inlineStr">
        <is>
          <t xml:space="preserve">Bandhan Mutual Fund</t>
        </is>
      </c>
      <c r="B1294" t="inlineStr">
        <is>
          <t xml:space="preserve">BANDHAN LIQUID Fund - Unclaimed IDCW More than 3 years</t>
        </is>
      </c>
      <c r="C1294" t="inlineStr">
        <is>
          <t xml:space="preserve">INF194KA15C7</t>
        </is>
      </c>
    </row>
    <row r="1295">
      <c r="A1295" t="inlineStr">
        <is>
          <t xml:space="preserve">Bandhan Mutual Fund</t>
        </is>
      </c>
      <c r="B1295" t="inlineStr">
        <is>
          <t xml:space="preserve">BANDHAN LIQUID Fund - Unclaimed Redemption Less than 3 years</t>
        </is>
      </c>
      <c r="C1295" t="inlineStr">
        <is>
          <t xml:space="preserve">INF194KA12C4</t>
        </is>
      </c>
    </row>
    <row r="1296">
      <c r="A1296" t="inlineStr">
        <is>
          <t xml:space="preserve">Bandhan Mutual Fund</t>
        </is>
      </c>
      <c r="B1296" t="inlineStr">
        <is>
          <t xml:space="preserve">BANDHAN LIQUID Fund - Unclaimed Redemption More than 3 years</t>
        </is>
      </c>
      <c r="C1296" t="inlineStr">
        <is>
          <t xml:space="preserve">INF194KA13C2</t>
        </is>
      </c>
    </row>
    <row r="1297">
      <c r="A1297" t="inlineStr">
        <is>
          <t xml:space="preserve">Bandhan Mutual Fund</t>
        </is>
      </c>
      <c r="B1297" t="inlineStr">
        <is>
          <t xml:space="preserve">BANDHAN LIQUID Fund -Direct Plan -Monthly IDCW</t>
        </is>
      </c>
      <c r="C1297" t="inlineStr">
        <is>
          <t xml:space="preserve">INF194K01J36</t>
        </is>
      </c>
    </row>
    <row r="1298">
      <c r="A1298" t="inlineStr">
        <is>
          <t xml:space="preserve">Bandhan Mutual Fund</t>
        </is>
      </c>
      <c r="B1298" t="inlineStr">
        <is>
          <t xml:space="preserve">BANDHAN LIQUID Fund -Direct Plan -Weekly IDCW</t>
        </is>
      </c>
      <c r="C1298" t="inlineStr">
        <is>
          <t xml:space="preserve">INF194KB1JT8</t>
        </is>
      </c>
    </row>
    <row r="1299">
      <c r="A1299" t="inlineStr">
        <is>
          <t xml:space="preserve">Bandhan Mutual Fund</t>
        </is>
      </c>
      <c r="B1299" t="inlineStr">
        <is>
          <t xml:space="preserve">BANDHAN LIQUID Fund -Direct Plan-Daily IDCW</t>
        </is>
      </c>
      <c r="C1299" t="inlineStr">
        <is>
          <t xml:space="preserve">INF194K01I78</t>
        </is>
      </c>
    </row>
    <row r="1300">
      <c r="A1300" t="inlineStr">
        <is>
          <t xml:space="preserve">Bandhan Mutual Fund</t>
        </is>
      </c>
      <c r="B1300" t="inlineStr">
        <is>
          <t xml:space="preserve">BANDHAN LIQUID Fund -Direct Plan-Growth</t>
        </is>
      </c>
      <c r="C1300" t="inlineStr">
        <is>
          <t xml:space="preserve">INF194K01I60</t>
        </is>
      </c>
    </row>
    <row r="1301">
      <c r="A1301" t="inlineStr">
        <is>
          <t xml:space="preserve">Bandhan Mutual Fund</t>
        </is>
      </c>
      <c r="B1301" t="inlineStr">
        <is>
          <t xml:space="preserve">BANDHAN LIQUID Fund -Direct Plan-Periodic IDCW</t>
        </is>
      </c>
      <c r="C1301" t="inlineStr">
        <is>
          <t xml:space="preserve">INF194K01J02</t>
        </is>
      </c>
    </row>
    <row r="1302">
      <c r="A1302" t="inlineStr">
        <is>
          <t xml:space="preserve">Bandhan Mutual Fund</t>
        </is>
      </c>
      <c r="B1302" t="inlineStr">
        <is>
          <t xml:space="preserve">Bandhan Long Duration Fund - Direct Plan - Growth</t>
        </is>
      </c>
      <c r="C1302" t="inlineStr">
        <is>
          <t xml:space="preserve">INF194KB1HY2</t>
        </is>
      </c>
    </row>
    <row r="1303">
      <c r="A1303" t="inlineStr">
        <is>
          <t xml:space="preserve">Bandhan Mutual Fund</t>
        </is>
      </c>
      <c r="B1303" t="inlineStr">
        <is>
          <t xml:space="preserve">Bandhan Long Duration Fund - Direct Plan - IDCW</t>
        </is>
      </c>
      <c r="C1303" t="inlineStr">
        <is>
          <t xml:space="preserve">INF194KB1HZ9</t>
        </is>
      </c>
    </row>
    <row r="1304">
      <c r="A1304" t="inlineStr">
        <is>
          <t xml:space="preserve">Bandhan Mutual Fund</t>
        </is>
      </c>
      <c r="B1304" t="inlineStr">
        <is>
          <t xml:space="preserve">Bandhan Long Duration Fund - Regular Plan - Growth</t>
        </is>
      </c>
      <c r="C1304" t="inlineStr">
        <is>
          <t xml:space="preserve">INF194KB1HV8</t>
        </is>
      </c>
    </row>
    <row r="1305">
      <c r="A1305" t="inlineStr">
        <is>
          <t xml:space="preserve">Bandhan Mutual Fund</t>
        </is>
      </c>
      <c r="B1305" t="inlineStr">
        <is>
          <t xml:space="preserve">Bandhan Long Duration Fund - Regular Plan - IDCW</t>
        </is>
      </c>
      <c r="C1305" t="inlineStr">
        <is>
          <t xml:space="preserve">INF194KB1HW6</t>
        </is>
      </c>
    </row>
    <row r="1306">
      <c r="A1306" t="inlineStr">
        <is>
          <t xml:space="preserve">Bandhan Mutual Fund</t>
        </is>
      </c>
      <c r="B1306" t="inlineStr">
        <is>
          <t xml:space="preserve">BANDHAN Low Duration Fund - Regular Plan - Daily IDCW</t>
        </is>
      </c>
      <c r="C1306" t="inlineStr">
        <is>
          <t xml:space="preserve">INF194K01FW4</t>
        </is>
      </c>
    </row>
    <row r="1307">
      <c r="A1307" t="inlineStr">
        <is>
          <t xml:space="preserve">Bandhan Mutual Fund</t>
        </is>
      </c>
      <c r="B1307" t="inlineStr">
        <is>
          <t xml:space="preserve">BANDHAN Low Duration Fund - Regular Plan - Growth</t>
        </is>
      </c>
      <c r="C1307" t="inlineStr">
        <is>
          <t xml:space="preserve">INF194K01FU8</t>
        </is>
      </c>
    </row>
    <row r="1308">
      <c r="A1308" t="inlineStr">
        <is>
          <t xml:space="preserve">Bandhan Mutual Fund</t>
        </is>
      </c>
      <c r="B1308" t="inlineStr">
        <is>
          <t xml:space="preserve">BANDHAN Low Duration Fund - Regular Plan - Monthly IDCW</t>
        </is>
      </c>
      <c r="C1308" t="inlineStr">
        <is>
          <t xml:space="preserve">INF194K01FZ7</t>
        </is>
      </c>
    </row>
    <row r="1309">
      <c r="A1309" t="inlineStr">
        <is>
          <t xml:space="preserve">Bandhan Mutual Fund</t>
        </is>
      </c>
      <c r="B1309" t="inlineStr">
        <is>
          <t xml:space="preserve">BANDHAN Low Duration Fund - Regular Plan - Periodic IDCW</t>
        </is>
      </c>
      <c r="C1309" t="inlineStr">
        <is>
          <t xml:space="preserve">INF194K01I29</t>
        </is>
      </c>
    </row>
    <row r="1310">
      <c r="A1310" t="inlineStr">
        <is>
          <t xml:space="preserve">Bandhan Mutual Fund</t>
        </is>
      </c>
      <c r="B1310" t="inlineStr">
        <is>
          <t xml:space="preserve">BANDHAN Low Duration Fund - Regular Plan - Quarterly IDCW</t>
        </is>
      </c>
      <c r="C1310" t="inlineStr">
        <is>
          <t xml:space="preserve">INF194K01UR3</t>
        </is>
      </c>
    </row>
    <row r="1311">
      <c r="A1311" t="inlineStr">
        <is>
          <t xml:space="preserve">Bandhan Mutual Fund</t>
        </is>
      </c>
      <c r="B1311" t="inlineStr">
        <is>
          <t xml:space="preserve">BANDHAN Low Duration Fund - Regular Plan - Weekly IDCW</t>
        </is>
      </c>
      <c r="C1311" t="inlineStr">
        <is>
          <t xml:space="preserve">INF194K01GC4</t>
        </is>
      </c>
    </row>
    <row r="1312">
      <c r="A1312" t="inlineStr">
        <is>
          <t xml:space="preserve">Bandhan Mutual Fund</t>
        </is>
      </c>
      <c r="B1312" t="inlineStr">
        <is>
          <t xml:space="preserve">BANDHAN Low Duration Fund-Direct Plan-Daily IDCW</t>
        </is>
      </c>
      <c r="C1312" t="inlineStr">
        <is>
          <t xml:space="preserve">INF194K01J85</t>
        </is>
      </c>
    </row>
    <row r="1313">
      <c r="A1313" t="inlineStr">
        <is>
          <t xml:space="preserve">Bandhan Mutual Fund</t>
        </is>
      </c>
      <c r="B1313" t="inlineStr">
        <is>
          <t xml:space="preserve">BANDHAN Low Duration Fund-Direct Plan-Growth</t>
        </is>
      </c>
      <c r="C1313" t="inlineStr">
        <is>
          <t xml:space="preserve">INF194K01J77</t>
        </is>
      </c>
    </row>
    <row r="1314">
      <c r="A1314" t="inlineStr">
        <is>
          <t xml:space="preserve">Bandhan Mutual Fund</t>
        </is>
      </c>
      <c r="B1314" t="inlineStr">
        <is>
          <t xml:space="preserve">BANDHAN Low Duration Fund-Direct Plan-Monthly IDCW</t>
        </is>
      </c>
      <c r="C1314" t="inlineStr">
        <is>
          <t xml:space="preserve">INF194K01K17</t>
        </is>
      </c>
    </row>
    <row r="1315">
      <c r="A1315" t="inlineStr">
        <is>
          <t xml:space="preserve">Bandhan Mutual Fund</t>
        </is>
      </c>
      <c r="B1315" t="inlineStr">
        <is>
          <t xml:space="preserve">BANDHAN Low Duration Fund-Direct Plan-Periodic IDCW</t>
        </is>
      </c>
      <c r="C1315" t="inlineStr">
        <is>
          <t xml:space="preserve">INF194K01K82</t>
        </is>
      </c>
    </row>
    <row r="1316">
      <c r="A1316" t="inlineStr">
        <is>
          <t xml:space="preserve">Bandhan Mutual Fund</t>
        </is>
      </c>
      <c r="B1316" t="inlineStr">
        <is>
          <t xml:space="preserve">BANDHAN Low Duration Fund-Direct Plan-Quarterly IDCW</t>
        </is>
      </c>
      <c r="C1316" t="inlineStr">
        <is>
          <t xml:space="preserve">INF194K01K58</t>
        </is>
      </c>
    </row>
    <row r="1317">
      <c r="A1317" t="inlineStr">
        <is>
          <t xml:space="preserve">Bandhan Mutual Fund</t>
        </is>
      </c>
      <c r="B1317" t="inlineStr">
        <is>
          <t xml:space="preserve">BANDHAN Low Duration Fund-Direct Plan-Weekly IDCW</t>
        </is>
      </c>
      <c r="C1317" t="inlineStr">
        <is>
          <t xml:space="preserve">INF194K01K33</t>
        </is>
      </c>
    </row>
    <row r="1318">
      <c r="A1318" t="inlineStr">
        <is>
          <t xml:space="preserve">Bandhan Mutual Fund</t>
        </is>
      </c>
      <c r="B1318" t="inlineStr">
        <is>
          <t xml:space="preserve">Bandhan Medium Duration Fund - Direct Plan - Bi Monthly IDCW</t>
        </is>
      </c>
      <c r="C1318" t="inlineStr">
        <is>
          <t xml:space="preserve">INF194K01T59</t>
        </is>
      </c>
    </row>
    <row r="1319">
      <c r="A1319" t="inlineStr">
        <is>
          <t xml:space="preserve">Bandhan Mutual Fund</t>
        </is>
      </c>
      <c r="B1319" t="inlineStr">
        <is>
          <t xml:space="preserve">Bandhan Medium Duration Fund - Direct Plan - Daily IDCW</t>
        </is>
      </c>
      <c r="C1319" t="inlineStr">
        <is>
          <t xml:space="preserve">INF194K01S68</t>
        </is>
      </c>
    </row>
    <row r="1320">
      <c r="A1320" t="inlineStr">
        <is>
          <t xml:space="preserve">Bandhan Mutual Fund</t>
        </is>
      </c>
      <c r="B1320" t="inlineStr">
        <is>
          <t xml:space="preserve">Bandhan Medium Duration Fund - Direct Plan - Fortnightly IDCW</t>
        </is>
      </c>
      <c r="C1320" t="inlineStr">
        <is>
          <t xml:space="preserve">INF194K01T83</t>
        </is>
      </c>
    </row>
    <row r="1321">
      <c r="A1321" t="inlineStr">
        <is>
          <t xml:space="preserve">Bandhan Mutual Fund</t>
        </is>
      </c>
      <c r="B1321" t="inlineStr">
        <is>
          <t xml:space="preserve">Bandhan Medium Duration Fund - Direct Plan - Growth</t>
        </is>
      </c>
      <c r="C1321" t="inlineStr">
        <is>
          <t xml:space="preserve">INF194K01S50</t>
        </is>
      </c>
    </row>
    <row r="1322">
      <c r="A1322" t="inlineStr">
        <is>
          <t xml:space="preserve">Bandhan Mutual Fund</t>
        </is>
      </c>
      <c r="B1322" t="inlineStr">
        <is>
          <t xml:space="preserve">Bandhan Medium Duration Fund - Direct Plan - Monthly IDCW</t>
        </is>
      </c>
      <c r="C1322" t="inlineStr">
        <is>
          <t xml:space="preserve">INF194K01T26</t>
        </is>
      </c>
    </row>
    <row r="1323">
      <c r="A1323" t="inlineStr">
        <is>
          <t xml:space="preserve">Bandhan Mutual Fund</t>
        </is>
      </c>
      <c r="B1323" t="inlineStr">
        <is>
          <t xml:space="preserve">Bandhan Medium Duration Fund - Direct Plan - Periodic IDCW</t>
        </is>
      </c>
      <c r="C1323" t="inlineStr">
        <is>
          <t xml:space="preserve">INF194KA1TD2</t>
        </is>
      </c>
    </row>
    <row r="1324">
      <c r="A1324" t="inlineStr">
        <is>
          <t xml:space="preserve">Bandhan Mutual Fund</t>
        </is>
      </c>
      <c r="B1324" t="inlineStr">
        <is>
          <t xml:space="preserve">Bandhan Medium Duration Fund - Direct Plan - Quarterly IDCW</t>
        </is>
      </c>
      <c r="C1324" t="inlineStr">
        <is>
          <t xml:space="preserve">INF194K01S92</t>
        </is>
      </c>
    </row>
    <row r="1325">
      <c r="A1325" t="inlineStr">
        <is>
          <t xml:space="preserve">Bandhan Mutual Fund</t>
        </is>
      </c>
      <c r="B1325" t="inlineStr">
        <is>
          <t xml:space="preserve">Bandhan Medium Duration Fund - Regular Plan - Bi-Monthly IDCW</t>
        </is>
      </c>
      <c r="C1325" t="inlineStr">
        <is>
          <t xml:space="preserve">INF194K01KF9</t>
        </is>
      </c>
    </row>
    <row r="1326">
      <c r="A1326" t="inlineStr">
        <is>
          <t xml:space="preserve">Bandhan Mutual Fund</t>
        </is>
      </c>
      <c r="B1326" t="inlineStr">
        <is>
          <t xml:space="preserve">Bandhan Medium Duration Fund - Regular Plan - Daily IDCW</t>
        </is>
      </c>
      <c r="C1326" t="inlineStr">
        <is>
          <t xml:space="preserve">INF194K01JW6</t>
        </is>
      </c>
    </row>
    <row r="1327">
      <c r="A1327" t="inlineStr">
        <is>
          <t xml:space="preserve">Bandhan Mutual Fund</t>
        </is>
      </c>
      <c r="B1327" t="inlineStr">
        <is>
          <t xml:space="preserve">Bandhan Medium Duration Fund - Regular Plan - Fortnightly IDCW</t>
        </is>
      </c>
      <c r="C1327" t="inlineStr">
        <is>
          <t xml:space="preserve">INF194K01KI3</t>
        </is>
      </c>
    </row>
    <row r="1328">
      <c r="A1328" t="inlineStr">
        <is>
          <t xml:space="preserve">Bandhan Mutual Fund</t>
        </is>
      </c>
      <c r="B1328" t="inlineStr">
        <is>
          <t xml:space="preserve">Bandhan Medium Duration Fund - Regular Plan - Growth</t>
        </is>
      </c>
      <c r="C1328" t="inlineStr">
        <is>
          <t xml:space="preserve">INF194K01JU0</t>
        </is>
      </c>
    </row>
    <row r="1329">
      <c r="A1329" t="inlineStr">
        <is>
          <t xml:space="preserve">Bandhan Mutual Fund</t>
        </is>
      </c>
      <c r="B1329" t="inlineStr">
        <is>
          <t xml:space="preserve">Bandhan Medium Duration Fund - Regular Plan - Monthly IDCW</t>
        </is>
      </c>
      <c r="C1329" t="inlineStr">
        <is>
          <t xml:space="preserve">INF194K01KC6</t>
        </is>
      </c>
    </row>
    <row r="1330">
      <c r="A1330" t="inlineStr">
        <is>
          <t xml:space="preserve">Bandhan Mutual Fund</t>
        </is>
      </c>
      <c r="B1330" t="inlineStr">
        <is>
          <t xml:space="preserve">Bandhan Medium Duration Fund - Regular Plan - Periodic IDCW</t>
        </is>
      </c>
      <c r="C1330" t="inlineStr">
        <is>
          <t xml:space="preserve">INF194KA1TA8</t>
        </is>
      </c>
    </row>
    <row r="1331">
      <c r="A1331" t="inlineStr">
        <is>
          <t xml:space="preserve">Bandhan Mutual Fund</t>
        </is>
      </c>
      <c r="B1331" t="inlineStr">
        <is>
          <t xml:space="preserve">Bandhan Medium Duration Fund - Regular Plan - Quarterly IDCW</t>
        </is>
      </c>
      <c r="C1331" t="inlineStr">
        <is>
          <t xml:space="preserve">INF194K01JZ9</t>
        </is>
      </c>
    </row>
    <row r="1332">
      <c r="A1332" t="inlineStr">
        <is>
          <t xml:space="preserve">Bandhan Mutual Fund</t>
        </is>
      </c>
      <c r="B1332" t="inlineStr">
        <is>
          <t xml:space="preserve">Bandhan Medium to Long Duration Fund - Direct Plan - Annual IDCW</t>
        </is>
      </c>
      <c r="C1332" t="inlineStr">
        <is>
          <t xml:space="preserve">INF194K01R77</t>
        </is>
      </c>
    </row>
    <row r="1333">
      <c r="A1333" t="inlineStr">
        <is>
          <t xml:space="preserve">Bandhan Mutual Fund</t>
        </is>
      </c>
      <c r="B1333" t="inlineStr">
        <is>
          <t xml:space="preserve">Bandhan Medium to Long Duration Fund - Direct Plan - Growth</t>
        </is>
      </c>
      <c r="C1333" t="inlineStr">
        <is>
          <t xml:space="preserve">INF194K01R51</t>
        </is>
      </c>
    </row>
    <row r="1334">
      <c r="A1334" t="inlineStr">
        <is>
          <t xml:space="preserve">Bandhan Mutual Fund</t>
        </is>
      </c>
      <c r="B1334" t="inlineStr">
        <is>
          <t xml:space="preserve">Bandhan Medium to Long Duration Fund - Direct Plan - Half Yearly IDCW</t>
        </is>
      </c>
      <c r="C1334" t="inlineStr">
        <is>
          <t xml:space="preserve">INF194K01S01</t>
        </is>
      </c>
    </row>
    <row r="1335">
      <c r="A1335" t="inlineStr">
        <is>
          <t xml:space="preserve">Bandhan Mutual Fund</t>
        </is>
      </c>
      <c r="B1335" t="inlineStr">
        <is>
          <t xml:space="preserve">Bandhan Medium to Long Duration Fund - Direct Plan - Periodic IDCW</t>
        </is>
      </c>
      <c r="C1335" t="inlineStr">
        <is>
          <t xml:space="preserve">INF194KA1SX2</t>
        </is>
      </c>
    </row>
    <row r="1336">
      <c r="A1336" t="inlineStr">
        <is>
          <t xml:space="preserve">Bandhan Mutual Fund</t>
        </is>
      </c>
      <c r="B1336" t="inlineStr">
        <is>
          <t xml:space="preserve">Bandhan Medium to Long Duration Fund - Direct Plan - Quarterly IDCW</t>
        </is>
      </c>
      <c r="C1336" t="inlineStr">
        <is>
          <t xml:space="preserve">INF194K01S35</t>
        </is>
      </c>
    </row>
    <row r="1337">
      <c r="A1337" t="inlineStr">
        <is>
          <t xml:space="preserve">Bandhan Mutual Fund</t>
        </is>
      </c>
      <c r="B1337" t="inlineStr">
        <is>
          <t xml:space="preserve">Bandhan Medium to Long Duration Fund - Regular Plan - Annual IDCW</t>
        </is>
      </c>
      <c r="C1337" t="inlineStr">
        <is>
          <t xml:space="preserve">INF194K01IN7</t>
        </is>
      </c>
    </row>
    <row r="1338">
      <c r="A1338" t="inlineStr">
        <is>
          <t xml:space="preserve">Bandhan Mutual Fund</t>
        </is>
      </c>
      <c r="B1338" t="inlineStr">
        <is>
          <t xml:space="preserve">Bandhan Medium to Long Duration Fund - Regular Plan - Growth</t>
        </is>
      </c>
      <c r="C1338" t="inlineStr">
        <is>
          <t xml:space="preserve">INF194K01IL1</t>
        </is>
      </c>
    </row>
    <row r="1339">
      <c r="A1339" t="inlineStr">
        <is>
          <t xml:space="preserve">Bandhan Mutual Fund</t>
        </is>
      </c>
      <c r="B1339" t="inlineStr">
        <is>
          <t xml:space="preserve">Bandhan Medium to Long Duration Fund - Regular Plan - Half-yearly IDCW</t>
        </is>
      </c>
      <c r="C1339" t="inlineStr">
        <is>
          <t xml:space="preserve">INF194K01IQ0</t>
        </is>
      </c>
    </row>
    <row r="1340">
      <c r="A1340" t="inlineStr">
        <is>
          <t xml:space="preserve">Bandhan Mutual Fund</t>
        </is>
      </c>
      <c r="B1340" t="inlineStr">
        <is>
          <t xml:space="preserve">Bandhan Medium to Long Duration Fund - Regular Plan - Periodic IDCW</t>
        </is>
      </c>
      <c r="C1340" t="inlineStr">
        <is>
          <t xml:space="preserve">INF194KA1SU8</t>
        </is>
      </c>
    </row>
    <row r="1341">
      <c r="A1341" t="inlineStr">
        <is>
          <t xml:space="preserve">Bandhan Mutual Fund</t>
        </is>
      </c>
      <c r="B1341" t="inlineStr">
        <is>
          <t xml:space="preserve">Bandhan Medium to Long Duration Fund - Regular Plan - Quarterly IDCW</t>
        </is>
      </c>
      <c r="C1341" t="inlineStr">
        <is>
          <t xml:space="preserve">INF194K01IT4</t>
        </is>
      </c>
    </row>
    <row r="1342">
      <c r="A1342" t="inlineStr">
        <is>
          <t xml:space="preserve">Bandhan Mutual Fund</t>
        </is>
      </c>
      <c r="B1342" t="inlineStr">
        <is>
          <t xml:space="preserve">BANDHAN MIDCAP FUND - GROWTH - DIRECT PLAN</t>
        </is>
      </c>
      <c r="C1342" t="inlineStr">
        <is>
          <t xml:space="preserve">INF194KB1DJ2</t>
        </is>
      </c>
    </row>
    <row r="1343">
      <c r="A1343" t="inlineStr">
        <is>
          <t xml:space="preserve">Bandhan Mutual Fund</t>
        </is>
      </c>
      <c r="B1343" t="inlineStr">
        <is>
          <t xml:space="preserve">BANDHAN MIDCAP FUND - GROWTH - REGULAR PLAN</t>
        </is>
      </c>
      <c r="C1343" t="inlineStr">
        <is>
          <t xml:space="preserve">INF194KB1DM6</t>
        </is>
      </c>
    </row>
    <row r="1344">
      <c r="A1344" t="inlineStr">
        <is>
          <t xml:space="preserve">Bandhan Mutual Fund</t>
        </is>
      </c>
      <c r="B1344" t="inlineStr">
        <is>
          <t xml:space="preserve">BANDHAN MIDCAP FUND - IDCW - DIRECT PLAN</t>
        </is>
      </c>
      <c r="C1344" t="inlineStr">
        <is>
          <t xml:space="preserve">INF194KB1DK0</t>
        </is>
      </c>
    </row>
    <row r="1345">
      <c r="A1345" t="inlineStr">
        <is>
          <t xml:space="preserve">Bandhan Mutual Fund</t>
        </is>
      </c>
      <c r="B1345" t="inlineStr">
        <is>
          <t xml:space="preserve">BANDHAN MIDCAP FUND - IDCW - REGULAR PLAN</t>
        </is>
      </c>
      <c r="C1345" t="inlineStr">
        <is>
          <t xml:space="preserve">INF194KB1DN4</t>
        </is>
      </c>
    </row>
    <row r="1346">
      <c r="A1346" t="inlineStr">
        <is>
          <t xml:space="preserve">Bandhan Mutual Fund</t>
        </is>
      </c>
      <c r="B1346" t="inlineStr">
        <is>
          <t xml:space="preserve">BANDHAN Money Market Fund - Regular Plan - Daily IDCW</t>
        </is>
      </c>
      <c r="C1346" t="inlineStr">
        <is>
          <t xml:space="preserve">INF194K01LL5</t>
        </is>
      </c>
    </row>
    <row r="1347">
      <c r="A1347" t="inlineStr">
        <is>
          <t xml:space="preserve">Bandhan Mutual Fund</t>
        </is>
      </c>
      <c r="B1347" t="inlineStr">
        <is>
          <t xml:space="preserve">BANDHAN Money Market Fund - Regular Plan - Growth</t>
        </is>
      </c>
      <c r="C1347" t="inlineStr">
        <is>
          <t xml:space="preserve">INF194K01LJ9</t>
        </is>
      </c>
    </row>
    <row r="1348">
      <c r="A1348" t="inlineStr">
        <is>
          <t xml:space="preserve">Bandhan Mutual Fund</t>
        </is>
      </c>
      <c r="B1348" t="inlineStr">
        <is>
          <t xml:space="preserve">BANDHAN Money Market Fund - Regular Plan - Monthly IDCW</t>
        </is>
      </c>
      <c r="C1348" t="inlineStr">
        <is>
          <t xml:space="preserve">INF194K01LO9</t>
        </is>
      </c>
    </row>
    <row r="1349">
      <c r="A1349" t="inlineStr">
        <is>
          <t xml:space="preserve">Bandhan Mutual Fund</t>
        </is>
      </c>
      <c r="B1349" t="inlineStr">
        <is>
          <t xml:space="preserve">Bandhan Money Market Fund - Regular Plan - Periodic IDCW</t>
        </is>
      </c>
      <c r="C1349" t="inlineStr">
        <is>
          <t xml:space="preserve">INF194KA1TG5</t>
        </is>
      </c>
    </row>
    <row r="1350">
      <c r="A1350" t="inlineStr">
        <is>
          <t xml:space="preserve">Bandhan Mutual Fund</t>
        </is>
      </c>
      <c r="B1350" t="inlineStr">
        <is>
          <t xml:space="preserve">Bandhan Money Market Fund - Regular Plan - Weekly IDCW</t>
        </is>
      </c>
      <c r="C1350" t="inlineStr">
        <is>
          <t xml:space="preserve">INF194K01LR2</t>
        </is>
      </c>
    </row>
    <row r="1351">
      <c r="A1351" t="inlineStr">
        <is>
          <t xml:space="preserve">Bandhan Mutual Fund</t>
        </is>
      </c>
      <c r="B1351" t="inlineStr">
        <is>
          <t xml:space="preserve">Bandhan Money Market Fund -Direct Plan-Daily IDCW</t>
        </is>
      </c>
      <c r="C1351" t="inlineStr">
        <is>
          <t xml:space="preserve">INF194K01M98</t>
        </is>
      </c>
    </row>
    <row r="1352">
      <c r="A1352" t="inlineStr">
        <is>
          <t xml:space="preserve">Bandhan Mutual Fund</t>
        </is>
      </c>
      <c r="B1352" t="inlineStr">
        <is>
          <t xml:space="preserve">Bandhan Money Market Fund -Direct Plan-Growth</t>
        </is>
      </c>
      <c r="C1352" t="inlineStr">
        <is>
          <t xml:space="preserve">INF194K01M80</t>
        </is>
      </c>
    </row>
    <row r="1353">
      <c r="A1353" t="inlineStr">
        <is>
          <t xml:space="preserve">Bandhan Mutual Fund</t>
        </is>
      </c>
      <c r="B1353" t="inlineStr">
        <is>
          <t xml:space="preserve">Bandhan Money Market Fund -Direct Plan-Monthly IDCW</t>
        </is>
      </c>
      <c r="C1353" t="inlineStr">
        <is>
          <t xml:space="preserve">INF194K01N22</t>
        </is>
      </c>
    </row>
    <row r="1354">
      <c r="A1354" t="inlineStr">
        <is>
          <t xml:space="preserve">Bandhan Mutual Fund</t>
        </is>
      </c>
      <c r="B1354" t="inlineStr">
        <is>
          <t xml:space="preserve">Bandhan Money Market Fund -Direct Plan-Periodic IDCW</t>
        </is>
      </c>
      <c r="C1354" t="inlineStr">
        <is>
          <t xml:space="preserve">INF194KA1TJ9</t>
        </is>
      </c>
    </row>
    <row r="1355">
      <c r="A1355" t="inlineStr">
        <is>
          <t xml:space="preserve">Bandhan Mutual Fund</t>
        </is>
      </c>
      <c r="B1355" t="inlineStr">
        <is>
          <t xml:space="preserve">Bandhan Money Market Fund -Direct Plan-Weekly IDCW</t>
        </is>
      </c>
      <c r="C1355" t="inlineStr">
        <is>
          <t xml:space="preserve">INF194K01N48</t>
        </is>
      </c>
    </row>
    <row r="1356">
      <c r="A1356" t="inlineStr">
        <is>
          <t xml:space="preserve">Bandhan Mutual Fund</t>
        </is>
      </c>
      <c r="B1356" t="inlineStr">
        <is>
          <t xml:space="preserve">Bandhan Multi Asset Allocation Fund - Direct Plan - Growth</t>
        </is>
      </c>
      <c r="C1356" t="inlineStr">
        <is>
          <t xml:space="preserve">INF194KB1HM7</t>
        </is>
      </c>
    </row>
    <row r="1357">
      <c r="A1357" t="inlineStr">
        <is>
          <t xml:space="preserve">Bandhan Mutual Fund</t>
        </is>
      </c>
      <c r="B1357" t="inlineStr">
        <is>
          <t xml:space="preserve">Bandhan Multi Asset Allocation Fund - Direct Plan - IDCW</t>
        </is>
      </c>
      <c r="C1357" t="inlineStr">
        <is>
          <t xml:space="preserve">INF194KB1HN5</t>
        </is>
      </c>
    </row>
    <row r="1358">
      <c r="A1358" t="inlineStr">
        <is>
          <t xml:space="preserve">Bandhan Mutual Fund</t>
        </is>
      </c>
      <c r="B1358" t="inlineStr">
        <is>
          <t xml:space="preserve">Bandhan Multi Asset Allocation Fund - Regular Plan - Growth</t>
        </is>
      </c>
      <c r="C1358" t="inlineStr">
        <is>
          <t xml:space="preserve">INF194KB1HJ3</t>
        </is>
      </c>
    </row>
    <row r="1359">
      <c r="A1359" t="inlineStr">
        <is>
          <t xml:space="preserve">Bandhan Mutual Fund</t>
        </is>
      </c>
      <c r="B1359" t="inlineStr">
        <is>
          <t xml:space="preserve">Bandhan Multi Asset Allocation Fund - Regular Plan - IDCW</t>
        </is>
      </c>
      <c r="C1359" t="inlineStr">
        <is>
          <t xml:space="preserve">INF194KB1HK1</t>
        </is>
      </c>
    </row>
    <row r="1360">
      <c r="A1360" t="inlineStr">
        <is>
          <t xml:space="preserve">Bandhan Mutual Fund</t>
        </is>
      </c>
      <c r="B1360" t="inlineStr">
        <is>
          <t xml:space="preserve">BANDHAN MULTI CAP FUND - GROWTH - DIRECT PLAN</t>
        </is>
      </c>
      <c r="C1360" t="inlineStr">
        <is>
          <t xml:space="preserve">INF194KB1CL0</t>
        </is>
      </c>
    </row>
    <row r="1361">
      <c r="A1361" t="inlineStr">
        <is>
          <t xml:space="preserve">Bandhan Mutual Fund</t>
        </is>
      </c>
      <c r="B1361" t="inlineStr">
        <is>
          <t xml:space="preserve">BANDHAN MULTI CAP FUND - GROWTH - REGULAR PLAN</t>
        </is>
      </c>
      <c r="C1361" t="inlineStr">
        <is>
          <t xml:space="preserve">INF194KB1CI6</t>
        </is>
      </c>
    </row>
    <row r="1362">
      <c r="A1362" t="inlineStr">
        <is>
          <t xml:space="preserve">Bandhan Mutual Fund</t>
        </is>
      </c>
      <c r="B1362" t="inlineStr">
        <is>
          <t xml:space="preserve">BANDHAN MULTI CAP FUND - IDCW - DIRECT PLAN</t>
        </is>
      </c>
      <c r="C1362" t="inlineStr">
        <is>
          <t xml:space="preserve">INF194KB1CM8</t>
        </is>
      </c>
    </row>
    <row r="1363">
      <c r="A1363" t="inlineStr">
        <is>
          <t xml:space="preserve">Bandhan Mutual Fund</t>
        </is>
      </c>
      <c r="B1363" t="inlineStr">
        <is>
          <t xml:space="preserve">BANDHAN MULTI CAP FUND - IDCW - REGULAR PLAN</t>
        </is>
      </c>
      <c r="C1363" t="inlineStr">
        <is>
          <t xml:space="preserve">INF194KB1CJ4</t>
        </is>
      </c>
    </row>
    <row r="1364">
      <c r="A1364" t="inlineStr">
        <is>
          <t xml:space="preserve">Bandhan Mutual Fund</t>
        </is>
      </c>
      <c r="B1364" t="inlineStr">
        <is>
          <t xml:space="preserve">Bandhan Multi-Asset Passive FOF - Direct Plan - Growth</t>
        </is>
      </c>
      <c r="C1364" t="inlineStr">
        <is>
          <t xml:space="preserve">INF194K019A3</t>
        </is>
      </c>
    </row>
    <row r="1365">
      <c r="A1365" t="inlineStr">
        <is>
          <t xml:space="preserve">Bandhan Mutual Fund</t>
        </is>
      </c>
      <c r="B1365" t="inlineStr">
        <is>
          <t xml:space="preserve">Bandhan Multi-Asset Passive FOF - Direct Plan - IDCW</t>
        </is>
      </c>
      <c r="C1365" t="inlineStr">
        <is>
          <t xml:space="preserve">INF194K010B0</t>
        </is>
      </c>
    </row>
    <row r="1366">
      <c r="A1366" t="inlineStr">
        <is>
          <t xml:space="preserve">Bandhan Mutual Fund</t>
        </is>
      </c>
      <c r="B1366" t="inlineStr">
        <is>
          <t xml:space="preserve">Bandhan Multi-Asset Passive FOF - Regular Plan - Growth</t>
        </is>
      </c>
      <c r="C1366" t="inlineStr">
        <is>
          <t xml:space="preserve">INF194K01AB9</t>
        </is>
      </c>
    </row>
    <row r="1367">
      <c r="A1367" t="inlineStr">
        <is>
          <t xml:space="preserve">Bandhan Mutual Fund</t>
        </is>
      </c>
      <c r="B1367" t="inlineStr">
        <is>
          <t xml:space="preserve">Bandhan Multi-Asset Passive FOF - Regular Plan - IDCW</t>
        </is>
      </c>
      <c r="C1367" t="inlineStr">
        <is>
          <t xml:space="preserve">INF194K01AC7</t>
        </is>
      </c>
    </row>
    <row r="1368">
      <c r="A1368" t="inlineStr">
        <is>
          <t xml:space="preserve">Bandhan Mutual Fund</t>
        </is>
      </c>
      <c r="B1368" t="inlineStr">
        <is>
          <t xml:space="preserve">Bandhan Multi-Factor Fund - Direct Plan - Growth</t>
        </is>
      </c>
      <c r="C1368" t="inlineStr">
        <is>
          <t xml:space="preserve">INF194KB1JX0</t>
        </is>
      </c>
    </row>
    <row r="1369">
      <c r="A1369" t="inlineStr">
        <is>
          <t xml:space="preserve">Bandhan Mutual Fund</t>
        </is>
      </c>
      <c r="B1369" t="inlineStr">
        <is>
          <t xml:space="preserve">Bandhan Multi-Factor Fund - Direct Plan - IDCW</t>
        </is>
      </c>
      <c r="C1369" t="inlineStr">
        <is>
          <t xml:space="preserve">INF194KB1JY8</t>
        </is>
      </c>
    </row>
    <row r="1370">
      <c r="A1370" t="inlineStr">
        <is>
          <t xml:space="preserve">Bandhan Mutual Fund</t>
        </is>
      </c>
      <c r="B1370" t="inlineStr">
        <is>
          <t xml:space="preserve">Bandhan Multi-Factor Fund - Regular Plan - Growth</t>
        </is>
      </c>
      <c r="C1370" t="inlineStr">
        <is>
          <t xml:space="preserve">INF194KB1JU6</t>
        </is>
      </c>
    </row>
    <row r="1371">
      <c r="A1371" t="inlineStr">
        <is>
          <t xml:space="preserve">Bandhan Mutual Fund</t>
        </is>
      </c>
      <c r="B1371" t="inlineStr">
        <is>
          <t xml:space="preserve">Bandhan Multi-Factor Fund - Regular Plan - IDCW</t>
        </is>
      </c>
      <c r="C1371" t="inlineStr">
        <is>
          <t xml:space="preserve">INF194KB1JV4</t>
        </is>
      </c>
    </row>
    <row r="1372">
      <c r="A1372" t="inlineStr">
        <is>
          <t xml:space="preserve">Bandhan Mutual Fund</t>
        </is>
      </c>
      <c r="B1372" t="inlineStr">
        <is>
          <t xml:space="preserve">BANDHAN NIFTY 100 INDEX FUND - DIRECT PLAN - GROWTH</t>
        </is>
      </c>
      <c r="C1372" t="inlineStr">
        <is>
          <t xml:space="preserve">INF194KB1CR7</t>
        </is>
      </c>
    </row>
    <row r="1373">
      <c r="A1373" t="inlineStr">
        <is>
          <t xml:space="preserve">Bandhan Mutual Fund</t>
        </is>
      </c>
      <c r="B1373" t="inlineStr">
        <is>
          <t xml:space="preserve">BANDHAN NIFTY 100 INDEX FUND - DIRECT PLAN - IDCW</t>
        </is>
      </c>
      <c r="C1373" t="inlineStr">
        <is>
          <t xml:space="preserve">INF194KB1CS5</t>
        </is>
      </c>
    </row>
    <row r="1374">
      <c r="A1374" t="inlineStr">
        <is>
          <t xml:space="preserve">Bandhan Mutual Fund</t>
        </is>
      </c>
      <c r="B1374" t="inlineStr">
        <is>
          <t xml:space="preserve">BANDHAN NIFTY 100 INDEX FUND - REGULAR PLAN - GROWTH</t>
        </is>
      </c>
      <c r="C1374" t="inlineStr">
        <is>
          <t xml:space="preserve">INF194KB1CO4</t>
        </is>
      </c>
    </row>
    <row r="1375">
      <c r="A1375" t="inlineStr">
        <is>
          <t xml:space="preserve">Bandhan Mutual Fund</t>
        </is>
      </c>
      <c r="B1375" t="inlineStr">
        <is>
          <t xml:space="preserve">BANDHAN NIFTY 100 INDEX FUND - REGULAR PLAN - IDCW</t>
        </is>
      </c>
      <c r="C1375" t="inlineStr">
        <is>
          <t xml:space="preserve">INF194KB1CP1</t>
        </is>
      </c>
    </row>
    <row r="1376">
      <c r="A1376" t="inlineStr">
        <is>
          <t xml:space="preserve">Bandhan Mutual Fund</t>
        </is>
      </c>
      <c r="B1376" t="inlineStr">
        <is>
          <t xml:space="preserve">Bandhan Nifty 200 Quality 30 Index Fund - Direct Plan - Growth</t>
        </is>
      </c>
      <c r="C1376" t="inlineStr">
        <is>
          <t xml:space="preserve">INF194KB1JA8</t>
        </is>
      </c>
    </row>
    <row r="1377">
      <c r="A1377" t="inlineStr">
        <is>
          <t xml:space="preserve">Bandhan Mutual Fund</t>
        </is>
      </c>
      <c r="B1377" t="inlineStr">
        <is>
          <t xml:space="preserve">Bandhan Nifty 200 Quality 30 Index Fund - Regular Plan - Growth</t>
        </is>
      </c>
      <c r="C1377" t="inlineStr">
        <is>
          <t xml:space="preserve">INF194KB1IZ7</t>
        </is>
      </c>
    </row>
    <row r="1378">
      <c r="A1378" t="inlineStr">
        <is>
          <t xml:space="preserve">Bandhan Mutual Fund</t>
        </is>
      </c>
      <c r="B1378" t="inlineStr">
        <is>
          <t xml:space="preserve">BANDHAN Nifty 50 ETF</t>
        </is>
      </c>
      <c r="C1378" t="inlineStr">
        <is>
          <t xml:space="preserve">INF194KA1U07</t>
        </is>
      </c>
    </row>
    <row r="1379">
      <c r="A1379" t="inlineStr">
        <is>
          <t xml:space="preserve">Bandhan Mutual Fund</t>
        </is>
      </c>
      <c r="B1379" t="inlineStr">
        <is>
          <t xml:space="preserve">BANDHAN Nifty 50 Index Fund - Regular Plan - Growth</t>
        </is>
      </c>
      <c r="C1379" t="inlineStr">
        <is>
          <t xml:space="preserve">INF194K01920</t>
        </is>
      </c>
    </row>
    <row r="1380">
      <c r="A1380" t="inlineStr">
        <is>
          <t xml:space="preserve">Bandhan Mutual Fund</t>
        </is>
      </c>
      <c r="B1380" t="inlineStr">
        <is>
          <t xml:space="preserve">BANDHAN Nifty 50 Index Fund - Regular Plan - IDCW</t>
        </is>
      </c>
      <c r="C1380" t="inlineStr">
        <is>
          <t xml:space="preserve">INF194K01938</t>
        </is>
      </c>
    </row>
    <row r="1381">
      <c r="A1381" t="inlineStr">
        <is>
          <t xml:space="preserve">Bandhan Mutual Fund</t>
        </is>
      </c>
      <c r="B1381" t="inlineStr">
        <is>
          <t xml:space="preserve">BANDHAN Nifty 50 Index Fund-Direct Plan-Growth</t>
        </is>
      </c>
      <c r="C1381" t="inlineStr">
        <is>
          <t xml:space="preserve">INF194K012A8</t>
        </is>
      </c>
    </row>
    <row r="1382">
      <c r="A1382" t="inlineStr">
        <is>
          <t xml:space="preserve">Bandhan Mutual Fund</t>
        </is>
      </c>
      <c r="B1382" t="inlineStr">
        <is>
          <t xml:space="preserve">BANDHAN Nifty 50 Index Fund-Direct Plan-IDCW</t>
        </is>
      </c>
      <c r="C1382" t="inlineStr">
        <is>
          <t xml:space="preserve">INF194K013A6</t>
        </is>
      </c>
    </row>
    <row r="1383">
      <c r="A1383" t="inlineStr">
        <is>
          <t xml:space="preserve">Bandhan Mutual Fund</t>
        </is>
      </c>
      <c r="B1383" t="inlineStr">
        <is>
          <t xml:space="preserve">Bandhan Nifty 500 Momentum 50 Index Fund Direct Plan-Growth</t>
        </is>
      </c>
      <c r="C1383" t="inlineStr">
        <is>
          <t xml:space="preserve">INF194KB1IY0</t>
        </is>
      </c>
    </row>
    <row r="1384">
      <c r="A1384" t="inlineStr">
        <is>
          <t xml:space="preserve">Bandhan Mutual Fund</t>
        </is>
      </c>
      <c r="B1384" t="inlineStr">
        <is>
          <t xml:space="preserve">Bandhan Nifty 500 Momentum 50 Index Fund Regular Plan-Growth</t>
        </is>
      </c>
      <c r="C1384" t="inlineStr">
        <is>
          <t xml:space="preserve">INF194KB1IX2</t>
        </is>
      </c>
    </row>
    <row r="1385">
      <c r="A1385" t="inlineStr">
        <is>
          <t xml:space="preserve">Bandhan Mutual Fund</t>
        </is>
      </c>
      <c r="B1385" t="inlineStr">
        <is>
          <t xml:space="preserve">Bandhan Nifty 500 Value 50 Index Fund Direct Plan - Growth</t>
        </is>
      </c>
      <c r="C1385" t="inlineStr">
        <is>
          <t xml:space="preserve">INF194KB1IW4</t>
        </is>
      </c>
    </row>
    <row r="1386">
      <c r="A1386" t="inlineStr">
        <is>
          <t xml:space="preserve">Bandhan Mutual Fund</t>
        </is>
      </c>
      <c r="B1386" t="inlineStr">
        <is>
          <t xml:space="preserve">Bandhan Nifty 500 Value 50 Index Fund Regular Plan - Growth</t>
        </is>
      </c>
      <c r="C1386" t="inlineStr">
        <is>
          <t xml:space="preserve">INF194KB1IV6</t>
        </is>
      </c>
    </row>
    <row r="1387">
      <c r="A1387" t="inlineStr">
        <is>
          <t xml:space="preserve">Bandhan Mutual Fund</t>
        </is>
      </c>
      <c r="B1387" t="inlineStr">
        <is>
          <t xml:space="preserve">Bandhan Nifty Alpha 50 Index Fund - Direct Plan - Growth</t>
        </is>
      </c>
      <c r="C1387" t="inlineStr">
        <is>
          <t xml:space="preserve">INF194KB1HA2</t>
        </is>
      </c>
    </row>
    <row r="1388">
      <c r="A1388" t="inlineStr">
        <is>
          <t xml:space="preserve">Bandhan Mutual Fund</t>
        </is>
      </c>
      <c r="B1388" t="inlineStr">
        <is>
          <t xml:space="preserve">Bandhan Nifty Alpha 50 Index Fund - Direct Plan - IDCW</t>
        </is>
      </c>
      <c r="C1388" t="inlineStr">
        <is>
          <t xml:space="preserve">INF194KB1HB0</t>
        </is>
      </c>
    </row>
    <row r="1389">
      <c r="A1389" t="inlineStr">
        <is>
          <t xml:space="preserve">Bandhan Mutual Fund</t>
        </is>
      </c>
      <c r="B1389" t="inlineStr">
        <is>
          <t xml:space="preserve">Bandhan Nifty Alpha 50 Index Fund - Regular Plan - Growth</t>
        </is>
      </c>
      <c r="C1389" t="inlineStr">
        <is>
          <t xml:space="preserve">INF194KB1GX6</t>
        </is>
      </c>
    </row>
    <row r="1390">
      <c r="A1390" t="inlineStr">
        <is>
          <t xml:space="preserve">Bandhan Mutual Fund</t>
        </is>
      </c>
      <c r="B1390" t="inlineStr">
        <is>
          <t xml:space="preserve">Bandhan Nifty Alpha 50 Index Fund - Regular Plan - IDCW</t>
        </is>
      </c>
      <c r="C1390" t="inlineStr">
        <is>
          <t xml:space="preserve">INF194KB1GY4</t>
        </is>
      </c>
    </row>
    <row r="1391">
      <c r="A1391" t="inlineStr">
        <is>
          <t xml:space="preserve">Bandhan Mutual Fund</t>
        </is>
      </c>
      <c r="B1391" t="inlineStr">
        <is>
          <t xml:space="preserve">Bandhan Nifty Alpha Low Volatility 30 Index Fund - Direct Plan - Growth</t>
        </is>
      </c>
      <c r="C1391" t="inlineStr">
        <is>
          <t xml:space="preserve">INF194KB1JC4</t>
        </is>
      </c>
    </row>
    <row r="1392">
      <c r="A1392" t="inlineStr">
        <is>
          <t xml:space="preserve">Bandhan Mutual Fund</t>
        </is>
      </c>
      <c r="B1392" t="inlineStr">
        <is>
          <t xml:space="preserve">Bandhan Nifty Alpha Low Volatility 30 Index Fund - Regular Plan - Growth</t>
        </is>
      </c>
      <c r="C1392" t="inlineStr">
        <is>
          <t xml:space="preserve">INF194KB1JB6</t>
        </is>
      </c>
    </row>
    <row r="1393">
      <c r="A1393" t="inlineStr">
        <is>
          <t xml:space="preserve">Bandhan Mutual Fund</t>
        </is>
      </c>
      <c r="B1393" t="inlineStr">
        <is>
          <t xml:space="preserve">Bandhan Nifty Bank Index Fund - Direct Plan - Growth</t>
        </is>
      </c>
      <c r="C1393" t="inlineStr">
        <is>
          <t xml:space="preserve">INF194KB1IO1</t>
        </is>
      </c>
    </row>
    <row r="1394">
      <c r="A1394" t="inlineStr">
        <is>
          <t xml:space="preserve">Bandhan Mutual Fund</t>
        </is>
      </c>
      <c r="B1394" t="inlineStr">
        <is>
          <t xml:space="preserve">Bandhan Nifty Bank Index Fund - Regular Plan - Growth</t>
        </is>
      </c>
      <c r="C1394" t="inlineStr">
        <is>
          <t xml:space="preserve">INF194KB1IN3</t>
        </is>
      </c>
    </row>
    <row r="1395">
      <c r="A1395" t="inlineStr">
        <is>
          <t xml:space="preserve">Bandhan Mutual Fund</t>
        </is>
      </c>
      <c r="B1395" t="inlineStr">
        <is>
          <t xml:space="preserve">Bandhan Nifty IT Index Fund - Direct Plan - Growth</t>
        </is>
      </c>
      <c r="C1395" t="inlineStr">
        <is>
          <t xml:space="preserve">INF194KB1GK3</t>
        </is>
      </c>
    </row>
    <row r="1396">
      <c r="A1396" t="inlineStr">
        <is>
          <t xml:space="preserve">Bandhan Mutual Fund</t>
        </is>
      </c>
      <c r="B1396" t="inlineStr">
        <is>
          <t xml:space="preserve">Bandhan Nifty IT Index Fund - Direct Plan - IDCW</t>
        </is>
      </c>
      <c r="C1396" t="inlineStr">
        <is>
          <t xml:space="preserve">INF194KB1GL1</t>
        </is>
      </c>
    </row>
    <row r="1397">
      <c r="A1397" t="inlineStr">
        <is>
          <t xml:space="preserve">Bandhan Mutual Fund</t>
        </is>
      </c>
      <c r="B1397" t="inlineStr">
        <is>
          <t xml:space="preserve">Bandhan Nifty IT Index Fund - Regular Plan - Growth</t>
        </is>
      </c>
      <c r="C1397" t="inlineStr">
        <is>
          <t xml:space="preserve">INF194KB1GH9</t>
        </is>
      </c>
    </row>
    <row r="1398">
      <c r="A1398" t="inlineStr">
        <is>
          <t xml:space="preserve">Bandhan Mutual Fund</t>
        </is>
      </c>
      <c r="B1398" t="inlineStr">
        <is>
          <t xml:space="preserve">Bandhan Nifty IT Index Fund - Regular Plan - IDCW</t>
        </is>
      </c>
      <c r="C1398" t="inlineStr">
        <is>
          <t xml:space="preserve">INF194KB1GI7</t>
        </is>
      </c>
    </row>
    <row r="1399">
      <c r="A1399" t="inlineStr">
        <is>
          <t xml:space="preserve">Bandhan Mutual Fund</t>
        </is>
      </c>
      <c r="B1399" t="inlineStr">
        <is>
          <t xml:space="preserve">Bandhan Nifty Midcap 150 Index Fund-Direct Plan-Growth</t>
        </is>
      </c>
      <c r="C1399" t="inlineStr">
        <is>
          <t xml:space="preserve">INF194KB1IT0</t>
        </is>
      </c>
    </row>
    <row r="1400">
      <c r="A1400" t="inlineStr">
        <is>
          <t xml:space="preserve">Bandhan Mutual Fund</t>
        </is>
      </c>
      <c r="B1400" t="inlineStr">
        <is>
          <t xml:space="preserve">Bandhan Nifty Midcap 150 Index Fund-Regular Plan-Growth</t>
        </is>
      </c>
      <c r="C1400" t="inlineStr">
        <is>
          <t xml:space="preserve">INF194KB1IU8</t>
        </is>
      </c>
    </row>
    <row r="1401">
      <c r="A1401" t="inlineStr">
        <is>
          <t xml:space="preserve">Bandhan Mutual Fund</t>
        </is>
      </c>
      <c r="B1401" t="inlineStr">
        <is>
          <t xml:space="preserve">Bandhan Nifty Next 50 Index Fund - Direct Plan - Growth</t>
        </is>
      </c>
      <c r="C1401" t="inlineStr">
        <is>
          <t xml:space="preserve">INF194KB1JK7</t>
        </is>
      </c>
    </row>
    <row r="1402">
      <c r="A1402" t="inlineStr">
        <is>
          <t xml:space="preserve">Bandhan Mutual Fund</t>
        </is>
      </c>
      <c r="B1402" t="inlineStr">
        <is>
          <t xml:space="preserve">Bandhan Nifty Next 50 Index Fund - Regular Plan - Growth</t>
        </is>
      </c>
      <c r="C1402" t="inlineStr">
        <is>
          <t xml:space="preserve">INF194KB1JJ9</t>
        </is>
      </c>
    </row>
    <row r="1403">
      <c r="A1403" t="inlineStr">
        <is>
          <t xml:space="preserve">Bandhan Mutual Fund</t>
        </is>
      </c>
      <c r="B1403" t="inlineStr">
        <is>
          <t xml:space="preserve">BANDHAN Nifty Smallcap 250 Index Fund - Direct Plan - Growth</t>
        </is>
      </c>
      <c r="C1403" t="inlineStr">
        <is>
          <t xml:space="preserve">INF194KB1HG9</t>
        </is>
      </c>
    </row>
    <row r="1404">
      <c r="A1404" t="inlineStr">
        <is>
          <t xml:space="preserve">Bandhan Mutual Fund</t>
        </is>
      </c>
      <c r="B1404" t="inlineStr">
        <is>
          <t xml:space="preserve">BANDHAN Nifty Smallcap 250 Index Fund - Direct Plan - IDCW</t>
        </is>
      </c>
      <c r="C1404" t="inlineStr">
        <is>
          <t xml:space="preserve">INF194KB1HH7</t>
        </is>
      </c>
    </row>
    <row r="1405">
      <c r="A1405" t="inlineStr">
        <is>
          <t xml:space="preserve">Bandhan Mutual Fund</t>
        </is>
      </c>
      <c r="B1405" t="inlineStr">
        <is>
          <t xml:space="preserve">BANDHAN Nifty Smallcap 250 Index Fund - Regular Plan - Growth</t>
        </is>
      </c>
      <c r="C1405" t="inlineStr">
        <is>
          <t xml:space="preserve">INF194KB1HD6</t>
        </is>
      </c>
    </row>
    <row r="1406">
      <c r="A1406" t="inlineStr">
        <is>
          <t xml:space="preserve">Bandhan Mutual Fund</t>
        </is>
      </c>
      <c r="B1406" t="inlineStr">
        <is>
          <t xml:space="preserve">BANDHAN Nifty Smallcap 250 Index Fund - Regular Plan - IDCW</t>
        </is>
      </c>
      <c r="C1406" t="inlineStr">
        <is>
          <t xml:space="preserve">INF194KB1HE4</t>
        </is>
      </c>
    </row>
    <row r="1407">
      <c r="A1407" t="inlineStr">
        <is>
          <t xml:space="preserve">Bandhan Mutual Fund</t>
        </is>
      </c>
      <c r="B1407" t="inlineStr">
        <is>
          <t xml:space="preserve">Bandhan Nifty Total Market Index Fund - Direct Plan - Growth</t>
        </is>
      </c>
      <c r="C1407" t="inlineStr">
        <is>
          <t xml:space="preserve">INF194KB1IK9</t>
        </is>
      </c>
    </row>
    <row r="1408">
      <c r="A1408" t="inlineStr">
        <is>
          <t xml:space="preserve">Bandhan Mutual Fund</t>
        </is>
      </c>
      <c r="B1408" t="inlineStr">
        <is>
          <t xml:space="preserve">Bandhan Nifty Total Market Index Fund - Regular Plan - Growth</t>
        </is>
      </c>
      <c r="C1408" t="inlineStr">
        <is>
          <t xml:space="preserve">INF194KB1IH5</t>
        </is>
      </c>
    </row>
    <row r="1409">
      <c r="A1409" t="inlineStr">
        <is>
          <t xml:space="preserve">Bandhan Mutual Fund</t>
        </is>
      </c>
      <c r="B1409" t="inlineStr">
        <is>
          <t xml:space="preserve">BANDHAN NIFTY100 LOW VOLATILITY 30 INDEX FUND - GROWTH - DIRECT PLAN</t>
        </is>
      </c>
      <c r="C1409" t="inlineStr">
        <is>
          <t xml:space="preserve">INF194KB1DV7</t>
        </is>
      </c>
    </row>
    <row r="1410">
      <c r="A1410" t="inlineStr">
        <is>
          <t xml:space="preserve">Bandhan Mutual Fund</t>
        </is>
      </c>
      <c r="B1410" t="inlineStr">
        <is>
          <t xml:space="preserve">BANDHAN NIFTY100 LOW VOLATILITY 30 INDEX FUND - GROWTH - REGULAR PLAN</t>
        </is>
      </c>
      <c r="C1410" t="inlineStr">
        <is>
          <t xml:space="preserve">INF194KB1DY1</t>
        </is>
      </c>
    </row>
    <row r="1411">
      <c r="A1411" t="inlineStr">
        <is>
          <t xml:space="preserve">Bandhan Mutual Fund</t>
        </is>
      </c>
      <c r="B1411" t="inlineStr">
        <is>
          <t xml:space="preserve">BANDHAN NIFTY100 LOW VOLATILITY 30 INDEX FUND - IDCW - DIRECT PLAN</t>
        </is>
      </c>
      <c r="C1411" t="inlineStr">
        <is>
          <t xml:space="preserve">INF194KB1DW5</t>
        </is>
      </c>
    </row>
    <row r="1412">
      <c r="A1412" t="inlineStr">
        <is>
          <t xml:space="preserve">Bandhan Mutual Fund</t>
        </is>
      </c>
      <c r="B1412" t="inlineStr">
        <is>
          <t xml:space="preserve">BANDHAN NIFTY100 LOW VOLATILITY 30 INDEX FUND - IDCW - REGULAR PLAN</t>
        </is>
      </c>
      <c r="C1412" t="inlineStr">
        <is>
          <t xml:space="preserve">INF194KB1DZ8</t>
        </is>
      </c>
    </row>
    <row r="1413">
      <c r="A1413" t="inlineStr">
        <is>
          <t xml:space="preserve">Bandhan Mutual Fund</t>
        </is>
      </c>
      <c r="B1413" t="inlineStr">
        <is>
          <t xml:space="preserve">BANDHAN NIFTY200 MOMENTUM 30 INDEX FUND - GROWTH - DIRECT PLAN</t>
        </is>
      </c>
      <c r="C1413" t="inlineStr">
        <is>
          <t xml:space="preserve">INF194KB1DP9</t>
        </is>
      </c>
    </row>
    <row r="1414">
      <c r="A1414" t="inlineStr">
        <is>
          <t xml:space="preserve">Bandhan Mutual Fund</t>
        </is>
      </c>
      <c r="B1414" t="inlineStr">
        <is>
          <t xml:space="preserve">BANDHAN NIFTY200 MOMENTUM 30 INDEX FUND - GROWTH - REGULAR PLAN</t>
        </is>
      </c>
      <c r="C1414" t="inlineStr">
        <is>
          <t xml:space="preserve">INF194KB1DS3</t>
        </is>
      </c>
    </row>
    <row r="1415">
      <c r="A1415" t="inlineStr">
        <is>
          <t xml:space="preserve">Bandhan Mutual Fund</t>
        </is>
      </c>
      <c r="B1415" t="inlineStr">
        <is>
          <t xml:space="preserve">BANDHAN NIFTY200 MOMENTUM 30 INDEX FUND - IDCW - DIRECT PLAN</t>
        </is>
      </c>
      <c r="C1415" t="inlineStr">
        <is>
          <t xml:space="preserve">INF194KB1DQ7</t>
        </is>
      </c>
    </row>
    <row r="1416">
      <c r="A1416" t="inlineStr">
        <is>
          <t xml:space="preserve">Bandhan Mutual Fund</t>
        </is>
      </c>
      <c r="B1416" t="inlineStr">
        <is>
          <t xml:space="preserve">BANDHAN NIFTY200 MOMENTUM 30 INDEX FUND - IDCW - REGULAR PLAN</t>
        </is>
      </c>
      <c r="C1416" t="inlineStr">
        <is>
          <t xml:space="preserve">INF194KB1DT1</t>
        </is>
      </c>
    </row>
    <row r="1417">
      <c r="A1417" t="inlineStr">
        <is>
          <t xml:space="preserve">Bandhan Mutual Fund</t>
        </is>
      </c>
      <c r="B1417" t="inlineStr">
        <is>
          <t xml:space="preserve">BANDHAN Overnight Fund - Direct Plan - Daily IDCW</t>
        </is>
      </c>
      <c r="C1417" t="inlineStr">
        <is>
          <t xml:space="preserve">INF194KB1462</t>
        </is>
      </c>
    </row>
    <row r="1418">
      <c r="A1418" t="inlineStr">
        <is>
          <t xml:space="preserve">Bandhan Mutual Fund</t>
        </is>
      </c>
      <c r="B1418" t="inlineStr">
        <is>
          <t xml:space="preserve">BANDHAN Overnight Fund - Direct Plan - Growth</t>
        </is>
      </c>
      <c r="C1418" t="inlineStr">
        <is>
          <t xml:space="preserve">INF194KB1447</t>
        </is>
      </c>
    </row>
    <row r="1419">
      <c r="A1419" t="inlineStr">
        <is>
          <t xml:space="preserve">Bandhan Mutual Fund</t>
        </is>
      </c>
      <c r="B1419" t="inlineStr">
        <is>
          <t xml:space="preserve">BANDHAN Overnight Fund - Direct Plan - Monthly IDCW</t>
        </is>
      </c>
      <c r="C1419" t="inlineStr">
        <is>
          <t xml:space="preserve">INF194KB1496</t>
        </is>
      </c>
    </row>
    <row r="1420">
      <c r="A1420" t="inlineStr">
        <is>
          <t xml:space="preserve">Bandhan Mutual Fund</t>
        </is>
      </c>
      <c r="B1420" t="inlineStr">
        <is>
          <t xml:space="preserve">BANDHAN Overnight Fund - Direct Plan - Periodic IDCW</t>
        </is>
      </c>
      <c r="C1420" t="inlineStr">
        <is>
          <t xml:space="preserve">INF194KB1520</t>
        </is>
      </c>
    </row>
    <row r="1421">
      <c r="A1421" t="inlineStr">
        <is>
          <t xml:space="preserve">Bandhan Mutual Fund</t>
        </is>
      </c>
      <c r="B1421" t="inlineStr">
        <is>
          <t xml:space="preserve">BANDHAN Overnight Fund - Direct Plan - Weekly IDCW</t>
        </is>
      </c>
      <c r="C1421" t="inlineStr">
        <is>
          <t xml:space="preserve">INF194KB1553</t>
        </is>
      </c>
    </row>
    <row r="1422">
      <c r="A1422" t="inlineStr">
        <is>
          <t xml:space="preserve">Bandhan Mutual Fund</t>
        </is>
      </c>
      <c r="B1422" t="inlineStr">
        <is>
          <t xml:space="preserve">BANDHAN Overnight Fund - Regular Plan - Daily IDCW</t>
        </is>
      </c>
      <c r="C1422" t="inlineStr">
        <is>
          <t xml:space="preserve">INF194KB1330</t>
        </is>
      </c>
    </row>
    <row r="1423">
      <c r="A1423" t="inlineStr">
        <is>
          <t xml:space="preserve">Bandhan Mutual Fund</t>
        </is>
      </c>
      <c r="B1423" t="inlineStr">
        <is>
          <t xml:space="preserve">BANDHAN Overnight Fund - Regular Plan - Growth</t>
        </is>
      </c>
      <c r="C1423" t="inlineStr">
        <is>
          <t xml:space="preserve">INF194KB1314</t>
        </is>
      </c>
    </row>
    <row r="1424">
      <c r="A1424" t="inlineStr">
        <is>
          <t xml:space="preserve">Bandhan Mutual Fund</t>
        </is>
      </c>
      <c r="B1424" t="inlineStr">
        <is>
          <t xml:space="preserve">BANDHAN Overnight Fund - Regular Plan - Monthly IDCW</t>
        </is>
      </c>
      <c r="C1424" t="inlineStr">
        <is>
          <t xml:space="preserve">INF194KB1363</t>
        </is>
      </c>
    </row>
    <row r="1425">
      <c r="A1425" t="inlineStr">
        <is>
          <t xml:space="preserve">Bandhan Mutual Fund</t>
        </is>
      </c>
      <c r="B1425" t="inlineStr">
        <is>
          <t xml:space="preserve">BANDHAN Overnight Fund - Regular Plan - Weekly IDCW</t>
        </is>
      </c>
      <c r="C1425" t="inlineStr">
        <is>
          <t xml:space="preserve">INF194KB1421</t>
        </is>
      </c>
    </row>
    <row r="1426">
      <c r="A1426" t="inlineStr">
        <is>
          <t xml:space="preserve">Bandhan Mutual Fund</t>
        </is>
      </c>
      <c r="B1426" t="inlineStr">
        <is>
          <t xml:space="preserve">BANDHAN Overnight Fund - REGULAR PLAN PERIODIC IDCW</t>
        </is>
      </c>
      <c r="C1426" t="inlineStr">
        <is>
          <t xml:space="preserve">INF194KB1397</t>
        </is>
      </c>
    </row>
    <row r="1427">
      <c r="A1427" t="inlineStr">
        <is>
          <t xml:space="preserve">Bandhan Mutual Fund</t>
        </is>
      </c>
      <c r="B1427" t="inlineStr">
        <is>
          <t xml:space="preserve">Bandhan Retirement Fund - Direct Plan - Growth</t>
        </is>
      </c>
      <c r="C1427" t="inlineStr">
        <is>
          <t xml:space="preserve">INF194KB1GU2</t>
        </is>
      </c>
    </row>
    <row r="1428">
      <c r="A1428" t="inlineStr">
        <is>
          <t xml:space="preserve">Bandhan Mutual Fund</t>
        </is>
      </c>
      <c r="B1428" t="inlineStr">
        <is>
          <t xml:space="preserve">Bandhan Retirement Fund - Direct Plan - IDCW</t>
        </is>
      </c>
      <c r="C1428" t="inlineStr">
        <is>
          <t xml:space="preserve">INF194KB1GV0</t>
        </is>
      </c>
    </row>
    <row r="1429">
      <c r="A1429" t="inlineStr">
        <is>
          <t xml:space="preserve">Bandhan Mutual Fund</t>
        </is>
      </c>
      <c r="B1429" t="inlineStr">
        <is>
          <t xml:space="preserve">Bandhan Retirement Fund - Regular Plan - Growth</t>
        </is>
      </c>
      <c r="C1429" t="inlineStr">
        <is>
          <t xml:space="preserve">INF194KB1GN7</t>
        </is>
      </c>
    </row>
    <row r="1430">
      <c r="A1430" t="inlineStr">
        <is>
          <t xml:space="preserve">Bandhan Mutual Fund</t>
        </is>
      </c>
      <c r="B1430" t="inlineStr">
        <is>
          <t xml:space="preserve">Bandhan Retirement Fund - Regular Plan - IDCW</t>
        </is>
      </c>
      <c r="C1430" t="inlineStr">
        <is>
          <t xml:space="preserve">INF194KB1GO5</t>
        </is>
      </c>
    </row>
    <row r="1431">
      <c r="A1431" t="inlineStr">
        <is>
          <t xml:space="preserve">Bandhan Mutual Fund</t>
        </is>
      </c>
      <c r="B1431" t="inlineStr">
        <is>
          <t xml:space="preserve">Bandhan Short Duration Fund - Direct Plan - Annual IDCW</t>
        </is>
      </c>
      <c r="C1431" t="inlineStr">
        <is>
          <t xml:space="preserve">INF194KA11L7</t>
        </is>
      </c>
    </row>
    <row r="1432">
      <c r="A1432" t="inlineStr">
        <is>
          <t xml:space="preserve">Bandhan Mutual Fund</t>
        </is>
      </c>
      <c r="B1432" t="inlineStr">
        <is>
          <t xml:space="preserve">Bandhan Short Duration Fund - Direct Plan - Fortnightly IDCW</t>
        </is>
      </c>
      <c r="C1432" t="inlineStr">
        <is>
          <t xml:space="preserve">INF194K01U56</t>
        </is>
      </c>
    </row>
    <row r="1433">
      <c r="A1433" t="inlineStr">
        <is>
          <t xml:space="preserve">Bandhan Mutual Fund</t>
        </is>
      </c>
      <c r="B1433" t="inlineStr">
        <is>
          <t xml:space="preserve">Bandhan Short Duration Fund - Direct Plan - Growth</t>
        </is>
      </c>
      <c r="C1433" t="inlineStr">
        <is>
          <t xml:space="preserve">INF194K01U07</t>
        </is>
      </c>
    </row>
    <row r="1434">
      <c r="A1434" t="inlineStr">
        <is>
          <t xml:space="preserve">Bandhan Mutual Fund</t>
        </is>
      </c>
      <c r="B1434" t="inlineStr">
        <is>
          <t xml:space="preserve">Bandhan Short Duration Fund - Direct Plan - Monthly IDCW</t>
        </is>
      </c>
      <c r="C1434" t="inlineStr">
        <is>
          <t xml:space="preserve">INF194K01U23</t>
        </is>
      </c>
    </row>
    <row r="1435">
      <c r="A1435" t="inlineStr">
        <is>
          <t xml:space="preserve">Bandhan Mutual Fund</t>
        </is>
      </c>
      <c r="B1435" t="inlineStr">
        <is>
          <t xml:space="preserve">Bandhan Short Duration Fund - Direct Plan - Periodic IDCW</t>
        </is>
      </c>
      <c r="C1435" t="inlineStr">
        <is>
          <t xml:space="preserve">INF194KA1SR4</t>
        </is>
      </c>
    </row>
    <row r="1436">
      <c r="A1436" t="inlineStr">
        <is>
          <t xml:space="preserve">Bandhan Mutual Fund</t>
        </is>
      </c>
      <c r="B1436" t="inlineStr">
        <is>
          <t xml:space="preserve">Bandhan Short Duration Fund - Direct Plan - Quarterly IDCW</t>
        </is>
      </c>
      <c r="C1436" t="inlineStr">
        <is>
          <t xml:space="preserve">INF194KA18K4</t>
        </is>
      </c>
    </row>
    <row r="1437">
      <c r="A1437" t="inlineStr">
        <is>
          <t xml:space="preserve">Bandhan Mutual Fund</t>
        </is>
      </c>
      <c r="B1437" t="inlineStr">
        <is>
          <t xml:space="preserve">Bandhan Short Duration Fund - Plan B - Fortnightly Dividend</t>
        </is>
      </c>
      <c r="C1437" t="inlineStr">
        <is>
          <t xml:space="preserve">INF194K01HR0</t>
        </is>
      </c>
    </row>
    <row r="1438">
      <c r="A1438" t="inlineStr">
        <is>
          <t xml:space="preserve">Bandhan Mutual Fund</t>
        </is>
      </c>
      <c r="B1438" t="inlineStr">
        <is>
          <t xml:space="preserve">Bandhan Short Duration Fund - Plan C  - Fortnightly Dividend</t>
        </is>
      </c>
      <c r="C1438" t="inlineStr">
        <is>
          <t xml:space="preserve">INF194K01HV2</t>
        </is>
      </c>
    </row>
    <row r="1439">
      <c r="A1439" t="inlineStr">
        <is>
          <t xml:space="preserve">Bandhan Mutual Fund</t>
        </is>
      </c>
      <c r="B1439" t="inlineStr">
        <is>
          <t xml:space="preserve">Bandhan Short Duration Fund - Plan C  - Growth</t>
        </is>
      </c>
      <c r="C1439" t="inlineStr">
        <is>
          <t xml:space="preserve">INF194K01HT6</t>
        </is>
      </c>
    </row>
    <row r="1440">
      <c r="A1440" t="inlineStr">
        <is>
          <t xml:space="preserve">Bandhan Mutual Fund</t>
        </is>
      </c>
      <c r="B1440" t="inlineStr">
        <is>
          <t xml:space="preserve">Bandhan Short Duration Fund - Plan C  - Monthly Dividend</t>
        </is>
      </c>
      <c r="C1440" t="inlineStr">
        <is>
          <t xml:space="preserve">INF194K01HY6</t>
        </is>
      </c>
    </row>
    <row r="1441">
      <c r="A1441" t="inlineStr">
        <is>
          <t xml:space="preserve">Bandhan Mutual Fund</t>
        </is>
      </c>
      <c r="B1441" t="inlineStr">
        <is>
          <t xml:space="preserve">Bandhan Short Duration Fund - Plan D - Growth</t>
        </is>
      </c>
      <c r="C1441" t="inlineStr">
        <is>
          <t xml:space="preserve">INF194K01IA4</t>
        </is>
      </c>
    </row>
    <row r="1442">
      <c r="A1442" t="inlineStr">
        <is>
          <t xml:space="preserve">Bandhan Mutual Fund</t>
        </is>
      </c>
      <c r="B1442" t="inlineStr">
        <is>
          <t xml:space="preserve">Bandhan Short Duration Fund - Plan D - Monthly Dividend</t>
        </is>
      </c>
      <c r="C1442" t="inlineStr">
        <is>
          <t xml:space="preserve">INF194K01IF3</t>
        </is>
      </c>
    </row>
    <row r="1443">
      <c r="A1443" t="inlineStr">
        <is>
          <t xml:space="preserve">Bandhan Mutual Fund</t>
        </is>
      </c>
      <c r="B1443" t="inlineStr">
        <is>
          <t xml:space="preserve">Bandhan Short Duration Fund - Plan D- Fortnightly Dividend</t>
        </is>
      </c>
      <c r="C1443" t="inlineStr">
        <is>
          <t xml:space="preserve">INF194K01IC0</t>
        </is>
      </c>
    </row>
    <row r="1444">
      <c r="A1444" t="inlineStr">
        <is>
          <t xml:space="preserve">Bandhan Mutual Fund</t>
        </is>
      </c>
      <c r="B1444" t="inlineStr">
        <is>
          <t xml:space="preserve">Bandhan Short Duration Fund - Regular Plan - Annual IDCW</t>
        </is>
      </c>
      <c r="C1444" t="inlineStr">
        <is>
          <t xml:space="preserve">INF194KA15K0</t>
        </is>
      </c>
    </row>
    <row r="1445">
      <c r="A1445" t="inlineStr">
        <is>
          <t xml:space="preserve">Bandhan Mutual Fund</t>
        </is>
      </c>
      <c r="B1445" t="inlineStr">
        <is>
          <t xml:space="preserve">Bandhan Short Duration Fund - Regular Plan - Fortnightly IDCW</t>
        </is>
      </c>
      <c r="C1445" t="inlineStr">
        <is>
          <t xml:space="preserve">INF194K01HK5</t>
        </is>
      </c>
    </row>
    <row r="1446">
      <c r="A1446" t="inlineStr">
        <is>
          <t xml:space="preserve">Bandhan Mutual Fund</t>
        </is>
      </c>
      <c r="B1446" t="inlineStr">
        <is>
          <t xml:space="preserve">Bandhan Short Duration Fund - Regular Plan - Growth</t>
        </is>
      </c>
      <c r="C1446" t="inlineStr">
        <is>
          <t xml:space="preserve">INF194K01HF5</t>
        </is>
      </c>
    </row>
    <row r="1447">
      <c r="A1447" t="inlineStr">
        <is>
          <t xml:space="preserve">Bandhan Mutual Fund</t>
        </is>
      </c>
      <c r="B1447" t="inlineStr">
        <is>
          <t xml:space="preserve">Bandhan Short Duration Fund - Regular Plan - Monthly IDCW</t>
        </is>
      </c>
      <c r="C1447" t="inlineStr">
        <is>
          <t xml:space="preserve">INF194K01HH1</t>
        </is>
      </c>
    </row>
    <row r="1448">
      <c r="A1448" t="inlineStr">
        <is>
          <t xml:space="preserve">Bandhan Mutual Fund</t>
        </is>
      </c>
      <c r="B1448" t="inlineStr">
        <is>
          <t xml:space="preserve">Bandhan Short Duration Fund - Regular Plan - Periodic IDCW</t>
        </is>
      </c>
      <c r="C1448" t="inlineStr">
        <is>
          <t xml:space="preserve">INF194KA1SO1</t>
        </is>
      </c>
    </row>
    <row r="1449">
      <c r="A1449" t="inlineStr">
        <is>
          <t xml:space="preserve">Bandhan Mutual Fund</t>
        </is>
      </c>
      <c r="B1449" t="inlineStr">
        <is>
          <t xml:space="preserve">Bandhan Short Duration Fund - Regular Plan - Quarterly IDCW</t>
        </is>
      </c>
      <c r="C1449" t="inlineStr">
        <is>
          <t xml:space="preserve">INF194KA12K7</t>
        </is>
      </c>
    </row>
    <row r="1450">
      <c r="A1450" t="inlineStr">
        <is>
          <t xml:space="preserve">Bandhan Mutual Fund</t>
        </is>
      </c>
      <c r="B1450" t="inlineStr">
        <is>
          <t xml:space="preserve">Bandhan Silver ETF</t>
        </is>
      </c>
      <c r="C1450" t="inlineStr">
        <is>
          <t xml:space="preserve">INF194KB1KI9</t>
        </is>
      </c>
    </row>
    <row r="1451">
      <c r="A1451" t="inlineStr">
        <is>
          <t xml:space="preserve">Bandhan Mutual Fund</t>
        </is>
      </c>
      <c r="B1451" t="inlineStr">
        <is>
          <t xml:space="preserve">Bandhan Silver ETF FOF-Direct-Growth</t>
        </is>
      </c>
      <c r="C1451" t="inlineStr">
        <is>
          <t xml:space="preserve">INF194KB1KN9</t>
        </is>
      </c>
    </row>
    <row r="1452">
      <c r="A1452" t="inlineStr">
        <is>
          <t xml:space="preserve">Bandhan Mutual Fund</t>
        </is>
      </c>
      <c r="B1452" t="inlineStr">
        <is>
          <t xml:space="preserve">Bandhan Silver ETF FOF-Regular-Growth</t>
        </is>
      </c>
      <c r="C1452" t="inlineStr">
        <is>
          <t xml:space="preserve">INF194KB1KM1</t>
        </is>
      </c>
    </row>
    <row r="1453">
      <c r="A1453" t="inlineStr">
        <is>
          <t xml:space="preserve">Bandhan Mutual Fund</t>
        </is>
      </c>
      <c r="B1453" t="inlineStr">
        <is>
          <t xml:space="preserve">BANDHAN SMALL CAP FUND - DIRECT PLAN GROWTH</t>
        </is>
      </c>
      <c r="C1453" t="inlineStr">
        <is>
          <t xml:space="preserve">INF194KB1AL4</t>
        </is>
      </c>
    </row>
    <row r="1454">
      <c r="A1454" t="inlineStr">
        <is>
          <t xml:space="preserve">Bandhan Mutual Fund</t>
        </is>
      </c>
      <c r="B1454" t="inlineStr">
        <is>
          <t xml:space="preserve">BANDHAN SMALL CAP FUND - DIRECT PLAN IDCW</t>
        </is>
      </c>
      <c r="C1454" t="inlineStr">
        <is>
          <t xml:space="preserve">INF194KB1AM2</t>
        </is>
      </c>
    </row>
    <row r="1455">
      <c r="A1455" t="inlineStr">
        <is>
          <t xml:space="preserve">Bandhan Mutual Fund</t>
        </is>
      </c>
      <c r="B1455" t="inlineStr">
        <is>
          <t xml:space="preserve">BANDHAN SMALL CAP FUND - REGULAR PLAN GROWTH</t>
        </is>
      </c>
      <c r="C1455" t="inlineStr">
        <is>
          <t xml:space="preserve">INF194KB1AJ8</t>
        </is>
      </c>
    </row>
    <row r="1456">
      <c r="A1456" t="inlineStr">
        <is>
          <t xml:space="preserve">Bandhan Mutual Fund</t>
        </is>
      </c>
      <c r="B1456" t="inlineStr">
        <is>
          <t xml:space="preserve">BANDHAN SMALL CAP FUND - REGULAR PLAN IDCW</t>
        </is>
      </c>
      <c r="C1456" t="inlineStr">
        <is>
          <t xml:space="preserve">INF194KB1AK6</t>
        </is>
      </c>
    </row>
    <row r="1457">
      <c r="A1457" t="inlineStr">
        <is>
          <t xml:space="preserve">Bandhan Mutual Fund</t>
        </is>
      </c>
      <c r="B1457" t="inlineStr">
        <is>
          <t xml:space="preserve">BANDHAN TRANSPORTATION AND LOGISTICS FUND - GROWTH - DIRECT PLAN</t>
        </is>
      </c>
      <c r="C1457" t="inlineStr">
        <is>
          <t xml:space="preserve">INF194KB1EB7</t>
        </is>
      </c>
    </row>
    <row r="1458">
      <c r="A1458" t="inlineStr">
        <is>
          <t xml:space="preserve">Bandhan Mutual Fund</t>
        </is>
      </c>
      <c r="B1458" t="inlineStr">
        <is>
          <t xml:space="preserve">BANDHAN TRANSPORTATION AND LOGISTICS FUND - GROWTH - REGULAR PLAN</t>
        </is>
      </c>
      <c r="C1458" t="inlineStr">
        <is>
          <t xml:space="preserve">INF194KB1EE1</t>
        </is>
      </c>
    </row>
    <row r="1459">
      <c r="A1459" t="inlineStr">
        <is>
          <t xml:space="preserve">Bandhan Mutual Fund</t>
        </is>
      </c>
      <c r="B1459" t="inlineStr">
        <is>
          <t xml:space="preserve">BANDHAN TRANSPORTATION AND LOGISTICS FUND - IDCW - DIRECT PLAN</t>
        </is>
      </c>
      <c r="C1459" t="inlineStr">
        <is>
          <t xml:space="preserve">INF194KB1EC5</t>
        </is>
      </c>
    </row>
    <row r="1460">
      <c r="A1460" t="inlineStr">
        <is>
          <t xml:space="preserve">Bandhan Mutual Fund</t>
        </is>
      </c>
      <c r="B1460" t="inlineStr">
        <is>
          <t xml:space="preserve">BANDHAN TRANSPORTATION AND LOGISTICS FUND - IDCW - REGULAR PLAN</t>
        </is>
      </c>
      <c r="C1460" t="inlineStr">
        <is>
          <t xml:space="preserve">INF194KB1EF8</t>
        </is>
      </c>
    </row>
    <row r="1461">
      <c r="A1461" t="inlineStr">
        <is>
          <t xml:space="preserve">Bandhan Mutual Fund</t>
        </is>
      </c>
      <c r="B1461" t="inlineStr">
        <is>
          <t xml:space="preserve">BANDHAN ULTRA SHORT DURATION FUND - DIRECT PLAN -MONTHLY IDCW</t>
        </is>
      </c>
      <c r="C1461" t="inlineStr">
        <is>
          <t xml:space="preserve">INF194KA11S2</t>
        </is>
      </c>
    </row>
    <row r="1462">
      <c r="A1462" t="inlineStr">
        <is>
          <t xml:space="preserve">Bandhan Mutual Fund</t>
        </is>
      </c>
      <c r="B1462" t="inlineStr">
        <is>
          <t xml:space="preserve">BANDHAN ULTRA SHORT DURATION FUND - DIRECT PLAN GROWTH</t>
        </is>
      </c>
      <c r="C1462" t="inlineStr">
        <is>
          <t xml:space="preserve">INF194KA16R3</t>
        </is>
      </c>
    </row>
    <row r="1463">
      <c r="A1463" t="inlineStr">
        <is>
          <t xml:space="preserve">Bandhan Mutual Fund</t>
        </is>
      </c>
      <c r="B1463" t="inlineStr">
        <is>
          <t xml:space="preserve">BANDHAN ULTRA SHORT DURATION FUND - DIRECT PLAN PERIODIC IDCW</t>
        </is>
      </c>
      <c r="C1463" t="inlineStr">
        <is>
          <t xml:space="preserve">INF194KA17S9</t>
        </is>
      </c>
    </row>
    <row r="1464">
      <c r="A1464" t="inlineStr">
        <is>
          <t xml:space="preserve">Bandhan Mutual Fund</t>
        </is>
      </c>
      <c r="B1464" t="inlineStr">
        <is>
          <t xml:space="preserve">BANDHAN ULTRA SHORT DURATION FUND - DIRECT PLAN QUARTERLY IDCW</t>
        </is>
      </c>
      <c r="C1464" t="inlineStr">
        <is>
          <t xml:space="preserve">INF194KA14S6</t>
        </is>
      </c>
    </row>
    <row r="1465">
      <c r="A1465" t="inlineStr">
        <is>
          <t xml:space="preserve">Bandhan Mutual Fund</t>
        </is>
      </c>
      <c r="B1465" t="inlineStr">
        <is>
          <t xml:space="preserve">BANDHAN ULTRA SHORT DURATION FUND - DIRECT PLAN- WEEKLY IDCW</t>
        </is>
      </c>
      <c r="C1465" t="inlineStr">
        <is>
          <t xml:space="preserve">INF194KA10T2</t>
        </is>
      </c>
    </row>
    <row r="1466">
      <c r="A1466" t="inlineStr">
        <is>
          <t xml:space="preserve">Bandhan Mutual Fund</t>
        </is>
      </c>
      <c r="B1466" t="inlineStr">
        <is>
          <t xml:space="preserve">BANDHAN ULTRA SHORT DURATION FUND - DIRECT PLAN-DAILY IDCW</t>
        </is>
      </c>
      <c r="C1466" t="inlineStr">
        <is>
          <t xml:space="preserve">INF194KA18R9</t>
        </is>
      </c>
    </row>
    <row r="1467">
      <c r="A1467" t="inlineStr">
        <is>
          <t xml:space="preserve">Bandhan Mutual Fund</t>
        </is>
      </c>
      <c r="B1467" t="inlineStr">
        <is>
          <t xml:space="preserve">BANDHAN ULTRA SHORT DURATION FUND - REGULAR PLAN DAILY IDCW</t>
        </is>
      </c>
      <c r="C1467" t="inlineStr">
        <is>
          <t xml:space="preserve">INF194KA12Q4</t>
        </is>
      </c>
    </row>
    <row r="1468">
      <c r="A1468" t="inlineStr">
        <is>
          <t xml:space="preserve">Bandhan Mutual Fund</t>
        </is>
      </c>
      <c r="B1468" t="inlineStr">
        <is>
          <t xml:space="preserve">BANDHAN ULTRA SHORT DURATION FUND - REGULAR PLAN GROWTH</t>
        </is>
      </c>
      <c r="C1468" t="inlineStr">
        <is>
          <t xml:space="preserve">INF194KA10Q8</t>
        </is>
      </c>
    </row>
    <row r="1469">
      <c r="A1469" t="inlineStr">
        <is>
          <t xml:space="preserve">Bandhan Mutual Fund</t>
        </is>
      </c>
      <c r="B1469" t="inlineStr">
        <is>
          <t xml:space="preserve">BANDHAN ULTRA SHORT DURATION FUND - REGULAR PLAN MONTHLY IDCW</t>
        </is>
      </c>
      <c r="C1469" t="inlineStr">
        <is>
          <t xml:space="preserve">INF194KA15Q7</t>
        </is>
      </c>
    </row>
    <row r="1470">
      <c r="A1470" t="inlineStr">
        <is>
          <t xml:space="preserve">Bandhan Mutual Fund</t>
        </is>
      </c>
      <c r="B1470" t="inlineStr">
        <is>
          <t xml:space="preserve">BANDHAN ULTRA SHORT DURATION FUND - REGULAR PLAN PERIODIC IDCW</t>
        </is>
      </c>
      <c r="C1470" t="inlineStr">
        <is>
          <t xml:space="preserve">INF194KA11R4</t>
        </is>
      </c>
    </row>
    <row r="1471">
      <c r="A1471" t="inlineStr">
        <is>
          <t xml:space="preserve">Bandhan Mutual Fund</t>
        </is>
      </c>
      <c r="B1471" t="inlineStr">
        <is>
          <t xml:space="preserve">BANDHAN ULTRA SHORT DURATION FUND - REGULAR PLAN QUARTERLY IDCW</t>
        </is>
      </c>
      <c r="C1471" t="inlineStr">
        <is>
          <t xml:space="preserve">INF194KA18Q1</t>
        </is>
      </c>
    </row>
    <row r="1472">
      <c r="A1472" t="inlineStr">
        <is>
          <t xml:space="preserve">Bandhan Mutual Fund</t>
        </is>
      </c>
      <c r="B1472" t="inlineStr">
        <is>
          <t xml:space="preserve">BANDHAN ULTRA SHORT DURATION FUND - REGULAR PLAN WEEKLY IDCW</t>
        </is>
      </c>
      <c r="C1472" t="inlineStr">
        <is>
          <t xml:space="preserve">INF194KA14R8</t>
        </is>
      </c>
    </row>
    <row r="1473">
      <c r="A1473" t="inlineStr">
        <is>
          <t xml:space="preserve">Bandhan Mutual Fund</t>
        </is>
      </c>
      <c r="B1473" t="inlineStr">
        <is>
          <t xml:space="preserve">Bandhan US specific Equity Active FOF - GROWTH - DIRECT PLAN</t>
        </is>
      </c>
      <c r="C1473" t="inlineStr">
        <is>
          <t xml:space="preserve">INF194KB1CF2</t>
        </is>
      </c>
    </row>
    <row r="1474">
      <c r="A1474" t="inlineStr">
        <is>
          <t xml:space="preserve">Bandhan Mutual Fund</t>
        </is>
      </c>
      <c r="B1474" t="inlineStr">
        <is>
          <t xml:space="preserve">Bandhan US specific Equity Active FOF - GROWTH - REGULAR PLAN</t>
        </is>
      </c>
      <c r="C1474" t="inlineStr">
        <is>
          <t xml:space="preserve">INF194KB1CC9</t>
        </is>
      </c>
    </row>
    <row r="1475">
      <c r="A1475" t="inlineStr">
        <is>
          <t xml:space="preserve">Bandhan Mutual Fund</t>
        </is>
      </c>
      <c r="B1475" t="inlineStr">
        <is>
          <t xml:space="preserve">Bandhan US specific Equity Active FOF - IDCW - DIRECT PLAN</t>
        </is>
      </c>
      <c r="C1475" t="inlineStr">
        <is>
          <t xml:space="preserve">INF194KB1CG0</t>
        </is>
      </c>
    </row>
    <row r="1476">
      <c r="A1476" t="inlineStr">
        <is>
          <t xml:space="preserve">Bandhan Mutual Fund</t>
        </is>
      </c>
      <c r="B1476" t="inlineStr">
        <is>
          <t xml:space="preserve">Bandhan US specific Equity Active FOF - IDCW - REGULAR PLAN</t>
        </is>
      </c>
      <c r="C1476" t="inlineStr">
        <is>
          <t xml:space="preserve">INF194KB1CD7</t>
        </is>
      </c>
    </row>
    <row r="1477">
      <c r="A1477" t="inlineStr">
        <is>
          <t xml:space="preserve">Bandhan Mutual Fund</t>
        </is>
      </c>
      <c r="B1477" t="inlineStr">
        <is>
          <t xml:space="preserve">Bandhan US Treasury Bond 0-1 year specific Debt Passive FOF - DIRECT PLAN - GROWTH</t>
        </is>
      </c>
      <c r="C1477" t="inlineStr">
        <is>
          <t xml:space="preserve">INF194KB1FV2</t>
        </is>
      </c>
    </row>
    <row r="1478">
      <c r="A1478" t="inlineStr">
        <is>
          <t xml:space="preserve">Bandhan Mutual Fund</t>
        </is>
      </c>
      <c r="B1478" t="inlineStr">
        <is>
          <t xml:space="preserve">Bandhan US Treasury Bond 0-1 year specific Debt Passive FOF - DIRECT PLAN - IDCW</t>
        </is>
      </c>
      <c r="C1478" t="inlineStr">
        <is>
          <t xml:space="preserve">INF194KB1FW0</t>
        </is>
      </c>
    </row>
    <row r="1479">
      <c r="A1479" t="inlineStr">
        <is>
          <t xml:space="preserve">Bandhan Mutual Fund</t>
        </is>
      </c>
      <c r="B1479" t="inlineStr">
        <is>
          <t xml:space="preserve">Bandhan US Treasury Bond 0-1 year specific Debt Passive FOF - REGULAR PLAN - GROWTH</t>
        </is>
      </c>
      <c r="C1479" t="inlineStr">
        <is>
          <t xml:space="preserve">INF194KB1FT6</t>
        </is>
      </c>
    </row>
    <row r="1480">
      <c r="A1480" t="inlineStr">
        <is>
          <t xml:space="preserve">Bandhan Mutual Fund</t>
        </is>
      </c>
      <c r="B1480" t="inlineStr">
        <is>
          <t xml:space="preserve">Bandhan US Treasury Bond 0-1 year specific Debt Passive FOF- REGULAR PLAN- IDCW</t>
        </is>
      </c>
      <c r="C1480" t="inlineStr">
        <is>
          <t xml:space="preserve">INF194KB1FU4</t>
        </is>
      </c>
    </row>
    <row r="1481">
      <c r="A1481" t="inlineStr">
        <is>
          <t xml:space="preserve">Bandhan Mutual Fund</t>
        </is>
      </c>
      <c r="B1481" t="inlineStr">
        <is>
          <t xml:space="preserve">Bandhan Value Fund - Direct Plan - Growth</t>
        </is>
      </c>
      <c r="C1481" t="inlineStr">
        <is>
          <t xml:space="preserve">INF194K01Z85</t>
        </is>
      </c>
    </row>
    <row r="1482">
      <c r="A1482" t="inlineStr">
        <is>
          <t xml:space="preserve">Bandhan Mutual Fund</t>
        </is>
      </c>
      <c r="B1482" t="inlineStr">
        <is>
          <t xml:space="preserve">Bandhan Value Fund - Direct Plan - IDCW</t>
        </is>
      </c>
      <c r="C1482" t="inlineStr">
        <is>
          <t xml:space="preserve">INF194K01Z93</t>
        </is>
      </c>
    </row>
    <row r="1483">
      <c r="A1483" t="inlineStr">
        <is>
          <t xml:space="preserve">Bandhan Mutual Fund</t>
        </is>
      </c>
      <c r="B1483" t="inlineStr">
        <is>
          <t xml:space="preserve">Bandhan Value Fund - Regular Plan - Growth</t>
        </is>
      </c>
      <c r="C1483" t="inlineStr">
        <is>
          <t xml:space="preserve">INF194K01342</t>
        </is>
      </c>
    </row>
    <row r="1484">
      <c r="A1484" t="inlineStr">
        <is>
          <t xml:space="preserve">Bandhan Mutual Fund</t>
        </is>
      </c>
      <c r="B1484" t="inlineStr">
        <is>
          <t xml:space="preserve">Bandhan Value Fund - Regular Plan - IDCW</t>
        </is>
      </c>
      <c r="C1484" t="inlineStr">
        <is>
          <t xml:space="preserve">INF194K01359</t>
        </is>
      </c>
    </row>
    <row r="1485">
      <c r="A1485" t="inlineStr">
        <is>
          <t xml:space="preserve">Bank of India Mutual Fund</t>
        </is>
      </c>
      <c r="B1485" t="inlineStr">
        <is>
          <t xml:space="preserve">BANK OF INDIA Arbitrage Fund Direct Plan Annual IDCW</t>
        </is>
      </c>
      <c r="C1485" t="inlineStr">
        <is>
          <t xml:space="preserve">INF761K01EI2</t>
        </is>
      </c>
    </row>
    <row r="1486">
      <c r="A1486" t="inlineStr">
        <is>
          <t xml:space="preserve">Bank of India Mutual Fund</t>
        </is>
      </c>
      <c r="B1486" t="inlineStr">
        <is>
          <t xml:space="preserve">BANK OF INDIA Arbitrage Fund Direct Plan Growth</t>
        </is>
      </c>
      <c r="C1486" t="inlineStr">
        <is>
          <t xml:space="preserve">INF761K01ED3</t>
        </is>
      </c>
    </row>
    <row r="1487">
      <c r="A1487" t="inlineStr">
        <is>
          <t xml:space="preserve">Bank of India Mutual Fund</t>
        </is>
      </c>
      <c r="B1487" t="inlineStr">
        <is>
          <t xml:space="preserve">BANK OF INDIA Arbitrage Fund Direct Plan Monthly IDCW</t>
        </is>
      </c>
      <c r="C1487" t="inlineStr">
        <is>
          <t xml:space="preserve">INF761K01EE1</t>
        </is>
      </c>
    </row>
    <row r="1488">
      <c r="A1488" t="inlineStr">
        <is>
          <t xml:space="preserve">Bank of India Mutual Fund</t>
        </is>
      </c>
      <c r="B1488" t="inlineStr">
        <is>
          <t xml:space="preserve">BANK OF INDIA Arbitrage Fund Direct Plan Quarterly IDCW</t>
        </is>
      </c>
      <c r="C1488" t="inlineStr">
        <is>
          <t xml:space="preserve">INF761K01EG6</t>
        </is>
      </c>
    </row>
    <row r="1489">
      <c r="A1489" t="inlineStr">
        <is>
          <t xml:space="preserve">Bank of India Mutual Fund</t>
        </is>
      </c>
      <c r="B1489" t="inlineStr">
        <is>
          <t xml:space="preserve">BANK OF INDIA Arbitrage Fund Regular Growth</t>
        </is>
      </c>
      <c r="C1489" t="inlineStr">
        <is>
          <t xml:space="preserve">INF761K01DW5</t>
        </is>
      </c>
    </row>
    <row r="1490">
      <c r="A1490" t="inlineStr">
        <is>
          <t xml:space="preserve">Bank of India Mutual Fund</t>
        </is>
      </c>
      <c r="B1490" t="inlineStr">
        <is>
          <t xml:space="preserve">BANK OF INDIA Arbitrage Fund Regular Plan IDCW Annual IDCW</t>
        </is>
      </c>
      <c r="C1490" t="inlineStr">
        <is>
          <t xml:space="preserve">INF761K01EB7</t>
        </is>
      </c>
    </row>
    <row r="1491">
      <c r="A1491" t="inlineStr">
        <is>
          <t xml:space="preserve">Bank of India Mutual Fund</t>
        </is>
      </c>
      <c r="B1491" t="inlineStr">
        <is>
          <t xml:space="preserve">BANK OF INDIA Arbitrage Fund Regular Plan IDCW Monthly IDCW</t>
        </is>
      </c>
      <c r="C1491" t="inlineStr">
        <is>
          <t xml:space="preserve">INF761K01DX3</t>
        </is>
      </c>
    </row>
    <row r="1492">
      <c r="A1492" t="inlineStr">
        <is>
          <t xml:space="preserve">Bank of India Mutual Fund</t>
        </is>
      </c>
      <c r="B1492" t="inlineStr">
        <is>
          <t xml:space="preserve">BANK OF INDIA Arbitrage Fund Regular Plan IDCW Quarterly IDCW</t>
        </is>
      </c>
      <c r="C1492" t="inlineStr">
        <is>
          <t xml:space="preserve">INF761K01DZ8</t>
        </is>
      </c>
    </row>
    <row r="1493">
      <c r="A1493" t="inlineStr">
        <is>
          <t xml:space="preserve">Bank of India Mutual Fund</t>
        </is>
      </c>
      <c r="B1493" t="inlineStr">
        <is>
          <t xml:space="preserve">BANK OF INDIA BALANCED ADVANTAGE FUND  DIRECT PLAN IDCW</t>
        </is>
      </c>
      <c r="C1493" t="inlineStr">
        <is>
          <t xml:space="preserve">INF761K01BM0</t>
        </is>
      </c>
    </row>
    <row r="1494">
      <c r="A1494" t="inlineStr">
        <is>
          <t xml:space="preserve">Bank of India Mutual Fund</t>
        </is>
      </c>
      <c r="B1494" t="inlineStr">
        <is>
          <t xml:space="preserve">BANK OF INDIA BALANCED ADVANTAGE FUND  REGULAR PLAN IDCW</t>
        </is>
      </c>
      <c r="C1494" t="inlineStr">
        <is>
          <t xml:space="preserve">INF761K01BP3</t>
        </is>
      </c>
    </row>
    <row r="1495">
      <c r="A1495" t="inlineStr">
        <is>
          <t xml:space="preserve">Bank of India Mutual Fund</t>
        </is>
      </c>
      <c r="B1495" t="inlineStr">
        <is>
          <t xml:space="preserve">BANK OF INDIA BALANCED ADVANTAGE FUND DIRECT PLAN  GROWTH</t>
        </is>
      </c>
      <c r="C1495" t="inlineStr">
        <is>
          <t xml:space="preserve">INF761K01BO6</t>
        </is>
      </c>
    </row>
    <row r="1496">
      <c r="A1496" t="inlineStr">
        <is>
          <t xml:space="preserve">Bank of India Mutual Fund</t>
        </is>
      </c>
      <c r="B1496" t="inlineStr">
        <is>
          <t xml:space="preserve">BANK OF INDIA BALANCED ADVANTAGE FUND REGULAR PLAN  GROWTH</t>
        </is>
      </c>
      <c r="C1496" t="inlineStr">
        <is>
          <t xml:space="preserve">INF761K01BR9</t>
        </is>
      </c>
    </row>
    <row r="1497">
      <c r="A1497" t="inlineStr">
        <is>
          <t xml:space="preserve">Bank of India Mutual Fund</t>
        </is>
      </c>
      <c r="B1497" t="inlineStr">
        <is>
          <t xml:space="preserve">Bank of India Banking &amp; Financial Services Fund - Direct Plan - Growth</t>
        </is>
      </c>
      <c r="C1497" t="inlineStr">
        <is>
          <t xml:space="preserve">INF761K01HE4</t>
        </is>
      </c>
    </row>
    <row r="1498">
      <c r="A1498" t="inlineStr">
        <is>
          <t xml:space="preserve">Bank of India Mutual Fund</t>
        </is>
      </c>
      <c r="B1498" t="inlineStr">
        <is>
          <t xml:space="preserve">Bank of India Banking &amp; Financial Services Fund - Direct Plan - IDCW</t>
        </is>
      </c>
      <c r="C1498" t="inlineStr">
        <is>
          <t xml:space="preserve">INF761K01HF1</t>
        </is>
      </c>
    </row>
    <row r="1499">
      <c r="A1499" t="inlineStr">
        <is>
          <t xml:space="preserve">Bank of India Mutual Fund</t>
        </is>
      </c>
      <c r="B1499" t="inlineStr">
        <is>
          <t xml:space="preserve">Bank of India Banking &amp; Financial Services Fund - Regular Plan - Growth</t>
        </is>
      </c>
      <c r="C1499" t="inlineStr">
        <is>
          <t xml:space="preserve">INF761K01HH7</t>
        </is>
      </c>
    </row>
    <row r="1500">
      <c r="A1500" t="inlineStr">
        <is>
          <t xml:space="preserve">Bank of India Mutual Fund</t>
        </is>
      </c>
      <c r="B1500" t="inlineStr">
        <is>
          <t xml:space="preserve">Bank of India Banking &amp; Financial Services Fund - Regular Plan - IDCW</t>
        </is>
      </c>
      <c r="C1500" t="inlineStr">
        <is>
          <t xml:space="preserve">INF761K01HI5</t>
        </is>
      </c>
    </row>
    <row r="1501">
      <c r="A1501" t="inlineStr">
        <is>
          <t xml:space="preserve">Bank of India Mutual Fund</t>
        </is>
      </c>
      <c r="B1501" t="inlineStr">
        <is>
          <t xml:space="preserve">Bank of India Business Cycle Fund - Direct Plan - Dividend</t>
        </is>
      </c>
      <c r="C1501" t="inlineStr">
        <is>
          <t xml:space="preserve">INF761K01GG1</t>
        </is>
      </c>
    </row>
    <row r="1502">
      <c r="A1502" t="inlineStr">
        <is>
          <t xml:space="preserve">Bank of India Mutual Fund</t>
        </is>
      </c>
      <c r="B1502" t="inlineStr">
        <is>
          <t xml:space="preserve">Bank of India Business Cycle Fund - Direct Plan - Growth</t>
        </is>
      </c>
      <c r="C1502" t="inlineStr">
        <is>
          <t xml:space="preserve">INF761K01GF3</t>
        </is>
      </c>
    </row>
    <row r="1503">
      <c r="A1503" t="inlineStr">
        <is>
          <t xml:space="preserve">Bank of India Mutual Fund</t>
        </is>
      </c>
      <c r="B1503" t="inlineStr">
        <is>
          <t xml:space="preserve">Bank of India Business Cycle Fund - Regular Plan - Dividend</t>
        </is>
      </c>
      <c r="C1503" t="inlineStr">
        <is>
          <t xml:space="preserve">INF761K01GD8</t>
        </is>
      </c>
    </row>
    <row r="1504">
      <c r="A1504" t="inlineStr">
        <is>
          <t xml:space="preserve">Bank of India Mutual Fund</t>
        </is>
      </c>
      <c r="B1504" t="inlineStr">
        <is>
          <t xml:space="preserve">Bank of India Business Cycle Fund - Regular Plan - Growth</t>
        </is>
      </c>
      <c r="C1504" t="inlineStr">
        <is>
          <t xml:space="preserve">INF761K01GC0</t>
        </is>
      </c>
    </row>
    <row r="1505">
      <c r="A1505" t="inlineStr">
        <is>
          <t xml:space="preserve">Bank of India Mutual Fund</t>
        </is>
      </c>
      <c r="B1505" t="inlineStr">
        <is>
          <t xml:space="preserve">BANK OF INDIA Conservative Hybrid  Fund-Direct Plan-Quarterly IDCW</t>
        </is>
      </c>
      <c r="C1505" t="inlineStr">
        <is>
          <t xml:space="preserve">INF761K01850</t>
        </is>
      </c>
    </row>
    <row r="1506">
      <c r="A1506" t="inlineStr">
        <is>
          <t xml:space="preserve">Bank of India Mutual Fund</t>
        </is>
      </c>
      <c r="B1506" t="inlineStr">
        <is>
          <t xml:space="preserve">BANK OF INDIA Conservative Hybrid  Fund-ECO Plan-Quarterly IDCW</t>
        </is>
      </c>
      <c r="C1506" t="inlineStr">
        <is>
          <t xml:space="preserve">INF761K01439</t>
        </is>
      </c>
    </row>
    <row r="1507">
      <c r="A1507" t="inlineStr">
        <is>
          <t xml:space="preserve">Bank of India Mutual Fund</t>
        </is>
      </c>
      <c r="B1507" t="inlineStr">
        <is>
          <t xml:space="preserve">BANK OF INDIA Conservative Hybrid Fund Fund-Direct Plan-Growth</t>
        </is>
      </c>
      <c r="C1507" t="inlineStr">
        <is>
          <t xml:space="preserve">INF761K01819</t>
        </is>
      </c>
    </row>
    <row r="1508">
      <c r="A1508" t="inlineStr">
        <is>
          <t xml:space="preserve">Bank of India Mutual Fund</t>
        </is>
      </c>
      <c r="B1508" t="inlineStr">
        <is>
          <t xml:space="preserve">BANK OF INDIA Conservative Hybrid Fund-Direct Plan-Annual IDCW</t>
        </is>
      </c>
      <c r="C1508" t="inlineStr">
        <is>
          <t xml:space="preserve">INF761K01793</t>
        </is>
      </c>
    </row>
    <row r="1509">
      <c r="A1509" t="inlineStr">
        <is>
          <t xml:space="preserve">Bank of India Mutual Fund</t>
        </is>
      </c>
      <c r="B1509" t="inlineStr">
        <is>
          <t xml:space="preserve">BANK OF INDIA Conservative Hybrid Fund-Direct Plan-Monthly IDCW</t>
        </is>
      </c>
      <c r="C1509" t="inlineStr">
        <is>
          <t xml:space="preserve">INF761K01835</t>
        </is>
      </c>
    </row>
    <row r="1510">
      <c r="A1510" t="inlineStr">
        <is>
          <t xml:space="preserve">Bank of India Mutual Fund</t>
        </is>
      </c>
      <c r="B1510" t="inlineStr">
        <is>
          <t xml:space="preserve">BANK OF INDIA Conservative Hybrid Fund-ECO Plan-Growth</t>
        </is>
      </c>
      <c r="C1510" t="inlineStr">
        <is>
          <t xml:space="preserve">INF761K01397</t>
        </is>
      </c>
    </row>
    <row r="1511">
      <c r="A1511" t="inlineStr">
        <is>
          <t xml:space="preserve">Bank of India Mutual Fund</t>
        </is>
      </c>
      <c r="B1511" t="inlineStr">
        <is>
          <t xml:space="preserve">BANK OF INDIA Conservative Hybrid Fund-ECO Plan-Monthly IDCW</t>
        </is>
      </c>
      <c r="C1511" t="inlineStr">
        <is>
          <t xml:space="preserve">INF761K01413</t>
        </is>
      </c>
    </row>
    <row r="1512">
      <c r="A1512" t="inlineStr">
        <is>
          <t xml:space="preserve">Bank of India Mutual Fund</t>
        </is>
      </c>
      <c r="B1512" t="inlineStr">
        <is>
          <t xml:space="preserve">BANK OF INDIA Conservative Hybrid Fund-Regular Plan-Annual IDCW</t>
        </is>
      </c>
      <c r="C1512" t="inlineStr">
        <is>
          <t xml:space="preserve">INF761K01454</t>
        </is>
      </c>
    </row>
    <row r="1513">
      <c r="A1513" t="inlineStr">
        <is>
          <t xml:space="preserve">Bank of India Mutual Fund</t>
        </is>
      </c>
      <c r="B1513" t="inlineStr">
        <is>
          <t xml:space="preserve">BANK OF INDIA Conservative Hybrid Fund-Regular Plan-Growth</t>
        </is>
      </c>
      <c r="C1513" t="inlineStr">
        <is>
          <t xml:space="preserve">INF761K01462</t>
        </is>
      </c>
    </row>
    <row r="1514">
      <c r="A1514" t="inlineStr">
        <is>
          <t xml:space="preserve">Bank of India Mutual Fund</t>
        </is>
      </c>
      <c r="B1514" t="inlineStr">
        <is>
          <t xml:space="preserve">BANK OF INDIA Conservative Hybrid Fund-Regular Plan-Monthly IDCW</t>
        </is>
      </c>
      <c r="C1514" t="inlineStr">
        <is>
          <t xml:space="preserve">INF761K01488</t>
        </is>
      </c>
    </row>
    <row r="1515">
      <c r="A1515" t="inlineStr">
        <is>
          <t xml:space="preserve">Bank of India Mutual Fund</t>
        </is>
      </c>
      <c r="B1515" t="inlineStr">
        <is>
          <t xml:space="preserve">BANK OF INDIA Conservative Hybrid Fund-Regular Plan-Quarterly IDCW</t>
        </is>
      </c>
      <c r="C1515" t="inlineStr">
        <is>
          <t xml:space="preserve">INF761K01504</t>
        </is>
      </c>
    </row>
    <row r="1516">
      <c r="A1516" t="inlineStr">
        <is>
          <t xml:space="preserve">Bank of India Mutual Fund</t>
        </is>
      </c>
      <c r="B1516" t="inlineStr">
        <is>
          <t xml:space="preserve">Bank of India Consumption Fund - Direct - Growth</t>
        </is>
      </c>
      <c r="C1516" t="inlineStr">
        <is>
          <t xml:space="preserve">INF761K01GI7</t>
        </is>
      </c>
    </row>
    <row r="1517">
      <c r="A1517" t="inlineStr">
        <is>
          <t xml:space="preserve">Bank of India Mutual Fund</t>
        </is>
      </c>
      <c r="B1517" t="inlineStr">
        <is>
          <t xml:space="preserve">Bank of India Consumption Fund - Direct - IDCW</t>
        </is>
      </c>
      <c r="C1517" t="inlineStr">
        <is>
          <t xml:space="preserve">INF761K01GJ5</t>
        </is>
      </c>
    </row>
    <row r="1518">
      <c r="A1518" t="inlineStr">
        <is>
          <t xml:space="preserve">Bank of India Mutual Fund</t>
        </is>
      </c>
      <c r="B1518" t="inlineStr">
        <is>
          <t xml:space="preserve">Bank of India Consumption Fund - Regular - Growth</t>
        </is>
      </c>
      <c r="C1518" t="inlineStr">
        <is>
          <t xml:space="preserve">INF761K01GL1</t>
        </is>
      </c>
    </row>
    <row r="1519">
      <c r="A1519" t="inlineStr">
        <is>
          <t xml:space="preserve">Bank of India Mutual Fund</t>
        </is>
      </c>
      <c r="B1519" t="inlineStr">
        <is>
          <t xml:space="preserve">Bank of India Consumption Fund - Regular - IDCW</t>
        </is>
      </c>
      <c r="C1519" t="inlineStr">
        <is>
          <t xml:space="preserve">INF761K01GM9</t>
        </is>
      </c>
    </row>
    <row r="1520">
      <c r="A1520" t="inlineStr">
        <is>
          <t xml:space="preserve">Bank of India Mutual Fund</t>
        </is>
      </c>
      <c r="B1520" t="inlineStr">
        <is>
          <t xml:space="preserve">BANK OF INDIA Credit Risk  Fund - Direct Plan</t>
        </is>
      </c>
      <c r="C1520" t="inlineStr">
        <is>
          <t xml:space="preserve">INF761K01DG8</t>
        </is>
      </c>
    </row>
    <row r="1521">
      <c r="A1521" t="inlineStr">
        <is>
          <t xml:space="preserve">Bank of India Mutual Fund</t>
        </is>
      </c>
      <c r="B1521" t="inlineStr">
        <is>
          <t xml:space="preserve">BANK OF INDIA Credit Risk Fund - Regular Plan</t>
        </is>
      </c>
      <c r="C1521" t="inlineStr">
        <is>
          <t xml:space="preserve">INF761K01DH6</t>
        </is>
      </c>
    </row>
    <row r="1522">
      <c r="A1522" t="inlineStr">
        <is>
          <t xml:space="preserve">Bank of India Mutual Fund</t>
        </is>
      </c>
      <c r="B1522" t="inlineStr">
        <is>
          <t xml:space="preserve">BANK OF INDIA ELSS Tax Saver -Direct Plan- Growth</t>
        </is>
      </c>
      <c r="C1522" t="inlineStr">
        <is>
          <t xml:space="preserve">INF761K01884</t>
        </is>
      </c>
    </row>
    <row r="1523">
      <c r="A1523" t="inlineStr">
        <is>
          <t xml:space="preserve">Bank of India Mutual Fund</t>
        </is>
      </c>
      <c r="B1523" t="inlineStr">
        <is>
          <t xml:space="preserve">BANK OF INDIA ELSS Tax Saver -Direct Plan-IDCW</t>
        </is>
      </c>
      <c r="C1523" t="inlineStr">
        <is>
          <t xml:space="preserve">INF761K01876</t>
        </is>
      </c>
    </row>
    <row r="1524">
      <c r="A1524" t="inlineStr">
        <is>
          <t xml:space="preserve">Bank of India Mutual Fund</t>
        </is>
      </c>
      <c r="B1524" t="inlineStr">
        <is>
          <t xml:space="preserve">BANK OF INDIA ELSS Tax Saver -ECO Plan-Growth</t>
        </is>
      </c>
      <c r="C1524" t="inlineStr">
        <is>
          <t xml:space="preserve">INF761K01157</t>
        </is>
      </c>
    </row>
    <row r="1525">
      <c r="A1525" t="inlineStr">
        <is>
          <t xml:space="preserve">Bank of India Mutual Fund</t>
        </is>
      </c>
      <c r="B1525" t="inlineStr">
        <is>
          <t xml:space="preserve">BANK OF INDIA ELSS Tax Saver -ECO Plan-IDCW</t>
        </is>
      </c>
      <c r="C1525" t="inlineStr">
        <is>
          <t xml:space="preserve">INF761K01132</t>
        </is>
      </c>
    </row>
    <row r="1526">
      <c r="A1526" t="inlineStr">
        <is>
          <t xml:space="preserve">Bank of India Mutual Fund</t>
        </is>
      </c>
      <c r="B1526" t="inlineStr">
        <is>
          <t xml:space="preserve">BANK OF INDIA ELSS Tax Saver -Regular Plan- Growth</t>
        </is>
      </c>
      <c r="C1526" t="inlineStr">
        <is>
          <t xml:space="preserve">INF761K01181</t>
        </is>
      </c>
    </row>
    <row r="1527">
      <c r="A1527" t="inlineStr">
        <is>
          <t xml:space="preserve">Bank of India Mutual Fund</t>
        </is>
      </c>
      <c r="B1527" t="inlineStr">
        <is>
          <t xml:space="preserve">BANK OF INDIA ELSS Tax Saver -Regular Plan-IDCW</t>
        </is>
      </c>
      <c r="C1527" t="inlineStr">
        <is>
          <t xml:space="preserve">INF761K01165</t>
        </is>
      </c>
    </row>
    <row r="1528">
      <c r="A1528" t="inlineStr">
        <is>
          <t xml:space="preserve">Bank of India Mutual Fund</t>
        </is>
      </c>
      <c r="B1528" t="inlineStr">
        <is>
          <t xml:space="preserve">BANK OF INDIA Flexi Cap Fund Direct Plan -Growth</t>
        </is>
      </c>
      <c r="C1528" t="inlineStr">
        <is>
          <t xml:space="preserve">INF761K01FF5</t>
        </is>
      </c>
    </row>
    <row r="1529">
      <c r="A1529" t="inlineStr">
        <is>
          <t xml:space="preserve">Bank of India Mutual Fund</t>
        </is>
      </c>
      <c r="B1529" t="inlineStr">
        <is>
          <t xml:space="preserve">BANK OF INDIA Flexi Cap Fund Direct Plan -IDCW</t>
        </is>
      </c>
      <c r="C1529" t="inlineStr">
        <is>
          <t xml:space="preserve">INF761K01FE8</t>
        </is>
      </c>
    </row>
    <row r="1530">
      <c r="A1530" t="inlineStr">
        <is>
          <t xml:space="preserve">Bank of India Mutual Fund</t>
        </is>
      </c>
      <c r="B1530" t="inlineStr">
        <is>
          <t xml:space="preserve">BANK OF INDIA Flexi Cap Fund Regular Plan -Growth</t>
        </is>
      </c>
      <c r="C1530" t="inlineStr">
        <is>
          <t xml:space="preserve">INF761K01FI9</t>
        </is>
      </c>
    </row>
    <row r="1531">
      <c r="A1531" t="inlineStr">
        <is>
          <t xml:space="preserve">Bank of India Mutual Fund</t>
        </is>
      </c>
      <c r="B1531" t="inlineStr">
        <is>
          <t xml:space="preserve">BANK OF INDIA Flexi Cap Fund Regular Plan -IDCW</t>
        </is>
      </c>
      <c r="C1531" t="inlineStr">
        <is>
          <t xml:space="preserve">INF761K01FH1</t>
        </is>
      </c>
    </row>
    <row r="1532">
      <c r="A1532" t="inlineStr">
        <is>
          <t xml:space="preserve">Bank of India Mutual Fund</t>
        </is>
      </c>
      <c r="B1532" t="inlineStr">
        <is>
          <t xml:space="preserve">BANK OF INDIA Large &amp; Mid Cap Fund Direct  Plan- Quarterly IDCW</t>
        </is>
      </c>
      <c r="C1532" t="inlineStr">
        <is>
          <t xml:space="preserve">INF761K01678</t>
        </is>
      </c>
    </row>
    <row r="1533">
      <c r="A1533" t="inlineStr">
        <is>
          <t xml:space="preserve">Bank of India Mutual Fund</t>
        </is>
      </c>
      <c r="B1533" t="inlineStr">
        <is>
          <t xml:space="preserve">BANK OF INDIA Large &amp; Mid Cap Fund Direct Plan- Bonus</t>
        </is>
      </c>
      <c r="C1533" t="inlineStr">
        <is>
          <t xml:space="preserve">INF761K01629</t>
        </is>
      </c>
    </row>
    <row r="1534">
      <c r="A1534" t="inlineStr">
        <is>
          <t xml:space="preserve">Bank of India Mutual Fund</t>
        </is>
      </c>
      <c r="B1534" t="inlineStr">
        <is>
          <t xml:space="preserve">BANK OF INDIA Large &amp; Mid Cap Fund Direct Plan-Growth</t>
        </is>
      </c>
      <c r="C1534" t="inlineStr">
        <is>
          <t xml:space="preserve">INF761K01652</t>
        </is>
      </c>
    </row>
    <row r="1535">
      <c r="A1535" t="inlineStr">
        <is>
          <t xml:space="preserve">Bank of India Mutual Fund</t>
        </is>
      </c>
      <c r="B1535" t="inlineStr">
        <is>
          <t xml:space="preserve">BANK OF INDIA Large &amp; Mid Cap Fund Direct Plan-Regular IDCW</t>
        </is>
      </c>
      <c r="C1535" t="inlineStr">
        <is>
          <t xml:space="preserve">INF761K01645</t>
        </is>
      </c>
    </row>
    <row r="1536">
      <c r="A1536" t="inlineStr">
        <is>
          <t xml:space="preserve">Bank of India Mutual Fund</t>
        </is>
      </c>
      <c r="B1536" t="inlineStr">
        <is>
          <t xml:space="preserve">BANK OF INDIA Large &amp; Mid Cap Fund Eco Plan- Growth</t>
        </is>
      </c>
      <c r="C1536" t="inlineStr">
        <is>
          <t xml:space="preserve">INF761K01041</t>
        </is>
      </c>
    </row>
    <row r="1537">
      <c r="A1537" t="inlineStr">
        <is>
          <t xml:space="preserve">Bank of India Mutual Fund</t>
        </is>
      </c>
      <c r="B1537" t="inlineStr">
        <is>
          <t xml:space="preserve">BANK OF INDIA Large &amp; Mid Cap Fund Eco Plan-Bonus</t>
        </is>
      </c>
      <c r="C1537" t="inlineStr">
        <is>
          <t xml:space="preserve">INF761K01017</t>
        </is>
      </c>
    </row>
    <row r="1538">
      <c r="A1538" t="inlineStr">
        <is>
          <t xml:space="preserve">Bank of India Mutual Fund</t>
        </is>
      </c>
      <c r="B1538" t="inlineStr">
        <is>
          <t xml:space="preserve">BANK OF INDIA Large &amp; Mid Cap Fund Eco Plan-Quarterly IDCW</t>
        </is>
      </c>
      <c r="C1538" t="inlineStr">
        <is>
          <t xml:space="preserve">INF761K01058</t>
        </is>
      </c>
    </row>
    <row r="1539">
      <c r="A1539" t="inlineStr">
        <is>
          <t xml:space="preserve">Bank of India Mutual Fund</t>
        </is>
      </c>
      <c r="B1539" t="inlineStr">
        <is>
          <t xml:space="preserve">BANK OF INDIA Large &amp; Mid Cap Fund Eco Plan-Regular IDCW</t>
        </is>
      </c>
      <c r="C1539" t="inlineStr">
        <is>
          <t xml:space="preserve">INF761K01025</t>
        </is>
      </c>
    </row>
    <row r="1540">
      <c r="A1540" t="inlineStr">
        <is>
          <t xml:space="preserve">Bank of India Mutual Fund</t>
        </is>
      </c>
      <c r="B1540" t="inlineStr">
        <is>
          <t xml:space="preserve">BANK OF INDIA Large &amp; Mid Cap Fund Regular Plan- Growth</t>
        </is>
      </c>
      <c r="C1540" t="inlineStr">
        <is>
          <t xml:space="preserve">INF761K01108</t>
        </is>
      </c>
    </row>
    <row r="1541">
      <c r="A1541" t="inlineStr">
        <is>
          <t xml:space="preserve">Bank of India Mutual Fund</t>
        </is>
      </c>
      <c r="B1541" t="inlineStr">
        <is>
          <t xml:space="preserve">BANK OF INDIA Large &amp; Mid Cap Fund Regular Plan- Quarterly IDCW</t>
        </is>
      </c>
      <c r="C1541" t="inlineStr">
        <is>
          <t xml:space="preserve">INF761K01116</t>
        </is>
      </c>
    </row>
    <row r="1542">
      <c r="A1542" t="inlineStr">
        <is>
          <t xml:space="preserve">Bank of India Mutual Fund</t>
        </is>
      </c>
      <c r="B1542" t="inlineStr">
        <is>
          <t xml:space="preserve">BANK OF INDIA Large &amp; Mid Cap Fund Regular Plan- Regular IDCW</t>
        </is>
      </c>
      <c r="C1542" t="inlineStr">
        <is>
          <t xml:space="preserve">INF761K01082</t>
        </is>
      </c>
    </row>
    <row r="1543">
      <c r="A1543" t="inlineStr">
        <is>
          <t xml:space="preserve">Bank of India Mutual Fund</t>
        </is>
      </c>
      <c r="B1543" t="inlineStr">
        <is>
          <t xml:space="preserve">BANK OF INDIA Large &amp; Mid Cap Fund Regular Plan-Bonus</t>
        </is>
      </c>
      <c r="C1543" t="inlineStr">
        <is>
          <t xml:space="preserve">INF761K01074</t>
        </is>
      </c>
    </row>
    <row r="1544">
      <c r="A1544" t="inlineStr">
        <is>
          <t xml:space="preserve">Bank of India Mutual Fund</t>
        </is>
      </c>
      <c r="B1544" t="inlineStr">
        <is>
          <t xml:space="preserve">BANK OF INDIA Large Cap Fund Direct Plan Growth</t>
        </is>
      </c>
      <c r="C1544" t="inlineStr">
        <is>
          <t xml:space="preserve">INF761K01FL3</t>
        </is>
      </c>
    </row>
    <row r="1545">
      <c r="A1545" t="inlineStr">
        <is>
          <t xml:space="preserve">Bank of India Mutual Fund</t>
        </is>
      </c>
      <c r="B1545" t="inlineStr">
        <is>
          <t xml:space="preserve">BANK OF INDIA Large Cap Fund Direct Plan IDCW</t>
        </is>
      </c>
      <c r="C1545" t="inlineStr">
        <is>
          <t xml:space="preserve">INF761K01FK5</t>
        </is>
      </c>
    </row>
    <row r="1546">
      <c r="A1546" t="inlineStr">
        <is>
          <t xml:space="preserve">Bank of India Mutual Fund</t>
        </is>
      </c>
      <c r="B1546" t="inlineStr">
        <is>
          <t xml:space="preserve">BANK OF INDIA Large Cap Fund Regular Plan Growth</t>
        </is>
      </c>
      <c r="C1546" t="inlineStr">
        <is>
          <t xml:space="preserve">INF761K01FO7</t>
        </is>
      </c>
    </row>
    <row r="1547">
      <c r="A1547" t="inlineStr">
        <is>
          <t xml:space="preserve">Bank of India Mutual Fund</t>
        </is>
      </c>
      <c r="B1547" t="inlineStr">
        <is>
          <t xml:space="preserve">BANK OF INDIA Large Cap Fund Regular Plan IDCW</t>
        </is>
      </c>
      <c r="C1547" t="inlineStr">
        <is>
          <t xml:space="preserve">INF761K01FN9</t>
        </is>
      </c>
    </row>
    <row r="1548">
      <c r="A1548" t="inlineStr">
        <is>
          <t xml:space="preserve">Bank of India Mutual Fund</t>
        </is>
      </c>
      <c r="B1548" t="inlineStr">
        <is>
          <t xml:space="preserve">BANK OF INDIA Liquid Fund- Direct Plan- Daily IDCW</t>
        </is>
      </c>
      <c r="C1548" t="inlineStr">
        <is>
          <t xml:space="preserve">INF761K01CL0</t>
        </is>
      </c>
    </row>
    <row r="1549">
      <c r="A1549" t="inlineStr">
        <is>
          <t xml:space="preserve">Bank of India Mutual Fund</t>
        </is>
      </c>
      <c r="B1549" t="inlineStr">
        <is>
          <t xml:space="preserve">BANK OF INDIA Liquid Fund- Direct Plan- Growth</t>
        </is>
      </c>
      <c r="C1549" t="inlineStr">
        <is>
          <t xml:space="preserve">INF761K01785</t>
        </is>
      </c>
    </row>
    <row r="1550">
      <c r="A1550" t="inlineStr">
        <is>
          <t xml:space="preserve">Bank of India Mutual Fund</t>
        </is>
      </c>
      <c r="B1550" t="inlineStr">
        <is>
          <t xml:space="preserve">BANK OF INDIA Liquid Fund- Direct Plan- Weekly IDCW</t>
        </is>
      </c>
      <c r="C1550" t="inlineStr">
        <is>
          <t xml:space="preserve">INF761K01CM8</t>
        </is>
      </c>
    </row>
    <row r="1551">
      <c r="A1551" t="inlineStr">
        <is>
          <t xml:space="preserve">Bank of India Mutual Fund</t>
        </is>
      </c>
      <c r="B1551" t="inlineStr">
        <is>
          <t xml:space="preserve">BANK OF INDIA Liquid Fund- Regular Plan- Daily IDCW</t>
        </is>
      </c>
      <c r="C1551" t="inlineStr">
        <is>
          <t xml:space="preserve">INF761K01CO4</t>
        </is>
      </c>
    </row>
    <row r="1552">
      <c r="A1552" t="inlineStr">
        <is>
          <t xml:space="preserve">Bank of India Mutual Fund</t>
        </is>
      </c>
      <c r="B1552" t="inlineStr">
        <is>
          <t xml:space="preserve">BANK OF INDIA Liquid Fund- Regular Plan- Growth</t>
        </is>
      </c>
      <c r="C1552" t="inlineStr">
        <is>
          <t xml:space="preserve">INF761K01306</t>
        </is>
      </c>
    </row>
    <row r="1553">
      <c r="A1553" t="inlineStr">
        <is>
          <t xml:space="preserve">Bank of India Mutual Fund</t>
        </is>
      </c>
      <c r="B1553" t="inlineStr">
        <is>
          <t xml:space="preserve">BANK OF INDIA Liquid Fund- Regular Plan- Weekly IDCW</t>
        </is>
      </c>
      <c r="C1553" t="inlineStr">
        <is>
          <t xml:space="preserve">INF761K01CP1</t>
        </is>
      </c>
    </row>
    <row r="1554">
      <c r="A1554" t="inlineStr">
        <is>
          <t xml:space="preserve">Bank of India Mutual Fund</t>
        </is>
      </c>
      <c r="B1554" t="inlineStr">
        <is>
          <t xml:space="preserve">BANK OF INDIA Manufacturing &amp; Infrastructure Fund-Direct Plan-Growth</t>
        </is>
      </c>
      <c r="C1554" t="inlineStr">
        <is>
          <t xml:space="preserve">INF761K01702</t>
        </is>
      </c>
    </row>
    <row r="1555">
      <c r="A1555" t="inlineStr">
        <is>
          <t xml:space="preserve">Bank of India Mutual Fund</t>
        </is>
      </c>
      <c r="B1555" t="inlineStr">
        <is>
          <t xml:space="preserve">BANK OF INDIA Manufacturing &amp; Infrastructure Fund-Direct Plan-Quarterly IDCW</t>
        </is>
      </c>
      <c r="C1555" t="inlineStr">
        <is>
          <t xml:space="preserve">INF761K01728</t>
        </is>
      </c>
    </row>
    <row r="1556">
      <c r="A1556" t="inlineStr">
        <is>
          <t xml:space="preserve">Bank of India Mutual Fund</t>
        </is>
      </c>
      <c r="B1556" t="inlineStr">
        <is>
          <t xml:space="preserve">BANK OF INDIA Manufacturing &amp; Infrastructure Fund-Direct Plan-Regular IDCW</t>
        </is>
      </c>
      <c r="C1556" t="inlineStr">
        <is>
          <t xml:space="preserve">INF761K01694</t>
        </is>
      </c>
    </row>
    <row r="1557">
      <c r="A1557" t="inlineStr">
        <is>
          <t xml:space="preserve">Bank of India Mutual Fund</t>
        </is>
      </c>
      <c r="B1557" t="inlineStr">
        <is>
          <t xml:space="preserve">BANK OF INDIA Manufacturing &amp; Infrastructure Fund-Growth</t>
        </is>
      </c>
      <c r="C1557" t="inlineStr">
        <is>
          <t xml:space="preserve">INF761K01199</t>
        </is>
      </c>
    </row>
    <row r="1558">
      <c r="A1558" t="inlineStr">
        <is>
          <t xml:space="preserve">Bank of India Mutual Fund</t>
        </is>
      </c>
      <c r="B1558" t="inlineStr">
        <is>
          <t xml:space="preserve">BANK OF INDIA Manufacturing &amp; Infrastructure Fund-Quarterly IDCW</t>
        </is>
      </c>
      <c r="C1558" t="inlineStr">
        <is>
          <t xml:space="preserve">INF761K01231</t>
        </is>
      </c>
    </row>
    <row r="1559">
      <c r="A1559" t="inlineStr">
        <is>
          <t xml:space="preserve">Bank of India Mutual Fund</t>
        </is>
      </c>
      <c r="B1559" t="inlineStr">
        <is>
          <t xml:space="preserve">BANK OF INDIA Manufacturing &amp; Infrastructure Fund-Regular IDCW</t>
        </is>
      </c>
      <c r="C1559" t="inlineStr">
        <is>
          <t xml:space="preserve">INF761K01215</t>
        </is>
      </c>
    </row>
    <row r="1560">
      <c r="A1560" t="inlineStr">
        <is>
          <t xml:space="preserve">Bank of India Mutual Fund</t>
        </is>
      </c>
      <c r="B1560" t="inlineStr">
        <is>
          <t xml:space="preserve">BANK OF INDIA MID &amp; SMALL CAP EQUITY &amp; DEBT FUND - DIRECT PLAN GROWTH</t>
        </is>
      </c>
      <c r="C1560" t="inlineStr">
        <is>
          <t xml:space="preserve">INF761K01DM6</t>
        </is>
      </c>
    </row>
    <row r="1561">
      <c r="A1561" t="inlineStr">
        <is>
          <t xml:space="preserve">Bank of India Mutual Fund</t>
        </is>
      </c>
      <c r="B1561" t="inlineStr">
        <is>
          <t xml:space="preserve">BANK OF INDIA MID &amp; SMALL CAP EQUITY &amp; DEBT FUND - DIRECT PLAN IDCW</t>
        </is>
      </c>
      <c r="C1561" t="inlineStr">
        <is>
          <t xml:space="preserve">INF761K01DN4</t>
        </is>
      </c>
    </row>
    <row r="1562">
      <c r="A1562" t="inlineStr">
        <is>
          <t xml:space="preserve">Bank of India Mutual Fund</t>
        </is>
      </c>
      <c r="B1562" t="inlineStr">
        <is>
          <t xml:space="preserve">BANK OF INDIA MID &amp; SMALL CAP EQUITY &amp; DEBT FUND - REGULAR  PLAN  GROWTH</t>
        </is>
      </c>
      <c r="C1562" t="inlineStr">
        <is>
          <t xml:space="preserve">INF761K01DP9</t>
        </is>
      </c>
    </row>
    <row r="1563">
      <c r="A1563" t="inlineStr">
        <is>
          <t xml:space="preserve">Bank of India Mutual Fund</t>
        </is>
      </c>
      <c r="B1563" t="inlineStr">
        <is>
          <t xml:space="preserve">BANK OF INDIA MID &amp; SMALL CAP EQUITY &amp; DEBT FUND - REGULAR  PLAN IDCW</t>
        </is>
      </c>
      <c r="C1563" t="inlineStr">
        <is>
          <t xml:space="preserve">INF761K01DQ7</t>
        </is>
      </c>
    </row>
    <row r="1564">
      <c r="A1564" t="inlineStr">
        <is>
          <t xml:space="preserve">Bank of India Mutual Fund</t>
        </is>
      </c>
      <c r="B1564" t="inlineStr">
        <is>
          <t xml:space="preserve">Bank of India Mid Cap Fund - Direct Plan Growth</t>
        </is>
      </c>
      <c r="C1564" t="inlineStr">
        <is>
          <t xml:space="preserve">INF761K01GY4</t>
        </is>
      </c>
    </row>
    <row r="1565">
      <c r="A1565" t="inlineStr">
        <is>
          <t xml:space="preserve">Bank of India Mutual Fund</t>
        </is>
      </c>
      <c r="B1565" t="inlineStr">
        <is>
          <t xml:space="preserve">Bank of India Mid Cap Fund - Direct Plan IDCW</t>
        </is>
      </c>
      <c r="C1565" t="inlineStr">
        <is>
          <t xml:space="preserve">INF761K01GZ1</t>
        </is>
      </c>
    </row>
    <row r="1566">
      <c r="A1566" t="inlineStr">
        <is>
          <t xml:space="preserve">Bank of India Mutual Fund</t>
        </is>
      </c>
      <c r="B1566" t="inlineStr">
        <is>
          <t xml:space="preserve">Bank of India Mid Cap Fund - Regular Plan Growth</t>
        </is>
      </c>
      <c r="C1566" t="inlineStr">
        <is>
          <t xml:space="preserve">INF761K01HB0</t>
        </is>
      </c>
    </row>
    <row r="1567">
      <c r="A1567" t="inlineStr">
        <is>
          <t xml:space="preserve">Bank of India Mutual Fund</t>
        </is>
      </c>
      <c r="B1567" t="inlineStr">
        <is>
          <t xml:space="preserve">Bank of India Mid Cap Fund - Regular Plan IDCW</t>
        </is>
      </c>
      <c r="C1567" t="inlineStr">
        <is>
          <t xml:space="preserve">INF761K01HC8</t>
        </is>
      </c>
    </row>
    <row r="1568">
      <c r="A1568" t="inlineStr">
        <is>
          <t xml:space="preserve">Bank of India Mutual Fund</t>
        </is>
      </c>
      <c r="B1568" t="inlineStr">
        <is>
          <t xml:space="preserve">BANK OF INDIA Mid Cap Tax Fund Series 1 Direct Plan Growth</t>
        </is>
      </c>
      <c r="C1568" t="inlineStr">
        <is>
          <t xml:space="preserve">INF761K01DS3</t>
        </is>
      </c>
    </row>
    <row r="1569">
      <c r="A1569" t="inlineStr">
        <is>
          <t xml:space="preserve">Bank of India Mutual Fund</t>
        </is>
      </c>
      <c r="B1569" t="inlineStr">
        <is>
          <t xml:space="preserve">BANK OF INDIA Mid Cap Tax Fund Series 1 Direct Plan IDCW</t>
        </is>
      </c>
      <c r="C1569" t="inlineStr">
        <is>
          <t xml:space="preserve">INF761K01DT1</t>
        </is>
      </c>
    </row>
    <row r="1570">
      <c r="A1570" t="inlineStr">
        <is>
          <t xml:space="preserve">Bank of India Mutual Fund</t>
        </is>
      </c>
      <c r="B1570" t="inlineStr">
        <is>
          <t xml:space="preserve">BANK OF INDIA Mid Cap Tax Fund Series 1 Regular Plan Growth</t>
        </is>
      </c>
      <c r="C1570" t="inlineStr">
        <is>
          <t xml:space="preserve">INF761K01DU9</t>
        </is>
      </c>
    </row>
    <row r="1571">
      <c r="A1571" t="inlineStr">
        <is>
          <t xml:space="preserve">Bank of India Mutual Fund</t>
        </is>
      </c>
      <c r="B1571" t="inlineStr">
        <is>
          <t xml:space="preserve">BANK OF INDIA Mid Cap Tax Fund Series 1 Regular Plan IDCW</t>
        </is>
      </c>
      <c r="C1571" t="inlineStr">
        <is>
          <t xml:space="preserve">INF761K01DV7</t>
        </is>
      </c>
    </row>
    <row r="1572">
      <c r="A1572" t="inlineStr">
        <is>
          <t xml:space="preserve">Bank of India Mutual Fund</t>
        </is>
      </c>
      <c r="B1572" t="inlineStr">
        <is>
          <t xml:space="preserve">BANK OF INDIA Midcap Tax Fund Series 2 Direct Plan Growth</t>
        </is>
      </c>
      <c r="C1572" t="inlineStr">
        <is>
          <t xml:space="preserve">INF761K01EL6</t>
        </is>
      </c>
    </row>
    <row r="1573">
      <c r="A1573" t="inlineStr">
        <is>
          <t xml:space="preserve">Bank of India Mutual Fund</t>
        </is>
      </c>
      <c r="B1573" t="inlineStr">
        <is>
          <t xml:space="preserve">BANK OF INDIA Midcap Tax Fund Series 2 Direct Plan IDCW</t>
        </is>
      </c>
      <c r="C1573" t="inlineStr">
        <is>
          <t xml:space="preserve">INF761K01EK8</t>
        </is>
      </c>
    </row>
    <row r="1574">
      <c r="A1574" t="inlineStr">
        <is>
          <t xml:space="preserve">Bank of India Mutual Fund</t>
        </is>
      </c>
      <c r="B1574" t="inlineStr">
        <is>
          <t xml:space="preserve">BANK OF INDIA Midcap Tax Fund Series 2 Regular Plan Growth</t>
        </is>
      </c>
      <c r="C1574" t="inlineStr">
        <is>
          <t xml:space="preserve">INF761K01EN2</t>
        </is>
      </c>
    </row>
    <row r="1575">
      <c r="A1575" t="inlineStr">
        <is>
          <t xml:space="preserve">Bank of India Mutual Fund</t>
        </is>
      </c>
      <c r="B1575" t="inlineStr">
        <is>
          <t xml:space="preserve">BANK OF INDIA Midcap Tax Fund Series 2 Regular Plan IDCW</t>
        </is>
      </c>
      <c r="C1575" t="inlineStr">
        <is>
          <t xml:space="preserve">INF761K01EM4</t>
        </is>
      </c>
    </row>
    <row r="1576">
      <c r="A1576" t="inlineStr">
        <is>
          <t xml:space="preserve">Bank of India Mutual Fund</t>
        </is>
      </c>
      <c r="B1576" t="inlineStr">
        <is>
          <t xml:space="preserve">Bank of India Money Market Fund - Direct - Daily IDCW</t>
        </is>
      </c>
      <c r="C1576" t="inlineStr">
        <is>
          <t xml:space="preserve">INF761K01GP2</t>
        </is>
      </c>
    </row>
    <row r="1577">
      <c r="A1577" t="inlineStr">
        <is>
          <t xml:space="preserve">Bank of India Mutual Fund</t>
        </is>
      </c>
      <c r="B1577" t="inlineStr">
        <is>
          <t xml:space="preserve">Bank of India Money Market Fund - Direct - Growth</t>
        </is>
      </c>
      <c r="C1577" t="inlineStr">
        <is>
          <t xml:space="preserve">INF761K01GO5</t>
        </is>
      </c>
    </row>
    <row r="1578">
      <c r="A1578" t="inlineStr">
        <is>
          <t xml:space="preserve">Bank of India Mutual Fund</t>
        </is>
      </c>
      <c r="B1578" t="inlineStr">
        <is>
          <t xml:space="preserve">Bank of India Money Market Fund - Direct - Monthly IDCW</t>
        </is>
      </c>
      <c r="C1578" t="inlineStr">
        <is>
          <t xml:space="preserve">INF761K01GR8</t>
        </is>
      </c>
    </row>
    <row r="1579">
      <c r="A1579" t="inlineStr">
        <is>
          <t xml:space="preserve">Bank of India Mutual Fund</t>
        </is>
      </c>
      <c r="B1579" t="inlineStr">
        <is>
          <t xml:space="preserve">Bank of India Money Market Fund - Regular - Daily IDCW</t>
        </is>
      </c>
      <c r="C1579" t="inlineStr">
        <is>
          <t xml:space="preserve">INF761K01GT4</t>
        </is>
      </c>
    </row>
    <row r="1580">
      <c r="A1580" t="inlineStr">
        <is>
          <t xml:space="preserve">Bank of India Mutual Fund</t>
        </is>
      </c>
      <c r="B1580" t="inlineStr">
        <is>
          <t xml:space="preserve">Bank of India Money Market Fund - Regular - Growth</t>
        </is>
      </c>
      <c r="C1580" t="inlineStr">
        <is>
          <t xml:space="preserve">INF761K01GS6</t>
        </is>
      </c>
    </row>
    <row r="1581">
      <c r="A1581" t="inlineStr">
        <is>
          <t xml:space="preserve">Bank of India Mutual Fund</t>
        </is>
      </c>
      <c r="B1581" t="inlineStr">
        <is>
          <t xml:space="preserve">Bank of India Money Market Fund - Regular - Monthly IDCW</t>
        </is>
      </c>
      <c r="C1581" t="inlineStr">
        <is>
          <t xml:space="preserve">INF761K01GW8</t>
        </is>
      </c>
    </row>
    <row r="1582">
      <c r="A1582" t="inlineStr">
        <is>
          <t xml:space="preserve">Bank of India Mutual Fund</t>
        </is>
      </c>
      <c r="B1582" t="inlineStr">
        <is>
          <t xml:space="preserve">Bank of India Money Market Fund - Regular - Weekly IDCW</t>
        </is>
      </c>
      <c r="C1582" t="inlineStr">
        <is>
          <t xml:space="preserve">INF761K01GU2</t>
        </is>
      </c>
    </row>
    <row r="1583">
      <c r="A1583" t="inlineStr">
        <is>
          <t xml:space="preserve">Bank of India Mutual Fund</t>
        </is>
      </c>
      <c r="B1583" t="inlineStr">
        <is>
          <t xml:space="preserve">Bank of India Multi Asset Allocation Fund-Direct Plan-Growth</t>
        </is>
      </c>
      <c r="C1583" t="inlineStr">
        <is>
          <t xml:space="preserve">INF761K01FZ3</t>
        </is>
      </c>
    </row>
    <row r="1584">
      <c r="A1584" t="inlineStr">
        <is>
          <t xml:space="preserve">Bank of India Mutual Fund</t>
        </is>
      </c>
      <c r="B1584" t="inlineStr">
        <is>
          <t xml:space="preserve">Bank of India Multi Asset Allocation Fund-Direct Plan-IDCW</t>
        </is>
      </c>
      <c r="C1584" t="inlineStr">
        <is>
          <t xml:space="preserve">INF761K01GA4</t>
        </is>
      </c>
    </row>
    <row r="1585">
      <c r="A1585" t="inlineStr">
        <is>
          <t xml:space="preserve">Bank of India Mutual Fund</t>
        </is>
      </c>
      <c r="B1585" t="inlineStr">
        <is>
          <t xml:space="preserve">Bank of India Multi Asset Allocation Fund-Regular Plan-Growth</t>
        </is>
      </c>
      <c r="C1585" t="inlineStr">
        <is>
          <t xml:space="preserve">INF761K01FW0</t>
        </is>
      </c>
    </row>
    <row r="1586">
      <c r="A1586" t="inlineStr">
        <is>
          <t xml:space="preserve">Bank of India Mutual Fund</t>
        </is>
      </c>
      <c r="B1586" t="inlineStr">
        <is>
          <t xml:space="preserve">Bank of India Multi Asset Allocation Fund-Regular Plan-IDCW</t>
        </is>
      </c>
      <c r="C1586" t="inlineStr">
        <is>
          <t xml:space="preserve">INF761K01FX8</t>
        </is>
      </c>
    </row>
    <row r="1587">
      <c r="A1587" t="inlineStr">
        <is>
          <t xml:space="preserve">Bank of India Mutual Fund</t>
        </is>
      </c>
      <c r="B1587" t="inlineStr">
        <is>
          <t xml:space="preserve">Bank of India Multi Cap Fund Direct Plan - Growth</t>
        </is>
      </c>
      <c r="C1587" t="inlineStr">
        <is>
          <t xml:space="preserve">INF761K01FR0</t>
        </is>
      </c>
    </row>
    <row r="1588">
      <c r="A1588" t="inlineStr">
        <is>
          <t xml:space="preserve">Bank of India Mutual Fund</t>
        </is>
      </c>
      <c r="B1588" t="inlineStr">
        <is>
          <t xml:space="preserve">Bank of India Multi Cap Fund Direct Plan - IDCW</t>
        </is>
      </c>
      <c r="C1588" t="inlineStr">
        <is>
          <t xml:space="preserve">INF761K01FQ2</t>
        </is>
      </c>
    </row>
    <row r="1589">
      <c r="A1589" t="inlineStr">
        <is>
          <t xml:space="preserve">Bank of India Mutual Fund</t>
        </is>
      </c>
      <c r="B1589" t="inlineStr">
        <is>
          <t xml:space="preserve">Bank of India Multi Cap Fund Regular Plan - Growth</t>
        </is>
      </c>
      <c r="C1589" t="inlineStr">
        <is>
          <t xml:space="preserve">INF761K01FU4</t>
        </is>
      </c>
    </row>
    <row r="1590">
      <c r="A1590" t="inlineStr">
        <is>
          <t xml:space="preserve">Bank of India Mutual Fund</t>
        </is>
      </c>
      <c r="B1590" t="inlineStr">
        <is>
          <t xml:space="preserve">Bank of India Multi Cap Fund Regular Plan - IDCW</t>
        </is>
      </c>
      <c r="C1590" t="inlineStr">
        <is>
          <t xml:space="preserve">INF761K01FT6</t>
        </is>
      </c>
    </row>
    <row r="1591">
      <c r="A1591" t="inlineStr">
        <is>
          <t xml:space="preserve">Bank of India Mutual Fund</t>
        </is>
      </c>
      <c r="B1591" t="inlineStr">
        <is>
          <t xml:space="preserve">BANK OF INDIA Overnight Fund Direct Plan Growth</t>
        </is>
      </c>
      <c r="C1591" t="inlineStr">
        <is>
          <t xml:space="preserve">INF761K01EU7</t>
        </is>
      </c>
    </row>
    <row r="1592">
      <c r="A1592" t="inlineStr">
        <is>
          <t xml:space="preserve">Bank of India Mutual Fund</t>
        </is>
      </c>
      <c r="B1592" t="inlineStr">
        <is>
          <t xml:space="preserve">BANK OF INDIA Overnight Fund Direct Plan- Daily IDCW</t>
        </is>
      </c>
      <c r="C1592" t="inlineStr">
        <is>
          <t xml:space="preserve">INF761K01EV5</t>
        </is>
      </c>
    </row>
    <row r="1593">
      <c r="A1593" t="inlineStr">
        <is>
          <t xml:space="preserve">Bank of India Mutual Fund</t>
        </is>
      </c>
      <c r="B1593" t="inlineStr">
        <is>
          <t xml:space="preserve">BANK OF INDIA Overnight Fund Direct Plan- Monthly IDCW</t>
        </is>
      </c>
      <c r="C1593" t="inlineStr">
        <is>
          <t xml:space="preserve">INF761K01EY9</t>
        </is>
      </c>
    </row>
    <row r="1594">
      <c r="A1594" t="inlineStr">
        <is>
          <t xml:space="preserve">Bank of India Mutual Fund</t>
        </is>
      </c>
      <c r="B1594" t="inlineStr">
        <is>
          <t xml:space="preserve">BANK OF INDIA Overnight Fund Direct Plan- Weekly IDCW</t>
        </is>
      </c>
      <c r="C1594" t="inlineStr">
        <is>
          <t xml:space="preserve">INF761K01EW3</t>
        </is>
      </c>
    </row>
    <row r="1595">
      <c r="A1595" t="inlineStr">
        <is>
          <t xml:space="preserve">Bank of India Mutual Fund</t>
        </is>
      </c>
      <c r="B1595" t="inlineStr">
        <is>
          <t xml:space="preserve">BANK OF INDIA Overnight Fund Regular Plan Growth</t>
        </is>
      </c>
      <c r="C1595" t="inlineStr">
        <is>
          <t xml:space="preserve">INF761K01EZ6</t>
        </is>
      </c>
    </row>
    <row r="1596">
      <c r="A1596" t="inlineStr">
        <is>
          <t xml:space="preserve">Bank of India Mutual Fund</t>
        </is>
      </c>
      <c r="B1596" t="inlineStr">
        <is>
          <t xml:space="preserve">BANK OF INDIA Overnight Fund Regular Plan- Daily IDCW</t>
        </is>
      </c>
      <c r="C1596" t="inlineStr">
        <is>
          <t xml:space="preserve">INF761K01FA6</t>
        </is>
      </c>
    </row>
    <row r="1597">
      <c r="A1597" t="inlineStr">
        <is>
          <t xml:space="preserve">Bank of India Mutual Fund</t>
        </is>
      </c>
      <c r="B1597" t="inlineStr">
        <is>
          <t xml:space="preserve">BANK OF INDIA Overnight Fund Regular Plan- Monthly IDCW</t>
        </is>
      </c>
      <c r="C1597" t="inlineStr">
        <is>
          <t xml:space="preserve">INF761K01FD0</t>
        </is>
      </c>
    </row>
    <row r="1598">
      <c r="A1598" t="inlineStr">
        <is>
          <t xml:space="preserve">Bank of India Mutual Fund</t>
        </is>
      </c>
      <c r="B1598" t="inlineStr">
        <is>
          <t xml:space="preserve">BANK OF INDIA Overnight Fund Regular Plan- Weekly IDCW</t>
        </is>
      </c>
      <c r="C1598" t="inlineStr">
        <is>
          <t xml:space="preserve">INF761K01FB4</t>
        </is>
      </c>
    </row>
    <row r="1599">
      <c r="A1599" t="inlineStr">
        <is>
          <t xml:space="preserve">Bank of India Mutual Fund</t>
        </is>
      </c>
      <c r="B1599" t="inlineStr">
        <is>
          <t xml:space="preserve">BANK OF INDIA Short Term Income Fund-Direct Plan- Growth</t>
        </is>
      </c>
      <c r="C1599" t="inlineStr">
        <is>
          <t xml:space="preserve">INF761K01736</t>
        </is>
      </c>
    </row>
    <row r="1600">
      <c r="A1600" t="inlineStr">
        <is>
          <t xml:space="preserve">Bank of India Mutual Fund</t>
        </is>
      </c>
      <c r="B1600" t="inlineStr">
        <is>
          <t xml:space="preserve">BANK OF INDIA Short Term Income Fund-Direct Plan- Monthly IDCW</t>
        </is>
      </c>
      <c r="C1600" t="inlineStr">
        <is>
          <t xml:space="preserve">INF761K01751</t>
        </is>
      </c>
    </row>
    <row r="1601">
      <c r="A1601" t="inlineStr">
        <is>
          <t xml:space="preserve">Bank of India Mutual Fund</t>
        </is>
      </c>
      <c r="B1601" t="inlineStr">
        <is>
          <t xml:space="preserve">BANK OF INDIA Short Term Income Fund-Direct Plan- Quarterly IDCW</t>
        </is>
      </c>
      <c r="C1601" t="inlineStr">
        <is>
          <t xml:space="preserve">INF761K01777</t>
        </is>
      </c>
    </row>
    <row r="1602">
      <c r="A1602" t="inlineStr">
        <is>
          <t xml:space="preserve">Bank of India Mutual Fund</t>
        </is>
      </c>
      <c r="B1602" t="inlineStr">
        <is>
          <t xml:space="preserve">BANK OF INDIA Short Term Income Fund-Regular Plan- Growth</t>
        </is>
      </c>
      <c r="C1602" t="inlineStr">
        <is>
          <t xml:space="preserve">INF761K01579</t>
        </is>
      </c>
    </row>
    <row r="1603">
      <c r="A1603" t="inlineStr">
        <is>
          <t xml:space="preserve">Bank of India Mutual Fund</t>
        </is>
      </c>
      <c r="B1603" t="inlineStr">
        <is>
          <t xml:space="preserve">BANK OF INDIA Short Term Income Fund-Regular Plan- Monthly IDCW</t>
        </is>
      </c>
      <c r="C1603" t="inlineStr">
        <is>
          <t xml:space="preserve">INF761K01595</t>
        </is>
      </c>
    </row>
    <row r="1604">
      <c r="A1604" t="inlineStr">
        <is>
          <t xml:space="preserve">Bank of India Mutual Fund</t>
        </is>
      </c>
      <c r="B1604" t="inlineStr">
        <is>
          <t xml:space="preserve">BANK OF INDIA Short Term Income Fund-Regular Plan- Quarterly IDCW</t>
        </is>
      </c>
      <c r="C1604" t="inlineStr">
        <is>
          <t xml:space="preserve">INF761K01611</t>
        </is>
      </c>
    </row>
    <row r="1605">
      <c r="A1605" t="inlineStr">
        <is>
          <t xml:space="preserve">Bank of India Mutual Fund</t>
        </is>
      </c>
      <c r="B1605" t="inlineStr">
        <is>
          <t xml:space="preserve">BANK OF INDIA Small Cap Fund Direct Plan Growth</t>
        </is>
      </c>
      <c r="C1605" t="inlineStr">
        <is>
          <t xml:space="preserve">INF761K01EP7</t>
        </is>
      </c>
    </row>
    <row r="1606">
      <c r="A1606" t="inlineStr">
        <is>
          <t xml:space="preserve">Bank of India Mutual Fund</t>
        </is>
      </c>
      <c r="B1606" t="inlineStr">
        <is>
          <t xml:space="preserve">BANK OF INDIA Small Cap Fund Direct Plan IDCW</t>
        </is>
      </c>
      <c r="C1606" t="inlineStr">
        <is>
          <t xml:space="preserve">INF761K01EO0</t>
        </is>
      </c>
    </row>
    <row r="1607">
      <c r="A1607" t="inlineStr">
        <is>
          <t xml:space="preserve">Bank of India Mutual Fund</t>
        </is>
      </c>
      <c r="B1607" t="inlineStr">
        <is>
          <t xml:space="preserve">BANK OF INDIA Small Cap Fund Regular Plan Growth</t>
        </is>
      </c>
      <c r="C1607" t="inlineStr">
        <is>
          <t xml:space="preserve">INF761K01ER3</t>
        </is>
      </c>
    </row>
    <row r="1608">
      <c r="A1608" t="inlineStr">
        <is>
          <t xml:space="preserve">Bank of India Mutual Fund</t>
        </is>
      </c>
      <c r="B1608" t="inlineStr">
        <is>
          <t xml:space="preserve">BANK OF INDIA Small Cap Fund Regular Plan IDCW</t>
        </is>
      </c>
      <c r="C1608" t="inlineStr">
        <is>
          <t xml:space="preserve">INF761K01EQ5</t>
        </is>
      </c>
    </row>
    <row r="1609">
      <c r="A1609" t="inlineStr">
        <is>
          <t xml:space="preserve">Bank of India Mutual Fund</t>
        </is>
      </c>
      <c r="B1609" t="inlineStr">
        <is>
          <t xml:space="preserve">BANK OF INDIA Ultra Short Duration Fund- Direct Plan- Daily IDCW</t>
        </is>
      </c>
      <c r="C1609" t="inlineStr">
        <is>
          <t xml:space="preserve">INF761K01CT3</t>
        </is>
      </c>
    </row>
    <row r="1610">
      <c r="A1610" t="inlineStr">
        <is>
          <t xml:space="preserve">Bank of India Mutual Fund</t>
        </is>
      </c>
      <c r="B1610" t="inlineStr">
        <is>
          <t xml:space="preserve">BANK OF INDIA Ultra Short Duration Fund- Direct Plan- Growth</t>
        </is>
      </c>
      <c r="C1610" t="inlineStr">
        <is>
          <t xml:space="preserve">INF761K01892</t>
        </is>
      </c>
    </row>
    <row r="1611">
      <c r="A1611" t="inlineStr">
        <is>
          <t xml:space="preserve">Bank of India Mutual Fund</t>
        </is>
      </c>
      <c r="B1611" t="inlineStr">
        <is>
          <t xml:space="preserve">BANK OF INDIA Ultra Short Duration Fund- Direct Plan- Weekly IDCW</t>
        </is>
      </c>
      <c r="C1611" t="inlineStr">
        <is>
          <t xml:space="preserve">INF761K01CU1</t>
        </is>
      </c>
    </row>
    <row r="1612">
      <c r="A1612" t="inlineStr">
        <is>
          <t xml:space="preserve">Bank of India Mutual Fund</t>
        </is>
      </c>
      <c r="B1612" t="inlineStr">
        <is>
          <t xml:space="preserve">BANK OF INDIA Ultra Short Duration Fund- Direct Plan-Bonus</t>
        </is>
      </c>
      <c r="C1612" t="inlineStr">
        <is>
          <t xml:space="preserve">INF761K01CS5</t>
        </is>
      </c>
    </row>
    <row r="1613">
      <c r="A1613" t="inlineStr">
        <is>
          <t xml:space="preserve">Bank of India Mutual Fund</t>
        </is>
      </c>
      <c r="B1613" t="inlineStr">
        <is>
          <t xml:space="preserve">BANK OF INDIA Ultra Short Duration Fund- Regular Plan- Daily IDCW</t>
        </is>
      </c>
      <c r="C1613" t="inlineStr">
        <is>
          <t xml:space="preserve">INF761K01CW7</t>
        </is>
      </c>
    </row>
    <row r="1614">
      <c r="A1614" t="inlineStr">
        <is>
          <t xml:space="preserve">Bank of India Mutual Fund</t>
        </is>
      </c>
      <c r="B1614" t="inlineStr">
        <is>
          <t xml:space="preserve">BANK OF INDIA Ultra Short Duration Fund- Regular Plan- Growth</t>
        </is>
      </c>
      <c r="C1614" t="inlineStr">
        <is>
          <t xml:space="preserve">INF761K01298</t>
        </is>
      </c>
    </row>
    <row r="1615">
      <c r="A1615" t="inlineStr">
        <is>
          <t xml:space="preserve">Bank of India Mutual Fund</t>
        </is>
      </c>
      <c r="B1615" t="inlineStr">
        <is>
          <t xml:space="preserve">BANK OF INDIA Ultra Short Duration Fund- Regular Plan- Weekly IDCW</t>
        </is>
      </c>
      <c r="C1615" t="inlineStr">
        <is>
          <t xml:space="preserve">INF761K01CX5</t>
        </is>
      </c>
    </row>
    <row r="1616">
      <c r="A1616" t="inlineStr">
        <is>
          <t xml:space="preserve">Baroda BNP Paribas Mutual Fund</t>
        </is>
      </c>
      <c r="B1616" t="inlineStr">
        <is>
          <t xml:space="preserve">Baroda BNP Paribas Aggressive Hybrid Fund -DIRECT PLAN- IDCW OPTION</t>
        </is>
      </c>
      <c r="C1616" t="inlineStr">
        <is>
          <t xml:space="preserve">INF251K01PB5</t>
        </is>
      </c>
    </row>
    <row r="1617">
      <c r="A1617" t="inlineStr">
        <is>
          <t xml:space="preserve">Baroda BNP Paribas Mutual Fund</t>
        </is>
      </c>
      <c r="B1617" t="inlineStr">
        <is>
          <t xml:space="preserve">Baroda BNP Paribas Aggressive Hybrid Fund- DIRECT PLAN - GROWTH OPTION</t>
        </is>
      </c>
      <c r="C1617" t="inlineStr">
        <is>
          <t xml:space="preserve">INF251K01OZ7</t>
        </is>
      </c>
    </row>
    <row r="1618">
      <c r="A1618" t="inlineStr">
        <is>
          <t xml:space="preserve">Baroda BNP Paribas Mutual Fund</t>
        </is>
      </c>
      <c r="B1618" t="inlineStr">
        <is>
          <t xml:space="preserve">Baroda BNP Paribas Aggressive Hybrid Fund- REGULAR PLAN- IDCW OPTION</t>
        </is>
      </c>
      <c r="C1618" t="inlineStr">
        <is>
          <t xml:space="preserve">INF251K01OY0</t>
        </is>
      </c>
    </row>
    <row r="1619">
      <c r="A1619" t="inlineStr">
        <is>
          <t xml:space="preserve">Baroda BNP Paribas Mutual Fund</t>
        </is>
      </c>
      <c r="B1619" t="inlineStr">
        <is>
          <t xml:space="preserve">Baroda BNP Paribas Aggressive Hybrid Fund- REGULAT PLAN -GROWTH OPTION</t>
        </is>
      </c>
      <c r="C1619" t="inlineStr">
        <is>
          <t xml:space="preserve">INF251K01OW4</t>
        </is>
      </c>
    </row>
    <row r="1620">
      <c r="A1620" t="inlineStr">
        <is>
          <t xml:space="preserve">Baroda BNP Paribas Mutual Fund</t>
        </is>
      </c>
      <c r="B1620" t="inlineStr">
        <is>
          <t xml:space="preserve">Baroda BNP Paribas Aqua Fund of Fund - Direct Plan - Growth Option</t>
        </is>
      </c>
      <c r="C1620" t="inlineStr">
        <is>
          <t xml:space="preserve">INF251K01QT5</t>
        </is>
      </c>
    </row>
    <row r="1621">
      <c r="A1621" t="inlineStr">
        <is>
          <t xml:space="preserve">Baroda BNP Paribas Mutual Fund</t>
        </is>
      </c>
      <c r="B1621" t="inlineStr">
        <is>
          <t xml:space="preserve">Baroda BNP Paribas Aqua Fund of Fund - Direct Plan - IDCW Option</t>
        </is>
      </c>
      <c r="C1621" t="inlineStr">
        <is>
          <t xml:space="preserve">INF251K01QU3</t>
        </is>
      </c>
    </row>
    <row r="1622">
      <c r="A1622" t="inlineStr">
        <is>
          <t xml:space="preserve">Baroda BNP Paribas Mutual Fund</t>
        </is>
      </c>
      <c r="B1622" t="inlineStr">
        <is>
          <t xml:space="preserve">Baroda BNP Paribas Aqua Fund of Fund - Regular Plan - IDCW Option</t>
        </is>
      </c>
      <c r="C1622" t="inlineStr">
        <is>
          <t xml:space="preserve">INF251K01QR9</t>
        </is>
      </c>
    </row>
    <row r="1623">
      <c r="A1623" t="inlineStr">
        <is>
          <t xml:space="preserve">Baroda BNP Paribas Mutual Fund</t>
        </is>
      </c>
      <c r="B1623" t="inlineStr">
        <is>
          <t xml:space="preserve">Baroda BNP Paribas Aqua Fund of Fund - Regular Plan Growth</t>
        </is>
      </c>
      <c r="C1623" t="inlineStr">
        <is>
          <t xml:space="preserve">INF251K01QQ1</t>
        </is>
      </c>
    </row>
    <row r="1624">
      <c r="A1624" t="inlineStr">
        <is>
          <t xml:space="preserve">Baroda BNP Paribas Mutual Fund</t>
        </is>
      </c>
      <c r="B1624" t="inlineStr">
        <is>
          <t xml:space="preserve">BARODA BNP PARIBAS ARBITRAGE FUND -DIRECT PLAN - ADHOC IDCW OPTION</t>
        </is>
      </c>
      <c r="C1624" t="inlineStr">
        <is>
          <t xml:space="preserve">INF251K01OV6</t>
        </is>
      </c>
    </row>
    <row r="1625">
      <c r="A1625" t="inlineStr">
        <is>
          <t xml:space="preserve">Baroda BNP Paribas Mutual Fund</t>
        </is>
      </c>
      <c r="B1625" t="inlineStr">
        <is>
          <t xml:space="preserve">BARODA BNP PARIBAS ARBITRAGE FUND DIRECT PLAN MONTHLY IDCW Option</t>
        </is>
      </c>
      <c r="C1625" t="inlineStr">
        <is>
          <t xml:space="preserve">INF251K01PF6</t>
        </is>
      </c>
    </row>
    <row r="1626">
      <c r="A1626" t="inlineStr">
        <is>
          <t xml:space="preserve">Baroda BNP Paribas Mutual Fund</t>
        </is>
      </c>
      <c r="B1626" t="inlineStr">
        <is>
          <t xml:space="preserve">BARODA BNP PARIBAS ARBITRAGE FUND DIRECT PLAN QUARTERLY IDCW Option</t>
        </is>
      </c>
      <c r="C1626" t="inlineStr">
        <is>
          <t xml:space="preserve">INF251K01PJ8</t>
        </is>
      </c>
    </row>
    <row r="1627">
      <c r="A1627" t="inlineStr">
        <is>
          <t xml:space="preserve">Baroda BNP Paribas Mutual Fund</t>
        </is>
      </c>
      <c r="B1627" t="inlineStr">
        <is>
          <t xml:space="preserve">BARODA BNP PARIBAS ARBITRAGE FUND REGULAR PLAN MONTHLY IDCW Option</t>
        </is>
      </c>
      <c r="C1627" t="inlineStr">
        <is>
          <t xml:space="preserve">INF251K01PD1</t>
        </is>
      </c>
    </row>
    <row r="1628">
      <c r="A1628" t="inlineStr">
        <is>
          <t xml:space="preserve">Baroda BNP Paribas Mutual Fund</t>
        </is>
      </c>
      <c r="B1628" t="inlineStr">
        <is>
          <t xml:space="preserve">BARODA BNP PARIBAS ARBITRAGE FUND REGULAR PLAN QUARTERLY IDCW Option</t>
        </is>
      </c>
      <c r="C1628" t="inlineStr">
        <is>
          <t xml:space="preserve">INF251K01PH2</t>
        </is>
      </c>
    </row>
    <row r="1629">
      <c r="A1629" t="inlineStr">
        <is>
          <t xml:space="preserve">Baroda BNP Paribas Mutual Fund</t>
        </is>
      </c>
      <c r="B1629" t="inlineStr">
        <is>
          <t xml:space="preserve">BARODA BNP PARIBAS ARBITRAGE FUND- REGULAR PLAN- GROWTH OPTION</t>
        </is>
      </c>
      <c r="C1629" t="inlineStr">
        <is>
          <t xml:space="preserve">INF251K01ON3</t>
        </is>
      </c>
    </row>
    <row r="1630">
      <c r="A1630" t="inlineStr">
        <is>
          <t xml:space="preserve">Baroda BNP Paribas Mutual Fund</t>
        </is>
      </c>
      <c r="B1630" t="inlineStr">
        <is>
          <t xml:space="preserve">BARODA BNP PARIBAS ARBITRAGE FUND-DIRECT PLAN-GROWTH OPTION</t>
        </is>
      </c>
      <c r="C1630" t="inlineStr">
        <is>
          <t xml:space="preserve">INF251K01OT0</t>
        </is>
      </c>
    </row>
    <row r="1631">
      <c r="A1631" t="inlineStr">
        <is>
          <t xml:space="preserve">Baroda BNP Paribas Mutual Fund</t>
        </is>
      </c>
      <c r="B1631" t="inlineStr">
        <is>
          <t xml:space="preserve">BARODA BNP PARIBAS ARBITRAGE FUND-REGULAR PLAN- ADHOC IDCW OPTION</t>
        </is>
      </c>
      <c r="C1631" t="inlineStr">
        <is>
          <t xml:space="preserve">INF251K01OP8</t>
        </is>
      </c>
    </row>
    <row r="1632">
      <c r="A1632" t="inlineStr">
        <is>
          <t xml:space="preserve">Baroda BNP Paribas Mutual Fund</t>
        </is>
      </c>
      <c r="B1632" t="inlineStr">
        <is>
          <t xml:space="preserve">Baroda BNP Paribas Balanced Advantage Fund-Direct Plan-Growth Option</t>
        </is>
      </c>
      <c r="C1632" t="inlineStr">
        <is>
          <t xml:space="preserve">INF955L01HF7</t>
        </is>
      </c>
    </row>
    <row r="1633">
      <c r="A1633" t="inlineStr">
        <is>
          <t xml:space="preserve">Baroda BNP Paribas Mutual Fund</t>
        </is>
      </c>
      <c r="B1633" t="inlineStr">
        <is>
          <t xml:space="preserve">Baroda BNP Paribas Balanced Advantage Fund-Direct Plan-IDCW Option</t>
        </is>
      </c>
      <c r="C1633" t="inlineStr">
        <is>
          <t xml:space="preserve">INF955L01HG5</t>
        </is>
      </c>
    </row>
    <row r="1634">
      <c r="A1634" t="inlineStr">
        <is>
          <t xml:space="preserve">Baroda BNP Paribas Mutual Fund</t>
        </is>
      </c>
      <c r="B1634" t="inlineStr">
        <is>
          <t xml:space="preserve">Baroda BNP Paribas Balanced Advantage Fund-Regular Plan -Growth Option</t>
        </is>
      </c>
      <c r="C1634" t="inlineStr">
        <is>
          <t xml:space="preserve">INF955L01HC4</t>
        </is>
      </c>
    </row>
    <row r="1635">
      <c r="A1635" t="inlineStr">
        <is>
          <t xml:space="preserve">Baroda BNP Paribas Mutual Fund</t>
        </is>
      </c>
      <c r="B1635" t="inlineStr">
        <is>
          <t xml:space="preserve">Baroda BNP Paribas Balanced Advantage Fund-Regular Plan-IDCW Option</t>
        </is>
      </c>
      <c r="C1635" t="inlineStr">
        <is>
          <t xml:space="preserve">INF955L01HD2</t>
        </is>
      </c>
    </row>
    <row r="1636">
      <c r="A1636" t="inlineStr">
        <is>
          <t xml:space="preserve">Baroda BNP Paribas Mutual Fund</t>
        </is>
      </c>
      <c r="B1636" t="inlineStr">
        <is>
          <t xml:space="preserve">Baroda BNP Paribas Banking and Financial Services Fund - Direct - Growth Option</t>
        </is>
      </c>
      <c r="C1636" t="inlineStr">
        <is>
          <t xml:space="preserve">INF955L01971</t>
        </is>
      </c>
    </row>
    <row r="1637">
      <c r="A1637" t="inlineStr">
        <is>
          <t xml:space="preserve">Baroda BNP Paribas Mutual Fund</t>
        </is>
      </c>
      <c r="B1637" t="inlineStr">
        <is>
          <t xml:space="preserve">Baroda BNP Paribas Banking and Financial Services Fund - Direct - IDCW Option</t>
        </is>
      </c>
      <c r="C1637" t="inlineStr">
        <is>
          <t xml:space="preserve">INF955L01955</t>
        </is>
      </c>
    </row>
    <row r="1638">
      <c r="A1638" t="inlineStr">
        <is>
          <t xml:space="preserve">Baroda BNP Paribas Mutual Fund</t>
        </is>
      </c>
      <c r="B1638" t="inlineStr">
        <is>
          <t xml:space="preserve">Baroda BNP Paribas Banking and Financial Services Fund - Regular - Growth Option</t>
        </is>
      </c>
      <c r="C1638" t="inlineStr">
        <is>
          <t xml:space="preserve">INF955L01856</t>
        </is>
      </c>
    </row>
    <row r="1639">
      <c r="A1639" t="inlineStr">
        <is>
          <t xml:space="preserve">Baroda BNP Paribas Mutual Fund</t>
        </is>
      </c>
      <c r="B1639" t="inlineStr">
        <is>
          <t xml:space="preserve">Baroda BNP Paribas Banking and Financial Services Fund - Regular - IDCW Option</t>
        </is>
      </c>
      <c r="C1639" t="inlineStr">
        <is>
          <t xml:space="preserve">INF955L01831</t>
        </is>
      </c>
    </row>
    <row r="1640">
      <c r="A1640" t="inlineStr">
        <is>
          <t xml:space="preserve">Baroda BNP Paribas Mutual Fund</t>
        </is>
      </c>
      <c r="B1640" t="inlineStr">
        <is>
          <t xml:space="preserve">Baroda BNP Paribas Best-in-Class Strategy Fund - Direct - Growth Option</t>
        </is>
      </c>
      <c r="C1640" t="inlineStr">
        <is>
          <t xml:space="preserve">INF251K01VP3</t>
        </is>
      </c>
    </row>
    <row r="1641">
      <c r="A1641" t="inlineStr">
        <is>
          <t xml:space="preserve">Baroda BNP Paribas Mutual Fund</t>
        </is>
      </c>
      <c r="B1641" t="inlineStr">
        <is>
          <t xml:space="preserve">Baroda BNP Paribas Best-in-Class Strategy Fund - Direct - IDCW Payout Option</t>
        </is>
      </c>
      <c r="C1641" t="inlineStr">
        <is>
          <t xml:space="preserve">INF251K01VQ1</t>
        </is>
      </c>
    </row>
    <row r="1642">
      <c r="A1642" t="inlineStr">
        <is>
          <t xml:space="preserve">Baroda BNP Paribas Mutual Fund</t>
        </is>
      </c>
      <c r="B1642" t="inlineStr">
        <is>
          <t xml:space="preserve">Baroda BNP Paribas Best-in-Class Strategy Fund - Regular - Growth Option</t>
        </is>
      </c>
      <c r="C1642" t="inlineStr">
        <is>
          <t xml:space="preserve">INF251K01VM0</t>
        </is>
      </c>
    </row>
    <row r="1643">
      <c r="A1643" t="inlineStr">
        <is>
          <t xml:space="preserve">Baroda BNP Paribas Mutual Fund</t>
        </is>
      </c>
      <c r="B1643" t="inlineStr">
        <is>
          <t xml:space="preserve">Baroda BNP Paribas Best-in-Class Strategy Fund - Regular - IDCW Payout Option</t>
        </is>
      </c>
      <c r="C1643" t="inlineStr">
        <is>
          <t xml:space="preserve">INF251K01VN8</t>
        </is>
      </c>
    </row>
    <row r="1644">
      <c r="A1644" t="inlineStr">
        <is>
          <t xml:space="preserve">Baroda BNP Paribas Mutual Fund</t>
        </is>
      </c>
      <c r="B1644" t="inlineStr">
        <is>
          <t xml:space="preserve">Baroda BNP Paribas Business Conglomerates Fund Direct Growth Option</t>
        </is>
      </c>
      <c r="C1644" t="inlineStr">
        <is>
          <t xml:space="preserve">INF251K01VJ6</t>
        </is>
      </c>
    </row>
    <row r="1645">
      <c r="A1645" t="inlineStr">
        <is>
          <t xml:space="preserve">Baroda BNP Paribas Mutual Fund</t>
        </is>
      </c>
      <c r="B1645" t="inlineStr">
        <is>
          <t xml:space="preserve">Baroda BNP Paribas Business Conglomerates Fund Direct IDCW Payout Option</t>
        </is>
      </c>
      <c r="C1645" t="inlineStr">
        <is>
          <t xml:space="preserve">INF251K01VK4</t>
        </is>
      </c>
    </row>
    <row r="1646">
      <c r="A1646" t="inlineStr">
        <is>
          <t xml:space="preserve">Baroda BNP Paribas Mutual Fund</t>
        </is>
      </c>
      <c r="B1646" t="inlineStr">
        <is>
          <t xml:space="preserve">Baroda BNP Paribas Business Conglomerates Fund Regular Growth Option</t>
        </is>
      </c>
      <c r="C1646" t="inlineStr">
        <is>
          <t xml:space="preserve">INF251K01VG2</t>
        </is>
      </c>
    </row>
    <row r="1647">
      <c r="A1647" t="inlineStr">
        <is>
          <t xml:space="preserve">Baroda BNP Paribas Mutual Fund</t>
        </is>
      </c>
      <c r="B1647" t="inlineStr">
        <is>
          <t xml:space="preserve">Baroda BNP Paribas Business Conglomerates Fund Regular IDCW Payout Option</t>
        </is>
      </c>
      <c r="C1647" t="inlineStr">
        <is>
          <t xml:space="preserve">INF251K01VH0</t>
        </is>
      </c>
    </row>
    <row r="1648">
      <c r="A1648" t="inlineStr">
        <is>
          <t xml:space="preserve">Baroda BNP Paribas Mutual Fund</t>
        </is>
      </c>
      <c r="B1648" t="inlineStr">
        <is>
          <t xml:space="preserve">Baroda BNP Paribas Business Cycle Fund - Direct Plan - Growth</t>
        </is>
      </c>
      <c r="C1648" t="inlineStr">
        <is>
          <t xml:space="preserve">INF955L01KK1</t>
        </is>
      </c>
    </row>
    <row r="1649">
      <c r="A1649" t="inlineStr">
        <is>
          <t xml:space="preserve">Baroda BNP Paribas Mutual Fund</t>
        </is>
      </c>
      <c r="B1649" t="inlineStr">
        <is>
          <t xml:space="preserve">Baroda BNP Paribas Business Cycle Fund - Direct Plan - IDCW Option</t>
        </is>
      </c>
      <c r="C1649" t="inlineStr">
        <is>
          <t xml:space="preserve">INF955L01KL9</t>
        </is>
      </c>
    </row>
    <row r="1650">
      <c r="A1650" t="inlineStr">
        <is>
          <t xml:space="preserve">Baroda BNP Paribas Mutual Fund</t>
        </is>
      </c>
      <c r="B1650" t="inlineStr">
        <is>
          <t xml:space="preserve">Baroda BNP Paribas Business Cycle Fund - Regular Plan - Growth</t>
        </is>
      </c>
      <c r="C1650" t="inlineStr">
        <is>
          <t xml:space="preserve">INF955L01KH7</t>
        </is>
      </c>
    </row>
    <row r="1651">
      <c r="A1651" t="inlineStr">
        <is>
          <t xml:space="preserve">Baroda BNP Paribas Mutual Fund</t>
        </is>
      </c>
      <c r="B1651" t="inlineStr">
        <is>
          <t xml:space="preserve">Baroda BNP Paribas Business Cycle Fund - Regular Plan - IDCW Option</t>
        </is>
      </c>
      <c r="C1651" t="inlineStr">
        <is>
          <t xml:space="preserve">INF955L01KI5</t>
        </is>
      </c>
    </row>
    <row r="1652">
      <c r="A1652" t="inlineStr">
        <is>
          <t xml:space="preserve">Baroda BNP Paribas Mutual Fund</t>
        </is>
      </c>
      <c r="B1652" t="inlineStr">
        <is>
          <t xml:space="preserve">Baroda BNP Paribas Children's Fund - Direct Plan - Growth Option</t>
        </is>
      </c>
      <c r="C1652" t="inlineStr">
        <is>
          <t xml:space="preserve">INF251K01UE9</t>
        </is>
      </c>
    </row>
    <row r="1653">
      <c r="A1653" t="inlineStr">
        <is>
          <t xml:space="preserve">Baroda BNP Paribas Mutual Fund</t>
        </is>
      </c>
      <c r="B1653" t="inlineStr">
        <is>
          <t xml:space="preserve">Baroda BNP Paribas Children's Fund - Regular Plan - Growth Option</t>
        </is>
      </c>
      <c r="C1653" t="inlineStr">
        <is>
          <t xml:space="preserve">INF251K01UC3</t>
        </is>
      </c>
    </row>
    <row r="1654">
      <c r="A1654" t="inlineStr">
        <is>
          <t xml:space="preserve">Baroda BNP Paribas Mutual Fund</t>
        </is>
      </c>
      <c r="B1654" t="inlineStr">
        <is>
          <t xml:space="preserve">Baroda BNP Paribas Children's Fund - Regular Plan - IDCW Option</t>
        </is>
      </c>
      <c r="C1654" t="inlineStr">
        <is>
          <t xml:space="preserve">INF251K01UD1</t>
        </is>
      </c>
    </row>
    <row r="1655">
      <c r="A1655" t="inlineStr">
        <is>
          <t xml:space="preserve">Baroda BNP Paribas Mutual Fund</t>
        </is>
      </c>
      <c r="B1655" t="inlineStr">
        <is>
          <t xml:space="preserve">BARODA BNP PARIBAS Conservative Hybrid Fund - Direct Plan - Growth Option</t>
        </is>
      </c>
      <c r="C1655" t="inlineStr">
        <is>
          <t xml:space="preserve">INF251K01HR8</t>
        </is>
      </c>
    </row>
    <row r="1656">
      <c r="A1656" t="inlineStr">
        <is>
          <t xml:space="preserve">Baroda BNP Paribas Mutual Fund</t>
        </is>
      </c>
      <c r="B1656" t="inlineStr">
        <is>
          <t xml:space="preserve">BARODA BNP PARIBAS Conservative Hybrid Fund - Direct Plan - Monthly IDCW Option</t>
        </is>
      </c>
      <c r="C1656" t="inlineStr">
        <is>
          <t xml:space="preserve">INF251K01HS6</t>
        </is>
      </c>
    </row>
    <row r="1657">
      <c r="A1657" t="inlineStr">
        <is>
          <t xml:space="preserve">Baroda BNP Paribas Mutual Fund</t>
        </is>
      </c>
      <c r="B1657" t="inlineStr">
        <is>
          <t xml:space="preserve">BARODA BNP PARIBAS Conservative Hybrid Fund - Direct Plan - Quarterly IDCW Option</t>
        </is>
      </c>
      <c r="C1657" t="inlineStr">
        <is>
          <t xml:space="preserve">INF251K01HU2</t>
        </is>
      </c>
    </row>
    <row r="1658">
      <c r="A1658" t="inlineStr">
        <is>
          <t xml:space="preserve">Baroda BNP Paribas Mutual Fund</t>
        </is>
      </c>
      <c r="B1658" t="inlineStr">
        <is>
          <t xml:space="preserve">BARODA BNP PARIBAS Conservative Hybrid Fund-Regular Plan-Growth Option</t>
        </is>
      </c>
      <c r="C1658" t="inlineStr">
        <is>
          <t xml:space="preserve">INF251K01845</t>
        </is>
      </c>
    </row>
    <row r="1659">
      <c r="A1659" t="inlineStr">
        <is>
          <t xml:space="preserve">Baroda BNP Paribas Mutual Fund</t>
        </is>
      </c>
      <c r="B1659" t="inlineStr">
        <is>
          <t xml:space="preserve">BARODA BNP PARIBAS Conservative hybrid Fund-Regular Plan-Monthly IDCW Option</t>
        </is>
      </c>
      <c r="C1659" t="inlineStr">
        <is>
          <t xml:space="preserve">INF251K01852</t>
        </is>
      </c>
    </row>
    <row r="1660">
      <c r="A1660" t="inlineStr">
        <is>
          <t xml:space="preserve">Baroda BNP Paribas Mutual Fund</t>
        </is>
      </c>
      <c r="B1660" t="inlineStr">
        <is>
          <t xml:space="preserve">BARODA BNP PARIBAS Conservative Hybrid Fund-Regular Plan-Quarterly IDCW Option</t>
        </is>
      </c>
      <c r="C1660" t="inlineStr">
        <is>
          <t xml:space="preserve">INF251K01878</t>
        </is>
      </c>
    </row>
    <row r="1661">
      <c r="A1661" t="inlineStr">
        <is>
          <t xml:space="preserve">Baroda BNP Paribas Mutual Fund</t>
        </is>
      </c>
      <c r="B1661" t="inlineStr">
        <is>
          <t xml:space="preserve">BARODA BNP PARIBAS Corporate Bond Fund - Defunct Plan - Annual-IDCW Option</t>
        </is>
      </c>
      <c r="C1661" t="inlineStr">
        <is>
          <t xml:space="preserve">INF251K01EN4</t>
        </is>
      </c>
    </row>
    <row r="1662">
      <c r="A1662" t="inlineStr">
        <is>
          <t xml:space="preserve">Baroda BNP Paribas Mutual Fund</t>
        </is>
      </c>
      <c r="B1662" t="inlineStr">
        <is>
          <t xml:space="preserve">BARODA BNP PARIBAS Corporate Bond Fund - Defunct Plan - Growth Option</t>
        </is>
      </c>
      <c r="C1662" t="inlineStr">
        <is>
          <t xml:space="preserve">INF251K01EI4</t>
        </is>
      </c>
    </row>
    <row r="1663">
      <c r="A1663" t="inlineStr">
        <is>
          <t xml:space="preserve">Baroda BNP Paribas Mutual Fund</t>
        </is>
      </c>
      <c r="B1663" t="inlineStr">
        <is>
          <t xml:space="preserve">BARODA BNP PARIBAS Corporate Bond Fund - Defunct Plan - Monthly-IDCW Option</t>
        </is>
      </c>
      <c r="C1663" t="inlineStr">
        <is>
          <t xml:space="preserve">INF251K01EJ2</t>
        </is>
      </c>
    </row>
    <row r="1664">
      <c r="A1664" t="inlineStr">
        <is>
          <t xml:space="preserve">Baroda BNP Paribas Mutual Fund</t>
        </is>
      </c>
      <c r="B1664" t="inlineStr">
        <is>
          <t xml:space="preserve">BARODA BNP PARIBAS Corporate Bond Fund - Defunct Plan - Quarterly-IDCW Option</t>
        </is>
      </c>
      <c r="C1664" t="inlineStr">
        <is>
          <t xml:space="preserve">INF251K01EL8</t>
        </is>
      </c>
    </row>
    <row r="1665">
      <c r="A1665" t="inlineStr">
        <is>
          <t xml:space="preserve">Baroda BNP Paribas Mutual Fund</t>
        </is>
      </c>
      <c r="B1665" t="inlineStr">
        <is>
          <t xml:space="preserve">BARODA BNP PARIBAS Corporate Bond Fund - Direct Plan - Annual IDCW Option</t>
        </is>
      </c>
      <c r="C1665" t="inlineStr">
        <is>
          <t xml:space="preserve">INF251K01GU4</t>
        </is>
      </c>
    </row>
    <row r="1666">
      <c r="A1666" t="inlineStr">
        <is>
          <t xml:space="preserve">Baroda BNP Paribas Mutual Fund</t>
        </is>
      </c>
      <c r="B1666" t="inlineStr">
        <is>
          <t xml:space="preserve">BARODA BNP PARIBAS Corporate Bond Fund - Direct Plan - Growth Option</t>
        </is>
      </c>
      <c r="C1666" t="inlineStr">
        <is>
          <t xml:space="preserve">INF251K01GP4</t>
        </is>
      </c>
    </row>
    <row r="1667">
      <c r="A1667" t="inlineStr">
        <is>
          <t xml:space="preserve">Baroda BNP Paribas Mutual Fund</t>
        </is>
      </c>
      <c r="B1667" t="inlineStr">
        <is>
          <t xml:space="preserve">BARODA BNP PARIBAS Corporate Bond Fund - Direct Plan - Monthly IDCW Option</t>
        </is>
      </c>
      <c r="C1667" t="inlineStr">
        <is>
          <t xml:space="preserve">INF251K01GQ2</t>
        </is>
      </c>
    </row>
    <row r="1668">
      <c r="A1668" t="inlineStr">
        <is>
          <t xml:space="preserve">Baroda BNP Paribas Mutual Fund</t>
        </is>
      </c>
      <c r="B1668" t="inlineStr">
        <is>
          <t xml:space="preserve">BARODA BNP PARIBAS Corporate Bond Fund - Direct Plan - Quarterly IDCW Option</t>
        </is>
      </c>
      <c r="C1668" t="inlineStr">
        <is>
          <t xml:space="preserve">INF251K01GS8</t>
        </is>
      </c>
    </row>
    <row r="1669">
      <c r="A1669" t="inlineStr">
        <is>
          <t xml:space="preserve">Baroda BNP Paribas Mutual Fund</t>
        </is>
      </c>
      <c r="B1669" t="inlineStr">
        <is>
          <t xml:space="preserve">BARODA BNP PARIBAS CORPORATE BOND FUND - Regular Plan - ANNUAL IDCW OPTION</t>
        </is>
      </c>
      <c r="C1669" t="inlineStr">
        <is>
          <t xml:space="preserve">INF251K01EU9</t>
        </is>
      </c>
    </row>
    <row r="1670">
      <c r="A1670" t="inlineStr">
        <is>
          <t xml:space="preserve">Baroda BNP Paribas Mutual Fund</t>
        </is>
      </c>
      <c r="B1670" t="inlineStr">
        <is>
          <t xml:space="preserve">BARODA BNP PARIBAS CORPORATE BOND FUND - Regular Plan - GROWTH OPTION</t>
        </is>
      </c>
      <c r="C1670" t="inlineStr">
        <is>
          <t xml:space="preserve">INF251K01EP9</t>
        </is>
      </c>
    </row>
    <row r="1671">
      <c r="A1671" t="inlineStr">
        <is>
          <t xml:space="preserve">Baroda BNP Paribas Mutual Fund</t>
        </is>
      </c>
      <c r="B1671" t="inlineStr">
        <is>
          <t xml:space="preserve">BARODA BNP PARIBAS CORPORATE BOND FUND - Regular Plan - MONTHLY IDCW OPTION</t>
        </is>
      </c>
      <c r="C1671" t="inlineStr">
        <is>
          <t xml:space="preserve">INF251K01EQ7</t>
        </is>
      </c>
    </row>
    <row r="1672">
      <c r="A1672" t="inlineStr">
        <is>
          <t xml:space="preserve">Baroda BNP Paribas Mutual Fund</t>
        </is>
      </c>
      <c r="B1672" t="inlineStr">
        <is>
          <t xml:space="preserve">BARODA BNP PARIBAS CORPORATE BOND FUND - Regular Plan - QUARTERLY IDCW OPTION</t>
        </is>
      </c>
      <c r="C1672" t="inlineStr">
        <is>
          <t xml:space="preserve">INF251K01ES3</t>
        </is>
      </c>
    </row>
    <row r="1673">
      <c r="A1673" t="inlineStr">
        <is>
          <t xml:space="preserve">Baroda BNP Paribas Mutual Fund</t>
        </is>
      </c>
      <c r="B1673" t="inlineStr">
        <is>
          <t xml:space="preserve">Baroda BNP Paribas Credit Risk fund - Regular-Quarterly- IDCW option -Seg. Portfolio 2 (erstwhile BBNPP Medium Duration Fund Regular-Quarterly IDCW option Seg. Portfolio 1)</t>
        </is>
      </c>
      <c r="C1673" t="inlineStr">
        <is>
          <t xml:space="preserve">INF955L01IZ3</t>
        </is>
      </c>
    </row>
    <row r="1674">
      <c r="A1674" t="inlineStr">
        <is>
          <t xml:space="preserve">Baroda BNP Paribas Mutual Fund</t>
        </is>
      </c>
      <c r="B1674" t="inlineStr">
        <is>
          <t xml:space="preserve">Baroda BNP Paribas Credit Risk fund - Regular-Weekly-IDCW option -Seg. Portfolio 2 (erstwhile BBNPP Medium Duration Fund Regular-Weekly IDCW option Seg. Portfolio 1)</t>
        </is>
      </c>
      <c r="C1674" t="inlineStr">
        <is>
          <t xml:space="preserve">INF955L01JE6</t>
        </is>
      </c>
    </row>
    <row r="1675">
      <c r="A1675" t="inlineStr">
        <is>
          <t xml:space="preserve">Baroda BNP Paribas Mutual Fund</t>
        </is>
      </c>
      <c r="B1675" t="inlineStr">
        <is>
          <t xml:space="preserve">Baroda BNP Paribas Credit risk fund -Defunct -Growth option -Seg-Portfolio 2 (erstwhile BBNPP Medium Duration Fund-Defunct Growth Option Seg.Portfolio1)</t>
        </is>
      </c>
      <c r="C1675" t="inlineStr">
        <is>
          <t xml:space="preserve">INF955L01JM9</t>
        </is>
      </c>
    </row>
    <row r="1676">
      <c r="A1676" t="inlineStr">
        <is>
          <t xml:space="preserve">Baroda BNP Paribas Mutual Fund</t>
        </is>
      </c>
      <c r="B1676" t="inlineStr">
        <is>
          <t xml:space="preserve">Baroda BNP Paribas Credit Risk fund -Defunct -Monthly IDCW option -Seg. Portfolio 2 (erstwhile BBNPP Medium Duration Fund Defunct-Monthly IDCW option Seg. Portfolio 1)</t>
        </is>
      </c>
      <c r="C1676" t="inlineStr">
        <is>
          <t xml:space="preserve">INF955L01JP2</t>
        </is>
      </c>
    </row>
    <row r="1677">
      <c r="A1677" t="inlineStr">
        <is>
          <t xml:space="preserve">Baroda BNP Paribas Mutual Fund</t>
        </is>
      </c>
      <c r="B1677" t="inlineStr">
        <is>
          <t xml:space="preserve">Baroda BNP Paribas Credit Risk fund -Defunct -Weekly IDCW option -Seg. Portfolio 2 (erstwhile BBNPP Medium Duration Fund Defunct-Weekly IDCW option Seg. Portfolio 1)</t>
        </is>
      </c>
      <c r="C1677" t="inlineStr">
        <is>
          <t xml:space="preserve">INF955L01JO5</t>
        </is>
      </c>
    </row>
    <row r="1678">
      <c r="A1678" t="inlineStr">
        <is>
          <t xml:space="preserve">Baroda BNP Paribas Mutual Fund</t>
        </is>
      </c>
      <c r="B1678" t="inlineStr">
        <is>
          <t xml:space="preserve">Baroda BNP Paribas Credit Risk fund -Direct - Growth option -Seg. Portfolio 2 (erstwhile BBNPP Medium Duration Fund Direct-Growth option Seg. Portfolio 1)</t>
        </is>
      </c>
      <c r="C1678" t="inlineStr">
        <is>
          <t xml:space="preserve">INF955L01JF3</t>
        </is>
      </c>
    </row>
    <row r="1679">
      <c r="A1679" t="inlineStr">
        <is>
          <t xml:space="preserve">Baroda BNP Paribas Mutual Fund</t>
        </is>
      </c>
      <c r="B1679" t="inlineStr">
        <is>
          <t xml:space="preserve">Baroda BNP Paribas Credit Risk fund -Direct -Monthly IDCW option -Seg. Portfolio 2 (erstwhile BBNPP Medium Duration Fund Direct-Monthly IDCW option Seg. Portfolio 1)</t>
        </is>
      </c>
      <c r="C1679" t="inlineStr">
        <is>
          <t xml:space="preserve">INF955L01JJ5</t>
        </is>
      </c>
    </row>
    <row r="1680">
      <c r="A1680" t="inlineStr">
        <is>
          <t xml:space="preserve">Baroda BNP Paribas Mutual Fund</t>
        </is>
      </c>
      <c r="B1680" t="inlineStr">
        <is>
          <t xml:space="preserve">Baroda BNP Paribas Credit Risk fund -Direct -Quarterly IDCW option -Seg. Portfolio 2 (erstwhile BBNPP Medium Duration Fund Direct-Quarterly IDCW option Seg. Portfolio 1)</t>
        </is>
      </c>
      <c r="C1680" t="inlineStr">
        <is>
          <t xml:space="preserve">INF955L01JG1</t>
        </is>
      </c>
    </row>
    <row r="1681">
      <c r="A1681" t="inlineStr">
        <is>
          <t xml:space="preserve">Baroda BNP Paribas Mutual Fund</t>
        </is>
      </c>
      <c r="B1681" t="inlineStr">
        <is>
          <t xml:space="preserve">Baroda BNP Paribas Credit Risk fund -Direct -Weekly IDCW option -Seg. Portfolio 2 (erstwhile BBNPP Medium Duration Fund Direct-weekly IDCW option Seg. Portfolio 1)</t>
        </is>
      </c>
      <c r="C1681" t="inlineStr">
        <is>
          <t xml:space="preserve">INF955L01JL1</t>
        </is>
      </c>
    </row>
    <row r="1682">
      <c r="A1682" t="inlineStr">
        <is>
          <t xml:space="preserve">Baroda BNP Paribas Mutual Fund</t>
        </is>
      </c>
      <c r="B1682" t="inlineStr">
        <is>
          <t xml:space="preserve">Baroda BNP Paribas Credit Risk Fund -Direct- Monthly IDCW</t>
        </is>
      </c>
      <c r="C1682" t="inlineStr">
        <is>
          <t xml:space="preserve">INF955L01FZ9</t>
        </is>
      </c>
    </row>
    <row r="1683">
      <c r="A1683" t="inlineStr">
        <is>
          <t xml:space="preserve">Baroda BNP Paribas Mutual Fund</t>
        </is>
      </c>
      <c r="B1683" t="inlineStr">
        <is>
          <t xml:space="preserve">Baroda BNP Paribas Credit Risk Fund -Direct- Quarterly IDCW</t>
        </is>
      </c>
      <c r="C1683" t="inlineStr">
        <is>
          <t xml:space="preserve">INF955L01GA0</t>
        </is>
      </c>
    </row>
    <row r="1684">
      <c r="A1684" t="inlineStr">
        <is>
          <t xml:space="preserve">Baroda BNP Paribas Mutual Fund</t>
        </is>
      </c>
      <c r="B1684" t="inlineStr">
        <is>
          <t xml:space="preserve">Baroda BNP Paribas Credit Risk fund -Direct-Daily IDCW option -Seg. Portfolio 2 (erstwhile BBNPP Medium Duration Fund Direct-daily-IDCW option Seg. Portfolio 1)</t>
        </is>
      </c>
      <c r="C1684" t="inlineStr">
        <is>
          <t xml:space="preserve">INF955L01JI7</t>
        </is>
      </c>
    </row>
    <row r="1685">
      <c r="A1685" t="inlineStr">
        <is>
          <t xml:space="preserve">Baroda BNP Paribas Mutual Fund</t>
        </is>
      </c>
      <c r="B1685" t="inlineStr">
        <is>
          <t xml:space="preserve">Baroda BNP Paribas Credit Risk Fund -Direct-Growth Option</t>
        </is>
      </c>
      <c r="C1685" t="inlineStr">
        <is>
          <t xml:space="preserve">INF955L01FR6</t>
        </is>
      </c>
    </row>
    <row r="1686">
      <c r="A1686" t="inlineStr">
        <is>
          <t xml:space="preserve">Baroda BNP Paribas Mutual Fund</t>
        </is>
      </c>
      <c r="B1686" t="inlineStr">
        <is>
          <t xml:space="preserve">Baroda BNP Paribas Credit Risk fund -Regular -Daily-IDCW option -Seg. Portfolio 2 (erstwhile BBNPP Medium Duration Fund Regular-Daily-IDCW option Seg. Portfolio 1)</t>
        </is>
      </c>
      <c r="C1686" t="inlineStr">
        <is>
          <t xml:space="preserve">INF955L01JD8</t>
        </is>
      </c>
    </row>
    <row r="1687">
      <c r="A1687" t="inlineStr">
        <is>
          <t xml:space="preserve">Baroda BNP Paribas Mutual Fund</t>
        </is>
      </c>
      <c r="B1687" t="inlineStr">
        <is>
          <t xml:space="preserve">Baroda BNP Paribas Credit Risk fund -Regular -Monthly IDCW option -Seg. Portfolio 2 (erstwhile BBNPP Medium Duration Fund Regular-Monthly IDCW option Seg. Portfolio 1)</t>
        </is>
      </c>
      <c r="C1687" t="inlineStr">
        <is>
          <t xml:space="preserve">INF955L01JB2</t>
        </is>
      </c>
    </row>
    <row r="1688">
      <c r="A1688" t="inlineStr">
        <is>
          <t xml:space="preserve">Baroda BNP Paribas Mutual Fund</t>
        </is>
      </c>
      <c r="B1688" t="inlineStr">
        <is>
          <t xml:space="preserve">Baroda BNP Paribas Credit Risk fund -Regular-Growth -Seg. Portfolio 2 (erstwhile BBNPP Medium Duration Fund Regular Growth Seg. Portfolio 1)</t>
        </is>
      </c>
      <c r="C1688" t="inlineStr">
        <is>
          <t xml:space="preserve">INF955L01IY6</t>
        </is>
      </c>
    </row>
    <row r="1689">
      <c r="A1689" t="inlineStr">
        <is>
          <t xml:space="preserve">Baroda BNP Paribas Mutual Fund</t>
        </is>
      </c>
      <c r="B1689" t="inlineStr">
        <is>
          <t xml:space="preserve">Baroda BNP Paribas Credit Risk Fund -Regular-Growth Option</t>
        </is>
      </c>
      <c r="C1689" t="inlineStr">
        <is>
          <t xml:space="preserve">INF955L01FP0</t>
        </is>
      </c>
    </row>
    <row r="1690">
      <c r="A1690" t="inlineStr">
        <is>
          <t xml:space="preserve">Baroda BNP Paribas Mutual Fund</t>
        </is>
      </c>
      <c r="B1690" t="inlineStr">
        <is>
          <t xml:space="preserve">Baroda BNP Paribas Credit Risk Fund -Regular-Monthly IDCW</t>
        </is>
      </c>
      <c r="C1690" t="inlineStr">
        <is>
          <t xml:space="preserve">INF955L01FU0</t>
        </is>
      </c>
    </row>
    <row r="1691">
      <c r="A1691" t="inlineStr">
        <is>
          <t xml:space="preserve">Baroda BNP Paribas Mutual Fund</t>
        </is>
      </c>
      <c r="B1691" t="inlineStr">
        <is>
          <t xml:space="preserve">Baroda BNP Paribas Credit Risk Fund -Regular-Quarterly IDCW</t>
        </is>
      </c>
      <c r="C1691" t="inlineStr">
        <is>
          <t xml:space="preserve">INF955L01FV8</t>
        </is>
      </c>
    </row>
    <row r="1692">
      <c r="A1692" t="inlineStr">
        <is>
          <t xml:space="preserve">Baroda BNP Paribas Mutual Fund</t>
        </is>
      </c>
      <c r="B1692" t="inlineStr">
        <is>
          <t xml:space="preserve">Baroda BNP Paribas Credit Risk Fund- Direct- Growth Option- Segregated Portfolio- 1</t>
        </is>
      </c>
      <c r="C1692" t="inlineStr">
        <is>
          <t xml:space="preserve">INF955L01IT6</t>
        </is>
      </c>
    </row>
    <row r="1693">
      <c r="A1693" t="inlineStr">
        <is>
          <t xml:space="preserve">Baroda BNP Paribas Mutual Fund</t>
        </is>
      </c>
      <c r="B1693" t="inlineStr">
        <is>
          <t xml:space="preserve">Baroda BNP Paribas Credit Risk Fund- Direct- Monthly IDCW Option- Segregated Portfolio- 1</t>
        </is>
      </c>
      <c r="C1693" t="inlineStr">
        <is>
          <t xml:space="preserve">INF955L01IW0</t>
        </is>
      </c>
    </row>
    <row r="1694">
      <c r="A1694" t="inlineStr">
        <is>
          <t xml:space="preserve">Baroda BNP Paribas Mutual Fund</t>
        </is>
      </c>
      <c r="B1694" t="inlineStr">
        <is>
          <t xml:space="preserve">Baroda BNP Paribas Credit Risk Fund- Regular- Growth Option- Segregated Portfolio- 1</t>
        </is>
      </c>
      <c r="C1694" t="inlineStr">
        <is>
          <t xml:space="preserve">INF955L01IO7</t>
        </is>
      </c>
    </row>
    <row r="1695">
      <c r="A1695" t="inlineStr">
        <is>
          <t xml:space="preserve">Baroda BNP Paribas Mutual Fund</t>
        </is>
      </c>
      <c r="B1695" t="inlineStr">
        <is>
          <t xml:space="preserve">Baroda BNP Paribas Credit Risk Fund- Regular- Monthly IDCW Option- Segregated Portfolio- 1</t>
        </is>
      </c>
      <c r="C1695" t="inlineStr">
        <is>
          <t xml:space="preserve">INF955L01IR0</t>
        </is>
      </c>
    </row>
    <row r="1696">
      <c r="A1696" t="inlineStr">
        <is>
          <t xml:space="preserve">Baroda BNP Paribas Mutual Fund</t>
        </is>
      </c>
      <c r="B1696" t="inlineStr">
        <is>
          <t xml:space="preserve">Baroda BNP Paribas Credit Risk Fund- Regular- Quarterly IDCW Option- Segregated Portfolio- 1</t>
        </is>
      </c>
      <c r="C1696" t="inlineStr">
        <is>
          <t xml:space="preserve">INF955L01IP4</t>
        </is>
      </c>
    </row>
    <row r="1697">
      <c r="A1697" t="inlineStr">
        <is>
          <t xml:space="preserve">Baroda BNP Paribas Mutual Fund</t>
        </is>
      </c>
      <c r="B1697" t="inlineStr">
        <is>
          <t xml:space="preserve">Baroda BNP Paribas Credit Risk Fund-Defunct -Daily IDCW option - seg Portfolio 2 (erstwhile BBNPP Medium Duration fund Defunct Daily IDCW daily option Seg Portfolio 1)</t>
        </is>
      </c>
      <c r="C1697" t="inlineStr">
        <is>
          <t xml:space="preserve">INF955L01JN7</t>
        </is>
      </c>
    </row>
    <row r="1698">
      <c r="A1698" t="inlineStr">
        <is>
          <t xml:space="preserve">Baroda BNP Paribas Mutual Fund</t>
        </is>
      </c>
      <c r="B1698" t="inlineStr">
        <is>
          <t xml:space="preserve">Baroda BNP Paribas Credit Risk Fund-Direct- Quarterly IDCW Option- Segregated Portfolio- 1</t>
        </is>
      </c>
      <c r="C1698" t="inlineStr">
        <is>
          <t xml:space="preserve">INF955L01IU4</t>
        </is>
      </c>
    </row>
    <row r="1699">
      <c r="A1699" t="inlineStr">
        <is>
          <t xml:space="preserve">Baroda BNP Paribas Mutual Fund</t>
        </is>
      </c>
      <c r="B1699" t="inlineStr">
        <is>
          <t xml:space="preserve">Baroda BNP Paribas Dividend Yield Fund - Direct Plan - Growth Option</t>
        </is>
      </c>
      <c r="C1699" t="inlineStr">
        <is>
          <t xml:space="preserve">INF251K01TV5</t>
        </is>
      </c>
    </row>
    <row r="1700">
      <c r="A1700" t="inlineStr">
        <is>
          <t xml:space="preserve">Baroda BNP Paribas Mutual Fund</t>
        </is>
      </c>
      <c r="B1700" t="inlineStr">
        <is>
          <t xml:space="preserve">Baroda BNP Paribas Dividend Yield Fund - Direct Plan - IDCW Option</t>
        </is>
      </c>
      <c r="C1700" t="inlineStr">
        <is>
          <t xml:space="preserve">INF251K01TW3</t>
        </is>
      </c>
    </row>
    <row r="1701">
      <c r="A1701" t="inlineStr">
        <is>
          <t xml:space="preserve">Baroda BNP Paribas Mutual Fund</t>
        </is>
      </c>
      <c r="B1701" t="inlineStr">
        <is>
          <t xml:space="preserve">Baroda BNP Paribas Dividend Yield Fund - Regular Plan - Growth Option</t>
        </is>
      </c>
      <c r="C1701" t="inlineStr">
        <is>
          <t xml:space="preserve">INF251K01TS1</t>
        </is>
      </c>
    </row>
    <row r="1702">
      <c r="A1702" t="inlineStr">
        <is>
          <t xml:space="preserve">Baroda BNP Paribas Mutual Fund</t>
        </is>
      </c>
      <c r="B1702" t="inlineStr">
        <is>
          <t xml:space="preserve">Baroda BNP Paribas Dividend Yield Fund - Regular Plan - IDCW Option</t>
        </is>
      </c>
      <c r="C1702" t="inlineStr">
        <is>
          <t xml:space="preserve">INF251K01TT9</t>
        </is>
      </c>
    </row>
    <row r="1703">
      <c r="A1703" t="inlineStr">
        <is>
          <t xml:space="preserve">Baroda BNP Paribas Mutual Fund</t>
        </is>
      </c>
      <c r="B1703" t="inlineStr">
        <is>
          <t xml:space="preserve">Baroda BNP Paribas Dynamic Bond Fund - Direct Plan - Daily IDCW Option</t>
        </is>
      </c>
      <c r="C1703" t="inlineStr">
        <is>
          <t xml:space="preserve">INF251K01GX8</t>
        </is>
      </c>
    </row>
    <row r="1704">
      <c r="A1704" t="inlineStr">
        <is>
          <t xml:space="preserve">Baroda BNP Paribas Mutual Fund</t>
        </is>
      </c>
      <c r="B1704" t="inlineStr">
        <is>
          <t xml:space="preserve">Baroda BNP Paribas Dynamic Bond Fund - Direct Plan - Growth Option</t>
        </is>
      </c>
      <c r="C1704" t="inlineStr">
        <is>
          <t xml:space="preserve">INF251K01GW0</t>
        </is>
      </c>
    </row>
    <row r="1705">
      <c r="A1705" t="inlineStr">
        <is>
          <t xml:space="preserve">Baroda BNP Paribas Mutual Fund</t>
        </is>
      </c>
      <c r="B1705" t="inlineStr">
        <is>
          <t xml:space="preserve">Baroda BNP Paribas Dynamic Bond Fund - Direct Plan - Half Yearly IDCW Option</t>
        </is>
      </c>
      <c r="C1705" t="inlineStr">
        <is>
          <t xml:space="preserve">INF251K01HD8</t>
        </is>
      </c>
    </row>
    <row r="1706">
      <c r="A1706" t="inlineStr">
        <is>
          <t xml:space="preserve">Baroda BNP Paribas Mutual Fund</t>
        </is>
      </c>
      <c r="B1706" t="inlineStr">
        <is>
          <t xml:space="preserve">Baroda BNP Paribas Dynamic Bond Fund - Direct Plan - Monthly IDCW Option</t>
        </is>
      </c>
      <c r="C1706" t="inlineStr">
        <is>
          <t xml:space="preserve">INF251K01GZ3</t>
        </is>
      </c>
    </row>
    <row r="1707">
      <c r="A1707" t="inlineStr">
        <is>
          <t xml:space="preserve">Baroda BNP Paribas Mutual Fund</t>
        </is>
      </c>
      <c r="B1707" t="inlineStr">
        <is>
          <t xml:space="preserve">Baroda BNP Paribas Dynamic Bond Fund - Direct Plan - Quarterly IDCW Option</t>
        </is>
      </c>
      <c r="C1707" t="inlineStr">
        <is>
          <t xml:space="preserve">INF251K01HB2</t>
        </is>
      </c>
    </row>
    <row r="1708">
      <c r="A1708" t="inlineStr">
        <is>
          <t xml:space="preserve">Baroda BNP Paribas Mutual Fund</t>
        </is>
      </c>
      <c r="B1708" t="inlineStr">
        <is>
          <t xml:space="preserve">Baroda BNP Paribas Dynamic Bond Fund - Direct Plan - Weekly IDCW Option</t>
        </is>
      </c>
      <c r="C1708" t="inlineStr">
        <is>
          <t xml:space="preserve">INF251K01GY6</t>
        </is>
      </c>
    </row>
    <row r="1709">
      <c r="A1709" t="inlineStr">
        <is>
          <t xml:space="preserve">Baroda BNP Paribas Mutual Fund</t>
        </is>
      </c>
      <c r="B1709" t="inlineStr">
        <is>
          <t xml:space="preserve">Baroda BNP Paribas Dynamic Bond Fund - Regular Plan - Daily IDCW Option</t>
        </is>
      </c>
      <c r="C1709" t="inlineStr">
        <is>
          <t xml:space="preserve">INF251K01DX5</t>
        </is>
      </c>
    </row>
    <row r="1710">
      <c r="A1710" t="inlineStr">
        <is>
          <t xml:space="preserve">Baroda BNP Paribas Mutual Fund</t>
        </is>
      </c>
      <c r="B1710" t="inlineStr">
        <is>
          <t xml:space="preserve">Baroda BNP Paribas Dynamic Bond Fund - Regular Plan - Growth Option</t>
        </is>
      </c>
      <c r="C1710" t="inlineStr">
        <is>
          <t xml:space="preserve">INF251K01DW7</t>
        </is>
      </c>
    </row>
    <row r="1711">
      <c r="A1711" t="inlineStr">
        <is>
          <t xml:space="preserve">Baroda BNP Paribas Mutual Fund</t>
        </is>
      </c>
      <c r="B1711" t="inlineStr">
        <is>
          <t xml:space="preserve">Baroda BNP Paribas Dynamic Bond Fund - Regular Plan - Half Yearly IDCW Option</t>
        </is>
      </c>
      <c r="C1711" t="inlineStr">
        <is>
          <t xml:space="preserve">INF251K01ED5</t>
        </is>
      </c>
    </row>
    <row r="1712">
      <c r="A1712" t="inlineStr">
        <is>
          <t xml:space="preserve">Baroda BNP Paribas Mutual Fund</t>
        </is>
      </c>
      <c r="B1712" t="inlineStr">
        <is>
          <t xml:space="preserve">Baroda BNP Paribas Dynamic Bond Fund - Regular Plan - Monthly IDCW Option</t>
        </is>
      </c>
      <c r="C1712" t="inlineStr">
        <is>
          <t xml:space="preserve">INF251K01DZ0</t>
        </is>
      </c>
    </row>
    <row r="1713">
      <c r="A1713" t="inlineStr">
        <is>
          <t xml:space="preserve">Baroda BNP Paribas Mutual Fund</t>
        </is>
      </c>
      <c r="B1713" t="inlineStr">
        <is>
          <t xml:space="preserve">Baroda BNP Paribas Dynamic Bond Fund - Regular Plan - Quarterly IDCW Option</t>
        </is>
      </c>
      <c r="C1713" t="inlineStr">
        <is>
          <t xml:space="preserve">INF251K01EB9</t>
        </is>
      </c>
    </row>
    <row r="1714">
      <c r="A1714" t="inlineStr">
        <is>
          <t xml:space="preserve">Baroda BNP Paribas Mutual Fund</t>
        </is>
      </c>
      <c r="B1714" t="inlineStr">
        <is>
          <t xml:space="preserve">Baroda BNP Paribas Dynamic Bond Fund - Regular Plan - Weekly IDCW Option</t>
        </is>
      </c>
      <c r="C1714" t="inlineStr">
        <is>
          <t xml:space="preserve">INF251K01DY3</t>
        </is>
      </c>
    </row>
    <row r="1715">
      <c r="A1715" t="inlineStr">
        <is>
          <t xml:space="preserve">Baroda BNP Paribas Mutual Fund</t>
        </is>
      </c>
      <c r="B1715" t="inlineStr">
        <is>
          <t xml:space="preserve">Baroda BNP Paribas Dynamic Bond Fund-Defunct Plan - Growth Option</t>
        </is>
      </c>
      <c r="C1715" t="inlineStr">
        <is>
          <t xml:space="preserve">INF251K01EF0</t>
        </is>
      </c>
    </row>
    <row r="1716">
      <c r="A1716" t="inlineStr">
        <is>
          <t xml:space="preserve">Baroda BNP Paribas Mutual Fund</t>
        </is>
      </c>
      <c r="B1716" t="inlineStr">
        <is>
          <t xml:space="preserve">BARODA BNP PARIBAS ELSS Tax Saver Fund - Direct Plan - Growth Option</t>
        </is>
      </c>
      <c r="C1716" t="inlineStr">
        <is>
          <t xml:space="preserve">INF251K01HF3</t>
        </is>
      </c>
    </row>
    <row r="1717">
      <c r="A1717" t="inlineStr">
        <is>
          <t xml:space="preserve">Baroda BNP Paribas Mutual Fund</t>
        </is>
      </c>
      <c r="B1717" t="inlineStr">
        <is>
          <t xml:space="preserve">BARODA BNP PARIBAS ELSS Tax Saver Fund - Direct Plan - IDCW Option</t>
        </is>
      </c>
      <c r="C1717" t="inlineStr">
        <is>
          <t xml:space="preserve">INF251K01HH9</t>
        </is>
      </c>
    </row>
    <row r="1718">
      <c r="A1718" t="inlineStr">
        <is>
          <t xml:space="preserve">Baroda BNP Paribas Mutual Fund</t>
        </is>
      </c>
      <c r="B1718" t="inlineStr">
        <is>
          <t xml:space="preserve">BARODA BNP PARIBAS ELSS Tax Saver Fund - Regular - Growth Option</t>
        </is>
      </c>
      <c r="C1718" t="inlineStr">
        <is>
          <t xml:space="preserve">INF251K01985</t>
        </is>
      </c>
    </row>
    <row r="1719">
      <c r="A1719" t="inlineStr">
        <is>
          <t xml:space="preserve">Baroda BNP Paribas Mutual Fund</t>
        </is>
      </c>
      <c r="B1719" t="inlineStr">
        <is>
          <t xml:space="preserve">BARODA BNP PARIBAS ELSS Tax Saver Fund- Regular - IDCW Option</t>
        </is>
      </c>
      <c r="C1719" t="inlineStr">
        <is>
          <t xml:space="preserve">INF251K01AA9</t>
        </is>
      </c>
    </row>
    <row r="1720">
      <c r="A1720" t="inlineStr">
        <is>
          <t xml:space="preserve">Baroda BNP Paribas Mutual Fund</t>
        </is>
      </c>
      <c r="B1720" t="inlineStr">
        <is>
          <t xml:space="preserve">Baroda BNP Paribas Energy Opportunities Fund - Direct Plan - Growth Option</t>
        </is>
      </c>
      <c r="C1720" t="inlineStr">
        <is>
          <t xml:space="preserve">INF251K01UJ8</t>
        </is>
      </c>
    </row>
    <row r="1721">
      <c r="A1721" t="inlineStr">
        <is>
          <t xml:space="preserve">Baroda BNP Paribas Mutual Fund</t>
        </is>
      </c>
      <c r="B1721" t="inlineStr">
        <is>
          <t xml:space="preserve">Baroda BNP Paribas Energy Opportunities Fund - Direct Plan - IDCW Option</t>
        </is>
      </c>
      <c r="C1721" t="inlineStr">
        <is>
          <t xml:space="preserve">INF251K01UK6</t>
        </is>
      </c>
    </row>
    <row r="1722">
      <c r="A1722" t="inlineStr">
        <is>
          <t xml:space="preserve">Baroda BNP Paribas Mutual Fund</t>
        </is>
      </c>
      <c r="B1722" t="inlineStr">
        <is>
          <t xml:space="preserve">Baroda BNP Paribas Energy Opportunities Fund - Regular Plan - Growth Option</t>
        </is>
      </c>
      <c r="C1722" t="inlineStr">
        <is>
          <t xml:space="preserve">INF251K01UG4</t>
        </is>
      </c>
    </row>
    <row r="1723">
      <c r="A1723" t="inlineStr">
        <is>
          <t xml:space="preserve">Baroda BNP Paribas Mutual Fund</t>
        </is>
      </c>
      <c r="B1723" t="inlineStr">
        <is>
          <t xml:space="preserve">Baroda BNP Paribas Energy Opportunities Fund - Regular Plan - ICDW Option</t>
        </is>
      </c>
      <c r="C1723" t="inlineStr">
        <is>
          <t xml:space="preserve">INF251K01UH2</t>
        </is>
      </c>
    </row>
    <row r="1724">
      <c r="A1724" t="inlineStr">
        <is>
          <t xml:space="preserve">Baroda BNP Paribas Mutual Fund</t>
        </is>
      </c>
      <c r="B1724" t="inlineStr">
        <is>
          <t xml:space="preserve">Baroda BNP Paribas Equity Savings Fund - Direct Plan - Growth</t>
        </is>
      </c>
      <c r="C1724" t="inlineStr">
        <is>
          <t xml:space="preserve">INF955L01IL3</t>
        </is>
      </c>
    </row>
    <row r="1725">
      <c r="A1725" t="inlineStr">
        <is>
          <t xml:space="preserve">Baroda BNP Paribas Mutual Fund</t>
        </is>
      </c>
      <c r="B1725" t="inlineStr">
        <is>
          <t xml:space="preserve">Baroda BNP Paribas Equity Savings Fund - Direct Plan - IDCW</t>
        </is>
      </c>
      <c r="C1725" t="inlineStr">
        <is>
          <t xml:space="preserve">INF955L01IN9</t>
        </is>
      </c>
    </row>
    <row r="1726">
      <c r="A1726" t="inlineStr">
        <is>
          <t xml:space="preserve">Baroda BNP Paribas Mutual Fund</t>
        </is>
      </c>
      <c r="B1726" t="inlineStr">
        <is>
          <t xml:space="preserve">Baroda BNP Paribas Equity Savings Fund - Regular Plan - Growth</t>
        </is>
      </c>
      <c r="C1726" t="inlineStr">
        <is>
          <t xml:space="preserve">INF955L01II9</t>
        </is>
      </c>
    </row>
    <row r="1727">
      <c r="A1727" t="inlineStr">
        <is>
          <t xml:space="preserve">Baroda BNP Paribas Mutual Fund</t>
        </is>
      </c>
      <c r="B1727" t="inlineStr">
        <is>
          <t xml:space="preserve">Baroda BNP Paribas Equity Savings Fund - Regular Plan - IDCW</t>
        </is>
      </c>
      <c r="C1727" t="inlineStr">
        <is>
          <t xml:space="preserve">INF955L01IK5</t>
        </is>
      </c>
    </row>
    <row r="1728">
      <c r="A1728" t="inlineStr">
        <is>
          <t xml:space="preserve">Baroda BNP Paribas Mutual Fund</t>
        </is>
      </c>
      <c r="B1728" t="inlineStr">
        <is>
          <t xml:space="preserve">Baroda BNP Paribas Flexi Cap Fund - Direct Plan - Growth Option</t>
        </is>
      </c>
      <c r="C1728" t="inlineStr">
        <is>
          <t xml:space="preserve">INF251K01QZ2</t>
        </is>
      </c>
    </row>
    <row r="1729">
      <c r="A1729" t="inlineStr">
        <is>
          <t xml:space="preserve">Baroda BNP Paribas Mutual Fund</t>
        </is>
      </c>
      <c r="B1729" t="inlineStr">
        <is>
          <t xml:space="preserve">Baroda BNP Paribas Flexi Cap Fund - Direct Plan - IDCW Option</t>
        </is>
      </c>
      <c r="C1729" t="inlineStr">
        <is>
          <t xml:space="preserve">INF251K01RA3</t>
        </is>
      </c>
    </row>
    <row r="1730">
      <c r="A1730" t="inlineStr">
        <is>
          <t xml:space="preserve">Baroda BNP Paribas Mutual Fund</t>
        </is>
      </c>
      <c r="B1730" t="inlineStr">
        <is>
          <t xml:space="preserve">Baroda BNP Paribas Flexi Cap Fund - Regular Plan - Growth Option</t>
        </is>
      </c>
      <c r="C1730" t="inlineStr">
        <is>
          <t xml:space="preserve">INF251K01QW9</t>
        </is>
      </c>
    </row>
    <row r="1731">
      <c r="A1731" t="inlineStr">
        <is>
          <t xml:space="preserve">Baroda BNP Paribas Mutual Fund</t>
        </is>
      </c>
      <c r="B1731" t="inlineStr">
        <is>
          <t xml:space="preserve">Baroda BNP Paribas Flexi Cap Fund - Regular Plan - IDCW Option</t>
        </is>
      </c>
      <c r="C1731" t="inlineStr">
        <is>
          <t xml:space="preserve">INF251K01QX7</t>
        </is>
      </c>
    </row>
    <row r="1732">
      <c r="A1732" t="inlineStr">
        <is>
          <t xml:space="preserve">Baroda BNP Paribas Mutual Fund</t>
        </is>
      </c>
      <c r="B1732" t="inlineStr">
        <is>
          <t xml:space="preserve">BARODA BNP PARIBAS Focused Fund - Direct Plan - Growth Option</t>
        </is>
      </c>
      <c r="C1732" t="inlineStr">
        <is>
          <t xml:space="preserve">INF251K01PN0</t>
        </is>
      </c>
    </row>
    <row r="1733">
      <c r="A1733" t="inlineStr">
        <is>
          <t xml:space="preserve">Baroda BNP Paribas Mutual Fund</t>
        </is>
      </c>
      <c r="B1733" t="inlineStr">
        <is>
          <t xml:space="preserve">BARODA BNP PARIBAS Focused Fund - Direct Plan - IDCW Option</t>
        </is>
      </c>
      <c r="C1733" t="inlineStr">
        <is>
          <t xml:space="preserve">INF251K01PO8</t>
        </is>
      </c>
    </row>
    <row r="1734">
      <c r="A1734" t="inlineStr">
        <is>
          <t xml:space="preserve">Baroda BNP Paribas Mutual Fund</t>
        </is>
      </c>
      <c r="B1734" t="inlineStr">
        <is>
          <t xml:space="preserve">BARODA BNP PARIBAS Focused Fund - Regular Plan - IDCW Option</t>
        </is>
      </c>
      <c r="C1734" t="inlineStr">
        <is>
          <t xml:space="preserve">INF251K01PL4</t>
        </is>
      </c>
    </row>
    <row r="1735">
      <c r="A1735" t="inlineStr">
        <is>
          <t xml:space="preserve">Baroda BNP Paribas Mutual Fund</t>
        </is>
      </c>
      <c r="B1735" t="inlineStr">
        <is>
          <t xml:space="preserve">BARODA BNP PARIBAS Focused Fund - Regular Plan-Growth Option</t>
        </is>
      </c>
      <c r="C1735" t="inlineStr">
        <is>
          <t xml:space="preserve">INF251K01PK6</t>
        </is>
      </c>
    </row>
    <row r="1736">
      <c r="A1736" t="inlineStr">
        <is>
          <t xml:space="preserve">Baroda BNP Paribas Mutual Fund</t>
        </is>
      </c>
      <c r="B1736" t="inlineStr">
        <is>
          <t xml:space="preserve">Baroda BNP Paribas GILT FUND - Direct Plan - Growth Option</t>
        </is>
      </c>
      <c r="C1736" t="inlineStr">
        <is>
          <t xml:space="preserve">INF955L01AD7</t>
        </is>
      </c>
    </row>
    <row r="1737">
      <c r="A1737" t="inlineStr">
        <is>
          <t xml:space="preserve">Baroda BNP Paribas Mutual Fund</t>
        </is>
      </c>
      <c r="B1737" t="inlineStr">
        <is>
          <t xml:space="preserve">Baroda BNP Paribas GILT FUND - Direct Plan - IDCW Option</t>
        </is>
      </c>
      <c r="C1737" t="inlineStr">
        <is>
          <t xml:space="preserve">INF955L01AB1</t>
        </is>
      </c>
    </row>
    <row r="1738">
      <c r="A1738" t="inlineStr">
        <is>
          <t xml:space="preserve">Baroda BNP Paribas Mutual Fund</t>
        </is>
      </c>
      <c r="B1738" t="inlineStr">
        <is>
          <t xml:space="preserve">Baroda BNP Paribas GILT FUND - Regular Plan - Growth Option</t>
        </is>
      </c>
      <c r="C1738" t="inlineStr">
        <is>
          <t xml:space="preserve">INF955L01450</t>
        </is>
      </c>
    </row>
    <row r="1739">
      <c r="A1739" t="inlineStr">
        <is>
          <t xml:space="preserve">Baroda BNP Paribas Mutual Fund</t>
        </is>
      </c>
      <c r="B1739" t="inlineStr">
        <is>
          <t xml:space="preserve">Baroda BNP Paribas GILT FUND - Regular Plan - IDCW Option</t>
        </is>
      </c>
      <c r="C1739" t="inlineStr">
        <is>
          <t xml:space="preserve">INF955L01435</t>
        </is>
      </c>
    </row>
    <row r="1740">
      <c r="A1740" t="inlineStr">
        <is>
          <t xml:space="preserve">Baroda BNP Paribas Mutual Fund</t>
        </is>
      </c>
      <c r="B1740" t="inlineStr">
        <is>
          <t xml:space="preserve">Baroda BNP Paribas Gold ETF</t>
        </is>
      </c>
      <c r="C1740" t="inlineStr">
        <is>
          <t xml:space="preserve">INF251K01SU9</t>
        </is>
      </c>
    </row>
    <row r="1741">
      <c r="A1741" t="inlineStr">
        <is>
          <t xml:space="preserve">Baroda BNP Paribas Mutual Fund</t>
        </is>
      </c>
      <c r="B1741" t="inlineStr">
        <is>
          <t xml:space="preserve">Baroda BNP Paribas Gold ETF Fund of Funds Direct Growth</t>
        </is>
      </c>
      <c r="C1741" t="inlineStr">
        <is>
          <t xml:space="preserve">INF251K01VF4</t>
        </is>
      </c>
    </row>
    <row r="1742">
      <c r="A1742" t="inlineStr">
        <is>
          <t xml:space="preserve">Baroda BNP Paribas Mutual Fund</t>
        </is>
      </c>
      <c r="B1742" t="inlineStr">
        <is>
          <t xml:space="preserve">Baroda BNP Paribas Gold ETF Fund of Funds Regular Growth</t>
        </is>
      </c>
      <c r="C1742" t="inlineStr">
        <is>
          <t xml:space="preserve">INF251K01VE7</t>
        </is>
      </c>
    </row>
    <row r="1743">
      <c r="A1743" t="inlineStr">
        <is>
          <t xml:space="preserve">Baroda BNP Paribas Mutual Fund</t>
        </is>
      </c>
      <c r="B1743" t="inlineStr">
        <is>
          <t xml:space="preserve">Baroda BNP Paribas Health and Wellness Fund Direct Growth</t>
        </is>
      </c>
      <c r="C1743" t="inlineStr">
        <is>
          <t xml:space="preserve">INF251K01VA5</t>
        </is>
      </c>
    </row>
    <row r="1744">
      <c r="A1744" t="inlineStr">
        <is>
          <t xml:space="preserve">Baroda BNP Paribas Mutual Fund</t>
        </is>
      </c>
      <c r="B1744" t="inlineStr">
        <is>
          <t xml:space="preserve">Baroda BNP Paribas Health and Wellness Fund Direct IDCWPayout</t>
        </is>
      </c>
      <c r="C1744" t="inlineStr">
        <is>
          <t xml:space="preserve">INF251K01VB3</t>
        </is>
      </c>
    </row>
    <row r="1745">
      <c r="A1745" t="inlineStr">
        <is>
          <t xml:space="preserve">Baroda BNP Paribas Mutual Fund</t>
        </is>
      </c>
      <c r="B1745" t="inlineStr">
        <is>
          <t xml:space="preserve">Baroda BNP Paribas Health and Wellness Fund Regular Growth</t>
        </is>
      </c>
      <c r="C1745" t="inlineStr">
        <is>
          <t xml:space="preserve">INF251K01UY7</t>
        </is>
      </c>
    </row>
    <row r="1746">
      <c r="A1746" t="inlineStr">
        <is>
          <t xml:space="preserve">Baroda BNP Paribas Mutual Fund</t>
        </is>
      </c>
      <c r="B1746" t="inlineStr">
        <is>
          <t xml:space="preserve">Baroda BNP Paribas Health and Wellness Fund Regular IDCWPayout</t>
        </is>
      </c>
      <c r="C1746" t="inlineStr">
        <is>
          <t xml:space="preserve">INF251K01VD9</t>
        </is>
      </c>
    </row>
    <row r="1747">
      <c r="A1747" t="inlineStr">
        <is>
          <t xml:space="preserve">Baroda BNP Paribas Mutual Fund</t>
        </is>
      </c>
      <c r="B1747" t="inlineStr">
        <is>
          <t xml:space="preserve">Baroda BNP Paribas Income Plus Arbitrage Active FOF Direct Growth</t>
        </is>
      </c>
      <c r="C1747" t="inlineStr">
        <is>
          <t xml:space="preserve">INF251K01UT7</t>
        </is>
      </c>
    </row>
    <row r="1748">
      <c r="A1748" t="inlineStr">
        <is>
          <t xml:space="preserve">Baroda BNP Paribas Mutual Fund</t>
        </is>
      </c>
      <c r="B1748" t="inlineStr">
        <is>
          <t xml:space="preserve">Baroda BNP Paribas Income Plus Arbitrage Active FOF Direct IDCW Payout</t>
        </is>
      </c>
      <c r="C1748" t="inlineStr">
        <is>
          <t xml:space="preserve">INF251K01UU5</t>
        </is>
      </c>
    </row>
    <row r="1749">
      <c r="A1749" t="inlineStr">
        <is>
          <t xml:space="preserve">Baroda BNP Paribas Mutual Fund</t>
        </is>
      </c>
      <c r="B1749" t="inlineStr">
        <is>
          <t xml:space="preserve">Baroda BNP Paribas Income Plus Arbitrage Active FOF Regular Growth</t>
        </is>
      </c>
      <c r="C1749" t="inlineStr">
        <is>
          <t xml:space="preserve">INF251K01UR1</t>
        </is>
      </c>
    </row>
    <row r="1750">
      <c r="A1750" t="inlineStr">
        <is>
          <t xml:space="preserve">Baroda BNP Paribas Mutual Fund</t>
        </is>
      </c>
      <c r="B1750" t="inlineStr">
        <is>
          <t xml:space="preserve">Baroda BNP Paribas Income Plus Arbitrage Active FOF Regular IDCW Payout</t>
        </is>
      </c>
      <c r="C1750" t="inlineStr">
        <is>
          <t xml:space="preserve">INF251K01UX9</t>
        </is>
      </c>
    </row>
    <row r="1751">
      <c r="A1751" t="inlineStr">
        <is>
          <t xml:space="preserve">Baroda BNP Paribas Mutual Fund</t>
        </is>
      </c>
      <c r="B1751" t="inlineStr">
        <is>
          <t xml:space="preserve">BARODA BNP PARIBAS India Consumption Fund - Direct Plan - Growth Option</t>
        </is>
      </c>
      <c r="C1751" t="inlineStr">
        <is>
          <t xml:space="preserve">INF251K01PT7</t>
        </is>
      </c>
    </row>
    <row r="1752">
      <c r="A1752" t="inlineStr">
        <is>
          <t xml:space="preserve">Baroda BNP Paribas Mutual Fund</t>
        </is>
      </c>
      <c r="B1752" t="inlineStr">
        <is>
          <t xml:space="preserve">BARODA BNP PARIBAS India Consumption Fund - Direct Plan - IDCW Option</t>
        </is>
      </c>
      <c r="C1752" t="inlineStr">
        <is>
          <t xml:space="preserve">INF251K01PV3</t>
        </is>
      </c>
    </row>
    <row r="1753">
      <c r="A1753" t="inlineStr">
        <is>
          <t xml:space="preserve">Baroda BNP Paribas Mutual Fund</t>
        </is>
      </c>
      <c r="B1753" t="inlineStr">
        <is>
          <t xml:space="preserve">BARODA BNP PARIBAS India Consumption Fund - Regular Plan - Growth Option</t>
        </is>
      </c>
      <c r="C1753" t="inlineStr">
        <is>
          <t xml:space="preserve">INF251K01PQ3</t>
        </is>
      </c>
    </row>
    <row r="1754">
      <c r="A1754" t="inlineStr">
        <is>
          <t xml:space="preserve">Baroda BNP Paribas Mutual Fund</t>
        </is>
      </c>
      <c r="B1754" t="inlineStr">
        <is>
          <t xml:space="preserve">BARODA BNP PARIBAS India Consumption Fund - Regular Plan - IDCW Option</t>
        </is>
      </c>
      <c r="C1754" t="inlineStr">
        <is>
          <t xml:space="preserve">INF251K01PS9</t>
        </is>
      </c>
    </row>
    <row r="1755">
      <c r="A1755" t="inlineStr">
        <is>
          <t xml:space="preserve">Baroda BNP Paribas Mutual Fund</t>
        </is>
      </c>
      <c r="B1755" t="inlineStr">
        <is>
          <t xml:space="preserve">Baroda BNP Paribas Innovation Fund Direct plan - Growth Option</t>
        </is>
      </c>
      <c r="C1755" t="inlineStr">
        <is>
          <t xml:space="preserve">INF251K01TE1</t>
        </is>
      </c>
    </row>
    <row r="1756">
      <c r="A1756" t="inlineStr">
        <is>
          <t xml:space="preserve">Baroda BNP Paribas Mutual Fund</t>
        </is>
      </c>
      <c r="B1756" t="inlineStr">
        <is>
          <t xml:space="preserve">Baroda BNP Paribas Innovation Fund Direct plan - IDCW Option</t>
        </is>
      </c>
      <c r="C1756" t="inlineStr">
        <is>
          <t xml:space="preserve">INF251K01TF8</t>
        </is>
      </c>
    </row>
    <row r="1757">
      <c r="A1757" t="inlineStr">
        <is>
          <t xml:space="preserve">Baroda BNP Paribas Mutual Fund</t>
        </is>
      </c>
      <c r="B1757" t="inlineStr">
        <is>
          <t xml:space="preserve">Baroda BNP Paribas Innovation Fund Regular plan - Growth Option</t>
        </is>
      </c>
      <c r="C1757" t="inlineStr">
        <is>
          <t xml:space="preserve">INF251K01TB7</t>
        </is>
      </c>
    </row>
    <row r="1758">
      <c r="A1758" t="inlineStr">
        <is>
          <t xml:space="preserve">Baroda BNP Paribas Mutual Fund</t>
        </is>
      </c>
      <c r="B1758" t="inlineStr">
        <is>
          <t xml:space="preserve">Baroda BNP Paribas Innovation Fund Regular plan - IDCW Option</t>
        </is>
      </c>
      <c r="C1758" t="inlineStr">
        <is>
          <t xml:space="preserve">INF251K01TC5</t>
        </is>
      </c>
    </row>
    <row r="1759">
      <c r="A1759" t="inlineStr">
        <is>
          <t xml:space="preserve">Baroda BNP Paribas Mutual Fund</t>
        </is>
      </c>
      <c r="B1759" t="inlineStr">
        <is>
          <t xml:space="preserve">Baroda BNP Paribas Large and Mid Cap Fund- Direct Plan -Growth Option</t>
        </is>
      </c>
      <c r="C1759" t="inlineStr">
        <is>
          <t xml:space="preserve">INF955L01JU2</t>
        </is>
      </c>
    </row>
    <row r="1760">
      <c r="A1760" t="inlineStr">
        <is>
          <t xml:space="preserve">Baroda BNP Paribas Mutual Fund</t>
        </is>
      </c>
      <c r="B1760" t="inlineStr">
        <is>
          <t xml:space="preserve">Baroda BNP Paribas Large and Mid Cap Fund-Direct Plan-IDCW Option</t>
        </is>
      </c>
      <c r="C1760" t="inlineStr">
        <is>
          <t xml:space="preserve">INF955L01JV0</t>
        </is>
      </c>
    </row>
    <row r="1761">
      <c r="A1761" t="inlineStr">
        <is>
          <t xml:space="preserve">Baroda BNP Paribas Mutual Fund</t>
        </is>
      </c>
      <c r="B1761" t="inlineStr">
        <is>
          <t xml:space="preserve">Baroda BNP Paribas Large and Mid Cap Fund-Regular Plan-Growth Option</t>
        </is>
      </c>
      <c r="C1761" t="inlineStr">
        <is>
          <t xml:space="preserve">INF955L01JR8</t>
        </is>
      </c>
    </row>
    <row r="1762">
      <c r="A1762" t="inlineStr">
        <is>
          <t xml:space="preserve">Baroda BNP Paribas Mutual Fund</t>
        </is>
      </c>
      <c r="B1762" t="inlineStr">
        <is>
          <t xml:space="preserve">Baroda BNP Paribas Large and Mid Cap Fund-Regular plan-IDCW Option</t>
        </is>
      </c>
      <c r="C1762" t="inlineStr">
        <is>
          <t xml:space="preserve">INF955L01JS6</t>
        </is>
      </c>
    </row>
    <row r="1763">
      <c r="A1763" t="inlineStr">
        <is>
          <t xml:space="preserve">Baroda BNP Paribas Mutual Fund</t>
        </is>
      </c>
      <c r="B1763" t="inlineStr">
        <is>
          <t xml:space="preserve">BARODA BNP PARIBAS LARGE CAP Fund - Direct Plan - Growth Option</t>
        </is>
      </c>
      <c r="C1763" t="inlineStr">
        <is>
          <t xml:space="preserve">INF251K01HN7</t>
        </is>
      </c>
    </row>
    <row r="1764">
      <c r="A1764" t="inlineStr">
        <is>
          <t xml:space="preserve">Baroda BNP Paribas Mutual Fund</t>
        </is>
      </c>
      <c r="B1764" t="inlineStr">
        <is>
          <t xml:space="preserve">BARODA BNP PARIBAS LARGE CAP Fund - Direct Plan - IDCW Option</t>
        </is>
      </c>
      <c r="C1764" t="inlineStr">
        <is>
          <t xml:space="preserve">INF251K01HL1</t>
        </is>
      </c>
    </row>
    <row r="1765">
      <c r="A1765" t="inlineStr">
        <is>
          <t xml:space="preserve">Baroda BNP Paribas Mutual Fund</t>
        </is>
      </c>
      <c r="B1765" t="inlineStr">
        <is>
          <t xml:space="preserve">BARODA BNP PARIBAS LARGE CAP Fund - Regular Plan - IDCW Option</t>
        </is>
      </c>
      <c r="C1765" t="inlineStr">
        <is>
          <t xml:space="preserve">INF251K01910</t>
        </is>
      </c>
    </row>
    <row r="1766">
      <c r="A1766" t="inlineStr">
        <is>
          <t xml:space="preserve">Baroda BNP Paribas Mutual Fund</t>
        </is>
      </c>
      <c r="B1766" t="inlineStr">
        <is>
          <t xml:space="preserve">BARODA BNP PARIBAS LARGE CAP Fund- Regular Plan - Growth Option</t>
        </is>
      </c>
      <c r="C1766" t="inlineStr">
        <is>
          <t xml:space="preserve">INF251K01894</t>
        </is>
      </c>
    </row>
    <row r="1767">
      <c r="A1767" t="inlineStr">
        <is>
          <t xml:space="preserve">Baroda BNP Paribas Mutual Fund</t>
        </is>
      </c>
      <c r="B1767" t="inlineStr">
        <is>
          <t xml:space="preserve">Baroda BNP Paribas LIQUID FUND - DIRECT PLAN - DAILY IDCW OPTION</t>
        </is>
      </c>
      <c r="C1767" t="inlineStr">
        <is>
          <t xml:space="preserve">INF955L01AK2</t>
        </is>
      </c>
    </row>
    <row r="1768">
      <c r="A1768" t="inlineStr">
        <is>
          <t xml:space="preserve">Baroda BNP Paribas Mutual Fund</t>
        </is>
      </c>
      <c r="B1768" t="inlineStr">
        <is>
          <t xml:space="preserve">Baroda BNP Paribas LIQUID FUND - DIRECT PLAN - GROWTH OPTION</t>
        </is>
      </c>
      <c r="C1768" t="inlineStr">
        <is>
          <t xml:space="preserve">INF955L01AL0</t>
        </is>
      </c>
    </row>
    <row r="1769">
      <c r="A1769" t="inlineStr">
        <is>
          <t xml:space="preserve">Baroda BNP Paribas Mutual Fund</t>
        </is>
      </c>
      <c r="B1769" t="inlineStr">
        <is>
          <t xml:space="preserve">Baroda BNP Paribas LIQUID FUND - DIRECT PLAN - WEEKLY IDCW OPTION</t>
        </is>
      </c>
      <c r="C1769" t="inlineStr">
        <is>
          <t xml:space="preserve">INF251K01SL8</t>
        </is>
      </c>
    </row>
    <row r="1770">
      <c r="A1770" t="inlineStr">
        <is>
          <t xml:space="preserve">Baroda BNP Paribas Mutual Fund</t>
        </is>
      </c>
      <c r="B1770" t="inlineStr">
        <is>
          <t xml:space="preserve">Baroda BNP Paribas Liquid Fund - Plan C</t>
        </is>
      </c>
      <c r="C1770" t="inlineStr">
        <is>
          <t xml:space="preserve">INF955L01GR4</t>
        </is>
      </c>
    </row>
    <row r="1771">
      <c r="A1771" t="inlineStr">
        <is>
          <t xml:space="preserve">Baroda BNP Paribas Mutual Fund</t>
        </is>
      </c>
      <c r="B1771" t="inlineStr">
        <is>
          <t xml:space="preserve">Baroda BNP Paribas Liquid Fund - Regular - Weekly IDCW Option</t>
        </is>
      </c>
      <c r="C1771" t="inlineStr">
        <is>
          <t xml:space="preserve">INF955L01534</t>
        </is>
      </c>
    </row>
    <row r="1772">
      <c r="A1772" t="inlineStr">
        <is>
          <t xml:space="preserve">Baroda BNP Paribas Mutual Fund</t>
        </is>
      </c>
      <c r="B1772" t="inlineStr">
        <is>
          <t xml:space="preserve">Baroda BNP Paribas LIQUID FUND - Regular Plan - DAILY IDCW OPTION</t>
        </is>
      </c>
      <c r="C1772" t="inlineStr">
        <is>
          <t xml:space="preserve">INF955L01468</t>
        </is>
      </c>
    </row>
    <row r="1773">
      <c r="A1773" t="inlineStr">
        <is>
          <t xml:space="preserve">Baroda BNP Paribas Mutual Fund</t>
        </is>
      </c>
      <c r="B1773" t="inlineStr">
        <is>
          <t xml:space="preserve">Baroda BNP Paribas LIQUID FUND - Regular Plan - GROWTH OPTION</t>
        </is>
      </c>
      <c r="C1773" t="inlineStr">
        <is>
          <t xml:space="preserve">INF955L01484</t>
        </is>
      </c>
    </row>
    <row r="1774">
      <c r="A1774" t="inlineStr">
        <is>
          <t xml:space="preserve">Baroda BNP Paribas Mutual Fund</t>
        </is>
      </c>
      <c r="B1774" t="inlineStr">
        <is>
          <t xml:space="preserve">Baroda BNP Paribas LIQUID FUND - Regular Plan - WEEKLY IDCW OPTION</t>
        </is>
      </c>
      <c r="C1774" t="inlineStr">
        <is>
          <t xml:space="preserve">INF251K01SK0</t>
        </is>
      </c>
    </row>
    <row r="1775">
      <c r="A1775" t="inlineStr">
        <is>
          <t xml:space="preserve">Baroda BNP Paribas Mutual Fund</t>
        </is>
      </c>
      <c r="B1775" t="inlineStr">
        <is>
          <t xml:space="preserve">Baroda BNP Paribas LIQUID FUND- Defunct Plan -Growth Option</t>
        </is>
      </c>
      <c r="C1775" t="inlineStr">
        <is>
          <t xml:space="preserve">INF955L01575</t>
        </is>
      </c>
    </row>
    <row r="1776">
      <c r="A1776" t="inlineStr">
        <is>
          <t xml:space="preserve">Baroda BNP Paribas Mutual Fund</t>
        </is>
      </c>
      <c r="B1776" t="inlineStr">
        <is>
          <t xml:space="preserve">Baroda BNP Paribas LIQUID FUND-Defunct Plan- IDCW Option</t>
        </is>
      </c>
      <c r="C1776" t="inlineStr">
        <is>
          <t xml:space="preserve">INF955L01559</t>
        </is>
      </c>
    </row>
    <row r="1777">
      <c r="A1777" t="inlineStr">
        <is>
          <t xml:space="preserve">Baroda BNP Paribas Mutual Fund</t>
        </is>
      </c>
      <c r="B1777" t="inlineStr">
        <is>
          <t xml:space="preserve">Baroda BNP Paribas LIQUID FUND-Defunct Plan-Daily IDCW Option</t>
        </is>
      </c>
      <c r="C1777" t="inlineStr">
        <is>
          <t xml:space="preserve">INF955L01518</t>
        </is>
      </c>
    </row>
    <row r="1778">
      <c r="A1778" t="inlineStr">
        <is>
          <t xml:space="preserve">Baroda BNP Paribas Mutual Fund</t>
        </is>
      </c>
      <c r="B1778" t="inlineStr">
        <is>
          <t xml:space="preserve">BARODA BNP PARIBAS LOW DURATION Fund - Direct Plan - Daily IDCW Option</t>
        </is>
      </c>
      <c r="C1778" t="inlineStr">
        <is>
          <t xml:space="preserve">INF251K01GK5</t>
        </is>
      </c>
    </row>
    <row r="1779">
      <c r="A1779" t="inlineStr">
        <is>
          <t xml:space="preserve">Baroda BNP Paribas Mutual Fund</t>
        </is>
      </c>
      <c r="B1779" t="inlineStr">
        <is>
          <t xml:space="preserve">BARODA BNP PARIBAS LOW DURATION Fund - Direct Plan - Growth Option</t>
        </is>
      </c>
      <c r="C1779" t="inlineStr">
        <is>
          <t xml:space="preserve">INF251K01GJ7</t>
        </is>
      </c>
    </row>
    <row r="1780">
      <c r="A1780" t="inlineStr">
        <is>
          <t xml:space="preserve">Baroda BNP Paribas Mutual Fund</t>
        </is>
      </c>
      <c r="B1780" t="inlineStr">
        <is>
          <t xml:space="preserve">BARODA BNP PARIBAS LOW DURATION Fund - Direct Plan - Monthly IDCW Option</t>
        </is>
      </c>
      <c r="C1780" t="inlineStr">
        <is>
          <t xml:space="preserve">INF251K01GN9</t>
        </is>
      </c>
    </row>
    <row r="1781">
      <c r="A1781" t="inlineStr">
        <is>
          <t xml:space="preserve">Baroda BNP Paribas Mutual Fund</t>
        </is>
      </c>
      <c r="B1781" t="inlineStr">
        <is>
          <t xml:space="preserve">BARODA BNP PARIBAS LOW DURATION Fund - Direct Plan - Weekly IDCW Option</t>
        </is>
      </c>
      <c r="C1781" t="inlineStr">
        <is>
          <t xml:space="preserve">INF251K01GL3</t>
        </is>
      </c>
    </row>
    <row r="1782">
      <c r="A1782" t="inlineStr">
        <is>
          <t xml:space="preserve">Baroda BNP Paribas Mutual Fund</t>
        </is>
      </c>
      <c r="B1782" t="inlineStr">
        <is>
          <t xml:space="preserve">BARODA BNP PARIBAS LOW DURATION FUND - Regular Plan - DAILY IDCW OPTION</t>
        </is>
      </c>
      <c r="C1782" t="inlineStr">
        <is>
          <t xml:space="preserve">INF251K01DR7</t>
        </is>
      </c>
    </row>
    <row r="1783">
      <c r="A1783" t="inlineStr">
        <is>
          <t xml:space="preserve">Baroda BNP Paribas Mutual Fund</t>
        </is>
      </c>
      <c r="B1783" t="inlineStr">
        <is>
          <t xml:space="preserve">BARODA BNP PARIBAS LOW DURATION FUND - Regular Plan - GROWTH OPTION</t>
        </is>
      </c>
      <c r="C1783" t="inlineStr">
        <is>
          <t xml:space="preserve">INF251K01DQ9</t>
        </is>
      </c>
    </row>
    <row r="1784">
      <c r="A1784" t="inlineStr">
        <is>
          <t xml:space="preserve">Baroda BNP Paribas Mutual Fund</t>
        </is>
      </c>
      <c r="B1784" t="inlineStr">
        <is>
          <t xml:space="preserve">BARODA BNP PARIBAS LOW DURATION FUND - Regular Plan - MONTHLY IDCW OPTION</t>
        </is>
      </c>
      <c r="C1784" t="inlineStr">
        <is>
          <t xml:space="preserve">INF251K01DU1</t>
        </is>
      </c>
    </row>
    <row r="1785">
      <c r="A1785" t="inlineStr">
        <is>
          <t xml:space="preserve">Baroda BNP Paribas Mutual Fund</t>
        </is>
      </c>
      <c r="B1785" t="inlineStr">
        <is>
          <t xml:space="preserve">BARODA BNP PARIBAS LOW DURATION FUND - Regular Plan - WEEKLY IDCW OPTION</t>
        </is>
      </c>
      <c r="C1785" t="inlineStr">
        <is>
          <t xml:space="preserve">INF251K01DS5</t>
        </is>
      </c>
    </row>
    <row r="1786">
      <c r="A1786" t="inlineStr">
        <is>
          <t xml:space="preserve">Baroda BNP Paribas Mutual Fund</t>
        </is>
      </c>
      <c r="B1786" t="inlineStr">
        <is>
          <t xml:space="preserve">BARODA BNP PARIBAS LOW DURATION Fund-Defunct Plan- Daily IDCW Option</t>
        </is>
      </c>
      <c r="C1786" t="inlineStr">
        <is>
          <t xml:space="preserve">INF251K01DM8</t>
        </is>
      </c>
    </row>
    <row r="1787">
      <c r="A1787" t="inlineStr">
        <is>
          <t xml:space="preserve">Baroda BNP Paribas Mutual Fund</t>
        </is>
      </c>
      <c r="B1787" t="inlineStr">
        <is>
          <t xml:space="preserve">BARODA BNP PARIBAS LOW DURATION Fund-Defunct Plan-Growth Option</t>
        </is>
      </c>
      <c r="C1787" t="inlineStr">
        <is>
          <t xml:space="preserve">INF251K01DL0</t>
        </is>
      </c>
    </row>
    <row r="1788">
      <c r="A1788" t="inlineStr">
        <is>
          <t xml:space="preserve">Baroda BNP Paribas Mutual Fund</t>
        </is>
      </c>
      <c r="B1788" t="inlineStr">
        <is>
          <t xml:space="preserve">BARODA BNP PARIBAS LOW DURATION Fund-Defunct Plan-Monthly IDCW Option</t>
        </is>
      </c>
      <c r="C1788" t="inlineStr">
        <is>
          <t xml:space="preserve">INF251K01DO4</t>
        </is>
      </c>
    </row>
    <row r="1789">
      <c r="A1789" t="inlineStr">
        <is>
          <t xml:space="preserve">Baroda BNP Paribas Mutual Fund</t>
        </is>
      </c>
      <c r="B1789" t="inlineStr">
        <is>
          <t xml:space="preserve">BARODA BNP PARIBAS LOW DURATION Fund-Defunct Plan-Weekly IDCW Option</t>
        </is>
      </c>
      <c r="C1789" t="inlineStr">
        <is>
          <t xml:space="preserve">INF251K01DN6</t>
        </is>
      </c>
    </row>
    <row r="1790">
      <c r="A1790" t="inlineStr">
        <is>
          <t xml:space="preserve">Baroda BNP Paribas Mutual Fund</t>
        </is>
      </c>
      <c r="B1790" t="inlineStr">
        <is>
          <t xml:space="preserve">Baroda BNP Paribas Manufacturing Fund - Direct Plan - Growth Option</t>
        </is>
      </c>
      <c r="C1790" t="inlineStr">
        <is>
          <t xml:space="preserve">INF251K01TP7</t>
        </is>
      </c>
    </row>
    <row r="1791">
      <c r="A1791" t="inlineStr">
        <is>
          <t xml:space="preserve">Baroda BNP Paribas Mutual Fund</t>
        </is>
      </c>
      <c r="B1791" t="inlineStr">
        <is>
          <t xml:space="preserve">Baroda BNP Paribas Manufacturing Fund - Direct Plan - IDCW Option</t>
        </is>
      </c>
      <c r="C1791" t="inlineStr">
        <is>
          <t xml:space="preserve">INF251K01TQ5</t>
        </is>
      </c>
    </row>
    <row r="1792">
      <c r="A1792" t="inlineStr">
        <is>
          <t xml:space="preserve">Baroda BNP Paribas Mutual Fund</t>
        </is>
      </c>
      <c r="B1792" t="inlineStr">
        <is>
          <t xml:space="preserve">Baroda BNP Paribas Manufacturing Fund - Regular Plan - Growth Option</t>
        </is>
      </c>
      <c r="C1792" t="inlineStr">
        <is>
          <t xml:space="preserve">INF251K01TM4</t>
        </is>
      </c>
    </row>
    <row r="1793">
      <c r="A1793" t="inlineStr">
        <is>
          <t xml:space="preserve">Baroda BNP Paribas Mutual Fund</t>
        </is>
      </c>
      <c r="B1793" t="inlineStr">
        <is>
          <t xml:space="preserve">Baroda BNP Paribas Manufacturing Fund - Regular Plan - IDCW Option</t>
        </is>
      </c>
      <c r="C1793" t="inlineStr">
        <is>
          <t xml:space="preserve">INF251K01TN2</t>
        </is>
      </c>
    </row>
    <row r="1794">
      <c r="A1794" t="inlineStr">
        <is>
          <t xml:space="preserve">Baroda BNP Paribas Mutual Fund</t>
        </is>
      </c>
      <c r="B1794" t="inlineStr">
        <is>
          <t xml:space="preserve">BARODA BNP PARIBAS Mid Cap Fund - Direct Plan - Growth Option</t>
        </is>
      </c>
      <c r="C1794" t="inlineStr">
        <is>
          <t xml:space="preserve">INF251K01HQ0</t>
        </is>
      </c>
    </row>
    <row r="1795">
      <c r="A1795" t="inlineStr">
        <is>
          <t xml:space="preserve">Baroda BNP Paribas Mutual Fund</t>
        </is>
      </c>
      <c r="B1795" t="inlineStr">
        <is>
          <t xml:space="preserve">BARODA BNP PARIBAS Mid Cap Fund - Direct Plan - IDCW Option</t>
        </is>
      </c>
      <c r="C1795" t="inlineStr">
        <is>
          <t xml:space="preserve">INF251K01HO5</t>
        </is>
      </c>
    </row>
    <row r="1796">
      <c r="A1796" t="inlineStr">
        <is>
          <t xml:space="preserve">Baroda BNP Paribas Mutual Fund</t>
        </is>
      </c>
      <c r="B1796" t="inlineStr">
        <is>
          <t xml:space="preserve">BARODA BNP PARIBAS Mid Cap Fund - Regular Plan - Growth Option</t>
        </is>
      </c>
      <c r="C1796" t="inlineStr">
        <is>
          <t xml:space="preserve">INF251K01AW3</t>
        </is>
      </c>
    </row>
    <row r="1797">
      <c r="A1797" t="inlineStr">
        <is>
          <t xml:space="preserve">Baroda BNP Paribas Mutual Fund</t>
        </is>
      </c>
      <c r="B1797" t="inlineStr">
        <is>
          <t xml:space="preserve">BARODA BNP PARIBAS Mid Cap Fund - Regular Plan - IDCW Option</t>
        </is>
      </c>
      <c r="C1797" t="inlineStr">
        <is>
          <t xml:space="preserve">INF251K01AX1</t>
        </is>
      </c>
    </row>
    <row r="1798">
      <c r="A1798" t="inlineStr">
        <is>
          <t xml:space="preserve">Baroda BNP Paribas Mutual Fund</t>
        </is>
      </c>
      <c r="B1798" t="inlineStr">
        <is>
          <t xml:space="preserve">Baroda BNP Paribas Money Market Fund - Direct Plan - Monthly IDCW</t>
        </is>
      </c>
      <c r="C1798" t="inlineStr">
        <is>
          <t xml:space="preserve">INF955L01IG3</t>
        </is>
      </c>
    </row>
    <row r="1799">
      <c r="A1799" t="inlineStr">
        <is>
          <t xml:space="preserve">Baroda BNP Paribas Mutual Fund</t>
        </is>
      </c>
      <c r="B1799" t="inlineStr">
        <is>
          <t xml:space="preserve">Baroda BNP Paribas Money Market Fund - Direct Plan-Daily IDCW</t>
        </is>
      </c>
      <c r="C1799" t="inlineStr">
        <is>
          <t xml:space="preserve">INF955L01IE8</t>
        </is>
      </c>
    </row>
    <row r="1800">
      <c r="A1800" t="inlineStr">
        <is>
          <t xml:space="preserve">Baroda BNP Paribas Mutual Fund</t>
        </is>
      </c>
      <c r="B1800" t="inlineStr">
        <is>
          <t xml:space="preserve">Baroda BNP Paribas Money Market Fund - Regular Plan - Monthly IDCW</t>
        </is>
      </c>
      <c r="C1800" t="inlineStr">
        <is>
          <t xml:space="preserve">INF955L01IB4</t>
        </is>
      </c>
    </row>
    <row r="1801">
      <c r="A1801" t="inlineStr">
        <is>
          <t xml:space="preserve">Baroda BNP Paribas Mutual Fund</t>
        </is>
      </c>
      <c r="B1801" t="inlineStr">
        <is>
          <t xml:space="preserve">Baroda BNP Paribas Money Market Fund -Direct Plan - Weekly IDCW</t>
        </is>
      </c>
      <c r="C1801" t="inlineStr">
        <is>
          <t xml:space="preserve">INF251K01VT5</t>
        </is>
      </c>
    </row>
    <row r="1802">
      <c r="A1802" t="inlineStr">
        <is>
          <t xml:space="preserve">Baroda BNP Paribas Mutual Fund</t>
        </is>
      </c>
      <c r="B1802" t="inlineStr">
        <is>
          <t xml:space="preserve">Baroda BNP Paribas Money Market Fund- Direct Plan - Growth</t>
        </is>
      </c>
      <c r="C1802" t="inlineStr">
        <is>
          <t xml:space="preserve">INF955L01ID0</t>
        </is>
      </c>
    </row>
    <row r="1803">
      <c r="A1803" t="inlineStr">
        <is>
          <t xml:space="preserve">Baroda BNP Paribas Mutual Fund</t>
        </is>
      </c>
      <c r="B1803" t="inlineStr">
        <is>
          <t xml:space="preserve">Baroda BNP Paribas Money Market Fund-Regular Plan - Growth</t>
        </is>
      </c>
      <c r="C1803" t="inlineStr">
        <is>
          <t xml:space="preserve">INF955L01HY8</t>
        </is>
      </c>
    </row>
    <row r="1804">
      <c r="A1804" t="inlineStr">
        <is>
          <t xml:space="preserve">Baroda BNP Paribas Mutual Fund</t>
        </is>
      </c>
      <c r="B1804" t="inlineStr">
        <is>
          <t xml:space="preserve">Baroda BNP Paribas Money Market Fund-Regular Plan- Daily IDCW</t>
        </is>
      </c>
      <c r="C1804" t="inlineStr">
        <is>
          <t xml:space="preserve">INF955L01HZ5</t>
        </is>
      </c>
    </row>
    <row r="1805">
      <c r="A1805" t="inlineStr">
        <is>
          <t xml:space="preserve">Baroda BNP Paribas Mutual Fund</t>
        </is>
      </c>
      <c r="B1805" t="inlineStr">
        <is>
          <t xml:space="preserve">Baroda BNP Paribas Money Market Fund-Regular Plan-Weekly IDCW</t>
        </is>
      </c>
      <c r="C1805" t="inlineStr">
        <is>
          <t xml:space="preserve">INF251K01VS7</t>
        </is>
      </c>
    </row>
    <row r="1806">
      <c r="A1806" t="inlineStr">
        <is>
          <t xml:space="preserve">Baroda BNP Paribas Mutual Fund</t>
        </is>
      </c>
      <c r="B1806" t="inlineStr">
        <is>
          <t xml:space="preserve">Baroda BNP Paribas Multi Asset Active FOF Direct Growth</t>
        </is>
      </c>
      <c r="C1806" t="inlineStr">
        <is>
          <t xml:space="preserve">INF251K01UO8</t>
        </is>
      </c>
    </row>
    <row r="1807">
      <c r="A1807" t="inlineStr">
        <is>
          <t xml:space="preserve">Baroda BNP Paribas Mutual Fund</t>
        </is>
      </c>
      <c r="B1807" t="inlineStr">
        <is>
          <t xml:space="preserve">Baroda BNP Paribas Multi Asset Active FOF Direct IDCW Payout</t>
        </is>
      </c>
      <c r="C1807" t="inlineStr">
        <is>
          <t xml:space="preserve">INF251K01UP5</t>
        </is>
      </c>
    </row>
    <row r="1808">
      <c r="A1808" t="inlineStr">
        <is>
          <t xml:space="preserve">Baroda BNP Paribas Mutual Fund</t>
        </is>
      </c>
      <c r="B1808" t="inlineStr">
        <is>
          <t xml:space="preserve">Baroda BNP Paribas Multi Asset Active FOF Regular Growth</t>
        </is>
      </c>
      <c r="C1808" t="inlineStr">
        <is>
          <t xml:space="preserve">INF251K01UM2</t>
        </is>
      </c>
    </row>
    <row r="1809">
      <c r="A1809" t="inlineStr">
        <is>
          <t xml:space="preserve">Baroda BNP Paribas Mutual Fund</t>
        </is>
      </c>
      <c r="B1809" t="inlineStr">
        <is>
          <t xml:space="preserve">Baroda BNP Paribas Multi Asset Active FOF Regular ICDW Payout</t>
        </is>
      </c>
      <c r="C1809" t="inlineStr">
        <is>
          <t xml:space="preserve">INF251K01UN0</t>
        </is>
      </c>
    </row>
    <row r="1810">
      <c r="A1810" t="inlineStr">
        <is>
          <t xml:space="preserve">Baroda BNP Paribas Mutual Fund</t>
        </is>
      </c>
      <c r="B1810" t="inlineStr">
        <is>
          <t xml:space="preserve">Baroda BNP Paribas Multi Asset Fund - Direct Plan - Growth Option</t>
        </is>
      </c>
      <c r="C1810" t="inlineStr">
        <is>
          <t xml:space="preserve">INF251K01RF2</t>
        </is>
      </c>
    </row>
    <row r="1811">
      <c r="A1811" t="inlineStr">
        <is>
          <t xml:space="preserve">Baroda BNP Paribas Mutual Fund</t>
        </is>
      </c>
      <c r="B1811" t="inlineStr">
        <is>
          <t xml:space="preserve">Baroda BNP Paribas Multi Asset Fund - Direct Plan - IDCW Option</t>
        </is>
      </c>
      <c r="C1811" t="inlineStr">
        <is>
          <t xml:space="preserve">INF251K01RG0</t>
        </is>
      </c>
    </row>
    <row r="1812">
      <c r="A1812" t="inlineStr">
        <is>
          <t xml:space="preserve">Baroda BNP Paribas Mutual Fund</t>
        </is>
      </c>
      <c r="B1812" t="inlineStr">
        <is>
          <t xml:space="preserve">Baroda BNP Paribas Multi Asset Fund - Regular Plan - Growth Option</t>
        </is>
      </c>
      <c r="C1812" t="inlineStr">
        <is>
          <t xml:space="preserve">INF251K01RC9</t>
        </is>
      </c>
    </row>
    <row r="1813">
      <c r="A1813" t="inlineStr">
        <is>
          <t xml:space="preserve">Baroda BNP Paribas Mutual Fund</t>
        </is>
      </c>
      <c r="B1813" t="inlineStr">
        <is>
          <t xml:space="preserve">Baroda BNP Paribas Multi Asset Fund - Regular Plan - IDCW Option</t>
        </is>
      </c>
      <c r="C1813" t="inlineStr">
        <is>
          <t xml:space="preserve">INF251K01RD7</t>
        </is>
      </c>
    </row>
    <row r="1814">
      <c r="A1814" t="inlineStr">
        <is>
          <t xml:space="preserve">Baroda BNP Paribas Mutual Fund</t>
        </is>
      </c>
      <c r="B1814" t="inlineStr">
        <is>
          <t xml:space="preserve">Baroda BNP Paribas MULTI CAP FUND - Direct Plan - Growth Option</t>
        </is>
      </c>
      <c r="C1814" t="inlineStr">
        <is>
          <t xml:space="preserve">INF955L01AG0</t>
        </is>
      </c>
    </row>
    <row r="1815">
      <c r="A1815" t="inlineStr">
        <is>
          <t xml:space="preserve">Baroda BNP Paribas Mutual Fund</t>
        </is>
      </c>
      <c r="B1815" t="inlineStr">
        <is>
          <t xml:space="preserve">Baroda BNP Paribas MULTI CAP FUND - Direct Plan - IDCW Option</t>
        </is>
      </c>
      <c r="C1815" t="inlineStr">
        <is>
          <t xml:space="preserve">INF955L01AE5</t>
        </is>
      </c>
    </row>
    <row r="1816">
      <c r="A1816" t="inlineStr">
        <is>
          <t xml:space="preserve">Baroda BNP Paribas Mutual Fund</t>
        </is>
      </c>
      <c r="B1816" t="inlineStr">
        <is>
          <t xml:space="preserve">Baroda BNP Paribas MULTI CAP FUND - Regular Plan - Growth Option</t>
        </is>
      </c>
      <c r="C1816" t="inlineStr">
        <is>
          <t xml:space="preserve">INF955L01674</t>
        </is>
      </c>
    </row>
    <row r="1817">
      <c r="A1817" t="inlineStr">
        <is>
          <t xml:space="preserve">Baroda BNP Paribas Mutual Fund</t>
        </is>
      </c>
      <c r="B1817" t="inlineStr">
        <is>
          <t xml:space="preserve">Baroda BNP Paribas MULTI CAP FUND - Regular Plan - IDCW Option</t>
        </is>
      </c>
      <c r="C1817" t="inlineStr">
        <is>
          <t xml:space="preserve">INF955L01658</t>
        </is>
      </c>
    </row>
    <row r="1818">
      <c r="A1818" t="inlineStr">
        <is>
          <t xml:space="preserve">Baroda BNP Paribas Mutual Fund</t>
        </is>
      </c>
      <c r="B1818" t="inlineStr">
        <is>
          <t xml:space="preserve">Baroda BNP Paribas Nifty 50 Index Fund - Direct Plan - Growth option</t>
        </is>
      </c>
      <c r="C1818" t="inlineStr">
        <is>
          <t xml:space="preserve">INF251K01SY1</t>
        </is>
      </c>
    </row>
    <row r="1819">
      <c r="A1819" t="inlineStr">
        <is>
          <t xml:space="preserve">Baroda BNP Paribas Mutual Fund</t>
        </is>
      </c>
      <c r="B1819" t="inlineStr">
        <is>
          <t xml:space="preserve">Baroda BNP Paribas Nifty 50 Index Fund - Direct Plan - IDCW option</t>
        </is>
      </c>
      <c r="C1819" t="inlineStr">
        <is>
          <t xml:space="preserve">INF251K01SZ8</t>
        </is>
      </c>
    </row>
    <row r="1820">
      <c r="A1820" t="inlineStr">
        <is>
          <t xml:space="preserve">Baroda BNP Paribas Mutual Fund</t>
        </is>
      </c>
      <c r="B1820" t="inlineStr">
        <is>
          <t xml:space="preserve">Baroda BNP Paribas Nifty 50 Index Fund - Regular Plan - Growth option</t>
        </is>
      </c>
      <c r="C1820" t="inlineStr">
        <is>
          <t xml:space="preserve">INF251K01SV7</t>
        </is>
      </c>
    </row>
    <row r="1821">
      <c r="A1821" t="inlineStr">
        <is>
          <t xml:space="preserve">Baroda BNP Paribas Mutual Fund</t>
        </is>
      </c>
      <c r="B1821" t="inlineStr">
        <is>
          <t xml:space="preserve">Baroda BNP Paribas Nifty 50 Index Fund - Regular Plan - IDCW option</t>
        </is>
      </c>
      <c r="C1821" t="inlineStr">
        <is>
          <t xml:space="preserve">INF251K01SW5</t>
        </is>
      </c>
    </row>
    <row r="1822">
      <c r="A1822" t="inlineStr">
        <is>
          <t xml:space="preserve">Baroda BNP Paribas Mutual Fund</t>
        </is>
      </c>
      <c r="B1822" t="inlineStr">
        <is>
          <t xml:space="preserve">Baroda BNP Paribas Nifty Bank ETF</t>
        </is>
      </c>
      <c r="C1822" t="inlineStr">
        <is>
          <t xml:space="preserve">INF251K01TL6</t>
        </is>
      </c>
    </row>
    <row r="1823">
      <c r="A1823" t="inlineStr">
        <is>
          <t xml:space="preserve">Baroda BNP Paribas Mutual Fund</t>
        </is>
      </c>
      <c r="B1823" t="inlineStr">
        <is>
          <t xml:space="preserve">Baroda BNP Paribas Nifty Midcap 150 Index Fund - Direct Plan - Growth Option</t>
        </is>
      </c>
      <c r="C1823" t="inlineStr">
        <is>
          <t xml:space="preserve">INF251K01UA7</t>
        </is>
      </c>
    </row>
    <row r="1824">
      <c r="A1824" t="inlineStr">
        <is>
          <t xml:space="preserve">Baroda BNP Paribas Mutual Fund</t>
        </is>
      </c>
      <c r="B1824" t="inlineStr">
        <is>
          <t xml:space="preserve">Baroda BNP Paribas Nifty Midcap 150 Index Fund - Regular Plan - Growth Option</t>
        </is>
      </c>
      <c r="C1824" t="inlineStr">
        <is>
          <t xml:space="preserve">INF251K01UB5</t>
        </is>
      </c>
    </row>
    <row r="1825">
      <c r="A1825" t="inlineStr">
        <is>
          <t xml:space="preserve">Baroda BNP Paribas Mutual Fund</t>
        </is>
      </c>
      <c r="B1825" t="inlineStr">
        <is>
          <t xml:space="preserve">Baroda BNP Paribas Nifty SDL December 2026 Index Fund - Direct Plan - Growth Option</t>
        </is>
      </c>
      <c r="C1825" t="inlineStr">
        <is>
          <t xml:space="preserve">INF251K01RL0</t>
        </is>
      </c>
    </row>
    <row r="1826">
      <c r="A1826" t="inlineStr">
        <is>
          <t xml:space="preserve">Baroda BNP Paribas Mutual Fund</t>
        </is>
      </c>
      <c r="B1826" t="inlineStr">
        <is>
          <t xml:space="preserve">Baroda BNP Paribas Nifty SDL December 2026 Index Fund - Direct Plan - IDCW Option</t>
        </is>
      </c>
      <c r="C1826" t="inlineStr">
        <is>
          <t xml:space="preserve">INF251K01RM8</t>
        </is>
      </c>
    </row>
    <row r="1827">
      <c r="A1827" t="inlineStr">
        <is>
          <t xml:space="preserve">Baroda BNP Paribas Mutual Fund</t>
        </is>
      </c>
      <c r="B1827" t="inlineStr">
        <is>
          <t xml:space="preserve">Baroda BNP Paribas Nifty SDL December 2026 Index Fund - Regular Plan - Growth Option</t>
        </is>
      </c>
      <c r="C1827" t="inlineStr">
        <is>
          <t xml:space="preserve">INF251K01RI6</t>
        </is>
      </c>
    </row>
    <row r="1828">
      <c r="A1828" t="inlineStr">
        <is>
          <t xml:space="preserve">Baroda BNP Paribas Mutual Fund</t>
        </is>
      </c>
      <c r="B1828" t="inlineStr">
        <is>
          <t xml:space="preserve">Baroda BNP Paribas Nifty SDL December 2026 Index Fund - Regular Plan - IDCW Option</t>
        </is>
      </c>
      <c r="C1828" t="inlineStr">
        <is>
          <t xml:space="preserve">INF251K01RJ4</t>
        </is>
      </c>
    </row>
    <row r="1829">
      <c r="A1829" t="inlineStr">
        <is>
          <t xml:space="preserve">Baroda BNP Paribas Mutual Fund</t>
        </is>
      </c>
      <c r="B1829" t="inlineStr">
        <is>
          <t xml:space="preserve">Baroda BNP Paribas NIFTY SDL December 2028 Index Fund - Direct Plan - Growth Option</t>
        </is>
      </c>
      <c r="C1829" t="inlineStr">
        <is>
          <t xml:space="preserve">INF251K01RR7</t>
        </is>
      </c>
    </row>
    <row r="1830">
      <c r="A1830" t="inlineStr">
        <is>
          <t xml:space="preserve">Baroda BNP Paribas Mutual Fund</t>
        </is>
      </c>
      <c r="B1830" t="inlineStr">
        <is>
          <t xml:space="preserve">Baroda BNP Paribas NIFTY SDL December 2028 Index Fund - Direct Plan - IDCW Option</t>
        </is>
      </c>
      <c r="C1830" t="inlineStr">
        <is>
          <t xml:space="preserve">INF251K01RS5</t>
        </is>
      </c>
    </row>
    <row r="1831">
      <c r="A1831" t="inlineStr">
        <is>
          <t xml:space="preserve">Baroda BNP Paribas Mutual Fund</t>
        </is>
      </c>
      <c r="B1831" t="inlineStr">
        <is>
          <t xml:space="preserve">Baroda BNP Paribas NIFTY SDL December 2028 Index Fund - Regular Plan - Growth Option</t>
        </is>
      </c>
      <c r="C1831" t="inlineStr">
        <is>
          <t xml:space="preserve">INF251K01RO4</t>
        </is>
      </c>
    </row>
    <row r="1832">
      <c r="A1832" t="inlineStr">
        <is>
          <t xml:space="preserve">Baroda BNP Paribas Mutual Fund</t>
        </is>
      </c>
      <c r="B1832" t="inlineStr">
        <is>
          <t xml:space="preserve">Baroda BNP Paribas NIFTY SDL December 2028 Index Fund - Regular Plan - IDCW Option</t>
        </is>
      </c>
      <c r="C1832" t="inlineStr">
        <is>
          <t xml:space="preserve">INF251K01RP1</t>
        </is>
      </c>
    </row>
    <row r="1833">
      <c r="A1833" t="inlineStr">
        <is>
          <t xml:space="preserve">Baroda BNP Paribas Mutual Fund</t>
        </is>
      </c>
      <c r="B1833" t="inlineStr">
        <is>
          <t xml:space="preserve">Baroda BNP Paribas Nifty200 Momentum 30 Index Fund - Direct Plan - Growth Option</t>
        </is>
      </c>
      <c r="C1833" t="inlineStr">
        <is>
          <t xml:space="preserve">INF251K01TY9</t>
        </is>
      </c>
    </row>
    <row r="1834">
      <c r="A1834" t="inlineStr">
        <is>
          <t xml:space="preserve">Baroda BNP Paribas Mutual Fund</t>
        </is>
      </c>
      <c r="B1834" t="inlineStr">
        <is>
          <t xml:space="preserve">Baroda BNP Paribas Nifty200 Momentum 30 Index Fund - Regular Plan - Growth Option</t>
        </is>
      </c>
      <c r="C1834" t="inlineStr">
        <is>
          <t xml:space="preserve">INF251K01TZ6</t>
        </is>
      </c>
    </row>
    <row r="1835">
      <c r="A1835" t="inlineStr">
        <is>
          <t xml:space="preserve">Baroda BNP Paribas Mutual Fund</t>
        </is>
      </c>
      <c r="B1835" t="inlineStr">
        <is>
          <t xml:space="preserve">Baroda BNP Paribas Overnight Fund - Direct Plan - Daily IDCW</t>
        </is>
      </c>
      <c r="C1835" t="inlineStr">
        <is>
          <t xml:space="preserve">INF955L01HW2</t>
        </is>
      </c>
    </row>
    <row r="1836">
      <c r="A1836" t="inlineStr">
        <is>
          <t xml:space="preserve">Baroda BNP Paribas Mutual Fund</t>
        </is>
      </c>
      <c r="B1836" t="inlineStr">
        <is>
          <t xml:space="preserve">Baroda BNP Paribas Overnight Fund - Direct Plan - Growth</t>
        </is>
      </c>
      <c r="C1836" t="inlineStr">
        <is>
          <t xml:space="preserve">INF955L01HV4</t>
        </is>
      </c>
    </row>
    <row r="1837">
      <c r="A1837" t="inlineStr">
        <is>
          <t xml:space="preserve">Baroda BNP Paribas Mutual Fund</t>
        </is>
      </c>
      <c r="B1837" t="inlineStr">
        <is>
          <t xml:space="preserve">Baroda BNP Paribas Overnight Fund - Direct Plan - Weekly IDCW</t>
        </is>
      </c>
      <c r="C1837" t="inlineStr">
        <is>
          <t xml:space="preserve">INF955L01HX0</t>
        </is>
      </c>
    </row>
    <row r="1838">
      <c r="A1838" t="inlineStr">
        <is>
          <t xml:space="preserve">Baroda BNP Paribas Mutual Fund</t>
        </is>
      </c>
      <c r="B1838" t="inlineStr">
        <is>
          <t xml:space="preserve">Baroda BNP Paribas Overnight Fund - Regular Plan - Daily IDCW</t>
        </is>
      </c>
      <c r="C1838" t="inlineStr">
        <is>
          <t xml:space="preserve">INF955L01HT8</t>
        </is>
      </c>
    </row>
    <row r="1839">
      <c r="A1839" t="inlineStr">
        <is>
          <t xml:space="preserve">Baroda BNP Paribas Mutual Fund</t>
        </is>
      </c>
      <c r="B1839" t="inlineStr">
        <is>
          <t xml:space="preserve">Baroda BNP Paribas Overnight Fund - Regular Plan - Growth</t>
        </is>
      </c>
      <c r="C1839" t="inlineStr">
        <is>
          <t xml:space="preserve">INF955L01HS0</t>
        </is>
      </c>
    </row>
    <row r="1840">
      <c r="A1840" t="inlineStr">
        <is>
          <t xml:space="preserve">Baroda BNP Paribas Mutual Fund</t>
        </is>
      </c>
      <c r="B1840" t="inlineStr">
        <is>
          <t xml:space="preserve">Baroda BNP Paribas Overnight Fund - Regular Plan - Weekly IDCW</t>
        </is>
      </c>
      <c r="C1840" t="inlineStr">
        <is>
          <t xml:space="preserve">INF955L01HU6</t>
        </is>
      </c>
    </row>
    <row r="1841">
      <c r="A1841" t="inlineStr">
        <is>
          <t xml:space="preserve">Baroda BNP Paribas Mutual Fund</t>
        </is>
      </c>
      <c r="B1841" t="inlineStr">
        <is>
          <t xml:space="preserve">Baroda BNP Paribas Retirement Fund - Direct plan - Growth option</t>
        </is>
      </c>
      <c r="C1841" t="inlineStr">
        <is>
          <t xml:space="preserve">INF251K01TJ0</t>
        </is>
      </c>
    </row>
    <row r="1842">
      <c r="A1842" t="inlineStr">
        <is>
          <t xml:space="preserve">Baroda BNP Paribas Mutual Fund</t>
        </is>
      </c>
      <c r="B1842" t="inlineStr">
        <is>
          <t xml:space="preserve">Baroda BNP Paribas Retirement Fund - Direct plan - IDCW option</t>
        </is>
      </c>
      <c r="C1842" t="inlineStr">
        <is>
          <t xml:space="preserve">INF251K01TK8</t>
        </is>
      </c>
    </row>
    <row r="1843">
      <c r="A1843" t="inlineStr">
        <is>
          <t xml:space="preserve">Baroda BNP Paribas Mutual Fund</t>
        </is>
      </c>
      <c r="B1843" t="inlineStr">
        <is>
          <t xml:space="preserve">Baroda BNP Paribas Retirement Fund - Regular plan - Growth option</t>
        </is>
      </c>
      <c r="C1843" t="inlineStr">
        <is>
          <t xml:space="preserve">INF251K01TH4</t>
        </is>
      </c>
    </row>
    <row r="1844">
      <c r="A1844" t="inlineStr">
        <is>
          <t xml:space="preserve">Baroda BNP Paribas Mutual Fund</t>
        </is>
      </c>
      <c r="B1844" t="inlineStr">
        <is>
          <t xml:space="preserve">Baroda BNP Paribas Retirement Fund - Regular plan - IDCW option</t>
        </is>
      </c>
      <c r="C1844" t="inlineStr">
        <is>
          <t xml:space="preserve">INF251K01TI2</t>
        </is>
      </c>
    </row>
    <row r="1845">
      <c r="A1845" t="inlineStr">
        <is>
          <t xml:space="preserve">Baroda BNP Paribas Mutual Fund</t>
        </is>
      </c>
      <c r="B1845" t="inlineStr">
        <is>
          <t xml:space="preserve">Baroda BNP Paribas Short Duration Fund - Direct Plan - Growth Option</t>
        </is>
      </c>
      <c r="C1845" t="inlineStr">
        <is>
          <t xml:space="preserve">INF955L01BD5</t>
        </is>
      </c>
    </row>
    <row r="1846">
      <c r="A1846" t="inlineStr">
        <is>
          <t xml:space="preserve">Baroda BNP Paribas Mutual Fund</t>
        </is>
      </c>
      <c r="B1846" t="inlineStr">
        <is>
          <t xml:space="preserve">Baroda BNP Paribas Short Duration Fund - Direct Plan - Monthly IDCW Option</t>
        </is>
      </c>
      <c r="C1846" t="inlineStr">
        <is>
          <t xml:space="preserve">INF955L01BB9</t>
        </is>
      </c>
    </row>
    <row r="1847">
      <c r="A1847" t="inlineStr">
        <is>
          <t xml:space="preserve">Baroda BNP Paribas Mutual Fund</t>
        </is>
      </c>
      <c r="B1847" t="inlineStr">
        <is>
          <t xml:space="preserve">Baroda BNP Paribas Short Duration Fund - Direct Plan - Quarterly IDCW</t>
        </is>
      </c>
      <c r="C1847" t="inlineStr">
        <is>
          <t xml:space="preserve">INF955L01GU8</t>
        </is>
      </c>
    </row>
    <row r="1848">
      <c r="A1848" t="inlineStr">
        <is>
          <t xml:space="preserve">Baroda BNP Paribas Mutual Fund</t>
        </is>
      </c>
      <c r="B1848" t="inlineStr">
        <is>
          <t xml:space="preserve">Baroda BNP Paribas Short Duration Fund - Regular Plan - Growth Option</t>
        </is>
      </c>
      <c r="C1848" t="inlineStr">
        <is>
          <t xml:space="preserve">INF955L01153</t>
        </is>
      </c>
    </row>
    <row r="1849">
      <c r="A1849" t="inlineStr">
        <is>
          <t xml:space="preserve">Baroda BNP Paribas Mutual Fund</t>
        </is>
      </c>
      <c r="B1849" t="inlineStr">
        <is>
          <t xml:space="preserve">Baroda BNP Paribas Short Duration Fund - Regular Plan - Monthly IDCW Option</t>
        </is>
      </c>
      <c r="C1849" t="inlineStr">
        <is>
          <t xml:space="preserve">INF955L01138</t>
        </is>
      </c>
    </row>
    <row r="1850">
      <c r="A1850" t="inlineStr">
        <is>
          <t xml:space="preserve">Baroda BNP Paribas Mutual Fund</t>
        </is>
      </c>
      <c r="B1850" t="inlineStr">
        <is>
          <t xml:space="preserve">Baroda BNP Paribas Short Duration Fund - Regular Plan - Quarterly IDCW</t>
        </is>
      </c>
      <c r="C1850" t="inlineStr">
        <is>
          <t xml:space="preserve">INF955L01GS2</t>
        </is>
      </c>
    </row>
    <row r="1851">
      <c r="A1851" t="inlineStr">
        <is>
          <t xml:space="preserve">Baroda BNP Paribas Mutual Fund</t>
        </is>
      </c>
      <c r="B1851" t="inlineStr">
        <is>
          <t xml:space="preserve">Baroda BNP Paribas Small Cap Fund - Direct Plan - Growth option</t>
        </is>
      </c>
      <c r="C1851" t="inlineStr">
        <is>
          <t xml:space="preserve">INF251K01SR5</t>
        </is>
      </c>
    </row>
    <row r="1852">
      <c r="A1852" t="inlineStr">
        <is>
          <t xml:space="preserve">Baroda BNP Paribas Mutual Fund</t>
        </is>
      </c>
      <c r="B1852" t="inlineStr">
        <is>
          <t xml:space="preserve">Baroda BNP Paribas Small Cap Fund - Direct Plan - IDCW option</t>
        </is>
      </c>
      <c r="C1852" t="inlineStr">
        <is>
          <t xml:space="preserve">INF251K01SS3</t>
        </is>
      </c>
    </row>
    <row r="1853">
      <c r="A1853" t="inlineStr">
        <is>
          <t xml:space="preserve">Baroda BNP Paribas Mutual Fund</t>
        </is>
      </c>
      <c r="B1853" t="inlineStr">
        <is>
          <t xml:space="preserve">Baroda BNP Paribas Small Cap Fund - Regular Plan - Growth option</t>
        </is>
      </c>
      <c r="C1853" t="inlineStr">
        <is>
          <t xml:space="preserve">INF251K01SO2</t>
        </is>
      </c>
    </row>
    <row r="1854">
      <c r="A1854" t="inlineStr">
        <is>
          <t xml:space="preserve">Baroda BNP Paribas Mutual Fund</t>
        </is>
      </c>
      <c r="B1854" t="inlineStr">
        <is>
          <t xml:space="preserve">Baroda BNP Paribas Small Cap Fund - Regular Plan - IDCW option</t>
        </is>
      </c>
      <c r="C1854" t="inlineStr">
        <is>
          <t xml:space="preserve">INF251K01SP9</t>
        </is>
      </c>
    </row>
    <row r="1855">
      <c r="A1855" t="inlineStr">
        <is>
          <t xml:space="preserve">Baroda BNP Paribas Mutual Fund</t>
        </is>
      </c>
      <c r="B1855" t="inlineStr">
        <is>
          <t xml:space="preserve">Baroda BNP Paribas Ultra Short Duratio Fund- Regular Plan- Weekly IDCW</t>
        </is>
      </c>
      <c r="C1855" t="inlineStr">
        <is>
          <t xml:space="preserve">INF251K01SN4</t>
        </is>
      </c>
    </row>
    <row r="1856">
      <c r="A1856" t="inlineStr">
        <is>
          <t xml:space="preserve">Baroda BNP Paribas Mutual Fund</t>
        </is>
      </c>
      <c r="B1856" t="inlineStr">
        <is>
          <t xml:space="preserve">Baroda BNP Paribas Ultra Short Duration Fund - Regular Plan - Daily IDCW</t>
        </is>
      </c>
      <c r="C1856" t="inlineStr">
        <is>
          <t xml:space="preserve">INF955L01GW4</t>
        </is>
      </c>
    </row>
    <row r="1857">
      <c r="A1857" t="inlineStr">
        <is>
          <t xml:space="preserve">Baroda BNP Paribas Mutual Fund</t>
        </is>
      </c>
      <c r="B1857" t="inlineStr">
        <is>
          <t xml:space="preserve">Baroda BNP Paribas Ultra Short Duration Fund - Regular Plan - Growth</t>
        </is>
      </c>
      <c r="C1857" t="inlineStr">
        <is>
          <t xml:space="preserve">INF955L01GX2</t>
        </is>
      </c>
    </row>
    <row r="1858">
      <c r="A1858" t="inlineStr">
        <is>
          <t xml:space="preserve">Baroda BNP Paribas Mutual Fund</t>
        </is>
      </c>
      <c r="B1858" t="inlineStr">
        <is>
          <t xml:space="preserve">Baroda BNP Paribas Ultra Short Duration Fund- Direct Plan- Daily IDCW</t>
        </is>
      </c>
      <c r="C1858" t="inlineStr">
        <is>
          <t xml:space="preserve">INF955L01GZ7</t>
        </is>
      </c>
    </row>
    <row r="1859">
      <c r="A1859" t="inlineStr">
        <is>
          <t xml:space="preserve">Baroda BNP Paribas Mutual Fund</t>
        </is>
      </c>
      <c r="B1859" t="inlineStr">
        <is>
          <t xml:space="preserve">Baroda BNP Paribas Ultra Short Duration Fund- Direct Plan- Growth</t>
        </is>
      </c>
      <c r="C1859" t="inlineStr">
        <is>
          <t xml:space="preserve">INF955L01HA8</t>
        </is>
      </c>
    </row>
    <row r="1860">
      <c r="A1860" t="inlineStr">
        <is>
          <t xml:space="preserve">Baroda BNP Paribas Mutual Fund</t>
        </is>
      </c>
      <c r="B1860" t="inlineStr">
        <is>
          <t xml:space="preserve">Baroda BNP Paribas Ultra Short Duration Fund- Direct Plan- Weekly IDCW</t>
        </is>
      </c>
      <c r="C1860" t="inlineStr">
        <is>
          <t xml:space="preserve">INF251K01SM6</t>
        </is>
      </c>
    </row>
    <row r="1861">
      <c r="A1861" t="inlineStr">
        <is>
          <t xml:space="preserve">Baroda BNP Paribas Mutual Fund</t>
        </is>
      </c>
      <c r="B1861" t="inlineStr">
        <is>
          <t xml:space="preserve">Baroda BNP Paribas Value Fund - Direct Plan - Growth option</t>
        </is>
      </c>
      <c r="C1861" t="inlineStr">
        <is>
          <t xml:space="preserve">INF251K01SD5</t>
        </is>
      </c>
    </row>
    <row r="1862">
      <c r="A1862" t="inlineStr">
        <is>
          <t xml:space="preserve">Baroda BNP Paribas Mutual Fund</t>
        </is>
      </c>
      <c r="B1862" t="inlineStr">
        <is>
          <t xml:space="preserve">Baroda BNP Paribas Value Fund - Direct Plan - IDCW option</t>
        </is>
      </c>
      <c r="C1862" t="inlineStr">
        <is>
          <t xml:space="preserve">INF251K01SE3</t>
        </is>
      </c>
    </row>
    <row r="1863">
      <c r="A1863" t="inlineStr">
        <is>
          <t xml:space="preserve">Baroda BNP Paribas Mutual Fund</t>
        </is>
      </c>
      <c r="B1863" t="inlineStr">
        <is>
          <t xml:space="preserve">Baroda BNP Paribas Value Fund - Regular Plan - Growth option</t>
        </is>
      </c>
      <c r="C1863" t="inlineStr">
        <is>
          <t xml:space="preserve">INF251K01SA1</t>
        </is>
      </c>
    </row>
    <row r="1864">
      <c r="A1864" t="inlineStr">
        <is>
          <t xml:space="preserve">Baroda BNP Paribas Mutual Fund</t>
        </is>
      </c>
      <c r="B1864" t="inlineStr">
        <is>
          <t xml:space="preserve">Baroda BNP Paribas Value Fund - Regular Plan - IDCW option</t>
        </is>
      </c>
      <c r="C1864" t="inlineStr">
        <is>
          <t xml:space="preserve">INF251K01SB9</t>
        </is>
      </c>
    </row>
    <row r="1865">
      <c r="A1865" t="inlineStr">
        <is>
          <t xml:space="preserve">ICICI Prudential Mutual Fund</t>
        </is>
      </c>
      <c r="B1865" t="inlineStr">
        <is>
          <t xml:space="preserve">BHARAT 22 ETF</t>
        </is>
      </c>
      <c r="C1865" t="inlineStr">
        <is>
          <t xml:space="preserve">INF109KB15Y7</t>
        </is>
      </c>
    </row>
    <row r="1866">
      <c r="A1866" t="inlineStr">
        <is>
          <t xml:space="preserve">Edelweiss Mutual Fund</t>
        </is>
      </c>
      <c r="B1866" t="inlineStr">
        <is>
          <t xml:space="preserve">Bharat Bond ETF - April 2030</t>
        </is>
      </c>
      <c r="C1866" t="inlineStr">
        <is>
          <t xml:space="preserve">INF754K01KO2</t>
        </is>
      </c>
    </row>
    <row r="1867">
      <c r="A1867" t="inlineStr">
        <is>
          <t xml:space="preserve">Edelweiss Mutual Fund</t>
        </is>
      </c>
      <c r="B1867" t="inlineStr">
        <is>
          <t xml:space="preserve">BHARAT Bond ETF - April 2032</t>
        </is>
      </c>
      <c r="C1867" t="inlineStr">
        <is>
          <t xml:space="preserve">INF754K01OB1</t>
        </is>
      </c>
    </row>
    <row r="1868">
      <c r="A1868" t="inlineStr">
        <is>
          <t xml:space="preserve">Edelweiss Mutual Fund</t>
        </is>
      </c>
      <c r="B1868" t="inlineStr">
        <is>
          <t xml:space="preserve">BHARAT Bond ETF - April 2033</t>
        </is>
      </c>
      <c r="C1868" t="inlineStr">
        <is>
          <t xml:space="preserve">INF754K01QX0</t>
        </is>
      </c>
    </row>
    <row r="1869">
      <c r="A1869" t="inlineStr">
        <is>
          <t xml:space="preserve">Edelweiss Mutual Fund</t>
        </is>
      </c>
      <c r="B1869" t="inlineStr">
        <is>
          <t xml:space="preserve">BHARAT Bond ETF April 2025</t>
        </is>
      </c>
      <c r="C1869" t="inlineStr">
        <is>
          <t xml:space="preserve">INF754K01LD3</t>
        </is>
      </c>
    </row>
    <row r="1870">
      <c r="A1870" t="inlineStr">
        <is>
          <t xml:space="preserve">Edelweiss Mutual Fund</t>
        </is>
      </c>
      <c r="B1870" t="inlineStr">
        <is>
          <t xml:space="preserve">BHARAT Bond ETF FOF - April 2032 Direct Growth</t>
        </is>
      </c>
      <c r="C1870" t="inlineStr">
        <is>
          <t xml:space="preserve">INF754K01NY5</t>
        </is>
      </c>
    </row>
    <row r="1871">
      <c r="A1871" t="inlineStr">
        <is>
          <t xml:space="preserve">Edelweiss Mutual Fund</t>
        </is>
      </c>
      <c r="B1871" t="inlineStr">
        <is>
          <t xml:space="preserve">BHARAT Bond ETF FOF - April 2032 Direct Plan Dividend</t>
        </is>
      </c>
      <c r="C1871" t="inlineStr">
        <is>
          <t xml:space="preserve">INF754K01NZ2</t>
        </is>
      </c>
    </row>
    <row r="1872">
      <c r="A1872" t="inlineStr">
        <is>
          <t xml:space="preserve">Edelweiss Mutual Fund</t>
        </is>
      </c>
      <c r="B1872" t="inlineStr">
        <is>
          <t xml:space="preserve">BHARAT Bond ETF FOF - April 2032 Regular Plan Dividend</t>
        </is>
      </c>
      <c r="C1872" t="inlineStr">
        <is>
          <t xml:space="preserve">INF754K01NW9</t>
        </is>
      </c>
    </row>
    <row r="1873">
      <c r="A1873" t="inlineStr">
        <is>
          <t xml:space="preserve">Edelweiss Mutual Fund</t>
        </is>
      </c>
      <c r="B1873" t="inlineStr">
        <is>
          <t xml:space="preserve">BHARAT Bond ETF FOF - April 2032 Regular Plan Growth</t>
        </is>
      </c>
      <c r="C1873" t="inlineStr">
        <is>
          <t xml:space="preserve">INF754K01NV1</t>
        </is>
      </c>
    </row>
    <row r="1874">
      <c r="A1874" t="inlineStr">
        <is>
          <t xml:space="preserve">Edelweiss Mutual Fund</t>
        </is>
      </c>
      <c r="B1874" t="inlineStr">
        <is>
          <t xml:space="preserve">BHARAT Bond ETF FOF - April 2033 - Direct Plan - Growth</t>
        </is>
      </c>
      <c r="C1874" t="inlineStr">
        <is>
          <t xml:space="preserve">INF754K01RC2</t>
        </is>
      </c>
    </row>
    <row r="1875">
      <c r="A1875" t="inlineStr">
        <is>
          <t xml:space="preserve">Edelweiss Mutual Fund</t>
        </is>
      </c>
      <c r="B1875" t="inlineStr">
        <is>
          <t xml:space="preserve">BHARAT Bond ETF FOF - April 2033 - Direct Plan - IDCW</t>
        </is>
      </c>
      <c r="C1875" t="inlineStr">
        <is>
          <t xml:space="preserve">INF754K01RD0</t>
        </is>
      </c>
    </row>
    <row r="1876">
      <c r="A1876" t="inlineStr">
        <is>
          <t xml:space="preserve">Edelweiss Mutual Fund</t>
        </is>
      </c>
      <c r="B1876" t="inlineStr">
        <is>
          <t xml:space="preserve">BHARAT Bond ETF FOF - April 2033 - Regular Plan - Growth</t>
        </is>
      </c>
      <c r="C1876" t="inlineStr">
        <is>
          <t xml:space="preserve">INF754K01QY8</t>
        </is>
      </c>
    </row>
    <row r="1877">
      <c r="A1877" t="inlineStr">
        <is>
          <t xml:space="preserve">Edelweiss Mutual Fund</t>
        </is>
      </c>
      <c r="B1877" t="inlineStr">
        <is>
          <t xml:space="preserve">BHARAT Bond ETF FOF - April 2033 - Regular Plan - IDCW</t>
        </is>
      </c>
      <c r="C1877" t="inlineStr">
        <is>
          <t xml:space="preserve">INF754K01QZ5</t>
        </is>
      </c>
    </row>
    <row r="1878">
      <c r="A1878" t="inlineStr">
        <is>
          <t xml:space="preserve">Edelweiss Mutual Fund</t>
        </is>
      </c>
      <c r="B1878" t="inlineStr">
        <is>
          <t xml:space="preserve">BHARAT Bond ETF- April 2031</t>
        </is>
      </c>
      <c r="C1878" t="inlineStr">
        <is>
          <t xml:space="preserve">INF754K01LE1</t>
        </is>
      </c>
    </row>
    <row r="1879">
      <c r="A1879" t="inlineStr">
        <is>
          <t xml:space="preserve">Edelweiss Mutual Fund</t>
        </is>
      </c>
      <c r="B1879" t="inlineStr">
        <is>
          <t xml:space="preserve">BHARAT Bond FOF - April 2025 - Direct Plan - IDCW Option</t>
        </is>
      </c>
      <c r="C1879" t="inlineStr">
        <is>
          <t xml:space="preserve">INF754K01LJ0</t>
        </is>
      </c>
    </row>
    <row r="1880">
      <c r="A1880" t="inlineStr">
        <is>
          <t xml:space="preserve">Edelweiss Mutual Fund</t>
        </is>
      </c>
      <c r="B1880" t="inlineStr">
        <is>
          <t xml:space="preserve">BHARAT Bond FOF - April 2025 - Regular Plan - IDCW Option</t>
        </is>
      </c>
      <c r="C1880" t="inlineStr">
        <is>
          <t xml:space="preserve">INF754K01LG6</t>
        </is>
      </c>
    </row>
    <row r="1881">
      <c r="A1881" t="inlineStr">
        <is>
          <t xml:space="preserve">Edelweiss Mutual Fund</t>
        </is>
      </c>
      <c r="B1881" t="inlineStr">
        <is>
          <t xml:space="preserve">Bharat Bond FOF - April 2030 - Direct Plan - Growth Option</t>
        </is>
      </c>
      <c r="C1881" t="inlineStr">
        <is>
          <t xml:space="preserve">INF754K01KY1</t>
        </is>
      </c>
    </row>
    <row r="1882">
      <c r="A1882" t="inlineStr">
        <is>
          <t xml:space="preserve">Edelweiss Mutual Fund</t>
        </is>
      </c>
      <c r="B1882" t="inlineStr">
        <is>
          <t xml:space="preserve">BHARAT Bond FOF - April 2030 - Direct Plan - IDCW Option</t>
        </is>
      </c>
      <c r="C1882" t="inlineStr">
        <is>
          <t xml:space="preserve">INF754K01KZ8</t>
        </is>
      </c>
    </row>
    <row r="1883">
      <c r="A1883" t="inlineStr">
        <is>
          <t xml:space="preserve">Edelweiss Mutual Fund</t>
        </is>
      </c>
      <c r="B1883" t="inlineStr">
        <is>
          <t xml:space="preserve">Bharat Bond FOF - April 2030 - Regular Plan - Growth Option</t>
        </is>
      </c>
      <c r="C1883" t="inlineStr">
        <is>
          <t xml:space="preserve">INF754K01KV7</t>
        </is>
      </c>
    </row>
    <row r="1884">
      <c r="A1884" t="inlineStr">
        <is>
          <t xml:space="preserve">Edelweiss Mutual Fund</t>
        </is>
      </c>
      <c r="B1884" t="inlineStr">
        <is>
          <t xml:space="preserve">BHARAT Bond FOF - April 2030 - Regular Plan - IDCW Option</t>
        </is>
      </c>
      <c r="C1884" t="inlineStr">
        <is>
          <t xml:space="preserve">INF754K01KW5</t>
        </is>
      </c>
    </row>
    <row r="1885">
      <c r="A1885" t="inlineStr">
        <is>
          <t xml:space="preserve">Edelweiss Mutual Fund</t>
        </is>
      </c>
      <c r="B1885" t="inlineStr">
        <is>
          <t xml:space="preserve">BHARAT Bond FOF - April 2031 - Direct Plan - IDCW Option</t>
        </is>
      </c>
      <c r="C1885" t="inlineStr">
        <is>
          <t xml:space="preserve">INF754K01LP7</t>
        </is>
      </c>
    </row>
    <row r="1886">
      <c r="A1886" t="inlineStr">
        <is>
          <t xml:space="preserve">Edelweiss Mutual Fund</t>
        </is>
      </c>
      <c r="B1886" t="inlineStr">
        <is>
          <t xml:space="preserve">BHARAT Bond FOF - April 2031 - Regular Plan - IDCW Option</t>
        </is>
      </c>
      <c r="C1886" t="inlineStr">
        <is>
          <t xml:space="preserve">INF754K01LM4</t>
        </is>
      </c>
    </row>
    <row r="1887">
      <c r="A1887" t="inlineStr">
        <is>
          <t xml:space="preserve">Edelweiss Mutual Fund</t>
        </is>
      </c>
      <c r="B1887" t="inlineStr">
        <is>
          <t xml:space="preserve">BHARAT Bond FOF- April 2025- Direct Pan- Growth Option</t>
        </is>
      </c>
      <c r="C1887" t="inlineStr">
        <is>
          <t xml:space="preserve">INF754K01LI2</t>
        </is>
      </c>
    </row>
    <row r="1888">
      <c r="A1888" t="inlineStr">
        <is>
          <t xml:space="preserve">Edelweiss Mutual Fund</t>
        </is>
      </c>
      <c r="B1888" t="inlineStr">
        <is>
          <t xml:space="preserve">BHARAT Bond FOF- April 2025- Regular Plan- Growth Option</t>
        </is>
      </c>
      <c r="C1888" t="inlineStr">
        <is>
          <t xml:space="preserve">INF754K01LF8</t>
        </is>
      </c>
    </row>
    <row r="1889">
      <c r="A1889" t="inlineStr">
        <is>
          <t xml:space="preserve">Edelweiss Mutual Fund</t>
        </is>
      </c>
      <c r="B1889" t="inlineStr">
        <is>
          <t xml:space="preserve">BHARAT Bond FOF- April 2031- Direct Plan- Growth Option</t>
        </is>
      </c>
      <c r="C1889" t="inlineStr">
        <is>
          <t xml:space="preserve">INF754K01LO0</t>
        </is>
      </c>
    </row>
    <row r="1890">
      <c r="A1890" t="inlineStr">
        <is>
          <t xml:space="preserve">Edelweiss Mutual Fund</t>
        </is>
      </c>
      <c r="B1890" t="inlineStr">
        <is>
          <t xml:space="preserve">BHARAT Bond FOF- April 2031- Regular Plan- Growth Option</t>
        </is>
      </c>
      <c r="C1890" t="inlineStr">
        <is>
          <t xml:space="preserve">INF754K01LL6</t>
        </is>
      </c>
    </row>
    <row r="1891">
      <c r="A1891" t="inlineStr">
        <is>
          <t xml:space="preserve">Canara Robeco Mutual Fund</t>
        </is>
      </c>
      <c r="B1891" t="inlineStr">
        <is>
          <t xml:space="preserve">Canara Robeco Balanced Advantage Fund - Direct Plan - Growth Option</t>
        </is>
      </c>
      <c r="C1891" t="inlineStr">
        <is>
          <t xml:space="preserve">INF760K01LD0</t>
        </is>
      </c>
    </row>
    <row r="1892">
      <c r="A1892" t="inlineStr">
        <is>
          <t xml:space="preserve">Canara Robeco Mutual Fund</t>
        </is>
      </c>
      <c r="B1892" t="inlineStr">
        <is>
          <t xml:space="preserve">Canara Robeco Balanced Advantage Fund - Direct Plan - IDCW Option</t>
        </is>
      </c>
      <c r="C1892" t="inlineStr">
        <is>
          <t xml:space="preserve">INF760K01LE8</t>
        </is>
      </c>
    </row>
    <row r="1893">
      <c r="A1893" t="inlineStr">
        <is>
          <t xml:space="preserve">Canara Robeco Mutual Fund</t>
        </is>
      </c>
      <c r="B1893" t="inlineStr">
        <is>
          <t xml:space="preserve">Canara Robeco Balanced Advantage Fund - Regular Plan - Growth Option</t>
        </is>
      </c>
      <c r="C1893" t="inlineStr">
        <is>
          <t xml:space="preserve">INF760K01LA6</t>
        </is>
      </c>
    </row>
    <row r="1894">
      <c r="A1894" t="inlineStr">
        <is>
          <t xml:space="preserve">Canara Robeco Mutual Fund</t>
        </is>
      </c>
      <c r="B1894" t="inlineStr">
        <is>
          <t xml:space="preserve">Canara Robeco Balanced Advantage Fund - Regular Plan - IDCW Option</t>
        </is>
      </c>
      <c r="C1894" t="inlineStr">
        <is>
          <t xml:space="preserve">INF760K01LB4</t>
        </is>
      </c>
    </row>
    <row r="1895">
      <c r="A1895" t="inlineStr">
        <is>
          <t xml:space="preserve">Canara Robeco Mutual Fund</t>
        </is>
      </c>
      <c r="B1895" t="inlineStr">
        <is>
          <t xml:space="preserve">Canara Robeco Banking and Financials Services Fund - Direct Plan - Growth</t>
        </is>
      </c>
      <c r="C1895" t="inlineStr">
        <is>
          <t xml:space="preserve">INF760K01LN9</t>
        </is>
      </c>
    </row>
    <row r="1896">
      <c r="A1896" t="inlineStr">
        <is>
          <t xml:space="preserve">Canara Robeco Mutual Fund</t>
        </is>
      </c>
      <c r="B1896" t="inlineStr">
        <is>
          <t xml:space="preserve">Canara Robeco Banking and Financials Services Fund - Direct Plan - IDCW</t>
        </is>
      </c>
      <c r="C1896" t="inlineStr">
        <is>
          <t xml:space="preserve">INF760K01LP4</t>
        </is>
      </c>
    </row>
    <row r="1897">
      <c r="A1897" t="inlineStr">
        <is>
          <t xml:space="preserve">Canara Robeco Mutual Fund</t>
        </is>
      </c>
      <c r="B1897" t="inlineStr">
        <is>
          <t xml:space="preserve">Canara Robeco Banking and Financials Services Fund - Regular Plan - Growth</t>
        </is>
      </c>
      <c r="C1897" t="inlineStr">
        <is>
          <t xml:space="preserve">INF760K01LM1</t>
        </is>
      </c>
    </row>
    <row r="1898">
      <c r="A1898" t="inlineStr">
        <is>
          <t xml:space="preserve">Canara Robeco Mutual Fund</t>
        </is>
      </c>
      <c r="B1898" t="inlineStr">
        <is>
          <t xml:space="preserve">Canara Robeco Banking and Financials Services Fund - Regular Plan - IDCW</t>
        </is>
      </c>
      <c r="C1898" t="inlineStr">
        <is>
          <t xml:space="preserve">INF760K01LO7</t>
        </is>
      </c>
    </row>
    <row r="1899">
      <c r="A1899" t="inlineStr">
        <is>
          <t xml:space="preserve">Canara Robeco Mutual Fund</t>
        </is>
      </c>
      <c r="B1899" t="inlineStr">
        <is>
          <t xml:space="preserve">Canara Robeco Banking and PSU Debt Fund- Direct Plan- Growth Option</t>
        </is>
      </c>
      <c r="C1899" t="inlineStr">
        <is>
          <t xml:space="preserve">INF760K01KC4</t>
        </is>
      </c>
    </row>
    <row r="1900">
      <c r="A1900" t="inlineStr">
        <is>
          <t xml:space="preserve">Canara Robeco Mutual Fund</t>
        </is>
      </c>
      <c r="B1900" t="inlineStr">
        <is>
          <t xml:space="preserve">Canara Robeco Banking and PSU Debt Fund- Direct Plan- IDCW Payout</t>
        </is>
      </c>
      <c r="C1900" t="inlineStr">
        <is>
          <t xml:space="preserve">INF760K01KE0</t>
        </is>
      </c>
    </row>
    <row r="1901">
      <c r="A1901" t="inlineStr">
        <is>
          <t xml:space="preserve">Canara Robeco Mutual Fund</t>
        </is>
      </c>
      <c r="B1901" t="inlineStr">
        <is>
          <t xml:space="preserve">Canara Robeco Banking and PSU Debt Fund- Regular Plan- Growth Option</t>
        </is>
      </c>
      <c r="C1901" t="inlineStr">
        <is>
          <t xml:space="preserve">INF760K01KF7</t>
        </is>
      </c>
    </row>
    <row r="1902">
      <c r="A1902" t="inlineStr">
        <is>
          <t xml:space="preserve">Canara Robeco Mutual Fund</t>
        </is>
      </c>
      <c r="B1902" t="inlineStr">
        <is>
          <t xml:space="preserve">Canara Robeco Banking and PSU Debt Fund- Regular Plan- IDCW (Payout/ Reinvestment)</t>
        </is>
      </c>
      <c r="C1902" t="inlineStr">
        <is>
          <t xml:space="preserve">INF760K01KH3</t>
        </is>
      </c>
    </row>
    <row r="1903">
      <c r="A1903" t="inlineStr">
        <is>
          <t xml:space="preserve">Canara Robeco Mutual Fund</t>
        </is>
      </c>
      <c r="B1903" t="inlineStr">
        <is>
          <t xml:space="preserve">CANARA ROBECO CONSERVATIVE HYBRID FUND - DIRECT PLAN - GROWTH OPTION</t>
        </is>
      </c>
      <c r="C1903" t="inlineStr">
        <is>
          <t xml:space="preserve">INF760K01GB4</t>
        </is>
      </c>
    </row>
    <row r="1904">
      <c r="A1904" t="inlineStr">
        <is>
          <t xml:space="preserve">Canara Robeco Mutual Fund</t>
        </is>
      </c>
      <c r="B1904" t="inlineStr">
        <is>
          <t xml:space="preserve">CANARA ROBECO CONSERVATIVE HYBRID FUND - DIRECT PLAN - MONTHLY IDCW (Payout/Reinvestment)</t>
        </is>
      </c>
      <c r="C1904" t="inlineStr">
        <is>
          <t xml:space="preserve">INF760K01FZ5</t>
        </is>
      </c>
    </row>
    <row r="1905">
      <c r="A1905" t="inlineStr">
        <is>
          <t xml:space="preserve">Canara Robeco Mutual Fund</t>
        </is>
      </c>
      <c r="B1905" t="inlineStr">
        <is>
          <t xml:space="preserve">CANARA ROBECO CONSERVATIVE HYBRID FUND - DIRECT PLAN - QUARTERLY IDCW (Payout/Reinvestment)</t>
        </is>
      </c>
      <c r="C1905" t="inlineStr">
        <is>
          <t xml:space="preserve">INF760K01GC2</t>
        </is>
      </c>
    </row>
    <row r="1906">
      <c r="A1906" t="inlineStr">
        <is>
          <t xml:space="preserve">Canara Robeco Mutual Fund</t>
        </is>
      </c>
      <c r="B1906" t="inlineStr">
        <is>
          <t xml:space="preserve">CANARA ROBECO CONSERVATIVE HYBRID FUND - REGULAR PLAN - GROWTH OPTION</t>
        </is>
      </c>
      <c r="C1906" t="inlineStr">
        <is>
          <t xml:space="preserve">INF760K01282</t>
        </is>
      </c>
    </row>
    <row r="1907">
      <c r="A1907" t="inlineStr">
        <is>
          <t xml:space="preserve">Canara Robeco Mutual Fund</t>
        </is>
      </c>
      <c r="B1907" t="inlineStr">
        <is>
          <t xml:space="preserve">CANARA ROBECO CONSERVATIVE HYBRID FUND - REGULAR PLAN - MONTHLY IDCW (Payout/Reinvestment)</t>
        </is>
      </c>
      <c r="C1907" t="inlineStr">
        <is>
          <t xml:space="preserve">INF760K01308</t>
        </is>
      </c>
    </row>
    <row r="1908">
      <c r="A1908" t="inlineStr">
        <is>
          <t xml:space="preserve">Canara Robeco Mutual Fund</t>
        </is>
      </c>
      <c r="B1908" t="inlineStr">
        <is>
          <t xml:space="preserve">CANARA ROBECO CONSERVATIVE HYBRID FUND - REGULAR PLAN - QUARTERLY IDCW (Payout/Reinvestment)</t>
        </is>
      </c>
      <c r="C1908" t="inlineStr">
        <is>
          <t xml:space="preserve">INF760K01AP7</t>
        </is>
      </c>
    </row>
    <row r="1909">
      <c r="A1909" t="inlineStr">
        <is>
          <t xml:space="preserve">Canara Robeco Mutual Fund</t>
        </is>
      </c>
      <c r="B1909" t="inlineStr">
        <is>
          <t xml:space="preserve">CANARA ROBECO CONSUMPTION FUND - DIRECT PLAN - GROWTH OPTION</t>
        </is>
      </c>
      <c r="C1909" t="inlineStr">
        <is>
          <t xml:space="preserve">INF760K01DU1</t>
        </is>
      </c>
    </row>
    <row r="1910">
      <c r="A1910" t="inlineStr">
        <is>
          <t xml:space="preserve">Canara Robeco Mutual Fund</t>
        </is>
      </c>
      <c r="B1910" t="inlineStr">
        <is>
          <t xml:space="preserve">CANARA ROBECO CONSUMPTION FUND - DIRECT PLAN - IDCW (Payout/Reinvestment)</t>
        </is>
      </c>
      <c r="C1910" t="inlineStr">
        <is>
          <t xml:space="preserve">INF760K01DS5</t>
        </is>
      </c>
    </row>
    <row r="1911">
      <c r="A1911" t="inlineStr">
        <is>
          <t xml:space="preserve">Canara Robeco Mutual Fund</t>
        </is>
      </c>
      <c r="B1911" t="inlineStr">
        <is>
          <t xml:space="preserve">CANARA ROBECO CONSUMPTION FUND - REGULAR PLAN - GROWTH OPTION</t>
        </is>
      </c>
      <c r="C1911" t="inlineStr">
        <is>
          <t xml:space="preserve">INF760K01241</t>
        </is>
      </c>
    </row>
    <row r="1912">
      <c r="A1912" t="inlineStr">
        <is>
          <t xml:space="preserve">Canara Robeco Mutual Fund</t>
        </is>
      </c>
      <c r="B1912" t="inlineStr">
        <is>
          <t xml:space="preserve">CANARA ROBECO CONSUMPTION FUND - REGULAR PLAN - IDCW (Payout/Reinvestment)</t>
        </is>
      </c>
      <c r="C1912" t="inlineStr">
        <is>
          <t xml:space="preserve">INF760K01225</t>
        </is>
      </c>
    </row>
    <row r="1913">
      <c r="A1913" t="inlineStr">
        <is>
          <t xml:space="preserve">Canara Robeco Mutual Fund</t>
        </is>
      </c>
      <c r="B1913" t="inlineStr">
        <is>
          <t xml:space="preserve">CANARA ROBECO CORPORATE BOND FUND - DIRECT PLAN - GROWTH OPTION</t>
        </is>
      </c>
      <c r="C1913" t="inlineStr">
        <is>
          <t xml:space="preserve">INF760K01HB2</t>
        </is>
      </c>
    </row>
    <row r="1914">
      <c r="A1914" t="inlineStr">
        <is>
          <t xml:space="preserve">Canara Robeco Mutual Fund</t>
        </is>
      </c>
      <c r="B1914" t="inlineStr">
        <is>
          <t xml:space="preserve">CANARA ROBECO CORPORATE BOND FUND - DIRECT PLAN - IDCW (Payout/Reinvestment)</t>
        </is>
      </c>
      <c r="C1914" t="inlineStr">
        <is>
          <t xml:space="preserve">INF760K01HC0</t>
        </is>
      </c>
    </row>
    <row r="1915">
      <c r="A1915" t="inlineStr">
        <is>
          <t xml:space="preserve">Canara Robeco Mutual Fund</t>
        </is>
      </c>
      <c r="B1915" t="inlineStr">
        <is>
          <t xml:space="preserve">CANARA ROBECO CORPORATE BOND FUND - REGULAR PLAN - GROWTH OPTION</t>
        </is>
      </c>
      <c r="C1915" t="inlineStr">
        <is>
          <t xml:space="preserve">INF760K01GY6</t>
        </is>
      </c>
    </row>
    <row r="1916">
      <c r="A1916" t="inlineStr">
        <is>
          <t xml:space="preserve">Canara Robeco Mutual Fund</t>
        </is>
      </c>
      <c r="B1916" t="inlineStr">
        <is>
          <t xml:space="preserve">CANARA ROBECO CORPORATE BOND FUND - REGULAR PLAN - IDCW (Payout/Reinvestment)</t>
        </is>
      </c>
      <c r="C1916" t="inlineStr">
        <is>
          <t xml:space="preserve">INF760K01GZ3</t>
        </is>
      </c>
    </row>
    <row r="1917">
      <c r="A1917" t="inlineStr">
        <is>
          <t xml:space="preserve">Canara Robeco Mutual Fund</t>
        </is>
      </c>
      <c r="B1917" t="inlineStr">
        <is>
          <t xml:space="preserve">CANARA ROBECO DYNAMIC BOND FUND - DIRECT PLAN - GROWTH OPTION</t>
        </is>
      </c>
      <c r="C1917" t="inlineStr">
        <is>
          <t xml:space="preserve">INF760K01EC7</t>
        </is>
      </c>
    </row>
    <row r="1918">
      <c r="A1918" t="inlineStr">
        <is>
          <t xml:space="preserve">Canara Robeco Mutual Fund</t>
        </is>
      </c>
      <c r="B1918" t="inlineStr">
        <is>
          <t xml:space="preserve">CANARA ROBECO DYNAMIC BOND FUND - DIRECT PLAN - IDCW (Payout/Reinvestment)</t>
        </is>
      </c>
      <c r="C1918" t="inlineStr">
        <is>
          <t xml:space="preserve">INF760K01EA1</t>
        </is>
      </c>
    </row>
    <row r="1919">
      <c r="A1919" t="inlineStr">
        <is>
          <t xml:space="preserve">Canara Robeco Mutual Fund</t>
        </is>
      </c>
      <c r="B1919" t="inlineStr">
        <is>
          <t xml:space="preserve">CANARA ROBECO DYNAMIC BOND FUND - REGULAR PLAN - GROWTH OPTION</t>
        </is>
      </c>
      <c r="C1919" t="inlineStr">
        <is>
          <t xml:space="preserve">INF760K01449</t>
        </is>
      </c>
    </row>
    <row r="1920">
      <c r="A1920" t="inlineStr">
        <is>
          <t xml:space="preserve">Canara Robeco Mutual Fund</t>
        </is>
      </c>
      <c r="B1920" t="inlineStr">
        <is>
          <t xml:space="preserve">CANARA ROBECO DYNAMIC BOND FUND - REGULAR PLAN - IDCW (Payout/Reinvestment)</t>
        </is>
      </c>
      <c r="C1920" t="inlineStr">
        <is>
          <t xml:space="preserve">INF760K01423</t>
        </is>
      </c>
    </row>
    <row r="1921">
      <c r="A1921" t="inlineStr">
        <is>
          <t xml:space="preserve">Canara Robeco Mutual Fund</t>
        </is>
      </c>
      <c r="B1921" t="inlineStr">
        <is>
          <t xml:space="preserve">CANARA ROBECO ELSS TAX SAVER - DIRECT PLAN - GROWTH OPTION</t>
        </is>
      </c>
      <c r="C1921" t="inlineStr">
        <is>
          <t xml:space="preserve">INF760K01EL8</t>
        </is>
      </c>
    </row>
    <row r="1922">
      <c r="A1922" t="inlineStr">
        <is>
          <t xml:space="preserve">Canara Robeco Mutual Fund</t>
        </is>
      </c>
      <c r="B1922" t="inlineStr">
        <is>
          <t xml:space="preserve">CANARA ROBECO ELSS TAX SAVER - DIRECT PLAN - IDCW (Payout)</t>
        </is>
      </c>
      <c r="C1922" t="inlineStr">
        <is>
          <t xml:space="preserve">INF760K01EJ2</t>
        </is>
      </c>
    </row>
    <row r="1923">
      <c r="A1923" t="inlineStr">
        <is>
          <t xml:space="preserve">Canara Robeco Mutual Fund</t>
        </is>
      </c>
      <c r="B1923" t="inlineStr">
        <is>
          <t xml:space="preserve">CANARA ROBECO ELSS TAX SAVER - REGULAR PLAN - GROWTH OPTION</t>
        </is>
      </c>
      <c r="C1923" t="inlineStr">
        <is>
          <t xml:space="preserve">INF760K01100</t>
        </is>
      </c>
    </row>
    <row r="1924">
      <c r="A1924" t="inlineStr">
        <is>
          <t xml:space="preserve">Canara Robeco Mutual Fund</t>
        </is>
      </c>
      <c r="B1924" t="inlineStr">
        <is>
          <t xml:space="preserve">CANARA ROBECO ELSS TAX SAVER - REGULAR PLAN -IDCW (Payout)</t>
        </is>
      </c>
      <c r="C1924" t="inlineStr">
        <is>
          <t xml:space="preserve">INF760K01084</t>
        </is>
      </c>
    </row>
    <row r="1925">
      <c r="A1925" t="inlineStr">
        <is>
          <t xml:space="preserve">Canara Robeco Mutual Fund</t>
        </is>
      </c>
      <c r="B1925" t="inlineStr">
        <is>
          <t xml:space="preserve">CANARA ROBECO EQUITY HYBRID FUND - DIRECT PLAN - GROWTH OPTION</t>
        </is>
      </c>
      <c r="C1925" t="inlineStr">
        <is>
          <t xml:space="preserve">INF760K01EZ8</t>
        </is>
      </c>
    </row>
    <row r="1926">
      <c r="A1926" t="inlineStr">
        <is>
          <t xml:space="preserve">Canara Robeco Mutual Fund</t>
        </is>
      </c>
      <c r="B1926" t="inlineStr">
        <is>
          <t xml:space="preserve">CANARA ROBECO EQUITY HYBRID FUND - DIRECT PLAN - MONTHLY IDCW (Payout/Reinvestment)</t>
        </is>
      </c>
      <c r="C1926" t="inlineStr">
        <is>
          <t xml:space="preserve">INF760K01EX3</t>
        </is>
      </c>
    </row>
    <row r="1927">
      <c r="A1927" t="inlineStr">
        <is>
          <t xml:space="preserve">Canara Robeco Mutual Fund</t>
        </is>
      </c>
      <c r="B1927" t="inlineStr">
        <is>
          <t xml:space="preserve">CANARA ROBECO EQUITY HYBRID FUND - REGULAR PLAN - GROWTH OPTION</t>
        </is>
      </c>
      <c r="C1927" t="inlineStr">
        <is>
          <t xml:space="preserve">INF760K01050</t>
        </is>
      </c>
    </row>
    <row r="1928">
      <c r="A1928" t="inlineStr">
        <is>
          <t xml:space="preserve">Canara Robeco Mutual Fund</t>
        </is>
      </c>
      <c r="B1928" t="inlineStr">
        <is>
          <t xml:space="preserve">CANARA ROBECO EQUITY HYBRID FUND - REGULAR PLAN - MONTHLY IDCW (Payout/Reinvestment)</t>
        </is>
      </c>
      <c r="C1928" t="inlineStr">
        <is>
          <t xml:space="preserve">INF760K01068</t>
        </is>
      </c>
    </row>
    <row r="1929">
      <c r="A1929" t="inlineStr">
        <is>
          <t xml:space="preserve">Canara Robeco Mutual Fund</t>
        </is>
      </c>
      <c r="B1929" t="inlineStr">
        <is>
          <t xml:space="preserve">CANARA ROBECO FLEXICAP FUND - DIRECT PLAN - GROWTH OPTION</t>
        </is>
      </c>
      <c r="C1929" t="inlineStr">
        <is>
          <t xml:space="preserve">INF760K01EF0</t>
        </is>
      </c>
    </row>
    <row r="1930">
      <c r="A1930" t="inlineStr">
        <is>
          <t xml:space="preserve">Canara Robeco Mutual Fund</t>
        </is>
      </c>
      <c r="B1930" t="inlineStr">
        <is>
          <t xml:space="preserve">CANARA ROBECO FLEXICAP FUND - DIRECT PLAN - IDCW (Payout/Reinvestment)</t>
        </is>
      </c>
      <c r="C1930" t="inlineStr">
        <is>
          <t xml:space="preserve">INF760K01ED5</t>
        </is>
      </c>
    </row>
    <row r="1931">
      <c r="A1931" t="inlineStr">
        <is>
          <t xml:space="preserve">Canara Robeco Mutual Fund</t>
        </is>
      </c>
      <c r="B1931" t="inlineStr">
        <is>
          <t xml:space="preserve">CANARA ROBECO FLEXICAP FUND - REGULAR PLAN - GROWTH OPTION</t>
        </is>
      </c>
      <c r="C1931" t="inlineStr">
        <is>
          <t xml:space="preserve">INF760K01019</t>
        </is>
      </c>
    </row>
    <row r="1932">
      <c r="A1932" t="inlineStr">
        <is>
          <t xml:space="preserve">Canara Robeco Mutual Fund</t>
        </is>
      </c>
      <c r="B1932" t="inlineStr">
        <is>
          <t xml:space="preserve">CANARA ROBECO FLEXICAP FUND - REGULAR PLAN - IDCW (Payout/Reinvestment)</t>
        </is>
      </c>
      <c r="C1932" t="inlineStr">
        <is>
          <t xml:space="preserve">INF760K01027</t>
        </is>
      </c>
    </row>
    <row r="1933">
      <c r="A1933" t="inlineStr">
        <is>
          <t xml:space="preserve">Canara Robeco Mutual Fund</t>
        </is>
      </c>
      <c r="B1933" t="inlineStr">
        <is>
          <t xml:space="preserve">Canara Robeco Focused Fund - Direct Plan - Growth Option</t>
        </is>
      </c>
      <c r="C1933" t="inlineStr">
        <is>
          <t xml:space="preserve">INF760K01JQ6</t>
        </is>
      </c>
    </row>
    <row r="1934">
      <c r="A1934" t="inlineStr">
        <is>
          <t xml:space="preserve">Canara Robeco Mutual Fund</t>
        </is>
      </c>
      <c r="B1934" t="inlineStr">
        <is>
          <t xml:space="preserve">Canara Robeco Focused Fund - Direct Plan - IDCW (Payout/Reinvestment)</t>
        </is>
      </c>
      <c r="C1934" t="inlineStr">
        <is>
          <t xml:space="preserve">INF760K01JS2</t>
        </is>
      </c>
    </row>
    <row r="1935">
      <c r="A1935" t="inlineStr">
        <is>
          <t xml:space="preserve">Canara Robeco Mutual Fund</t>
        </is>
      </c>
      <c r="B1935" t="inlineStr">
        <is>
          <t xml:space="preserve">Canara Robeco Focused Fund - Regular Plan - Growth Option</t>
        </is>
      </c>
      <c r="C1935" t="inlineStr">
        <is>
          <t xml:space="preserve">INF760K01JT0</t>
        </is>
      </c>
    </row>
    <row r="1936">
      <c r="A1936" t="inlineStr">
        <is>
          <t xml:space="preserve">Canara Robeco Mutual Fund</t>
        </is>
      </c>
      <c r="B1936" t="inlineStr">
        <is>
          <t xml:space="preserve">Canara Robeco Focused Fund - Regular Plan - IDCW (Payout/Reinvestment)</t>
        </is>
      </c>
      <c r="C1936" t="inlineStr">
        <is>
          <t xml:space="preserve">INF760K01JV6</t>
        </is>
      </c>
    </row>
    <row r="1937">
      <c r="A1937" t="inlineStr">
        <is>
          <t xml:space="preserve">Canara Robeco Mutual Fund</t>
        </is>
      </c>
      <c r="B1937" t="inlineStr">
        <is>
          <t xml:space="preserve">CANARA ROBECO GILT FUND - DIRECT PLAN - GROWTH OPTION</t>
        </is>
      </c>
      <c r="C1937" t="inlineStr">
        <is>
          <t xml:space="preserve">INF760K01FC4</t>
        </is>
      </c>
    </row>
    <row r="1938">
      <c r="A1938" t="inlineStr">
        <is>
          <t xml:space="preserve">Canara Robeco Mutual Fund</t>
        </is>
      </c>
      <c r="B1938" t="inlineStr">
        <is>
          <t xml:space="preserve">CANARA ROBECO GILT FUND - DIRECT PLAN - IDCW (Payout/Reinvestment)</t>
        </is>
      </c>
      <c r="C1938" t="inlineStr">
        <is>
          <t xml:space="preserve">INF760K01FA8</t>
        </is>
      </c>
    </row>
    <row r="1939">
      <c r="A1939" t="inlineStr">
        <is>
          <t xml:space="preserve">Canara Robeco Mutual Fund</t>
        </is>
      </c>
      <c r="B1939" t="inlineStr">
        <is>
          <t xml:space="preserve">CANARA ROBECO GILT FUND - REGULAR PLAN - GROWTH OPTION</t>
        </is>
      </c>
      <c r="C1939" t="inlineStr">
        <is>
          <t xml:space="preserve">INF760K01AE1</t>
        </is>
      </c>
    </row>
    <row r="1940">
      <c r="A1940" t="inlineStr">
        <is>
          <t xml:space="preserve">Canara Robeco Mutual Fund</t>
        </is>
      </c>
      <c r="B1940" t="inlineStr">
        <is>
          <t xml:space="preserve">CANARA ROBECO GILT FUND - REGULAR PLAN - IDCW (Payout/Reinvestment)</t>
        </is>
      </c>
      <c r="C1940" t="inlineStr">
        <is>
          <t xml:space="preserve">INF760K01AB7</t>
        </is>
      </c>
    </row>
    <row r="1941">
      <c r="A1941" t="inlineStr">
        <is>
          <t xml:space="preserve">Canara Robeco Mutual Fund</t>
        </is>
      </c>
      <c r="B1941" t="inlineStr">
        <is>
          <t xml:space="preserve">CANARA ROBECO INCOME FUND - DIRECT PLAN - GROWTH OPTION</t>
        </is>
      </c>
      <c r="C1941" t="inlineStr">
        <is>
          <t xml:space="preserve">INF760K01FI1</t>
        </is>
      </c>
    </row>
    <row r="1942">
      <c r="A1942" t="inlineStr">
        <is>
          <t xml:space="preserve">Canara Robeco Mutual Fund</t>
        </is>
      </c>
      <c r="B1942" t="inlineStr">
        <is>
          <t xml:space="preserve">CANARA ROBECO INCOME FUND - DIRECT PLAN - QUARTERLY IDCW (Payout/Reinvestment)</t>
        </is>
      </c>
      <c r="C1942" t="inlineStr">
        <is>
          <t xml:space="preserve">INF760K01FG5</t>
        </is>
      </c>
    </row>
    <row r="1943">
      <c r="A1943" t="inlineStr">
        <is>
          <t xml:space="preserve">Canara Robeco Mutual Fund</t>
        </is>
      </c>
      <c r="B1943" t="inlineStr">
        <is>
          <t xml:space="preserve">CANARA ROBECO INCOME FUND - REGULAR PLAN - GROWTH OPTION</t>
        </is>
      </c>
      <c r="C1943" t="inlineStr">
        <is>
          <t xml:space="preserve">INF760K01324</t>
        </is>
      </c>
    </row>
    <row r="1944">
      <c r="A1944" t="inlineStr">
        <is>
          <t xml:space="preserve">Canara Robeco Mutual Fund</t>
        </is>
      </c>
      <c r="B1944" t="inlineStr">
        <is>
          <t xml:space="preserve">CANARA ROBECO INCOME FUND - REGULAR PLAN - QUARTERLY IDCW (Payout/Reinvestment)</t>
        </is>
      </c>
      <c r="C1944" t="inlineStr">
        <is>
          <t xml:space="preserve">INF760K01340</t>
        </is>
      </c>
    </row>
    <row r="1945">
      <c r="A1945" t="inlineStr">
        <is>
          <t xml:space="preserve">Canara Robeco Mutual Fund</t>
        </is>
      </c>
      <c r="B1945" t="inlineStr">
        <is>
          <t xml:space="preserve">CANARA ROBECO INFRASTRUCTURE FUND - DIRECT PLAN - GROWTH OPTION</t>
        </is>
      </c>
      <c r="C1945" t="inlineStr">
        <is>
          <t xml:space="preserve">INF760K01FO9</t>
        </is>
      </c>
    </row>
    <row r="1946">
      <c r="A1946" t="inlineStr">
        <is>
          <t xml:space="preserve">Canara Robeco Mutual Fund</t>
        </is>
      </c>
      <c r="B1946" t="inlineStr">
        <is>
          <t xml:space="preserve">CANARA ROBECO INFRASTRUCTURE FUND - DIRECT PLAN - IDCW (Payout/Reinvestment)</t>
        </is>
      </c>
      <c r="C1946" t="inlineStr">
        <is>
          <t xml:space="preserve">INF760K01FM3</t>
        </is>
      </c>
    </row>
    <row r="1947">
      <c r="A1947" t="inlineStr">
        <is>
          <t xml:space="preserve">Canara Robeco Mutual Fund</t>
        </is>
      </c>
      <c r="B1947" t="inlineStr">
        <is>
          <t xml:space="preserve">CANARA ROBECO INFRASTRUCTURE FUND - REGULAR PLAN - GROWTH OPTION</t>
        </is>
      </c>
      <c r="C1947" t="inlineStr">
        <is>
          <t xml:space="preserve">INF760K01274</t>
        </is>
      </c>
    </row>
    <row r="1948">
      <c r="A1948" t="inlineStr">
        <is>
          <t xml:space="preserve">Canara Robeco Mutual Fund</t>
        </is>
      </c>
      <c r="B1948" t="inlineStr">
        <is>
          <t xml:space="preserve">CANARA ROBECO INFRASTRUCTURE FUND - REGULAR PLAN - IDCW (Payout/Reinvestment)</t>
        </is>
      </c>
      <c r="C1948" t="inlineStr">
        <is>
          <t xml:space="preserve">INF760K01258</t>
        </is>
      </c>
    </row>
    <row r="1949">
      <c r="A1949" t="inlineStr">
        <is>
          <t xml:space="preserve">Canara Robeco Mutual Fund</t>
        </is>
      </c>
      <c r="B1949" t="inlineStr">
        <is>
          <t xml:space="preserve">CANARA ROBECO LARGE AND MID CAP FUND - DIRECT PLAN - GROWTH OPTION</t>
        </is>
      </c>
      <c r="C1949" t="inlineStr">
        <is>
          <t xml:space="preserve">INF760K01EI4</t>
        </is>
      </c>
    </row>
    <row r="1950">
      <c r="A1950" t="inlineStr">
        <is>
          <t xml:space="preserve">Canara Robeco Mutual Fund</t>
        </is>
      </c>
      <c r="B1950" t="inlineStr">
        <is>
          <t xml:space="preserve">CANARA ROBECO LARGE AND MID CAP FUND - DIRECT PLAN - IDCW (Payout/Reinvestment)</t>
        </is>
      </c>
      <c r="C1950" t="inlineStr">
        <is>
          <t xml:space="preserve">INF760K01EG8</t>
        </is>
      </c>
    </row>
    <row r="1951">
      <c r="A1951" t="inlineStr">
        <is>
          <t xml:space="preserve">Canara Robeco Mutual Fund</t>
        </is>
      </c>
      <c r="B1951" t="inlineStr">
        <is>
          <t xml:space="preserve">CANARA ROBECO LARGE AND MID CAP FUND - REGULAR PLAN - GROWTH OPTION</t>
        </is>
      </c>
      <c r="C1951" t="inlineStr">
        <is>
          <t xml:space="preserve">INF760K01167</t>
        </is>
      </c>
    </row>
    <row r="1952">
      <c r="A1952" t="inlineStr">
        <is>
          <t xml:space="preserve">Canara Robeco Mutual Fund</t>
        </is>
      </c>
      <c r="B1952" t="inlineStr">
        <is>
          <t xml:space="preserve">CANARA ROBECO LARGE AND MID CAP FUND - REGULAR PLAN - IDCW (Payout/Reinvestment)</t>
        </is>
      </c>
      <c r="C1952" t="inlineStr">
        <is>
          <t xml:space="preserve">INF760K01175</t>
        </is>
      </c>
    </row>
    <row r="1953">
      <c r="A1953" t="inlineStr">
        <is>
          <t xml:space="preserve">Canara Robeco Mutual Fund</t>
        </is>
      </c>
      <c r="B1953" t="inlineStr">
        <is>
          <t xml:space="preserve">CANARA ROBECO LARGE CAP FUND - DIRECT PLAN - GROWTH OPTION</t>
        </is>
      </c>
      <c r="C1953" t="inlineStr">
        <is>
          <t xml:space="preserve">INF760K01FR2</t>
        </is>
      </c>
    </row>
    <row r="1954">
      <c r="A1954" t="inlineStr">
        <is>
          <t xml:space="preserve">Canara Robeco Mutual Fund</t>
        </is>
      </c>
      <c r="B1954" t="inlineStr">
        <is>
          <t xml:space="preserve">CANARA ROBECO LARGE CAP FUND - DIRECT PLAN - IDCW (Payout/Reinvestment)</t>
        </is>
      </c>
      <c r="C1954" t="inlineStr">
        <is>
          <t xml:space="preserve">INF760K01FP6</t>
        </is>
      </c>
    </row>
    <row r="1955">
      <c r="A1955" t="inlineStr">
        <is>
          <t xml:space="preserve">Canara Robeco Mutual Fund</t>
        </is>
      </c>
      <c r="B1955" t="inlineStr">
        <is>
          <t xml:space="preserve">CANARA ROBECO LARGE CAP FUND - REGULAR PLAN - GROWTH OPTION</t>
        </is>
      </c>
      <c r="C1955" t="inlineStr">
        <is>
          <t xml:space="preserve">INF760K01AR3</t>
        </is>
      </c>
    </row>
    <row r="1956">
      <c r="A1956" t="inlineStr">
        <is>
          <t xml:space="preserve">Canara Robeco Mutual Fund</t>
        </is>
      </c>
      <c r="B1956" t="inlineStr">
        <is>
          <t xml:space="preserve">CANARA ROBECO LARGE CAP FUND - REGULAR PLAN - IDCW (Payout/Reinvestment)</t>
        </is>
      </c>
      <c r="C1956" t="inlineStr">
        <is>
          <t xml:space="preserve">INF760K01AS1</t>
        </is>
      </c>
    </row>
    <row r="1957">
      <c r="A1957" t="inlineStr">
        <is>
          <t xml:space="preserve">Canara Robeco Mutual Fund</t>
        </is>
      </c>
      <c r="B1957" t="inlineStr">
        <is>
          <t xml:space="preserve">CANARA ROBECO LIQUID FUND - DIRECT PLAN - DAILY IDCW (Reinvestment)</t>
        </is>
      </c>
      <c r="C1957" t="inlineStr">
        <is>
          <t xml:space="preserve">INF760K01FS0</t>
        </is>
      </c>
    </row>
    <row r="1958">
      <c r="A1958" t="inlineStr">
        <is>
          <t xml:space="preserve">Canara Robeco Mutual Fund</t>
        </is>
      </c>
      <c r="B1958" t="inlineStr">
        <is>
          <t xml:space="preserve">CANARA ROBECO LIQUID FUND - DIRECT PLAN - GROWTH OPTION</t>
        </is>
      </c>
      <c r="C1958" t="inlineStr">
        <is>
          <t xml:space="preserve">INF760K01FU6</t>
        </is>
      </c>
    </row>
    <row r="1959">
      <c r="A1959" t="inlineStr">
        <is>
          <t xml:space="preserve">Canara Robeco Mutual Fund</t>
        </is>
      </c>
      <c r="B1959" t="inlineStr">
        <is>
          <t xml:space="preserve">CANARA ROBECO LIQUID FUND - DIRECT PLAN - IDCW (Payout/Reinvestment)</t>
        </is>
      </c>
      <c r="C1959" t="inlineStr">
        <is>
          <t xml:space="preserve">INF760K01FT8</t>
        </is>
      </c>
    </row>
    <row r="1960">
      <c r="A1960" t="inlineStr">
        <is>
          <t xml:space="preserve">Canara Robeco Mutual Fund</t>
        </is>
      </c>
      <c r="B1960" t="inlineStr">
        <is>
          <t xml:space="preserve">CANARA ROBECO LIQUID FUND - DIRECT PLAN - MONTHLY IDCW (Payout/Reinvestment)</t>
        </is>
      </c>
      <c r="C1960" t="inlineStr">
        <is>
          <t xml:space="preserve">INF760K01FV4</t>
        </is>
      </c>
    </row>
    <row r="1961">
      <c r="A1961" t="inlineStr">
        <is>
          <t xml:space="preserve">Canara Robeco Mutual Fund</t>
        </is>
      </c>
      <c r="B1961" t="inlineStr">
        <is>
          <t xml:space="preserve">CANARA ROBECO LIQUID FUND - DIRECT PLAN - WEEKLY IDCW (Payout/Reinvestment)</t>
        </is>
      </c>
      <c r="C1961" t="inlineStr">
        <is>
          <t xml:space="preserve">INF760K01FY8</t>
        </is>
      </c>
    </row>
    <row r="1962">
      <c r="A1962" t="inlineStr">
        <is>
          <t xml:space="preserve">Canara Robeco Mutual Fund</t>
        </is>
      </c>
      <c r="B1962" t="inlineStr">
        <is>
          <t xml:space="preserve">CANARA ROBECO LIQUID FUND - REGULAR PLAN - DAILY IDCW (Reinvestment)</t>
        </is>
      </c>
      <c r="C1962" t="inlineStr">
        <is>
          <t xml:space="preserve">INF760K01CU3</t>
        </is>
      </c>
    </row>
    <row r="1963">
      <c r="A1963" t="inlineStr">
        <is>
          <t xml:space="preserve">Canara Robeco Mutual Fund</t>
        </is>
      </c>
      <c r="B1963" t="inlineStr">
        <is>
          <t xml:space="preserve">CANARA ROBECO LIQUID FUND - REGULAR PLAN - GROWTH OPTION</t>
        </is>
      </c>
      <c r="C1963" t="inlineStr">
        <is>
          <t xml:space="preserve">INF760K01CW9</t>
        </is>
      </c>
    </row>
    <row r="1964">
      <c r="A1964" t="inlineStr">
        <is>
          <t xml:space="preserve">Canara Robeco Mutual Fund</t>
        </is>
      </c>
      <c r="B1964" t="inlineStr">
        <is>
          <t xml:space="preserve">CANARA ROBECO LIQUID FUND - REGULAR PLAN - MONTHLY IDCW (Payout/Reinvestment)</t>
        </is>
      </c>
      <c r="C1964" t="inlineStr">
        <is>
          <t xml:space="preserve">INF760K01CX7</t>
        </is>
      </c>
    </row>
    <row r="1965">
      <c r="A1965" t="inlineStr">
        <is>
          <t xml:space="preserve">Canara Robeco Mutual Fund</t>
        </is>
      </c>
      <c r="B1965" t="inlineStr">
        <is>
          <t xml:space="preserve">CANARA ROBECO LIQUID FUND - REGULAR PLAN - WEEKLY IDCW (Payout/Reinvestment)</t>
        </is>
      </c>
      <c r="C1965" t="inlineStr">
        <is>
          <t xml:space="preserve">INF760K01BZ4</t>
        </is>
      </c>
    </row>
    <row r="1966">
      <c r="A1966" t="inlineStr">
        <is>
          <t xml:space="preserve">Canara Robeco Mutual Fund</t>
        </is>
      </c>
      <c r="B1966" t="inlineStr">
        <is>
          <t xml:space="preserve">Canara Robeco Liquid Fund -Unclaimed Redemption and Dividend Plan -Direct Growth Option</t>
        </is>
      </c>
      <c r="C1966" t="inlineStr">
        <is>
          <t xml:space="preserve">INF760K01IC8</t>
        </is>
      </c>
    </row>
    <row r="1967">
      <c r="A1967" t="inlineStr">
        <is>
          <t xml:space="preserve">Canara Robeco Mutual Fund</t>
        </is>
      </c>
      <c r="B1967" t="inlineStr">
        <is>
          <t xml:space="preserve">Canara Robeco Manufacturing Fund - Direct Plan - Growth Option</t>
        </is>
      </c>
      <c r="C1967" t="inlineStr">
        <is>
          <t xml:space="preserve">INF760K01KZ5</t>
        </is>
      </c>
    </row>
    <row r="1968">
      <c r="A1968" t="inlineStr">
        <is>
          <t xml:space="preserve">Canara Robeco Mutual Fund</t>
        </is>
      </c>
      <c r="B1968" t="inlineStr">
        <is>
          <t xml:space="preserve">Canara Robeco Manufacturing Fund - Direct Plan - IDWC Option</t>
        </is>
      </c>
      <c r="C1968" t="inlineStr">
        <is>
          <t xml:space="preserve">INF760K01KY8</t>
        </is>
      </c>
    </row>
    <row r="1969">
      <c r="A1969" t="inlineStr">
        <is>
          <t xml:space="preserve">Canara Robeco Mutual Fund</t>
        </is>
      </c>
      <c r="B1969" t="inlineStr">
        <is>
          <t xml:space="preserve">Canara Robeco Manufacturing Fund - Regular Plan - Growth Option</t>
        </is>
      </c>
      <c r="C1969" t="inlineStr">
        <is>
          <t xml:space="preserve">INF760K01KU6</t>
        </is>
      </c>
    </row>
    <row r="1970">
      <c r="A1970" t="inlineStr">
        <is>
          <t xml:space="preserve">Canara Robeco Mutual Fund</t>
        </is>
      </c>
      <c r="B1970" t="inlineStr">
        <is>
          <t xml:space="preserve">Canara Robeco Manufacturing Fund -Regular Plan - IDWC Option</t>
        </is>
      </c>
      <c r="C1970" t="inlineStr">
        <is>
          <t xml:space="preserve">INF760K01KW2</t>
        </is>
      </c>
    </row>
    <row r="1971">
      <c r="A1971" t="inlineStr">
        <is>
          <t xml:space="preserve">Canara Robeco Mutual Fund</t>
        </is>
      </c>
      <c r="B1971" t="inlineStr">
        <is>
          <t xml:space="preserve">Canara Robeco Mid Cap Fund- Direct Plan- Growth Option</t>
        </is>
      </c>
      <c r="C1971" t="inlineStr">
        <is>
          <t xml:space="preserve">INF760K01KI1</t>
        </is>
      </c>
    </row>
    <row r="1972">
      <c r="A1972" t="inlineStr">
        <is>
          <t xml:space="preserve">Canara Robeco Mutual Fund</t>
        </is>
      </c>
      <c r="B1972" t="inlineStr">
        <is>
          <t xml:space="preserve">Canara Robeco Mid Cap Fund- Direct Plan- IDCW</t>
        </is>
      </c>
      <c r="C1972" t="inlineStr">
        <is>
          <t xml:space="preserve">INF760K01KK7</t>
        </is>
      </c>
    </row>
    <row r="1973">
      <c r="A1973" t="inlineStr">
        <is>
          <t xml:space="preserve">Canara Robeco Mutual Fund</t>
        </is>
      </c>
      <c r="B1973" t="inlineStr">
        <is>
          <t xml:space="preserve">Canara Robeco Mid Cap Fund- Regular Plan- Growth Option</t>
        </is>
      </c>
      <c r="C1973" t="inlineStr">
        <is>
          <t xml:space="preserve">INF760K01KL5</t>
        </is>
      </c>
    </row>
    <row r="1974">
      <c r="A1974" t="inlineStr">
        <is>
          <t xml:space="preserve">Canara Robeco Mutual Fund</t>
        </is>
      </c>
      <c r="B1974" t="inlineStr">
        <is>
          <t xml:space="preserve">Canara Robeco Mid Cap Fund- Regular Plan- IDCW</t>
        </is>
      </c>
      <c r="C1974" t="inlineStr">
        <is>
          <t xml:space="preserve">INF760K01KN1</t>
        </is>
      </c>
    </row>
    <row r="1975">
      <c r="A1975" t="inlineStr">
        <is>
          <t xml:space="preserve">Canara Robeco Mutual Fund</t>
        </is>
      </c>
      <c r="B1975" t="inlineStr">
        <is>
          <t xml:space="preserve">Canara Robeco Multi Asset Allocation Fund - Direct Plan - Growth</t>
        </is>
      </c>
      <c r="C1975" t="inlineStr">
        <is>
          <t xml:space="preserve">INF760K01LH1</t>
        </is>
      </c>
    </row>
    <row r="1976">
      <c r="A1976" t="inlineStr">
        <is>
          <t xml:space="preserve">Canara Robeco Mutual Fund</t>
        </is>
      </c>
      <c r="B1976" t="inlineStr">
        <is>
          <t xml:space="preserve">Canara Robeco Multi Asset Allocation Fund - Direct Plan - IDCW</t>
        </is>
      </c>
      <c r="C1976" t="inlineStr">
        <is>
          <t xml:space="preserve">INF760K01LJ7</t>
        </is>
      </c>
    </row>
    <row r="1977">
      <c r="A1977" t="inlineStr">
        <is>
          <t xml:space="preserve">Canara Robeco Mutual Fund</t>
        </is>
      </c>
      <c r="B1977" t="inlineStr">
        <is>
          <t xml:space="preserve">Canara Robeco Multi Asset Allocation Fund - Regular Plan - Growth</t>
        </is>
      </c>
      <c r="C1977" t="inlineStr">
        <is>
          <t xml:space="preserve">INF760K01LG3</t>
        </is>
      </c>
    </row>
    <row r="1978">
      <c r="A1978" t="inlineStr">
        <is>
          <t xml:space="preserve">Canara Robeco Mutual Fund</t>
        </is>
      </c>
      <c r="B1978" t="inlineStr">
        <is>
          <t xml:space="preserve">Canara Robeco Multi Asset Allocation Fund - Regular Plan - IDCW</t>
        </is>
      </c>
      <c r="C1978" t="inlineStr">
        <is>
          <t xml:space="preserve">INF760K01LI9</t>
        </is>
      </c>
    </row>
    <row r="1979">
      <c r="A1979" t="inlineStr">
        <is>
          <t xml:space="preserve">Canara Robeco Mutual Fund</t>
        </is>
      </c>
      <c r="B1979" t="inlineStr">
        <is>
          <t xml:space="preserve">Canara Robeco Multi Cap Fund - Direct Plan - Growth Option</t>
        </is>
      </c>
      <c r="C1979" t="inlineStr">
        <is>
          <t xml:space="preserve">INF760K01KO9</t>
        </is>
      </c>
    </row>
    <row r="1980">
      <c r="A1980" t="inlineStr">
        <is>
          <t xml:space="preserve">Canara Robeco Mutual Fund</t>
        </is>
      </c>
      <c r="B1980" t="inlineStr">
        <is>
          <t xml:space="preserve">Canara Robeco Multi Cap Fund - Direct Plan - IDCW Option</t>
        </is>
      </c>
      <c r="C1980" t="inlineStr">
        <is>
          <t xml:space="preserve">INF760K01KQ4</t>
        </is>
      </c>
    </row>
    <row r="1981">
      <c r="A1981" t="inlineStr">
        <is>
          <t xml:space="preserve">Canara Robeco Mutual Fund</t>
        </is>
      </c>
      <c r="B1981" t="inlineStr">
        <is>
          <t xml:space="preserve">Canara Robeco Multi Cap Fund - Regular Plan - Growth Option</t>
        </is>
      </c>
      <c r="C1981" t="inlineStr">
        <is>
          <t xml:space="preserve">INF760K01KR2</t>
        </is>
      </c>
    </row>
    <row r="1982">
      <c r="A1982" t="inlineStr">
        <is>
          <t xml:space="preserve">Canara Robeco Mutual Fund</t>
        </is>
      </c>
      <c r="B1982" t="inlineStr">
        <is>
          <t xml:space="preserve">Canara Robeco Multi Cap Fund - Regular Plan - IDCW Option</t>
        </is>
      </c>
      <c r="C1982" t="inlineStr">
        <is>
          <t xml:space="preserve">INF760K01KT8</t>
        </is>
      </c>
    </row>
    <row r="1983">
      <c r="A1983" t="inlineStr">
        <is>
          <t xml:space="preserve">Canara Robeco Mutual Fund</t>
        </is>
      </c>
      <c r="B1983" t="inlineStr">
        <is>
          <t xml:space="preserve">CANARA ROBECO OVERNIGHT FUND - DIRECT PLAN - DAILY IDCW (Reinvestment)</t>
        </is>
      </c>
      <c r="C1983" t="inlineStr">
        <is>
          <t xml:space="preserve">INF760K01JN3</t>
        </is>
      </c>
    </row>
    <row r="1984">
      <c r="A1984" t="inlineStr">
        <is>
          <t xml:space="preserve">Canara Robeco Mutual Fund</t>
        </is>
      </c>
      <c r="B1984" t="inlineStr">
        <is>
          <t xml:space="preserve">CANARA ROBECO OVERNIGHT FUND - DIRECT PLAN - GROWTH OPTION</t>
        </is>
      </c>
      <c r="C1984" t="inlineStr">
        <is>
          <t xml:space="preserve">INF760K01JM5</t>
        </is>
      </c>
    </row>
    <row r="1985">
      <c r="A1985" t="inlineStr">
        <is>
          <t xml:space="preserve">Canara Robeco Mutual Fund</t>
        </is>
      </c>
      <c r="B1985" t="inlineStr">
        <is>
          <t xml:space="preserve">CANARA ROBECO OVERNIGHT FUND - REGULAR PLAN - DAILY IDCW (Reinvestment)</t>
        </is>
      </c>
      <c r="C1985" t="inlineStr">
        <is>
          <t xml:space="preserve">INF760K01JP8</t>
        </is>
      </c>
    </row>
    <row r="1986">
      <c r="A1986" t="inlineStr">
        <is>
          <t xml:space="preserve">Canara Robeco Mutual Fund</t>
        </is>
      </c>
      <c r="B1986" t="inlineStr">
        <is>
          <t xml:space="preserve">CANARA ROBECO OVERNIGHT FUND - REGULAR PLAN - GROWTH OPTION</t>
        </is>
      </c>
      <c r="C1986" t="inlineStr">
        <is>
          <t xml:space="preserve">INF760K01JO1</t>
        </is>
      </c>
    </row>
    <row r="1987">
      <c r="A1987" t="inlineStr">
        <is>
          <t xml:space="preserve">Canara Robeco Mutual Fund</t>
        </is>
      </c>
      <c r="B1987" t="inlineStr">
        <is>
          <t xml:space="preserve">CANARA ROBECO SAVINGS FUND - DIRECT PLAN - DAILY IDCW (Reinvestment)</t>
        </is>
      </c>
      <c r="C1987" t="inlineStr">
        <is>
          <t xml:space="preserve">INF760K01EM6</t>
        </is>
      </c>
    </row>
    <row r="1988">
      <c r="A1988" t="inlineStr">
        <is>
          <t xml:space="preserve">Canara Robeco Mutual Fund</t>
        </is>
      </c>
      <c r="B1988" t="inlineStr">
        <is>
          <t xml:space="preserve">CANARA ROBECO SAVINGS FUND - DIRECT PLAN - GROWTH OPTION</t>
        </is>
      </c>
      <c r="C1988" t="inlineStr">
        <is>
          <t xml:space="preserve">INF760K01ET1</t>
        </is>
      </c>
    </row>
    <row r="1989">
      <c r="A1989" t="inlineStr">
        <is>
          <t xml:space="preserve">Canara Robeco Mutual Fund</t>
        </is>
      </c>
      <c r="B1989" t="inlineStr">
        <is>
          <t xml:space="preserve">CANARA ROBECO SAVINGS FUND - DIRECT PLAN - IDCW (Payout/Reinvestment)</t>
        </is>
      </c>
      <c r="C1989" t="inlineStr">
        <is>
          <t xml:space="preserve">INF760K01EP9</t>
        </is>
      </c>
    </row>
    <row r="1990">
      <c r="A1990" t="inlineStr">
        <is>
          <t xml:space="preserve">Canara Robeco Mutual Fund</t>
        </is>
      </c>
      <c r="B1990" t="inlineStr">
        <is>
          <t xml:space="preserve">CANARA ROBECO SAVINGS FUND - DIRECT PLAN - MONTHLY IDCW (Payout/Reinvestment)</t>
        </is>
      </c>
      <c r="C1990" t="inlineStr">
        <is>
          <t xml:space="preserve">INF760K01EN4</t>
        </is>
      </c>
    </row>
    <row r="1991">
      <c r="A1991" t="inlineStr">
        <is>
          <t xml:space="preserve">Canara Robeco Mutual Fund</t>
        </is>
      </c>
      <c r="B1991" t="inlineStr">
        <is>
          <t xml:space="preserve">CANARA ROBECO SAVINGS FUND - DIRECT PLAN - WEEKLY IDCW (Payout/Reinvestment)</t>
        </is>
      </c>
      <c r="C1991" t="inlineStr">
        <is>
          <t xml:space="preserve">INF760K01ER5</t>
        </is>
      </c>
    </row>
    <row r="1992">
      <c r="A1992" t="inlineStr">
        <is>
          <t xml:space="preserve">Canara Robeco Mutual Fund</t>
        </is>
      </c>
      <c r="B1992" t="inlineStr">
        <is>
          <t xml:space="preserve">CANARA ROBECO SAVINGS FUND - REGULAR PLAN - DAILY IDCW (Reinvestment)</t>
        </is>
      </c>
      <c r="C1992" t="inlineStr">
        <is>
          <t xml:space="preserve">INF760K01803</t>
        </is>
      </c>
    </row>
    <row r="1993">
      <c r="A1993" t="inlineStr">
        <is>
          <t xml:space="preserve">Canara Robeco Mutual Fund</t>
        </is>
      </c>
      <c r="B1993" t="inlineStr">
        <is>
          <t xml:space="preserve">CANARA ROBECO SAVINGS FUND - REGULAR PLAN - GROWTH OPTION</t>
        </is>
      </c>
      <c r="C1993" t="inlineStr">
        <is>
          <t xml:space="preserve">INF760K01795</t>
        </is>
      </c>
    </row>
    <row r="1994">
      <c r="A1994" t="inlineStr">
        <is>
          <t xml:space="preserve">Canara Robeco Mutual Fund</t>
        </is>
      </c>
      <c r="B1994" t="inlineStr">
        <is>
          <t xml:space="preserve">CANARA ROBECO SAVINGS FUND - REGULAR PLAN - IDCW (Payout/Reinvestment)</t>
        </is>
      </c>
      <c r="C1994" t="inlineStr">
        <is>
          <t xml:space="preserve">INF760K01779</t>
        </is>
      </c>
    </row>
    <row r="1995">
      <c r="A1995" t="inlineStr">
        <is>
          <t xml:space="preserve">Canara Robeco Mutual Fund</t>
        </is>
      </c>
      <c r="B1995" t="inlineStr">
        <is>
          <t xml:space="preserve">CANARA ROBECO SAVINGS FUND - REGULAR PLAN - MONTHLY IDCW (Payout/Reinvestment)</t>
        </is>
      </c>
      <c r="C1995" t="inlineStr">
        <is>
          <t xml:space="preserve">INF760K01AM4</t>
        </is>
      </c>
    </row>
    <row r="1996">
      <c r="A1996" t="inlineStr">
        <is>
          <t xml:space="preserve">Canara Robeco Mutual Fund</t>
        </is>
      </c>
      <c r="B1996" t="inlineStr">
        <is>
          <t xml:space="preserve">CANARA ROBECO SAVINGS FUND - REGULAR PLAN - WEEKLY IDCW (Payout/Reinvestment)</t>
        </is>
      </c>
      <c r="C1996" t="inlineStr">
        <is>
          <t xml:space="preserve">INF760K01CB3</t>
        </is>
      </c>
    </row>
    <row r="1997">
      <c r="A1997" t="inlineStr">
        <is>
          <t xml:space="preserve">Canara Robeco Mutual Fund</t>
        </is>
      </c>
      <c r="B1997" t="inlineStr">
        <is>
          <t xml:space="preserve">CANARA ROBECO SHORT DURATION FUND - DIRECT PLAN - GROWTH OPTION</t>
        </is>
      </c>
      <c r="C1997" t="inlineStr">
        <is>
          <t xml:space="preserve">INF760K01DX5</t>
        </is>
      </c>
    </row>
    <row r="1998">
      <c r="A1998" t="inlineStr">
        <is>
          <t xml:space="preserve">Canara Robeco Mutual Fund</t>
        </is>
      </c>
      <c r="B1998" t="inlineStr">
        <is>
          <t xml:space="preserve">CANARA ROBECO SHORT DURATION FUND - DIRECT PLAN - MONTHLY IDCW (Payout/Reinvestment)</t>
        </is>
      </c>
      <c r="C1998" t="inlineStr">
        <is>
          <t xml:space="preserve">INF760K01DV9</t>
        </is>
      </c>
    </row>
    <row r="1999">
      <c r="A1999" t="inlineStr">
        <is>
          <t xml:space="preserve">Canara Robeco Mutual Fund</t>
        </is>
      </c>
      <c r="B1999" t="inlineStr">
        <is>
          <t xml:space="preserve">CANARA ROBECO SHORT DURATION FUND - DIRECT PLAN - QUARTERLY IDCW (Payout/Reinvestment)</t>
        </is>
      </c>
      <c r="C1999" t="inlineStr">
        <is>
          <t xml:space="preserve">INF760K01DY3</t>
        </is>
      </c>
    </row>
    <row r="2000">
      <c r="A2000" t="inlineStr">
        <is>
          <t xml:space="preserve">Canara Robeco Mutual Fund</t>
        </is>
      </c>
      <c r="B2000" t="inlineStr">
        <is>
          <t xml:space="preserve">CANARA ROBECO SHORT DURATION FUND - REGULAR PLAN - GROWTH OPTION</t>
        </is>
      </c>
      <c r="C2000" t="inlineStr">
        <is>
          <t xml:space="preserve">INF760K01BM2</t>
        </is>
      </c>
    </row>
    <row r="2001">
      <c r="A2001" t="inlineStr">
        <is>
          <t xml:space="preserve">Canara Robeco Mutual Fund</t>
        </is>
      </c>
      <c r="B2001" t="inlineStr">
        <is>
          <t xml:space="preserve">CANARA ROBECO SHORT DURATION FUND - REGULAR PLAN - MONTHLY IDCW (Payout/Reinvestment)</t>
        </is>
      </c>
      <c r="C2001" t="inlineStr">
        <is>
          <t xml:space="preserve">INF760K01BO8</t>
        </is>
      </c>
    </row>
    <row r="2002">
      <c r="A2002" t="inlineStr">
        <is>
          <t xml:space="preserve">Canara Robeco Mutual Fund</t>
        </is>
      </c>
      <c r="B2002" t="inlineStr">
        <is>
          <t xml:space="preserve">CANARA ROBECO SHORT DURATION FUND - REGULAR PLAN - QUARTERLY IDCW (Payout/Reinvestment)</t>
        </is>
      </c>
      <c r="C2002" t="inlineStr">
        <is>
          <t xml:space="preserve">INF760K01BQ3</t>
        </is>
      </c>
    </row>
    <row r="2003">
      <c r="A2003" t="inlineStr">
        <is>
          <t xml:space="preserve">Canara Robeco Mutual Fund</t>
        </is>
      </c>
      <c r="B2003" t="inlineStr">
        <is>
          <t xml:space="preserve">CANARA ROBECO SMALL CAP FUND - DIRECT PLAN - GROWTH OPTION</t>
        </is>
      </c>
      <c r="C2003" t="inlineStr">
        <is>
          <t xml:space="preserve">INF760K01JC6</t>
        </is>
      </c>
    </row>
    <row r="2004">
      <c r="A2004" t="inlineStr">
        <is>
          <t xml:space="preserve">Canara Robeco Mutual Fund</t>
        </is>
      </c>
      <c r="B2004" t="inlineStr">
        <is>
          <t xml:space="preserve">CANARA ROBECO SMALL CAP FUND - DIRECT PLAN - IDCW (Payout/Reinvestment)</t>
        </is>
      </c>
      <c r="C2004" t="inlineStr">
        <is>
          <t xml:space="preserve">INF760K01JD4</t>
        </is>
      </c>
    </row>
    <row r="2005">
      <c r="A2005" t="inlineStr">
        <is>
          <t xml:space="preserve">Canara Robeco Mutual Fund</t>
        </is>
      </c>
      <c r="B2005" t="inlineStr">
        <is>
          <t xml:space="preserve">CANARA ROBECO SMALL CAP FUND - REGULAR PLAN - GROWTH OPTION</t>
        </is>
      </c>
      <c r="C2005" t="inlineStr">
        <is>
          <t xml:space="preserve">INF760K01JF9</t>
        </is>
      </c>
    </row>
    <row r="2006">
      <c r="A2006" t="inlineStr">
        <is>
          <t xml:space="preserve">Canara Robeco Mutual Fund</t>
        </is>
      </c>
      <c r="B2006" t="inlineStr">
        <is>
          <t xml:space="preserve">CANARA ROBECO SMALL CAP FUND - REGULAR PLAN - IDCW (Payout/Reinvestment)</t>
        </is>
      </c>
      <c r="C2006" t="inlineStr">
        <is>
          <t xml:space="preserve">INF760K01JG7</t>
        </is>
      </c>
    </row>
    <row r="2007">
      <c r="A2007" t="inlineStr">
        <is>
          <t xml:space="preserve">Canara Robeco Mutual Fund</t>
        </is>
      </c>
      <c r="B2007" t="inlineStr">
        <is>
          <t xml:space="preserve">CANARA ROBECO ULTRA SHORT TERM FUND - DIRECT PLAN - DAILY IDCW (Reinvestment)</t>
        </is>
      </c>
      <c r="C2007" t="inlineStr">
        <is>
          <t xml:space="preserve">INF760K01GL3</t>
        </is>
      </c>
    </row>
    <row r="2008">
      <c r="A2008" t="inlineStr">
        <is>
          <t xml:space="preserve">Canara Robeco Mutual Fund</t>
        </is>
      </c>
      <c r="B2008" t="inlineStr">
        <is>
          <t xml:space="preserve">CANARA ROBECO ULTRA SHORT TERM FUND - DIRECT PLAN - GROWTH OPTION</t>
        </is>
      </c>
      <c r="C2008" t="inlineStr">
        <is>
          <t xml:space="preserve">INF760K01GM1</t>
        </is>
      </c>
    </row>
    <row r="2009">
      <c r="A2009" t="inlineStr">
        <is>
          <t xml:space="preserve">Canara Robeco Mutual Fund</t>
        </is>
      </c>
      <c r="B2009" t="inlineStr">
        <is>
          <t xml:space="preserve">CANARA ROBECO ULTRA SHORT TERM FUND - DIRECT PLAN - IDCW (Payout/Reinvestment)</t>
        </is>
      </c>
      <c r="C2009" t="inlineStr">
        <is>
          <t xml:space="preserve">INF760K01GN9</t>
        </is>
      </c>
    </row>
    <row r="2010">
      <c r="A2010" t="inlineStr">
        <is>
          <t xml:space="preserve">Canara Robeco Mutual Fund</t>
        </is>
      </c>
      <c r="B2010" t="inlineStr">
        <is>
          <t xml:space="preserve">CANARA ROBECO ULTRA SHORT TERM FUND - DIRECT PLAN - MONTHLY IDCW (Payout/Reinvestment)</t>
        </is>
      </c>
      <c r="C2010" t="inlineStr">
        <is>
          <t xml:space="preserve">INF760K01GP4</t>
        </is>
      </c>
    </row>
    <row r="2011">
      <c r="A2011" t="inlineStr">
        <is>
          <t xml:space="preserve">Canara Robeco Mutual Fund</t>
        </is>
      </c>
      <c r="B2011" t="inlineStr">
        <is>
          <t xml:space="preserve">CANARA ROBECO ULTRA SHORT TERM FUND - DIRECT PLAN - WEEKLY IDCW (Payout/Reinvestment)</t>
        </is>
      </c>
      <c r="C2011" t="inlineStr">
        <is>
          <t xml:space="preserve">INF760K01GQ2</t>
        </is>
      </c>
    </row>
    <row r="2012">
      <c r="A2012" t="inlineStr">
        <is>
          <t xml:space="preserve">Canara Robeco Mutual Fund</t>
        </is>
      </c>
      <c r="B2012" t="inlineStr">
        <is>
          <t xml:space="preserve">CANARA ROBECO ULTRA SHORT TERM FUND - REGULAR PLAN - DAILY IDCW (Reinvestment)</t>
        </is>
      </c>
      <c r="C2012" t="inlineStr">
        <is>
          <t xml:space="preserve">INF760K01DA3</t>
        </is>
      </c>
    </row>
    <row r="2013">
      <c r="A2013" t="inlineStr">
        <is>
          <t xml:space="preserve">Canara Robeco Mutual Fund</t>
        </is>
      </c>
      <c r="B2013" t="inlineStr">
        <is>
          <t xml:space="preserve">CANARA ROBECO ULTRA SHORT TERM FUND - REGULAR PLAN - GROWTH OPTION</t>
        </is>
      </c>
      <c r="C2013" t="inlineStr">
        <is>
          <t xml:space="preserve">INF760K01DC9</t>
        </is>
      </c>
    </row>
    <row r="2014">
      <c r="A2014" t="inlineStr">
        <is>
          <t xml:space="preserve">Canara Robeco Mutual Fund</t>
        </is>
      </c>
      <c r="B2014" t="inlineStr">
        <is>
          <t xml:space="preserve">CANARA ROBECO ULTRA SHORT TERM FUND - REGULAR PLAN - MONTHLY IDCW (Payout/Reinvestment)</t>
        </is>
      </c>
      <c r="C2014" t="inlineStr">
        <is>
          <t xml:space="preserve">INF760K01CA5</t>
        </is>
      </c>
    </row>
    <row r="2015">
      <c r="A2015" t="inlineStr">
        <is>
          <t xml:space="preserve">Canara Robeco Mutual Fund</t>
        </is>
      </c>
      <c r="B2015" t="inlineStr">
        <is>
          <t xml:space="preserve">CANARA ROBECO ULTRA SHORT TERM FUND - REGULAR PLAN - WEEKLY IDCW (Payout/Reinvestment)</t>
        </is>
      </c>
      <c r="C2015" t="inlineStr">
        <is>
          <t xml:space="preserve">INF760K01DE5</t>
        </is>
      </c>
    </row>
    <row r="2016">
      <c r="A2016" t="inlineStr">
        <is>
          <t xml:space="preserve">Canara Robeco Mutual Fund</t>
        </is>
      </c>
      <c r="B2016" t="inlineStr">
        <is>
          <t xml:space="preserve">CANARA ROBECO ULTRA SHORT TERM FUND- REGULAR PLAN - IDCW (Payout)</t>
        </is>
      </c>
      <c r="C2016" t="inlineStr">
        <is>
          <t xml:space="preserve">INF760K01IL9</t>
        </is>
      </c>
    </row>
    <row r="2017">
      <c r="A2017" t="inlineStr">
        <is>
          <t xml:space="preserve">Canara Robeco Mutual Fund</t>
        </is>
      </c>
      <c r="B2017" t="inlineStr">
        <is>
          <t xml:space="preserve">Canara Robeco Value Fund - Direct Plan - Growth Option</t>
        </is>
      </c>
      <c r="C2017" t="inlineStr">
        <is>
          <t xml:space="preserve">INF760K01JW4</t>
        </is>
      </c>
    </row>
    <row r="2018">
      <c r="A2018" t="inlineStr">
        <is>
          <t xml:space="preserve">Canara Robeco Mutual Fund</t>
        </is>
      </c>
      <c r="B2018" t="inlineStr">
        <is>
          <t xml:space="preserve">Canara Robeco Value Fund - Direct Plan - IDCW (Payout/Reinvestment)</t>
        </is>
      </c>
      <c r="C2018" t="inlineStr">
        <is>
          <t xml:space="preserve">INF760K01JY0</t>
        </is>
      </c>
    </row>
    <row r="2019">
      <c r="A2019" t="inlineStr">
        <is>
          <t xml:space="preserve">Canara Robeco Mutual Fund</t>
        </is>
      </c>
      <c r="B2019" t="inlineStr">
        <is>
          <t xml:space="preserve">Canara Robeco Value Fund - Regular Plan - Growth Option</t>
        </is>
      </c>
      <c r="C2019" t="inlineStr">
        <is>
          <t xml:space="preserve">INF760K01JZ7</t>
        </is>
      </c>
    </row>
    <row r="2020">
      <c r="A2020" t="inlineStr">
        <is>
          <t xml:space="preserve">Canara Robeco Mutual Fund</t>
        </is>
      </c>
      <c r="B2020" t="inlineStr">
        <is>
          <t xml:space="preserve">Canara Robeco Value Fund - Regular Plan - IDCW (Payout/Reinvestment)</t>
        </is>
      </c>
      <c r="C2020" t="inlineStr">
        <is>
          <t xml:space="preserve">INF760K01KB6</t>
        </is>
      </c>
    </row>
    <row r="2021">
      <c r="A2021" t="inlineStr">
        <is>
          <t xml:space="preserve">Capitalmind Mutual Fund</t>
        </is>
      </c>
      <c r="B2021" t="inlineStr">
        <is>
          <t xml:space="preserve">Capitalmind Arbitrage Fund-Direct-Growth</t>
        </is>
      </c>
      <c r="C2021" t="inlineStr">
        <is>
          <t xml:space="preserve">INF226401117</t>
        </is>
      </c>
    </row>
    <row r="2022">
      <c r="A2022" t="inlineStr">
        <is>
          <t xml:space="preserve">Capitalmind Mutual Fund</t>
        </is>
      </c>
      <c r="B2022" t="inlineStr">
        <is>
          <t xml:space="preserve">Capitalmind Arbitrage Fund-Direct-IDCW</t>
        </is>
      </c>
      <c r="C2022" t="inlineStr">
        <is>
          <t xml:space="preserve">INF226401125</t>
        </is>
      </c>
    </row>
    <row r="2023">
      <c r="A2023" t="inlineStr">
        <is>
          <t xml:space="preserve">Capitalmind Mutual Fund</t>
        </is>
      </c>
      <c r="B2023" t="inlineStr">
        <is>
          <t xml:space="preserve">Capitalmind Arbitrage Fund-regular-Growth</t>
        </is>
      </c>
      <c r="C2023" t="inlineStr">
        <is>
          <t xml:space="preserve">INF226401141</t>
        </is>
      </c>
    </row>
    <row r="2024">
      <c r="A2024" t="inlineStr">
        <is>
          <t xml:space="preserve">Capitalmind Mutual Fund</t>
        </is>
      </c>
      <c r="B2024" t="inlineStr">
        <is>
          <t xml:space="preserve">Capitalmind Arbitrage Fund-Regular-IDCW</t>
        </is>
      </c>
      <c r="C2024" t="inlineStr">
        <is>
          <t xml:space="preserve">INF226401158</t>
        </is>
      </c>
    </row>
    <row r="2025">
      <c r="A2025" t="inlineStr">
        <is>
          <t xml:space="preserve">Capitalmind Mutual Fund</t>
        </is>
      </c>
      <c r="B2025" t="inlineStr">
        <is>
          <t xml:space="preserve">CAPITALMIND FLEXI CAP FUND DIRECT GROWTH</t>
        </is>
      </c>
      <c r="C2025" t="inlineStr">
        <is>
          <t xml:space="preserve">INF226401018</t>
        </is>
      </c>
    </row>
    <row r="2026">
      <c r="A2026" t="inlineStr">
        <is>
          <t xml:space="preserve">Capitalmind Mutual Fund</t>
        </is>
      </c>
      <c r="B2026" t="inlineStr">
        <is>
          <t xml:space="preserve">CAPITALMIND FLEXI CAP FUND REGULAR GROWTH</t>
        </is>
      </c>
      <c r="C2026" t="inlineStr">
        <is>
          <t xml:space="preserve">INF226401026</t>
        </is>
      </c>
    </row>
    <row r="2027">
      <c r="A2027" t="inlineStr">
        <is>
          <t xml:space="preserve">Capitalmind Mutual Fund</t>
        </is>
      </c>
      <c r="B2027" t="inlineStr">
        <is>
          <t xml:space="preserve">Capitalmind Liquid Fund - Direct-Growth</t>
        </is>
      </c>
      <c r="C2027" t="inlineStr">
        <is>
          <t xml:space="preserve">INF226401034</t>
        </is>
      </c>
    </row>
    <row r="2028">
      <c r="A2028" t="inlineStr">
        <is>
          <t xml:space="preserve">Capitalmind Mutual Fund</t>
        </is>
      </c>
      <c r="B2028" t="inlineStr">
        <is>
          <t xml:space="preserve">Capitalmind Liquid Fund - Regular-Growth</t>
        </is>
      </c>
      <c r="C2028" t="inlineStr">
        <is>
          <t xml:space="preserve">INF226401042</t>
        </is>
      </c>
    </row>
    <row r="2029">
      <c r="A2029" t="inlineStr">
        <is>
          <t xml:space="preserve">Capitalmind Mutual Fund</t>
        </is>
      </c>
      <c r="B2029" t="inlineStr">
        <is>
          <t xml:space="preserve">Capitalmind Multi Asset Allocation Fund-Direct-Growth</t>
        </is>
      </c>
      <c r="C2029" t="inlineStr">
        <is>
          <t xml:space="preserve">INF226401059</t>
        </is>
      </c>
    </row>
    <row r="2030">
      <c r="A2030" t="inlineStr">
        <is>
          <t xml:space="preserve">Capitalmind Mutual Fund</t>
        </is>
      </c>
      <c r="B2030" t="inlineStr">
        <is>
          <t xml:space="preserve">Capitalmind Multi Asset Allocation Fund-Direct-IDCW</t>
        </is>
      </c>
      <c r="C2030" t="inlineStr">
        <is>
          <t xml:space="preserve">INF226401067</t>
        </is>
      </c>
    </row>
    <row r="2031">
      <c r="A2031" t="inlineStr">
        <is>
          <t xml:space="preserve">Capitalmind Mutual Fund</t>
        </is>
      </c>
      <c r="B2031" t="inlineStr">
        <is>
          <t xml:space="preserve">Capitalmind Multi Asset Allocation Fund-Regular-Growth</t>
        </is>
      </c>
      <c r="C2031" t="inlineStr">
        <is>
          <t xml:space="preserve">INF226401083</t>
        </is>
      </c>
    </row>
    <row r="2032">
      <c r="A2032" t="inlineStr">
        <is>
          <t xml:space="preserve">Capitalmind Mutual Fund</t>
        </is>
      </c>
      <c r="B2032" t="inlineStr">
        <is>
          <t xml:space="preserve">Capitalmind Multi Asset Allocation Fund-Regular-IDCW</t>
        </is>
      </c>
      <c r="C2032" t="inlineStr">
        <is>
          <t xml:space="preserve">INF226401091</t>
        </is>
      </c>
    </row>
    <row r="2033">
      <c r="A2033" t="inlineStr">
        <is>
          <t xml:space="preserve">Choice Mutual Fund</t>
        </is>
      </c>
      <c r="B2033" t="inlineStr">
        <is>
          <t xml:space="preserve">Choice Gold ETF</t>
        </is>
      </c>
      <c r="C2033" t="inlineStr">
        <is>
          <t xml:space="preserve">INF2KCX01012</t>
        </is>
      </c>
    </row>
    <row r="2034">
      <c r="A2034" t="inlineStr">
        <is>
          <t xml:space="preserve">Choice Mutual Fund</t>
        </is>
      </c>
      <c r="B2034" t="inlineStr">
        <is>
          <t xml:space="preserve">Choice Nifty 50 Index Fund - Direct Plan Growth</t>
        </is>
      </c>
      <c r="C2034" t="inlineStr">
        <is>
          <t xml:space="preserve">INF2KCX01020</t>
        </is>
      </c>
    </row>
    <row r="2035">
      <c r="A2035" t="inlineStr">
        <is>
          <t xml:space="preserve">Choice Mutual Fund</t>
        </is>
      </c>
      <c r="B2035" t="inlineStr">
        <is>
          <t xml:space="preserve">Choice Nifty 50 Index Fund - Regular Plan Growth</t>
        </is>
      </c>
      <c r="C2035" t="inlineStr">
        <is>
          <t xml:space="preserve">INF2KCX01038</t>
        </is>
      </c>
    </row>
    <row r="2036">
      <c r="A2036" t="inlineStr">
        <is>
          <t xml:space="preserve">Choice Mutual Fund</t>
        </is>
      </c>
      <c r="B2036" t="inlineStr">
        <is>
          <t xml:space="preserve">Choice Nifty Next 50 Index Fund - Direct Plan Growth</t>
        </is>
      </c>
      <c r="C2036" t="inlineStr">
        <is>
          <t xml:space="preserve">INF2KCX01046</t>
        </is>
      </c>
    </row>
    <row r="2037">
      <c r="A2037" t="inlineStr">
        <is>
          <t xml:space="preserve">Choice Mutual Fund</t>
        </is>
      </c>
      <c r="B2037" t="inlineStr">
        <is>
          <t xml:space="preserve">Choice Nifty Next 50 Index Fund - Regular Plan Growth</t>
        </is>
      </c>
      <c r="C2037" t="inlineStr">
        <is>
          <t xml:space="preserve">INF2KCX01053</t>
        </is>
      </c>
    </row>
    <row r="2038">
      <c r="A2038" t="inlineStr">
        <is>
          <t xml:space="preserve">Nippon India Mutual Fund</t>
        </is>
      </c>
      <c r="B2038" t="inlineStr">
        <is>
          <t xml:space="preserve">CPSE ETF</t>
        </is>
      </c>
      <c r="C2038" t="inlineStr">
        <is>
          <t xml:space="preserve">INF457M01133</t>
        </is>
      </c>
    </row>
    <row r="2039">
      <c r="A2039" t="inlineStr">
        <is>
          <t xml:space="preserve">DSP Mutual Fund</t>
        </is>
      </c>
      <c r="B2039" t="inlineStr">
        <is>
          <t xml:space="preserve">DSP 10Y G-Sec Fund - Direct Plan - Growth</t>
        </is>
      </c>
      <c r="C2039" t="inlineStr">
        <is>
          <t xml:space="preserve">INF740K019I5</t>
        </is>
      </c>
    </row>
    <row r="2040">
      <c r="A2040" t="inlineStr">
        <is>
          <t xml:space="preserve">DSP Mutual Fund</t>
        </is>
      </c>
      <c r="B2040" t="inlineStr">
        <is>
          <t xml:space="preserve">DSP 10Y G-Sec Fund - Direct Plan - IDCW</t>
        </is>
      </c>
      <c r="C2040" t="inlineStr">
        <is>
          <t xml:space="preserve">INF740K010J2</t>
        </is>
      </c>
    </row>
    <row r="2041">
      <c r="A2041" t="inlineStr">
        <is>
          <t xml:space="preserve">DSP Mutual Fund</t>
        </is>
      </c>
      <c r="B2041" t="inlineStr">
        <is>
          <t xml:space="preserve">DSP 10Y G-Sec Fund - Direct Plan - IDCW - Monthly</t>
        </is>
      </c>
      <c r="C2041" t="inlineStr">
        <is>
          <t xml:space="preserve">INF740K012J8</t>
        </is>
      </c>
    </row>
    <row r="2042">
      <c r="A2042" t="inlineStr">
        <is>
          <t xml:space="preserve">DSP Mutual Fund</t>
        </is>
      </c>
      <c r="B2042" t="inlineStr">
        <is>
          <t xml:space="preserve">DSP 10Y G-Sec Fund - Direct Plan - IDCW - Quarterly</t>
        </is>
      </c>
      <c r="C2042" t="inlineStr">
        <is>
          <t xml:space="preserve">INF740K014J4</t>
        </is>
      </c>
    </row>
    <row r="2043">
      <c r="A2043" t="inlineStr">
        <is>
          <t xml:space="preserve">DSP Mutual Fund</t>
        </is>
      </c>
      <c r="B2043" t="inlineStr">
        <is>
          <t xml:space="preserve">DSP 10Y G-Sec Fund - Regular Plan - Growth</t>
        </is>
      </c>
      <c r="C2043" t="inlineStr">
        <is>
          <t xml:space="preserve">INF740K012I0</t>
        </is>
      </c>
    </row>
    <row r="2044">
      <c r="A2044" t="inlineStr">
        <is>
          <t xml:space="preserve">DSP Mutual Fund</t>
        </is>
      </c>
      <c r="B2044" t="inlineStr">
        <is>
          <t xml:space="preserve">DSP 10Y G-Sec Fund - Regular Plan - IDCW</t>
        </is>
      </c>
      <c r="C2044" t="inlineStr">
        <is>
          <t xml:space="preserve">INF740K013I8</t>
        </is>
      </c>
    </row>
    <row r="2045">
      <c r="A2045" t="inlineStr">
        <is>
          <t xml:space="preserve">DSP Mutual Fund</t>
        </is>
      </c>
      <c r="B2045" t="inlineStr">
        <is>
          <t xml:space="preserve">DSP 10Y G-Sec Fund - Regular Plan - IDCW - Monthly</t>
        </is>
      </c>
      <c r="C2045" t="inlineStr">
        <is>
          <t xml:space="preserve">INF740K015I3</t>
        </is>
      </c>
    </row>
    <row r="2046">
      <c r="A2046" t="inlineStr">
        <is>
          <t xml:space="preserve">DSP Mutual Fund</t>
        </is>
      </c>
      <c r="B2046" t="inlineStr">
        <is>
          <t xml:space="preserve">DSP 10Y G-Sec Fund - Regular Plan - IDCW - Quarterly</t>
        </is>
      </c>
      <c r="C2046" t="inlineStr">
        <is>
          <t xml:space="preserve">INF740K017I9</t>
        </is>
      </c>
    </row>
    <row r="2047">
      <c r="A2047" t="inlineStr">
        <is>
          <t xml:space="preserve">DSP Mutual Fund</t>
        </is>
      </c>
      <c r="B2047" t="inlineStr">
        <is>
          <t xml:space="preserve">DSP Aggressive Hybrid Fund - Direct Plan - Growth</t>
        </is>
      </c>
      <c r="C2047" t="inlineStr">
        <is>
          <t xml:space="preserve">INF740K01NY4</t>
        </is>
      </c>
    </row>
    <row r="2048">
      <c r="A2048" t="inlineStr">
        <is>
          <t xml:space="preserve">DSP Mutual Fund</t>
        </is>
      </c>
      <c r="B2048" t="inlineStr">
        <is>
          <t xml:space="preserve">DSP Aggressive Hybrid Fund - Direct Plan - IDCW</t>
        </is>
      </c>
      <c r="C2048" t="inlineStr">
        <is>
          <t xml:space="preserve">INF740K01NZ1</t>
        </is>
      </c>
    </row>
    <row r="2049">
      <c r="A2049" t="inlineStr">
        <is>
          <t xml:space="preserve">DSP Mutual Fund</t>
        </is>
      </c>
      <c r="B2049" t="inlineStr">
        <is>
          <t xml:space="preserve">DSP Aggressive Hybrid Fund- Regular Plan - Growth</t>
        </is>
      </c>
      <c r="C2049" t="inlineStr">
        <is>
          <t xml:space="preserve">INF740K01318</t>
        </is>
      </c>
    </row>
    <row r="2050">
      <c r="A2050" t="inlineStr">
        <is>
          <t xml:space="preserve">DSP Mutual Fund</t>
        </is>
      </c>
      <c r="B2050" t="inlineStr">
        <is>
          <t xml:space="preserve">DSP Aggressive Hybrid Fund- Regular Plan - IDCW</t>
        </is>
      </c>
      <c r="C2050" t="inlineStr">
        <is>
          <t xml:space="preserve">INF740K01326</t>
        </is>
      </c>
    </row>
    <row r="2051">
      <c r="A2051" t="inlineStr">
        <is>
          <t xml:space="preserve">DSP Mutual Fund</t>
        </is>
      </c>
      <c r="B2051" t="inlineStr">
        <is>
          <t xml:space="preserve">DSP Arbitrage Fund - Direct - Growth</t>
        </is>
      </c>
      <c r="C2051" t="inlineStr">
        <is>
          <t xml:space="preserve">INF740KA1DN4</t>
        </is>
      </c>
    </row>
    <row r="2052">
      <c r="A2052" t="inlineStr">
        <is>
          <t xml:space="preserve">DSP Mutual Fund</t>
        </is>
      </c>
      <c r="B2052" t="inlineStr">
        <is>
          <t xml:space="preserve">DSP Arbitrage Fund - Direct - IDCW</t>
        </is>
      </c>
      <c r="C2052" t="inlineStr">
        <is>
          <t xml:space="preserve">INF740KA1DO2</t>
        </is>
      </c>
    </row>
    <row r="2053">
      <c r="A2053" t="inlineStr">
        <is>
          <t xml:space="preserve">DSP Mutual Fund</t>
        </is>
      </c>
      <c r="B2053" t="inlineStr">
        <is>
          <t xml:space="preserve">DSP Arbitrage Fund - Direct - IDCW - Monthly</t>
        </is>
      </c>
      <c r="C2053" t="inlineStr">
        <is>
          <t xml:space="preserve">INF740KA1DQ7</t>
        </is>
      </c>
    </row>
    <row r="2054">
      <c r="A2054" t="inlineStr">
        <is>
          <t xml:space="preserve">DSP Mutual Fund</t>
        </is>
      </c>
      <c r="B2054" t="inlineStr">
        <is>
          <t xml:space="preserve">DSP Arbitrage Fund - Regular - Growth</t>
        </is>
      </c>
      <c r="C2054" t="inlineStr">
        <is>
          <t xml:space="preserve">INF740KA1DI4</t>
        </is>
      </c>
    </row>
    <row r="2055">
      <c r="A2055" t="inlineStr">
        <is>
          <t xml:space="preserve">DSP Mutual Fund</t>
        </is>
      </c>
      <c r="B2055" t="inlineStr">
        <is>
          <t xml:space="preserve">DSP Arbitrage Fund - Regular - IDCW</t>
        </is>
      </c>
      <c r="C2055" t="inlineStr">
        <is>
          <t xml:space="preserve">INF740KA1DJ2</t>
        </is>
      </c>
    </row>
    <row r="2056">
      <c r="A2056" t="inlineStr">
        <is>
          <t xml:space="preserve">DSP Mutual Fund</t>
        </is>
      </c>
      <c r="B2056" t="inlineStr">
        <is>
          <t xml:space="preserve">DSP Arbitrage Fund - Regular - IDCW - Monthly</t>
        </is>
      </c>
      <c r="C2056" t="inlineStr">
        <is>
          <t xml:space="preserve">INF740KA1DL8</t>
        </is>
      </c>
    </row>
    <row r="2057">
      <c r="A2057" t="inlineStr">
        <is>
          <t xml:space="preserve">DSP Mutual Fund</t>
        </is>
      </c>
      <c r="B2057" t="inlineStr">
        <is>
          <t xml:space="preserve">DSP Banking &amp; Financial Services Fund - Direct - Growth</t>
        </is>
      </c>
      <c r="C2057" t="inlineStr">
        <is>
          <t xml:space="preserve">INF740KA1TQ3</t>
        </is>
      </c>
    </row>
    <row r="2058">
      <c r="A2058" t="inlineStr">
        <is>
          <t xml:space="preserve">DSP Mutual Fund</t>
        </is>
      </c>
      <c r="B2058" t="inlineStr">
        <is>
          <t xml:space="preserve">DSP Banking &amp; Financial Services Fund - Direct - IDCW</t>
        </is>
      </c>
      <c r="C2058" t="inlineStr">
        <is>
          <t xml:space="preserve">INF740KA1TR1</t>
        </is>
      </c>
    </row>
    <row r="2059">
      <c r="A2059" t="inlineStr">
        <is>
          <t xml:space="preserve">DSP Mutual Fund</t>
        </is>
      </c>
      <c r="B2059" t="inlineStr">
        <is>
          <t xml:space="preserve">DSP Banking &amp; Financial Services Fund - Regular - Growth</t>
        </is>
      </c>
      <c r="C2059" t="inlineStr">
        <is>
          <t xml:space="preserve">INF740KA1TN0</t>
        </is>
      </c>
    </row>
    <row r="2060">
      <c r="A2060" t="inlineStr">
        <is>
          <t xml:space="preserve">DSP Mutual Fund</t>
        </is>
      </c>
      <c r="B2060" t="inlineStr">
        <is>
          <t xml:space="preserve">DSP Banking &amp; Financial Services Fund - Regular - IDCW</t>
        </is>
      </c>
      <c r="C2060" t="inlineStr">
        <is>
          <t xml:space="preserve">INF740KA1TO8</t>
        </is>
      </c>
    </row>
    <row r="2061">
      <c r="A2061" t="inlineStr">
        <is>
          <t xml:space="preserve">DSP Mutual Fund</t>
        </is>
      </c>
      <c r="B2061" t="inlineStr">
        <is>
          <t xml:space="preserve">DSP Banking &amp; PSU Debt Fund - Direct Plan - Growth</t>
        </is>
      </c>
      <c r="C2061" t="inlineStr">
        <is>
          <t xml:space="preserve">INF740K01ZW2</t>
        </is>
      </c>
    </row>
    <row r="2062">
      <c r="A2062" t="inlineStr">
        <is>
          <t xml:space="preserve">DSP Mutual Fund</t>
        </is>
      </c>
      <c r="B2062" t="inlineStr">
        <is>
          <t xml:space="preserve">DSP Banking &amp; PSU Debt Fund - Direct Plan - IDCW</t>
        </is>
      </c>
      <c r="C2062" t="inlineStr">
        <is>
          <t xml:space="preserve">INF740K01A18</t>
        </is>
      </c>
    </row>
    <row r="2063">
      <c r="A2063" t="inlineStr">
        <is>
          <t xml:space="preserve">DSP Mutual Fund</t>
        </is>
      </c>
      <c r="B2063" t="inlineStr">
        <is>
          <t xml:space="preserve">DSP Banking &amp; PSU Debt Fund - Direct Plan - IDCW - Daily Reinvest</t>
        </is>
      </c>
      <c r="C2063" t="inlineStr">
        <is>
          <t xml:space="preserve">INF740KA1OF7</t>
        </is>
      </c>
    </row>
    <row r="2064">
      <c r="A2064" t="inlineStr">
        <is>
          <t xml:space="preserve">DSP Mutual Fund</t>
        </is>
      </c>
      <c r="B2064" t="inlineStr">
        <is>
          <t xml:space="preserve">DSP Banking &amp; PSU Debt Fund - Direct Plan - IDCW - Monthly</t>
        </is>
      </c>
      <c r="C2064" t="inlineStr">
        <is>
          <t xml:space="preserve">INF740K01ZX0</t>
        </is>
      </c>
    </row>
    <row r="2065">
      <c r="A2065" t="inlineStr">
        <is>
          <t xml:space="preserve">DSP Mutual Fund</t>
        </is>
      </c>
      <c r="B2065" t="inlineStr">
        <is>
          <t xml:space="preserve">DSP Banking &amp; PSU Debt Fund - Direct Plan - IDCW - Quarterly</t>
        </is>
      </c>
      <c r="C2065" t="inlineStr">
        <is>
          <t xml:space="preserve">INF740K01ZZ5</t>
        </is>
      </c>
    </row>
    <row r="2066">
      <c r="A2066" t="inlineStr">
        <is>
          <t xml:space="preserve">DSP Mutual Fund</t>
        </is>
      </c>
      <c r="B2066" t="inlineStr">
        <is>
          <t xml:space="preserve">DSP Banking &amp; PSU Debt Fund - Direct Plan - IDCW - Weekly</t>
        </is>
      </c>
      <c r="C2066" t="inlineStr">
        <is>
          <t xml:space="preserve">INF740KA1OG5</t>
        </is>
      </c>
    </row>
    <row r="2067">
      <c r="A2067" t="inlineStr">
        <is>
          <t xml:space="preserve">DSP Mutual Fund</t>
        </is>
      </c>
      <c r="B2067" t="inlineStr">
        <is>
          <t xml:space="preserve">DSP Banking &amp; PSU Debt Fund - Regular Plan - Growth</t>
        </is>
      </c>
      <c r="C2067" t="inlineStr">
        <is>
          <t xml:space="preserve">INF740K01ZP6</t>
        </is>
      </c>
    </row>
    <row r="2068">
      <c r="A2068" t="inlineStr">
        <is>
          <t xml:space="preserve">DSP Mutual Fund</t>
        </is>
      </c>
      <c r="B2068" t="inlineStr">
        <is>
          <t xml:space="preserve">DSP Banking &amp; PSU Debt Fund - Regular Plan - IDCW</t>
        </is>
      </c>
      <c r="C2068" t="inlineStr">
        <is>
          <t xml:space="preserve">INF740K01ZU6</t>
        </is>
      </c>
    </row>
    <row r="2069">
      <c r="A2069" t="inlineStr">
        <is>
          <t xml:space="preserve">DSP Mutual Fund</t>
        </is>
      </c>
      <c r="B2069" t="inlineStr">
        <is>
          <t xml:space="preserve">DSP Banking &amp; PSU Debt Fund - Regular Plan - IDCW - Daily Reinvest</t>
        </is>
      </c>
      <c r="C2069" t="inlineStr">
        <is>
          <t xml:space="preserve">INF740KA1OI1</t>
        </is>
      </c>
    </row>
    <row r="2070">
      <c r="A2070" t="inlineStr">
        <is>
          <t xml:space="preserve">DSP Mutual Fund</t>
        </is>
      </c>
      <c r="B2070" t="inlineStr">
        <is>
          <t xml:space="preserve">DSP Banking &amp; PSU Debt Fund - Regular Plan - IDCW - Monthly</t>
        </is>
      </c>
      <c r="C2070" t="inlineStr">
        <is>
          <t xml:space="preserve">INF740K01ZQ4</t>
        </is>
      </c>
    </row>
    <row r="2071">
      <c r="A2071" t="inlineStr">
        <is>
          <t xml:space="preserve">DSP Mutual Fund</t>
        </is>
      </c>
      <c r="B2071" t="inlineStr">
        <is>
          <t xml:space="preserve">DSP Banking &amp; PSU Debt Fund - Regular Plan - IDCW - Quarterly</t>
        </is>
      </c>
      <c r="C2071" t="inlineStr">
        <is>
          <t xml:space="preserve">INF740K01ZS0</t>
        </is>
      </c>
    </row>
    <row r="2072">
      <c r="A2072" t="inlineStr">
        <is>
          <t xml:space="preserve">DSP Mutual Fund</t>
        </is>
      </c>
      <c r="B2072" t="inlineStr">
        <is>
          <t xml:space="preserve">DSP Banking &amp; PSU Debt Fund - Regular Plan - IDCW - Weekly</t>
        </is>
      </c>
      <c r="C2072" t="inlineStr">
        <is>
          <t xml:space="preserve">INF740KA1OJ9</t>
        </is>
      </c>
    </row>
    <row r="2073">
      <c r="A2073" t="inlineStr">
        <is>
          <t xml:space="preserve">DSP Mutual Fund</t>
        </is>
      </c>
      <c r="B2073" t="inlineStr">
        <is>
          <t xml:space="preserve">DSP Bond Fund - Direct Plan - Growth</t>
        </is>
      </c>
      <c r="C2073" t="inlineStr">
        <is>
          <t xml:space="preserve">INF740K01MZ3</t>
        </is>
      </c>
    </row>
    <row r="2074">
      <c r="A2074" t="inlineStr">
        <is>
          <t xml:space="preserve">DSP Mutual Fund</t>
        </is>
      </c>
      <c r="B2074" t="inlineStr">
        <is>
          <t xml:space="preserve">DSP Bond Fund - Direct Plan - IDCW</t>
        </is>
      </c>
      <c r="C2074" t="inlineStr">
        <is>
          <t xml:space="preserve">INF740K01NB2</t>
        </is>
      </c>
    </row>
    <row r="2075">
      <c r="A2075" t="inlineStr">
        <is>
          <t xml:space="preserve">DSP Mutual Fund</t>
        </is>
      </c>
      <c r="B2075" t="inlineStr">
        <is>
          <t xml:space="preserve">DSP Bond Fund - Direct Plan - IDCW - Monthly</t>
        </is>
      </c>
      <c r="C2075" t="inlineStr">
        <is>
          <t xml:space="preserve">INF740K01NA4</t>
        </is>
      </c>
    </row>
    <row r="2076">
      <c r="A2076" t="inlineStr">
        <is>
          <t xml:space="preserve">DSP Mutual Fund</t>
        </is>
      </c>
      <c r="B2076" t="inlineStr">
        <is>
          <t xml:space="preserve">DSP Bond Fund - Growth</t>
        </is>
      </c>
      <c r="C2076" t="inlineStr">
        <is>
          <t xml:space="preserve">INF740K01557</t>
        </is>
      </c>
    </row>
    <row r="2077">
      <c r="A2077" t="inlineStr">
        <is>
          <t xml:space="preserve">DSP Mutual Fund</t>
        </is>
      </c>
      <c r="B2077" t="inlineStr">
        <is>
          <t xml:space="preserve">DSP Bond Fund - IDCW</t>
        </is>
      </c>
      <c r="C2077" t="inlineStr">
        <is>
          <t xml:space="preserve">INF740K01565</t>
        </is>
      </c>
    </row>
    <row r="2078">
      <c r="A2078" t="inlineStr">
        <is>
          <t xml:space="preserve">DSP Mutual Fund</t>
        </is>
      </c>
      <c r="B2078" t="inlineStr">
        <is>
          <t xml:space="preserve">DSP Bond Fund - IDCW - Monthly</t>
        </is>
      </c>
      <c r="C2078" t="inlineStr">
        <is>
          <t xml:space="preserve">INF740K01573</t>
        </is>
      </c>
    </row>
    <row r="2079">
      <c r="A2079" t="inlineStr">
        <is>
          <t xml:space="preserve">DSP Mutual Fund</t>
        </is>
      </c>
      <c r="B2079" t="inlineStr">
        <is>
          <t xml:space="preserve">DSP BSE Liquid Rate ETF</t>
        </is>
      </c>
      <c r="C2079" t="inlineStr">
        <is>
          <t xml:space="preserve">INF740KA1UM0</t>
        </is>
      </c>
    </row>
    <row r="2080">
      <c r="A2080" t="inlineStr">
        <is>
          <t xml:space="preserve">DSP Mutual Fund</t>
        </is>
      </c>
      <c r="B2080" t="inlineStr">
        <is>
          <t xml:space="preserve">DSP BSE Sensex ETF</t>
        </is>
      </c>
      <c r="C2080" t="inlineStr">
        <is>
          <t xml:space="preserve">INF740KA1SZ6</t>
        </is>
      </c>
    </row>
    <row r="2081">
      <c r="A2081" t="inlineStr">
        <is>
          <t xml:space="preserve">DSP Mutual Fund</t>
        </is>
      </c>
      <c r="B2081" t="inlineStr">
        <is>
          <t xml:space="preserve">DSP BSE SENSEX Next 30 ETF</t>
        </is>
      </c>
      <c r="C2081" t="inlineStr">
        <is>
          <t xml:space="preserve">INF740KA1VE5</t>
        </is>
      </c>
    </row>
    <row r="2082">
      <c r="A2082" t="inlineStr">
        <is>
          <t xml:space="preserve">DSP Mutual Fund</t>
        </is>
      </c>
      <c r="B2082" t="inlineStr">
        <is>
          <t xml:space="preserve">DSP BSE SENSEX Next 30 Index Fund - Direct - Growth</t>
        </is>
      </c>
      <c r="C2082" t="inlineStr">
        <is>
          <t xml:space="preserve">INF740KA1VB1</t>
        </is>
      </c>
    </row>
    <row r="2083">
      <c r="A2083" t="inlineStr">
        <is>
          <t xml:space="preserve">DSP Mutual Fund</t>
        </is>
      </c>
      <c r="B2083" t="inlineStr">
        <is>
          <t xml:space="preserve">DSP BSE SENSEX Next 30 Index Fund - Direct - IDCW</t>
        </is>
      </c>
      <c r="C2083" t="inlineStr">
        <is>
          <t xml:space="preserve">INF740KA1VC9</t>
        </is>
      </c>
    </row>
    <row r="2084">
      <c r="A2084" t="inlineStr">
        <is>
          <t xml:space="preserve">DSP Mutual Fund</t>
        </is>
      </c>
      <c r="B2084" t="inlineStr">
        <is>
          <t xml:space="preserve">DSP BSE SENSEX Next 30 Index Fund - Regular - Growth</t>
        </is>
      </c>
      <c r="C2084" t="inlineStr">
        <is>
          <t xml:space="preserve">INF740KA1UY5</t>
        </is>
      </c>
    </row>
    <row r="2085">
      <c r="A2085" t="inlineStr">
        <is>
          <t xml:space="preserve">DSP Mutual Fund</t>
        </is>
      </c>
      <c r="B2085" t="inlineStr">
        <is>
          <t xml:space="preserve">DSP BSE SENSEX Next 30 Index Fund - Regular - IDCW</t>
        </is>
      </c>
      <c r="C2085" t="inlineStr">
        <is>
          <t xml:space="preserve">INF740KA1UZ2</t>
        </is>
      </c>
    </row>
    <row r="2086">
      <c r="A2086" t="inlineStr">
        <is>
          <t xml:space="preserve">DSP Mutual Fund</t>
        </is>
      </c>
      <c r="B2086" t="inlineStr">
        <is>
          <t xml:space="preserve">DSP BSE Top 10 Banks ETF</t>
        </is>
      </c>
      <c r="C2086" t="inlineStr">
        <is>
          <t xml:space="preserve">INF740KA1YH2</t>
        </is>
      </c>
    </row>
    <row r="2087">
      <c r="A2087" t="inlineStr">
        <is>
          <t xml:space="preserve">DSP Mutual Fund</t>
        </is>
      </c>
      <c r="B2087" t="inlineStr">
        <is>
          <t xml:space="preserve">DSP Business Cycle Fund - Direct - Growth</t>
        </is>
      </c>
      <c r="C2087" t="inlineStr">
        <is>
          <t xml:space="preserve">INF740KA1UX7</t>
        </is>
      </c>
    </row>
    <row r="2088">
      <c r="A2088" t="inlineStr">
        <is>
          <t xml:space="preserve">DSP Mutual Fund</t>
        </is>
      </c>
      <c r="B2088" t="inlineStr">
        <is>
          <t xml:space="preserve">DSP Business Cycle Fund - Direct - IDCW</t>
        </is>
      </c>
      <c r="C2088" t="inlineStr">
        <is>
          <t xml:space="preserve">INF740KA1UV1</t>
        </is>
      </c>
    </row>
    <row r="2089">
      <c r="A2089" t="inlineStr">
        <is>
          <t xml:space="preserve">DSP Mutual Fund</t>
        </is>
      </c>
      <c r="B2089" t="inlineStr">
        <is>
          <t xml:space="preserve">DSP Business Cycle Fund - Regular - Growth</t>
        </is>
      </c>
      <c r="C2089" t="inlineStr">
        <is>
          <t xml:space="preserve">INF740KA1US7</t>
        </is>
      </c>
    </row>
    <row r="2090">
      <c r="A2090" t="inlineStr">
        <is>
          <t xml:space="preserve">DSP Mutual Fund</t>
        </is>
      </c>
      <c r="B2090" t="inlineStr">
        <is>
          <t xml:space="preserve">DSP Business Cycle Fund - Regular - IDCW</t>
        </is>
      </c>
      <c r="C2090" t="inlineStr">
        <is>
          <t xml:space="preserve">INF740KA1UT5</t>
        </is>
      </c>
    </row>
    <row r="2091">
      <c r="A2091" t="inlineStr">
        <is>
          <t xml:space="preserve">DSP Mutual Fund</t>
        </is>
      </c>
      <c r="B2091" t="inlineStr">
        <is>
          <t xml:space="preserve">DSP Corporate Bond Fund - Direct - Growth</t>
        </is>
      </c>
      <c r="C2091" t="inlineStr">
        <is>
          <t xml:space="preserve">INF740KA1KE8</t>
        </is>
      </c>
    </row>
    <row r="2092">
      <c r="A2092" t="inlineStr">
        <is>
          <t xml:space="preserve">DSP Mutual Fund</t>
        </is>
      </c>
      <c r="B2092" t="inlineStr">
        <is>
          <t xml:space="preserve">DSP Corporate Bond Fund - Direct - IDCW</t>
        </is>
      </c>
      <c r="C2092" t="inlineStr">
        <is>
          <t xml:space="preserve">INF740KA1KF5</t>
        </is>
      </c>
    </row>
    <row r="2093">
      <c r="A2093" t="inlineStr">
        <is>
          <t xml:space="preserve">DSP Mutual Fund</t>
        </is>
      </c>
      <c r="B2093" t="inlineStr">
        <is>
          <t xml:space="preserve">DSP Corporate Bond Fund - Direct - IDCW - Monthly</t>
        </is>
      </c>
      <c r="C2093" t="inlineStr">
        <is>
          <t xml:space="preserve">INF740KA1KH1</t>
        </is>
      </c>
    </row>
    <row r="2094">
      <c r="A2094" t="inlineStr">
        <is>
          <t xml:space="preserve">DSP Mutual Fund</t>
        </is>
      </c>
      <c r="B2094" t="inlineStr">
        <is>
          <t xml:space="preserve">DSP Corporate Bond Fund - Direct - IDCW - Quarterly</t>
        </is>
      </c>
      <c r="C2094" t="inlineStr">
        <is>
          <t xml:space="preserve">INF740KA1KJ7</t>
        </is>
      </c>
    </row>
    <row r="2095">
      <c r="A2095" t="inlineStr">
        <is>
          <t xml:space="preserve">DSP Mutual Fund</t>
        </is>
      </c>
      <c r="B2095" t="inlineStr">
        <is>
          <t xml:space="preserve">DSP Corporate Bond Fund - Regular - Growth</t>
        </is>
      </c>
      <c r="C2095" t="inlineStr">
        <is>
          <t xml:space="preserve">INF740KA1JX0</t>
        </is>
      </c>
    </row>
    <row r="2096">
      <c r="A2096" t="inlineStr">
        <is>
          <t xml:space="preserve">DSP Mutual Fund</t>
        </is>
      </c>
      <c r="B2096" t="inlineStr">
        <is>
          <t xml:space="preserve">DSP Corporate Bond Fund - Regular - IDCW</t>
        </is>
      </c>
      <c r="C2096" t="inlineStr">
        <is>
          <t xml:space="preserve">INF740KA1JY8</t>
        </is>
      </c>
    </row>
    <row r="2097">
      <c r="A2097" t="inlineStr">
        <is>
          <t xml:space="preserve">DSP Mutual Fund</t>
        </is>
      </c>
      <c r="B2097" t="inlineStr">
        <is>
          <t xml:space="preserve">DSP Corporate Bond Fund - Regular - IDCW - Monthly</t>
        </is>
      </c>
      <c r="C2097" t="inlineStr">
        <is>
          <t xml:space="preserve">INF740KA1KA6</t>
        </is>
      </c>
    </row>
    <row r="2098">
      <c r="A2098" t="inlineStr">
        <is>
          <t xml:space="preserve">DSP Mutual Fund</t>
        </is>
      </c>
      <c r="B2098" t="inlineStr">
        <is>
          <t xml:space="preserve">DSP Corporate Bond Fund - Regular - IDCW - Quarterly</t>
        </is>
      </c>
      <c r="C2098" t="inlineStr">
        <is>
          <t xml:space="preserve">INF740KA1KC2</t>
        </is>
      </c>
    </row>
    <row r="2099">
      <c r="A2099" t="inlineStr">
        <is>
          <t xml:space="preserve">DSP Mutual Fund</t>
        </is>
      </c>
      <c r="B2099" t="inlineStr">
        <is>
          <t xml:space="preserve">DSP Credit Risk Fund - Direct Plan -  IDCW - Monthly</t>
        </is>
      </c>
      <c r="C2099" t="inlineStr">
        <is>
          <t xml:space="preserve">INF740K01OV8</t>
        </is>
      </c>
    </row>
    <row r="2100">
      <c r="A2100" t="inlineStr">
        <is>
          <t xml:space="preserve">DSP Mutual Fund</t>
        </is>
      </c>
      <c r="B2100" t="inlineStr">
        <is>
          <t xml:space="preserve">DSP Credit Risk Fund - Direct Plan - Growth</t>
        </is>
      </c>
      <c r="C2100" t="inlineStr">
        <is>
          <t xml:space="preserve">INF740K01OS4</t>
        </is>
      </c>
    </row>
    <row r="2101">
      <c r="A2101" t="inlineStr">
        <is>
          <t xml:space="preserve">DSP Mutual Fund</t>
        </is>
      </c>
      <c r="B2101" t="inlineStr">
        <is>
          <t xml:space="preserve">DSP Credit Risk Fund - Direct Plan - IDCW</t>
        </is>
      </c>
      <c r="C2101" t="inlineStr">
        <is>
          <t xml:space="preserve">INF740K01OT2</t>
        </is>
      </c>
    </row>
    <row r="2102">
      <c r="A2102" t="inlineStr">
        <is>
          <t xml:space="preserve">DSP Mutual Fund</t>
        </is>
      </c>
      <c r="B2102" t="inlineStr">
        <is>
          <t xml:space="preserve">DSP Credit Risk Fund - Direct Plan - IDCW - Daily</t>
        </is>
      </c>
      <c r="C2102" t="inlineStr">
        <is>
          <t xml:space="preserve">INF740KA1NX2</t>
        </is>
      </c>
    </row>
    <row r="2103">
      <c r="A2103" t="inlineStr">
        <is>
          <t xml:space="preserve">DSP Mutual Fund</t>
        </is>
      </c>
      <c r="B2103" t="inlineStr">
        <is>
          <t xml:space="preserve">DSP Credit Risk Fund - Direct Plan - IDCW - Quarterly</t>
        </is>
      </c>
      <c r="C2103" t="inlineStr">
        <is>
          <t xml:space="preserve">INF740K01OX4</t>
        </is>
      </c>
    </row>
    <row r="2104">
      <c r="A2104" t="inlineStr">
        <is>
          <t xml:space="preserve">DSP Mutual Fund</t>
        </is>
      </c>
      <c r="B2104" t="inlineStr">
        <is>
          <t xml:space="preserve">DSP Credit Risk Fund - Direct Plan - IDCW - Weekly</t>
        </is>
      </c>
      <c r="C2104" t="inlineStr">
        <is>
          <t xml:space="preserve">INF740KA1NY0</t>
        </is>
      </c>
    </row>
    <row r="2105">
      <c r="A2105" t="inlineStr">
        <is>
          <t xml:space="preserve">DSP Mutual Fund</t>
        </is>
      </c>
      <c r="B2105" t="inlineStr">
        <is>
          <t xml:space="preserve">DSP Credit Risk Fund - Regular Plan - IDCW</t>
        </is>
      </c>
      <c r="C2105" t="inlineStr">
        <is>
          <t xml:space="preserve">INF740K01581</t>
        </is>
      </c>
    </row>
    <row r="2106">
      <c r="A2106" t="inlineStr">
        <is>
          <t xml:space="preserve">DSP Mutual Fund</t>
        </is>
      </c>
      <c r="B2106" t="inlineStr">
        <is>
          <t xml:space="preserve">DSP Credit Risk Fund - Regular Plan - IDCW - Daily</t>
        </is>
      </c>
      <c r="C2106" t="inlineStr">
        <is>
          <t xml:space="preserve">INF740KA1OA8</t>
        </is>
      </c>
    </row>
    <row r="2107">
      <c r="A2107" t="inlineStr">
        <is>
          <t xml:space="preserve">DSP Mutual Fund</t>
        </is>
      </c>
      <c r="B2107" t="inlineStr">
        <is>
          <t xml:space="preserve">DSP Credit Risk Fund - Regular Plan - IDCW - Monthly</t>
        </is>
      </c>
      <c r="C2107" t="inlineStr">
        <is>
          <t xml:space="preserve">INF740K01JW6</t>
        </is>
      </c>
    </row>
    <row r="2108">
      <c r="A2108" t="inlineStr">
        <is>
          <t xml:space="preserve">DSP Mutual Fund</t>
        </is>
      </c>
      <c r="B2108" t="inlineStr">
        <is>
          <t xml:space="preserve">DSP Credit Risk Fund - Regular Plan - IDCW - Quarterly</t>
        </is>
      </c>
      <c r="C2108" t="inlineStr">
        <is>
          <t xml:space="preserve">INF740K01JY2</t>
        </is>
      </c>
    </row>
    <row r="2109">
      <c r="A2109" t="inlineStr">
        <is>
          <t xml:space="preserve">DSP Mutual Fund</t>
        </is>
      </c>
      <c r="B2109" t="inlineStr">
        <is>
          <t xml:space="preserve">DSP Credit Risk Fund - Regular Plan - IDCW - Weekly</t>
        </is>
      </c>
      <c r="C2109" t="inlineStr">
        <is>
          <t xml:space="preserve">INF740K01FR4</t>
        </is>
      </c>
    </row>
    <row r="2110">
      <c r="A2110" t="inlineStr">
        <is>
          <t xml:space="preserve">DSP Mutual Fund</t>
        </is>
      </c>
      <c r="B2110" t="inlineStr">
        <is>
          <t xml:space="preserve">DSP Credit Risk Fund - Regular Plan -Growth</t>
        </is>
      </c>
      <c r="C2110" t="inlineStr">
        <is>
          <t xml:space="preserve">INF740K01599</t>
        </is>
      </c>
    </row>
    <row r="2111">
      <c r="A2111" t="inlineStr">
        <is>
          <t xml:space="preserve">DSP Mutual Fund</t>
        </is>
      </c>
      <c r="B2111" t="inlineStr">
        <is>
          <t xml:space="preserve">DSP CRISIL-IBX 50:50 Gilt Plus SDL - April 2033 Index Fund - Direct - Growth</t>
        </is>
      </c>
      <c r="C2111" t="inlineStr">
        <is>
          <t xml:space="preserve">INF740KA1SB7</t>
        </is>
      </c>
    </row>
    <row r="2112">
      <c r="A2112" t="inlineStr">
        <is>
          <t xml:space="preserve">DSP Mutual Fund</t>
        </is>
      </c>
      <c r="B2112" t="inlineStr">
        <is>
          <t xml:space="preserve">DSP CRISIL-IBX 50:50 Gilt Plus SDL - April 2033 Index Fund - Direct - IDCW</t>
        </is>
      </c>
      <c r="C2112" t="inlineStr">
        <is>
          <t xml:space="preserve">INF740KA1SC5</t>
        </is>
      </c>
    </row>
    <row r="2113">
      <c r="A2113" t="inlineStr">
        <is>
          <t xml:space="preserve">DSP Mutual Fund</t>
        </is>
      </c>
      <c r="B2113" t="inlineStr">
        <is>
          <t xml:space="preserve">DSP CRISIL-IBX 50:50 Gilt Plus SDL - April 2033 Index Fund - Regular - Growth</t>
        </is>
      </c>
      <c r="C2113" t="inlineStr">
        <is>
          <t xml:space="preserve">INF740KA1RY1</t>
        </is>
      </c>
    </row>
    <row r="2114">
      <c r="A2114" t="inlineStr">
        <is>
          <t xml:space="preserve">DSP Mutual Fund</t>
        </is>
      </c>
      <c r="B2114" t="inlineStr">
        <is>
          <t xml:space="preserve">DSP CRISIL-IBX 50:50 Gilt Plus SDL - April 2033 Index Fund - Regular - IDCW</t>
        </is>
      </c>
      <c r="C2114" t="inlineStr">
        <is>
          <t xml:space="preserve">INF740KA1RZ8</t>
        </is>
      </c>
    </row>
    <row r="2115">
      <c r="A2115" t="inlineStr">
        <is>
          <t xml:space="preserve">DSP Mutual Fund</t>
        </is>
      </c>
      <c r="B2115" t="inlineStr">
        <is>
          <t xml:space="preserve">DSP Dynamic Asset Allocation Fund - Direct Plan - Growth</t>
        </is>
      </c>
      <c r="C2115" t="inlineStr">
        <is>
          <t xml:space="preserve">INF740K01K81</t>
        </is>
      </c>
    </row>
    <row r="2116">
      <c r="A2116" t="inlineStr">
        <is>
          <t xml:space="preserve">DSP Mutual Fund</t>
        </is>
      </c>
      <c r="B2116" t="inlineStr">
        <is>
          <t xml:space="preserve">DSP Dynamic Asset Allocation Fund - Direct Plan - IDCW - Monthly</t>
        </is>
      </c>
      <c r="C2116" t="inlineStr">
        <is>
          <t xml:space="preserve">INF740K01K99</t>
        </is>
      </c>
    </row>
    <row r="2117">
      <c r="A2117" t="inlineStr">
        <is>
          <t xml:space="preserve">DSP Mutual Fund</t>
        </is>
      </c>
      <c r="B2117" t="inlineStr">
        <is>
          <t xml:space="preserve">DSP Dynamic Asset Allocation Fund - Regular Plan - Growth</t>
        </is>
      </c>
      <c r="C2117" t="inlineStr">
        <is>
          <t xml:space="preserve">INF740K01K57</t>
        </is>
      </c>
    </row>
    <row r="2118">
      <c r="A2118" t="inlineStr">
        <is>
          <t xml:space="preserve">DSP Mutual Fund</t>
        </is>
      </c>
      <c r="B2118" t="inlineStr">
        <is>
          <t xml:space="preserve">DSP Dynamic Asset Allocation Fund - Regular Plan - IDCW - Monthly</t>
        </is>
      </c>
      <c r="C2118" t="inlineStr">
        <is>
          <t xml:space="preserve">INF740K01K65</t>
        </is>
      </c>
    </row>
    <row r="2119">
      <c r="A2119" t="inlineStr">
        <is>
          <t xml:space="preserve">DSP Mutual Fund</t>
        </is>
      </c>
      <c r="B2119" t="inlineStr">
        <is>
          <t xml:space="preserve">DSP ELSS Tax Saver Fund - Direct Plan - Growth</t>
        </is>
      </c>
      <c r="C2119" t="inlineStr">
        <is>
          <t xml:space="preserve">INF740K01OK1</t>
        </is>
      </c>
    </row>
    <row r="2120">
      <c r="A2120" t="inlineStr">
        <is>
          <t xml:space="preserve">DSP Mutual Fund</t>
        </is>
      </c>
      <c r="B2120" t="inlineStr">
        <is>
          <t xml:space="preserve">DSP ELSS Tax Saver Fund - Direct Plan - IDCW</t>
        </is>
      </c>
      <c r="C2120" t="inlineStr">
        <is>
          <t xml:space="preserve">INF740K01OL9</t>
        </is>
      </c>
    </row>
    <row r="2121">
      <c r="A2121" t="inlineStr">
        <is>
          <t xml:space="preserve">DSP Mutual Fund</t>
        </is>
      </c>
      <c r="B2121" t="inlineStr">
        <is>
          <t xml:space="preserve">DSP ELSS Tax Saver Fund - Regular Plan - Growth</t>
        </is>
      </c>
      <c r="C2121" t="inlineStr">
        <is>
          <t xml:space="preserve">INF740K01185</t>
        </is>
      </c>
    </row>
    <row r="2122">
      <c r="A2122" t="inlineStr">
        <is>
          <t xml:space="preserve">DSP Mutual Fund</t>
        </is>
      </c>
      <c r="B2122" t="inlineStr">
        <is>
          <t xml:space="preserve">DSP ELSS Tax Saver Fund - Regular Plan - IDCW</t>
        </is>
      </c>
      <c r="C2122" t="inlineStr">
        <is>
          <t xml:space="preserve">INF740K01169</t>
        </is>
      </c>
    </row>
    <row r="2123">
      <c r="A2123" t="inlineStr">
        <is>
          <t xml:space="preserve">DSP Mutual Fund</t>
        </is>
      </c>
      <c r="B2123" t="inlineStr">
        <is>
          <t xml:space="preserve">DSP Equity Savings Fund - Direct Plan - Growth</t>
        </is>
      </c>
      <c r="C2123" t="inlineStr">
        <is>
          <t xml:space="preserve">INF740KA1504</t>
        </is>
      </c>
    </row>
    <row r="2124">
      <c r="A2124" t="inlineStr">
        <is>
          <t xml:space="preserve">DSP Mutual Fund</t>
        </is>
      </c>
      <c r="B2124" t="inlineStr">
        <is>
          <t xml:space="preserve">DSP Equity Savings Fund - Direct Plan - IDCW</t>
        </is>
      </c>
      <c r="C2124" t="inlineStr">
        <is>
          <t xml:space="preserve">INF740KA1512</t>
        </is>
      </c>
    </row>
    <row r="2125">
      <c r="A2125" t="inlineStr">
        <is>
          <t xml:space="preserve">DSP Mutual Fund</t>
        </is>
      </c>
      <c r="B2125" t="inlineStr">
        <is>
          <t xml:space="preserve">DSP Equity Savings Fund - Direct Plan - IDCW - Monthly</t>
        </is>
      </c>
      <c r="C2125" t="inlineStr">
        <is>
          <t xml:space="preserve">INF740KA1538</t>
        </is>
      </c>
    </row>
    <row r="2126">
      <c r="A2126" t="inlineStr">
        <is>
          <t xml:space="preserve">DSP Mutual Fund</t>
        </is>
      </c>
      <c r="B2126" t="inlineStr">
        <is>
          <t xml:space="preserve">DSP Equity Savings Fund - Direct Plan - IDCW - Quarterly</t>
        </is>
      </c>
      <c r="C2126" t="inlineStr">
        <is>
          <t xml:space="preserve">INF740KA1553</t>
        </is>
      </c>
    </row>
    <row r="2127">
      <c r="A2127" t="inlineStr">
        <is>
          <t xml:space="preserve">DSP Mutual Fund</t>
        </is>
      </c>
      <c r="B2127" t="inlineStr">
        <is>
          <t xml:space="preserve">DSP Equity Savings Fund - Regular Plan - Growth</t>
        </is>
      </c>
      <c r="C2127" t="inlineStr">
        <is>
          <t xml:space="preserve">INF740KA1439</t>
        </is>
      </c>
    </row>
    <row r="2128">
      <c r="A2128" t="inlineStr">
        <is>
          <t xml:space="preserve">DSP Mutual Fund</t>
        </is>
      </c>
      <c r="B2128" t="inlineStr">
        <is>
          <t xml:space="preserve">DSP Equity Savings Fund - Regular Plan - IDCW</t>
        </is>
      </c>
      <c r="C2128" t="inlineStr">
        <is>
          <t xml:space="preserve">INF740KA1447</t>
        </is>
      </c>
    </row>
    <row r="2129">
      <c r="A2129" t="inlineStr">
        <is>
          <t xml:space="preserve">DSP Mutual Fund</t>
        </is>
      </c>
      <c r="B2129" t="inlineStr">
        <is>
          <t xml:space="preserve">DSP Equity Savings Fund - Regular Plan - IDCW - Monthly</t>
        </is>
      </c>
      <c r="C2129" t="inlineStr">
        <is>
          <t xml:space="preserve">INF740KA1462</t>
        </is>
      </c>
    </row>
    <row r="2130">
      <c r="A2130" t="inlineStr">
        <is>
          <t xml:space="preserve">DSP Mutual Fund</t>
        </is>
      </c>
      <c r="B2130" t="inlineStr">
        <is>
          <t xml:space="preserve">DSP Equity Savings Fund - Regular Plan - IDCW - Quarterly</t>
        </is>
      </c>
      <c r="C2130" t="inlineStr">
        <is>
          <t xml:space="preserve">INF740KA1488</t>
        </is>
      </c>
    </row>
    <row r="2131">
      <c r="A2131" t="inlineStr">
        <is>
          <t xml:space="preserve">DSP Mutual Fund</t>
        </is>
      </c>
      <c r="B2131" t="inlineStr">
        <is>
          <t xml:space="preserve">DSP Flexi Cap Fund - Direct Plan - Growth</t>
        </is>
      </c>
      <c r="C2131" t="inlineStr">
        <is>
          <t xml:space="preserve">INF740K01PI2</t>
        </is>
      </c>
    </row>
    <row r="2132">
      <c r="A2132" t="inlineStr">
        <is>
          <t xml:space="preserve">DSP Mutual Fund</t>
        </is>
      </c>
      <c r="B2132" t="inlineStr">
        <is>
          <t xml:space="preserve">DSP Flexi Cap Fund - Direct Plan - IDCW</t>
        </is>
      </c>
      <c r="C2132" t="inlineStr">
        <is>
          <t xml:space="preserve">INF740K01PJ0</t>
        </is>
      </c>
    </row>
    <row r="2133">
      <c r="A2133" t="inlineStr">
        <is>
          <t xml:space="preserve">DSP Mutual Fund</t>
        </is>
      </c>
      <c r="B2133" t="inlineStr">
        <is>
          <t xml:space="preserve">DSP Flexi Cap Fund - Regular Plan - Growth</t>
        </is>
      </c>
      <c r="C2133" t="inlineStr">
        <is>
          <t xml:space="preserve">INF740K01037</t>
        </is>
      </c>
    </row>
    <row r="2134">
      <c r="A2134" t="inlineStr">
        <is>
          <t xml:space="preserve">DSP Mutual Fund</t>
        </is>
      </c>
      <c r="B2134" t="inlineStr">
        <is>
          <t xml:space="preserve">DSP Flexi Cap Fund - Regular Plan - IDCW</t>
        </is>
      </c>
      <c r="C2134" t="inlineStr">
        <is>
          <t xml:space="preserve">INF740K01011</t>
        </is>
      </c>
    </row>
    <row r="2135">
      <c r="A2135" t="inlineStr">
        <is>
          <t xml:space="preserve">DSP Mutual Fund</t>
        </is>
      </c>
      <c r="B2135" t="inlineStr">
        <is>
          <t xml:space="preserve">DSP Floater Fund - Direct Plan - Growth</t>
        </is>
      </c>
      <c r="C2135" t="inlineStr">
        <is>
          <t xml:space="preserve">INF740KA1PV1</t>
        </is>
      </c>
    </row>
    <row r="2136">
      <c r="A2136" t="inlineStr">
        <is>
          <t xml:space="preserve">DSP Mutual Fund</t>
        </is>
      </c>
      <c r="B2136" t="inlineStr">
        <is>
          <t xml:space="preserve">DSP Floater Fund - Direct Plan - IDCW</t>
        </is>
      </c>
      <c r="C2136" t="inlineStr">
        <is>
          <t xml:space="preserve">INF740KA1PW9</t>
        </is>
      </c>
    </row>
    <row r="2137">
      <c r="A2137" t="inlineStr">
        <is>
          <t xml:space="preserve">DSP Mutual Fund</t>
        </is>
      </c>
      <c r="B2137" t="inlineStr">
        <is>
          <t xml:space="preserve">DSP Floater Fund - Regular Plan - Growth</t>
        </is>
      </c>
      <c r="C2137" t="inlineStr">
        <is>
          <t xml:space="preserve">INF740KA1PS7</t>
        </is>
      </c>
    </row>
    <row r="2138">
      <c r="A2138" t="inlineStr">
        <is>
          <t xml:space="preserve">DSP Mutual Fund</t>
        </is>
      </c>
      <c r="B2138" t="inlineStr">
        <is>
          <t xml:space="preserve">DSP Floater Fund - Regular Plan - IDCW</t>
        </is>
      </c>
      <c r="C2138" t="inlineStr">
        <is>
          <t xml:space="preserve">INF740KA1PT5</t>
        </is>
      </c>
    </row>
    <row r="2139">
      <c r="A2139" t="inlineStr">
        <is>
          <t xml:space="preserve">DSP Mutual Fund</t>
        </is>
      </c>
      <c r="B2139" t="inlineStr">
        <is>
          <t xml:space="preserve">DSP FMP Series - 264 - 60M - 17D - Direct - Growth</t>
        </is>
      </c>
      <c r="C2139" t="inlineStr">
        <is>
          <t xml:space="preserve">INF740KA1QH8</t>
        </is>
      </c>
    </row>
    <row r="2140">
      <c r="A2140" t="inlineStr">
        <is>
          <t xml:space="preserve">DSP Mutual Fund</t>
        </is>
      </c>
      <c r="B2140" t="inlineStr">
        <is>
          <t xml:space="preserve">DSP FMP Series - 264 - 60M - 17D - Direct - IDCW</t>
        </is>
      </c>
      <c r="C2140" t="inlineStr">
        <is>
          <t xml:space="preserve">INF740KA1QI6</t>
        </is>
      </c>
    </row>
    <row r="2141">
      <c r="A2141" t="inlineStr">
        <is>
          <t xml:space="preserve">DSP Mutual Fund</t>
        </is>
      </c>
      <c r="B2141" t="inlineStr">
        <is>
          <t xml:space="preserve">DSP FMP Series - 264 - 60M - 17D - Regular - IDCW</t>
        </is>
      </c>
      <c r="C2141" t="inlineStr">
        <is>
          <t xml:space="preserve">INF740KA1QF2</t>
        </is>
      </c>
    </row>
    <row r="2142">
      <c r="A2142" t="inlineStr">
        <is>
          <t xml:space="preserve">DSP Mutual Fund</t>
        </is>
      </c>
      <c r="B2142" t="inlineStr">
        <is>
          <t xml:space="preserve">DSP FMP Series - 264 - 60M - 17D - Regular Plan - Growth</t>
        </is>
      </c>
      <c r="C2142" t="inlineStr">
        <is>
          <t xml:space="preserve">INF740KA1QE5</t>
        </is>
      </c>
    </row>
    <row r="2143">
      <c r="A2143" t="inlineStr">
        <is>
          <t xml:space="preserve">DSP Mutual Fund</t>
        </is>
      </c>
      <c r="B2143" t="inlineStr">
        <is>
          <t xml:space="preserve">DSP FMP Series - 267 - 1172 Days - Direct - Growth</t>
        </is>
      </c>
      <c r="C2143" t="inlineStr">
        <is>
          <t xml:space="preserve">INF740KA1YL4</t>
        </is>
      </c>
    </row>
    <row r="2144">
      <c r="A2144" t="inlineStr">
        <is>
          <t xml:space="preserve">DSP Mutual Fund</t>
        </is>
      </c>
      <c r="B2144" t="inlineStr">
        <is>
          <t xml:space="preserve">DSP FMP Series - 267 - 1172 Days - Direct - IDCW</t>
        </is>
      </c>
      <c r="C2144" t="inlineStr">
        <is>
          <t xml:space="preserve">INF740KA1YM2</t>
        </is>
      </c>
    </row>
    <row r="2145">
      <c r="A2145" t="inlineStr">
        <is>
          <t xml:space="preserve">DSP Mutual Fund</t>
        </is>
      </c>
      <c r="B2145" t="inlineStr">
        <is>
          <t xml:space="preserve">DSP FMP Series - 267 - 1172 Days - Regular - Growth</t>
        </is>
      </c>
      <c r="C2145" t="inlineStr">
        <is>
          <t xml:space="preserve">INF740KA1YI0</t>
        </is>
      </c>
    </row>
    <row r="2146">
      <c r="A2146" t="inlineStr">
        <is>
          <t xml:space="preserve">DSP Mutual Fund</t>
        </is>
      </c>
      <c r="B2146" t="inlineStr">
        <is>
          <t xml:space="preserve">DSP FMP Series - 267 - 1172 Days - Regular - IDCW</t>
        </is>
      </c>
      <c r="C2146" t="inlineStr">
        <is>
          <t xml:space="preserve">INF740KA1YJ8</t>
        </is>
      </c>
    </row>
    <row r="2147">
      <c r="A2147" t="inlineStr">
        <is>
          <t xml:space="preserve">DSP Mutual Fund</t>
        </is>
      </c>
      <c r="B2147" t="inlineStr">
        <is>
          <t xml:space="preserve">DSP FMP Series - 268 - 1281 Days - Direct - Growth</t>
        </is>
      </c>
      <c r="C2147" t="inlineStr">
        <is>
          <t xml:space="preserve">INF740KA1RO2</t>
        </is>
      </c>
    </row>
    <row r="2148">
      <c r="A2148" t="inlineStr">
        <is>
          <t xml:space="preserve">DSP Mutual Fund</t>
        </is>
      </c>
      <c r="B2148" t="inlineStr">
        <is>
          <t xml:space="preserve">DSP FMP Series - 268 - 1281 Days - Direct - IDCW</t>
        </is>
      </c>
      <c r="C2148" t="inlineStr">
        <is>
          <t xml:space="preserve">INF740KA1RQ7</t>
        </is>
      </c>
    </row>
    <row r="2149">
      <c r="A2149" t="inlineStr">
        <is>
          <t xml:space="preserve">DSP Mutual Fund</t>
        </is>
      </c>
      <c r="B2149" t="inlineStr">
        <is>
          <t xml:space="preserve">DSP FMP Series - 268 - 1281 Days - Regular - Growth</t>
        </is>
      </c>
      <c r="C2149" t="inlineStr">
        <is>
          <t xml:space="preserve">INF740KA1RL8</t>
        </is>
      </c>
    </row>
    <row r="2150">
      <c r="A2150" t="inlineStr">
        <is>
          <t xml:space="preserve">DSP Mutual Fund</t>
        </is>
      </c>
      <c r="B2150" t="inlineStr">
        <is>
          <t xml:space="preserve">DSP FMP Series - 268 - 1281 Days - Regular - IDCW</t>
        </is>
      </c>
      <c r="C2150" t="inlineStr">
        <is>
          <t xml:space="preserve">INF740KA1RN4</t>
        </is>
      </c>
    </row>
    <row r="2151">
      <c r="A2151" t="inlineStr">
        <is>
          <t xml:space="preserve">DSP Mutual Fund</t>
        </is>
      </c>
      <c r="B2151" t="inlineStr">
        <is>
          <t xml:space="preserve">DSP FMP Series - 270 - 1172 Days - Direct - Growth</t>
        </is>
      </c>
      <c r="C2151" t="inlineStr">
        <is>
          <t xml:space="preserve">INF740KA1YR1</t>
        </is>
      </c>
    </row>
    <row r="2152">
      <c r="A2152" t="inlineStr">
        <is>
          <t xml:space="preserve">DSP Mutual Fund</t>
        </is>
      </c>
      <c r="B2152" t="inlineStr">
        <is>
          <t xml:space="preserve">DSP FMP Series - 270 - 1172 Days - Direct - IDCW</t>
        </is>
      </c>
      <c r="C2152" t="inlineStr">
        <is>
          <t xml:space="preserve">INF740KA1YS9</t>
        </is>
      </c>
    </row>
    <row r="2153">
      <c r="A2153" t="inlineStr">
        <is>
          <t xml:space="preserve">DSP Mutual Fund</t>
        </is>
      </c>
      <c r="B2153" t="inlineStr">
        <is>
          <t xml:space="preserve">DSP FMP Series - 270 - 1172 Days - Regular - Growth</t>
        </is>
      </c>
      <c r="C2153" t="inlineStr">
        <is>
          <t xml:space="preserve">INF740KA1YO8</t>
        </is>
      </c>
    </row>
    <row r="2154">
      <c r="A2154" t="inlineStr">
        <is>
          <t xml:space="preserve">DSP Mutual Fund</t>
        </is>
      </c>
      <c r="B2154" t="inlineStr">
        <is>
          <t xml:space="preserve">DSP FMP Series - 270 - 1172 Days - Regular - IDCW</t>
        </is>
      </c>
      <c r="C2154" t="inlineStr">
        <is>
          <t xml:space="preserve">INF740KA1YP5</t>
        </is>
      </c>
    </row>
    <row r="2155">
      <c r="A2155" t="inlineStr">
        <is>
          <t xml:space="preserve">DSP Mutual Fund</t>
        </is>
      </c>
      <c r="B2155" t="inlineStr">
        <is>
          <t xml:space="preserve">DSP Focused Fund - Direct Plan - Growth</t>
        </is>
      </c>
      <c r="C2155" t="inlineStr">
        <is>
          <t xml:space="preserve">INF740K01OB0</t>
        </is>
      </c>
    </row>
    <row r="2156">
      <c r="A2156" t="inlineStr">
        <is>
          <t xml:space="preserve">DSP Mutual Fund</t>
        </is>
      </c>
      <c r="B2156" t="inlineStr">
        <is>
          <t xml:space="preserve">DSP Focused Fund - Direct Plan - IDCW</t>
        </is>
      </c>
      <c r="C2156" t="inlineStr">
        <is>
          <t xml:space="preserve">INF740K01OC8</t>
        </is>
      </c>
    </row>
    <row r="2157">
      <c r="A2157" t="inlineStr">
        <is>
          <t xml:space="preserve">DSP Mutual Fund</t>
        </is>
      </c>
      <c r="B2157" t="inlineStr">
        <is>
          <t xml:space="preserve">DSP Focused Fund - Regular Plan - Growth</t>
        </is>
      </c>
      <c r="C2157" t="inlineStr">
        <is>
          <t xml:space="preserve">INF740K01532</t>
        </is>
      </c>
    </row>
    <row r="2158">
      <c r="A2158" t="inlineStr">
        <is>
          <t xml:space="preserve">DSP Mutual Fund</t>
        </is>
      </c>
      <c r="B2158" t="inlineStr">
        <is>
          <t xml:space="preserve">DSP Focused Fund - Regular Plan - IDCW</t>
        </is>
      </c>
      <c r="C2158" t="inlineStr">
        <is>
          <t xml:space="preserve">INF740K01540</t>
        </is>
      </c>
    </row>
    <row r="2159">
      <c r="A2159" t="inlineStr">
        <is>
          <t xml:space="preserve">DSP Mutual Fund</t>
        </is>
      </c>
      <c r="B2159" t="inlineStr">
        <is>
          <t xml:space="preserve">DSP Gilt Fund - Direct Plan - Growth</t>
        </is>
      </c>
      <c r="C2159" t="inlineStr">
        <is>
          <t xml:space="preserve">INF740K01NF3</t>
        </is>
      </c>
    </row>
    <row r="2160">
      <c r="A2160" t="inlineStr">
        <is>
          <t xml:space="preserve">DSP Mutual Fund</t>
        </is>
      </c>
      <c r="B2160" t="inlineStr">
        <is>
          <t xml:space="preserve">DSP Gilt Fund - Direct Plan - IDCW</t>
        </is>
      </c>
      <c r="C2160" t="inlineStr">
        <is>
          <t xml:space="preserve">INF740K01NG1</t>
        </is>
      </c>
    </row>
    <row r="2161">
      <c r="A2161" t="inlineStr">
        <is>
          <t xml:space="preserve">DSP Mutual Fund</t>
        </is>
      </c>
      <c r="B2161" t="inlineStr">
        <is>
          <t xml:space="preserve">DSP Gilt Fund - Direct Plan - IDCW - Monthly</t>
        </is>
      </c>
      <c r="C2161" t="inlineStr">
        <is>
          <t xml:space="preserve">INF740K01NE6</t>
        </is>
      </c>
    </row>
    <row r="2162">
      <c r="A2162" t="inlineStr">
        <is>
          <t xml:space="preserve">DSP Mutual Fund</t>
        </is>
      </c>
      <c r="B2162" t="inlineStr">
        <is>
          <t xml:space="preserve">DSP Gilt Fund - Regular Plan - Growth</t>
        </is>
      </c>
      <c r="C2162" t="inlineStr">
        <is>
          <t xml:space="preserve">INF740K01615</t>
        </is>
      </c>
    </row>
    <row r="2163">
      <c r="A2163" t="inlineStr">
        <is>
          <t xml:space="preserve">DSP Mutual Fund</t>
        </is>
      </c>
      <c r="B2163" t="inlineStr">
        <is>
          <t xml:space="preserve">DSP Gilt Fund - Regular Plan - IDCW</t>
        </is>
      </c>
      <c r="C2163" t="inlineStr">
        <is>
          <t xml:space="preserve">INF740K01607</t>
        </is>
      </c>
    </row>
    <row r="2164">
      <c r="A2164" t="inlineStr">
        <is>
          <t xml:space="preserve">DSP Mutual Fund</t>
        </is>
      </c>
      <c r="B2164" t="inlineStr">
        <is>
          <t xml:space="preserve">DSP Gilt Fund - Regular Plan - IDCW - Monthly</t>
        </is>
      </c>
      <c r="C2164" t="inlineStr">
        <is>
          <t xml:space="preserve">INF740K01623</t>
        </is>
      </c>
    </row>
    <row r="2165">
      <c r="A2165" t="inlineStr">
        <is>
          <t xml:space="preserve">DSP Mutual Fund</t>
        </is>
      </c>
      <c r="B2165" t="inlineStr">
        <is>
          <t xml:space="preserve">DSP Global Clean Energy Overseas Equity Omni FoF - Direct Plan - IDCW</t>
        </is>
      </c>
      <c r="C2165" t="inlineStr">
        <is>
          <t xml:space="preserve">INF740K01PD3</t>
        </is>
      </c>
    </row>
    <row r="2166">
      <c r="A2166" t="inlineStr">
        <is>
          <t xml:space="preserve">DSP Mutual Fund</t>
        </is>
      </c>
      <c r="B2166" t="inlineStr">
        <is>
          <t xml:space="preserve">DSP Global Clean Energy Overseas Equity Omni FoF - Regular Plan - Growth</t>
        </is>
      </c>
      <c r="C2166" t="inlineStr">
        <is>
          <t xml:space="preserve">INF740K01284</t>
        </is>
      </c>
    </row>
    <row r="2167">
      <c r="A2167" t="inlineStr">
        <is>
          <t xml:space="preserve">DSP Mutual Fund</t>
        </is>
      </c>
      <c r="B2167" t="inlineStr">
        <is>
          <t xml:space="preserve">DSP Global Clean Energy Overseas Equity Omni FoF - Regular Plan - IDCW</t>
        </is>
      </c>
      <c r="C2167" t="inlineStr">
        <is>
          <t xml:space="preserve">INF740K01292</t>
        </is>
      </c>
    </row>
    <row r="2168">
      <c r="A2168" t="inlineStr">
        <is>
          <t xml:space="preserve">DSP Mutual Fund</t>
        </is>
      </c>
      <c r="B2168" t="inlineStr">
        <is>
          <t xml:space="preserve">DSP Global Clean Energy Overseas Equity Omni FoF Direct Plan - Growth</t>
        </is>
      </c>
      <c r="C2168" t="inlineStr">
        <is>
          <t xml:space="preserve">INF740K01PC5</t>
        </is>
      </c>
    </row>
    <row r="2169">
      <c r="A2169" t="inlineStr">
        <is>
          <t xml:space="preserve">DSP Mutual Fund</t>
        </is>
      </c>
      <c r="B2169" t="inlineStr">
        <is>
          <t xml:space="preserve">DSP Global Innovation Overseas Equity Omni FoF - Direct - Growth</t>
        </is>
      </c>
      <c r="C2169" t="inlineStr">
        <is>
          <t xml:space="preserve">INF740KA1QP1</t>
        </is>
      </c>
    </row>
    <row r="2170">
      <c r="A2170" t="inlineStr">
        <is>
          <t xml:space="preserve">DSP Mutual Fund</t>
        </is>
      </c>
      <c r="B2170" t="inlineStr">
        <is>
          <t xml:space="preserve">DSP Global Innovation Overseas Equity Omni FoF - Direct - IDCW</t>
        </is>
      </c>
      <c r="C2170" t="inlineStr">
        <is>
          <t xml:space="preserve">INF740KA1QQ9</t>
        </is>
      </c>
    </row>
    <row r="2171">
      <c r="A2171" t="inlineStr">
        <is>
          <t xml:space="preserve">DSP Mutual Fund</t>
        </is>
      </c>
      <c r="B2171" t="inlineStr">
        <is>
          <t xml:space="preserve">DSP Global Innovation Overseas Equity Omni FoF - Regular - Growth</t>
        </is>
      </c>
      <c r="C2171" t="inlineStr">
        <is>
          <t xml:space="preserve">INF740KA1QM8</t>
        </is>
      </c>
    </row>
    <row r="2172">
      <c r="A2172" t="inlineStr">
        <is>
          <t xml:space="preserve">DSP Mutual Fund</t>
        </is>
      </c>
      <c r="B2172" t="inlineStr">
        <is>
          <t xml:space="preserve">DSP Global Innovation Overseas Equity Omni FoF - Regular - IDCW</t>
        </is>
      </c>
      <c r="C2172" t="inlineStr">
        <is>
          <t xml:space="preserve">INF740KA1QN6</t>
        </is>
      </c>
    </row>
    <row r="2173">
      <c r="A2173" t="inlineStr">
        <is>
          <t xml:space="preserve">DSP Mutual Fund</t>
        </is>
      </c>
      <c r="B2173" t="inlineStr">
        <is>
          <t xml:space="preserve">DSP Gold ETF</t>
        </is>
      </c>
      <c r="C2173" t="inlineStr">
        <is>
          <t xml:space="preserve">INF740KA1SW3</t>
        </is>
      </c>
    </row>
    <row r="2174">
      <c r="A2174" t="inlineStr">
        <is>
          <t xml:space="preserve">DSP Mutual Fund</t>
        </is>
      </c>
      <c r="B2174" t="inlineStr">
        <is>
          <t xml:space="preserve">DSP Gold ETF Fund of Fund - Direct - Growth</t>
        </is>
      </c>
      <c r="C2174" t="inlineStr">
        <is>
          <t xml:space="preserve">INF740KA1TK6</t>
        </is>
      </c>
    </row>
    <row r="2175">
      <c r="A2175" t="inlineStr">
        <is>
          <t xml:space="preserve">DSP Mutual Fund</t>
        </is>
      </c>
      <c r="B2175" t="inlineStr">
        <is>
          <t xml:space="preserve">DSP Gold ETF Fund of Fund - Direct - IDCW</t>
        </is>
      </c>
      <c r="C2175" t="inlineStr">
        <is>
          <t xml:space="preserve">INF740KA1TL4</t>
        </is>
      </c>
    </row>
    <row r="2176">
      <c r="A2176" t="inlineStr">
        <is>
          <t xml:space="preserve">DSP Mutual Fund</t>
        </is>
      </c>
      <c r="B2176" t="inlineStr">
        <is>
          <t xml:space="preserve">DSP Gold ETF Fund of Fund - Regular - Growth</t>
        </is>
      </c>
      <c r="C2176" t="inlineStr">
        <is>
          <t xml:space="preserve">INF740KA1TH2</t>
        </is>
      </c>
    </row>
    <row r="2177">
      <c r="A2177" t="inlineStr">
        <is>
          <t xml:space="preserve">DSP Mutual Fund</t>
        </is>
      </c>
      <c r="B2177" t="inlineStr">
        <is>
          <t xml:space="preserve">DSP Gold ETF Fund of Fund - Regular - IDCW</t>
        </is>
      </c>
      <c r="C2177" t="inlineStr">
        <is>
          <t xml:space="preserve">INF740KA1TI0</t>
        </is>
      </c>
    </row>
    <row r="2178">
      <c r="A2178" t="inlineStr">
        <is>
          <t xml:space="preserve">DSP Mutual Fund</t>
        </is>
      </c>
      <c r="B2178" t="inlineStr">
        <is>
          <t xml:space="preserve">DSP Healthcare Fund - Direct Plan - Growth</t>
        </is>
      </c>
      <c r="C2178" t="inlineStr">
        <is>
          <t xml:space="preserve">INF740KA1LG1</t>
        </is>
      </c>
    </row>
    <row r="2179">
      <c r="A2179" t="inlineStr">
        <is>
          <t xml:space="preserve">DSP Mutual Fund</t>
        </is>
      </c>
      <c r="B2179" t="inlineStr">
        <is>
          <t xml:space="preserve">DSP Healthcare Fund - Direct Plan - IDCW</t>
        </is>
      </c>
      <c r="C2179" t="inlineStr">
        <is>
          <t xml:space="preserve">INF740KA1LH9</t>
        </is>
      </c>
    </row>
    <row r="2180">
      <c r="A2180" t="inlineStr">
        <is>
          <t xml:space="preserve">DSP Mutual Fund</t>
        </is>
      </c>
      <c r="B2180" t="inlineStr">
        <is>
          <t xml:space="preserve">DSP Healthcare Fund - Regular Plan - Growth</t>
        </is>
      </c>
      <c r="C2180" t="inlineStr">
        <is>
          <t xml:space="preserve">INF740KA1LD8</t>
        </is>
      </c>
    </row>
    <row r="2181">
      <c r="A2181" t="inlineStr">
        <is>
          <t xml:space="preserve">DSP Mutual Fund</t>
        </is>
      </c>
      <c r="B2181" t="inlineStr">
        <is>
          <t xml:space="preserve">DSP Healthcare Fund - Regular Plan - IDCW</t>
        </is>
      </c>
      <c r="C2181" t="inlineStr">
        <is>
          <t xml:space="preserve">INF740KA1LE6</t>
        </is>
      </c>
    </row>
    <row r="2182">
      <c r="A2182" t="inlineStr">
        <is>
          <t xml:space="preserve">DSP Mutual Fund</t>
        </is>
      </c>
      <c r="B2182" t="inlineStr">
        <is>
          <t xml:space="preserve">DSP Income Plus Arbitrage Omni FoF - Direct Plan - Growth</t>
        </is>
      </c>
      <c r="C2182" t="inlineStr">
        <is>
          <t xml:space="preserve">INF740K01Z50</t>
        </is>
      </c>
    </row>
    <row r="2183">
      <c r="A2183" t="inlineStr">
        <is>
          <t xml:space="preserve">DSP Mutual Fund</t>
        </is>
      </c>
      <c r="B2183" t="inlineStr">
        <is>
          <t xml:space="preserve">DSP Income Plus Arbitrage Omni FoF - Direct Plan - IDCW</t>
        </is>
      </c>
      <c r="C2183" t="inlineStr">
        <is>
          <t xml:space="preserve">INF740K01Z68</t>
        </is>
      </c>
    </row>
    <row r="2184">
      <c r="A2184" t="inlineStr">
        <is>
          <t xml:space="preserve">DSP Mutual Fund</t>
        </is>
      </c>
      <c r="B2184" t="inlineStr">
        <is>
          <t xml:space="preserve">DSP Income Plus Arbitrage Omni FoF - Regular Plan - Growth</t>
        </is>
      </c>
      <c r="C2184" t="inlineStr">
        <is>
          <t xml:space="preserve">INF740K01Z27</t>
        </is>
      </c>
    </row>
    <row r="2185">
      <c r="A2185" t="inlineStr">
        <is>
          <t xml:space="preserve">DSP Mutual Fund</t>
        </is>
      </c>
      <c r="B2185" t="inlineStr">
        <is>
          <t xml:space="preserve">DSP Income Plus Arbitrage Omni FoF - Regular Plan - IDCW</t>
        </is>
      </c>
      <c r="C2185" t="inlineStr">
        <is>
          <t xml:space="preserve">INF740K01Z35</t>
        </is>
      </c>
    </row>
    <row r="2186">
      <c r="A2186" t="inlineStr">
        <is>
          <t xml:space="preserve">DSP Mutual Fund</t>
        </is>
      </c>
      <c r="B2186" t="inlineStr">
        <is>
          <t xml:space="preserve">DSP India T.I.G.E.R. Fund - Direct Plan - Growth</t>
        </is>
      </c>
      <c r="C2186" t="inlineStr">
        <is>
          <t xml:space="preserve">INF740K01PU7</t>
        </is>
      </c>
    </row>
    <row r="2187">
      <c r="A2187" t="inlineStr">
        <is>
          <t xml:space="preserve">DSP Mutual Fund</t>
        </is>
      </c>
      <c r="B2187" t="inlineStr">
        <is>
          <t xml:space="preserve">DSP India T.I.G.E.R. Fund - Direct Plan - IDCW</t>
        </is>
      </c>
      <c r="C2187" t="inlineStr">
        <is>
          <t xml:space="preserve">INF740K01PV5</t>
        </is>
      </c>
    </row>
    <row r="2188">
      <c r="A2188" t="inlineStr">
        <is>
          <t xml:space="preserve">DSP Mutual Fund</t>
        </is>
      </c>
      <c r="B2188" t="inlineStr">
        <is>
          <t xml:space="preserve">DSP India T.I.G.E.R. Fund - Regular Plan - Growth</t>
        </is>
      </c>
      <c r="C2188" t="inlineStr">
        <is>
          <t xml:space="preserve">INF740K01151</t>
        </is>
      </c>
    </row>
    <row r="2189">
      <c r="A2189" t="inlineStr">
        <is>
          <t xml:space="preserve">DSP Mutual Fund</t>
        </is>
      </c>
      <c r="B2189" t="inlineStr">
        <is>
          <t xml:space="preserve">DSP India T.I.G.E.R. Fund - Regular Plan - IDCW</t>
        </is>
      </c>
      <c r="C2189" t="inlineStr">
        <is>
          <t xml:space="preserve">INF740K01136</t>
        </is>
      </c>
    </row>
    <row r="2190">
      <c r="A2190" t="inlineStr">
        <is>
          <t xml:space="preserve">DSP Mutual Fund</t>
        </is>
      </c>
      <c r="B2190" t="inlineStr">
        <is>
          <t xml:space="preserve">DSP Large &amp; Mid Cap Fund - Direct Plan - Growth</t>
        </is>
      </c>
      <c r="C2190" t="inlineStr">
        <is>
          <t xml:space="preserve">INF740K01PL6</t>
        </is>
      </c>
    </row>
    <row r="2191">
      <c r="A2191" t="inlineStr">
        <is>
          <t xml:space="preserve">DSP Mutual Fund</t>
        </is>
      </c>
      <c r="B2191" t="inlineStr">
        <is>
          <t xml:space="preserve">DSP Large &amp; Mid Cap Fund - Direct Plan - IDCW</t>
        </is>
      </c>
      <c r="C2191" t="inlineStr">
        <is>
          <t xml:space="preserve">INF740K01PM4</t>
        </is>
      </c>
    </row>
    <row r="2192">
      <c r="A2192" t="inlineStr">
        <is>
          <t xml:space="preserve">DSP Mutual Fund</t>
        </is>
      </c>
      <c r="B2192" t="inlineStr">
        <is>
          <t xml:space="preserve">DSP Large &amp; Mid Cap Fund - Regular Plan - Growth</t>
        </is>
      </c>
      <c r="C2192" t="inlineStr">
        <is>
          <t xml:space="preserve">INF740K01094</t>
        </is>
      </c>
    </row>
    <row r="2193">
      <c r="A2193" t="inlineStr">
        <is>
          <t xml:space="preserve">DSP Mutual Fund</t>
        </is>
      </c>
      <c r="B2193" t="inlineStr">
        <is>
          <t xml:space="preserve">DSP Large &amp; Mid Cap Fund - Regular Plan - IDCW</t>
        </is>
      </c>
      <c r="C2193" t="inlineStr">
        <is>
          <t xml:space="preserve">INF740K01078</t>
        </is>
      </c>
    </row>
    <row r="2194">
      <c r="A2194" t="inlineStr">
        <is>
          <t xml:space="preserve">DSP Mutual Fund</t>
        </is>
      </c>
      <c r="B2194" t="inlineStr">
        <is>
          <t xml:space="preserve">DSP Large Cap Fund - Direct Plan - Growth</t>
        </is>
      </c>
      <c r="C2194" t="inlineStr">
        <is>
          <t xml:space="preserve">INF740K01PR3</t>
        </is>
      </c>
    </row>
    <row r="2195">
      <c r="A2195" t="inlineStr">
        <is>
          <t xml:space="preserve">DSP Mutual Fund</t>
        </is>
      </c>
      <c r="B2195" t="inlineStr">
        <is>
          <t xml:space="preserve">DSP Large Cap Fund - Direct Plan - IDCW</t>
        </is>
      </c>
      <c r="C2195" t="inlineStr">
        <is>
          <t xml:space="preserve">INF740K01PS1</t>
        </is>
      </c>
    </row>
    <row r="2196">
      <c r="A2196" t="inlineStr">
        <is>
          <t xml:space="preserve">DSP Mutual Fund</t>
        </is>
      </c>
      <c r="B2196" t="inlineStr">
        <is>
          <t xml:space="preserve">DSP Large Cap Fund - Regular Plan - Growth</t>
        </is>
      </c>
      <c r="C2196" t="inlineStr">
        <is>
          <t xml:space="preserve">INF740K01243</t>
        </is>
      </c>
    </row>
    <row r="2197">
      <c r="A2197" t="inlineStr">
        <is>
          <t xml:space="preserve">DSP Mutual Fund</t>
        </is>
      </c>
      <c r="B2197" t="inlineStr">
        <is>
          <t xml:space="preserve">DSP Large Cap Fund - Regular Plan - IDCW</t>
        </is>
      </c>
      <c r="C2197" t="inlineStr">
        <is>
          <t xml:space="preserve">INF740K01227</t>
        </is>
      </c>
    </row>
    <row r="2198">
      <c r="A2198" t="inlineStr">
        <is>
          <t xml:space="preserve">DSP Mutual Fund</t>
        </is>
      </c>
      <c r="B2198" t="inlineStr">
        <is>
          <t xml:space="preserve">DSP Liquidity Fund - Direct Plan - Growth</t>
        </is>
      </c>
      <c r="C2198" t="inlineStr">
        <is>
          <t xml:space="preserve">INF740K01QL4</t>
        </is>
      </c>
    </row>
    <row r="2199">
      <c r="A2199" t="inlineStr">
        <is>
          <t xml:space="preserve">DSP Mutual Fund</t>
        </is>
      </c>
      <c r="B2199" t="inlineStr">
        <is>
          <t xml:space="preserve">DSP Liquidity Fund - Direct Plan - IDCW - Daily</t>
        </is>
      </c>
      <c r="C2199" t="inlineStr">
        <is>
          <t xml:space="preserve">INF740KA1OB6</t>
        </is>
      </c>
    </row>
    <row r="2200">
      <c r="A2200" t="inlineStr">
        <is>
          <t xml:space="preserve">DSP Mutual Fund</t>
        </is>
      </c>
      <c r="B2200" t="inlineStr">
        <is>
          <t xml:space="preserve">DSP Liquidity Fund - Direct Plan - IDCW - Weekly</t>
        </is>
      </c>
      <c r="C2200" t="inlineStr">
        <is>
          <t xml:space="preserve">INF740KA1OC4</t>
        </is>
      </c>
    </row>
    <row r="2201">
      <c r="A2201" t="inlineStr">
        <is>
          <t xml:space="preserve">DSP Mutual Fund</t>
        </is>
      </c>
      <c r="B2201" t="inlineStr">
        <is>
          <t xml:space="preserve">DSP Liquidity Fund - Regular Plan - Growth</t>
        </is>
      </c>
      <c r="C2201" t="inlineStr">
        <is>
          <t xml:space="preserve">INF740K01FK9</t>
        </is>
      </c>
    </row>
    <row r="2202">
      <c r="A2202" t="inlineStr">
        <is>
          <t xml:space="preserve">DSP Mutual Fund</t>
        </is>
      </c>
      <c r="B2202" t="inlineStr">
        <is>
          <t xml:space="preserve">DSP Liquidity Fund - Regular Plan - IDCW - Weekly</t>
        </is>
      </c>
      <c r="C2202" t="inlineStr">
        <is>
          <t xml:space="preserve">INF740K01FM5</t>
        </is>
      </c>
    </row>
    <row r="2203">
      <c r="A2203" t="inlineStr">
        <is>
          <t xml:space="preserve">DSP Mutual Fund</t>
        </is>
      </c>
      <c r="B2203" t="inlineStr">
        <is>
          <t xml:space="preserve">DSP Liquidity Fund- Regular Plan - IDCW - Daily</t>
        </is>
      </c>
      <c r="C2203" t="inlineStr">
        <is>
          <t xml:space="preserve">INF740KA1OE0</t>
        </is>
      </c>
    </row>
    <row r="2204">
      <c r="A2204" t="inlineStr">
        <is>
          <t xml:space="preserve">DSP Mutual Fund</t>
        </is>
      </c>
      <c r="B2204" t="inlineStr">
        <is>
          <t xml:space="preserve">DSP Low Duration Fund - Direct Plan - Growth</t>
        </is>
      </c>
      <c r="C2204" t="inlineStr">
        <is>
          <t xml:space="preserve">INF740K013Q1</t>
        </is>
      </c>
    </row>
    <row r="2205">
      <c r="A2205" t="inlineStr">
        <is>
          <t xml:space="preserve">DSP Mutual Fund</t>
        </is>
      </c>
      <c r="B2205" t="inlineStr">
        <is>
          <t xml:space="preserve">DSP Low Duration Fund - Direct Plan - IDCW - Daily</t>
        </is>
      </c>
      <c r="C2205" t="inlineStr">
        <is>
          <t xml:space="preserve">INF740KA1OL5</t>
        </is>
      </c>
    </row>
    <row r="2206">
      <c r="A2206" t="inlineStr">
        <is>
          <t xml:space="preserve">DSP Mutual Fund</t>
        </is>
      </c>
      <c r="B2206" t="inlineStr">
        <is>
          <t xml:space="preserve">DSP Low Duration Fund - Direct Plan - IDCW - Monthly</t>
        </is>
      </c>
      <c r="C2206" t="inlineStr">
        <is>
          <t xml:space="preserve">INF740K014Q9</t>
        </is>
      </c>
    </row>
    <row r="2207">
      <c r="A2207" t="inlineStr">
        <is>
          <t xml:space="preserve">DSP Mutual Fund</t>
        </is>
      </c>
      <c r="B2207" t="inlineStr">
        <is>
          <t xml:space="preserve">DSP Low Duration Fund - Direct Plan - IDCW - Quarterly</t>
        </is>
      </c>
      <c r="C2207" t="inlineStr">
        <is>
          <t xml:space="preserve">INF740K016Q4</t>
        </is>
      </c>
    </row>
    <row r="2208">
      <c r="A2208" t="inlineStr">
        <is>
          <t xml:space="preserve">DSP Mutual Fund</t>
        </is>
      </c>
      <c r="B2208" t="inlineStr">
        <is>
          <t xml:space="preserve">DSP Low Duration Fund - Direct Plan - IDCW - Weekly</t>
        </is>
      </c>
      <c r="C2208" t="inlineStr">
        <is>
          <t xml:space="preserve">INF740KA1OM3</t>
        </is>
      </c>
    </row>
    <row r="2209">
      <c r="A2209" t="inlineStr">
        <is>
          <t xml:space="preserve">DSP Mutual Fund</t>
        </is>
      </c>
      <c r="B2209" t="inlineStr">
        <is>
          <t xml:space="preserve">DSP Low Duration Fund - Regular Plan - Growth</t>
        </is>
      </c>
      <c r="C2209" t="inlineStr">
        <is>
          <t xml:space="preserve">INF740K018P2</t>
        </is>
      </c>
    </row>
    <row r="2210">
      <c r="A2210" t="inlineStr">
        <is>
          <t xml:space="preserve">DSP Mutual Fund</t>
        </is>
      </c>
      <c r="B2210" t="inlineStr">
        <is>
          <t xml:space="preserve">DSP Low Duration Fund - Regular Plan - IDCW - Daily</t>
        </is>
      </c>
      <c r="C2210" t="inlineStr">
        <is>
          <t xml:space="preserve">INF740KA1OO9</t>
        </is>
      </c>
    </row>
    <row r="2211">
      <c r="A2211" t="inlineStr">
        <is>
          <t xml:space="preserve">DSP Mutual Fund</t>
        </is>
      </c>
      <c r="B2211" t="inlineStr">
        <is>
          <t xml:space="preserve">DSP Low Duration Fund - Regular Plan - IDCW - Monthly</t>
        </is>
      </c>
      <c r="C2211" t="inlineStr">
        <is>
          <t xml:space="preserve">INF740K019P0</t>
        </is>
      </c>
    </row>
    <row r="2212">
      <c r="A2212" t="inlineStr">
        <is>
          <t xml:space="preserve">DSP Mutual Fund</t>
        </is>
      </c>
      <c r="B2212" t="inlineStr">
        <is>
          <t xml:space="preserve">DSP Low Duration Fund - Regular Plan - IDCW - Quarterly</t>
        </is>
      </c>
      <c r="C2212" t="inlineStr">
        <is>
          <t xml:space="preserve">INF740K011Q5</t>
        </is>
      </c>
    </row>
    <row r="2213">
      <c r="A2213" t="inlineStr">
        <is>
          <t xml:space="preserve">DSP Mutual Fund</t>
        </is>
      </c>
      <c r="B2213" t="inlineStr">
        <is>
          <t xml:space="preserve">DSP Low Duration Fund - Regular Plan - IDCW - Weekly</t>
        </is>
      </c>
      <c r="C2213" t="inlineStr">
        <is>
          <t xml:space="preserve">INF740KA1OP6</t>
        </is>
      </c>
    </row>
    <row r="2214">
      <c r="A2214" t="inlineStr">
        <is>
          <t xml:space="preserve">DSP Mutual Fund</t>
        </is>
      </c>
      <c r="B2214" t="inlineStr">
        <is>
          <t xml:space="preserve">DSP Midcap Fund - Direct Plan - Growth</t>
        </is>
      </c>
      <c r="C2214" t="inlineStr">
        <is>
          <t xml:space="preserve">INF740K01PX1</t>
        </is>
      </c>
    </row>
    <row r="2215">
      <c r="A2215" t="inlineStr">
        <is>
          <t xml:space="preserve">DSP Mutual Fund</t>
        </is>
      </c>
      <c r="B2215" t="inlineStr">
        <is>
          <t xml:space="preserve">DSP Midcap Fund - Direct Plan - IDCW</t>
        </is>
      </c>
      <c r="C2215" t="inlineStr">
        <is>
          <t xml:space="preserve">INF740K01PY9</t>
        </is>
      </c>
    </row>
    <row r="2216">
      <c r="A2216" t="inlineStr">
        <is>
          <t xml:space="preserve">DSP Mutual Fund</t>
        </is>
      </c>
      <c r="B2216" t="inlineStr">
        <is>
          <t xml:space="preserve">DSP Midcap Fund - Regular Plan - Growth</t>
        </is>
      </c>
      <c r="C2216" t="inlineStr">
        <is>
          <t xml:space="preserve">INF740K01128</t>
        </is>
      </c>
    </row>
    <row r="2217">
      <c r="A2217" t="inlineStr">
        <is>
          <t xml:space="preserve">DSP Mutual Fund</t>
        </is>
      </c>
      <c r="B2217" t="inlineStr">
        <is>
          <t xml:space="preserve">DSP Midcap Fund - Regular Plan - IDCW</t>
        </is>
      </c>
      <c r="C2217" t="inlineStr">
        <is>
          <t xml:space="preserve">INF740K01102</t>
        </is>
      </c>
    </row>
    <row r="2218">
      <c r="A2218" t="inlineStr">
        <is>
          <t xml:space="preserve">DSP Mutual Fund</t>
        </is>
      </c>
      <c r="B2218" t="inlineStr">
        <is>
          <t xml:space="preserve">DSP MSCI INDIA ETF</t>
        </is>
      </c>
      <c r="C2218" t="inlineStr">
        <is>
          <t xml:space="preserve">INF740KA1WV7</t>
        </is>
      </c>
    </row>
    <row r="2219">
      <c r="A2219" t="inlineStr">
        <is>
          <t xml:space="preserve">DSP Mutual Fund</t>
        </is>
      </c>
      <c r="B2219" t="inlineStr">
        <is>
          <t xml:space="preserve">DSP Multi Asset Allocation Fund - Direct - Growth</t>
        </is>
      </c>
      <c r="C2219" t="inlineStr">
        <is>
          <t xml:space="preserve">INF740KA1TE9</t>
        </is>
      </c>
    </row>
    <row r="2220">
      <c r="A2220" t="inlineStr">
        <is>
          <t xml:space="preserve">DSP Mutual Fund</t>
        </is>
      </c>
      <c r="B2220" t="inlineStr">
        <is>
          <t xml:space="preserve">DSP Multi Asset Allocation Fund - Direct - IDCW</t>
        </is>
      </c>
      <c r="C2220" t="inlineStr">
        <is>
          <t xml:space="preserve">INF740KA1TF6</t>
        </is>
      </c>
    </row>
    <row r="2221">
      <c r="A2221" t="inlineStr">
        <is>
          <t xml:space="preserve">DSP Mutual Fund</t>
        </is>
      </c>
      <c r="B2221" t="inlineStr">
        <is>
          <t xml:space="preserve">DSP Multi Asset Allocation Fund - Regular - Growth</t>
        </is>
      </c>
      <c r="C2221" t="inlineStr">
        <is>
          <t xml:space="preserve">INF740KA1TB5</t>
        </is>
      </c>
    </row>
    <row r="2222">
      <c r="A2222" t="inlineStr">
        <is>
          <t xml:space="preserve">DSP Mutual Fund</t>
        </is>
      </c>
      <c r="B2222" t="inlineStr">
        <is>
          <t xml:space="preserve">DSP Multi Asset Allocation Fund - Regular - IDCW</t>
        </is>
      </c>
      <c r="C2222" t="inlineStr">
        <is>
          <t xml:space="preserve">INF740KA1TC3</t>
        </is>
      </c>
    </row>
    <row r="2223">
      <c r="A2223" t="inlineStr">
        <is>
          <t xml:space="preserve">DSP Mutual Fund</t>
        </is>
      </c>
      <c r="B2223" t="inlineStr">
        <is>
          <t xml:space="preserve">DSP Multi Asset Omni Fund of Funds - Direct - Growth</t>
        </is>
      </c>
      <c r="C2223" t="inlineStr">
        <is>
          <t xml:space="preserve">INF740KA1YE9</t>
        </is>
      </c>
    </row>
    <row r="2224">
      <c r="A2224" t="inlineStr">
        <is>
          <t xml:space="preserve">DSP Mutual Fund</t>
        </is>
      </c>
      <c r="B2224" t="inlineStr">
        <is>
          <t xml:space="preserve">DSP Multi Asset Omni Fund of Funds - Direct - IDCW</t>
        </is>
      </c>
      <c r="C2224" t="inlineStr">
        <is>
          <t xml:space="preserve">INF740KA1YF6</t>
        </is>
      </c>
    </row>
    <row r="2225">
      <c r="A2225" t="inlineStr">
        <is>
          <t xml:space="preserve">DSP Mutual Fund</t>
        </is>
      </c>
      <c r="B2225" t="inlineStr">
        <is>
          <t xml:space="preserve">DSP Multi Asset Omni Fund of Funds - Regular - Growth</t>
        </is>
      </c>
      <c r="C2225" t="inlineStr">
        <is>
          <t xml:space="preserve">INF740KA1YB5</t>
        </is>
      </c>
    </row>
    <row r="2226">
      <c r="A2226" t="inlineStr">
        <is>
          <t xml:space="preserve">DSP Mutual Fund</t>
        </is>
      </c>
      <c r="B2226" t="inlineStr">
        <is>
          <t xml:space="preserve">DSP Multi Asset Omni Fund of Funds - Regular - IDCW</t>
        </is>
      </c>
      <c r="C2226" t="inlineStr">
        <is>
          <t xml:space="preserve">INF740KA1YC3</t>
        </is>
      </c>
    </row>
    <row r="2227">
      <c r="A2227" t="inlineStr">
        <is>
          <t xml:space="preserve">DSP Mutual Fund</t>
        </is>
      </c>
      <c r="B2227" t="inlineStr">
        <is>
          <t xml:space="preserve">DSP Multicap Fund - Direct - Growth</t>
        </is>
      </c>
      <c r="C2227" t="inlineStr">
        <is>
          <t xml:space="preserve">INF740KA1UC1</t>
        </is>
      </c>
    </row>
    <row r="2228">
      <c r="A2228" t="inlineStr">
        <is>
          <t xml:space="preserve">DSP Mutual Fund</t>
        </is>
      </c>
      <c r="B2228" t="inlineStr">
        <is>
          <t xml:space="preserve">DSP Multicap Fund - Direct - IDCW</t>
        </is>
      </c>
      <c r="C2228" t="inlineStr">
        <is>
          <t xml:space="preserve">INF740KA1UD9</t>
        </is>
      </c>
    </row>
    <row r="2229">
      <c r="A2229" t="inlineStr">
        <is>
          <t xml:space="preserve">DSP Mutual Fund</t>
        </is>
      </c>
      <c r="B2229" t="inlineStr">
        <is>
          <t xml:space="preserve">DSP Multicap Fund - Regular - Growth</t>
        </is>
      </c>
      <c r="C2229" t="inlineStr">
        <is>
          <t xml:space="preserve">INF740KA1TZ4</t>
        </is>
      </c>
    </row>
    <row r="2230">
      <c r="A2230" t="inlineStr">
        <is>
          <t xml:space="preserve">DSP Mutual Fund</t>
        </is>
      </c>
      <c r="B2230" t="inlineStr">
        <is>
          <t xml:space="preserve">DSP Multicap Fund - Regular - IDCW</t>
        </is>
      </c>
      <c r="C2230" t="inlineStr">
        <is>
          <t xml:space="preserve">INF740KA1UA5</t>
        </is>
      </c>
    </row>
    <row r="2231">
      <c r="A2231" t="inlineStr">
        <is>
          <t xml:space="preserve">DSP Mutual Fund</t>
        </is>
      </c>
      <c r="B2231" t="inlineStr">
        <is>
          <t xml:space="preserve">DSP Natural Resources and New Energy Fund - Direct Plan - Growth</t>
        </is>
      </c>
      <c r="C2231" t="inlineStr">
        <is>
          <t xml:space="preserve">INF740K01QA7</t>
        </is>
      </c>
    </row>
    <row r="2232">
      <c r="A2232" t="inlineStr">
        <is>
          <t xml:space="preserve">DSP Mutual Fund</t>
        </is>
      </c>
      <c r="B2232" t="inlineStr">
        <is>
          <t xml:space="preserve">DSP Natural Resources and New Energy Fund - Direct Plan - IDCW</t>
        </is>
      </c>
      <c r="C2232" t="inlineStr">
        <is>
          <t xml:space="preserve">INF740K01QB5</t>
        </is>
      </c>
    </row>
    <row r="2233">
      <c r="A2233" t="inlineStr">
        <is>
          <t xml:space="preserve">DSP Mutual Fund</t>
        </is>
      </c>
      <c r="B2233" t="inlineStr">
        <is>
          <t xml:space="preserve">DSP Natural Resources And New Energy Fund - Regular - Growth</t>
        </is>
      </c>
      <c r="C2233" t="inlineStr">
        <is>
          <t xml:space="preserve">INF740K01060</t>
        </is>
      </c>
    </row>
    <row r="2234">
      <c r="A2234" t="inlineStr">
        <is>
          <t xml:space="preserve">DSP Mutual Fund</t>
        </is>
      </c>
      <c r="B2234" t="inlineStr">
        <is>
          <t xml:space="preserve">DSP Natural Resources And New Energy Fund - Regular Plan - IDCW</t>
        </is>
      </c>
      <c r="C2234" t="inlineStr">
        <is>
          <t xml:space="preserve">INF740K01045</t>
        </is>
      </c>
    </row>
    <row r="2235">
      <c r="A2235" t="inlineStr">
        <is>
          <t xml:space="preserve">DSP Mutual Fund</t>
        </is>
      </c>
      <c r="B2235" t="inlineStr">
        <is>
          <t xml:space="preserve">DSP NIFTY 1D Rate Liquid ETF</t>
        </is>
      </c>
      <c r="C2235" t="inlineStr">
        <is>
          <t xml:space="preserve">INF740KA1EU7</t>
        </is>
      </c>
    </row>
    <row r="2236">
      <c r="A2236" t="inlineStr">
        <is>
          <t xml:space="preserve">DSP Mutual Fund</t>
        </is>
      </c>
      <c r="B2236" t="inlineStr">
        <is>
          <t xml:space="preserve">DSP Nifty 50 Equal Weight ETF</t>
        </is>
      </c>
      <c r="C2236" t="inlineStr">
        <is>
          <t xml:space="preserve">INF740KA1QK2</t>
        </is>
      </c>
    </row>
    <row r="2237">
      <c r="A2237" t="inlineStr">
        <is>
          <t xml:space="preserve">DSP Mutual Fund</t>
        </is>
      </c>
      <c r="B2237" t="inlineStr">
        <is>
          <t xml:space="preserve">DSP Nifty 50 Equal Weight Index Fund - Direct Plan - Growth</t>
        </is>
      </c>
      <c r="C2237" t="inlineStr">
        <is>
          <t xml:space="preserve">INF740KA1CR7</t>
        </is>
      </c>
    </row>
    <row r="2238">
      <c r="A2238" t="inlineStr">
        <is>
          <t xml:space="preserve">DSP Mutual Fund</t>
        </is>
      </c>
      <c r="B2238" t="inlineStr">
        <is>
          <t xml:space="preserve">DSP Nifty 50 Equal Weight Index Fund - Direct Plan - IDCW</t>
        </is>
      </c>
      <c r="C2238" t="inlineStr">
        <is>
          <t xml:space="preserve">INF740KA1CS5</t>
        </is>
      </c>
    </row>
    <row r="2239">
      <c r="A2239" t="inlineStr">
        <is>
          <t xml:space="preserve">DSP Mutual Fund</t>
        </is>
      </c>
      <c r="B2239" t="inlineStr">
        <is>
          <t xml:space="preserve">DSP Nifty 50 Equal Weight Index Fund - Regular Plan - Growth</t>
        </is>
      </c>
      <c r="C2239" t="inlineStr">
        <is>
          <t xml:space="preserve">INF740KA1CO4</t>
        </is>
      </c>
    </row>
    <row r="2240">
      <c r="A2240" t="inlineStr">
        <is>
          <t xml:space="preserve">DSP Mutual Fund</t>
        </is>
      </c>
      <c r="B2240" t="inlineStr">
        <is>
          <t xml:space="preserve">DSP Nifty 50 Equal Weight Index Fund - Regular Plan - IDCW</t>
        </is>
      </c>
      <c r="C2240" t="inlineStr">
        <is>
          <t xml:space="preserve">INF740KA1CP1</t>
        </is>
      </c>
    </row>
    <row r="2241">
      <c r="A2241" t="inlineStr">
        <is>
          <t xml:space="preserve">DSP Mutual Fund</t>
        </is>
      </c>
      <c r="B2241" t="inlineStr">
        <is>
          <t xml:space="preserve">DSP Nifty 50 ETF</t>
        </is>
      </c>
      <c r="C2241" t="inlineStr">
        <is>
          <t xml:space="preserve">INF740KA1CL0</t>
        </is>
      </c>
    </row>
    <row r="2242">
      <c r="A2242" t="inlineStr">
        <is>
          <t xml:space="preserve">DSP Mutual Fund</t>
        </is>
      </c>
      <c r="B2242" t="inlineStr">
        <is>
          <t xml:space="preserve">DSP Nifty 50 Index Fund - Direct Plan - Growth</t>
        </is>
      </c>
      <c r="C2242" t="inlineStr">
        <is>
          <t xml:space="preserve">INF740KA1MM7</t>
        </is>
      </c>
    </row>
    <row r="2243">
      <c r="A2243" t="inlineStr">
        <is>
          <t xml:space="preserve">DSP Mutual Fund</t>
        </is>
      </c>
      <c r="B2243" t="inlineStr">
        <is>
          <t xml:space="preserve">DSP Nifty 50 Index Fund - Direct Plan - IDCW</t>
        </is>
      </c>
      <c r="C2243" t="inlineStr">
        <is>
          <t xml:space="preserve">INF740KA1MN5</t>
        </is>
      </c>
    </row>
    <row r="2244">
      <c r="A2244" t="inlineStr">
        <is>
          <t xml:space="preserve">DSP Mutual Fund</t>
        </is>
      </c>
      <c r="B2244" t="inlineStr">
        <is>
          <t xml:space="preserve">DSP Nifty 50 Index Fund - Regular Plan - Growth</t>
        </is>
      </c>
      <c r="C2244" t="inlineStr">
        <is>
          <t xml:space="preserve">INF740KA1MJ3</t>
        </is>
      </c>
    </row>
    <row r="2245">
      <c r="A2245" t="inlineStr">
        <is>
          <t xml:space="preserve">DSP Mutual Fund</t>
        </is>
      </c>
      <c r="B2245" t="inlineStr">
        <is>
          <t xml:space="preserve">DSP Nifty 50 Index Fund - Regular Plan - IDCW</t>
        </is>
      </c>
      <c r="C2245" t="inlineStr">
        <is>
          <t xml:space="preserve">INF740KA1MK1</t>
        </is>
      </c>
    </row>
    <row r="2246">
      <c r="A2246" t="inlineStr">
        <is>
          <t xml:space="preserve">DSP Mutual Fund</t>
        </is>
      </c>
      <c r="B2246" t="inlineStr">
        <is>
          <t xml:space="preserve">DSP Nifty 500 Index Fund - Direct - Growth</t>
        </is>
      </c>
      <c r="C2246" t="inlineStr">
        <is>
          <t xml:space="preserve">INF740KA1XY9</t>
        </is>
      </c>
    </row>
    <row r="2247">
      <c r="A2247" t="inlineStr">
        <is>
          <t xml:space="preserve">DSP Mutual Fund</t>
        </is>
      </c>
      <c r="B2247" t="inlineStr">
        <is>
          <t xml:space="preserve">DSP Nifty 500 Index Fund - Direct - IDCW</t>
        </is>
      </c>
      <c r="C2247" t="inlineStr">
        <is>
          <t xml:space="preserve">INF740KA1XZ6</t>
        </is>
      </c>
    </row>
    <row r="2248">
      <c r="A2248" t="inlineStr">
        <is>
          <t xml:space="preserve">DSP Mutual Fund</t>
        </is>
      </c>
      <c r="B2248" t="inlineStr">
        <is>
          <t xml:space="preserve">DSP Nifty 500 Index Fund - Regular - Growth</t>
        </is>
      </c>
      <c r="C2248" t="inlineStr">
        <is>
          <t xml:space="preserve">INF740KA1XV5</t>
        </is>
      </c>
    </row>
    <row r="2249">
      <c r="A2249" t="inlineStr">
        <is>
          <t xml:space="preserve">DSP Mutual Fund</t>
        </is>
      </c>
      <c r="B2249" t="inlineStr">
        <is>
          <t xml:space="preserve">DSP Nifty 500 Index Fund - Regular - IDCW</t>
        </is>
      </c>
      <c r="C2249" t="inlineStr">
        <is>
          <t xml:space="preserve">INF740KA1XW3</t>
        </is>
      </c>
    </row>
    <row r="2250">
      <c r="A2250" t="inlineStr">
        <is>
          <t xml:space="preserve">DSP Mutual Fund</t>
        </is>
      </c>
      <c r="B2250" t="inlineStr">
        <is>
          <t xml:space="preserve">DSP Nifty Bank ETF</t>
        </is>
      </c>
      <c r="C2250" t="inlineStr">
        <is>
          <t xml:space="preserve">INF740KA1RX3</t>
        </is>
      </c>
    </row>
    <row r="2251">
      <c r="A2251" t="inlineStr">
        <is>
          <t xml:space="preserve">DSP Mutual Fund</t>
        </is>
      </c>
      <c r="B2251" t="inlineStr">
        <is>
          <t xml:space="preserve">DSP Nifty Bank Index Fund - Direct - Growth</t>
        </is>
      </c>
      <c r="C2251" t="inlineStr">
        <is>
          <t xml:space="preserve">INF740KA1UO6</t>
        </is>
      </c>
    </row>
    <row r="2252">
      <c r="A2252" t="inlineStr">
        <is>
          <t xml:space="preserve">DSP Mutual Fund</t>
        </is>
      </c>
      <c r="B2252" t="inlineStr">
        <is>
          <t xml:space="preserve">DSP Nifty Bank Index Fund - Regular - Growth</t>
        </is>
      </c>
      <c r="C2252" t="inlineStr">
        <is>
          <t xml:space="preserve">INF740KA1UN8</t>
        </is>
      </c>
    </row>
    <row r="2253">
      <c r="A2253" t="inlineStr">
        <is>
          <t xml:space="preserve">DSP Mutual Fund</t>
        </is>
      </c>
      <c r="B2253" t="inlineStr">
        <is>
          <t xml:space="preserve">DSP Nifty FMCG ETF</t>
        </is>
      </c>
      <c r="C2253" t="inlineStr">
        <is>
          <t xml:space="preserve">INF740KA1ZA4</t>
        </is>
      </c>
    </row>
    <row r="2254">
      <c r="A2254" t="inlineStr">
        <is>
          <t xml:space="preserve">DSP Mutual Fund</t>
        </is>
      </c>
      <c r="B2254" t="inlineStr">
        <is>
          <t xml:space="preserve">DSP Nifty Healthcare ETF</t>
        </is>
      </c>
      <c r="C2254" t="inlineStr">
        <is>
          <t xml:space="preserve">INF740KA1ZG1</t>
        </is>
      </c>
    </row>
    <row r="2255">
      <c r="A2255" t="inlineStr">
        <is>
          <t xml:space="preserve">DSP Mutual Fund</t>
        </is>
      </c>
      <c r="B2255" t="inlineStr">
        <is>
          <t xml:space="preserve">DSP Nifty Healthcare Index Fund - Direct - IDCW</t>
        </is>
      </c>
      <c r="C2255" t="inlineStr">
        <is>
          <t xml:space="preserve">INF740KA1WG8</t>
        </is>
      </c>
    </row>
    <row r="2256">
      <c r="A2256" t="inlineStr">
        <is>
          <t xml:space="preserve">DSP Mutual Fund</t>
        </is>
      </c>
      <c r="B2256" t="inlineStr">
        <is>
          <t xml:space="preserve">DSP Nifty Healthcare Index Fund - Direct- Growth</t>
        </is>
      </c>
      <c r="C2256" t="inlineStr">
        <is>
          <t xml:space="preserve">INF740KA1WF0</t>
        </is>
      </c>
    </row>
    <row r="2257">
      <c r="A2257" t="inlineStr">
        <is>
          <t xml:space="preserve">DSP Mutual Fund</t>
        </is>
      </c>
      <c r="B2257" t="inlineStr">
        <is>
          <t xml:space="preserve">DSP Nifty Healthcare Index Fund - Regular - Growth</t>
        </is>
      </c>
      <c r="C2257" t="inlineStr">
        <is>
          <t xml:space="preserve">INF740KA1WC7</t>
        </is>
      </c>
    </row>
    <row r="2258">
      <c r="A2258" t="inlineStr">
        <is>
          <t xml:space="preserve">DSP Mutual Fund</t>
        </is>
      </c>
      <c r="B2258" t="inlineStr">
        <is>
          <t xml:space="preserve">DSP Nifty Healthcare Index Fund - Regular - IDCW</t>
        </is>
      </c>
      <c r="C2258" t="inlineStr">
        <is>
          <t xml:space="preserve">INF740KA1WD5</t>
        </is>
      </c>
    </row>
    <row r="2259">
      <c r="A2259" t="inlineStr">
        <is>
          <t xml:space="preserve">DSP Mutual Fund</t>
        </is>
      </c>
      <c r="B2259" t="inlineStr">
        <is>
          <t xml:space="preserve">DSP Nifty IT ETF</t>
        </is>
      </c>
      <c r="C2259" t="inlineStr">
        <is>
          <t xml:space="preserve">INF740KA1SX1</t>
        </is>
      </c>
    </row>
    <row r="2260">
      <c r="A2260" t="inlineStr">
        <is>
          <t xml:space="preserve">DSP Mutual Fund</t>
        </is>
      </c>
      <c r="B2260" t="inlineStr">
        <is>
          <t xml:space="preserve">DSP Nifty IT Index Fund - Direct - Growth</t>
        </is>
      </c>
      <c r="C2260" t="inlineStr">
        <is>
          <t xml:space="preserve">INF740KA1WL8</t>
        </is>
      </c>
    </row>
    <row r="2261">
      <c r="A2261" t="inlineStr">
        <is>
          <t xml:space="preserve">DSP Mutual Fund</t>
        </is>
      </c>
      <c r="B2261" t="inlineStr">
        <is>
          <t xml:space="preserve">DSP Nifty IT Index Fund - Direct - IDCW</t>
        </is>
      </c>
      <c r="C2261" t="inlineStr">
        <is>
          <t xml:space="preserve">INF740KA1WM6</t>
        </is>
      </c>
    </row>
    <row r="2262">
      <c r="A2262" t="inlineStr">
        <is>
          <t xml:space="preserve">DSP Mutual Fund</t>
        </is>
      </c>
      <c r="B2262" t="inlineStr">
        <is>
          <t xml:space="preserve">DSP Nifty IT Index Fund - Regular - Growth</t>
        </is>
      </c>
      <c r="C2262" t="inlineStr">
        <is>
          <t xml:space="preserve">INF740KA1WI4</t>
        </is>
      </c>
    </row>
    <row r="2263">
      <c r="A2263" t="inlineStr">
        <is>
          <t xml:space="preserve">DSP Mutual Fund</t>
        </is>
      </c>
      <c r="B2263" t="inlineStr">
        <is>
          <t xml:space="preserve">DSP Nifty IT Index Fund - Regular - IDCW</t>
        </is>
      </c>
      <c r="C2263" t="inlineStr">
        <is>
          <t xml:space="preserve">INF740KA1WJ2</t>
        </is>
      </c>
    </row>
    <row r="2264">
      <c r="A2264" t="inlineStr">
        <is>
          <t xml:space="preserve">DSP Mutual Fund</t>
        </is>
      </c>
      <c r="B2264" t="inlineStr">
        <is>
          <t xml:space="preserve">DSP Nifty Midcap 150 ETF</t>
        </is>
      </c>
      <c r="C2264" t="inlineStr">
        <is>
          <t xml:space="preserve">INF740KA1WW5</t>
        </is>
      </c>
    </row>
    <row r="2265">
      <c r="A2265" t="inlineStr">
        <is>
          <t xml:space="preserve">DSP Mutual Fund</t>
        </is>
      </c>
      <c r="B2265" t="inlineStr">
        <is>
          <t xml:space="preserve">DSP Nifty Midcap 150 Index Fund - Direct - Growth</t>
        </is>
      </c>
      <c r="C2265" t="inlineStr">
        <is>
          <t xml:space="preserve">INF740KA1XB7</t>
        </is>
      </c>
    </row>
    <row r="2266">
      <c r="A2266" t="inlineStr">
        <is>
          <t xml:space="preserve">DSP Mutual Fund</t>
        </is>
      </c>
      <c r="B2266" t="inlineStr">
        <is>
          <t xml:space="preserve">DSP Nifty Midcap 150 Index Fund - Direct - IDCW</t>
        </is>
      </c>
      <c r="C2266" t="inlineStr">
        <is>
          <t xml:space="preserve">INF740KA1XC5</t>
        </is>
      </c>
    </row>
    <row r="2267">
      <c r="A2267" t="inlineStr">
        <is>
          <t xml:space="preserve">DSP Mutual Fund</t>
        </is>
      </c>
      <c r="B2267" t="inlineStr">
        <is>
          <t xml:space="preserve">DSP Nifty Midcap 150 Index Fund - Regular - Growth</t>
        </is>
      </c>
      <c r="C2267" t="inlineStr">
        <is>
          <t xml:space="preserve">INF740KA1WY1</t>
        </is>
      </c>
    </row>
    <row r="2268">
      <c r="A2268" t="inlineStr">
        <is>
          <t xml:space="preserve">DSP Mutual Fund</t>
        </is>
      </c>
      <c r="B2268" t="inlineStr">
        <is>
          <t xml:space="preserve">DSP Nifty Midcap 150 Index Fund - Regular - IDCW</t>
        </is>
      </c>
      <c r="C2268" t="inlineStr">
        <is>
          <t xml:space="preserve">INF740KA1WZ8</t>
        </is>
      </c>
    </row>
    <row r="2269">
      <c r="A2269" t="inlineStr">
        <is>
          <t xml:space="preserve">DSP Mutual Fund</t>
        </is>
      </c>
      <c r="B2269" t="inlineStr">
        <is>
          <t xml:space="preserve">DSP Nifty Midcap 150 Quality 50 ETF</t>
        </is>
      </c>
      <c r="C2269" t="inlineStr">
        <is>
          <t xml:space="preserve">INF740KA1ZF3</t>
        </is>
      </c>
    </row>
    <row r="2270">
      <c r="A2270" t="inlineStr">
        <is>
          <t xml:space="preserve">DSP Mutual Fund</t>
        </is>
      </c>
      <c r="B2270" t="inlineStr">
        <is>
          <t xml:space="preserve">DSP Nifty Midcap 150 Quality 50 Index Fund - Direct - Growth</t>
        </is>
      </c>
      <c r="C2270" t="inlineStr">
        <is>
          <t xml:space="preserve">INF740KA1RB9</t>
        </is>
      </c>
    </row>
    <row r="2271">
      <c r="A2271" t="inlineStr">
        <is>
          <t xml:space="preserve">DSP Mutual Fund</t>
        </is>
      </c>
      <c r="B2271" t="inlineStr">
        <is>
          <t xml:space="preserve">DSP Nifty Midcap 150 Quality 50 Index Fund - Direct - IDCW</t>
        </is>
      </c>
      <c r="C2271" t="inlineStr">
        <is>
          <t xml:space="preserve">INF740KA1RC7</t>
        </is>
      </c>
    </row>
    <row r="2272">
      <c r="A2272" t="inlineStr">
        <is>
          <t xml:space="preserve">DSP Mutual Fund</t>
        </is>
      </c>
      <c r="B2272" t="inlineStr">
        <is>
          <t xml:space="preserve">DSP Nifty Midcap 150 Quality 50 Index Fund - Regular - Growth</t>
        </is>
      </c>
      <c r="C2272" t="inlineStr">
        <is>
          <t xml:space="preserve">INF740KA1QY3</t>
        </is>
      </c>
    </row>
    <row r="2273">
      <c r="A2273" t="inlineStr">
        <is>
          <t xml:space="preserve">DSP Mutual Fund</t>
        </is>
      </c>
      <c r="B2273" t="inlineStr">
        <is>
          <t xml:space="preserve">DSP Nifty Midcap 150 Quality 50 Index Fund - Regular - IDCW</t>
        </is>
      </c>
      <c r="C2273" t="inlineStr">
        <is>
          <t xml:space="preserve">INF740KA1QZ0</t>
        </is>
      </c>
    </row>
    <row r="2274">
      <c r="A2274" t="inlineStr">
        <is>
          <t xml:space="preserve">DSP Mutual Fund</t>
        </is>
      </c>
      <c r="B2274" t="inlineStr">
        <is>
          <t xml:space="preserve">DSP Nifty Next 50 ETF</t>
        </is>
      </c>
      <c r="C2274" t="inlineStr">
        <is>
          <t xml:space="preserve">INF740KA1XU7</t>
        </is>
      </c>
    </row>
    <row r="2275">
      <c r="A2275" t="inlineStr">
        <is>
          <t xml:space="preserve">DSP Mutual Fund</t>
        </is>
      </c>
      <c r="B2275" t="inlineStr">
        <is>
          <t xml:space="preserve">DSP Nifty Next 50 Index Fund - Direct Plan - Growth</t>
        </is>
      </c>
      <c r="C2275" t="inlineStr">
        <is>
          <t xml:space="preserve">INF740KA1MG9</t>
        </is>
      </c>
    </row>
    <row r="2276">
      <c r="A2276" t="inlineStr">
        <is>
          <t xml:space="preserve">DSP Mutual Fund</t>
        </is>
      </c>
      <c r="B2276" t="inlineStr">
        <is>
          <t xml:space="preserve">DSP Nifty Next 50 Index Fund - Direct Plan - IDCW</t>
        </is>
      </c>
      <c r="C2276" t="inlineStr">
        <is>
          <t xml:space="preserve">INF740KA1MH7</t>
        </is>
      </c>
    </row>
    <row r="2277">
      <c r="A2277" t="inlineStr">
        <is>
          <t xml:space="preserve">DSP Mutual Fund</t>
        </is>
      </c>
      <c r="B2277" t="inlineStr">
        <is>
          <t xml:space="preserve">DSP Nifty Next 50 Index Fund - Regular Plan - Growth</t>
        </is>
      </c>
      <c r="C2277" t="inlineStr">
        <is>
          <t xml:space="preserve">INF740KA1MD6</t>
        </is>
      </c>
    </row>
    <row r="2278">
      <c r="A2278" t="inlineStr">
        <is>
          <t xml:space="preserve">DSP Mutual Fund</t>
        </is>
      </c>
      <c r="B2278" t="inlineStr">
        <is>
          <t xml:space="preserve">DSP Nifty Next 50 Index Fund - Regular Plan - IDCW</t>
        </is>
      </c>
      <c r="C2278" t="inlineStr">
        <is>
          <t xml:space="preserve">INF740KA1ME4</t>
        </is>
      </c>
    </row>
    <row r="2279">
      <c r="A2279" t="inlineStr">
        <is>
          <t xml:space="preserve">DSP Mutual Fund</t>
        </is>
      </c>
      <c r="B2279" t="inlineStr">
        <is>
          <t xml:space="preserve">DSP Nifty Private Bank ETF</t>
        </is>
      </c>
      <c r="C2279" t="inlineStr">
        <is>
          <t xml:space="preserve">INF740KA1TA7</t>
        </is>
      </c>
    </row>
    <row r="2280">
      <c r="A2280" t="inlineStr">
        <is>
          <t xml:space="preserve">DSP Mutual Fund</t>
        </is>
      </c>
      <c r="B2280" t="inlineStr">
        <is>
          <t xml:space="preserve">DSP Nifty Private Bank Index Fund - Direct - Growth</t>
        </is>
      </c>
      <c r="C2280" t="inlineStr">
        <is>
          <t xml:space="preserve">INF740KA1VN6</t>
        </is>
      </c>
    </row>
    <row r="2281">
      <c r="A2281" t="inlineStr">
        <is>
          <t xml:space="preserve">DSP Mutual Fund</t>
        </is>
      </c>
      <c r="B2281" t="inlineStr">
        <is>
          <t xml:space="preserve">DSP Nifty Private Bank Index Fund - Direct - IDCW</t>
        </is>
      </c>
      <c r="C2281" t="inlineStr">
        <is>
          <t xml:space="preserve">INF740KA1VO4</t>
        </is>
      </c>
    </row>
    <row r="2282">
      <c r="A2282" t="inlineStr">
        <is>
          <t xml:space="preserve">DSP Mutual Fund</t>
        </is>
      </c>
      <c r="B2282" t="inlineStr">
        <is>
          <t xml:space="preserve">DSP Nifty Private Bank Index Fund - Regular - Growth</t>
        </is>
      </c>
      <c r="C2282" t="inlineStr">
        <is>
          <t xml:space="preserve">INF740KA1VK2</t>
        </is>
      </c>
    </row>
    <row r="2283">
      <c r="A2283" t="inlineStr">
        <is>
          <t xml:space="preserve">DSP Mutual Fund</t>
        </is>
      </c>
      <c r="B2283" t="inlineStr">
        <is>
          <t xml:space="preserve">DSP Nifty Private Bank Index Fund - Regular - IDCW</t>
        </is>
      </c>
      <c r="C2283" t="inlineStr">
        <is>
          <t xml:space="preserve">INF740KA1VL0</t>
        </is>
      </c>
    </row>
    <row r="2284">
      <c r="A2284" t="inlineStr">
        <is>
          <t xml:space="preserve">DSP Mutual Fund</t>
        </is>
      </c>
      <c r="B2284" t="inlineStr">
        <is>
          <t xml:space="preserve">DSP Nifty PSU Bank ETF</t>
        </is>
      </c>
      <c r="C2284" t="inlineStr">
        <is>
          <t xml:space="preserve">INF740KA1SY9</t>
        </is>
      </c>
    </row>
    <row r="2285">
      <c r="A2285" t="inlineStr">
        <is>
          <t xml:space="preserve">DSP Mutual Fund</t>
        </is>
      </c>
      <c r="B2285" t="inlineStr">
        <is>
          <t xml:space="preserve">DSP Nifty SDL Plus G-Sec Jun 2028 30:70 Index Fund - Direct - Growth</t>
        </is>
      </c>
      <c r="C2285" t="inlineStr">
        <is>
          <t xml:space="preserve">INF740KA1QV9</t>
        </is>
      </c>
    </row>
    <row r="2286">
      <c r="A2286" t="inlineStr">
        <is>
          <t xml:space="preserve">DSP Mutual Fund</t>
        </is>
      </c>
      <c r="B2286" t="inlineStr">
        <is>
          <t xml:space="preserve">DSP Nifty SDL Plus G-Sec Jun 2028 30:70 Index Fund - Direct - IDCW</t>
        </is>
      </c>
      <c r="C2286" t="inlineStr">
        <is>
          <t xml:space="preserve">INF740KA1QW7</t>
        </is>
      </c>
    </row>
    <row r="2287">
      <c r="A2287" t="inlineStr">
        <is>
          <t xml:space="preserve">DSP Mutual Fund</t>
        </is>
      </c>
      <c r="B2287" t="inlineStr">
        <is>
          <t xml:space="preserve">DSP Nifty SDL Plus G-Sec Jun 2028 30:70 Index Fund - Regular - Growth</t>
        </is>
      </c>
      <c r="C2287" t="inlineStr">
        <is>
          <t xml:space="preserve">INF740KA1QS5</t>
        </is>
      </c>
    </row>
    <row r="2288">
      <c r="A2288" t="inlineStr">
        <is>
          <t xml:space="preserve">DSP Mutual Fund</t>
        </is>
      </c>
      <c r="B2288" t="inlineStr">
        <is>
          <t xml:space="preserve">DSP Nifty SDL Plus G-Sec Jun 2028 30:70 Index Fund - Regular - IDCW</t>
        </is>
      </c>
      <c r="C2288" t="inlineStr">
        <is>
          <t xml:space="preserve">INF740KA1QT3</t>
        </is>
      </c>
    </row>
    <row r="2289">
      <c r="A2289" t="inlineStr">
        <is>
          <t xml:space="preserve">DSP Mutual Fund</t>
        </is>
      </c>
      <c r="B2289" t="inlineStr">
        <is>
          <t xml:space="preserve">DSP Nifty SDL Plus G-Sec Sep 2027 50:50 Index Fund - Direct - Growth</t>
        </is>
      </c>
      <c r="C2289" t="inlineStr">
        <is>
          <t xml:space="preserve">INF740KA1SH4</t>
        </is>
      </c>
    </row>
    <row r="2290">
      <c r="A2290" t="inlineStr">
        <is>
          <t xml:space="preserve">DSP Mutual Fund</t>
        </is>
      </c>
      <c r="B2290" t="inlineStr">
        <is>
          <t xml:space="preserve">DSP Nifty SDL Plus G-Sec Sep 2027 50:50 Index Fund - Direct - IDCW</t>
        </is>
      </c>
      <c r="C2290" t="inlineStr">
        <is>
          <t xml:space="preserve">INF740KA1SI2</t>
        </is>
      </c>
    </row>
    <row r="2291">
      <c r="A2291" t="inlineStr">
        <is>
          <t xml:space="preserve">DSP Mutual Fund</t>
        </is>
      </c>
      <c r="B2291" t="inlineStr">
        <is>
          <t xml:space="preserve">DSP Nifty SDL Plus G-Sec Sep 2027 50:50 Index Fund - Regular - Growth</t>
        </is>
      </c>
      <c r="C2291" t="inlineStr">
        <is>
          <t xml:space="preserve">INF740KA1SE1</t>
        </is>
      </c>
    </row>
    <row r="2292">
      <c r="A2292" t="inlineStr">
        <is>
          <t xml:space="preserve">DSP Mutual Fund</t>
        </is>
      </c>
      <c r="B2292" t="inlineStr">
        <is>
          <t xml:space="preserve">DSP Nifty SDL Plus G-Sec Sep 2027 50:50 Index Fund - Regular - IDCW</t>
        </is>
      </c>
      <c r="C2292" t="inlineStr">
        <is>
          <t xml:space="preserve">INF740KA1SF8</t>
        </is>
      </c>
    </row>
    <row r="2293">
      <c r="A2293" t="inlineStr">
        <is>
          <t xml:space="preserve">DSP Mutual Fund</t>
        </is>
      </c>
      <c r="B2293" t="inlineStr">
        <is>
          <t xml:space="preserve">DSP Nifty Smallcap 250 ETF</t>
        </is>
      </c>
      <c r="C2293" t="inlineStr">
        <is>
          <t xml:space="preserve">INF740KA1WX3</t>
        </is>
      </c>
    </row>
    <row r="2294">
      <c r="A2294" t="inlineStr">
        <is>
          <t xml:space="preserve">DSP Mutual Fund</t>
        </is>
      </c>
      <c r="B2294" t="inlineStr">
        <is>
          <t xml:space="preserve">DSP Nifty Smallcap 250 Index Fund - Direct - Growth</t>
        </is>
      </c>
      <c r="C2294" t="inlineStr">
        <is>
          <t xml:space="preserve">INF740KA1XH4</t>
        </is>
      </c>
    </row>
    <row r="2295">
      <c r="A2295" t="inlineStr">
        <is>
          <t xml:space="preserve">DSP Mutual Fund</t>
        </is>
      </c>
      <c r="B2295" t="inlineStr">
        <is>
          <t xml:space="preserve">DSP Nifty Smallcap 250 Index Fund - Direct - IDCW</t>
        </is>
      </c>
      <c r="C2295" t="inlineStr">
        <is>
          <t xml:space="preserve">INF740KA1XI2</t>
        </is>
      </c>
    </row>
    <row r="2296">
      <c r="A2296" t="inlineStr">
        <is>
          <t xml:space="preserve">DSP Mutual Fund</t>
        </is>
      </c>
      <c r="B2296" t="inlineStr">
        <is>
          <t xml:space="preserve">DSP Nifty Smallcap 250 Index Fund - Regular - Growth</t>
        </is>
      </c>
      <c r="C2296" t="inlineStr">
        <is>
          <t xml:space="preserve">INF740KA1XE1</t>
        </is>
      </c>
    </row>
    <row r="2297">
      <c r="A2297" t="inlineStr">
        <is>
          <t xml:space="preserve">DSP Mutual Fund</t>
        </is>
      </c>
      <c r="B2297" t="inlineStr">
        <is>
          <t xml:space="preserve">DSP Nifty Smallcap 250 Index Fund - Regular - IDCW</t>
        </is>
      </c>
      <c r="C2297" t="inlineStr">
        <is>
          <t xml:space="preserve">INF740KA1XF8</t>
        </is>
      </c>
    </row>
    <row r="2298">
      <c r="A2298" t="inlineStr">
        <is>
          <t xml:space="preserve">DSP Mutual Fund</t>
        </is>
      </c>
      <c r="B2298" t="inlineStr">
        <is>
          <t xml:space="preserve">DSP Nifty Smallcap250 Quality 50 Index Fund - Direct - Growth</t>
        </is>
      </c>
      <c r="C2298" t="inlineStr">
        <is>
          <t xml:space="preserve">INF740KA1TW1</t>
        </is>
      </c>
    </row>
    <row r="2299">
      <c r="A2299" t="inlineStr">
        <is>
          <t xml:space="preserve">DSP Mutual Fund</t>
        </is>
      </c>
      <c r="B2299" t="inlineStr">
        <is>
          <t xml:space="preserve">DSP Nifty Smallcap250 Quality 50 Index Fund - Direct - IDCW</t>
        </is>
      </c>
      <c r="C2299" t="inlineStr">
        <is>
          <t xml:space="preserve">INF740KA1TX9</t>
        </is>
      </c>
    </row>
    <row r="2300">
      <c r="A2300" t="inlineStr">
        <is>
          <t xml:space="preserve">DSP Mutual Fund</t>
        </is>
      </c>
      <c r="B2300" t="inlineStr">
        <is>
          <t xml:space="preserve">DSP Nifty Smallcap250 Quality 50 Index Fund - Regular - Growth</t>
        </is>
      </c>
      <c r="C2300" t="inlineStr">
        <is>
          <t xml:space="preserve">INF740KA1TT7</t>
        </is>
      </c>
    </row>
    <row r="2301">
      <c r="A2301" t="inlineStr">
        <is>
          <t xml:space="preserve">DSP Mutual Fund</t>
        </is>
      </c>
      <c r="B2301" t="inlineStr">
        <is>
          <t xml:space="preserve">DSP Nifty Smallcap250 Quality 50 Index Fund - Regular - IDCW</t>
        </is>
      </c>
      <c r="C2301" t="inlineStr">
        <is>
          <t xml:space="preserve">INF740KA1TU5</t>
        </is>
      </c>
    </row>
    <row r="2302">
      <c r="A2302" t="inlineStr">
        <is>
          <t xml:space="preserve">DSP Mutual Fund</t>
        </is>
      </c>
      <c r="B2302" t="inlineStr">
        <is>
          <t xml:space="preserve">DSP Nifty Top 10 Equal Weight ETF</t>
        </is>
      </c>
      <c r="C2302" t="inlineStr">
        <is>
          <t xml:space="preserve">INF740KA1UR9</t>
        </is>
      </c>
    </row>
    <row r="2303">
      <c r="A2303" t="inlineStr">
        <is>
          <t xml:space="preserve">DSP Mutual Fund</t>
        </is>
      </c>
      <c r="B2303" t="inlineStr">
        <is>
          <t xml:space="preserve">DSP Nifty Top 10 Equal Weight Index Fund - Direct - Growth</t>
        </is>
      </c>
      <c r="C2303" t="inlineStr">
        <is>
          <t xml:space="preserve">INF740KA1UQ1</t>
        </is>
      </c>
    </row>
    <row r="2304">
      <c r="A2304" t="inlineStr">
        <is>
          <t xml:space="preserve">DSP Mutual Fund</t>
        </is>
      </c>
      <c r="B2304" t="inlineStr">
        <is>
          <t xml:space="preserve">DSP Nifty Top 10 Equal Weight Index Fund - Regular - Growth</t>
        </is>
      </c>
      <c r="C2304" t="inlineStr">
        <is>
          <t xml:space="preserve">INF740KA1UP3</t>
        </is>
      </c>
    </row>
    <row r="2305">
      <c r="A2305" t="inlineStr">
        <is>
          <t xml:space="preserve">DSP Mutual Fund</t>
        </is>
      </c>
      <c r="B2305" t="inlineStr">
        <is>
          <t xml:space="preserve">DSP Nifty500 Flexicap Quality 30 ETF</t>
        </is>
      </c>
      <c r="C2305" t="inlineStr">
        <is>
          <t xml:space="preserve">INF740KA1WU9</t>
        </is>
      </c>
    </row>
    <row r="2306">
      <c r="A2306" t="inlineStr">
        <is>
          <t xml:space="preserve">DSP Mutual Fund</t>
        </is>
      </c>
      <c r="B2306" t="inlineStr">
        <is>
          <t xml:space="preserve">DSP Nifty500 Flexicap Quality 30 Index Fund - Direct - Growth</t>
        </is>
      </c>
      <c r="C2306" t="inlineStr">
        <is>
          <t xml:space="preserve">INF740KA1WR5</t>
        </is>
      </c>
    </row>
    <row r="2307">
      <c r="A2307" t="inlineStr">
        <is>
          <t xml:space="preserve">DSP Mutual Fund</t>
        </is>
      </c>
      <c r="B2307" t="inlineStr">
        <is>
          <t xml:space="preserve">DSP Nifty500 Flexicap Quality 30 Index Fund - Direct - IDCW</t>
        </is>
      </c>
      <c r="C2307" t="inlineStr">
        <is>
          <t xml:space="preserve">INF740KA1WS3</t>
        </is>
      </c>
    </row>
    <row r="2308">
      <c r="A2308" t="inlineStr">
        <is>
          <t xml:space="preserve">DSP Mutual Fund</t>
        </is>
      </c>
      <c r="B2308" t="inlineStr">
        <is>
          <t xml:space="preserve">DSP Nifty500 Flexicap Quality 30 Index Fund - Regular - Growth</t>
        </is>
      </c>
      <c r="C2308" t="inlineStr">
        <is>
          <t xml:space="preserve">INF740KA1WO2</t>
        </is>
      </c>
    </row>
    <row r="2309">
      <c r="A2309" t="inlineStr">
        <is>
          <t xml:space="preserve">DSP Mutual Fund</t>
        </is>
      </c>
      <c r="B2309" t="inlineStr">
        <is>
          <t xml:space="preserve">DSP Nifty500 Flexicap Quality 30 Index Fund - Regular - IDCW</t>
        </is>
      </c>
      <c r="C2309" t="inlineStr">
        <is>
          <t xml:space="preserve">INF740KA1WP9</t>
        </is>
      </c>
    </row>
    <row r="2310">
      <c r="A2310" t="inlineStr">
        <is>
          <t xml:space="preserve">DSP Mutual Fund</t>
        </is>
      </c>
      <c r="B2310" t="inlineStr">
        <is>
          <t xml:space="preserve">DSP Overnight Fund - Direct Plan - Growth</t>
        </is>
      </c>
      <c r="C2310" t="inlineStr">
        <is>
          <t xml:space="preserve">INF740KA1MC8</t>
        </is>
      </c>
    </row>
    <row r="2311">
      <c r="A2311" t="inlineStr">
        <is>
          <t xml:space="preserve">DSP Mutual Fund</t>
        </is>
      </c>
      <c r="B2311" t="inlineStr">
        <is>
          <t xml:space="preserve">DSP Overnight Fund - Direct Plan - IDCW - Daily</t>
        </is>
      </c>
      <c r="C2311" t="inlineStr">
        <is>
          <t xml:space="preserve">INF740KA1OR2</t>
        </is>
      </c>
    </row>
    <row r="2312">
      <c r="A2312" t="inlineStr">
        <is>
          <t xml:space="preserve">DSP Mutual Fund</t>
        </is>
      </c>
      <c r="B2312" t="inlineStr">
        <is>
          <t xml:space="preserve">DSP Overnight Fund - Direct Plan - IDCW - Weekly</t>
        </is>
      </c>
      <c r="C2312" t="inlineStr">
        <is>
          <t xml:space="preserve">INF740KA1OS0</t>
        </is>
      </c>
    </row>
    <row r="2313">
      <c r="A2313" t="inlineStr">
        <is>
          <t xml:space="preserve">DSP Mutual Fund</t>
        </is>
      </c>
      <c r="B2313" t="inlineStr">
        <is>
          <t xml:space="preserve">DSP Overnight Fund - Regular Plan - Growth</t>
        </is>
      </c>
      <c r="C2313" t="inlineStr">
        <is>
          <t xml:space="preserve">INF740KA1MB0</t>
        </is>
      </c>
    </row>
    <row r="2314">
      <c r="A2314" t="inlineStr">
        <is>
          <t xml:space="preserve">DSP Mutual Fund</t>
        </is>
      </c>
      <c r="B2314" t="inlineStr">
        <is>
          <t xml:space="preserve">DSP Overnight Fund - Regular Plan - IDCW - Daily</t>
        </is>
      </c>
      <c r="C2314" t="inlineStr">
        <is>
          <t xml:space="preserve">INF740KA1OU6</t>
        </is>
      </c>
    </row>
    <row r="2315">
      <c r="A2315" t="inlineStr">
        <is>
          <t xml:space="preserve">DSP Mutual Fund</t>
        </is>
      </c>
      <c r="B2315" t="inlineStr">
        <is>
          <t xml:space="preserve">DSP Overnight Fund - Regular Plan - IDCW - Weekly</t>
        </is>
      </c>
      <c r="C2315" t="inlineStr">
        <is>
          <t xml:space="preserve">INF740KA1OV4</t>
        </is>
      </c>
    </row>
    <row r="2316">
      <c r="A2316" t="inlineStr">
        <is>
          <t xml:space="preserve">DSP Mutual Fund</t>
        </is>
      </c>
      <c r="B2316" t="inlineStr">
        <is>
          <t xml:space="preserve">DSP Quant Fund - Direct Plan - Growth</t>
        </is>
      </c>
      <c r="C2316" t="inlineStr">
        <is>
          <t xml:space="preserve">INF740KA1NQ6</t>
        </is>
      </c>
    </row>
    <row r="2317">
      <c r="A2317" t="inlineStr">
        <is>
          <t xml:space="preserve">DSP Mutual Fund</t>
        </is>
      </c>
      <c r="B2317" t="inlineStr">
        <is>
          <t xml:space="preserve">DSP Quant Fund - Direct Plan - IDCW</t>
        </is>
      </c>
      <c r="C2317" t="inlineStr">
        <is>
          <t xml:space="preserve">INF740KA1NR4</t>
        </is>
      </c>
    </row>
    <row r="2318">
      <c r="A2318" t="inlineStr">
        <is>
          <t xml:space="preserve">DSP Mutual Fund</t>
        </is>
      </c>
      <c r="B2318" t="inlineStr">
        <is>
          <t xml:space="preserve">DSP Quant Fund - Regular Plan - Growth</t>
        </is>
      </c>
      <c r="C2318" t="inlineStr">
        <is>
          <t xml:space="preserve">INF740KA1NN3</t>
        </is>
      </c>
    </row>
    <row r="2319">
      <c r="A2319" t="inlineStr">
        <is>
          <t xml:space="preserve">DSP Mutual Fund</t>
        </is>
      </c>
      <c r="B2319" t="inlineStr">
        <is>
          <t xml:space="preserve">DSP Quant Fund - Regular Plan - IDCW</t>
        </is>
      </c>
      <c r="C2319" t="inlineStr">
        <is>
          <t xml:space="preserve">INF740KA1NO1</t>
        </is>
      </c>
    </row>
    <row r="2320">
      <c r="A2320" t="inlineStr">
        <is>
          <t xml:space="preserve">DSP Mutual Fund</t>
        </is>
      </c>
      <c r="B2320" t="inlineStr">
        <is>
          <t xml:space="preserve">DSP Regular Savings Fund - Direct Plan - Growth</t>
        </is>
      </c>
      <c r="C2320" t="inlineStr">
        <is>
          <t xml:space="preserve">INF740K01NO5</t>
        </is>
      </c>
    </row>
    <row r="2321">
      <c r="A2321" t="inlineStr">
        <is>
          <t xml:space="preserve">DSP Mutual Fund</t>
        </is>
      </c>
      <c r="B2321" t="inlineStr">
        <is>
          <t xml:space="preserve">DSP Regular Savings Fund - Direct Plan - IDCW - Monthly</t>
        </is>
      </c>
      <c r="C2321" t="inlineStr">
        <is>
          <t xml:space="preserve">INF740K01NP2</t>
        </is>
      </c>
    </row>
    <row r="2322">
      <c r="A2322" t="inlineStr">
        <is>
          <t xml:space="preserve">DSP Mutual Fund</t>
        </is>
      </c>
      <c r="B2322" t="inlineStr">
        <is>
          <t xml:space="preserve">DSP Regular Savings Fund - Direct Plan - IDCW - Quarterly</t>
        </is>
      </c>
      <c r="C2322" t="inlineStr">
        <is>
          <t xml:space="preserve">INF740K01NQ0</t>
        </is>
      </c>
    </row>
    <row r="2323">
      <c r="A2323" t="inlineStr">
        <is>
          <t xml:space="preserve">DSP Mutual Fund</t>
        </is>
      </c>
      <c r="B2323" t="inlineStr">
        <is>
          <t xml:space="preserve">DSP Regular Savings Fund - Regular Plan - IDCW - Monthly</t>
        </is>
      </c>
      <c r="C2323" t="inlineStr">
        <is>
          <t xml:space="preserve">INF740K01458</t>
        </is>
      </c>
    </row>
    <row r="2324">
      <c r="A2324" t="inlineStr">
        <is>
          <t xml:space="preserve">DSP Mutual Fund</t>
        </is>
      </c>
      <c r="B2324" t="inlineStr">
        <is>
          <t xml:space="preserve">DSP Regular Savings Fund - Regular Plan - IDCW - Quarterly</t>
        </is>
      </c>
      <c r="C2324" t="inlineStr">
        <is>
          <t xml:space="preserve">INF740K01474</t>
        </is>
      </c>
    </row>
    <row r="2325">
      <c r="A2325" t="inlineStr">
        <is>
          <t xml:space="preserve">DSP Mutual Fund</t>
        </is>
      </c>
      <c r="B2325" t="inlineStr">
        <is>
          <t xml:space="preserve">DSP Regular Savings Fund- Regular Plan - Growth</t>
        </is>
      </c>
      <c r="C2325" t="inlineStr">
        <is>
          <t xml:space="preserve">INF740K01441</t>
        </is>
      </c>
    </row>
    <row r="2326">
      <c r="A2326" t="inlineStr">
        <is>
          <t xml:space="preserve">DSP Mutual Fund</t>
        </is>
      </c>
      <c r="B2326" t="inlineStr">
        <is>
          <t xml:space="preserve">DSP Savings Fund - Direct Plan -  IDCW - Daily</t>
        </is>
      </c>
      <c r="C2326" t="inlineStr">
        <is>
          <t xml:space="preserve">INF740KA1PB3</t>
        </is>
      </c>
    </row>
    <row r="2327">
      <c r="A2327" t="inlineStr">
        <is>
          <t xml:space="preserve">DSP Mutual Fund</t>
        </is>
      </c>
      <c r="B2327" t="inlineStr">
        <is>
          <t xml:space="preserve">DSP Savings Fund - Direct Plan - Growth</t>
        </is>
      </c>
      <c r="C2327" t="inlineStr">
        <is>
          <t xml:space="preserve">INF740K01NU2</t>
        </is>
      </c>
    </row>
    <row r="2328">
      <c r="A2328" t="inlineStr">
        <is>
          <t xml:space="preserve">DSP Mutual Fund</t>
        </is>
      </c>
      <c r="B2328" t="inlineStr">
        <is>
          <t xml:space="preserve">DSP Savings Fund - Direct Plan - IDCW</t>
        </is>
      </c>
      <c r="C2328" t="inlineStr">
        <is>
          <t xml:space="preserve">INF740K01NV0</t>
        </is>
      </c>
    </row>
    <row r="2329">
      <c r="A2329" t="inlineStr">
        <is>
          <t xml:space="preserve">DSP Mutual Fund</t>
        </is>
      </c>
      <c r="B2329" t="inlineStr">
        <is>
          <t xml:space="preserve">DSP Savings Fund - Direct Plan - IDCW - Monthly</t>
        </is>
      </c>
      <c r="C2329" t="inlineStr">
        <is>
          <t xml:space="preserve">INF740K01NT4</t>
        </is>
      </c>
    </row>
    <row r="2330">
      <c r="A2330" t="inlineStr">
        <is>
          <t xml:space="preserve">DSP Mutual Fund</t>
        </is>
      </c>
      <c r="B2330" t="inlineStr">
        <is>
          <t xml:space="preserve">DSP Savings Fund - Direct Plan - IDCW Weekly</t>
        </is>
      </c>
      <c r="C2330" t="inlineStr">
        <is>
          <t xml:space="preserve">INF740KA1ZD8</t>
        </is>
      </c>
    </row>
    <row r="2331">
      <c r="A2331" t="inlineStr">
        <is>
          <t xml:space="preserve">DSP Mutual Fund</t>
        </is>
      </c>
      <c r="B2331" t="inlineStr">
        <is>
          <t xml:space="preserve">DSP Savings Fund - Regular Plan - Growth</t>
        </is>
      </c>
      <c r="C2331" t="inlineStr">
        <is>
          <t xml:space="preserve">INF740K01714</t>
        </is>
      </c>
    </row>
    <row r="2332">
      <c r="A2332" t="inlineStr">
        <is>
          <t xml:space="preserve">DSP Mutual Fund</t>
        </is>
      </c>
      <c r="B2332" t="inlineStr">
        <is>
          <t xml:space="preserve">DSP Savings Fund - Regular Plan - IDCW</t>
        </is>
      </c>
      <c r="C2332" t="inlineStr">
        <is>
          <t xml:space="preserve">INF740K01706</t>
        </is>
      </c>
    </row>
    <row r="2333">
      <c r="A2333" t="inlineStr">
        <is>
          <t xml:space="preserve">DSP Mutual Fund</t>
        </is>
      </c>
      <c r="B2333" t="inlineStr">
        <is>
          <t xml:space="preserve">DSP Savings Fund - Regular Plan - IDCW - Daily</t>
        </is>
      </c>
      <c r="C2333" t="inlineStr">
        <is>
          <t xml:space="preserve">INF740KA1PC1</t>
        </is>
      </c>
    </row>
    <row r="2334">
      <c r="A2334" t="inlineStr">
        <is>
          <t xml:space="preserve">DSP Mutual Fund</t>
        </is>
      </c>
      <c r="B2334" t="inlineStr">
        <is>
          <t xml:space="preserve">DSP Savings Fund - Regular Plan - IDCW - Monthly</t>
        </is>
      </c>
      <c r="C2334" t="inlineStr">
        <is>
          <t xml:space="preserve">INF740K01722</t>
        </is>
      </c>
    </row>
    <row r="2335">
      <c r="A2335" t="inlineStr">
        <is>
          <t xml:space="preserve">DSP Mutual Fund</t>
        </is>
      </c>
      <c r="B2335" t="inlineStr">
        <is>
          <t xml:space="preserve">DSP Short Term Fund - Direct Plan - Growth</t>
        </is>
      </c>
      <c r="C2335" t="inlineStr">
        <is>
          <t xml:space="preserve">INF740K01NJ5</t>
        </is>
      </c>
    </row>
    <row r="2336">
      <c r="A2336" t="inlineStr">
        <is>
          <t xml:space="preserve">DSP Mutual Fund</t>
        </is>
      </c>
      <c r="B2336" t="inlineStr">
        <is>
          <t xml:space="preserve">DSP Short Term Fund - Direct Plan - IDCW</t>
        </is>
      </c>
      <c r="C2336" t="inlineStr">
        <is>
          <t xml:space="preserve">INF740K01NK3</t>
        </is>
      </c>
    </row>
    <row r="2337">
      <c r="A2337" t="inlineStr">
        <is>
          <t xml:space="preserve">DSP Mutual Fund</t>
        </is>
      </c>
      <c r="B2337" t="inlineStr">
        <is>
          <t xml:space="preserve">DSP Short Term Fund - Direct Plan - IDCW - Monthly</t>
        </is>
      </c>
      <c r="C2337" t="inlineStr">
        <is>
          <t xml:space="preserve">INF740K01NL1</t>
        </is>
      </c>
    </row>
    <row r="2338">
      <c r="A2338" t="inlineStr">
        <is>
          <t xml:space="preserve">DSP Mutual Fund</t>
        </is>
      </c>
      <c r="B2338" t="inlineStr">
        <is>
          <t xml:space="preserve">DSP Short Term Fund - Direct Plan - IDCW - Weekly</t>
        </is>
      </c>
      <c r="C2338" t="inlineStr">
        <is>
          <t xml:space="preserve">INF740KA1PD9</t>
        </is>
      </c>
    </row>
    <row r="2339">
      <c r="A2339" t="inlineStr">
        <is>
          <t xml:space="preserve">DSP Mutual Fund</t>
        </is>
      </c>
      <c r="B2339" t="inlineStr">
        <is>
          <t xml:space="preserve">DSP Short Term Fund - IDCW - Monthly</t>
        </is>
      </c>
      <c r="C2339" t="inlineStr">
        <is>
          <t xml:space="preserve">INF740K01664</t>
        </is>
      </c>
    </row>
    <row r="2340">
      <c r="A2340" t="inlineStr">
        <is>
          <t xml:space="preserve">DSP Mutual Fund</t>
        </is>
      </c>
      <c r="B2340" t="inlineStr">
        <is>
          <t xml:space="preserve">DSP Short Term Fund - Regular Plan - Growth</t>
        </is>
      </c>
      <c r="C2340" t="inlineStr">
        <is>
          <t xml:space="preserve">INF740K01656</t>
        </is>
      </c>
    </row>
    <row r="2341">
      <c r="A2341" t="inlineStr">
        <is>
          <t xml:space="preserve">DSP Mutual Fund</t>
        </is>
      </c>
      <c r="B2341" t="inlineStr">
        <is>
          <t xml:space="preserve">DSP Short Term Fund - Regular Plan - IDCW</t>
        </is>
      </c>
      <c r="C2341" t="inlineStr">
        <is>
          <t xml:space="preserve">INF740K01649</t>
        </is>
      </c>
    </row>
    <row r="2342">
      <c r="A2342" t="inlineStr">
        <is>
          <t xml:space="preserve">DSP Mutual Fund</t>
        </is>
      </c>
      <c r="B2342" t="inlineStr">
        <is>
          <t xml:space="preserve">DSP Short Term Fund - Regular Plan - Regular Plan - IDCW - Weekly</t>
        </is>
      </c>
      <c r="C2342" t="inlineStr">
        <is>
          <t xml:space="preserve">INF740KA1PF4</t>
        </is>
      </c>
    </row>
    <row r="2343">
      <c r="A2343" t="inlineStr">
        <is>
          <t xml:space="preserve">DSP Mutual Fund</t>
        </is>
      </c>
      <c r="B2343" t="inlineStr">
        <is>
          <t xml:space="preserve">DSP Silver ETF</t>
        </is>
      </c>
      <c r="C2343" t="inlineStr">
        <is>
          <t xml:space="preserve">INF740KA1RE3</t>
        </is>
      </c>
    </row>
    <row r="2344">
      <c r="A2344" t="inlineStr">
        <is>
          <t xml:space="preserve">DSP Mutual Fund</t>
        </is>
      </c>
      <c r="B2344" t="inlineStr">
        <is>
          <t xml:space="preserve">DSP Silver ETF Fund of Fund - Direct - Growth</t>
        </is>
      </c>
      <c r="C2344" t="inlineStr">
        <is>
          <t xml:space="preserve">INF740KA1VZ0</t>
        </is>
      </c>
    </row>
    <row r="2345">
      <c r="A2345" t="inlineStr">
        <is>
          <t xml:space="preserve">DSP Mutual Fund</t>
        </is>
      </c>
      <c r="B2345" t="inlineStr">
        <is>
          <t xml:space="preserve">DSP Silver ETF Fund of Fund - Direct - IDCW</t>
        </is>
      </c>
      <c r="C2345" t="inlineStr">
        <is>
          <t xml:space="preserve">INF740KA1WA1</t>
        </is>
      </c>
    </row>
    <row r="2346">
      <c r="A2346" t="inlineStr">
        <is>
          <t xml:space="preserve">DSP Mutual Fund</t>
        </is>
      </c>
      <c r="B2346" t="inlineStr">
        <is>
          <t xml:space="preserve">DSP Silver ETF Fund of Fund - Regular - Growth</t>
        </is>
      </c>
      <c r="C2346" t="inlineStr">
        <is>
          <t xml:space="preserve">INF740KA1VW7</t>
        </is>
      </c>
    </row>
    <row r="2347">
      <c r="A2347" t="inlineStr">
        <is>
          <t xml:space="preserve">DSP Mutual Fund</t>
        </is>
      </c>
      <c r="B2347" t="inlineStr">
        <is>
          <t xml:space="preserve">DSP Silver ETF Fund of Fund - Regular - IDCW</t>
        </is>
      </c>
      <c r="C2347" t="inlineStr">
        <is>
          <t xml:space="preserve">INF740KA1VX5</t>
        </is>
      </c>
    </row>
    <row r="2348">
      <c r="A2348" t="inlineStr">
        <is>
          <t xml:space="preserve">DSP Mutual Fund</t>
        </is>
      </c>
      <c r="B2348" t="inlineStr">
        <is>
          <t xml:space="preserve">DSP Small Cap Fund - Direct Plan - Growth</t>
        </is>
      </c>
      <c r="C2348" t="inlineStr">
        <is>
          <t xml:space="preserve">INF740K01QD1</t>
        </is>
      </c>
    </row>
    <row r="2349">
      <c r="A2349" t="inlineStr">
        <is>
          <t xml:space="preserve">DSP Mutual Fund</t>
        </is>
      </c>
      <c r="B2349" t="inlineStr">
        <is>
          <t xml:space="preserve">DSP Small Cap Fund - Direct Plan - IDCW</t>
        </is>
      </c>
      <c r="C2349" t="inlineStr">
        <is>
          <t xml:space="preserve">INF740K01QE9</t>
        </is>
      </c>
    </row>
    <row r="2350">
      <c r="A2350" t="inlineStr">
        <is>
          <t xml:space="preserve">DSP Mutual Fund</t>
        </is>
      </c>
      <c r="B2350" t="inlineStr">
        <is>
          <t xml:space="preserve">DSP Small Cap Fund - Regular - Growth</t>
        </is>
      </c>
      <c r="C2350" t="inlineStr">
        <is>
          <t xml:space="preserve">INF740K01797</t>
        </is>
      </c>
    </row>
    <row r="2351">
      <c r="A2351" t="inlineStr">
        <is>
          <t xml:space="preserve">DSP Mutual Fund</t>
        </is>
      </c>
      <c r="B2351" t="inlineStr">
        <is>
          <t xml:space="preserve">DSP Small Cap Fund - Regular - IDCW</t>
        </is>
      </c>
      <c r="C2351" t="inlineStr">
        <is>
          <t xml:space="preserve">INF740K01805</t>
        </is>
      </c>
    </row>
    <row r="2352">
      <c r="A2352" t="inlineStr">
        <is>
          <t xml:space="preserve">DSP Mutual Fund</t>
        </is>
      </c>
      <c r="B2352" t="inlineStr">
        <is>
          <t xml:space="preserve">DSP Strategic Bond Fund - Direct Plan - Growth</t>
        </is>
      </c>
      <c r="C2352" t="inlineStr">
        <is>
          <t xml:space="preserve">INF740K01QG4</t>
        </is>
      </c>
    </row>
    <row r="2353">
      <c r="A2353" t="inlineStr">
        <is>
          <t xml:space="preserve">DSP Mutual Fund</t>
        </is>
      </c>
      <c r="B2353" t="inlineStr">
        <is>
          <t xml:space="preserve">DSP Strategic Bond Fund - Direct Plan - IDCW</t>
        </is>
      </c>
      <c r="C2353" t="inlineStr">
        <is>
          <t xml:space="preserve">INF740K01QI0</t>
        </is>
      </c>
    </row>
    <row r="2354">
      <c r="A2354" t="inlineStr">
        <is>
          <t xml:space="preserve">DSP Mutual Fund</t>
        </is>
      </c>
      <c r="B2354" t="inlineStr">
        <is>
          <t xml:space="preserve">DSP Strategic Bond Fund - Direct Plan - IDCW - Daily</t>
        </is>
      </c>
      <c r="C2354" t="inlineStr">
        <is>
          <t xml:space="preserve">INF740KA1OX0</t>
        </is>
      </c>
    </row>
    <row r="2355">
      <c r="A2355" t="inlineStr">
        <is>
          <t xml:space="preserve">DSP Mutual Fund</t>
        </is>
      </c>
      <c r="B2355" t="inlineStr">
        <is>
          <t xml:space="preserve">DSP Strategic Bond Fund - Direct Plan - IDCW - Monthly</t>
        </is>
      </c>
      <c r="C2355" t="inlineStr">
        <is>
          <t xml:space="preserve">INF740K01QH2</t>
        </is>
      </c>
    </row>
    <row r="2356">
      <c r="A2356" t="inlineStr">
        <is>
          <t xml:space="preserve">DSP Mutual Fund</t>
        </is>
      </c>
      <c r="B2356" t="inlineStr">
        <is>
          <t xml:space="preserve">DSP Strategic Bond Fund - Direct Plan - IDCW - Weekly</t>
        </is>
      </c>
      <c r="C2356" t="inlineStr">
        <is>
          <t xml:space="preserve">INF740KA1OY8</t>
        </is>
      </c>
    </row>
    <row r="2357">
      <c r="A2357" t="inlineStr">
        <is>
          <t xml:space="preserve">DSP Mutual Fund</t>
        </is>
      </c>
      <c r="B2357" t="inlineStr">
        <is>
          <t xml:space="preserve">DSP Strategic Bond Fund - Regular Plan - Growth</t>
        </is>
      </c>
      <c r="C2357" t="inlineStr">
        <is>
          <t xml:space="preserve">INF740K01GK7</t>
        </is>
      </c>
    </row>
    <row r="2358">
      <c r="A2358" t="inlineStr">
        <is>
          <t xml:space="preserve">DSP Mutual Fund</t>
        </is>
      </c>
      <c r="B2358" t="inlineStr">
        <is>
          <t xml:space="preserve">DSP Strategic Bond Fund - Regular Plan - IDCW</t>
        </is>
      </c>
      <c r="C2358" t="inlineStr">
        <is>
          <t xml:space="preserve">INF740K01GO9</t>
        </is>
      </c>
    </row>
    <row r="2359">
      <c r="A2359" t="inlineStr">
        <is>
          <t xml:space="preserve">DSP Mutual Fund</t>
        </is>
      </c>
      <c r="B2359" t="inlineStr">
        <is>
          <t xml:space="preserve">DSP Strategic Bond Fund - Regular Plan - IDCW - Daily</t>
        </is>
      </c>
      <c r="C2359" t="inlineStr">
        <is>
          <t xml:space="preserve">INF740KA1PA5</t>
        </is>
      </c>
    </row>
    <row r="2360">
      <c r="A2360" t="inlineStr">
        <is>
          <t xml:space="preserve">DSP Mutual Fund</t>
        </is>
      </c>
      <c r="B2360" t="inlineStr">
        <is>
          <t xml:space="preserve">DSP Strategic Bond Fund - Regular Plan - IDCW - Monthly</t>
        </is>
      </c>
      <c r="C2360" t="inlineStr">
        <is>
          <t xml:space="preserve">INF740K01GM3</t>
        </is>
      </c>
    </row>
    <row r="2361">
      <c r="A2361" t="inlineStr">
        <is>
          <t xml:space="preserve">DSP Mutual Fund</t>
        </is>
      </c>
      <c r="B2361" t="inlineStr">
        <is>
          <t xml:space="preserve">DSP Strategic Bond Fund - Regular Plan - IDCW - Weekly</t>
        </is>
      </c>
      <c r="C2361" t="inlineStr">
        <is>
          <t xml:space="preserve">INF740K01GQ4</t>
        </is>
      </c>
    </row>
    <row r="2362">
      <c r="A2362" t="inlineStr">
        <is>
          <t xml:space="preserve">DSP Mutual Fund</t>
        </is>
      </c>
      <c r="B2362" t="inlineStr">
        <is>
          <t xml:space="preserve">DSP Ultra Short Fund - Direct Plan - Growth</t>
        </is>
      </c>
      <c r="C2362" t="inlineStr">
        <is>
          <t xml:space="preserve">INF740K01ON5</t>
        </is>
      </c>
    </row>
    <row r="2363">
      <c r="A2363" t="inlineStr">
        <is>
          <t xml:space="preserve">DSP Mutual Fund</t>
        </is>
      </c>
      <c r="B2363" t="inlineStr">
        <is>
          <t xml:space="preserve">DSP Ultra Short Fund - Direct Plan - IDCW</t>
        </is>
      </c>
      <c r="C2363" t="inlineStr">
        <is>
          <t xml:space="preserve">INF740K01OQ8</t>
        </is>
      </c>
    </row>
    <row r="2364">
      <c r="A2364" t="inlineStr">
        <is>
          <t xml:space="preserve">DSP Mutual Fund</t>
        </is>
      </c>
      <c r="B2364" t="inlineStr">
        <is>
          <t xml:space="preserve">DSP Ultra Short Fund - Direct Plan - IDCW - Daily</t>
        </is>
      </c>
      <c r="C2364" t="inlineStr">
        <is>
          <t xml:space="preserve">INF740KA1NT0</t>
        </is>
      </c>
    </row>
    <row r="2365">
      <c r="A2365" t="inlineStr">
        <is>
          <t xml:space="preserve">DSP Mutual Fund</t>
        </is>
      </c>
      <c r="B2365" t="inlineStr">
        <is>
          <t xml:space="preserve">DSP Ultra Short Fund - Direct Plan - IDCW - Monthly</t>
        </is>
      </c>
      <c r="C2365" t="inlineStr">
        <is>
          <t xml:space="preserve">INF740K01OO3</t>
        </is>
      </c>
    </row>
    <row r="2366">
      <c r="A2366" t="inlineStr">
        <is>
          <t xml:space="preserve">DSP Mutual Fund</t>
        </is>
      </c>
      <c r="B2366" t="inlineStr">
        <is>
          <t xml:space="preserve">DSP Ultra Short Fund - Direct Plan - IDCW - Weekly</t>
        </is>
      </c>
      <c r="C2366" t="inlineStr">
        <is>
          <t xml:space="preserve">INF740KA1NU8</t>
        </is>
      </c>
    </row>
    <row r="2367">
      <c r="A2367" t="inlineStr">
        <is>
          <t xml:space="preserve">DSP Mutual Fund</t>
        </is>
      </c>
      <c r="B2367" t="inlineStr">
        <is>
          <t xml:space="preserve">DSP Ultra Short Fund - Regular Plan - Growth</t>
        </is>
      </c>
      <c r="C2367" t="inlineStr">
        <is>
          <t xml:space="preserve">INF740K01QQ3</t>
        </is>
      </c>
    </row>
    <row r="2368">
      <c r="A2368" t="inlineStr">
        <is>
          <t xml:space="preserve">DSP Mutual Fund</t>
        </is>
      </c>
      <c r="B2368" t="inlineStr">
        <is>
          <t xml:space="preserve">DSP Ultra Short Fund - Regular Plan - IDCW - Daily Reinvest</t>
        </is>
      </c>
      <c r="C2368" t="inlineStr">
        <is>
          <t xml:space="preserve">INF740KA1NW4</t>
        </is>
      </c>
    </row>
    <row r="2369">
      <c r="A2369" t="inlineStr">
        <is>
          <t xml:space="preserve">DSP Mutual Fund</t>
        </is>
      </c>
      <c r="B2369" t="inlineStr">
        <is>
          <t xml:space="preserve">DSP Ultra Short Fund - Regular Plan - IDCW - Monthly</t>
        </is>
      </c>
      <c r="C2369" t="inlineStr">
        <is>
          <t xml:space="preserve">INF740K01QS9</t>
        </is>
      </c>
    </row>
    <row r="2370">
      <c r="A2370" t="inlineStr">
        <is>
          <t xml:space="preserve">DSP Mutual Fund</t>
        </is>
      </c>
      <c r="B2370" t="inlineStr">
        <is>
          <t xml:space="preserve">DSP Ultra Short Fund - Regular Plan - IDCW - Payout</t>
        </is>
      </c>
      <c r="C2370" t="inlineStr">
        <is>
          <t xml:space="preserve">INF740K01MK5</t>
        </is>
      </c>
    </row>
    <row r="2371">
      <c r="A2371" t="inlineStr">
        <is>
          <t xml:space="preserve">DSP Mutual Fund</t>
        </is>
      </c>
      <c r="B2371" t="inlineStr">
        <is>
          <t xml:space="preserve">DSP US Specific Debt Passive FoF - Direct - Growth</t>
        </is>
      </c>
      <c r="C2371" t="inlineStr">
        <is>
          <t xml:space="preserve">INF740KA1UJ6</t>
        </is>
      </c>
    </row>
    <row r="2372">
      <c r="A2372" t="inlineStr">
        <is>
          <t xml:space="preserve">DSP Mutual Fund</t>
        </is>
      </c>
      <c r="B2372" t="inlineStr">
        <is>
          <t xml:space="preserve">DSP US Specific Debt Passive FoF - Direct - IDCW</t>
        </is>
      </c>
      <c r="C2372" t="inlineStr">
        <is>
          <t xml:space="preserve">INF740KA1UK4</t>
        </is>
      </c>
    </row>
    <row r="2373">
      <c r="A2373" t="inlineStr">
        <is>
          <t xml:space="preserve">DSP Mutual Fund</t>
        </is>
      </c>
      <c r="B2373" t="inlineStr">
        <is>
          <t xml:space="preserve">DSP US Specific Debt Passive FoF - Regular - Growth</t>
        </is>
      </c>
      <c r="C2373" t="inlineStr">
        <is>
          <t xml:space="preserve">INF740KA1UG2</t>
        </is>
      </c>
    </row>
    <row r="2374">
      <c r="A2374" t="inlineStr">
        <is>
          <t xml:space="preserve">DSP Mutual Fund</t>
        </is>
      </c>
      <c r="B2374" t="inlineStr">
        <is>
          <t xml:space="preserve">DSP US Specific Debt Passive FoF - Regular - IDCW</t>
        </is>
      </c>
      <c r="C2374" t="inlineStr">
        <is>
          <t xml:space="preserve">INF740KA1UH0</t>
        </is>
      </c>
    </row>
    <row r="2375">
      <c r="A2375" t="inlineStr">
        <is>
          <t xml:space="preserve">DSP Mutual Fund</t>
        </is>
      </c>
      <c r="B2375" t="inlineStr">
        <is>
          <t xml:space="preserve">DSP US Specific Equity Omni FoF - Direct Plan - Growth</t>
        </is>
      </c>
      <c r="C2375" t="inlineStr">
        <is>
          <t xml:space="preserve">INF740K01OH7</t>
        </is>
      </c>
    </row>
    <row r="2376">
      <c r="A2376" t="inlineStr">
        <is>
          <t xml:space="preserve">DSP Mutual Fund</t>
        </is>
      </c>
      <c r="B2376" t="inlineStr">
        <is>
          <t xml:space="preserve">DSP US Specific Equity Omni FoF - Direct Plan - IDCW</t>
        </is>
      </c>
      <c r="C2376" t="inlineStr">
        <is>
          <t xml:space="preserve">INF740K01OI5</t>
        </is>
      </c>
    </row>
    <row r="2377">
      <c r="A2377" t="inlineStr">
        <is>
          <t xml:space="preserve">DSP Mutual Fund</t>
        </is>
      </c>
      <c r="B2377" t="inlineStr">
        <is>
          <t xml:space="preserve">DSP US Specific Equity Omni FoF - Regular Plan - Growth Option</t>
        </is>
      </c>
      <c r="C2377" t="inlineStr">
        <is>
          <t xml:space="preserve">INF740K01LP6</t>
        </is>
      </c>
    </row>
    <row r="2378">
      <c r="A2378" t="inlineStr">
        <is>
          <t xml:space="preserve">DSP Mutual Fund</t>
        </is>
      </c>
      <c r="B2378" t="inlineStr">
        <is>
          <t xml:space="preserve">DSP US Specific Equity Omni FoF - Regular Plan - IDCW</t>
        </is>
      </c>
      <c r="C2378" t="inlineStr">
        <is>
          <t xml:space="preserve">INF740K01LQ4</t>
        </is>
      </c>
    </row>
    <row r="2379">
      <c r="A2379" t="inlineStr">
        <is>
          <t xml:space="preserve">DSP Mutual Fund</t>
        </is>
      </c>
      <c r="B2379" t="inlineStr">
        <is>
          <t xml:space="preserve">DSP Value Fund - Direct Plan - Growth</t>
        </is>
      </c>
      <c r="C2379" t="inlineStr">
        <is>
          <t xml:space="preserve">INF740KA1PP3</t>
        </is>
      </c>
    </row>
    <row r="2380">
      <c r="A2380" t="inlineStr">
        <is>
          <t xml:space="preserve">DSP Mutual Fund</t>
        </is>
      </c>
      <c r="B2380" t="inlineStr">
        <is>
          <t xml:space="preserve">DSP Value Fund - Direct Plan - IDCW</t>
        </is>
      </c>
      <c r="C2380" t="inlineStr">
        <is>
          <t xml:space="preserve">INF740KA1PQ1</t>
        </is>
      </c>
    </row>
    <row r="2381">
      <c r="A2381" t="inlineStr">
        <is>
          <t xml:space="preserve">DSP Mutual Fund</t>
        </is>
      </c>
      <c r="B2381" t="inlineStr">
        <is>
          <t xml:space="preserve">DSP Value Fund - Regular Plan - Growth</t>
        </is>
      </c>
      <c r="C2381" t="inlineStr">
        <is>
          <t xml:space="preserve">INF740KA1PM0</t>
        </is>
      </c>
    </row>
    <row r="2382">
      <c r="A2382" t="inlineStr">
        <is>
          <t xml:space="preserve">DSP Mutual Fund</t>
        </is>
      </c>
      <c r="B2382" t="inlineStr">
        <is>
          <t xml:space="preserve">DSP Value Fund - Regular Plan - IDCW</t>
        </is>
      </c>
      <c r="C2382" t="inlineStr">
        <is>
          <t xml:space="preserve">INF740KA1PN8</t>
        </is>
      </c>
    </row>
    <row r="2383">
      <c r="A2383" t="inlineStr">
        <is>
          <t xml:space="preserve">DSP Mutual Fund</t>
        </is>
      </c>
      <c r="B2383" t="inlineStr">
        <is>
          <t xml:space="preserve">DSP World Gold Mining Overseas Equity Omni FoF - Direct Plan - Growth</t>
        </is>
      </c>
      <c r="C2383" t="inlineStr">
        <is>
          <t xml:space="preserve">INF740K01OZ9</t>
        </is>
      </c>
    </row>
    <row r="2384">
      <c r="A2384" t="inlineStr">
        <is>
          <t xml:space="preserve">DSP Mutual Fund</t>
        </is>
      </c>
      <c r="B2384" t="inlineStr">
        <is>
          <t xml:space="preserve">DSP World Gold Mining Overseas Equity Omni FoF - Direct Plan - IDCW</t>
        </is>
      </c>
      <c r="C2384" t="inlineStr">
        <is>
          <t xml:space="preserve">INF740K01PA9</t>
        </is>
      </c>
    </row>
    <row r="2385">
      <c r="A2385" t="inlineStr">
        <is>
          <t xml:space="preserve">DSP Mutual Fund</t>
        </is>
      </c>
      <c r="B2385" t="inlineStr">
        <is>
          <t xml:space="preserve">DSP World Gold Mining Overseas Equity Omni FoF - Regular Plan - Growth</t>
        </is>
      </c>
      <c r="C2385" t="inlineStr">
        <is>
          <t xml:space="preserve">INF740K01250</t>
        </is>
      </c>
    </row>
    <row r="2386">
      <c r="A2386" t="inlineStr">
        <is>
          <t xml:space="preserve">DSP Mutual Fund</t>
        </is>
      </c>
      <c r="B2386" t="inlineStr">
        <is>
          <t xml:space="preserve">DSP World Gold Mining Overseas Equity Omni FoF - Regular Plan - IDCW</t>
        </is>
      </c>
      <c r="C2386" t="inlineStr">
        <is>
          <t xml:space="preserve">INF740K01268</t>
        </is>
      </c>
    </row>
    <row r="2387">
      <c r="A2387" t="inlineStr">
        <is>
          <t xml:space="preserve">DSP Mutual Fund</t>
        </is>
      </c>
      <c r="B2387" t="inlineStr">
        <is>
          <t xml:space="preserve">DSP World Mining Overseas Equity Omni FoF - Direct Plan - Growth</t>
        </is>
      </c>
      <c r="C2387" t="inlineStr">
        <is>
          <t xml:space="preserve">INF740K01PF8</t>
        </is>
      </c>
    </row>
    <row r="2388">
      <c r="A2388" t="inlineStr">
        <is>
          <t xml:space="preserve">DSP Mutual Fund</t>
        </is>
      </c>
      <c r="B2388" t="inlineStr">
        <is>
          <t xml:space="preserve">DSP World Mining Overseas Equity Omni FoF - Direct Plan - IDCW</t>
        </is>
      </c>
      <c r="C2388" t="inlineStr">
        <is>
          <t xml:space="preserve">INF740K01PG6</t>
        </is>
      </c>
    </row>
    <row r="2389">
      <c r="A2389" t="inlineStr">
        <is>
          <t xml:space="preserve">DSP Mutual Fund</t>
        </is>
      </c>
      <c r="B2389" t="inlineStr">
        <is>
          <t xml:space="preserve">DSP World Mining Overseas Equity Omni FoF - Regular Plan - Growth</t>
        </is>
      </c>
      <c r="C2389" t="inlineStr">
        <is>
          <t xml:space="preserve">INF740K01730</t>
        </is>
      </c>
    </row>
    <row r="2390">
      <c r="A2390" t="inlineStr">
        <is>
          <t xml:space="preserve">DSP Mutual Fund</t>
        </is>
      </c>
      <c r="B2390" t="inlineStr">
        <is>
          <t xml:space="preserve">DSP World Mining Overseas Equity Omni FoF - Regular Plan - IDCW</t>
        </is>
      </c>
      <c r="C2390" t="inlineStr">
        <is>
          <t xml:space="preserve">INF740K01748</t>
        </is>
      </c>
    </row>
    <row r="2391">
      <c r="A2391" t="inlineStr">
        <is>
          <t xml:space="preserve">Edelweiss Mutual Fund</t>
        </is>
      </c>
      <c r="B2391" t="inlineStr">
        <is>
          <t xml:space="preserve">Edelweiss Aggressive Hybrid Fund  - Direct Plan - IDCW Option</t>
        </is>
      </c>
      <c r="C2391" t="inlineStr">
        <is>
          <t xml:space="preserve">INF754K01CB6</t>
        </is>
      </c>
    </row>
    <row r="2392">
      <c r="A2392" t="inlineStr">
        <is>
          <t xml:space="preserve">Edelweiss Mutual Fund</t>
        </is>
      </c>
      <c r="B2392" t="inlineStr">
        <is>
          <t xml:space="preserve">Edelweiss Aggressive Hybrid Fund  - Plan B - IDCW Option</t>
        </is>
      </c>
      <c r="C2392" t="inlineStr">
        <is>
          <t xml:space="preserve">INF754K01137</t>
        </is>
      </c>
    </row>
    <row r="2393">
      <c r="A2393" t="inlineStr">
        <is>
          <t xml:space="preserve">Edelweiss Mutual Fund</t>
        </is>
      </c>
      <c r="B2393" t="inlineStr">
        <is>
          <t xml:space="preserve">Edelweiss Aggressive Hybrid Fund - Regular Plan - Growth Option</t>
        </is>
      </c>
      <c r="C2393" t="inlineStr">
        <is>
          <t xml:space="preserve">INF754K01202</t>
        </is>
      </c>
    </row>
    <row r="2394">
      <c r="A2394" t="inlineStr">
        <is>
          <t xml:space="preserve">Edelweiss Mutual Fund</t>
        </is>
      </c>
      <c r="B2394" t="inlineStr">
        <is>
          <t xml:space="preserve">Edelweiss Aggressive Hybrid Fund - Regular Plan - IDCW Option</t>
        </is>
      </c>
      <c r="C2394" t="inlineStr">
        <is>
          <t xml:space="preserve">INF754K01178</t>
        </is>
      </c>
    </row>
    <row r="2395">
      <c r="A2395" t="inlineStr">
        <is>
          <t xml:space="preserve">Edelweiss Mutual Fund</t>
        </is>
      </c>
      <c r="B2395" t="inlineStr">
        <is>
          <t xml:space="preserve">Edelweiss Aggressive Hybrid Fund- Plan B-Growth Option</t>
        </is>
      </c>
      <c r="C2395" t="inlineStr">
        <is>
          <t xml:space="preserve">INF754K01160</t>
        </is>
      </c>
    </row>
    <row r="2396">
      <c r="A2396" t="inlineStr">
        <is>
          <t xml:space="preserve">Edelweiss Mutual Fund</t>
        </is>
      </c>
      <c r="B2396" t="inlineStr">
        <is>
          <t xml:space="preserve">Edelweiss Aggressive Hybrid Fund-Direct Plan-Growth Option</t>
        </is>
      </c>
      <c r="C2396" t="inlineStr">
        <is>
          <t xml:space="preserve">INF754K01CE0</t>
        </is>
      </c>
    </row>
    <row r="2397">
      <c r="A2397" t="inlineStr">
        <is>
          <t xml:space="preserve">Edelweiss Mutual Fund</t>
        </is>
      </c>
      <c r="B2397" t="inlineStr">
        <is>
          <t xml:space="preserve">Edelweiss Arbitrage Fund - Direct Plan - IDCW Option</t>
        </is>
      </c>
      <c r="C2397" t="inlineStr">
        <is>
          <t xml:space="preserve">INF754K01EB2</t>
        </is>
      </c>
    </row>
    <row r="2398">
      <c r="A2398" t="inlineStr">
        <is>
          <t xml:space="preserve">Edelweiss Mutual Fund</t>
        </is>
      </c>
      <c r="B2398" t="inlineStr">
        <is>
          <t xml:space="preserve">Edelweiss Arbitrage Fund - Monthly  Direct Plan - IDCW Option</t>
        </is>
      </c>
      <c r="C2398" t="inlineStr">
        <is>
          <t xml:space="preserve">INF754K01HW1</t>
        </is>
      </c>
    </row>
    <row r="2399">
      <c r="A2399" t="inlineStr">
        <is>
          <t xml:space="preserve">Edelweiss Mutual Fund</t>
        </is>
      </c>
      <c r="B2399" t="inlineStr">
        <is>
          <t xml:space="preserve">Edelweiss Arbitrage Fund - Monthly  Regular Plan - IDCW Option</t>
        </is>
      </c>
      <c r="C2399" t="inlineStr">
        <is>
          <t xml:space="preserve">INF754K01HT7</t>
        </is>
      </c>
    </row>
    <row r="2400">
      <c r="A2400" t="inlineStr">
        <is>
          <t xml:space="preserve">Edelweiss Mutual Fund</t>
        </is>
      </c>
      <c r="B2400" t="inlineStr">
        <is>
          <t xml:space="preserve">Edelweiss Arbitrage Fund - Regular Plan - IDCW Option</t>
        </is>
      </c>
      <c r="C2400" t="inlineStr">
        <is>
          <t xml:space="preserve">INF754K01EG1</t>
        </is>
      </c>
    </row>
    <row r="2401">
      <c r="A2401" t="inlineStr">
        <is>
          <t xml:space="preserve">Edelweiss Mutual Fund</t>
        </is>
      </c>
      <c r="B2401" t="inlineStr">
        <is>
          <t xml:space="preserve">Edelweiss Arbitrage Fund- Direct Plan- Growth Option</t>
        </is>
      </c>
      <c r="C2401" t="inlineStr">
        <is>
          <t xml:space="preserve">INF754K01EA4</t>
        </is>
      </c>
    </row>
    <row r="2402">
      <c r="A2402" t="inlineStr">
        <is>
          <t xml:space="preserve">Edelweiss Mutual Fund</t>
        </is>
      </c>
      <c r="B2402" t="inlineStr">
        <is>
          <t xml:space="preserve">Edelweiss Arbitrage Fund- Regular Plan -Bonus Option</t>
        </is>
      </c>
      <c r="C2402" t="inlineStr">
        <is>
          <t xml:space="preserve">INF754K01EJ5</t>
        </is>
      </c>
    </row>
    <row r="2403">
      <c r="A2403" t="inlineStr">
        <is>
          <t xml:space="preserve">Edelweiss Mutual Fund</t>
        </is>
      </c>
      <c r="B2403" t="inlineStr">
        <is>
          <t xml:space="preserve">Edelweiss Arbitrage Fund- Regular Plan- Growth Option</t>
        </is>
      </c>
      <c r="C2403" t="inlineStr">
        <is>
          <t xml:space="preserve">INF754K01EF3</t>
        </is>
      </c>
    </row>
    <row r="2404">
      <c r="A2404" t="inlineStr">
        <is>
          <t xml:space="preserve">Edelweiss Mutual Fund</t>
        </is>
      </c>
      <c r="B2404" t="inlineStr">
        <is>
          <t xml:space="preserve">Edelweiss ASEAN Equity Off-shore Fund - Direct Plan - Growth Option</t>
        </is>
      </c>
      <c r="C2404" t="inlineStr">
        <is>
          <t xml:space="preserve">INF843K01AW7</t>
        </is>
      </c>
    </row>
    <row r="2405">
      <c r="A2405" t="inlineStr">
        <is>
          <t xml:space="preserve">Edelweiss Mutual Fund</t>
        </is>
      </c>
      <c r="B2405" t="inlineStr">
        <is>
          <t xml:space="preserve">Edelweiss ASEAN Equity Off-shore Fund - Regular Plan - Growth Option</t>
        </is>
      </c>
      <c r="C2405" t="inlineStr">
        <is>
          <t xml:space="preserve">INF843K01609</t>
        </is>
      </c>
    </row>
    <row r="2406">
      <c r="A2406" t="inlineStr">
        <is>
          <t xml:space="preserve">Edelweiss Mutual Fund</t>
        </is>
      </c>
      <c r="B2406" t="inlineStr">
        <is>
          <t xml:space="preserve">Edelweiss Balanced Advantage Fund - Direct Plan - Monthly - IDCW Option</t>
        </is>
      </c>
      <c r="C2406" t="inlineStr">
        <is>
          <t xml:space="preserve">INF754K01IH0</t>
        </is>
      </c>
    </row>
    <row r="2407">
      <c r="A2407" t="inlineStr">
        <is>
          <t xml:space="preserve">Edelweiss Mutual Fund</t>
        </is>
      </c>
      <c r="B2407" t="inlineStr">
        <is>
          <t xml:space="preserve">Edelweiss Balanced Advantage Fund - Direct Plan - Quarterly - IDCW Option</t>
        </is>
      </c>
      <c r="C2407" t="inlineStr">
        <is>
          <t xml:space="preserve">INF754K01BP8</t>
        </is>
      </c>
    </row>
    <row r="2408">
      <c r="A2408" t="inlineStr">
        <is>
          <t xml:space="preserve">Edelweiss Mutual Fund</t>
        </is>
      </c>
      <c r="B2408" t="inlineStr">
        <is>
          <t xml:space="preserve">Edelweiss Balanced Advantage Fund - Regular Plan - Growth Option</t>
        </is>
      </c>
      <c r="C2408" t="inlineStr">
        <is>
          <t xml:space="preserve">INF754K01285</t>
        </is>
      </c>
    </row>
    <row r="2409">
      <c r="A2409" t="inlineStr">
        <is>
          <t xml:space="preserve">Edelweiss Mutual Fund</t>
        </is>
      </c>
      <c r="B2409" t="inlineStr">
        <is>
          <t xml:space="preserve">Edelweiss Balanced Advantage Fund - Regular Plan - Monthly - IDCW Option</t>
        </is>
      </c>
      <c r="C2409" t="inlineStr">
        <is>
          <t xml:space="preserve">INF754K01IK4</t>
        </is>
      </c>
    </row>
    <row r="2410">
      <c r="A2410" t="inlineStr">
        <is>
          <t xml:space="preserve">Edelweiss Mutual Fund</t>
        </is>
      </c>
      <c r="B2410" t="inlineStr">
        <is>
          <t xml:space="preserve">Edelweiss Balanced Advantage Fund - Regular Plan - Quarterly - IDCW Option</t>
        </is>
      </c>
      <c r="C2410" t="inlineStr">
        <is>
          <t xml:space="preserve">INF754K01251</t>
        </is>
      </c>
    </row>
    <row r="2411">
      <c r="A2411" t="inlineStr">
        <is>
          <t xml:space="preserve">Edelweiss Mutual Fund</t>
        </is>
      </c>
      <c r="B2411" t="inlineStr">
        <is>
          <t xml:space="preserve">Edelweiss Balanced Advantage Fund -Direct Plan-Growth Option</t>
        </is>
      </c>
      <c r="C2411" t="inlineStr">
        <is>
          <t xml:space="preserve">INF754K01BS2</t>
        </is>
      </c>
    </row>
    <row r="2412">
      <c r="A2412" t="inlineStr">
        <is>
          <t xml:space="preserve">Edelweiss Mutual Fund</t>
        </is>
      </c>
      <c r="B2412" t="inlineStr">
        <is>
          <t xml:space="preserve">Edelweiss Banking and PSU Debt Fund - Direct Plan - Growth Option</t>
        </is>
      </c>
      <c r="C2412" t="inlineStr">
        <is>
          <t xml:space="preserve">INF843K01FC8</t>
        </is>
      </c>
    </row>
    <row r="2413">
      <c r="A2413" t="inlineStr">
        <is>
          <t xml:space="preserve">Edelweiss Mutual Fund</t>
        </is>
      </c>
      <c r="B2413" t="inlineStr">
        <is>
          <t xml:space="preserve">Edelweiss Banking and PSU Debt Fund - Direct Plan - IDCW Option</t>
        </is>
      </c>
      <c r="C2413" t="inlineStr">
        <is>
          <t xml:space="preserve">INF843K01FD6</t>
        </is>
      </c>
    </row>
    <row r="2414">
      <c r="A2414" t="inlineStr">
        <is>
          <t xml:space="preserve">Edelweiss Mutual Fund</t>
        </is>
      </c>
      <c r="B2414" t="inlineStr">
        <is>
          <t xml:space="preserve">Edelweiss Banking and PSU Debt Fund - Direct Plan Fortnightly - IDCW Option</t>
        </is>
      </c>
      <c r="C2414" t="inlineStr">
        <is>
          <t xml:space="preserve">INF843K01FG9</t>
        </is>
      </c>
    </row>
    <row r="2415">
      <c r="A2415" t="inlineStr">
        <is>
          <t xml:space="preserve">Edelweiss Mutual Fund</t>
        </is>
      </c>
      <c r="B2415" t="inlineStr">
        <is>
          <t xml:space="preserve">Edelweiss Banking and PSU Debt Fund - Direct Plan Monthly - IDCW Option</t>
        </is>
      </c>
      <c r="C2415" t="inlineStr">
        <is>
          <t xml:space="preserve">INF843K01FI5</t>
        </is>
      </c>
    </row>
    <row r="2416">
      <c r="A2416" t="inlineStr">
        <is>
          <t xml:space="preserve">Edelweiss Mutual Fund</t>
        </is>
      </c>
      <c r="B2416" t="inlineStr">
        <is>
          <t xml:space="preserve">Edelweiss Banking and PSU Debt Fund - Direct Plan weekly - IDCW Option</t>
        </is>
      </c>
      <c r="C2416" t="inlineStr">
        <is>
          <t xml:space="preserve">INF843K01FF1</t>
        </is>
      </c>
    </row>
    <row r="2417">
      <c r="A2417" t="inlineStr">
        <is>
          <t xml:space="preserve">Edelweiss Mutual Fund</t>
        </is>
      </c>
      <c r="B2417" t="inlineStr">
        <is>
          <t xml:space="preserve">Edelweiss Banking and PSU Debt Fund - Regular Plan - Growth Option</t>
        </is>
      </c>
      <c r="C2417" t="inlineStr">
        <is>
          <t xml:space="preserve">INF843K01FK1</t>
        </is>
      </c>
    </row>
    <row r="2418">
      <c r="A2418" t="inlineStr">
        <is>
          <t xml:space="preserve">Edelweiss Mutual Fund</t>
        </is>
      </c>
      <c r="B2418" t="inlineStr">
        <is>
          <t xml:space="preserve">Edelweiss Banking and PSU Debt Fund - Regular Plan - IDCW Option</t>
        </is>
      </c>
      <c r="C2418" t="inlineStr">
        <is>
          <t xml:space="preserve">INF843K01FL9</t>
        </is>
      </c>
    </row>
    <row r="2419">
      <c r="A2419" t="inlineStr">
        <is>
          <t xml:space="preserve">Edelweiss Mutual Fund</t>
        </is>
      </c>
      <c r="B2419" t="inlineStr">
        <is>
          <t xml:space="preserve">Edelweiss Banking and PSU Debt Fund - Regular Plan Fortnightly - IDCW Option</t>
        </is>
      </c>
      <c r="C2419" t="inlineStr">
        <is>
          <t xml:space="preserve">INF843K01FO3</t>
        </is>
      </c>
    </row>
    <row r="2420">
      <c r="A2420" t="inlineStr">
        <is>
          <t xml:space="preserve">Edelweiss Mutual Fund</t>
        </is>
      </c>
      <c r="B2420" t="inlineStr">
        <is>
          <t xml:space="preserve">Edelweiss Banking and PSU Debt Fund - Regular Plan Monthly - IDCW Option</t>
        </is>
      </c>
      <c r="C2420" t="inlineStr">
        <is>
          <t xml:space="preserve">INF843K01FQ8</t>
        </is>
      </c>
    </row>
    <row r="2421">
      <c r="A2421" t="inlineStr">
        <is>
          <t xml:space="preserve">Edelweiss Mutual Fund</t>
        </is>
      </c>
      <c r="B2421" t="inlineStr">
        <is>
          <t xml:space="preserve">Edelweiss Banking and PSU Debt Fund - Regular Plan Weekly - IDCW Option</t>
        </is>
      </c>
      <c r="C2421" t="inlineStr">
        <is>
          <t xml:space="preserve">INF843K01FN5</t>
        </is>
      </c>
    </row>
    <row r="2422">
      <c r="A2422" t="inlineStr">
        <is>
          <t xml:space="preserve">Edelweiss Mutual Fund</t>
        </is>
      </c>
      <c r="B2422" t="inlineStr">
        <is>
          <t xml:space="preserve">Edelweiss BSE Capital Markets &amp; Insurance  ETF - Growth</t>
        </is>
      </c>
      <c r="C2422" t="inlineStr">
        <is>
          <t xml:space="preserve">INF754K01TX4</t>
        </is>
      </c>
    </row>
    <row r="2423">
      <c r="A2423" t="inlineStr">
        <is>
          <t xml:space="preserve">Edelweiss Mutual Fund</t>
        </is>
      </c>
      <c r="B2423" t="inlineStr">
        <is>
          <t xml:space="preserve">Edelweiss BSE Internet Economy Index Fund - Direct Plan - Growth</t>
        </is>
      </c>
      <c r="C2423" t="inlineStr">
        <is>
          <t xml:space="preserve">INF754K01UX2</t>
        </is>
      </c>
    </row>
    <row r="2424">
      <c r="A2424" t="inlineStr">
        <is>
          <t xml:space="preserve">Edelweiss Mutual Fund</t>
        </is>
      </c>
      <c r="B2424" t="inlineStr">
        <is>
          <t xml:space="preserve">Edelweiss BSE Internet Economy Index Fund - Direct Plan - IDCW</t>
        </is>
      </c>
      <c r="C2424" t="inlineStr">
        <is>
          <t xml:space="preserve">INF754K01UY0</t>
        </is>
      </c>
    </row>
    <row r="2425">
      <c r="A2425" t="inlineStr">
        <is>
          <t xml:space="preserve">Edelweiss Mutual Fund</t>
        </is>
      </c>
      <c r="B2425" t="inlineStr">
        <is>
          <t xml:space="preserve">Edelweiss BSE Internet Economy Index Fund - Regular Plan - Growth</t>
        </is>
      </c>
      <c r="C2425" t="inlineStr">
        <is>
          <t xml:space="preserve">INF754K01VB6</t>
        </is>
      </c>
    </row>
    <row r="2426">
      <c r="A2426" t="inlineStr">
        <is>
          <t xml:space="preserve">Edelweiss Mutual Fund</t>
        </is>
      </c>
      <c r="B2426" t="inlineStr">
        <is>
          <t xml:space="preserve">Edelweiss BSE Internet Economy Index Fund - Regular Plan - IDCW</t>
        </is>
      </c>
      <c r="C2426" t="inlineStr">
        <is>
          <t xml:space="preserve">INF754K01VC4</t>
        </is>
      </c>
    </row>
    <row r="2427">
      <c r="A2427" t="inlineStr">
        <is>
          <t xml:space="preserve">Edelweiss Mutual Fund</t>
        </is>
      </c>
      <c r="B2427" t="inlineStr">
        <is>
          <t xml:space="preserve">Edelweiss BSE Sensex ETF - Growth</t>
        </is>
      </c>
      <c r="C2427" t="inlineStr">
        <is>
          <t xml:space="preserve">INF754K01VY8</t>
        </is>
      </c>
    </row>
    <row r="2428">
      <c r="A2428" t="inlineStr">
        <is>
          <t xml:space="preserve">Edelweiss Mutual Fund</t>
        </is>
      </c>
      <c r="B2428" t="inlineStr">
        <is>
          <t xml:space="preserve">Edelweiss Business Cycle Fund - Direct Plan - Growth</t>
        </is>
      </c>
      <c r="C2428" t="inlineStr">
        <is>
          <t xml:space="preserve">INF754K01TA2</t>
        </is>
      </c>
    </row>
    <row r="2429">
      <c r="A2429" t="inlineStr">
        <is>
          <t xml:space="preserve">Edelweiss Mutual Fund</t>
        </is>
      </c>
      <c r="B2429" t="inlineStr">
        <is>
          <t xml:space="preserve">Edelweiss Business Cycle Fund - Direct Plan - IDCW Option</t>
        </is>
      </c>
      <c r="C2429" t="inlineStr">
        <is>
          <t xml:space="preserve">INF754K01TB0</t>
        </is>
      </c>
    </row>
    <row r="2430">
      <c r="A2430" t="inlineStr">
        <is>
          <t xml:space="preserve">Edelweiss Mutual Fund</t>
        </is>
      </c>
      <c r="B2430" t="inlineStr">
        <is>
          <t xml:space="preserve">Edelweiss Business Cycle Fund - Regular Plan - Growth</t>
        </is>
      </c>
      <c r="C2430" t="inlineStr">
        <is>
          <t xml:space="preserve">INF754K01SW8</t>
        </is>
      </c>
    </row>
    <row r="2431">
      <c r="A2431" t="inlineStr">
        <is>
          <t xml:space="preserve">Edelweiss Mutual Fund</t>
        </is>
      </c>
      <c r="B2431" t="inlineStr">
        <is>
          <t xml:space="preserve">Edelweiss Business Cycle Fund - Regular Plan - IDCW Option</t>
        </is>
      </c>
      <c r="C2431" t="inlineStr">
        <is>
          <t xml:space="preserve">INF754K01SX6</t>
        </is>
      </c>
    </row>
    <row r="2432">
      <c r="A2432" t="inlineStr">
        <is>
          <t xml:space="preserve">Edelweiss Mutual Fund</t>
        </is>
      </c>
      <c r="B2432" t="inlineStr">
        <is>
          <t xml:space="preserve">Edelweiss Consumption Fund - Direct - Growth</t>
        </is>
      </c>
      <c r="C2432" t="inlineStr">
        <is>
          <t xml:space="preserve">INF754K01TY2</t>
        </is>
      </c>
    </row>
    <row r="2433">
      <c r="A2433" t="inlineStr">
        <is>
          <t xml:space="preserve">Edelweiss Mutual Fund</t>
        </is>
      </c>
      <c r="B2433" t="inlineStr">
        <is>
          <t xml:space="preserve">Edelweiss Consumption Fund - Direct - IDCW - Payout</t>
        </is>
      </c>
      <c r="C2433" t="inlineStr">
        <is>
          <t xml:space="preserve">INF754K01TZ9</t>
        </is>
      </c>
    </row>
    <row r="2434">
      <c r="A2434" t="inlineStr">
        <is>
          <t xml:space="preserve">Edelweiss Mutual Fund</t>
        </is>
      </c>
      <c r="B2434" t="inlineStr">
        <is>
          <t xml:space="preserve">Edelweiss Consumption Fund - Regular - Growth</t>
        </is>
      </c>
      <c r="C2434" t="inlineStr">
        <is>
          <t xml:space="preserve">INF754K01UC6</t>
        </is>
      </c>
    </row>
    <row r="2435">
      <c r="A2435" t="inlineStr">
        <is>
          <t xml:space="preserve">Edelweiss Mutual Fund</t>
        </is>
      </c>
      <c r="B2435" t="inlineStr">
        <is>
          <t xml:space="preserve">Edelweiss Consumption Fund - Regular - IDCW - Payout</t>
        </is>
      </c>
      <c r="C2435" t="inlineStr">
        <is>
          <t xml:space="preserve">INF754K01UD4</t>
        </is>
      </c>
    </row>
    <row r="2436">
      <c r="A2436" t="inlineStr">
        <is>
          <t xml:space="preserve">Edelweiss Mutual Fund</t>
        </is>
      </c>
      <c r="B2436" t="inlineStr">
        <is>
          <t xml:space="preserve">Edelweiss CRISIL IBX 50:50 Gilt Plus SDL April 2037 Index Fund - Direct Plan - Growth</t>
        </is>
      </c>
      <c r="C2436" t="inlineStr">
        <is>
          <t xml:space="preserve">INF754K01PF9</t>
        </is>
      </c>
    </row>
    <row r="2437">
      <c r="A2437" t="inlineStr">
        <is>
          <t xml:space="preserve">Edelweiss Mutual Fund</t>
        </is>
      </c>
      <c r="B2437" t="inlineStr">
        <is>
          <t xml:space="preserve">Edelweiss CRISIL IBX 50:50 Gilt Plus SDL April 2037 Index Fund - Direct Plan - IDCW Option</t>
        </is>
      </c>
      <c r="C2437" t="inlineStr">
        <is>
          <t xml:space="preserve">INF754K01PG7</t>
        </is>
      </c>
    </row>
    <row r="2438">
      <c r="A2438" t="inlineStr">
        <is>
          <t xml:space="preserve">Edelweiss Mutual Fund</t>
        </is>
      </c>
      <c r="B2438" t="inlineStr">
        <is>
          <t xml:space="preserve">Edelweiss CRISIL IBX 50:50 Gilt Plus SDL April 2037 Index Fund - Regular Plan - Growth</t>
        </is>
      </c>
      <c r="C2438" t="inlineStr">
        <is>
          <t xml:space="preserve">INF754K01PB8</t>
        </is>
      </c>
    </row>
    <row r="2439">
      <c r="A2439" t="inlineStr">
        <is>
          <t xml:space="preserve">Edelweiss Mutual Fund</t>
        </is>
      </c>
      <c r="B2439" t="inlineStr">
        <is>
          <t xml:space="preserve">Edelweiss CRISIL IBX 50:50 Gilt Plus SDL April 2037 Index Fund - Regular Plan - IDCW Option</t>
        </is>
      </c>
      <c r="C2439" t="inlineStr">
        <is>
          <t xml:space="preserve">INF754K01PC6</t>
        </is>
      </c>
    </row>
    <row r="2440">
      <c r="A2440" t="inlineStr">
        <is>
          <t xml:space="preserve">Edelweiss Mutual Fund</t>
        </is>
      </c>
      <c r="B2440" t="inlineStr">
        <is>
          <t xml:space="preserve">Edelweiss CRISIL IBX 50:50 Gilt Plus SDL June 2027 Index Fund - Direct Plan - Growth</t>
        </is>
      </c>
      <c r="C2440" t="inlineStr">
        <is>
          <t xml:space="preserve">INF754K01PN3</t>
        </is>
      </c>
    </row>
    <row r="2441">
      <c r="A2441" t="inlineStr">
        <is>
          <t xml:space="preserve">Edelweiss Mutual Fund</t>
        </is>
      </c>
      <c r="B2441" t="inlineStr">
        <is>
          <t xml:space="preserve">Edelweiss CRISIL IBX 50:50 Gilt Plus SDL June 2027 Index Fund - Direct Plan - IDCW</t>
        </is>
      </c>
      <c r="C2441" t="inlineStr">
        <is>
          <t xml:space="preserve">INF754K01PO1</t>
        </is>
      </c>
    </row>
    <row r="2442">
      <c r="A2442" t="inlineStr">
        <is>
          <t xml:space="preserve">Edelweiss Mutual Fund</t>
        </is>
      </c>
      <c r="B2442" t="inlineStr">
        <is>
          <t xml:space="preserve">Edelweiss CRISIL IBX 50:50 Gilt Plus SDL June 2027 Index Fund - Regular Plan - Growth</t>
        </is>
      </c>
      <c r="C2442" t="inlineStr">
        <is>
          <t xml:space="preserve">INF754K01PJ1</t>
        </is>
      </c>
    </row>
    <row r="2443">
      <c r="A2443" t="inlineStr">
        <is>
          <t xml:space="preserve">Edelweiss Mutual Fund</t>
        </is>
      </c>
      <c r="B2443" t="inlineStr">
        <is>
          <t xml:space="preserve">Edelweiss CRISIL IBX 50:50 Gilt Plus SDL June 2027 Index Fund - Regular Plan - IDCW</t>
        </is>
      </c>
      <c r="C2443" t="inlineStr">
        <is>
          <t xml:space="preserve">INF754K01PK9</t>
        </is>
      </c>
    </row>
    <row r="2444">
      <c r="A2444" t="inlineStr">
        <is>
          <t xml:space="preserve">Edelweiss Mutual Fund</t>
        </is>
      </c>
      <c r="B2444" t="inlineStr">
        <is>
          <t xml:space="preserve">Edelweiss CRISIL IBX 50:50 Gilt Plus SDL Sep 2028 Index Fund - Direct Plan - Growth</t>
        </is>
      </c>
      <c r="C2444" t="inlineStr">
        <is>
          <t xml:space="preserve">INF754K01PV6</t>
        </is>
      </c>
    </row>
    <row r="2445">
      <c r="A2445" t="inlineStr">
        <is>
          <t xml:space="preserve">Edelweiss Mutual Fund</t>
        </is>
      </c>
      <c r="B2445" t="inlineStr">
        <is>
          <t xml:space="preserve">Edelweiss CRISIL IBX 50:50 Gilt Plus SDL Sep 2028 Index Fund - Direct Plan - IDCW</t>
        </is>
      </c>
      <c r="C2445" t="inlineStr">
        <is>
          <t xml:space="preserve">INF754K01PW4</t>
        </is>
      </c>
    </row>
    <row r="2446">
      <c r="A2446" t="inlineStr">
        <is>
          <t xml:space="preserve">Edelweiss Mutual Fund</t>
        </is>
      </c>
      <c r="B2446" t="inlineStr">
        <is>
          <t xml:space="preserve">Edelweiss CRISIL IBX 50:50 Gilt Plus SDL Sep 2028 Index Fund - Regular Plan - Growth</t>
        </is>
      </c>
      <c r="C2446" t="inlineStr">
        <is>
          <t xml:space="preserve">INF754K01PR4</t>
        </is>
      </c>
    </row>
    <row r="2447">
      <c r="A2447" t="inlineStr">
        <is>
          <t xml:space="preserve">Edelweiss Mutual Fund</t>
        </is>
      </c>
      <c r="B2447" t="inlineStr">
        <is>
          <t xml:space="preserve">Edelweiss CRISIL IBX 50:50 Gilt Plus SDL Sep 2028 Index Fund - Regular Plan - IDCW</t>
        </is>
      </c>
      <c r="C2447" t="inlineStr">
        <is>
          <t xml:space="preserve">INF754K01PS2</t>
        </is>
      </c>
    </row>
    <row r="2448">
      <c r="A2448" t="inlineStr">
        <is>
          <t xml:space="preserve">Edelweiss Mutual Fund</t>
        </is>
      </c>
      <c r="B2448" t="inlineStr">
        <is>
          <t xml:space="preserve">Edelweiss CRISIL IBX 50:50 Gilt Plus SDL Short Duration Index fund - Direct Plan - Growth</t>
        </is>
      </c>
      <c r="C2448" t="inlineStr">
        <is>
          <t xml:space="preserve">INF754K01RK5</t>
        </is>
      </c>
    </row>
    <row r="2449">
      <c r="A2449" t="inlineStr">
        <is>
          <t xml:space="preserve">Edelweiss Mutual Fund</t>
        </is>
      </c>
      <c r="B2449" t="inlineStr">
        <is>
          <t xml:space="preserve">Edelweiss CRISIL IBX 50:50 Gilt Plus SDL Short Duration Index fund - Direct Plan - IDCW</t>
        </is>
      </c>
      <c r="C2449" t="inlineStr">
        <is>
          <t xml:space="preserve">INF754K01RL3</t>
        </is>
      </c>
    </row>
    <row r="2450">
      <c r="A2450" t="inlineStr">
        <is>
          <t xml:space="preserve">Edelweiss Mutual Fund</t>
        </is>
      </c>
      <c r="B2450" t="inlineStr">
        <is>
          <t xml:space="preserve">Edelweiss CRISIL IBX 50:50 Gilt Plus SDL Short Duration Index fund - Regular Plan - Growth</t>
        </is>
      </c>
      <c r="C2450" t="inlineStr">
        <is>
          <t xml:space="preserve">INF754K01RG3</t>
        </is>
      </c>
    </row>
    <row r="2451">
      <c r="A2451" t="inlineStr">
        <is>
          <t xml:space="preserve">Edelweiss Mutual Fund</t>
        </is>
      </c>
      <c r="B2451" t="inlineStr">
        <is>
          <t xml:space="preserve">Edelweiss CRISIL IBX 50:50 Gilt Plus SDL Short Duration Index fund - Regular Plan - IDCW</t>
        </is>
      </c>
      <c r="C2451" t="inlineStr">
        <is>
          <t xml:space="preserve">INF754K01RH1</t>
        </is>
      </c>
    </row>
    <row r="2452">
      <c r="A2452" t="inlineStr">
        <is>
          <t xml:space="preserve">Edelweiss Mutual Fund</t>
        </is>
      </c>
      <c r="B2452" t="inlineStr">
        <is>
          <t xml:space="preserve">Edelweiss CRISIL IBX AAA Bond NBFC HFC Jun 2027 Index Fund - Direct Plan - Growth Option</t>
        </is>
      </c>
      <c r="C2452" t="inlineStr">
        <is>
          <t xml:space="preserve">INF754K01UG7</t>
        </is>
      </c>
    </row>
    <row r="2453">
      <c r="A2453" t="inlineStr">
        <is>
          <t xml:space="preserve">Edelweiss Mutual Fund</t>
        </is>
      </c>
      <c r="B2453" t="inlineStr">
        <is>
          <t xml:space="preserve">Edelweiss CRISIL IBX AAA Bond NBFC HFC Jun 2027 Index Fund - Direct Plan - IDCW Option</t>
        </is>
      </c>
      <c r="C2453" t="inlineStr">
        <is>
          <t xml:space="preserve">INF754K01UH5</t>
        </is>
      </c>
    </row>
    <row r="2454">
      <c r="A2454" t="inlineStr">
        <is>
          <t xml:space="preserve">Edelweiss Mutual Fund</t>
        </is>
      </c>
      <c r="B2454" t="inlineStr">
        <is>
          <t xml:space="preserve">Edelweiss CRISIL IBX AAA Bond NBFC HFC Jun 2027 Index Fund - Regular Plan - Growth Option</t>
        </is>
      </c>
      <c r="C2454" t="inlineStr">
        <is>
          <t xml:space="preserve">INF754K01UK9</t>
        </is>
      </c>
    </row>
    <row r="2455">
      <c r="A2455" t="inlineStr">
        <is>
          <t xml:space="preserve">Edelweiss Mutual Fund</t>
        </is>
      </c>
      <c r="B2455" t="inlineStr">
        <is>
          <t xml:space="preserve">Edelweiss CRISIL IBX AAA Bond NBFC HFC Jun 2027 Index Fund - Regular Plan - IDCW Option</t>
        </is>
      </c>
      <c r="C2455" t="inlineStr">
        <is>
          <t xml:space="preserve">INF754K01UL7</t>
        </is>
      </c>
    </row>
    <row r="2456">
      <c r="A2456" t="inlineStr">
        <is>
          <t xml:space="preserve">Edelweiss Mutual Fund</t>
        </is>
      </c>
      <c r="B2456" t="inlineStr">
        <is>
          <t xml:space="preserve">Edelweiss CRISIL IBX AAA Financial Services - Jan 2028 Index Fund - Direct - Growth</t>
        </is>
      </c>
      <c r="C2456" t="inlineStr">
        <is>
          <t xml:space="preserve">INF754K01TP0</t>
        </is>
      </c>
    </row>
    <row r="2457">
      <c r="A2457" t="inlineStr">
        <is>
          <t xml:space="preserve">Edelweiss Mutual Fund</t>
        </is>
      </c>
      <c r="B2457" t="inlineStr">
        <is>
          <t xml:space="preserve">Edelweiss CRISIL IBX AAA Financial Services - Jan 2028 Index Fund - Direct - IDCW - Payout</t>
        </is>
      </c>
      <c r="C2457" t="inlineStr">
        <is>
          <t xml:space="preserve">INF754K01TQ8</t>
        </is>
      </c>
    </row>
    <row r="2458">
      <c r="A2458" t="inlineStr">
        <is>
          <t xml:space="preserve">Edelweiss Mutual Fund</t>
        </is>
      </c>
      <c r="B2458" t="inlineStr">
        <is>
          <t xml:space="preserve">Edelweiss CRISIL IBX AAA Financial Services - Jan 2028 Index Fund - Regular - Growth</t>
        </is>
      </c>
      <c r="C2458" t="inlineStr">
        <is>
          <t xml:space="preserve">INF754K01TT2</t>
        </is>
      </c>
    </row>
    <row r="2459">
      <c r="A2459" t="inlineStr">
        <is>
          <t xml:space="preserve">Edelweiss Mutual Fund</t>
        </is>
      </c>
      <c r="B2459" t="inlineStr">
        <is>
          <t xml:space="preserve">Edelweiss CRISIL IBX AAA Financial Services - Jan 2028 Index Fund - Regular - IDCW - Payout</t>
        </is>
      </c>
      <c r="C2459" t="inlineStr">
        <is>
          <t xml:space="preserve">INF754K01TU0</t>
        </is>
      </c>
    </row>
    <row r="2460">
      <c r="A2460" t="inlineStr">
        <is>
          <t xml:space="preserve">Edelweiss Mutual Fund</t>
        </is>
      </c>
      <c r="B2460" t="inlineStr">
        <is>
          <t xml:space="preserve">Edelweiss CRISIL PSU Plus SDL 50:50 Oct 2025 Index Fund - Direct Plan - IDCW Payout</t>
        </is>
      </c>
      <c r="C2460" t="inlineStr">
        <is>
          <t xml:space="preserve">INF754K01OH8</t>
        </is>
      </c>
    </row>
    <row r="2461">
      <c r="A2461" t="inlineStr">
        <is>
          <t xml:space="preserve">Edelweiss Mutual Fund</t>
        </is>
      </c>
      <c r="B2461" t="inlineStr">
        <is>
          <t xml:space="preserve">Edelweiss CRISIL PSU Plus SDL 50:50 Oct 2025 Index Fund - Direct Plan Growth</t>
        </is>
      </c>
      <c r="C2461" t="inlineStr">
        <is>
          <t xml:space="preserve">INF754K01OG0</t>
        </is>
      </c>
    </row>
    <row r="2462">
      <c r="A2462" t="inlineStr">
        <is>
          <t xml:space="preserve">Edelweiss Mutual Fund</t>
        </is>
      </c>
      <c r="B2462" t="inlineStr">
        <is>
          <t xml:space="preserve">Edelweiss CRISIL PSU Plus SDL 50:50 Oct 2025 Index Fund - Regular Plan - IDCW Payout</t>
        </is>
      </c>
      <c r="C2462" t="inlineStr">
        <is>
          <t xml:space="preserve">INF754K01OD7</t>
        </is>
      </c>
    </row>
    <row r="2463">
      <c r="A2463" t="inlineStr">
        <is>
          <t xml:space="preserve">Edelweiss Mutual Fund</t>
        </is>
      </c>
      <c r="B2463" t="inlineStr">
        <is>
          <t xml:space="preserve">Edelweiss CRISIL PSU Plus SDL 50:50 Oct 2025 Index Fund - Regular Plan Growth</t>
        </is>
      </c>
      <c r="C2463" t="inlineStr">
        <is>
          <t xml:space="preserve">INF754K01OC9</t>
        </is>
      </c>
    </row>
    <row r="2464">
      <c r="A2464" t="inlineStr">
        <is>
          <t xml:space="preserve">Edelweiss Mutual Fund</t>
        </is>
      </c>
      <c r="B2464" t="inlineStr">
        <is>
          <t xml:space="preserve">Edelweiss ELSS Tax Saver Fund - Direct Plan - IDCW Option</t>
        </is>
      </c>
      <c r="C2464" t="inlineStr">
        <is>
          <t xml:space="preserve">INF754K01BX2</t>
        </is>
      </c>
    </row>
    <row r="2465">
      <c r="A2465" t="inlineStr">
        <is>
          <t xml:space="preserve">Edelweiss Mutual Fund</t>
        </is>
      </c>
      <c r="B2465" t="inlineStr">
        <is>
          <t xml:space="preserve">Edelweiss ELSS Tax Saver Fund - Direct Plan-Growth Option</t>
        </is>
      </c>
      <c r="C2465" t="inlineStr">
        <is>
          <t xml:space="preserve">INF754K01CA8</t>
        </is>
      </c>
    </row>
    <row r="2466">
      <c r="A2466" t="inlineStr">
        <is>
          <t xml:space="preserve">Edelweiss Mutual Fund</t>
        </is>
      </c>
      <c r="B2466" t="inlineStr">
        <is>
          <t xml:space="preserve">Edelweiss ELSS Tax Saver Fund - Regular Plan - Growth Option</t>
        </is>
      </c>
      <c r="C2466" t="inlineStr">
        <is>
          <t xml:space="preserve">INF754K01517</t>
        </is>
      </c>
    </row>
    <row r="2467">
      <c r="A2467" t="inlineStr">
        <is>
          <t xml:space="preserve">Edelweiss Mutual Fund</t>
        </is>
      </c>
      <c r="B2467" t="inlineStr">
        <is>
          <t xml:space="preserve">Edelweiss ELSS Tax Saver Fund - Regular Plan - IDCW Option</t>
        </is>
      </c>
      <c r="C2467" t="inlineStr">
        <is>
          <t xml:space="preserve">INF754K01525</t>
        </is>
      </c>
    </row>
    <row r="2468">
      <c r="A2468" t="inlineStr">
        <is>
          <t xml:space="preserve">Edelweiss Mutual Fund</t>
        </is>
      </c>
      <c r="B2468" t="inlineStr">
        <is>
          <t xml:space="preserve">Edelweiss Emerging Markets Opportunities Equity Offshore Fund - Direct Plan - Growth Option</t>
        </is>
      </c>
      <c r="C2468" t="inlineStr">
        <is>
          <t xml:space="preserve">INF843K01IZ3</t>
        </is>
      </c>
    </row>
    <row r="2469">
      <c r="A2469" t="inlineStr">
        <is>
          <t xml:space="preserve">Edelweiss Mutual Fund</t>
        </is>
      </c>
      <c r="B2469" t="inlineStr">
        <is>
          <t xml:space="preserve">Edelweiss Emerging Markets Opportunities Equity Offshore Fund - Regular Plan - Growth Option</t>
        </is>
      </c>
      <c r="C2469" t="inlineStr">
        <is>
          <t xml:space="preserve">INF843K01IY6</t>
        </is>
      </c>
    </row>
    <row r="2470">
      <c r="A2470" t="inlineStr">
        <is>
          <t xml:space="preserve">Edelweiss Mutual Fund</t>
        </is>
      </c>
      <c r="B2470" t="inlineStr">
        <is>
          <t xml:space="preserve">Edelweiss Equity Savings Fund - Direct Plan - Bonus Option</t>
        </is>
      </c>
      <c r="C2470" t="inlineStr">
        <is>
          <t xml:space="preserve">INF843K01KD6</t>
        </is>
      </c>
    </row>
    <row r="2471">
      <c r="A2471" t="inlineStr">
        <is>
          <t xml:space="preserve">Edelweiss Mutual Fund</t>
        </is>
      </c>
      <c r="B2471" t="inlineStr">
        <is>
          <t xml:space="preserve">Edelweiss Equity Savings Fund - Direct Plan - Growth Option</t>
        </is>
      </c>
      <c r="C2471" t="inlineStr">
        <is>
          <t xml:space="preserve">INF843K01KC8</t>
        </is>
      </c>
    </row>
    <row r="2472">
      <c r="A2472" t="inlineStr">
        <is>
          <t xml:space="preserve">Edelweiss Mutual Fund</t>
        </is>
      </c>
      <c r="B2472" t="inlineStr">
        <is>
          <t xml:space="preserve">Edelweiss Equity Savings Fund - Direct Plan - IDCW Option</t>
        </is>
      </c>
      <c r="C2472" t="inlineStr">
        <is>
          <t xml:space="preserve">INF843K01KE4</t>
        </is>
      </c>
    </row>
    <row r="2473">
      <c r="A2473" t="inlineStr">
        <is>
          <t xml:space="preserve">Edelweiss Mutual Fund</t>
        </is>
      </c>
      <c r="B2473" t="inlineStr">
        <is>
          <t xml:space="preserve">Edelweiss Equity Savings Fund - Direct Plan - Monthly - IDCW Option</t>
        </is>
      </c>
      <c r="C2473" t="inlineStr">
        <is>
          <t xml:space="preserve">INF754K01IN8</t>
        </is>
      </c>
    </row>
    <row r="2474">
      <c r="A2474" t="inlineStr">
        <is>
          <t xml:space="preserve">Edelweiss Mutual Fund</t>
        </is>
      </c>
      <c r="B2474" t="inlineStr">
        <is>
          <t xml:space="preserve">Edelweiss Equity Savings Fund - Regular Plan - Bonus Option</t>
        </is>
      </c>
      <c r="C2474" t="inlineStr">
        <is>
          <t xml:space="preserve">INF843K01KH7</t>
        </is>
      </c>
    </row>
    <row r="2475">
      <c r="A2475" t="inlineStr">
        <is>
          <t xml:space="preserve">Edelweiss Mutual Fund</t>
        </is>
      </c>
      <c r="B2475" t="inlineStr">
        <is>
          <t xml:space="preserve">Edelweiss Equity Savings Fund - Regular Plan - Growth Option</t>
        </is>
      </c>
      <c r="C2475" t="inlineStr">
        <is>
          <t xml:space="preserve">INF843K01KG9</t>
        </is>
      </c>
    </row>
    <row r="2476">
      <c r="A2476" t="inlineStr">
        <is>
          <t xml:space="preserve">Edelweiss Mutual Fund</t>
        </is>
      </c>
      <c r="B2476" t="inlineStr">
        <is>
          <t xml:space="preserve">Edelweiss Equity Savings Fund - Regular Plan - IDCW Option</t>
        </is>
      </c>
      <c r="C2476" t="inlineStr">
        <is>
          <t xml:space="preserve">INF843K01KI5</t>
        </is>
      </c>
    </row>
    <row r="2477">
      <c r="A2477" t="inlineStr">
        <is>
          <t xml:space="preserve">Edelweiss Mutual Fund</t>
        </is>
      </c>
      <c r="B2477" t="inlineStr">
        <is>
          <t xml:space="preserve">Edelweiss Equity Savings Fund - Regular Plan - Monthly - IDCW Option</t>
        </is>
      </c>
      <c r="C2477" t="inlineStr">
        <is>
          <t xml:space="preserve">INF754K01IP3</t>
        </is>
      </c>
    </row>
    <row r="2478">
      <c r="A2478" t="inlineStr">
        <is>
          <t xml:space="preserve">Edelweiss Mutual Fund</t>
        </is>
      </c>
      <c r="B2478" t="inlineStr">
        <is>
          <t xml:space="preserve">Edelweiss Europe Dynamic Equity Offshore Fund - Growth Option - Direct Plan</t>
        </is>
      </c>
      <c r="C2478" t="inlineStr">
        <is>
          <t xml:space="preserve">INF843K01GI3</t>
        </is>
      </c>
    </row>
    <row r="2479">
      <c r="A2479" t="inlineStr">
        <is>
          <t xml:space="preserve">Edelweiss Mutual Fund</t>
        </is>
      </c>
      <c r="B2479" t="inlineStr">
        <is>
          <t xml:space="preserve">Edelweiss Europe Dynamic Equity Offshore Fund - Growth Option - Regular Plan</t>
        </is>
      </c>
      <c r="C2479" t="inlineStr">
        <is>
          <t xml:space="preserve">INF843K01GJ1</t>
        </is>
      </c>
    </row>
    <row r="2480">
      <c r="A2480" t="inlineStr">
        <is>
          <t xml:space="preserve">Edelweiss Mutual Fund</t>
        </is>
      </c>
      <c r="B2480" t="inlineStr">
        <is>
          <t xml:space="preserve">Edelweiss Financial Services Fund - Direct Plan - Growth Option</t>
        </is>
      </c>
      <c r="C2480" t="inlineStr">
        <is>
          <t xml:space="preserve">INF754K01WH1</t>
        </is>
      </c>
    </row>
    <row r="2481">
      <c r="A2481" t="inlineStr">
        <is>
          <t xml:space="preserve">Edelweiss Mutual Fund</t>
        </is>
      </c>
      <c r="B2481" t="inlineStr">
        <is>
          <t xml:space="preserve">Edelweiss Financial Services Fund - Direct Plan - IDCW Option</t>
        </is>
      </c>
      <c r="C2481" t="inlineStr">
        <is>
          <t xml:space="preserve">INF754K01WI9</t>
        </is>
      </c>
    </row>
    <row r="2482">
      <c r="A2482" t="inlineStr">
        <is>
          <t xml:space="preserve">Edelweiss Mutual Fund</t>
        </is>
      </c>
      <c r="B2482" t="inlineStr">
        <is>
          <t xml:space="preserve">Edelweiss Financial Services Fund - Regular Plan - Growth Option</t>
        </is>
      </c>
      <c r="C2482" t="inlineStr">
        <is>
          <t xml:space="preserve">INF754K01WL3</t>
        </is>
      </c>
    </row>
    <row r="2483">
      <c r="A2483" t="inlineStr">
        <is>
          <t xml:space="preserve">Edelweiss Mutual Fund</t>
        </is>
      </c>
      <c r="B2483" t="inlineStr">
        <is>
          <t xml:space="preserve">Edelweiss Financial Services Fund - Regular Plan - IDCW Option</t>
        </is>
      </c>
      <c r="C2483" t="inlineStr">
        <is>
          <t xml:space="preserve">INF754K01WM1</t>
        </is>
      </c>
    </row>
    <row r="2484">
      <c r="A2484" t="inlineStr">
        <is>
          <t xml:space="preserve">Edelweiss Mutual Fund</t>
        </is>
      </c>
      <c r="B2484" t="inlineStr">
        <is>
          <t xml:space="preserve">Edelweiss Flexi Cap Fund - Direct Plan - Growth Option</t>
        </is>
      </c>
      <c r="C2484" t="inlineStr">
        <is>
          <t xml:space="preserve">INF843K01KK1</t>
        </is>
      </c>
    </row>
    <row r="2485">
      <c r="A2485" t="inlineStr">
        <is>
          <t xml:space="preserve">Edelweiss Mutual Fund</t>
        </is>
      </c>
      <c r="B2485" t="inlineStr">
        <is>
          <t xml:space="preserve">Edelweiss Flexi Cap Fund - Direct Plan - IDCW Option</t>
        </is>
      </c>
      <c r="C2485" t="inlineStr">
        <is>
          <t xml:space="preserve">INF843K01KL9</t>
        </is>
      </c>
    </row>
    <row r="2486">
      <c r="A2486" t="inlineStr">
        <is>
          <t xml:space="preserve">Edelweiss Mutual Fund</t>
        </is>
      </c>
      <c r="B2486" t="inlineStr">
        <is>
          <t xml:space="preserve">Edelweiss Flexi Cap Fund - Regular - IDCW Option</t>
        </is>
      </c>
      <c r="C2486" t="inlineStr">
        <is>
          <t xml:space="preserve">INF843K01KO3</t>
        </is>
      </c>
    </row>
    <row r="2487">
      <c r="A2487" t="inlineStr">
        <is>
          <t xml:space="preserve">Edelweiss Mutual Fund</t>
        </is>
      </c>
      <c r="B2487" t="inlineStr">
        <is>
          <t xml:space="preserve">Edelweiss Flexi Cap Fund - Regular Plan - Growth Option</t>
        </is>
      </c>
      <c r="C2487" t="inlineStr">
        <is>
          <t xml:space="preserve">INF843K01KN5</t>
        </is>
      </c>
    </row>
    <row r="2488">
      <c r="A2488" t="inlineStr">
        <is>
          <t xml:space="preserve">Edelweiss Mutual Fund</t>
        </is>
      </c>
      <c r="B2488" t="inlineStr">
        <is>
          <t xml:space="preserve">Edelweiss Focused Fund - Direct Plan - Growth</t>
        </is>
      </c>
      <c r="C2488" t="inlineStr">
        <is>
          <t xml:space="preserve">INF754K01OP1</t>
        </is>
      </c>
    </row>
    <row r="2489">
      <c r="A2489" t="inlineStr">
        <is>
          <t xml:space="preserve">Edelweiss Mutual Fund</t>
        </is>
      </c>
      <c r="B2489" t="inlineStr">
        <is>
          <t xml:space="preserve">Edelweiss Focused Fund - Direct Plan - IDCW</t>
        </is>
      </c>
      <c r="C2489" t="inlineStr">
        <is>
          <t xml:space="preserve">INF754K01OQ9</t>
        </is>
      </c>
    </row>
    <row r="2490">
      <c r="A2490" t="inlineStr">
        <is>
          <t xml:space="preserve">Edelweiss Mutual Fund</t>
        </is>
      </c>
      <c r="B2490" t="inlineStr">
        <is>
          <t xml:space="preserve">Edelweiss Focused Fund - Regular Plan - Growth</t>
        </is>
      </c>
      <c r="C2490" t="inlineStr">
        <is>
          <t xml:space="preserve">INF754K01OL0</t>
        </is>
      </c>
    </row>
    <row r="2491">
      <c r="A2491" t="inlineStr">
        <is>
          <t xml:space="preserve">Edelweiss Mutual Fund</t>
        </is>
      </c>
      <c r="B2491" t="inlineStr">
        <is>
          <t xml:space="preserve">Edelweiss Focused Fund - Regular Plan - IDCW</t>
        </is>
      </c>
      <c r="C2491" t="inlineStr">
        <is>
          <t xml:space="preserve">INF754K01OM8</t>
        </is>
      </c>
    </row>
    <row r="2492">
      <c r="A2492" t="inlineStr">
        <is>
          <t xml:space="preserve">Edelweiss Mutual Fund</t>
        </is>
      </c>
      <c r="B2492" t="inlineStr">
        <is>
          <t xml:space="preserve">Edelweiss Gold and Silver ETF FOF - Direct Plan - Growth</t>
        </is>
      </c>
      <c r="C2492" t="inlineStr">
        <is>
          <t xml:space="preserve">INF754K01OX5</t>
        </is>
      </c>
    </row>
    <row r="2493">
      <c r="A2493" t="inlineStr">
        <is>
          <t xml:space="preserve">Edelweiss Mutual Fund</t>
        </is>
      </c>
      <c r="B2493" t="inlineStr">
        <is>
          <t xml:space="preserve">Edelweiss Gold and Silver ETF FOF - Direct Plan - IDCW</t>
        </is>
      </c>
      <c r="C2493" t="inlineStr">
        <is>
          <t xml:space="preserve">INF754K01OY3</t>
        </is>
      </c>
    </row>
    <row r="2494">
      <c r="A2494" t="inlineStr">
        <is>
          <t xml:space="preserve">Edelweiss Mutual Fund</t>
        </is>
      </c>
      <c r="B2494" t="inlineStr">
        <is>
          <t xml:space="preserve">Edelweiss Gold and Silver ETF FOF - Regular Plan - Growth</t>
        </is>
      </c>
      <c r="C2494" t="inlineStr">
        <is>
          <t xml:space="preserve">INF754K01OT3</t>
        </is>
      </c>
    </row>
    <row r="2495">
      <c r="A2495" t="inlineStr">
        <is>
          <t xml:space="preserve">Edelweiss Mutual Fund</t>
        </is>
      </c>
      <c r="B2495" t="inlineStr">
        <is>
          <t xml:space="preserve">Edelweiss Gold and Silver ETF FOF - Regular Plan - IDCW</t>
        </is>
      </c>
      <c r="C2495" t="inlineStr">
        <is>
          <t xml:space="preserve">INF754K01OU1</t>
        </is>
      </c>
    </row>
    <row r="2496">
      <c r="A2496" t="inlineStr">
        <is>
          <t xml:space="preserve">Edelweiss Mutual Fund</t>
        </is>
      </c>
      <c r="B2496" t="inlineStr">
        <is>
          <t xml:space="preserve">Edelweiss Gold ETF</t>
        </is>
      </c>
      <c r="C2496" t="inlineStr">
        <is>
          <t xml:space="preserve">INF754K01SE6</t>
        </is>
      </c>
    </row>
    <row r="2497">
      <c r="A2497" t="inlineStr">
        <is>
          <t xml:space="preserve">Edelweiss Mutual Fund</t>
        </is>
      </c>
      <c r="B2497" t="inlineStr">
        <is>
          <t xml:space="preserve">Edelweiss Gold ETF Fund of Fund Direct Plan Growth Option</t>
        </is>
      </c>
      <c r="C2497" t="inlineStr">
        <is>
          <t xml:space="preserve">INF754K01WP4</t>
        </is>
      </c>
    </row>
    <row r="2498">
      <c r="A2498" t="inlineStr">
        <is>
          <t xml:space="preserve">Edelweiss Mutual Fund</t>
        </is>
      </c>
      <c r="B2498" t="inlineStr">
        <is>
          <t xml:space="preserve">Edelweiss Gold ETF Fund of Fund Regular Plan Growth Option</t>
        </is>
      </c>
      <c r="C2498" t="inlineStr">
        <is>
          <t xml:space="preserve">INF754K01WQ2</t>
        </is>
      </c>
    </row>
    <row r="2499">
      <c r="A2499" t="inlineStr">
        <is>
          <t xml:space="preserve">Edelweiss Mutual Fund</t>
        </is>
      </c>
      <c r="B2499" t="inlineStr">
        <is>
          <t xml:space="preserve">Edelweiss Government Securities Fund - Direct Plan - Annual Dividend Option</t>
        </is>
      </c>
      <c r="C2499" t="inlineStr">
        <is>
          <t xml:space="preserve">INF843K01HB6</t>
        </is>
      </c>
    </row>
    <row r="2500">
      <c r="A2500" t="inlineStr">
        <is>
          <t xml:space="preserve">Edelweiss Mutual Fund</t>
        </is>
      </c>
      <c r="B2500" t="inlineStr">
        <is>
          <t xml:space="preserve">Edelweiss Government Securities Fund - Direct Plan - Growth Option</t>
        </is>
      </c>
      <c r="C2500" t="inlineStr">
        <is>
          <t xml:space="preserve">INF843K01GS2</t>
        </is>
      </c>
    </row>
    <row r="2501">
      <c r="A2501" t="inlineStr">
        <is>
          <t xml:space="preserve">Edelweiss Mutual Fund</t>
        </is>
      </c>
      <c r="B2501" t="inlineStr">
        <is>
          <t xml:space="preserve">Edelweiss Government Securities Fund - Direct Plan - IDCW Option</t>
        </is>
      </c>
      <c r="C2501" t="inlineStr">
        <is>
          <t xml:space="preserve">INF843K01GU8</t>
        </is>
      </c>
    </row>
    <row r="2502">
      <c r="A2502" t="inlineStr">
        <is>
          <t xml:space="preserve">Edelweiss Mutual Fund</t>
        </is>
      </c>
      <c r="B2502" t="inlineStr">
        <is>
          <t xml:space="preserve">Edelweiss Government Securities Fund - Direct Plan Fortnightly - IDCW Option</t>
        </is>
      </c>
      <c r="C2502" t="inlineStr">
        <is>
          <t xml:space="preserve">INF843K01GX2</t>
        </is>
      </c>
    </row>
    <row r="2503">
      <c r="A2503" t="inlineStr">
        <is>
          <t xml:space="preserve">Edelweiss Mutual Fund</t>
        </is>
      </c>
      <c r="B2503" t="inlineStr">
        <is>
          <t xml:space="preserve">Edelweiss Government Securities Fund - Direct Plan Monthly - IDCW Option</t>
        </is>
      </c>
      <c r="C2503" t="inlineStr">
        <is>
          <t xml:space="preserve">INF843K01GZ7</t>
        </is>
      </c>
    </row>
    <row r="2504">
      <c r="A2504" t="inlineStr">
        <is>
          <t xml:space="preserve">Edelweiss Mutual Fund</t>
        </is>
      </c>
      <c r="B2504" t="inlineStr">
        <is>
          <t xml:space="preserve">Edelweiss Government Securities Fund - Direct Plan weekly - IDCW Option</t>
        </is>
      </c>
      <c r="C2504" t="inlineStr">
        <is>
          <t xml:space="preserve">INF843K01GW4</t>
        </is>
      </c>
    </row>
    <row r="2505">
      <c r="A2505" t="inlineStr">
        <is>
          <t xml:space="preserve">Edelweiss Mutual Fund</t>
        </is>
      </c>
      <c r="B2505" t="inlineStr">
        <is>
          <t xml:space="preserve">Edelweiss Government Securities Fund - Regular Plan - Annual - IDCW Option</t>
        </is>
      </c>
      <c r="C2505" t="inlineStr">
        <is>
          <t xml:space="preserve">INF843K01HL5</t>
        </is>
      </c>
    </row>
    <row r="2506">
      <c r="A2506" t="inlineStr">
        <is>
          <t xml:space="preserve">Edelweiss Mutual Fund</t>
        </is>
      </c>
      <c r="B2506" t="inlineStr">
        <is>
          <t xml:space="preserve">Edelweiss Government Securities Fund - Regular Plan - Growth Option</t>
        </is>
      </c>
      <c r="C2506" t="inlineStr">
        <is>
          <t xml:space="preserve">INF843K01HC4</t>
        </is>
      </c>
    </row>
    <row r="2507">
      <c r="A2507" t="inlineStr">
        <is>
          <t xml:space="preserve">Edelweiss Mutual Fund</t>
        </is>
      </c>
      <c r="B2507" t="inlineStr">
        <is>
          <t xml:space="preserve">Edelweiss Government Securities Fund - Regular Plan - IDCW Option</t>
        </is>
      </c>
      <c r="C2507" t="inlineStr">
        <is>
          <t xml:space="preserve">INF843K01HE0</t>
        </is>
      </c>
    </row>
    <row r="2508">
      <c r="A2508" t="inlineStr">
        <is>
          <t xml:space="preserve">Edelweiss Mutual Fund</t>
        </is>
      </c>
      <c r="B2508" t="inlineStr">
        <is>
          <t xml:space="preserve">Edelweiss Government Securities Fund - Regular Plan Fortnightly - IDCW Option</t>
        </is>
      </c>
      <c r="C2508" t="inlineStr">
        <is>
          <t xml:space="preserve">INF843K01HH3</t>
        </is>
      </c>
    </row>
    <row r="2509">
      <c r="A2509" t="inlineStr">
        <is>
          <t xml:space="preserve">Edelweiss Mutual Fund</t>
        </is>
      </c>
      <c r="B2509" t="inlineStr">
        <is>
          <t xml:space="preserve">Edelweiss Government Securities Fund - Regular Plan Monthly - IDCW Option</t>
        </is>
      </c>
      <c r="C2509" t="inlineStr">
        <is>
          <t xml:space="preserve">INF843K01HJ9</t>
        </is>
      </c>
    </row>
    <row r="2510">
      <c r="A2510" t="inlineStr">
        <is>
          <t xml:space="preserve">Edelweiss Mutual Fund</t>
        </is>
      </c>
      <c r="B2510" t="inlineStr">
        <is>
          <t xml:space="preserve">Edelweiss Government Securities Fund - Regular Plan Weekly - IDCW Option</t>
        </is>
      </c>
      <c r="C2510" t="inlineStr">
        <is>
          <t xml:space="preserve">INF843K01HG5</t>
        </is>
      </c>
    </row>
    <row r="2511">
      <c r="A2511" t="inlineStr">
        <is>
          <t xml:space="preserve">Edelweiss Mutual Fund</t>
        </is>
      </c>
      <c r="B2511" t="inlineStr">
        <is>
          <t xml:space="preserve">Edelweiss Greater China Equity Off-shore Fund - Direct Plan - Growth Option</t>
        </is>
      </c>
      <c r="C2511" t="inlineStr">
        <is>
          <t xml:space="preserve">INF843K01AU1</t>
        </is>
      </c>
    </row>
    <row r="2512">
      <c r="A2512" t="inlineStr">
        <is>
          <t xml:space="preserve">Edelweiss Mutual Fund</t>
        </is>
      </c>
      <c r="B2512" t="inlineStr">
        <is>
          <t xml:space="preserve">Edelweiss Greater China Equity Off-shore Fund - Regular Plan - Growth Option</t>
        </is>
      </c>
      <c r="C2512" t="inlineStr">
        <is>
          <t xml:space="preserve">INF843K01138</t>
        </is>
      </c>
    </row>
    <row r="2513">
      <c r="A2513" t="inlineStr">
        <is>
          <t xml:space="preserve">Edelweiss Mutual Fund</t>
        </is>
      </c>
      <c r="B2513" t="inlineStr">
        <is>
          <t xml:space="preserve">Edelweiss Income Plus Arbitrage Active Fund of Fund - Regular - Dividend- Payout</t>
        </is>
      </c>
      <c r="C2513" t="inlineStr">
        <is>
          <t xml:space="preserve">INF754K01VK7</t>
        </is>
      </c>
    </row>
    <row r="2514">
      <c r="A2514" t="inlineStr">
        <is>
          <t xml:space="preserve">Edelweiss Mutual Fund</t>
        </is>
      </c>
      <c r="B2514" t="inlineStr">
        <is>
          <t xml:space="preserve">Edelweiss Income Plus Arbitrage Active Fund of Funds - Direct Plan Growth</t>
        </is>
      </c>
      <c r="C2514" t="inlineStr">
        <is>
          <t xml:space="preserve">INF754K01VF7</t>
        </is>
      </c>
    </row>
    <row r="2515">
      <c r="A2515" t="inlineStr">
        <is>
          <t xml:space="preserve">Edelweiss Mutual Fund</t>
        </is>
      </c>
      <c r="B2515" t="inlineStr">
        <is>
          <t xml:space="preserve">Edelweiss Income Plus Arbitrage Active Fund of Funds - Direct-Dividend-Payout</t>
        </is>
      </c>
      <c r="C2515" t="inlineStr">
        <is>
          <t xml:space="preserve">INF754K01VG5</t>
        </is>
      </c>
    </row>
    <row r="2516">
      <c r="A2516" t="inlineStr">
        <is>
          <t xml:space="preserve">Edelweiss Mutual Fund</t>
        </is>
      </c>
      <c r="B2516" t="inlineStr">
        <is>
          <t xml:space="preserve">Edelweiss Income Plus Arbitrage Active Fund of Funds - Regular-Growth</t>
        </is>
      </c>
      <c r="C2516" t="inlineStr">
        <is>
          <t xml:space="preserve">INF754K01VJ9</t>
        </is>
      </c>
    </row>
    <row r="2517">
      <c r="A2517" t="inlineStr">
        <is>
          <t xml:space="preserve">Edelweiss Mutual Fund</t>
        </is>
      </c>
      <c r="B2517" t="inlineStr">
        <is>
          <t xml:space="preserve">Edelweiss Large &amp; Mid Cap Fund - Direct Plan - Growth Option</t>
        </is>
      </c>
      <c r="C2517" t="inlineStr">
        <is>
          <t xml:space="preserve">INF843K01AL0</t>
        </is>
      </c>
    </row>
    <row r="2518">
      <c r="A2518" t="inlineStr">
        <is>
          <t xml:space="preserve">Edelweiss Mutual Fund</t>
        </is>
      </c>
      <c r="B2518" t="inlineStr">
        <is>
          <t xml:space="preserve">Edelweiss Large &amp; Mid Cap Fund - Regular Plan - Growth Option</t>
        </is>
      </c>
      <c r="C2518" t="inlineStr">
        <is>
          <t xml:space="preserve">INF843K01047</t>
        </is>
      </c>
    </row>
    <row r="2519">
      <c r="A2519" t="inlineStr">
        <is>
          <t xml:space="preserve">Edelweiss Mutual Fund</t>
        </is>
      </c>
      <c r="B2519" t="inlineStr">
        <is>
          <t xml:space="preserve">Edelweiss Large and Mid Cap Fund - Direct Plan - IDCW Option</t>
        </is>
      </c>
      <c r="C2519" t="inlineStr">
        <is>
          <t xml:space="preserve">INF843K01AM8</t>
        </is>
      </c>
    </row>
    <row r="2520">
      <c r="A2520" t="inlineStr">
        <is>
          <t xml:space="preserve">Edelweiss Mutual Fund</t>
        </is>
      </c>
      <c r="B2520" t="inlineStr">
        <is>
          <t xml:space="preserve">Edelweiss Large and Mid Cap Fund - Regular Plan - IDCW Option</t>
        </is>
      </c>
      <c r="C2520" t="inlineStr">
        <is>
          <t xml:space="preserve">INF843K01054</t>
        </is>
      </c>
    </row>
    <row r="2521">
      <c r="A2521" t="inlineStr">
        <is>
          <t xml:space="preserve">Edelweiss Mutual Fund</t>
        </is>
      </c>
      <c r="B2521" t="inlineStr">
        <is>
          <t xml:space="preserve">Edelweiss Large Cap Fund - Direct Plan - IDCW Option</t>
        </is>
      </c>
      <c r="C2521" t="inlineStr">
        <is>
          <t xml:space="preserve">INF754K01BT0</t>
        </is>
      </c>
    </row>
    <row r="2522">
      <c r="A2522" t="inlineStr">
        <is>
          <t xml:space="preserve">Edelweiss Mutual Fund</t>
        </is>
      </c>
      <c r="B2522" t="inlineStr">
        <is>
          <t xml:space="preserve">Edelweiss Large Cap Fund - Direct Plan-Growth option</t>
        </is>
      </c>
      <c r="C2522" t="inlineStr">
        <is>
          <t xml:space="preserve">INF754K01BW4</t>
        </is>
      </c>
    </row>
    <row r="2523">
      <c r="A2523" t="inlineStr">
        <is>
          <t xml:space="preserve">Edelweiss Mutual Fund</t>
        </is>
      </c>
      <c r="B2523" t="inlineStr">
        <is>
          <t xml:space="preserve">Edelweiss Large Cap Fund - Plan B - IDCW Option</t>
        </is>
      </c>
      <c r="C2523" t="inlineStr">
        <is>
          <t xml:space="preserve">INF754K01053</t>
        </is>
      </c>
    </row>
    <row r="2524">
      <c r="A2524" t="inlineStr">
        <is>
          <t xml:space="preserve">Edelweiss Mutual Fund</t>
        </is>
      </c>
      <c r="B2524" t="inlineStr">
        <is>
          <t xml:space="preserve">Edelweiss Large Cap Fund - Plan C - IDCW Option</t>
        </is>
      </c>
      <c r="C2524" t="inlineStr">
        <is>
          <t xml:space="preserve">INF754K01095</t>
        </is>
      </c>
    </row>
    <row r="2525">
      <c r="A2525" t="inlineStr">
        <is>
          <t xml:space="preserve">Edelweiss Mutual Fund</t>
        </is>
      </c>
      <c r="B2525" t="inlineStr">
        <is>
          <t xml:space="preserve">Edelweiss Large Cap Fund - Regular Plan - Growth Option</t>
        </is>
      </c>
      <c r="C2525" t="inlineStr">
        <is>
          <t xml:space="preserve">INF754K01046</t>
        </is>
      </c>
    </row>
    <row r="2526">
      <c r="A2526" t="inlineStr">
        <is>
          <t xml:space="preserve">Edelweiss Mutual Fund</t>
        </is>
      </c>
      <c r="B2526" t="inlineStr">
        <is>
          <t xml:space="preserve">Edelweiss Large Cap Fund - Regular Plan - IDCW Option</t>
        </is>
      </c>
      <c r="C2526" t="inlineStr">
        <is>
          <t xml:space="preserve">INF754K01012</t>
        </is>
      </c>
    </row>
    <row r="2527">
      <c r="A2527" t="inlineStr">
        <is>
          <t xml:space="preserve">Edelweiss Mutual Fund</t>
        </is>
      </c>
      <c r="B2527" t="inlineStr">
        <is>
          <t xml:space="preserve">Edelweiss Large Cap Fund -Plan B - Growth option</t>
        </is>
      </c>
      <c r="C2527" t="inlineStr">
        <is>
          <t xml:space="preserve">INF754K01087</t>
        </is>
      </c>
    </row>
    <row r="2528">
      <c r="A2528" t="inlineStr">
        <is>
          <t xml:space="preserve">Edelweiss Mutual Fund</t>
        </is>
      </c>
      <c r="B2528" t="inlineStr">
        <is>
          <t xml:space="preserve">Edelweiss Large Cap Fund -Plan C - Growth option</t>
        </is>
      </c>
      <c r="C2528" t="inlineStr">
        <is>
          <t xml:space="preserve">INF754K01129</t>
        </is>
      </c>
    </row>
    <row r="2529">
      <c r="A2529" t="inlineStr">
        <is>
          <t xml:space="preserve">Edelweiss Mutual Fund</t>
        </is>
      </c>
      <c r="B2529" t="inlineStr">
        <is>
          <t xml:space="preserve">Edelweiss Liquid Fund - Direct Plan - Bonus Option</t>
        </is>
      </c>
      <c r="C2529" t="inlineStr">
        <is>
          <t xml:space="preserve">INF754K01GY9</t>
        </is>
      </c>
    </row>
    <row r="2530">
      <c r="A2530" t="inlineStr">
        <is>
          <t xml:space="preserve">Edelweiss Mutual Fund</t>
        </is>
      </c>
      <c r="B2530" t="inlineStr">
        <is>
          <t xml:space="preserve">Edelweiss Liquid Fund - Direct Plan - Growth Option</t>
        </is>
      </c>
      <c r="C2530" t="inlineStr">
        <is>
          <t xml:space="preserve">INF754K01GM4</t>
        </is>
      </c>
    </row>
    <row r="2531">
      <c r="A2531" t="inlineStr">
        <is>
          <t xml:space="preserve">Edelweiss Mutual Fund</t>
        </is>
      </c>
      <c r="B2531" t="inlineStr">
        <is>
          <t xml:space="preserve">Edelweiss Liquid Fund - Direct Plan - IDCW Option</t>
        </is>
      </c>
      <c r="C2531" t="inlineStr">
        <is>
          <t xml:space="preserve">INF754K01GO0</t>
        </is>
      </c>
    </row>
    <row r="2532">
      <c r="A2532" t="inlineStr">
        <is>
          <t xml:space="preserve">Edelweiss Mutual Fund</t>
        </is>
      </c>
      <c r="B2532" t="inlineStr">
        <is>
          <t xml:space="preserve">Edelweiss Liquid Fund - Direct Plan Annual - IDCW Option</t>
        </is>
      </c>
      <c r="C2532" t="inlineStr">
        <is>
          <t xml:space="preserve">INF754K01GX1</t>
        </is>
      </c>
    </row>
    <row r="2533">
      <c r="A2533" t="inlineStr">
        <is>
          <t xml:space="preserve">Edelweiss Mutual Fund</t>
        </is>
      </c>
      <c r="B2533" t="inlineStr">
        <is>
          <t xml:space="preserve">Edelweiss Liquid Fund - Direct Plan daily - IDCW Option</t>
        </is>
      </c>
      <c r="C2533" t="inlineStr">
        <is>
          <t xml:space="preserve">INF754K01GP7</t>
        </is>
      </c>
    </row>
    <row r="2534">
      <c r="A2534" t="inlineStr">
        <is>
          <t xml:space="preserve">Edelweiss Mutual Fund</t>
        </is>
      </c>
      <c r="B2534" t="inlineStr">
        <is>
          <t xml:space="preserve">Edelweiss Liquid Fund - Direct Plan Fortnightly - IDCW Option</t>
        </is>
      </c>
      <c r="C2534" t="inlineStr">
        <is>
          <t xml:space="preserve">INF754K01GV5</t>
        </is>
      </c>
    </row>
    <row r="2535">
      <c r="A2535" t="inlineStr">
        <is>
          <t xml:space="preserve">Edelweiss Mutual Fund</t>
        </is>
      </c>
      <c r="B2535" t="inlineStr">
        <is>
          <t xml:space="preserve">Edelweiss Liquid Fund - Direct Plan Monthly - IDCW Option</t>
        </is>
      </c>
      <c r="C2535" t="inlineStr">
        <is>
          <t xml:space="preserve">INF754K01GW3</t>
        </is>
      </c>
    </row>
    <row r="2536">
      <c r="A2536" t="inlineStr">
        <is>
          <t xml:space="preserve">Edelweiss Mutual Fund</t>
        </is>
      </c>
      <c r="B2536" t="inlineStr">
        <is>
          <t xml:space="preserve">Edelweiss Liquid Fund - Direct Plan weekly - IDCW Option</t>
        </is>
      </c>
      <c r="C2536" t="inlineStr">
        <is>
          <t xml:space="preserve">INF754K01GU7</t>
        </is>
      </c>
    </row>
    <row r="2537">
      <c r="A2537" t="inlineStr">
        <is>
          <t xml:space="preserve">Edelweiss Mutual Fund</t>
        </is>
      </c>
      <c r="B2537" t="inlineStr">
        <is>
          <t xml:space="preserve">Edelweiss Liquid Fund - Regular Plan - Bonus Option</t>
        </is>
      </c>
      <c r="C2537" t="inlineStr">
        <is>
          <t xml:space="preserve">INF754K01HR1</t>
        </is>
      </c>
    </row>
    <row r="2538">
      <c r="A2538" t="inlineStr">
        <is>
          <t xml:space="preserve">Edelweiss Mutual Fund</t>
        </is>
      </c>
      <c r="B2538" t="inlineStr">
        <is>
          <t xml:space="preserve">Edelweiss Liquid Fund - Regular Plan - Growth Option</t>
        </is>
      </c>
      <c r="C2538" t="inlineStr">
        <is>
          <t xml:space="preserve">INF754K01GZ6</t>
        </is>
      </c>
    </row>
    <row r="2539">
      <c r="A2539" t="inlineStr">
        <is>
          <t xml:space="preserve">Edelweiss Mutual Fund</t>
        </is>
      </c>
      <c r="B2539" t="inlineStr">
        <is>
          <t xml:space="preserve">Edelweiss Liquid Fund - Regular Plan - IDCW Option</t>
        </is>
      </c>
      <c r="C2539" t="inlineStr">
        <is>
          <t xml:space="preserve">INF754K01GK8</t>
        </is>
      </c>
    </row>
    <row r="2540">
      <c r="A2540" t="inlineStr">
        <is>
          <t xml:space="preserve">Edelweiss Mutual Fund</t>
        </is>
      </c>
      <c r="B2540" t="inlineStr">
        <is>
          <t xml:space="preserve">Edelweiss Liquid Fund - Regular Plan Annual - IDCW Option</t>
        </is>
      </c>
      <c r="C2540" t="inlineStr">
        <is>
          <t xml:space="preserve">INF754K01HQ3</t>
        </is>
      </c>
    </row>
    <row r="2541">
      <c r="A2541" t="inlineStr">
        <is>
          <t xml:space="preserve">Edelweiss Mutual Fund</t>
        </is>
      </c>
      <c r="B2541" t="inlineStr">
        <is>
          <t xml:space="preserve">Edelweiss Liquid Fund - Regular Plan Daily - IDCW Option</t>
        </is>
      </c>
      <c r="C2541" t="inlineStr">
        <is>
          <t xml:space="preserve">INF754K01HA7</t>
        </is>
      </c>
    </row>
    <row r="2542">
      <c r="A2542" t="inlineStr">
        <is>
          <t xml:space="preserve">Edelweiss Mutual Fund</t>
        </is>
      </c>
      <c r="B2542" t="inlineStr">
        <is>
          <t xml:space="preserve">Edelweiss Liquid Fund - Regular Plan Fortnightly - IDCW Option</t>
        </is>
      </c>
      <c r="C2542" t="inlineStr">
        <is>
          <t xml:space="preserve">INF754K01HK6</t>
        </is>
      </c>
    </row>
    <row r="2543">
      <c r="A2543" t="inlineStr">
        <is>
          <t xml:space="preserve">Edelweiss Mutual Fund</t>
        </is>
      </c>
      <c r="B2543" t="inlineStr">
        <is>
          <t xml:space="preserve">Edelweiss Liquid Fund - Regular Plan Monthly - IDCW Option</t>
        </is>
      </c>
      <c r="C2543" t="inlineStr">
        <is>
          <t xml:space="preserve">INF754K01HL4</t>
        </is>
      </c>
    </row>
    <row r="2544">
      <c r="A2544" t="inlineStr">
        <is>
          <t xml:space="preserve">Edelweiss Mutual Fund</t>
        </is>
      </c>
      <c r="B2544" t="inlineStr">
        <is>
          <t xml:space="preserve">Edelweiss Liquid Fund - Regular Plan Weekly - IDCW Option</t>
        </is>
      </c>
      <c r="C2544" t="inlineStr">
        <is>
          <t xml:space="preserve">INF754K01HJ8</t>
        </is>
      </c>
    </row>
    <row r="2545">
      <c r="A2545" t="inlineStr">
        <is>
          <t xml:space="preserve">Edelweiss Mutual Fund</t>
        </is>
      </c>
      <c r="B2545" t="inlineStr">
        <is>
          <t xml:space="preserve">Edelweiss Liquid Fund - Retail Plan - Growth Option</t>
        </is>
      </c>
      <c r="C2545" t="inlineStr">
        <is>
          <t xml:space="preserve">INF754K01HE9</t>
        </is>
      </c>
    </row>
    <row r="2546">
      <c r="A2546" t="inlineStr">
        <is>
          <t xml:space="preserve">Edelweiss Mutual Fund</t>
        </is>
      </c>
      <c r="B2546" t="inlineStr">
        <is>
          <t xml:space="preserve">Edelweiss Liquid Fund - Retail Plan - Weekly Dividend Option</t>
        </is>
      </c>
      <c r="C2546" t="inlineStr">
        <is>
          <t xml:space="preserve">INF754K01HG4</t>
        </is>
      </c>
    </row>
    <row r="2547">
      <c r="A2547" t="inlineStr">
        <is>
          <t xml:space="preserve">Edelweiss Mutual Fund</t>
        </is>
      </c>
      <c r="B2547" t="inlineStr">
        <is>
          <t xml:space="preserve">Edelweiss Liquid Fund - Retail Plan Daily - IDCW Option</t>
        </is>
      </c>
      <c r="C2547" t="inlineStr">
        <is>
          <t xml:space="preserve">INF754K01HF6</t>
        </is>
      </c>
    </row>
    <row r="2548">
      <c r="A2548" t="inlineStr">
        <is>
          <t xml:space="preserve">Edelweiss Mutual Fund</t>
        </is>
      </c>
      <c r="B2548" t="inlineStr">
        <is>
          <t xml:space="preserve">Edelweiss Liquid Fund - Retail Plan Monthly - IDCW Option</t>
        </is>
      </c>
      <c r="C2548" t="inlineStr">
        <is>
          <t xml:space="preserve">INF754K01HI0</t>
        </is>
      </c>
    </row>
    <row r="2549">
      <c r="A2549" t="inlineStr">
        <is>
          <t xml:space="preserve">Edelweiss Mutual Fund</t>
        </is>
      </c>
      <c r="B2549" t="inlineStr">
        <is>
          <t xml:space="preserve">Edelweiss Low Duration Fund - Direct Plan Growth</t>
        </is>
      </c>
      <c r="C2549" t="inlineStr">
        <is>
          <t xml:space="preserve">INF754K01UP8</t>
        </is>
      </c>
    </row>
    <row r="2550">
      <c r="A2550" t="inlineStr">
        <is>
          <t xml:space="preserve">Edelweiss Mutual Fund</t>
        </is>
      </c>
      <c r="B2550" t="inlineStr">
        <is>
          <t xml:space="preserve">Edelweiss Low Duration Fund - Direct Plan IDCW Payout</t>
        </is>
      </c>
      <c r="C2550" t="inlineStr">
        <is>
          <t xml:space="preserve">INF754K01UQ6</t>
        </is>
      </c>
    </row>
    <row r="2551">
      <c r="A2551" t="inlineStr">
        <is>
          <t xml:space="preserve">Edelweiss Mutual Fund</t>
        </is>
      </c>
      <c r="B2551" t="inlineStr">
        <is>
          <t xml:space="preserve">Edelweiss Low Duration Fund - Regular Plan Growth</t>
        </is>
      </c>
      <c r="C2551" t="inlineStr">
        <is>
          <t xml:space="preserve">INF754K01UT0</t>
        </is>
      </c>
    </row>
    <row r="2552">
      <c r="A2552" t="inlineStr">
        <is>
          <t xml:space="preserve">Edelweiss Mutual Fund</t>
        </is>
      </c>
      <c r="B2552" t="inlineStr">
        <is>
          <t xml:space="preserve">Edelweiss Low Duration Fund - Regular Plan IDCW Payout</t>
        </is>
      </c>
      <c r="C2552" t="inlineStr">
        <is>
          <t xml:space="preserve">INF754K01UU8</t>
        </is>
      </c>
    </row>
    <row r="2553">
      <c r="A2553" t="inlineStr">
        <is>
          <t xml:space="preserve">Edelweiss Mutual Fund</t>
        </is>
      </c>
      <c r="B2553" t="inlineStr">
        <is>
          <t xml:space="preserve">Edelweiss Mid Cap Fund - Direct Plan - Growth Option</t>
        </is>
      </c>
      <c r="C2553" t="inlineStr">
        <is>
          <t xml:space="preserve">INF843K01AO4</t>
        </is>
      </c>
    </row>
    <row r="2554">
      <c r="A2554" t="inlineStr">
        <is>
          <t xml:space="preserve">Edelweiss Mutual Fund</t>
        </is>
      </c>
      <c r="B2554" t="inlineStr">
        <is>
          <t xml:space="preserve">Edelweiss Mid Cap Fund - Direct Plan - IDCW Option</t>
        </is>
      </c>
      <c r="C2554" t="inlineStr">
        <is>
          <t xml:space="preserve">INF843K01AP1</t>
        </is>
      </c>
    </row>
    <row r="2555">
      <c r="A2555" t="inlineStr">
        <is>
          <t xml:space="preserve">Edelweiss Mutual Fund</t>
        </is>
      </c>
      <c r="B2555" t="inlineStr">
        <is>
          <t xml:space="preserve">Edelweiss Mid Cap Fund - Regular Plan - Growth Option</t>
        </is>
      </c>
      <c r="C2555" t="inlineStr">
        <is>
          <t xml:space="preserve">INF843K01013</t>
        </is>
      </c>
    </row>
    <row r="2556">
      <c r="A2556" t="inlineStr">
        <is>
          <t xml:space="preserve">Edelweiss Mutual Fund</t>
        </is>
      </c>
      <c r="B2556" t="inlineStr">
        <is>
          <t xml:space="preserve">Edelweiss Mid Cap Fund - Regular Plan - IDCW Option</t>
        </is>
      </c>
      <c r="C2556" t="inlineStr">
        <is>
          <t xml:space="preserve">INF843K01021</t>
        </is>
      </c>
    </row>
    <row r="2557">
      <c r="A2557" t="inlineStr">
        <is>
          <t xml:space="preserve">Edelweiss Mutual Fund</t>
        </is>
      </c>
      <c r="B2557" t="inlineStr">
        <is>
          <t xml:space="preserve">Edelweiss Money Market Fund - Direct Plan - Annual - IDCW Option</t>
        </is>
      </c>
      <c r="C2557" t="inlineStr">
        <is>
          <t xml:space="preserve">INF843K01CI2</t>
        </is>
      </c>
    </row>
    <row r="2558">
      <c r="A2558" t="inlineStr">
        <is>
          <t xml:space="preserve">Edelweiss Mutual Fund</t>
        </is>
      </c>
      <c r="B2558" t="inlineStr">
        <is>
          <t xml:space="preserve">Edelweiss Money Market Fund - Direct Plan - Growth Option</t>
        </is>
      </c>
      <c r="C2558" t="inlineStr">
        <is>
          <t xml:space="preserve">INF843K01CE1</t>
        </is>
      </c>
    </row>
    <row r="2559">
      <c r="A2559" t="inlineStr">
        <is>
          <t xml:space="preserve">Edelweiss Mutual Fund</t>
        </is>
      </c>
      <c r="B2559" t="inlineStr">
        <is>
          <t xml:space="preserve">Edelweiss Money Market Fund - Direct Plan - IDCW Option</t>
        </is>
      </c>
      <c r="C2559" t="inlineStr">
        <is>
          <t xml:space="preserve">INF843K01CF8</t>
        </is>
      </c>
    </row>
    <row r="2560">
      <c r="A2560" t="inlineStr">
        <is>
          <t xml:space="preserve">Edelweiss Mutual Fund</t>
        </is>
      </c>
      <c r="B2560" t="inlineStr">
        <is>
          <t xml:space="preserve">Edelweiss Money Market Fund - Institutional Plan - Growth Option</t>
        </is>
      </c>
      <c r="C2560" t="inlineStr">
        <is>
          <t xml:space="preserve">INF843K01377</t>
        </is>
      </c>
    </row>
    <row r="2561">
      <c r="A2561" t="inlineStr">
        <is>
          <t xml:space="preserve">Edelweiss Mutual Fund</t>
        </is>
      </c>
      <c r="B2561" t="inlineStr">
        <is>
          <t xml:space="preserve">Edelweiss Money Market Fund - Regular Plan - Annual - IDCW Option</t>
        </is>
      </c>
      <c r="C2561" t="inlineStr">
        <is>
          <t xml:space="preserve">INF843K01922</t>
        </is>
      </c>
    </row>
    <row r="2562">
      <c r="A2562" t="inlineStr">
        <is>
          <t xml:space="preserve">Edelweiss Mutual Fund</t>
        </is>
      </c>
      <c r="B2562" t="inlineStr">
        <is>
          <t xml:space="preserve">Edelweiss Money Market Fund - Regular Plan - Growth Option</t>
        </is>
      </c>
      <c r="C2562" t="inlineStr">
        <is>
          <t xml:space="preserve">INF843K01344</t>
        </is>
      </c>
    </row>
    <row r="2563">
      <c r="A2563" t="inlineStr">
        <is>
          <t xml:space="preserve">Edelweiss Mutual Fund</t>
        </is>
      </c>
      <c r="B2563" t="inlineStr">
        <is>
          <t xml:space="preserve">Edelweiss Money Market Fund - Regular Plan - IDCW Option</t>
        </is>
      </c>
      <c r="C2563" t="inlineStr">
        <is>
          <t xml:space="preserve">INF843K01351</t>
        </is>
      </c>
    </row>
    <row r="2564">
      <c r="A2564" t="inlineStr">
        <is>
          <t xml:space="preserve">Edelweiss Mutual Fund</t>
        </is>
      </c>
      <c r="B2564" t="inlineStr">
        <is>
          <t xml:space="preserve">Edelweiss MSCI India Domestic &amp; World Healthcare 45 Index Fund - Direct Plan - IDCW Option</t>
        </is>
      </c>
      <c r="C2564" t="inlineStr">
        <is>
          <t xml:space="preserve">INF754K01LW3</t>
        </is>
      </c>
    </row>
    <row r="2565">
      <c r="A2565" t="inlineStr">
        <is>
          <t xml:space="preserve">Edelweiss Mutual Fund</t>
        </is>
      </c>
      <c r="B2565" t="inlineStr">
        <is>
          <t xml:space="preserve">Edelweiss MSCI India Domestic &amp; World Healthcare 45 Index Fund - Regular Plan - IDCW Option</t>
        </is>
      </c>
      <c r="C2565" t="inlineStr">
        <is>
          <t xml:space="preserve">INF754K01LS1</t>
        </is>
      </c>
    </row>
    <row r="2566">
      <c r="A2566" t="inlineStr">
        <is>
          <t xml:space="preserve">Edelweiss Mutual Fund</t>
        </is>
      </c>
      <c r="B2566" t="inlineStr">
        <is>
          <t xml:space="preserve">Edelweiss MSCI India Domestic &amp; World Healthcare 45 Index Fund Direct Plan - Growth</t>
        </is>
      </c>
      <c r="C2566" t="inlineStr">
        <is>
          <t xml:space="preserve">INF754K01LV5</t>
        </is>
      </c>
    </row>
    <row r="2567">
      <c r="A2567" t="inlineStr">
        <is>
          <t xml:space="preserve">Edelweiss Mutual Fund</t>
        </is>
      </c>
      <c r="B2567" t="inlineStr">
        <is>
          <t xml:space="preserve">Edelweiss MSCI India Domestic &amp; World Healthcare 45 index Fund Regular Plan - Growth</t>
        </is>
      </c>
      <c r="C2567" t="inlineStr">
        <is>
          <t xml:space="preserve">INF754K01LR3</t>
        </is>
      </c>
    </row>
    <row r="2568">
      <c r="A2568" t="inlineStr">
        <is>
          <t xml:space="preserve">Edelweiss Mutual Fund</t>
        </is>
      </c>
      <c r="B2568" t="inlineStr">
        <is>
          <t xml:space="preserve">Edelweiss Multi Asset Allocation Fund - Direct Plan - Growth</t>
        </is>
      </c>
      <c r="C2568" t="inlineStr">
        <is>
          <t xml:space="preserve">INF754K01RS8</t>
        </is>
      </c>
    </row>
    <row r="2569">
      <c r="A2569" t="inlineStr">
        <is>
          <t xml:space="preserve">Edelweiss Mutual Fund</t>
        </is>
      </c>
      <c r="B2569" t="inlineStr">
        <is>
          <t xml:space="preserve">Edelweiss Multi Asset Allocation Fund - Direct Plan - IDCW Option</t>
        </is>
      </c>
      <c r="C2569" t="inlineStr">
        <is>
          <t xml:space="preserve">INF754K01RT6</t>
        </is>
      </c>
    </row>
    <row r="2570">
      <c r="A2570" t="inlineStr">
        <is>
          <t xml:space="preserve">Edelweiss Mutual Fund</t>
        </is>
      </c>
      <c r="B2570" t="inlineStr">
        <is>
          <t xml:space="preserve">Edelweiss Multi Asset Allocation Fund - Regular Plan - Growth</t>
        </is>
      </c>
      <c r="C2570" t="inlineStr">
        <is>
          <t xml:space="preserve">INF754K01RO7</t>
        </is>
      </c>
    </row>
    <row r="2571">
      <c r="A2571" t="inlineStr">
        <is>
          <t xml:space="preserve">Edelweiss Mutual Fund</t>
        </is>
      </c>
      <c r="B2571" t="inlineStr">
        <is>
          <t xml:space="preserve">Edelweiss Multi Asset Allocation Fund - Regular Plan - IDCW Option</t>
        </is>
      </c>
      <c r="C2571" t="inlineStr">
        <is>
          <t xml:space="preserve">INF754K01RP4</t>
        </is>
      </c>
    </row>
    <row r="2572">
      <c r="A2572" t="inlineStr">
        <is>
          <t xml:space="preserve">Edelweiss Mutual Fund</t>
        </is>
      </c>
      <c r="B2572" t="inlineStr">
        <is>
          <t xml:space="preserve">Edelweiss Multi Asset Omni Fund of Fund- Direct Plan - Growth</t>
        </is>
      </c>
      <c r="C2572" t="inlineStr">
        <is>
          <t xml:space="preserve">INF754K01VN1</t>
        </is>
      </c>
    </row>
    <row r="2573">
      <c r="A2573" t="inlineStr">
        <is>
          <t xml:space="preserve">Edelweiss Mutual Fund</t>
        </is>
      </c>
      <c r="B2573" t="inlineStr">
        <is>
          <t xml:space="preserve">Edelweiss Multi Asset Omni Fund of Fund- Direct Plan - IDCW</t>
        </is>
      </c>
      <c r="C2573" t="inlineStr">
        <is>
          <t xml:space="preserve">INF754K01VO9</t>
        </is>
      </c>
    </row>
    <row r="2574">
      <c r="A2574" t="inlineStr">
        <is>
          <t xml:space="preserve">Edelweiss Mutual Fund</t>
        </is>
      </c>
      <c r="B2574" t="inlineStr">
        <is>
          <t xml:space="preserve">Edelweiss Multi Asset Omni Fund of Fund- Regular Plan - Growth</t>
        </is>
      </c>
      <c r="C2574" t="inlineStr">
        <is>
          <t xml:space="preserve">INF754K01VR2</t>
        </is>
      </c>
    </row>
    <row r="2575">
      <c r="A2575" t="inlineStr">
        <is>
          <t xml:space="preserve">Edelweiss Mutual Fund</t>
        </is>
      </c>
      <c r="B2575" t="inlineStr">
        <is>
          <t xml:space="preserve">Edelweiss Multi Asset Omni Fund of Fund- Regular Plan - IDCW</t>
        </is>
      </c>
      <c r="C2575" t="inlineStr">
        <is>
          <t xml:space="preserve">INF754K01VS0</t>
        </is>
      </c>
    </row>
    <row r="2576">
      <c r="A2576" t="inlineStr">
        <is>
          <t xml:space="preserve">Edelweiss Mutual Fund</t>
        </is>
      </c>
      <c r="B2576" t="inlineStr">
        <is>
          <t xml:space="preserve">Edelweiss Multi Cap Fund - Direct Plan - Growth</t>
        </is>
      </c>
      <c r="C2576" t="inlineStr">
        <is>
          <t xml:space="preserve">INF754K01SD8</t>
        </is>
      </c>
    </row>
    <row r="2577">
      <c r="A2577" t="inlineStr">
        <is>
          <t xml:space="preserve">Edelweiss Mutual Fund</t>
        </is>
      </c>
      <c r="B2577" t="inlineStr">
        <is>
          <t xml:space="preserve">Edelweiss Multi Cap Fund - Direct Plan - IDCW</t>
        </is>
      </c>
      <c r="C2577" t="inlineStr">
        <is>
          <t xml:space="preserve">INF754K01SA4</t>
        </is>
      </c>
    </row>
    <row r="2578">
      <c r="A2578" t="inlineStr">
        <is>
          <t xml:space="preserve">Edelweiss Mutual Fund</t>
        </is>
      </c>
      <c r="B2578" t="inlineStr">
        <is>
          <t xml:space="preserve">Edelweiss Multi Cap Fund - Regular Plan - Growth</t>
        </is>
      </c>
      <c r="C2578" t="inlineStr">
        <is>
          <t xml:space="preserve">INF754K01RW0</t>
        </is>
      </c>
    </row>
    <row r="2579">
      <c r="A2579" t="inlineStr">
        <is>
          <t xml:space="preserve">Edelweiss Mutual Fund</t>
        </is>
      </c>
      <c r="B2579" t="inlineStr">
        <is>
          <t xml:space="preserve">Edelweiss Multi Cap Fund - Regular Plan - IDCW</t>
        </is>
      </c>
      <c r="C2579" t="inlineStr">
        <is>
          <t xml:space="preserve">INF754K01RX8</t>
        </is>
      </c>
    </row>
    <row r="2580">
      <c r="A2580" t="inlineStr">
        <is>
          <t xml:space="preserve">Edelweiss Mutual Fund</t>
        </is>
      </c>
      <c r="B2580" t="inlineStr">
        <is>
          <t xml:space="preserve">Edelweiss Nifty 100 Quality 30 Index Fund Direct Plan Growth</t>
        </is>
      </c>
      <c r="C2580" t="inlineStr">
        <is>
          <t xml:space="preserve">INF754K01NJ6</t>
        </is>
      </c>
    </row>
    <row r="2581">
      <c r="A2581" t="inlineStr">
        <is>
          <t xml:space="preserve">Edelweiss Mutual Fund</t>
        </is>
      </c>
      <c r="B2581" t="inlineStr">
        <is>
          <t xml:space="preserve">Edelweiss Nifty 100 Quality 30 Index Fund Direct Plan IDCW</t>
        </is>
      </c>
      <c r="C2581" t="inlineStr">
        <is>
          <t xml:space="preserve">INF754K01NK4</t>
        </is>
      </c>
    </row>
    <row r="2582">
      <c r="A2582" t="inlineStr">
        <is>
          <t xml:space="preserve">Edelweiss Mutual Fund</t>
        </is>
      </c>
      <c r="B2582" t="inlineStr">
        <is>
          <t xml:space="preserve">Edelweiss Nifty 100 Quality 30 Index Fund Regular Plan Growth</t>
        </is>
      </c>
      <c r="C2582" t="inlineStr">
        <is>
          <t xml:space="preserve">INF754K01NF4</t>
        </is>
      </c>
    </row>
    <row r="2583">
      <c r="A2583" t="inlineStr">
        <is>
          <t xml:space="preserve">Edelweiss Mutual Fund</t>
        </is>
      </c>
      <c r="B2583" t="inlineStr">
        <is>
          <t xml:space="preserve">Edelweiss Nifty 100 Quality 30 Index Fund Regular Plan IDCW</t>
        </is>
      </c>
      <c r="C2583" t="inlineStr">
        <is>
          <t xml:space="preserve">INF754K01NG2</t>
        </is>
      </c>
    </row>
    <row r="2584">
      <c r="A2584" t="inlineStr">
        <is>
          <t xml:space="preserve">Edelweiss Mutual Fund</t>
        </is>
      </c>
      <c r="B2584" t="inlineStr">
        <is>
          <t xml:space="preserve">Edelweiss Nifty 1D Rate Liquid ETF - Growth</t>
        </is>
      </c>
      <c r="C2584" t="inlineStr">
        <is>
          <t xml:space="preserve">INF754K01VW2</t>
        </is>
      </c>
    </row>
    <row r="2585">
      <c r="A2585" t="inlineStr">
        <is>
          <t xml:space="preserve">Edelweiss Mutual Fund</t>
        </is>
      </c>
      <c r="B2585" t="inlineStr">
        <is>
          <t xml:space="preserve">Edelweiss Nifty 50 ETF - Growth</t>
        </is>
      </c>
      <c r="C2585" t="inlineStr">
        <is>
          <t xml:space="preserve">INF754K01VX0</t>
        </is>
      </c>
    </row>
    <row r="2586">
      <c r="A2586" t="inlineStr">
        <is>
          <t xml:space="preserve">Edelweiss Mutual Fund</t>
        </is>
      </c>
      <c r="B2586" t="inlineStr">
        <is>
          <t xml:space="preserve">Edelweiss Nifty 50 Index Fund Direct Plan Growth</t>
        </is>
      </c>
      <c r="C2586" t="inlineStr">
        <is>
          <t xml:space="preserve">INF754K01NB3</t>
        </is>
      </c>
    </row>
    <row r="2587">
      <c r="A2587" t="inlineStr">
        <is>
          <t xml:space="preserve">Edelweiss Mutual Fund</t>
        </is>
      </c>
      <c r="B2587" t="inlineStr">
        <is>
          <t xml:space="preserve">Edelweiss Nifty 50 Index Fund Direct Plan IDCW</t>
        </is>
      </c>
      <c r="C2587" t="inlineStr">
        <is>
          <t xml:space="preserve">INF754K01NC1</t>
        </is>
      </c>
    </row>
    <row r="2588">
      <c r="A2588" t="inlineStr">
        <is>
          <t xml:space="preserve">Edelweiss Mutual Fund</t>
        </is>
      </c>
      <c r="B2588" t="inlineStr">
        <is>
          <t xml:space="preserve">Edelweiss Nifty 50 Index Fund Regular Plan Growth</t>
        </is>
      </c>
      <c r="C2588" t="inlineStr">
        <is>
          <t xml:space="preserve">INF754K01MX9</t>
        </is>
      </c>
    </row>
    <row r="2589">
      <c r="A2589" t="inlineStr">
        <is>
          <t xml:space="preserve">Edelweiss Mutual Fund</t>
        </is>
      </c>
      <c r="B2589" t="inlineStr">
        <is>
          <t xml:space="preserve">Edelweiss Nifty 50 Index Fund Regular Plan IDCW</t>
        </is>
      </c>
      <c r="C2589" t="inlineStr">
        <is>
          <t xml:space="preserve">INF754K01MY7</t>
        </is>
      </c>
    </row>
    <row r="2590">
      <c r="A2590" t="inlineStr">
        <is>
          <t xml:space="preserve">Edelweiss Mutual Fund</t>
        </is>
      </c>
      <c r="B2590" t="inlineStr">
        <is>
          <t xml:space="preserve">Edelweiss Nifty Alpha Low Volatility 30 Index Fund - Direct Plan - Growth</t>
        </is>
      </c>
      <c r="C2590" t="inlineStr">
        <is>
          <t xml:space="preserve">INF754K01SS6</t>
        </is>
      </c>
    </row>
    <row r="2591">
      <c r="A2591" t="inlineStr">
        <is>
          <t xml:space="preserve">Edelweiss Mutual Fund</t>
        </is>
      </c>
      <c r="B2591" t="inlineStr">
        <is>
          <t xml:space="preserve">Edelweiss Nifty Alpha Low Volatility 30 Index Fund - Direct Plan - IDCW Payout</t>
        </is>
      </c>
      <c r="C2591" t="inlineStr">
        <is>
          <t xml:space="preserve">INF754K01ST4</t>
        </is>
      </c>
    </row>
    <row r="2592">
      <c r="A2592" t="inlineStr">
        <is>
          <t xml:space="preserve">Edelweiss Mutual Fund</t>
        </is>
      </c>
      <c r="B2592" t="inlineStr">
        <is>
          <t xml:space="preserve">Edelweiss Nifty Alpha Low Volatility 30 Index Fund - Regular Plan - Growth</t>
        </is>
      </c>
      <c r="C2592" t="inlineStr">
        <is>
          <t xml:space="preserve">INF754K01SO5</t>
        </is>
      </c>
    </row>
    <row r="2593">
      <c r="A2593" t="inlineStr">
        <is>
          <t xml:space="preserve">Edelweiss Mutual Fund</t>
        </is>
      </c>
      <c r="B2593" t="inlineStr">
        <is>
          <t xml:space="preserve">Edelweiss Nifty Alpha Low Volatility 30 Index Fund - Regular Plan - IDCW Payout</t>
        </is>
      </c>
      <c r="C2593" t="inlineStr">
        <is>
          <t xml:space="preserve">INF754K01SP2</t>
        </is>
      </c>
    </row>
    <row r="2594">
      <c r="A2594" t="inlineStr">
        <is>
          <t xml:space="preserve">Edelweiss Mutual Fund</t>
        </is>
      </c>
      <c r="B2594" t="inlineStr">
        <is>
          <t xml:space="preserve">Edelweiss Nifty Bank ETF - Growth</t>
        </is>
      </c>
      <c r="C2594" t="inlineStr">
        <is>
          <t xml:space="preserve">INF754K01TE4</t>
        </is>
      </c>
    </row>
    <row r="2595">
      <c r="A2595" t="inlineStr">
        <is>
          <t xml:space="preserve">Edelweiss Mutual Fund</t>
        </is>
      </c>
      <c r="B2595" t="inlineStr">
        <is>
          <t xml:space="preserve">Edelweiss NIFTY Large Midcap 250 Index Fund - Direct Plan Growth</t>
        </is>
      </c>
      <c r="C2595" t="inlineStr">
        <is>
          <t xml:space="preserve">INF754K01NR9</t>
        </is>
      </c>
    </row>
    <row r="2596">
      <c r="A2596" t="inlineStr">
        <is>
          <t xml:space="preserve">Edelweiss Mutual Fund</t>
        </is>
      </c>
      <c r="B2596" t="inlineStr">
        <is>
          <t xml:space="preserve">Edelweiss NIFTY Large Midcap 250 Index Fund - Direct Plan Payout</t>
        </is>
      </c>
      <c r="C2596" t="inlineStr">
        <is>
          <t xml:space="preserve">INF754K01NS7</t>
        </is>
      </c>
    </row>
    <row r="2597">
      <c r="A2597" t="inlineStr">
        <is>
          <t xml:space="preserve">Edelweiss Mutual Fund</t>
        </is>
      </c>
      <c r="B2597" t="inlineStr">
        <is>
          <t xml:space="preserve">Edelweiss NIFTY Large Midcap 250 Index Fund - Regular Plan Growth</t>
        </is>
      </c>
      <c r="C2597" t="inlineStr">
        <is>
          <t xml:space="preserve">INF754K01NN8</t>
        </is>
      </c>
    </row>
    <row r="2598">
      <c r="A2598" t="inlineStr">
        <is>
          <t xml:space="preserve">Edelweiss Mutual Fund</t>
        </is>
      </c>
      <c r="B2598" t="inlineStr">
        <is>
          <t xml:space="preserve">Edelweiss NIFTY Large Midcap 250 Index Fund - Regular Plan Payout</t>
        </is>
      </c>
      <c r="C2598" t="inlineStr">
        <is>
          <t xml:space="preserve">INF754K01NO6</t>
        </is>
      </c>
    </row>
    <row r="2599">
      <c r="A2599" t="inlineStr">
        <is>
          <t xml:space="preserve">Edelweiss Mutual Fund</t>
        </is>
      </c>
      <c r="B2599" t="inlineStr">
        <is>
          <t xml:space="preserve">Edelweiss Nifty LargeMidcap 250 ETF - Growth</t>
        </is>
      </c>
      <c r="C2599" t="inlineStr">
        <is>
          <t xml:space="preserve">INF754K01VV4</t>
        </is>
      </c>
    </row>
    <row r="2600">
      <c r="A2600" t="inlineStr">
        <is>
          <t xml:space="preserve">Edelweiss Mutual Fund</t>
        </is>
      </c>
      <c r="B2600" t="inlineStr">
        <is>
          <t xml:space="preserve">Edelweiss Nifty LargeMidcap 250 Plus 8-13 yr G-Sec 70-30 Index Fund Direct Plan Growth</t>
        </is>
      </c>
      <c r="C2600" t="inlineStr">
        <is>
          <t xml:space="preserve">INF754K01WR0</t>
        </is>
      </c>
    </row>
    <row r="2601">
      <c r="A2601" t="inlineStr">
        <is>
          <t xml:space="preserve">Edelweiss Mutual Fund</t>
        </is>
      </c>
      <c r="B2601" t="inlineStr">
        <is>
          <t xml:space="preserve">Edelweiss Nifty LargeMidcap 250 Plus 8-13 yr G-Sec 70-30 Index Fund Regular Plan Growth</t>
        </is>
      </c>
      <c r="C2601" t="inlineStr">
        <is>
          <t xml:space="preserve">INF754K01WV2</t>
        </is>
      </c>
    </row>
    <row r="2602">
      <c r="A2602" t="inlineStr">
        <is>
          <t xml:space="preserve">Edelweiss Mutual Fund</t>
        </is>
      </c>
      <c r="B2602" t="inlineStr">
        <is>
          <t xml:space="preserve">Edelweiss Nifty LargeMidcap250 Plus 8-13 yr G-Sec 70-30 Index Fund - Direct Plan - Quarterly IDCW</t>
        </is>
      </c>
      <c r="C2602" t="inlineStr">
        <is>
          <t xml:space="preserve">INF754K01WZ3</t>
        </is>
      </c>
    </row>
    <row r="2603">
      <c r="A2603" t="inlineStr">
        <is>
          <t xml:space="preserve">Edelweiss Mutual Fund</t>
        </is>
      </c>
      <c r="B2603" t="inlineStr">
        <is>
          <t xml:space="preserve">Edelweiss Nifty LargeMidcap250 Plus 8-13 yr G-Sec 70-30 Index Fund - Regular Plan - Quarterly IDCW</t>
        </is>
      </c>
      <c r="C2603" t="inlineStr">
        <is>
          <t xml:space="preserve">INF754K01XC0</t>
        </is>
      </c>
    </row>
    <row r="2604">
      <c r="A2604" t="inlineStr">
        <is>
          <t xml:space="preserve">Edelweiss Mutual Fund</t>
        </is>
      </c>
      <c r="B2604" t="inlineStr">
        <is>
          <t xml:space="preserve">Edelweiss Nifty LargeMidcap250 Plus 8-13 yr G-Sec 70-30 Index Fund Direct Plan Monthly IDCW</t>
        </is>
      </c>
      <c r="C2604" t="inlineStr">
        <is>
          <t xml:space="preserve">INF754K01WS8</t>
        </is>
      </c>
    </row>
    <row r="2605">
      <c r="A2605" t="inlineStr">
        <is>
          <t xml:space="preserve">Edelweiss Mutual Fund</t>
        </is>
      </c>
      <c r="B2605" t="inlineStr">
        <is>
          <t xml:space="preserve">Edelweiss Nifty LargeMidcap250 Plus 8-13 yr G-Sec 70-30 Index Fund Regular Plan Monthly IDCW</t>
        </is>
      </c>
      <c r="C2605" t="inlineStr">
        <is>
          <t xml:space="preserve">INF754K01WW0</t>
        </is>
      </c>
    </row>
    <row r="2606">
      <c r="A2606" t="inlineStr">
        <is>
          <t xml:space="preserve">Edelweiss Mutual Fund</t>
        </is>
      </c>
      <c r="B2606" t="inlineStr">
        <is>
          <t xml:space="preserve">Edelweiss Nifty Midcap150 Momentum 50 Index Fund - Direct Plan - Growth</t>
        </is>
      </c>
      <c r="C2606" t="inlineStr">
        <is>
          <t xml:space="preserve">INF754K01QD2</t>
        </is>
      </c>
    </row>
    <row r="2607">
      <c r="A2607" t="inlineStr">
        <is>
          <t xml:space="preserve">Edelweiss Mutual Fund</t>
        </is>
      </c>
      <c r="B2607" t="inlineStr">
        <is>
          <t xml:space="preserve">Edelweiss Nifty Midcap150 Momentum 50 Index Fund - Direct Plan - IDCW</t>
        </is>
      </c>
      <c r="C2607" t="inlineStr">
        <is>
          <t xml:space="preserve">INF754K01QE0</t>
        </is>
      </c>
    </row>
    <row r="2608">
      <c r="A2608" t="inlineStr">
        <is>
          <t xml:space="preserve">Edelweiss Mutual Fund</t>
        </is>
      </c>
      <c r="B2608" t="inlineStr">
        <is>
          <t xml:space="preserve">Edelweiss Nifty Midcap150 Momentum 50 Index Fund - Regular Plan - Growth</t>
        </is>
      </c>
      <c r="C2608" t="inlineStr">
        <is>
          <t xml:space="preserve">INF754K01PZ7</t>
        </is>
      </c>
    </row>
    <row r="2609">
      <c r="A2609" t="inlineStr">
        <is>
          <t xml:space="preserve">Edelweiss Mutual Fund</t>
        </is>
      </c>
      <c r="B2609" t="inlineStr">
        <is>
          <t xml:space="preserve">Edelweiss Nifty Midcap150 Momentum 50 Index Fund - Regular Plan - IDCW</t>
        </is>
      </c>
      <c r="C2609" t="inlineStr">
        <is>
          <t xml:space="preserve">INF754K01QA8</t>
        </is>
      </c>
    </row>
    <row r="2610">
      <c r="A2610" t="inlineStr">
        <is>
          <t xml:space="preserve">Edelweiss Mutual Fund</t>
        </is>
      </c>
      <c r="B2610" t="inlineStr">
        <is>
          <t xml:space="preserve">Edelweiss Nifty Next 50 ETF</t>
        </is>
      </c>
      <c r="C2610" t="inlineStr">
        <is>
          <t xml:space="preserve">INF754K01XF3</t>
        </is>
      </c>
    </row>
    <row r="2611">
      <c r="A2611" t="inlineStr">
        <is>
          <t xml:space="preserve">Edelweiss Mutual Fund</t>
        </is>
      </c>
      <c r="B2611" t="inlineStr">
        <is>
          <t xml:space="preserve">Edelweiss Nifty Next 50 Index Fund - Direct Plan - Growth</t>
        </is>
      </c>
      <c r="C2611" t="inlineStr">
        <is>
          <t xml:space="preserve">INF754K01QL5</t>
        </is>
      </c>
    </row>
    <row r="2612">
      <c r="A2612" t="inlineStr">
        <is>
          <t xml:space="preserve">Edelweiss Mutual Fund</t>
        </is>
      </c>
      <c r="B2612" t="inlineStr">
        <is>
          <t xml:space="preserve">Edelweiss Nifty Next 50 Index Fund - Direct Plan - IDCW</t>
        </is>
      </c>
      <c r="C2612" t="inlineStr">
        <is>
          <t xml:space="preserve">INF754K01QM3</t>
        </is>
      </c>
    </row>
    <row r="2613">
      <c r="A2613" t="inlineStr">
        <is>
          <t xml:space="preserve">Edelweiss Mutual Fund</t>
        </is>
      </c>
      <c r="B2613" t="inlineStr">
        <is>
          <t xml:space="preserve">Edelweiss Nifty Next 50 Index Fund - Regular Plan - Growth</t>
        </is>
      </c>
      <c r="C2613" t="inlineStr">
        <is>
          <t xml:space="preserve">INF754K01QH3</t>
        </is>
      </c>
    </row>
    <row r="2614">
      <c r="A2614" t="inlineStr">
        <is>
          <t xml:space="preserve">Edelweiss Mutual Fund</t>
        </is>
      </c>
      <c r="B2614" t="inlineStr">
        <is>
          <t xml:space="preserve">Edelweiss Nifty Next 50 Index Fund - Regular Plan - IDCW</t>
        </is>
      </c>
      <c r="C2614" t="inlineStr">
        <is>
          <t xml:space="preserve">INF754K01QI1</t>
        </is>
      </c>
    </row>
    <row r="2615">
      <c r="A2615" t="inlineStr">
        <is>
          <t xml:space="preserve">Edelweiss Mutual Fund</t>
        </is>
      </c>
      <c r="B2615" t="inlineStr">
        <is>
          <t xml:space="preserve">Edelweiss NIFTY PSU Bond Plus SDL Apr 2026 50: 50 Index Fund - Regular Plan - IDCW Option</t>
        </is>
      </c>
      <c r="C2615" t="inlineStr">
        <is>
          <t xml:space="preserve">INF754K01MA7</t>
        </is>
      </c>
    </row>
    <row r="2616">
      <c r="A2616" t="inlineStr">
        <is>
          <t xml:space="preserve">Edelweiss Mutual Fund</t>
        </is>
      </c>
      <c r="B2616" t="inlineStr">
        <is>
          <t xml:space="preserve">Edelweiss NIFTY PSU Bond Plus SDL Apr 2026 50:50 Index Fund - Direct Plan - Growth</t>
        </is>
      </c>
      <c r="C2616" t="inlineStr">
        <is>
          <t xml:space="preserve">INF754K01MD1</t>
        </is>
      </c>
    </row>
    <row r="2617">
      <c r="A2617" t="inlineStr">
        <is>
          <t xml:space="preserve">Edelweiss Mutual Fund</t>
        </is>
      </c>
      <c r="B2617" t="inlineStr">
        <is>
          <t xml:space="preserve">Edelweiss NIFTY PSU Bond Plus SDL Apr 2026 50:50 Index Fund - Direct Plan - IDCW Option</t>
        </is>
      </c>
      <c r="C2617" t="inlineStr">
        <is>
          <t xml:space="preserve">INF754K01ME9</t>
        </is>
      </c>
    </row>
    <row r="2618">
      <c r="A2618" t="inlineStr">
        <is>
          <t xml:space="preserve">Edelweiss Mutual Fund</t>
        </is>
      </c>
      <c r="B2618" t="inlineStr">
        <is>
          <t xml:space="preserve">Edelweiss NIFTY PSU Bond Plus SDL Apr 2026 50:50 Index Fund - Regular Plan - Growth</t>
        </is>
      </c>
      <c r="C2618" t="inlineStr">
        <is>
          <t xml:space="preserve">INF754K01LZ6</t>
        </is>
      </c>
    </row>
    <row r="2619">
      <c r="A2619" t="inlineStr">
        <is>
          <t xml:space="preserve">Edelweiss Mutual Fund</t>
        </is>
      </c>
      <c r="B2619" t="inlineStr">
        <is>
          <t xml:space="preserve">Edelweiss NIFTY PSU Bond Plus SDL Apr 2027 50:50 Index Fund - Direct Plan - IDCW</t>
        </is>
      </c>
      <c r="C2619" t="inlineStr">
        <is>
          <t xml:space="preserve">INF754K01MU5</t>
        </is>
      </c>
    </row>
    <row r="2620">
      <c r="A2620" t="inlineStr">
        <is>
          <t xml:space="preserve">Edelweiss Mutual Fund</t>
        </is>
      </c>
      <c r="B2620" t="inlineStr">
        <is>
          <t xml:space="preserve">Edelweiss NIFTY PSU Bond Plus SDL Apr 2027 50:50 Index Fund - Direct Plan Growth</t>
        </is>
      </c>
      <c r="C2620" t="inlineStr">
        <is>
          <t xml:space="preserve">INF754K01MT7</t>
        </is>
      </c>
    </row>
    <row r="2621">
      <c r="A2621" t="inlineStr">
        <is>
          <t xml:space="preserve">Edelweiss Mutual Fund</t>
        </is>
      </c>
      <c r="B2621" t="inlineStr">
        <is>
          <t xml:space="preserve">Edelweiss NIFTY PSU Bond Plus SDL Apr 2027 50:50 Index Fund - Regular Plan - Growth</t>
        </is>
      </c>
      <c r="C2621" t="inlineStr">
        <is>
          <t xml:space="preserve">INF754K01MP5</t>
        </is>
      </c>
    </row>
    <row r="2622">
      <c r="A2622" t="inlineStr">
        <is>
          <t xml:space="preserve">Edelweiss Mutual Fund</t>
        </is>
      </c>
      <c r="B2622" t="inlineStr">
        <is>
          <t xml:space="preserve">Edelweiss NIFTY PSU Bond Plus SDL Apr 2027 50:50 Index Fund - Regular Plan - IDCW</t>
        </is>
      </c>
      <c r="C2622" t="inlineStr">
        <is>
          <t xml:space="preserve">INF754K01MQ3</t>
        </is>
      </c>
    </row>
    <row r="2623">
      <c r="A2623" t="inlineStr">
        <is>
          <t xml:space="preserve">Edelweiss Mutual Fund</t>
        </is>
      </c>
      <c r="B2623" t="inlineStr">
        <is>
          <t xml:space="preserve">Edelweiss Nifty Smallcap 250 Index Fund - Direct Plan - Growth</t>
        </is>
      </c>
      <c r="C2623" t="inlineStr">
        <is>
          <t xml:space="preserve">INF754K01QT8</t>
        </is>
      </c>
    </row>
    <row r="2624">
      <c r="A2624" t="inlineStr">
        <is>
          <t xml:space="preserve">Edelweiss Mutual Fund</t>
        </is>
      </c>
      <c r="B2624" t="inlineStr">
        <is>
          <t xml:space="preserve">Edelweiss Nifty Smallcap 250 Index Fund - Direct Plan - IDCW</t>
        </is>
      </c>
      <c r="C2624" t="inlineStr">
        <is>
          <t xml:space="preserve">INF754K01QU6</t>
        </is>
      </c>
    </row>
    <row r="2625">
      <c r="A2625" t="inlineStr">
        <is>
          <t xml:space="preserve">Edelweiss Mutual Fund</t>
        </is>
      </c>
      <c r="B2625" t="inlineStr">
        <is>
          <t xml:space="preserve">Edelweiss Nifty Smallcap 250 Index Fund - Regular Plan - Growth</t>
        </is>
      </c>
      <c r="C2625" t="inlineStr">
        <is>
          <t xml:space="preserve">INF754K01QP6</t>
        </is>
      </c>
    </row>
    <row r="2626">
      <c r="A2626" t="inlineStr">
        <is>
          <t xml:space="preserve">Edelweiss Mutual Fund</t>
        </is>
      </c>
      <c r="B2626" t="inlineStr">
        <is>
          <t xml:space="preserve">Edelweiss Nifty Smallcap 250 Index Fund - Regular Plan - IDCW</t>
        </is>
      </c>
      <c r="C2626" t="inlineStr">
        <is>
          <t xml:space="preserve">INF754K01QQ4</t>
        </is>
      </c>
    </row>
    <row r="2627">
      <c r="A2627" t="inlineStr">
        <is>
          <t xml:space="preserve">Edelweiss Mutual Fund</t>
        </is>
      </c>
      <c r="B2627" t="inlineStr">
        <is>
          <t xml:space="preserve">Edelweiss Nifty500 Multicap Momentum Quality 50 ETF - Growth</t>
        </is>
      </c>
      <c r="C2627" t="inlineStr">
        <is>
          <t xml:space="preserve">INF754K01TF1</t>
        </is>
      </c>
    </row>
    <row r="2628">
      <c r="A2628" t="inlineStr">
        <is>
          <t xml:space="preserve">Edelweiss Mutual Fund</t>
        </is>
      </c>
      <c r="B2628" t="inlineStr">
        <is>
          <t xml:space="preserve">Edelweiss Nifty500 Multicap Momentum Quality 50 Index Fund - Direct - Growth</t>
        </is>
      </c>
      <c r="C2628" t="inlineStr">
        <is>
          <t xml:space="preserve">INF754K01TN5</t>
        </is>
      </c>
    </row>
    <row r="2629">
      <c r="A2629" t="inlineStr">
        <is>
          <t xml:space="preserve">Edelweiss Mutual Fund</t>
        </is>
      </c>
      <c r="B2629" t="inlineStr">
        <is>
          <t xml:space="preserve">Edelweiss Nifty500 Multicap Momentum Quality 50 Index Fund - Direct - IDCW - Payout</t>
        </is>
      </c>
      <c r="C2629" t="inlineStr">
        <is>
          <t xml:space="preserve">INF754K01TG9</t>
        </is>
      </c>
    </row>
    <row r="2630">
      <c r="A2630" t="inlineStr">
        <is>
          <t xml:space="preserve">Edelweiss Mutual Fund</t>
        </is>
      </c>
      <c r="B2630" t="inlineStr">
        <is>
          <t xml:space="preserve">Edelweiss Nifty500 Multicap Momentum Quality 50 Index Fund - Regular - Growth</t>
        </is>
      </c>
      <c r="C2630" t="inlineStr">
        <is>
          <t xml:space="preserve">INF754K01TJ3</t>
        </is>
      </c>
    </row>
    <row r="2631">
      <c r="A2631" t="inlineStr">
        <is>
          <t xml:space="preserve">Edelweiss Mutual Fund</t>
        </is>
      </c>
      <c r="B2631" t="inlineStr">
        <is>
          <t xml:space="preserve">Edelweiss Nifty500 Multicap Momentum Quality 50 Index Fund - Regular - IDCW - Payout</t>
        </is>
      </c>
      <c r="C2631" t="inlineStr">
        <is>
          <t xml:space="preserve">INF754K01TK1</t>
        </is>
      </c>
    </row>
    <row r="2632">
      <c r="A2632" t="inlineStr">
        <is>
          <t xml:space="preserve">Edelweiss Mutual Fund</t>
        </is>
      </c>
      <c r="B2632" t="inlineStr">
        <is>
          <t xml:space="preserve">Edelweiss Overnight Fund - Direct Plan - Annual - IDCW Option</t>
        </is>
      </c>
      <c r="C2632" t="inlineStr">
        <is>
          <t xml:space="preserve">INF754K01KD5</t>
        </is>
      </c>
    </row>
    <row r="2633">
      <c r="A2633" t="inlineStr">
        <is>
          <t xml:space="preserve">Edelweiss Mutual Fund</t>
        </is>
      </c>
      <c r="B2633" t="inlineStr">
        <is>
          <t xml:space="preserve">Edelweiss Overnight Fund - Direct Plan - Daily - IDCW Option</t>
        </is>
      </c>
      <c r="C2633" t="inlineStr">
        <is>
          <t xml:space="preserve">INF754K01JW7</t>
        </is>
      </c>
    </row>
    <row r="2634">
      <c r="A2634" t="inlineStr">
        <is>
          <t xml:space="preserve">Edelweiss Mutual Fund</t>
        </is>
      </c>
      <c r="B2634" t="inlineStr">
        <is>
          <t xml:space="preserve">Edelweiss Overnight Fund - Direct Plan - Fortnightly - IDCW Option</t>
        </is>
      </c>
      <c r="C2634" t="inlineStr">
        <is>
          <t xml:space="preserve">INF754K01JZ0</t>
        </is>
      </c>
    </row>
    <row r="2635">
      <c r="A2635" t="inlineStr">
        <is>
          <t xml:space="preserve">Edelweiss Mutual Fund</t>
        </is>
      </c>
      <c r="B2635" t="inlineStr">
        <is>
          <t xml:space="preserve">Edelweiss Overnight Fund - Direct Plan - Growth</t>
        </is>
      </c>
      <c r="C2635" t="inlineStr">
        <is>
          <t xml:space="preserve">INF754K01JV9</t>
        </is>
      </c>
    </row>
    <row r="2636">
      <c r="A2636" t="inlineStr">
        <is>
          <t xml:space="preserve">Edelweiss Mutual Fund</t>
        </is>
      </c>
      <c r="B2636" t="inlineStr">
        <is>
          <t xml:space="preserve">Edelweiss Overnight Fund - Direct Plan - Monthly - IDCW Option</t>
        </is>
      </c>
      <c r="C2636" t="inlineStr">
        <is>
          <t xml:space="preserve">INF754K01KB9</t>
        </is>
      </c>
    </row>
    <row r="2637">
      <c r="A2637" t="inlineStr">
        <is>
          <t xml:space="preserve">Edelweiss Mutual Fund</t>
        </is>
      </c>
      <c r="B2637" t="inlineStr">
        <is>
          <t xml:space="preserve">Edelweiss Overnight Fund - Direct Plan - Weekly - IDCW Option</t>
        </is>
      </c>
      <c r="C2637" t="inlineStr">
        <is>
          <t xml:space="preserve">INF754K01JX5</t>
        </is>
      </c>
    </row>
    <row r="2638">
      <c r="A2638" t="inlineStr">
        <is>
          <t xml:space="preserve">Edelweiss Mutual Fund</t>
        </is>
      </c>
      <c r="B2638" t="inlineStr">
        <is>
          <t xml:space="preserve">Edelweiss Overnight Fund - Regular Plan - Annual - IDCW Option</t>
        </is>
      </c>
      <c r="C2638" t="inlineStr">
        <is>
          <t xml:space="preserve">INF754K01KM6</t>
        </is>
      </c>
    </row>
    <row r="2639">
      <c r="A2639" t="inlineStr">
        <is>
          <t xml:space="preserve">Edelweiss Mutual Fund</t>
        </is>
      </c>
      <c r="B2639" t="inlineStr">
        <is>
          <t xml:space="preserve">Edelweiss Overnight Fund - Regular Plan - Daily - IDCW Option</t>
        </is>
      </c>
      <c r="C2639" t="inlineStr">
        <is>
          <t xml:space="preserve">INF754K01KF0</t>
        </is>
      </c>
    </row>
    <row r="2640">
      <c r="A2640" t="inlineStr">
        <is>
          <t xml:space="preserve">Edelweiss Mutual Fund</t>
        </is>
      </c>
      <c r="B2640" t="inlineStr">
        <is>
          <t xml:space="preserve">Edelweiss Overnight Fund - Regular Plan - Fortnightly - IDCW Option</t>
        </is>
      </c>
      <c r="C2640" t="inlineStr">
        <is>
          <t xml:space="preserve">INF754K01KI4</t>
        </is>
      </c>
    </row>
    <row r="2641">
      <c r="A2641" t="inlineStr">
        <is>
          <t xml:space="preserve">Edelweiss Mutual Fund</t>
        </is>
      </c>
      <c r="B2641" t="inlineStr">
        <is>
          <t xml:space="preserve">Edelweiss Overnight Fund - Regular Plan - Growth</t>
        </is>
      </c>
      <c r="C2641" t="inlineStr">
        <is>
          <t xml:space="preserve">INF754K01KE3</t>
        </is>
      </c>
    </row>
    <row r="2642">
      <c r="A2642" t="inlineStr">
        <is>
          <t xml:space="preserve">Edelweiss Mutual Fund</t>
        </is>
      </c>
      <c r="B2642" t="inlineStr">
        <is>
          <t xml:space="preserve">Edelweiss Overnight Fund - Regular Plan - Monthly - IDCW Option</t>
        </is>
      </c>
      <c r="C2642" t="inlineStr">
        <is>
          <t xml:space="preserve">INF754K01KK0</t>
        </is>
      </c>
    </row>
    <row r="2643">
      <c r="A2643" t="inlineStr">
        <is>
          <t xml:space="preserve">Edelweiss Mutual Fund</t>
        </is>
      </c>
      <c r="B2643" t="inlineStr">
        <is>
          <t xml:space="preserve">Edelweiss Overnight Fund - Regular Plan - Weekly - IDCW Option</t>
        </is>
      </c>
      <c r="C2643" t="inlineStr">
        <is>
          <t xml:space="preserve">INF754K01KG8</t>
        </is>
      </c>
    </row>
    <row r="2644">
      <c r="A2644" t="inlineStr">
        <is>
          <t xml:space="preserve">Edelweiss Mutual Fund</t>
        </is>
      </c>
      <c r="B2644" t="inlineStr">
        <is>
          <t xml:space="preserve">Edelweiss Recently Listed IPO Fund - DIRECT PLAN - IDCW Option</t>
        </is>
      </c>
      <c r="C2644" t="inlineStr">
        <is>
          <t xml:space="preserve">INF754K01MM2</t>
        </is>
      </c>
    </row>
    <row r="2645">
      <c r="A2645" t="inlineStr">
        <is>
          <t xml:space="preserve">Edelweiss Mutual Fund</t>
        </is>
      </c>
      <c r="B2645" t="inlineStr">
        <is>
          <t xml:space="preserve">Edelweiss Recently Listed IPO Fund Direct Plan Growth</t>
        </is>
      </c>
      <c r="C2645" t="inlineStr">
        <is>
          <t xml:space="preserve">INF754K01ML4</t>
        </is>
      </c>
    </row>
    <row r="2646">
      <c r="A2646" t="inlineStr">
        <is>
          <t xml:space="preserve">Edelweiss Mutual Fund</t>
        </is>
      </c>
      <c r="B2646" t="inlineStr">
        <is>
          <t xml:space="preserve">Edelweiss Recently Listed IPO Fund REGULAR PLAN - IDCW Option</t>
        </is>
      </c>
      <c r="C2646" t="inlineStr">
        <is>
          <t xml:space="preserve">INF754K01MI0</t>
        </is>
      </c>
    </row>
    <row r="2647">
      <c r="A2647" t="inlineStr">
        <is>
          <t xml:space="preserve">Edelweiss Mutual Fund</t>
        </is>
      </c>
      <c r="B2647" t="inlineStr">
        <is>
          <t xml:space="preserve">Edelweiss Recently Listed IPO Fund Regular Plan Growth</t>
        </is>
      </c>
      <c r="C2647" t="inlineStr">
        <is>
          <t xml:space="preserve">INF754K01MH2</t>
        </is>
      </c>
    </row>
    <row r="2648">
      <c r="A2648" t="inlineStr">
        <is>
          <t xml:space="preserve">Edelweiss Mutual Fund</t>
        </is>
      </c>
      <c r="B2648" t="inlineStr">
        <is>
          <t xml:space="preserve">Edelweiss Silver ETF</t>
        </is>
      </c>
      <c r="C2648" t="inlineStr">
        <is>
          <t xml:space="preserve">INF754K01SF3</t>
        </is>
      </c>
    </row>
    <row r="2649">
      <c r="A2649" t="inlineStr">
        <is>
          <t xml:space="preserve">Edelweiss Mutual Fund</t>
        </is>
      </c>
      <c r="B2649" t="inlineStr">
        <is>
          <t xml:space="preserve">Edelweiss Silver ETF Fund of Fund - Direct Plan Growth Option</t>
        </is>
      </c>
      <c r="C2649" t="inlineStr">
        <is>
          <t xml:space="preserve">INF754K01VZ5</t>
        </is>
      </c>
    </row>
    <row r="2650">
      <c r="A2650" t="inlineStr">
        <is>
          <t xml:space="preserve">Edelweiss Mutual Fund</t>
        </is>
      </c>
      <c r="B2650" t="inlineStr">
        <is>
          <t xml:space="preserve">Edelweiss Silver ETF Fund of Fund - Regular Plan Growth Option</t>
        </is>
      </c>
      <c r="C2650" t="inlineStr">
        <is>
          <t xml:space="preserve">INF754K01WD0</t>
        </is>
      </c>
    </row>
    <row r="2651">
      <c r="A2651" t="inlineStr">
        <is>
          <t xml:space="preserve">Edelweiss Mutual Fund</t>
        </is>
      </c>
      <c r="B2651" t="inlineStr">
        <is>
          <t xml:space="preserve">Edelweiss Small Cap Fund - Direct Plan - Growth</t>
        </is>
      </c>
      <c r="C2651" t="inlineStr">
        <is>
          <t xml:space="preserve">INF754K01JN6</t>
        </is>
      </c>
    </row>
    <row r="2652">
      <c r="A2652" t="inlineStr">
        <is>
          <t xml:space="preserve">Edelweiss Mutual Fund</t>
        </is>
      </c>
      <c r="B2652" t="inlineStr">
        <is>
          <t xml:space="preserve">Edelweiss Small Cap Fund - Direct Plan - IDCW Option</t>
        </is>
      </c>
      <c r="C2652" t="inlineStr">
        <is>
          <t xml:space="preserve">INF754K01JO4</t>
        </is>
      </c>
    </row>
    <row r="2653">
      <c r="A2653" t="inlineStr">
        <is>
          <t xml:space="preserve">Edelweiss Mutual Fund</t>
        </is>
      </c>
      <c r="B2653" t="inlineStr">
        <is>
          <t xml:space="preserve">Edelweiss Small Cap Fund - Regular Plan - Growth</t>
        </is>
      </c>
      <c r="C2653" t="inlineStr">
        <is>
          <t xml:space="preserve">INF754K01JJ4</t>
        </is>
      </c>
    </row>
    <row r="2654">
      <c r="A2654" t="inlineStr">
        <is>
          <t xml:space="preserve">Edelweiss Mutual Fund</t>
        </is>
      </c>
      <c r="B2654" t="inlineStr">
        <is>
          <t xml:space="preserve">Edelweiss Small Cap Fund - Regular Plan - IDCW Option</t>
        </is>
      </c>
      <c r="C2654" t="inlineStr">
        <is>
          <t xml:space="preserve">INF754K01JK2</t>
        </is>
      </c>
    </row>
    <row r="2655">
      <c r="A2655" t="inlineStr">
        <is>
          <t xml:space="preserve">Edelweiss Mutual Fund</t>
        </is>
      </c>
      <c r="B2655" t="inlineStr">
        <is>
          <t xml:space="preserve">Edelweiss Technology Fund - Direct Plan - Growth</t>
        </is>
      </c>
      <c r="C2655" t="inlineStr">
        <is>
          <t xml:space="preserve">INF754K01SK3</t>
        </is>
      </c>
    </row>
    <row r="2656">
      <c r="A2656" t="inlineStr">
        <is>
          <t xml:space="preserve">Edelweiss Mutual Fund</t>
        </is>
      </c>
      <c r="B2656" t="inlineStr">
        <is>
          <t xml:space="preserve">Edelweiss Technology Fund - Direct Plan - IDCW</t>
        </is>
      </c>
      <c r="C2656" t="inlineStr">
        <is>
          <t xml:space="preserve">INF754K01SL1</t>
        </is>
      </c>
    </row>
    <row r="2657">
      <c r="A2657" t="inlineStr">
        <is>
          <t xml:space="preserve">Edelweiss Mutual Fund</t>
        </is>
      </c>
      <c r="B2657" t="inlineStr">
        <is>
          <t xml:space="preserve">Edelweiss Technology Fund - Regular Plan - Growth</t>
        </is>
      </c>
      <c r="C2657" t="inlineStr">
        <is>
          <t xml:space="preserve">INF754K01SG1</t>
        </is>
      </c>
    </row>
    <row r="2658">
      <c r="A2658" t="inlineStr">
        <is>
          <t xml:space="preserve">Edelweiss Mutual Fund</t>
        </is>
      </c>
      <c r="B2658" t="inlineStr">
        <is>
          <t xml:space="preserve">Edelweiss Technology Fund - Regular Plan - IDCW</t>
        </is>
      </c>
      <c r="C2658" t="inlineStr">
        <is>
          <t xml:space="preserve">INF754K01SH9</t>
        </is>
      </c>
    </row>
    <row r="2659">
      <c r="A2659" t="inlineStr">
        <is>
          <t xml:space="preserve">Edelweiss Mutual Fund</t>
        </is>
      </c>
      <c r="B2659" t="inlineStr">
        <is>
          <t xml:space="preserve">Edelweiss US Technology Equity Fund of Fund- Direct Plan- Growth</t>
        </is>
      </c>
      <c r="C2659" t="inlineStr">
        <is>
          <t xml:space="preserve">INF754K01LB7</t>
        </is>
      </c>
    </row>
    <row r="2660">
      <c r="A2660" t="inlineStr">
        <is>
          <t xml:space="preserve">Edelweiss Mutual Fund</t>
        </is>
      </c>
      <c r="B2660" t="inlineStr">
        <is>
          <t xml:space="preserve">Edelweiss US Technology Equity Fund of Fund- Regular Plan- Growth</t>
        </is>
      </c>
      <c r="C2660" t="inlineStr">
        <is>
          <t xml:space="preserve">INF754K01LC5</t>
        </is>
      </c>
    </row>
    <row r="2661">
      <c r="A2661" t="inlineStr">
        <is>
          <t xml:space="preserve">Edelweiss Mutual Fund</t>
        </is>
      </c>
      <c r="B2661" t="inlineStr">
        <is>
          <t xml:space="preserve">Edelweiss US Value Equity Offshore Fund - Direct Plan - Growth Option</t>
        </is>
      </c>
      <c r="C2661" t="inlineStr">
        <is>
          <t xml:space="preserve">INF843K01EC1</t>
        </is>
      </c>
    </row>
    <row r="2662">
      <c r="A2662" t="inlineStr">
        <is>
          <t xml:space="preserve">Edelweiss Mutual Fund</t>
        </is>
      </c>
      <c r="B2662" t="inlineStr">
        <is>
          <t xml:space="preserve">Edelweiss US Value Equity Offshore Fund - Regular Plan - Growth Option</t>
        </is>
      </c>
      <c r="C2662" t="inlineStr">
        <is>
          <t xml:space="preserve">INF843K01ED9</t>
        </is>
      </c>
    </row>
    <row r="2663">
      <c r="A2663" t="inlineStr">
        <is>
          <t xml:space="preserve">Franklin Templeton Mutual Fund</t>
        </is>
      </c>
      <c r="B2663" t="inlineStr">
        <is>
          <t xml:space="preserve">Franklin Asian Equity Fund - Direct - Growth</t>
        </is>
      </c>
      <c r="C2663" t="inlineStr">
        <is>
          <t xml:space="preserve">INF090I01IZ5</t>
        </is>
      </c>
    </row>
    <row r="2664">
      <c r="A2664" t="inlineStr">
        <is>
          <t xml:space="preserve">Franklin Templeton Mutual Fund</t>
        </is>
      </c>
      <c r="B2664" t="inlineStr">
        <is>
          <t xml:space="preserve">Franklin Asian Equity Fund - Direct - IDCW</t>
        </is>
      </c>
      <c r="C2664" t="inlineStr">
        <is>
          <t xml:space="preserve">INF090I01IX0</t>
        </is>
      </c>
    </row>
    <row r="2665">
      <c r="A2665" t="inlineStr">
        <is>
          <t xml:space="preserve">Franklin Templeton Mutual Fund</t>
        </is>
      </c>
      <c r="B2665" t="inlineStr">
        <is>
          <t xml:space="preserve">Franklin Asian Equity Fund - Growth Plan</t>
        </is>
      </c>
      <c r="C2665" t="inlineStr">
        <is>
          <t xml:space="preserve">INF090I01AB3</t>
        </is>
      </c>
    </row>
    <row r="2666">
      <c r="A2666" t="inlineStr">
        <is>
          <t xml:space="preserve">Franklin Templeton Mutual Fund</t>
        </is>
      </c>
      <c r="B2666" t="inlineStr">
        <is>
          <t xml:space="preserve">Franklin Asian Equity Fund - IDCW</t>
        </is>
      </c>
      <c r="C2666" t="inlineStr">
        <is>
          <t xml:space="preserve">INF090I01999</t>
        </is>
      </c>
    </row>
    <row r="2667">
      <c r="A2667" t="inlineStr">
        <is>
          <t xml:space="preserve">Franklin Templeton Mutual Fund</t>
        </is>
      </c>
      <c r="B2667" t="inlineStr">
        <is>
          <t xml:space="preserve">Franklin Build India Fund - Direct - Growth</t>
        </is>
      </c>
      <c r="C2667" t="inlineStr">
        <is>
          <t xml:space="preserve">INF090I01JF5</t>
        </is>
      </c>
    </row>
    <row r="2668">
      <c r="A2668" t="inlineStr">
        <is>
          <t xml:space="preserve">Franklin Templeton Mutual Fund</t>
        </is>
      </c>
      <c r="B2668" t="inlineStr">
        <is>
          <t xml:space="preserve">Franklin Build India Fund - Direct - IDCW</t>
        </is>
      </c>
      <c r="C2668" t="inlineStr">
        <is>
          <t xml:space="preserve">INF090I01JD0</t>
        </is>
      </c>
    </row>
    <row r="2669">
      <c r="A2669" t="inlineStr">
        <is>
          <t xml:space="preserve">Franklin Templeton Mutual Fund</t>
        </is>
      </c>
      <c r="B2669" t="inlineStr">
        <is>
          <t xml:space="preserve">Franklin Build India Fund - IDCW</t>
        </is>
      </c>
      <c r="C2669" t="inlineStr">
        <is>
          <t xml:space="preserve">INF090I01AC1</t>
        </is>
      </c>
    </row>
    <row r="2670">
      <c r="A2670" t="inlineStr">
        <is>
          <t xml:space="preserve">Franklin Templeton Mutual Fund</t>
        </is>
      </c>
      <c r="B2670" t="inlineStr">
        <is>
          <t xml:space="preserve">Franklin Build India Fund Growth Plan</t>
        </is>
      </c>
      <c r="C2670" t="inlineStr">
        <is>
          <t xml:space="preserve">INF090I01AE7</t>
        </is>
      </c>
    </row>
    <row r="2671">
      <c r="A2671" t="inlineStr">
        <is>
          <t xml:space="preserve">Franklin Templeton Mutual Fund</t>
        </is>
      </c>
      <c r="B2671" t="inlineStr">
        <is>
          <t xml:space="preserve">Franklin India Aggressive Hybrid Fund - Direct - Growth</t>
        </is>
      </c>
      <c r="C2671" t="inlineStr">
        <is>
          <t xml:space="preserve">INF090I01FZ1</t>
        </is>
      </c>
    </row>
    <row r="2672">
      <c r="A2672" t="inlineStr">
        <is>
          <t xml:space="preserve">Franklin Templeton Mutual Fund</t>
        </is>
      </c>
      <c r="B2672" t="inlineStr">
        <is>
          <t xml:space="preserve">Franklin India Aggressive Hybrid Fund - Direct - IDCW</t>
        </is>
      </c>
      <c r="C2672" t="inlineStr">
        <is>
          <t xml:space="preserve">INF090I01GA2</t>
        </is>
      </c>
    </row>
    <row r="2673">
      <c r="A2673" t="inlineStr">
        <is>
          <t xml:space="preserve">Franklin Templeton Mutual Fund</t>
        </is>
      </c>
      <c r="B2673" t="inlineStr">
        <is>
          <t xml:space="preserve">Franklin India Aggressive Hybrid Fund - Growth Plan</t>
        </is>
      </c>
      <c r="C2673" t="inlineStr">
        <is>
          <t xml:space="preserve">INF090I01817</t>
        </is>
      </c>
    </row>
    <row r="2674">
      <c r="A2674" t="inlineStr">
        <is>
          <t xml:space="preserve">Franklin Templeton Mutual Fund</t>
        </is>
      </c>
      <c r="B2674" t="inlineStr">
        <is>
          <t xml:space="preserve">Franklin India Aggressive Hybrid Fund - IDCW</t>
        </is>
      </c>
      <c r="C2674" t="inlineStr">
        <is>
          <t xml:space="preserve">INF090I01825</t>
        </is>
      </c>
    </row>
    <row r="2675">
      <c r="A2675" t="inlineStr">
        <is>
          <t xml:space="preserve">Franklin Templeton Mutual Fund</t>
        </is>
      </c>
      <c r="B2675" t="inlineStr">
        <is>
          <t xml:space="preserve">Franklin India Arbitrage Fund - Direct - Growth</t>
        </is>
      </c>
      <c r="C2675" t="inlineStr">
        <is>
          <t xml:space="preserve">INF090I01XS9</t>
        </is>
      </c>
    </row>
    <row r="2676">
      <c r="A2676" t="inlineStr">
        <is>
          <t xml:space="preserve">Franklin Templeton Mutual Fund</t>
        </is>
      </c>
      <c r="B2676" t="inlineStr">
        <is>
          <t xml:space="preserve">Franklin India Arbitrage Fund - Direct - IDCW</t>
        </is>
      </c>
      <c r="C2676" t="inlineStr">
        <is>
          <t xml:space="preserve">INF090I01XU5</t>
        </is>
      </c>
    </row>
    <row r="2677">
      <c r="A2677" t="inlineStr">
        <is>
          <t xml:space="preserve">Franklin Templeton Mutual Fund</t>
        </is>
      </c>
      <c r="B2677" t="inlineStr">
        <is>
          <t xml:space="preserve">Franklin India Arbitrage Fund - Growth</t>
        </is>
      </c>
      <c r="C2677" t="inlineStr">
        <is>
          <t xml:space="preserve">INF090I01XP5</t>
        </is>
      </c>
    </row>
    <row r="2678">
      <c r="A2678" t="inlineStr">
        <is>
          <t xml:space="preserve">Franklin Templeton Mutual Fund</t>
        </is>
      </c>
      <c r="B2678" t="inlineStr">
        <is>
          <t xml:space="preserve">Franklin India Arbitrage Fund - IDCW</t>
        </is>
      </c>
      <c r="C2678" t="inlineStr">
        <is>
          <t xml:space="preserve">INF090I01XR1</t>
        </is>
      </c>
    </row>
    <row r="2679">
      <c r="A2679" t="inlineStr">
        <is>
          <t xml:space="preserve">Franklin Templeton Mutual Fund</t>
        </is>
      </c>
      <c r="B2679" t="inlineStr">
        <is>
          <t xml:space="preserve">Franklin India Balanced Advantage Fund- Growth</t>
        </is>
      </c>
      <c r="C2679" t="inlineStr">
        <is>
          <t xml:space="preserve">INF090I01WN2</t>
        </is>
      </c>
    </row>
    <row r="2680">
      <c r="A2680" t="inlineStr">
        <is>
          <t xml:space="preserve">Franklin Templeton Mutual Fund</t>
        </is>
      </c>
      <c r="B2680" t="inlineStr">
        <is>
          <t xml:space="preserve">Franklin India Balanced Advantage Fund- Growth- Direct</t>
        </is>
      </c>
      <c r="C2680" t="inlineStr">
        <is>
          <t xml:space="preserve">INF090I01WQ5</t>
        </is>
      </c>
    </row>
    <row r="2681">
      <c r="A2681" t="inlineStr">
        <is>
          <t xml:space="preserve">Franklin Templeton Mutual Fund</t>
        </is>
      </c>
      <c r="B2681" t="inlineStr">
        <is>
          <t xml:space="preserve">Franklin India Balanced Advantage Fund- IDCW</t>
        </is>
      </c>
      <c r="C2681" t="inlineStr">
        <is>
          <t xml:space="preserve">INF090I01WO0</t>
        </is>
      </c>
    </row>
    <row r="2682">
      <c r="A2682" t="inlineStr">
        <is>
          <t xml:space="preserve">Franklin Templeton Mutual Fund</t>
        </is>
      </c>
      <c r="B2682" t="inlineStr">
        <is>
          <t xml:space="preserve">Franklin India Balanced Advantage Fund- IDCW- Direct</t>
        </is>
      </c>
      <c r="C2682" t="inlineStr">
        <is>
          <t xml:space="preserve">INF090I01WR3</t>
        </is>
      </c>
    </row>
    <row r="2683">
      <c r="A2683" t="inlineStr">
        <is>
          <t xml:space="preserve">Franklin Templeton Mutual Fund</t>
        </is>
      </c>
      <c r="B2683" t="inlineStr">
        <is>
          <t xml:space="preserve">Franklin India Banking &amp; PSU Debt Fund - Direct - Growth</t>
        </is>
      </c>
      <c r="C2683" t="inlineStr">
        <is>
          <t xml:space="preserve">INF090I01KR8</t>
        </is>
      </c>
    </row>
    <row r="2684">
      <c r="A2684" t="inlineStr">
        <is>
          <t xml:space="preserve">Franklin Templeton Mutual Fund</t>
        </is>
      </c>
      <c r="B2684" t="inlineStr">
        <is>
          <t xml:space="preserve">Franklin India Banking &amp; PSU Debt Fund - Growth</t>
        </is>
      </c>
      <c r="C2684" t="inlineStr">
        <is>
          <t xml:space="preserve">INF090I01KO5</t>
        </is>
      </c>
    </row>
    <row r="2685">
      <c r="A2685" t="inlineStr">
        <is>
          <t xml:space="preserve">Franklin Templeton Mutual Fund</t>
        </is>
      </c>
      <c r="B2685" t="inlineStr">
        <is>
          <t xml:space="preserve">Franklin India Banking and PSU Debt Fund - Direct - IDCW</t>
        </is>
      </c>
      <c r="C2685" t="inlineStr">
        <is>
          <t xml:space="preserve">INF090I01KS6</t>
        </is>
      </c>
    </row>
    <row r="2686">
      <c r="A2686" t="inlineStr">
        <is>
          <t xml:space="preserve">Franklin Templeton Mutual Fund</t>
        </is>
      </c>
      <c r="B2686" t="inlineStr">
        <is>
          <t xml:space="preserve">Franklin India Banking and PSU Debt Fund - IDCW</t>
        </is>
      </c>
      <c r="C2686" t="inlineStr">
        <is>
          <t xml:space="preserve">INF090I01KP2</t>
        </is>
      </c>
    </row>
    <row r="2687">
      <c r="A2687" t="inlineStr">
        <is>
          <t xml:space="preserve">Franklin Templeton Mutual Fund</t>
        </is>
      </c>
      <c r="B2687" t="inlineStr">
        <is>
          <t xml:space="preserve">Franklin India Conservative Hybrid Fund - Direct - GROWTH</t>
        </is>
      </c>
      <c r="C2687" t="inlineStr">
        <is>
          <t xml:space="preserve">INF090I01GF1</t>
        </is>
      </c>
    </row>
    <row r="2688">
      <c r="A2688" t="inlineStr">
        <is>
          <t xml:space="preserve">Franklin Templeton Mutual Fund</t>
        </is>
      </c>
      <c r="B2688" t="inlineStr">
        <is>
          <t xml:space="preserve">Franklin India Conservative Hybrid Fund - Growth</t>
        </is>
      </c>
      <c r="C2688" t="inlineStr">
        <is>
          <t xml:space="preserve">INF090I01EA7</t>
        </is>
      </c>
    </row>
    <row r="2689">
      <c r="A2689" t="inlineStr">
        <is>
          <t xml:space="preserve">Franklin Templeton Mutual Fund</t>
        </is>
      </c>
      <c r="B2689" t="inlineStr">
        <is>
          <t xml:space="preserve">Franklin India Conservative Hybrid Fund - Plan A - Direct - Monthly - IDCW</t>
        </is>
      </c>
      <c r="C2689" t="inlineStr">
        <is>
          <t xml:space="preserve">INF090I01GG9</t>
        </is>
      </c>
    </row>
    <row r="2690">
      <c r="A2690" t="inlineStr">
        <is>
          <t xml:space="preserve">Franklin Templeton Mutual Fund</t>
        </is>
      </c>
      <c r="B2690" t="inlineStr">
        <is>
          <t xml:space="preserve">Franklin India Conservative Hybrid Fund - Plan A - Direct - Quarterly - IDCW</t>
        </is>
      </c>
      <c r="C2690" t="inlineStr">
        <is>
          <t xml:space="preserve">INF090I01GI5</t>
        </is>
      </c>
    </row>
    <row r="2691">
      <c r="A2691" t="inlineStr">
        <is>
          <t xml:space="preserve">Franklin Templeton Mutual Fund</t>
        </is>
      </c>
      <c r="B2691" t="inlineStr">
        <is>
          <t xml:space="preserve">Franklin India Conservative Hybrid Fund - Plan A - Monthly - IDCW</t>
        </is>
      </c>
      <c r="C2691" t="inlineStr">
        <is>
          <t xml:space="preserve">INF090I01EB5</t>
        </is>
      </c>
    </row>
    <row r="2692">
      <c r="A2692" t="inlineStr">
        <is>
          <t xml:space="preserve">Franklin Templeton Mutual Fund</t>
        </is>
      </c>
      <c r="B2692" t="inlineStr">
        <is>
          <t xml:space="preserve">Franklin India Conservative Hybrid Fund - Plan A - Quarterly - IDCW</t>
        </is>
      </c>
      <c r="C2692" t="inlineStr">
        <is>
          <t xml:space="preserve">INF090I01ED1</t>
        </is>
      </c>
    </row>
    <row r="2693">
      <c r="A2693" t="inlineStr">
        <is>
          <t xml:space="preserve">Franklin Templeton Mutual Fund</t>
        </is>
      </c>
      <c r="B2693" t="inlineStr">
        <is>
          <t xml:space="preserve">Franklin India Conservative Hybrid Fund - Segregated Portfolio 1 (10.25% Yes Bank ltd CO 05Mar20) - Direct Growth Plan</t>
        </is>
      </c>
      <c r="C2693" t="inlineStr">
        <is>
          <t xml:space="preserve">INF090I01WH4</t>
        </is>
      </c>
    </row>
    <row r="2694">
      <c r="A2694" t="inlineStr">
        <is>
          <t xml:space="preserve">Franklin Templeton Mutual Fund</t>
        </is>
      </c>
      <c r="B2694" t="inlineStr">
        <is>
          <t xml:space="preserve">Franklin India Conservative Hybrid Fund - Segregated Portfolio 1 (10.25% Yes Bank Ltd CO 05Mar20) - Direct Quarterly Dividend Plan</t>
        </is>
      </c>
      <c r="C2694" t="inlineStr">
        <is>
          <t xml:space="preserve">INF090I01WI2</t>
        </is>
      </c>
    </row>
    <row r="2695">
      <c r="A2695" t="inlineStr">
        <is>
          <t xml:space="preserve">Franklin Templeton Mutual Fund</t>
        </is>
      </c>
      <c r="B2695" t="inlineStr">
        <is>
          <t xml:space="preserve">Franklin India Conservative Hybrid Fund - Segregated Portfolio 1 (10.25% Yes bank Ltd CO 05Mar20) - Growth Plan</t>
        </is>
      </c>
      <c r="C2695" t="inlineStr">
        <is>
          <t xml:space="preserve">INF090I01WE1</t>
        </is>
      </c>
    </row>
    <row r="2696">
      <c r="A2696" t="inlineStr">
        <is>
          <t xml:space="preserve">Franklin Templeton Mutual Fund</t>
        </is>
      </c>
      <c r="B2696" t="inlineStr">
        <is>
          <t xml:space="preserve">Franklin India Conservative Hybrid Fund - Segregated Portfolio 1 (10.25% Yes Bank Ltd CO 05Mar20) - Monthly Dividend Plan</t>
        </is>
      </c>
      <c r="C2696" t="inlineStr">
        <is>
          <t xml:space="preserve">INF090I01WG6</t>
        </is>
      </c>
    </row>
    <row r="2697">
      <c r="A2697" t="inlineStr">
        <is>
          <t xml:space="preserve">Franklin Templeton Mutual Fund</t>
        </is>
      </c>
      <c r="B2697" t="inlineStr">
        <is>
          <t xml:space="preserve">Franklin India Conservative Hybrid Fund - Segregated Portfolio 1 (10.25% Yes Bank Ltd CO 05Mar20) - Quarterly Dividend Plan</t>
        </is>
      </c>
      <c r="C2697" t="inlineStr">
        <is>
          <t xml:space="preserve">INF090I01WF8</t>
        </is>
      </c>
    </row>
    <row r="2698">
      <c r="A2698" t="inlineStr">
        <is>
          <t xml:space="preserve">Franklin Templeton Mutual Fund</t>
        </is>
      </c>
      <c r="B2698" t="inlineStr">
        <is>
          <t xml:space="preserve">Franklin India Conservative Hybrid Fund - Segregated Portfolio 1 (10.25% Yes Bank Ltd CO05Mar20) - Direct Monthly Dividend Plan</t>
        </is>
      </c>
      <c r="C2698" t="inlineStr">
        <is>
          <t xml:space="preserve">INF090I01WJ0</t>
        </is>
      </c>
    </row>
    <row r="2699">
      <c r="A2699" t="inlineStr">
        <is>
          <t xml:space="preserve">Franklin Templeton Mutual Fund</t>
        </is>
      </c>
      <c r="B2699" t="inlineStr">
        <is>
          <t xml:space="preserve">Franklin India Corporate Debt Fund - Direct - Bonus</t>
        </is>
      </c>
      <c r="C2699" t="inlineStr">
        <is>
          <t xml:space="preserve">INF090I01KC0</t>
        </is>
      </c>
    </row>
    <row r="2700">
      <c r="A2700" t="inlineStr">
        <is>
          <t xml:space="preserve">Franklin Templeton Mutual Fund</t>
        </is>
      </c>
      <c r="B2700" t="inlineStr">
        <is>
          <t xml:space="preserve">Franklin India Corporate Debt Fund - Direct - GROWTH</t>
        </is>
      </c>
      <c r="C2700" t="inlineStr">
        <is>
          <t xml:space="preserve">INF090I01FW8</t>
        </is>
      </c>
    </row>
    <row r="2701">
      <c r="A2701" t="inlineStr">
        <is>
          <t xml:space="preserve">Franklin Templeton Mutual Fund</t>
        </is>
      </c>
      <c r="B2701" t="inlineStr">
        <is>
          <t xml:space="preserve">Franklin India Corporate Debt Fund - Growth</t>
        </is>
      </c>
      <c r="C2701" t="inlineStr">
        <is>
          <t xml:space="preserve">INF090I01DG6</t>
        </is>
      </c>
    </row>
    <row r="2702">
      <c r="A2702" t="inlineStr">
        <is>
          <t xml:space="preserve">Franklin Templeton Mutual Fund</t>
        </is>
      </c>
      <c r="B2702" t="inlineStr">
        <is>
          <t xml:space="preserve">Franklin India Corporate Debt Fund - Monthly Bonus</t>
        </is>
      </c>
      <c r="C2702" t="inlineStr">
        <is>
          <t xml:space="preserve">INF090I01DC5</t>
        </is>
      </c>
    </row>
    <row r="2703">
      <c r="A2703" t="inlineStr">
        <is>
          <t xml:space="preserve">Franklin Templeton Mutual Fund</t>
        </is>
      </c>
      <c r="B2703" t="inlineStr">
        <is>
          <t xml:space="preserve">Franklin India Corporate Debt Fund - Plan A - Annual - IDCW</t>
        </is>
      </c>
      <c r="C2703" t="inlineStr">
        <is>
          <t xml:space="preserve">INF090I01DH4</t>
        </is>
      </c>
    </row>
    <row r="2704">
      <c r="A2704" t="inlineStr">
        <is>
          <t xml:space="preserve">Franklin Templeton Mutual Fund</t>
        </is>
      </c>
      <c r="B2704" t="inlineStr">
        <is>
          <t xml:space="preserve">Franklin India Corporate Debt Fund - Plan A - Direct - Annual - IDCW</t>
        </is>
      </c>
      <c r="C2704" t="inlineStr">
        <is>
          <t xml:space="preserve">INF090I01FX6</t>
        </is>
      </c>
    </row>
    <row r="2705">
      <c r="A2705" t="inlineStr">
        <is>
          <t xml:space="preserve">Franklin Templeton Mutual Fund</t>
        </is>
      </c>
      <c r="B2705" t="inlineStr">
        <is>
          <t xml:space="preserve">Franklin India Corporate Debt Fund - Plan A - Direct - Half yearly - IDCW</t>
        </is>
      </c>
      <c r="C2705" t="inlineStr">
        <is>
          <t xml:space="preserve">INF090I01FU2</t>
        </is>
      </c>
    </row>
    <row r="2706">
      <c r="A2706" t="inlineStr">
        <is>
          <t xml:space="preserve">Franklin Templeton Mutual Fund</t>
        </is>
      </c>
      <c r="B2706" t="inlineStr">
        <is>
          <t xml:space="preserve">Franklin India Corporate Debt Fund - Plan A - Direct - Monthly - IDCW</t>
        </is>
      </c>
      <c r="C2706" t="inlineStr">
        <is>
          <t xml:space="preserve">INF090I01FQ0</t>
        </is>
      </c>
    </row>
    <row r="2707">
      <c r="A2707" t="inlineStr">
        <is>
          <t xml:space="preserve">Franklin Templeton Mutual Fund</t>
        </is>
      </c>
      <c r="B2707" t="inlineStr">
        <is>
          <t xml:space="preserve">Franklin India Corporate Debt Fund - Plan A - Direct - Quarterly - IDCW</t>
        </is>
      </c>
      <c r="C2707" t="inlineStr">
        <is>
          <t xml:space="preserve">INF090I01FS6</t>
        </is>
      </c>
    </row>
    <row r="2708">
      <c r="A2708" t="inlineStr">
        <is>
          <t xml:space="preserve">Franklin Templeton Mutual Fund</t>
        </is>
      </c>
      <c r="B2708" t="inlineStr">
        <is>
          <t xml:space="preserve">Franklin India Corporate Debt Fund - Plan B - Half yearly - IDCW</t>
        </is>
      </c>
      <c r="C2708" t="inlineStr">
        <is>
          <t xml:space="preserve">INF090I01DN2</t>
        </is>
      </c>
    </row>
    <row r="2709">
      <c r="A2709" t="inlineStr">
        <is>
          <t xml:space="preserve">Franklin Templeton Mutual Fund</t>
        </is>
      </c>
      <c r="B2709" t="inlineStr">
        <is>
          <t xml:space="preserve">Franklin India Corporate Debt Fund - Plan B - Monthly - IDCW</t>
        </is>
      </c>
      <c r="C2709" t="inlineStr">
        <is>
          <t xml:space="preserve">INF090I01DJ0</t>
        </is>
      </c>
    </row>
    <row r="2710">
      <c r="A2710" t="inlineStr">
        <is>
          <t xml:space="preserve">Franklin Templeton Mutual Fund</t>
        </is>
      </c>
      <c r="B2710" t="inlineStr">
        <is>
          <t xml:space="preserve">Franklin India Corporate Debt Fund - Plan B - Quarterly - IDCW</t>
        </is>
      </c>
      <c r="C2710" t="inlineStr">
        <is>
          <t xml:space="preserve">INF090I01DL6</t>
        </is>
      </c>
    </row>
    <row r="2711">
      <c r="A2711" t="inlineStr">
        <is>
          <t xml:space="preserve">Franklin Templeton Mutual Fund</t>
        </is>
      </c>
      <c r="B2711" t="inlineStr">
        <is>
          <t xml:space="preserve">Franklin India Credit Risk Fund - Direct - Growth</t>
        </is>
      </c>
      <c r="C2711" t="inlineStr">
        <is>
          <t xml:space="preserve">INF090I01JL3</t>
        </is>
      </c>
    </row>
    <row r="2712">
      <c r="A2712" t="inlineStr">
        <is>
          <t xml:space="preserve">Franklin Templeton Mutual Fund</t>
        </is>
      </c>
      <c r="B2712" t="inlineStr">
        <is>
          <t xml:space="preserve">Franklin India Credit Risk Fund - Direct - IDCW</t>
        </is>
      </c>
      <c r="C2712" t="inlineStr">
        <is>
          <t xml:space="preserve">INF090I01JJ7</t>
        </is>
      </c>
    </row>
    <row r="2713">
      <c r="A2713" t="inlineStr">
        <is>
          <t xml:space="preserve">Franklin Templeton Mutual Fund</t>
        </is>
      </c>
      <c r="B2713" t="inlineStr">
        <is>
          <t xml:space="preserve">Franklin India Credit Risk Fund - Growth</t>
        </is>
      </c>
      <c r="C2713" t="inlineStr">
        <is>
          <t xml:space="preserve">INF090I01ET7</t>
        </is>
      </c>
    </row>
    <row r="2714">
      <c r="A2714" t="inlineStr">
        <is>
          <t xml:space="preserve">Franklin Templeton Mutual Fund</t>
        </is>
      </c>
      <c r="B2714" t="inlineStr">
        <is>
          <t xml:space="preserve">Franklin India Credit Risk Fund - IDCW</t>
        </is>
      </c>
      <c r="C2714" t="inlineStr">
        <is>
          <t xml:space="preserve">INF090I01ES9</t>
        </is>
      </c>
    </row>
    <row r="2715">
      <c r="A2715" t="inlineStr">
        <is>
          <t xml:space="preserve">Franklin Templeton Mutual Fund</t>
        </is>
      </c>
      <c r="B2715" t="inlineStr">
        <is>
          <t xml:space="preserve">Franklin India Credit Risk Fund - Segregated Portfolio 3 (9.50% Yes bank Ltd CO 23Dec21) - Direct Growth Plan</t>
        </is>
      </c>
      <c r="C2715" t="inlineStr">
        <is>
          <t xml:space="preserve">INF090I01VZ8</t>
        </is>
      </c>
    </row>
    <row r="2716">
      <c r="A2716" t="inlineStr">
        <is>
          <t xml:space="preserve">Franklin Templeton Mutual Fund</t>
        </is>
      </c>
      <c r="B2716" t="inlineStr">
        <is>
          <t xml:space="preserve">Franklin India Credit Risk Fund - Segregated Portfolio 3 (9.50% Yes Bank Ltd CO 23Dec21) - Growth Plan</t>
        </is>
      </c>
      <c r="C2716" t="inlineStr">
        <is>
          <t xml:space="preserve">INF090I01VX3</t>
        </is>
      </c>
    </row>
    <row r="2717">
      <c r="A2717" t="inlineStr">
        <is>
          <t xml:space="preserve">Franklin Templeton Mutual Fund</t>
        </is>
      </c>
      <c r="B2717" t="inlineStr">
        <is>
          <t xml:space="preserve">Franklin India Credit Risk Fund- Segregated Portfolio 1- 8.25% Vodafone Idea Ltd-10JUL20-Direct-Dividend Plan</t>
        </is>
      </c>
      <c r="C2717" t="inlineStr">
        <is>
          <t xml:space="preserve">INF090I01TK4</t>
        </is>
      </c>
    </row>
    <row r="2718">
      <c r="A2718" t="inlineStr">
        <is>
          <t xml:space="preserve">Franklin Templeton Mutual Fund</t>
        </is>
      </c>
      <c r="B2718" t="inlineStr">
        <is>
          <t xml:space="preserve">Franklin India Credit Risk Fund- Segregated Portfolio 1- 8.25% Vodafone Idea Ltd-10JUL20-Direct-Growth Plan</t>
        </is>
      </c>
      <c r="C2718" t="inlineStr">
        <is>
          <t xml:space="preserve">INF090I01TL2</t>
        </is>
      </c>
    </row>
    <row r="2719">
      <c r="A2719" t="inlineStr">
        <is>
          <t xml:space="preserve">Franklin Templeton Mutual Fund</t>
        </is>
      </c>
      <c r="B2719" t="inlineStr">
        <is>
          <t xml:space="preserve">Franklin India Credit Risk Fund- Segregated Portfolio 1- 8.25% Vodafone Idea Ltd-10JUL20-Dividend Plan</t>
        </is>
      </c>
      <c r="C2719" t="inlineStr">
        <is>
          <t xml:space="preserve">INF090I01TI8</t>
        </is>
      </c>
    </row>
    <row r="2720">
      <c r="A2720" t="inlineStr">
        <is>
          <t xml:space="preserve">Franklin Templeton Mutual Fund</t>
        </is>
      </c>
      <c r="B2720" t="inlineStr">
        <is>
          <t xml:space="preserve">Franklin India Credit Risk Fund- Segregated Portfolio 1- 8.25% Vodafone Idea Ltd-10JUL20-Growth Plan</t>
        </is>
      </c>
      <c r="C2720" t="inlineStr">
        <is>
          <t xml:space="preserve">INF090I01TJ6</t>
        </is>
      </c>
    </row>
    <row r="2721">
      <c r="A2721" t="inlineStr">
        <is>
          <t xml:space="preserve">Franklin Templeton Mutual Fund</t>
        </is>
      </c>
      <c r="B2721" t="inlineStr">
        <is>
          <t xml:space="preserve">Franklin India Credit Risk Fund- Segregated Portfolio 2 - 10.90% Vodafone Idea Ltd (02-Sep-2023) - IDCW</t>
        </is>
      </c>
      <c r="C2721" t="inlineStr">
        <is>
          <t xml:space="preserve">INF090I01TM0</t>
        </is>
      </c>
    </row>
    <row r="2722">
      <c r="A2722" t="inlineStr">
        <is>
          <t xml:space="preserve">Franklin Templeton Mutual Fund</t>
        </is>
      </c>
      <c r="B2722" t="inlineStr">
        <is>
          <t xml:space="preserve">Franklin India Credit Risk Fund- Segregated Portfolio 2- 10.90% Vodafone Idea Ltd 02Sep2023-Direct Growth Plan</t>
        </is>
      </c>
      <c r="C2722" t="inlineStr">
        <is>
          <t xml:space="preserve">INF090I01TP3</t>
        </is>
      </c>
    </row>
    <row r="2723">
      <c r="A2723" t="inlineStr">
        <is>
          <t xml:space="preserve">Franklin Templeton Mutual Fund</t>
        </is>
      </c>
      <c r="B2723" t="inlineStr">
        <is>
          <t xml:space="preserve">Franklin India Credit Risk Fund- Segregated Portfolio 2- 10.90% Vodafone Idea Ltd 02Sep2023-Growth Plan</t>
        </is>
      </c>
      <c r="C2723" t="inlineStr">
        <is>
          <t xml:space="preserve">INF090I01TN8</t>
        </is>
      </c>
    </row>
    <row r="2724">
      <c r="A2724" t="inlineStr">
        <is>
          <t xml:space="preserve">Franklin Templeton Mutual Fund</t>
        </is>
      </c>
      <c r="B2724" t="inlineStr">
        <is>
          <t xml:space="preserve">Franklin India Credit Risk Fund- Segregated Portfolio 3 (9.50% Yes Bank Ltd CO 23Dec21) - IDCW</t>
        </is>
      </c>
      <c r="C2724" t="inlineStr">
        <is>
          <t xml:space="preserve">INF090I01VW5</t>
        </is>
      </c>
    </row>
    <row r="2725">
      <c r="A2725" t="inlineStr">
        <is>
          <t xml:space="preserve">Franklin Templeton Mutual Fund</t>
        </is>
      </c>
      <c r="B2725" t="inlineStr">
        <is>
          <t xml:space="preserve">Franklin India Credit Risk Fund-Segregated Portfolio 2 - 10.90% Vodafone Idea Ltd (02-Sep-2023) - Direct IDCW</t>
        </is>
      </c>
      <c r="C2725" t="inlineStr">
        <is>
          <t xml:space="preserve">INF090I01TO6</t>
        </is>
      </c>
    </row>
    <row r="2726">
      <c r="A2726" t="inlineStr">
        <is>
          <t xml:space="preserve">Franklin Templeton Mutual Fund</t>
        </is>
      </c>
      <c r="B2726" t="inlineStr">
        <is>
          <t xml:space="preserve">Franklin India Credit Risk Fund-Segregated Portfolio 3 (9.50% Yes Bank Ltd CO 23Dec21) - Direct IDCW</t>
        </is>
      </c>
      <c r="C2726" t="inlineStr">
        <is>
          <t xml:space="preserve">INF090I01VY1</t>
        </is>
      </c>
    </row>
    <row r="2727">
      <c r="A2727" t="inlineStr">
        <is>
          <t xml:space="preserve">Franklin Templeton Mutual Fund</t>
        </is>
      </c>
      <c r="B2727" t="inlineStr">
        <is>
          <t xml:space="preserve">Franklin India Dividend Yield Fund - Direct - Growth</t>
        </is>
      </c>
      <c r="C2727" t="inlineStr">
        <is>
          <t xml:space="preserve">INF090I01IT8</t>
        </is>
      </c>
    </row>
    <row r="2728">
      <c r="A2728" t="inlineStr">
        <is>
          <t xml:space="preserve">Franklin Templeton Mutual Fund</t>
        </is>
      </c>
      <c r="B2728" t="inlineStr">
        <is>
          <t xml:space="preserve">Franklin India Dividend Yield Fund - Direct - IDCW</t>
        </is>
      </c>
      <c r="C2728" t="inlineStr">
        <is>
          <t xml:space="preserve">INF090I01IR2</t>
        </is>
      </c>
    </row>
    <row r="2729">
      <c r="A2729" t="inlineStr">
        <is>
          <t xml:space="preserve">Franklin Templeton Mutual Fund</t>
        </is>
      </c>
      <c r="B2729" t="inlineStr">
        <is>
          <t xml:space="preserve">Franklin India Dividend Yield Fund - IDCW</t>
        </is>
      </c>
      <c r="C2729" t="inlineStr">
        <is>
          <t xml:space="preserve">INF090I01932</t>
        </is>
      </c>
    </row>
    <row r="2730">
      <c r="A2730" t="inlineStr">
        <is>
          <t xml:space="preserve">Franklin Templeton Mutual Fund</t>
        </is>
      </c>
      <c r="B2730" t="inlineStr">
        <is>
          <t xml:space="preserve">Franklin India Dividend Yield Fund-Growth Plan</t>
        </is>
      </c>
      <c r="C2730" t="inlineStr">
        <is>
          <t xml:space="preserve">INF090I01957</t>
        </is>
      </c>
    </row>
    <row r="2731">
      <c r="A2731" t="inlineStr">
        <is>
          <t xml:space="preserve">Franklin Templeton Mutual Fund</t>
        </is>
      </c>
      <c r="B2731" t="inlineStr">
        <is>
          <t xml:space="preserve">Franklin India Dynamic Accrual Fund - Direct - Growth</t>
        </is>
      </c>
      <c r="C2731" t="inlineStr">
        <is>
          <t xml:space="preserve">INF090I01HB8</t>
        </is>
      </c>
    </row>
    <row r="2732">
      <c r="A2732" t="inlineStr">
        <is>
          <t xml:space="preserve">Franklin Templeton Mutual Fund</t>
        </is>
      </c>
      <c r="B2732" t="inlineStr">
        <is>
          <t xml:space="preserve">Franklin India Dynamic Accrual Fund - Direct - IDCW</t>
        </is>
      </c>
      <c r="C2732" t="inlineStr">
        <is>
          <t xml:space="preserve">INF090I01GZ9</t>
        </is>
      </c>
    </row>
    <row r="2733">
      <c r="A2733" t="inlineStr">
        <is>
          <t xml:space="preserve">Franklin Templeton Mutual Fund</t>
        </is>
      </c>
      <c r="B2733" t="inlineStr">
        <is>
          <t xml:space="preserve">Franklin India Dynamic Accrual Fund - IDCW</t>
        </is>
      </c>
      <c r="C2733" t="inlineStr">
        <is>
          <t xml:space="preserve">INF090I01BN6</t>
        </is>
      </c>
    </row>
    <row r="2734">
      <c r="A2734" t="inlineStr">
        <is>
          <t xml:space="preserve">Franklin Templeton Mutual Fund</t>
        </is>
      </c>
      <c r="B2734" t="inlineStr">
        <is>
          <t xml:space="preserve">Franklin India Dynamic Accrual Fund - Segregated Portfolio 3 (9.50% Yes Bank Ltd CO 23Dec21) - Direct Growth Plan</t>
        </is>
      </c>
      <c r="C2734" t="inlineStr">
        <is>
          <t xml:space="preserve">INF090I01WD3</t>
        </is>
      </c>
    </row>
    <row r="2735">
      <c r="A2735" t="inlineStr">
        <is>
          <t xml:space="preserve">Franklin Templeton Mutual Fund</t>
        </is>
      </c>
      <c r="B2735" t="inlineStr">
        <is>
          <t xml:space="preserve">Franklin India Dynamic Accrual Fund - Segregated Portfolio 3 (9.50% Yes Bank Ltd CO 23Dec21) - Growth Plan</t>
        </is>
      </c>
      <c r="C2735" t="inlineStr">
        <is>
          <t xml:space="preserve">INF090I01WB7</t>
        </is>
      </c>
    </row>
    <row r="2736">
      <c r="A2736" t="inlineStr">
        <is>
          <t xml:space="preserve">Franklin Templeton Mutual Fund</t>
        </is>
      </c>
      <c r="B2736" t="inlineStr">
        <is>
          <t xml:space="preserve">Franklin India Dynamic Accrual Fund- Segregated Portfolio 1- 8.25% Vodafone Idea Ltd-10JUL20-Direct-Dividend Plan</t>
        </is>
      </c>
      <c r="C2736" t="inlineStr">
        <is>
          <t xml:space="preserve">INF090I01TS7</t>
        </is>
      </c>
    </row>
    <row r="2737">
      <c r="A2737" t="inlineStr">
        <is>
          <t xml:space="preserve">Franklin Templeton Mutual Fund</t>
        </is>
      </c>
      <c r="B2737" t="inlineStr">
        <is>
          <t xml:space="preserve">Franklin India Dynamic Accrual Fund- Segregated Portfolio 1- 8.25% Vodafone Idea Ltd-10JUL20-Direct-Growth Plan</t>
        </is>
      </c>
      <c r="C2737" t="inlineStr">
        <is>
          <t xml:space="preserve">INF090I01TT5</t>
        </is>
      </c>
    </row>
    <row r="2738">
      <c r="A2738" t="inlineStr">
        <is>
          <t xml:space="preserve">Franklin Templeton Mutual Fund</t>
        </is>
      </c>
      <c r="B2738" t="inlineStr">
        <is>
          <t xml:space="preserve">Franklin India Dynamic Accrual Fund- Segregated Portfolio 1- 8.25% Vodafone Idea Ltd-10JUL20-Dividend Plan</t>
        </is>
      </c>
      <c r="C2738" t="inlineStr">
        <is>
          <t xml:space="preserve">INF090I01TQ1</t>
        </is>
      </c>
    </row>
    <row r="2739">
      <c r="A2739" t="inlineStr">
        <is>
          <t xml:space="preserve">Franklin Templeton Mutual Fund</t>
        </is>
      </c>
      <c r="B2739" t="inlineStr">
        <is>
          <t xml:space="preserve">Franklin India Dynamic Accrual Fund- Segregated Portfolio 1- 8.25% Vodafone Idea Ltd-10JUL20-Growth Plan</t>
        </is>
      </c>
      <c r="C2739" t="inlineStr">
        <is>
          <t xml:space="preserve">INF090I01TR9</t>
        </is>
      </c>
    </row>
    <row r="2740">
      <c r="A2740" t="inlineStr">
        <is>
          <t xml:space="preserve">Franklin Templeton Mutual Fund</t>
        </is>
      </c>
      <c r="B2740" t="inlineStr">
        <is>
          <t xml:space="preserve">Franklin India Dynamic Accrual Fund- Segregated Portfolio 2 - 10.90% Vodafone Idea Ltd (02-Sep-2023) - IDCW</t>
        </is>
      </c>
      <c r="C2740" t="inlineStr">
        <is>
          <t xml:space="preserve">INF090I01TU3</t>
        </is>
      </c>
    </row>
    <row r="2741">
      <c r="A2741" t="inlineStr">
        <is>
          <t xml:space="preserve">Franklin Templeton Mutual Fund</t>
        </is>
      </c>
      <c r="B2741" t="inlineStr">
        <is>
          <t xml:space="preserve">Franklin India Dynamic Accrual Fund- Segregated Portfolio 2- 10.90% Vodafone Idea Ltd 02Sep2023-Direct-Growth Plan</t>
        </is>
      </c>
      <c r="C2741" t="inlineStr">
        <is>
          <t xml:space="preserve">INF090I01TX7</t>
        </is>
      </c>
    </row>
    <row r="2742">
      <c r="A2742" t="inlineStr">
        <is>
          <t xml:space="preserve">Franklin Templeton Mutual Fund</t>
        </is>
      </c>
      <c r="B2742" t="inlineStr">
        <is>
          <t xml:space="preserve">Franklin India Dynamic Accrual Fund- Segregated Portfolio 2- 10.90% Vodafone Idea Ltd 02Sep2023-Growth Plan</t>
        </is>
      </c>
      <c r="C2742" t="inlineStr">
        <is>
          <t xml:space="preserve">INF090I01TV1</t>
        </is>
      </c>
    </row>
    <row r="2743">
      <c r="A2743" t="inlineStr">
        <is>
          <t xml:space="preserve">Franklin Templeton Mutual Fund</t>
        </is>
      </c>
      <c r="B2743" t="inlineStr">
        <is>
          <t xml:space="preserve">Franklin India Dynamic Accrual Fund- Segregated Portfolio 3 (9.50% Yes Bank Ltd CO 23Dec21) - IDCW</t>
        </is>
      </c>
      <c r="C2743" t="inlineStr">
        <is>
          <t xml:space="preserve">INF090I01WA9</t>
        </is>
      </c>
    </row>
    <row r="2744">
      <c r="A2744" t="inlineStr">
        <is>
          <t xml:space="preserve">Franklin Templeton Mutual Fund</t>
        </is>
      </c>
      <c r="B2744" t="inlineStr">
        <is>
          <t xml:space="preserve">Franklin India Dynamic Accrual Fund-Growth</t>
        </is>
      </c>
      <c r="C2744" t="inlineStr">
        <is>
          <t xml:space="preserve">INF090I01BP1</t>
        </is>
      </c>
    </row>
    <row r="2745">
      <c r="A2745" t="inlineStr">
        <is>
          <t xml:space="preserve">Franklin Templeton Mutual Fund</t>
        </is>
      </c>
      <c r="B2745" t="inlineStr">
        <is>
          <t xml:space="preserve">Franklin India Dynamic Accrual Fund-Segregated Portfolio 2 - 10.90% Vodafone Idea Ltd (02-Sep-2023) - Direct IDCW</t>
        </is>
      </c>
      <c r="C2745" t="inlineStr">
        <is>
          <t xml:space="preserve">INF090I01TW9</t>
        </is>
      </c>
    </row>
    <row r="2746">
      <c r="A2746" t="inlineStr">
        <is>
          <t xml:space="preserve">Franklin Templeton Mutual Fund</t>
        </is>
      </c>
      <c r="B2746" t="inlineStr">
        <is>
          <t xml:space="preserve">Franklin India Dynamic Accrual Fund-Segregated Portfolio 3 (9.50% Yes Bank Ltd CO 23Dec21) - Direct IDCW</t>
        </is>
      </c>
      <c r="C2746" t="inlineStr">
        <is>
          <t xml:space="preserve">INF090I01WC5</t>
        </is>
      </c>
    </row>
    <row r="2747">
      <c r="A2747" t="inlineStr">
        <is>
          <t xml:space="preserve">Franklin Templeton Mutual Fund</t>
        </is>
      </c>
      <c r="B2747" t="inlineStr">
        <is>
          <t xml:space="preserve">Franklin India Dynamic Asset Allocation Active Fund Of Funds - Direct - Growth</t>
        </is>
      </c>
      <c r="C2747" t="inlineStr">
        <is>
          <t xml:space="preserve">INF090I01HV6</t>
        </is>
      </c>
    </row>
    <row r="2748">
      <c r="A2748" t="inlineStr">
        <is>
          <t xml:space="preserve">Franklin Templeton Mutual Fund</t>
        </is>
      </c>
      <c r="B2748" t="inlineStr">
        <is>
          <t xml:space="preserve">Franklin India Dynamic Asset Allocation Active Fund of funds - Direct - IDCW</t>
        </is>
      </c>
      <c r="C2748" t="inlineStr">
        <is>
          <t xml:space="preserve">INF090I01HT0</t>
        </is>
      </c>
    </row>
    <row r="2749">
      <c r="A2749" t="inlineStr">
        <is>
          <t xml:space="preserve">Franklin Templeton Mutual Fund</t>
        </is>
      </c>
      <c r="B2749" t="inlineStr">
        <is>
          <t xml:space="preserve">Franklin India Dynamic Asset Allocation Active Fund of funds - IDCW</t>
        </is>
      </c>
      <c r="C2749" t="inlineStr">
        <is>
          <t xml:space="preserve">INF090I01247</t>
        </is>
      </c>
    </row>
    <row r="2750">
      <c r="A2750" t="inlineStr">
        <is>
          <t xml:space="preserve">Franklin Templeton Mutual Fund</t>
        </is>
      </c>
      <c r="B2750" t="inlineStr">
        <is>
          <t xml:space="preserve">Franklin India Dynamic Asset Allocation Active Fund of Funds-Growth</t>
        </is>
      </c>
      <c r="C2750" t="inlineStr">
        <is>
          <t xml:space="preserve">INF090I01262</t>
        </is>
      </c>
    </row>
    <row r="2751">
      <c r="A2751" t="inlineStr">
        <is>
          <t xml:space="preserve">Franklin Templeton Mutual Fund</t>
        </is>
      </c>
      <c r="B2751" t="inlineStr">
        <is>
          <t xml:space="preserve">Franklin India ELSS Tax Saver Fund - Direct - Growth</t>
        </is>
      </c>
      <c r="C2751" t="inlineStr">
        <is>
          <t xml:space="preserve">INF090I01JS8</t>
        </is>
      </c>
    </row>
    <row r="2752">
      <c r="A2752" t="inlineStr">
        <is>
          <t xml:space="preserve">Franklin Templeton Mutual Fund</t>
        </is>
      </c>
      <c r="B2752" t="inlineStr">
        <is>
          <t xml:space="preserve">Franklin India ELSS Tax Saver Fund - Direct - IDCW</t>
        </is>
      </c>
      <c r="C2752" t="inlineStr">
        <is>
          <t xml:space="preserve">INF090I01JT6</t>
        </is>
      </c>
    </row>
    <row r="2753">
      <c r="A2753" t="inlineStr">
        <is>
          <t xml:space="preserve">Franklin Templeton Mutual Fund</t>
        </is>
      </c>
      <c r="B2753" t="inlineStr">
        <is>
          <t xml:space="preserve">Franklin India ELSS Tax Saver Fund - IDCW</t>
        </is>
      </c>
      <c r="C2753" t="inlineStr">
        <is>
          <t xml:space="preserve">INF090I01783</t>
        </is>
      </c>
    </row>
    <row r="2754">
      <c r="A2754" t="inlineStr">
        <is>
          <t xml:space="preserve">Franklin Templeton Mutual Fund</t>
        </is>
      </c>
      <c r="B2754" t="inlineStr">
        <is>
          <t xml:space="preserve">Franklin India ELSS Tax Saver Fund-Growth</t>
        </is>
      </c>
      <c r="C2754" t="inlineStr">
        <is>
          <t xml:space="preserve">INF090I01775</t>
        </is>
      </c>
    </row>
    <row r="2755">
      <c r="A2755" t="inlineStr">
        <is>
          <t xml:space="preserve">Franklin Templeton Mutual Fund</t>
        </is>
      </c>
      <c r="B2755" t="inlineStr">
        <is>
          <t xml:space="preserve">Franklin India Equity Savings Fund - Direct - IDCW</t>
        </is>
      </c>
      <c r="C2755" t="inlineStr">
        <is>
          <t xml:space="preserve">INF090I01PC9</t>
        </is>
      </c>
    </row>
    <row r="2756">
      <c r="A2756" t="inlineStr">
        <is>
          <t xml:space="preserve">Franklin Templeton Mutual Fund</t>
        </is>
      </c>
      <c r="B2756" t="inlineStr">
        <is>
          <t xml:space="preserve">Franklin India Equity Savings Fund - Direct - Monthly - IDCW</t>
        </is>
      </c>
      <c r="C2756" t="inlineStr">
        <is>
          <t xml:space="preserve">INF090I01PH8</t>
        </is>
      </c>
    </row>
    <row r="2757">
      <c r="A2757" t="inlineStr">
        <is>
          <t xml:space="preserve">Franklin Templeton Mutual Fund</t>
        </is>
      </c>
      <c r="B2757" t="inlineStr">
        <is>
          <t xml:space="preserve">Franklin India Equity Savings Fund - Direct - Quarterly - IDCW</t>
        </is>
      </c>
      <c r="C2757" t="inlineStr">
        <is>
          <t xml:space="preserve">INF090I01PL0</t>
        </is>
      </c>
    </row>
    <row r="2758">
      <c r="A2758" t="inlineStr">
        <is>
          <t xml:space="preserve">Franklin Templeton Mutual Fund</t>
        </is>
      </c>
      <c r="B2758" t="inlineStr">
        <is>
          <t xml:space="preserve">Franklin India Equity Savings Fund - IDCW</t>
        </is>
      </c>
      <c r="C2758" t="inlineStr">
        <is>
          <t xml:space="preserve">INF090I01OZ3</t>
        </is>
      </c>
    </row>
    <row r="2759">
      <c r="A2759" t="inlineStr">
        <is>
          <t xml:space="preserve">Franklin Templeton Mutual Fund</t>
        </is>
      </c>
      <c r="B2759" t="inlineStr">
        <is>
          <t xml:space="preserve">Franklin India Equity Savings Fund - Monthly - IDCW</t>
        </is>
      </c>
      <c r="C2759" t="inlineStr">
        <is>
          <t xml:space="preserve">INF090I01PF2</t>
        </is>
      </c>
    </row>
    <row r="2760">
      <c r="A2760" t="inlineStr">
        <is>
          <t xml:space="preserve">Franklin Templeton Mutual Fund</t>
        </is>
      </c>
      <c r="B2760" t="inlineStr">
        <is>
          <t xml:space="preserve">Franklin India Equity Savings Fund - Quarterly - IDCW</t>
        </is>
      </c>
      <c r="C2760" t="inlineStr">
        <is>
          <t xml:space="preserve">INF090I01PJ4</t>
        </is>
      </c>
    </row>
    <row r="2761">
      <c r="A2761" t="inlineStr">
        <is>
          <t xml:space="preserve">Franklin Templeton Mutual Fund</t>
        </is>
      </c>
      <c r="B2761" t="inlineStr">
        <is>
          <t xml:space="preserve">Franklin India Equity Savings Fund- Growth</t>
        </is>
      </c>
      <c r="C2761" t="inlineStr">
        <is>
          <t xml:space="preserve">INF090I01PA3</t>
        </is>
      </c>
    </row>
    <row r="2762">
      <c r="A2762" t="inlineStr">
        <is>
          <t xml:space="preserve">Franklin Templeton Mutual Fund</t>
        </is>
      </c>
      <c r="B2762" t="inlineStr">
        <is>
          <t xml:space="preserve">Franklin India Equity Savings Fund- Growth Direct</t>
        </is>
      </c>
      <c r="C2762" t="inlineStr">
        <is>
          <t xml:space="preserve">INF090I01PD7</t>
        </is>
      </c>
    </row>
    <row r="2763">
      <c r="A2763" t="inlineStr">
        <is>
          <t xml:space="preserve">Franklin Templeton Mutual Fund</t>
        </is>
      </c>
      <c r="B2763" t="inlineStr">
        <is>
          <t xml:space="preserve">Franklin India Flexi Cap Fund - Direct - Growth</t>
        </is>
      </c>
      <c r="C2763" t="inlineStr">
        <is>
          <t xml:space="preserve">INF090I01FK3</t>
        </is>
      </c>
    </row>
    <row r="2764">
      <c r="A2764" t="inlineStr">
        <is>
          <t xml:space="preserve">Franklin Templeton Mutual Fund</t>
        </is>
      </c>
      <c r="B2764" t="inlineStr">
        <is>
          <t xml:space="preserve">Franklin India Flexi Cap Fund - Direct - IDCW</t>
        </is>
      </c>
      <c r="C2764" t="inlineStr">
        <is>
          <t xml:space="preserve">INF090I01FL1</t>
        </is>
      </c>
    </row>
    <row r="2765">
      <c r="A2765" t="inlineStr">
        <is>
          <t xml:space="preserve">Franklin Templeton Mutual Fund</t>
        </is>
      </c>
      <c r="B2765" t="inlineStr">
        <is>
          <t xml:space="preserve">Franklin India Flexi Cap Fund - Growth</t>
        </is>
      </c>
      <c r="C2765" t="inlineStr">
        <is>
          <t xml:space="preserve">INF090I01239</t>
        </is>
      </c>
    </row>
    <row r="2766">
      <c r="A2766" t="inlineStr">
        <is>
          <t xml:space="preserve">Franklin Templeton Mutual Fund</t>
        </is>
      </c>
      <c r="B2766" t="inlineStr">
        <is>
          <t xml:space="preserve">Franklin India Flexi Cap Fund - IDCW</t>
        </is>
      </c>
      <c r="C2766" t="inlineStr">
        <is>
          <t xml:space="preserve">INF090I01213</t>
        </is>
      </c>
    </row>
    <row r="2767">
      <c r="A2767" t="inlineStr">
        <is>
          <t xml:space="preserve">Franklin Templeton Mutual Fund</t>
        </is>
      </c>
      <c r="B2767" t="inlineStr">
        <is>
          <t xml:space="preserve">Franklin India Floating Rate Fund - Direct - Growth</t>
        </is>
      </c>
      <c r="C2767" t="inlineStr">
        <is>
          <t xml:space="preserve">INF090I01LK1</t>
        </is>
      </c>
    </row>
    <row r="2768">
      <c r="A2768" t="inlineStr">
        <is>
          <t xml:space="preserve">Franklin Templeton Mutual Fund</t>
        </is>
      </c>
      <c r="B2768" t="inlineStr">
        <is>
          <t xml:space="preserve">Franklin India Floating Rate Fund - Direct - IDCW</t>
        </is>
      </c>
      <c r="C2768" t="inlineStr">
        <is>
          <t xml:space="preserve">INF090I01LL9</t>
        </is>
      </c>
    </row>
    <row r="2769">
      <c r="A2769" t="inlineStr">
        <is>
          <t xml:space="preserve">Franklin Templeton Mutual Fund</t>
        </is>
      </c>
      <c r="B2769" t="inlineStr">
        <is>
          <t xml:space="preserve">Franklin India Floating Rate Fund - Growth Plan</t>
        </is>
      </c>
      <c r="C2769" t="inlineStr">
        <is>
          <t xml:space="preserve">INF090I01LM7</t>
        </is>
      </c>
    </row>
    <row r="2770">
      <c r="A2770" t="inlineStr">
        <is>
          <t xml:space="preserve">Franklin Templeton Mutual Fund</t>
        </is>
      </c>
      <c r="B2770" t="inlineStr">
        <is>
          <t xml:space="preserve">Franklin India Floating Rate Fund - IDCW</t>
        </is>
      </c>
      <c r="C2770" t="inlineStr">
        <is>
          <t xml:space="preserve">INF090I01LN5</t>
        </is>
      </c>
    </row>
    <row r="2771">
      <c r="A2771" t="inlineStr">
        <is>
          <t xml:space="preserve">Franklin Templeton Mutual Fund</t>
        </is>
      </c>
      <c r="B2771" t="inlineStr">
        <is>
          <t xml:space="preserve">Franklin India Focused Equity Fund - Direct - Growth</t>
        </is>
      </c>
      <c r="C2771" t="inlineStr">
        <is>
          <t xml:space="preserve">INF090I01IW2</t>
        </is>
      </c>
    </row>
    <row r="2772">
      <c r="A2772" t="inlineStr">
        <is>
          <t xml:space="preserve">Franklin Templeton Mutual Fund</t>
        </is>
      </c>
      <c r="B2772" t="inlineStr">
        <is>
          <t xml:space="preserve">Franklin India Focused Equity Fund - Direct - IDCW</t>
        </is>
      </c>
      <c r="C2772" t="inlineStr">
        <is>
          <t xml:space="preserve">INF090I01IU6</t>
        </is>
      </c>
    </row>
    <row r="2773">
      <c r="A2773" t="inlineStr">
        <is>
          <t xml:space="preserve">Franklin Templeton Mutual Fund</t>
        </is>
      </c>
      <c r="B2773" t="inlineStr">
        <is>
          <t xml:space="preserve">Franklin India Focused Equity Fund - Growth Plan</t>
        </is>
      </c>
      <c r="C2773" t="inlineStr">
        <is>
          <t xml:space="preserve">INF090I01981</t>
        </is>
      </c>
    </row>
    <row r="2774">
      <c r="A2774" t="inlineStr">
        <is>
          <t xml:space="preserve">Franklin Templeton Mutual Fund</t>
        </is>
      </c>
      <c r="B2774" t="inlineStr">
        <is>
          <t xml:space="preserve">Franklin India Focused Equity Fund - IDCW</t>
        </is>
      </c>
      <c r="C2774" t="inlineStr">
        <is>
          <t xml:space="preserve">INF090I01965</t>
        </is>
      </c>
    </row>
    <row r="2775">
      <c r="A2775" t="inlineStr">
        <is>
          <t xml:space="preserve">Franklin Templeton Mutual Fund</t>
        </is>
      </c>
      <c r="B2775" t="inlineStr">
        <is>
          <t xml:space="preserve">Franklin India Government Securities Fund - Direct - Growth</t>
        </is>
      </c>
      <c r="C2775" t="inlineStr">
        <is>
          <t xml:space="preserve">INF090I01HS2</t>
        </is>
      </c>
    </row>
    <row r="2776">
      <c r="A2776" t="inlineStr">
        <is>
          <t xml:space="preserve">Franklin Templeton Mutual Fund</t>
        </is>
      </c>
      <c r="B2776" t="inlineStr">
        <is>
          <t xml:space="preserve">Franklin India Government Securities Fund - Direct - IDCW</t>
        </is>
      </c>
      <c r="C2776" t="inlineStr">
        <is>
          <t xml:space="preserve">INF090I01HQ6</t>
        </is>
      </c>
    </row>
    <row r="2777">
      <c r="A2777" t="inlineStr">
        <is>
          <t xml:space="preserve">Franklin Templeton Mutual Fund</t>
        </is>
      </c>
      <c r="B2777" t="inlineStr">
        <is>
          <t xml:space="preserve">Franklin India Government Securities Fund - Growth</t>
        </is>
      </c>
      <c r="C2777" t="inlineStr">
        <is>
          <t xml:space="preserve">INF090I01CU9</t>
        </is>
      </c>
    </row>
    <row r="2778">
      <c r="A2778" t="inlineStr">
        <is>
          <t xml:space="preserve">Franklin Templeton Mutual Fund</t>
        </is>
      </c>
      <c r="B2778" t="inlineStr">
        <is>
          <t xml:space="preserve">Franklin India Government Securities Fund - IDCW</t>
        </is>
      </c>
      <c r="C2778" t="inlineStr">
        <is>
          <t xml:space="preserve">INF090I01CS3</t>
        </is>
      </c>
    </row>
    <row r="2779">
      <c r="A2779" t="inlineStr">
        <is>
          <t xml:space="preserve">Franklin Templeton Mutual Fund</t>
        </is>
      </c>
      <c r="B2779" t="inlineStr">
        <is>
          <t xml:space="preserve">Franklin India Income Opportunities Fund - Direct - Growth</t>
        </is>
      </c>
      <c r="C2779" t="inlineStr">
        <is>
          <t xml:space="preserve">INF090I01JI9</t>
        </is>
      </c>
    </row>
    <row r="2780">
      <c r="A2780" t="inlineStr">
        <is>
          <t xml:space="preserve">Franklin Templeton Mutual Fund</t>
        </is>
      </c>
      <c r="B2780" t="inlineStr">
        <is>
          <t xml:space="preserve">Franklin India Income Opportunities Fund - Direct - IDCW</t>
        </is>
      </c>
      <c r="C2780" t="inlineStr">
        <is>
          <t xml:space="preserve">INF090I01JG3</t>
        </is>
      </c>
    </row>
    <row r="2781">
      <c r="A2781" t="inlineStr">
        <is>
          <t xml:space="preserve">Franklin Templeton Mutual Fund</t>
        </is>
      </c>
      <c r="B2781" t="inlineStr">
        <is>
          <t xml:space="preserve">Franklin India Income Opportunities Fund - Growth</t>
        </is>
      </c>
      <c r="C2781" t="inlineStr">
        <is>
          <t xml:space="preserve">INF090I01445</t>
        </is>
      </c>
    </row>
    <row r="2782">
      <c r="A2782" t="inlineStr">
        <is>
          <t xml:space="preserve">Franklin Templeton Mutual Fund</t>
        </is>
      </c>
      <c r="B2782" t="inlineStr">
        <is>
          <t xml:space="preserve">Franklin India Income Opportunities Fund - IDCW</t>
        </is>
      </c>
      <c r="C2782" t="inlineStr">
        <is>
          <t xml:space="preserve">INF090I01452</t>
        </is>
      </c>
    </row>
    <row r="2783">
      <c r="A2783" t="inlineStr">
        <is>
          <t xml:space="preserve">Franklin Templeton Mutual Fund</t>
        </is>
      </c>
      <c r="B2783" t="inlineStr">
        <is>
          <t xml:space="preserve">Franklin India Income Opportunities Fund- Segregated Portfolio 1- 8.25% Vodafone Idea Ltd-10JUL20-Direct Dividend Plan</t>
        </is>
      </c>
      <c r="C2783" t="inlineStr">
        <is>
          <t xml:space="preserve">INF090I01TC1</t>
        </is>
      </c>
    </row>
    <row r="2784">
      <c r="A2784" t="inlineStr">
        <is>
          <t xml:space="preserve">Franklin Templeton Mutual Fund</t>
        </is>
      </c>
      <c r="B2784" t="inlineStr">
        <is>
          <t xml:space="preserve">Franklin India Income Opportunities Fund- Segregated Portfolio 1- 8.25% Vodafone Idea Ltd-10JUL20-Direct Growth Plan</t>
        </is>
      </c>
      <c r="C2784" t="inlineStr">
        <is>
          <t xml:space="preserve">INF090I01TD9</t>
        </is>
      </c>
    </row>
    <row r="2785">
      <c r="A2785" t="inlineStr">
        <is>
          <t xml:space="preserve">Franklin Templeton Mutual Fund</t>
        </is>
      </c>
      <c r="B2785" t="inlineStr">
        <is>
          <t xml:space="preserve">Franklin India Income Opportunities Fund- Segregated Portfolio 1- 8.25% Vodafone Idea Ltd-10JUL20-Dividend Plan</t>
        </is>
      </c>
      <c r="C2785" t="inlineStr">
        <is>
          <t xml:space="preserve">INF090I01TA5</t>
        </is>
      </c>
    </row>
    <row r="2786">
      <c r="A2786" t="inlineStr">
        <is>
          <t xml:space="preserve">Franklin Templeton Mutual Fund</t>
        </is>
      </c>
      <c r="B2786" t="inlineStr">
        <is>
          <t xml:space="preserve">Franklin India Income Opportunities Fund- Segregated Portfolio 1- 8.25% Vodafone Idea Ltd-10JUL20-Growth Plan</t>
        </is>
      </c>
      <c r="C2786" t="inlineStr">
        <is>
          <t xml:space="preserve">INF090I01TB3</t>
        </is>
      </c>
    </row>
    <row r="2787">
      <c r="A2787" t="inlineStr">
        <is>
          <t xml:space="preserve">Franklin Templeton Mutual Fund</t>
        </is>
      </c>
      <c r="B2787" t="inlineStr">
        <is>
          <t xml:space="preserve">Franklin India Income Opportunities Fund- Segregated Portfolio 2 - 10.90% Vodafone Idea Ltd (02-Sep-2023) - Direct IDCW</t>
        </is>
      </c>
      <c r="C2787" t="inlineStr">
        <is>
          <t xml:space="preserve">INF090I01TG2</t>
        </is>
      </c>
    </row>
    <row r="2788">
      <c r="A2788" t="inlineStr">
        <is>
          <t xml:space="preserve">Franklin Templeton Mutual Fund</t>
        </is>
      </c>
      <c r="B2788" t="inlineStr">
        <is>
          <t xml:space="preserve">Franklin India Income Opportunities Fund- Segregated Portfolio 2 - 10.90% Vodafone Idea Ltd (02-Sep-2023) - IDCW</t>
        </is>
      </c>
      <c r="C2788" t="inlineStr">
        <is>
          <t xml:space="preserve">INF090I01TE7</t>
        </is>
      </c>
    </row>
    <row r="2789">
      <c r="A2789" t="inlineStr">
        <is>
          <t xml:space="preserve">Franklin Templeton Mutual Fund</t>
        </is>
      </c>
      <c r="B2789" t="inlineStr">
        <is>
          <t xml:space="preserve">Franklin India Income Opportunities Fund- Segregated Portfolio 2- 10.90% Vodafone Idea Ltd 02Sep2023-Direct Growth Plan</t>
        </is>
      </c>
      <c r="C2789" t="inlineStr">
        <is>
          <t xml:space="preserve">INF090I01TH0</t>
        </is>
      </c>
    </row>
    <row r="2790">
      <c r="A2790" t="inlineStr">
        <is>
          <t xml:space="preserve">Franklin Templeton Mutual Fund</t>
        </is>
      </c>
      <c r="B2790" t="inlineStr">
        <is>
          <t xml:space="preserve">Franklin India Income Opportunities Fund- Segregated Portfolio 2- 10.90% Vodafone Idea Ltd 02Sep2023-Growth Plan</t>
        </is>
      </c>
      <c r="C2790" t="inlineStr">
        <is>
          <t xml:space="preserve">INF090I01TF4</t>
        </is>
      </c>
    </row>
    <row r="2791">
      <c r="A2791" t="inlineStr">
        <is>
          <t xml:space="preserve">Franklin Templeton Mutual Fund</t>
        </is>
      </c>
      <c r="B2791" t="inlineStr">
        <is>
          <t xml:space="preserve">Franklin India Income Plus Arbitrage Active Fund of Funds - Direct - IDCW</t>
        </is>
      </c>
      <c r="C2791" t="inlineStr">
        <is>
          <t xml:space="preserve">INF090I01LI5</t>
        </is>
      </c>
    </row>
    <row r="2792">
      <c r="A2792" t="inlineStr">
        <is>
          <t xml:space="preserve">Franklin Templeton Mutual Fund</t>
        </is>
      </c>
      <c r="B2792" t="inlineStr">
        <is>
          <t xml:space="preserve">Franklin India Income Plus Arbitrage Active Fund of Funds- Growth Plan</t>
        </is>
      </c>
      <c r="C2792" t="inlineStr">
        <is>
          <t xml:space="preserve">INF090I01LE4</t>
        </is>
      </c>
    </row>
    <row r="2793">
      <c r="A2793" t="inlineStr">
        <is>
          <t xml:space="preserve">Franklin Templeton Mutual Fund</t>
        </is>
      </c>
      <c r="B2793" t="inlineStr">
        <is>
          <t xml:space="preserve">Franklin India Income Plus Arbitrage Active Fund of Funds- Growth Plan - Direct</t>
        </is>
      </c>
      <c r="C2793" t="inlineStr">
        <is>
          <t xml:space="preserve">INF090I01LH7</t>
        </is>
      </c>
    </row>
    <row r="2794">
      <c r="A2794" t="inlineStr">
        <is>
          <t xml:space="preserve">Franklin Templeton Mutual Fund</t>
        </is>
      </c>
      <c r="B2794" t="inlineStr">
        <is>
          <t xml:space="preserve">Franklin India Income Plus Arbitrage Active Fund of Funds- IDCW</t>
        </is>
      </c>
      <c r="C2794" t="inlineStr">
        <is>
          <t xml:space="preserve">INF090I01LF1</t>
        </is>
      </c>
    </row>
    <row r="2795">
      <c r="A2795" t="inlineStr">
        <is>
          <t xml:space="preserve">Franklin Templeton Mutual Fund</t>
        </is>
      </c>
      <c r="B2795" t="inlineStr">
        <is>
          <t xml:space="preserve">Franklin India INDEX FUND- NSE Nifty 50 Index Fund - Direct - IDCW</t>
        </is>
      </c>
      <c r="C2795" t="inlineStr">
        <is>
          <t xml:space="preserve">INF090I01GQ8</t>
        </is>
      </c>
    </row>
    <row r="2796">
      <c r="A2796" t="inlineStr">
        <is>
          <t xml:space="preserve">Franklin Templeton Mutual Fund</t>
        </is>
      </c>
      <c r="B2796" t="inlineStr">
        <is>
          <t xml:space="preserve">Franklin India Index Fund- NSE Nifty 50 Index Fund - Growth</t>
        </is>
      </c>
      <c r="C2796" t="inlineStr">
        <is>
          <t xml:space="preserve">INF090I01890</t>
        </is>
      </c>
    </row>
    <row r="2797">
      <c r="A2797" t="inlineStr">
        <is>
          <t xml:space="preserve">Franklin Templeton Mutual Fund</t>
        </is>
      </c>
      <c r="B2797" t="inlineStr">
        <is>
          <t xml:space="preserve">Franklin India INDEX FUND- NSE NIFTY 50 INDEX FUND - IDCW</t>
        </is>
      </c>
      <c r="C2797" t="inlineStr">
        <is>
          <t xml:space="preserve">INF090I01874</t>
        </is>
      </c>
    </row>
    <row r="2798">
      <c r="A2798" t="inlineStr">
        <is>
          <t xml:space="preserve">Franklin Templeton Mutual Fund</t>
        </is>
      </c>
      <c r="B2798" t="inlineStr">
        <is>
          <t xml:space="preserve">Franklin India INDEX FUND- NSE NIFTY 50 INDEX FUND- Direct - Growth</t>
        </is>
      </c>
      <c r="C2798" t="inlineStr">
        <is>
          <t xml:space="preserve">INF090I01GS4</t>
        </is>
      </c>
    </row>
    <row r="2799">
      <c r="A2799" t="inlineStr">
        <is>
          <t xml:space="preserve">Franklin Templeton Mutual Fund</t>
        </is>
      </c>
      <c r="B2799" t="inlineStr">
        <is>
          <t xml:space="preserve">Franklin India Large &amp; Mid Cap Fund - Direct - Growth</t>
        </is>
      </c>
      <c r="C2799" t="inlineStr">
        <is>
          <t xml:space="preserve">INF090I01IN1</t>
        </is>
      </c>
    </row>
    <row r="2800">
      <c r="A2800" t="inlineStr">
        <is>
          <t xml:space="preserve">Franklin Templeton Mutual Fund</t>
        </is>
      </c>
      <c r="B2800" t="inlineStr">
        <is>
          <t xml:space="preserve">Franklin India Large &amp; Mid cap Fund - Direct - IDCW</t>
        </is>
      </c>
      <c r="C2800" t="inlineStr">
        <is>
          <t xml:space="preserve">INF090I01IL5</t>
        </is>
      </c>
    </row>
    <row r="2801">
      <c r="A2801" t="inlineStr">
        <is>
          <t xml:space="preserve">Franklin Templeton Mutual Fund</t>
        </is>
      </c>
      <c r="B2801" t="inlineStr">
        <is>
          <t xml:space="preserve">Franklin India Large &amp; Mid Cap Fund - Growth Plan</t>
        </is>
      </c>
      <c r="C2801" t="inlineStr">
        <is>
          <t xml:space="preserve">INF090I01205</t>
        </is>
      </c>
    </row>
    <row r="2802">
      <c r="A2802" t="inlineStr">
        <is>
          <t xml:space="preserve">Franklin Templeton Mutual Fund</t>
        </is>
      </c>
      <c r="B2802" t="inlineStr">
        <is>
          <t xml:space="preserve">Franklin India Large &amp; Mid Cap Fund - IDCW</t>
        </is>
      </c>
      <c r="C2802" t="inlineStr">
        <is>
          <t xml:space="preserve">INF090I01189</t>
        </is>
      </c>
    </row>
    <row r="2803">
      <c r="A2803" t="inlineStr">
        <is>
          <t xml:space="preserve">Franklin Templeton Mutual Fund</t>
        </is>
      </c>
      <c r="B2803" t="inlineStr">
        <is>
          <t xml:space="preserve">Franklin India Large Cap Fund - Direct - IDCW</t>
        </is>
      </c>
      <c r="C2803" t="inlineStr">
        <is>
          <t xml:space="preserve">INF090I01FO5</t>
        </is>
      </c>
    </row>
    <row r="2804">
      <c r="A2804" t="inlineStr">
        <is>
          <t xml:space="preserve">Franklin Templeton Mutual Fund</t>
        </is>
      </c>
      <c r="B2804" t="inlineStr">
        <is>
          <t xml:space="preserve">Franklin India Large Cap Fund - IDCW</t>
        </is>
      </c>
      <c r="C2804" t="inlineStr">
        <is>
          <t xml:space="preserve">INF090I01155</t>
        </is>
      </c>
    </row>
    <row r="2805">
      <c r="A2805" t="inlineStr">
        <is>
          <t xml:space="preserve">Franklin Templeton Mutual Fund</t>
        </is>
      </c>
      <c r="B2805" t="inlineStr">
        <is>
          <t xml:space="preserve">Franklin India Large Cap Fund- Direct - Growth</t>
        </is>
      </c>
      <c r="C2805" t="inlineStr">
        <is>
          <t xml:space="preserve">INF090I01FN7</t>
        </is>
      </c>
    </row>
    <row r="2806">
      <c r="A2806" t="inlineStr">
        <is>
          <t xml:space="preserve">Franklin Templeton Mutual Fund</t>
        </is>
      </c>
      <c r="B2806" t="inlineStr">
        <is>
          <t xml:space="preserve">Franklin India Large Cap Fund-Growth</t>
        </is>
      </c>
      <c r="C2806" t="inlineStr">
        <is>
          <t xml:space="preserve">INF090I01171</t>
        </is>
      </c>
    </row>
    <row r="2807">
      <c r="A2807" t="inlineStr">
        <is>
          <t xml:space="preserve">Franklin Templeton Mutual Fund</t>
        </is>
      </c>
      <c r="B2807" t="inlineStr">
        <is>
          <t xml:space="preserve">Franklin India Liquid Fund - Institution-Growth</t>
        </is>
      </c>
      <c r="C2807" t="inlineStr">
        <is>
          <t xml:space="preserve">INF090I01BD7</t>
        </is>
      </c>
    </row>
    <row r="2808">
      <c r="A2808" t="inlineStr">
        <is>
          <t xml:space="preserve">Franklin Templeton Mutual Fund</t>
        </is>
      </c>
      <c r="B2808" t="inlineStr">
        <is>
          <t xml:space="preserve">Franklin India Liquid Fund - Institutional Plan - Daily - IDCW</t>
        </is>
      </c>
      <c r="C2808" t="inlineStr">
        <is>
          <t xml:space="preserve">INF090I01BC9</t>
        </is>
      </c>
    </row>
    <row r="2809">
      <c r="A2809" t="inlineStr">
        <is>
          <t xml:space="preserve">Franklin Templeton Mutual Fund</t>
        </is>
      </c>
      <c r="B2809" t="inlineStr">
        <is>
          <t xml:space="preserve">Franklin India Liquid Fund - Institutional Plan - Weekly - IDCW</t>
        </is>
      </c>
      <c r="C2809" t="inlineStr">
        <is>
          <t xml:space="preserve">INF090I01BJ4</t>
        </is>
      </c>
    </row>
    <row r="2810">
      <c r="A2810" t="inlineStr">
        <is>
          <t xml:space="preserve">Franklin Templeton Mutual Fund</t>
        </is>
      </c>
      <c r="B2810" t="inlineStr">
        <is>
          <t xml:space="preserve">Franklin India Liquid Fund - Regular Plan - Daily - IDCW</t>
        </is>
      </c>
      <c r="C2810" t="inlineStr">
        <is>
          <t xml:space="preserve">INF090I01BA3</t>
        </is>
      </c>
    </row>
    <row r="2811">
      <c r="A2811" t="inlineStr">
        <is>
          <t xml:space="preserve">Franklin Templeton Mutual Fund</t>
        </is>
      </c>
      <c r="B2811" t="inlineStr">
        <is>
          <t xml:space="preserve">Franklin India Liquid Fund - Regular Plan - Growth</t>
        </is>
      </c>
      <c r="C2811" t="inlineStr">
        <is>
          <t xml:space="preserve">INF090I01BB1</t>
        </is>
      </c>
    </row>
    <row r="2812">
      <c r="A2812" t="inlineStr">
        <is>
          <t xml:space="preserve">Franklin Templeton Mutual Fund</t>
        </is>
      </c>
      <c r="B2812" t="inlineStr">
        <is>
          <t xml:space="preserve">Franklin India Liquid Fund - Regular Plan - Weekly - IDCW</t>
        </is>
      </c>
      <c r="C2812" t="inlineStr">
        <is>
          <t xml:space="preserve">INF090I01BL0</t>
        </is>
      </c>
    </row>
    <row r="2813">
      <c r="A2813" t="inlineStr">
        <is>
          <t xml:space="preserve">Franklin Templeton Mutual Fund</t>
        </is>
      </c>
      <c r="B2813" t="inlineStr">
        <is>
          <t xml:space="preserve">Franklin India Liquid Fund - Super Institutional - Direct - Growth</t>
        </is>
      </c>
      <c r="C2813" t="inlineStr">
        <is>
          <t xml:space="preserve">INF090I01JV2</t>
        </is>
      </c>
    </row>
    <row r="2814">
      <c r="A2814" t="inlineStr">
        <is>
          <t xml:space="preserve">Franklin Templeton Mutual Fund</t>
        </is>
      </c>
      <c r="B2814" t="inlineStr">
        <is>
          <t xml:space="preserve">Franklin India Liquid Fund - Super Institutional Plan - Daily - IDCW</t>
        </is>
      </c>
      <c r="C2814" t="inlineStr">
        <is>
          <t xml:space="preserve">INF090I01BF2</t>
        </is>
      </c>
    </row>
    <row r="2815">
      <c r="A2815" t="inlineStr">
        <is>
          <t xml:space="preserve">Franklin Templeton Mutual Fund</t>
        </is>
      </c>
      <c r="B2815" t="inlineStr">
        <is>
          <t xml:space="preserve">Franklin India Liquid Fund - Super Institutional Plan - Direct - Daily - IDCW</t>
        </is>
      </c>
      <c r="C2815" t="inlineStr">
        <is>
          <t xml:space="preserve">INF090I01JW0</t>
        </is>
      </c>
    </row>
    <row r="2816">
      <c r="A2816" t="inlineStr">
        <is>
          <t xml:space="preserve">Franklin Templeton Mutual Fund</t>
        </is>
      </c>
      <c r="B2816" t="inlineStr">
        <is>
          <t xml:space="preserve">Franklin India Liquid Fund - Super Institutional Plan - Direct - Weekly - IDCW</t>
        </is>
      </c>
      <c r="C2816" t="inlineStr">
        <is>
          <t xml:space="preserve">INF090I01JX8</t>
        </is>
      </c>
    </row>
    <row r="2817">
      <c r="A2817" t="inlineStr">
        <is>
          <t xml:space="preserve">Franklin Templeton Mutual Fund</t>
        </is>
      </c>
      <c r="B2817" t="inlineStr">
        <is>
          <t xml:space="preserve">Franklin India Liquid Fund - Super Institutional Plan - Growth</t>
        </is>
      </c>
      <c r="C2817" t="inlineStr">
        <is>
          <t xml:space="preserve">INF090I01BG0</t>
        </is>
      </c>
    </row>
    <row r="2818">
      <c r="A2818" t="inlineStr">
        <is>
          <t xml:space="preserve">Franklin Templeton Mutual Fund</t>
        </is>
      </c>
      <c r="B2818" t="inlineStr">
        <is>
          <t xml:space="preserve">Franklin India Liquid Fund - Super Institutional Plan - Weekly - IDCW</t>
        </is>
      </c>
      <c r="C2818" t="inlineStr">
        <is>
          <t xml:space="preserve">INF090I01BM8</t>
        </is>
      </c>
    </row>
    <row r="2819">
      <c r="A2819" t="inlineStr">
        <is>
          <t xml:space="preserve">Franklin Templeton Mutual Fund</t>
        </is>
      </c>
      <c r="B2819" t="inlineStr">
        <is>
          <t xml:space="preserve">Franklin India Liquid Fund - Unclaimed IDCW Investor Education Plan - Growth</t>
        </is>
      </c>
      <c r="C2819" t="inlineStr">
        <is>
          <t xml:space="preserve">INF090I01LR6</t>
        </is>
      </c>
    </row>
    <row r="2820">
      <c r="A2820" t="inlineStr">
        <is>
          <t xml:space="preserve">Franklin Templeton Mutual Fund</t>
        </is>
      </c>
      <c r="B2820" t="inlineStr">
        <is>
          <t xml:space="preserve">Franklin India Liquid Fund - Unclaimed IDCW Plan - Growth</t>
        </is>
      </c>
      <c r="C2820" t="inlineStr">
        <is>
          <t xml:space="preserve">INF090I01LP0</t>
        </is>
      </c>
    </row>
    <row r="2821">
      <c r="A2821" t="inlineStr">
        <is>
          <t xml:space="preserve">Franklin Templeton Mutual Fund</t>
        </is>
      </c>
      <c r="B2821" t="inlineStr">
        <is>
          <t xml:space="preserve">Franklin India Liquid Fund - Unclaimed Redemption Investor Education Plan - Growth</t>
        </is>
      </c>
      <c r="C2821" t="inlineStr">
        <is>
          <t xml:space="preserve">INF090I01LQ8</t>
        </is>
      </c>
    </row>
    <row r="2822">
      <c r="A2822" t="inlineStr">
        <is>
          <t xml:space="preserve">Franklin Templeton Mutual Fund</t>
        </is>
      </c>
      <c r="B2822" t="inlineStr">
        <is>
          <t xml:space="preserve">Franklin India Liquid Fund - Unclaimed Redemption Plan - Growth</t>
        </is>
      </c>
      <c r="C2822" t="inlineStr">
        <is>
          <t xml:space="preserve">INF090I01LO3</t>
        </is>
      </c>
    </row>
    <row r="2823">
      <c r="A2823" t="inlineStr">
        <is>
          <t xml:space="preserve">Franklin Templeton Mutual Fund</t>
        </is>
      </c>
      <c r="B2823" t="inlineStr">
        <is>
          <t xml:space="preserve">Franklin India Long Duration Fund - Direct - Growth</t>
        </is>
      </c>
      <c r="C2823" t="inlineStr">
        <is>
          <t xml:space="preserve">INF090I01XY7</t>
        </is>
      </c>
    </row>
    <row r="2824">
      <c r="A2824" t="inlineStr">
        <is>
          <t xml:space="preserve">Franklin Templeton Mutual Fund</t>
        </is>
      </c>
      <c r="B2824" t="inlineStr">
        <is>
          <t xml:space="preserve">Franklin India Long Duration Fund - Direct - IDCW</t>
        </is>
      </c>
      <c r="C2824" t="inlineStr">
        <is>
          <t xml:space="preserve">INF090I01YA5</t>
        </is>
      </c>
    </row>
    <row r="2825">
      <c r="A2825" t="inlineStr">
        <is>
          <t xml:space="preserve">Franklin Templeton Mutual Fund</t>
        </is>
      </c>
      <c r="B2825" t="inlineStr">
        <is>
          <t xml:space="preserve">Franklin India Long Duration Fund - Growth</t>
        </is>
      </c>
      <c r="C2825" t="inlineStr">
        <is>
          <t xml:space="preserve">INF090I01XV3</t>
        </is>
      </c>
    </row>
    <row r="2826">
      <c r="A2826" t="inlineStr">
        <is>
          <t xml:space="preserve">Franklin Templeton Mutual Fund</t>
        </is>
      </c>
      <c r="B2826" t="inlineStr">
        <is>
          <t xml:space="preserve">Franklin India Long Duration Fund - IDCW</t>
        </is>
      </c>
      <c r="C2826" t="inlineStr">
        <is>
          <t xml:space="preserve">INF090I01XX9</t>
        </is>
      </c>
    </row>
    <row r="2827">
      <c r="A2827" t="inlineStr">
        <is>
          <t xml:space="preserve">Franklin Templeton Mutual Fund</t>
        </is>
      </c>
      <c r="B2827" t="inlineStr">
        <is>
          <t xml:space="preserve">Franklin India Low Duration Fund - Direct - Growth</t>
        </is>
      </c>
      <c r="C2827" t="inlineStr">
        <is>
          <t xml:space="preserve">INF090I01HG7</t>
        </is>
      </c>
    </row>
    <row r="2828">
      <c r="A2828" t="inlineStr">
        <is>
          <t xml:space="preserve">Franklin Templeton Mutual Fund</t>
        </is>
      </c>
      <c r="B2828" t="inlineStr">
        <is>
          <t xml:space="preserve">Franklin India Low Duration Fund - Direct - Monthly - IDCW</t>
        </is>
      </c>
      <c r="C2828" t="inlineStr">
        <is>
          <t xml:space="preserve">INF090I01HC6</t>
        </is>
      </c>
    </row>
    <row r="2829">
      <c r="A2829" t="inlineStr">
        <is>
          <t xml:space="preserve">Franklin Templeton Mutual Fund</t>
        </is>
      </c>
      <c r="B2829" t="inlineStr">
        <is>
          <t xml:space="preserve">Franklin India Low Duration Fund - Direct - Quarterly - IDCW</t>
        </is>
      </c>
      <c r="C2829" t="inlineStr">
        <is>
          <t xml:space="preserve">INF090I01HE2</t>
        </is>
      </c>
    </row>
    <row r="2830">
      <c r="A2830" t="inlineStr">
        <is>
          <t xml:space="preserve">Franklin Templeton Mutual Fund</t>
        </is>
      </c>
      <c r="B2830" t="inlineStr">
        <is>
          <t xml:space="preserve">Franklin India Low Duration Fund - Growth Plan</t>
        </is>
      </c>
      <c r="C2830" t="inlineStr">
        <is>
          <t xml:space="preserve">INF090I01BU1</t>
        </is>
      </c>
    </row>
    <row r="2831">
      <c r="A2831" t="inlineStr">
        <is>
          <t xml:space="preserve">Franklin Templeton Mutual Fund</t>
        </is>
      </c>
      <c r="B2831" t="inlineStr">
        <is>
          <t xml:space="preserve">Franklin India Low Duration Fund - Monthly - IDCW</t>
        </is>
      </c>
      <c r="C2831" t="inlineStr">
        <is>
          <t xml:space="preserve">INF090I01BQ9</t>
        </is>
      </c>
    </row>
    <row r="2832">
      <c r="A2832" t="inlineStr">
        <is>
          <t xml:space="preserve">Franklin Templeton Mutual Fund</t>
        </is>
      </c>
      <c r="B2832" t="inlineStr">
        <is>
          <t xml:space="preserve">Franklin India Low Duration Fund - Quarterly - IDCW</t>
        </is>
      </c>
      <c r="C2832" t="inlineStr">
        <is>
          <t xml:space="preserve">INF090I01BS5</t>
        </is>
      </c>
    </row>
    <row r="2833">
      <c r="A2833" t="inlineStr">
        <is>
          <t xml:space="preserve">Franklin Templeton Mutual Fund</t>
        </is>
      </c>
      <c r="B2833" t="inlineStr">
        <is>
          <t xml:space="preserve">Franklin India Low Duration Fund- Segregated Portfolio 1- 8.25% Vodafone Idea Ltd-10JUL20-Direct- Quarterly Dividend Plan</t>
        </is>
      </c>
      <c r="C2833" t="inlineStr">
        <is>
          <t xml:space="preserve">INF090I01UC9</t>
        </is>
      </c>
    </row>
    <row r="2834">
      <c r="A2834" t="inlineStr">
        <is>
          <t xml:space="preserve">Franklin Templeton Mutual Fund</t>
        </is>
      </c>
      <c r="B2834" t="inlineStr">
        <is>
          <t xml:space="preserve">Franklin India Low Duration Fund- Segregated Portfolio 1- 8.25% Vodafone Idea Ltd-10JUL20-Direct-Growth Plan</t>
        </is>
      </c>
      <c r="C2834" t="inlineStr">
        <is>
          <t xml:space="preserve">INF090I01UD7</t>
        </is>
      </c>
    </row>
    <row r="2835">
      <c r="A2835" t="inlineStr">
        <is>
          <t xml:space="preserve">Franklin Templeton Mutual Fund</t>
        </is>
      </c>
      <c r="B2835" t="inlineStr">
        <is>
          <t xml:space="preserve">Franklin India Low Duration Fund- Segregated Portfolio 1- 8.25% Vodafone Idea Ltd-10JUL20-Direct-Monthly Dividend Plan</t>
        </is>
      </c>
      <c r="C2835" t="inlineStr">
        <is>
          <t xml:space="preserve">INF090I01UB1</t>
        </is>
      </c>
    </row>
    <row r="2836">
      <c r="A2836" t="inlineStr">
        <is>
          <t xml:space="preserve">Franklin Templeton Mutual Fund</t>
        </is>
      </c>
      <c r="B2836" t="inlineStr">
        <is>
          <t xml:space="preserve">Franklin India Low Duration Fund- Segregated Portfolio 1- 8.25% Vodafone Idea Ltd-10JUL20-Growth Plan</t>
        </is>
      </c>
      <c r="C2836" t="inlineStr">
        <is>
          <t xml:space="preserve">INF090I01UA3</t>
        </is>
      </c>
    </row>
    <row r="2837">
      <c r="A2837" t="inlineStr">
        <is>
          <t xml:space="preserve">Franklin Templeton Mutual Fund</t>
        </is>
      </c>
      <c r="B2837" t="inlineStr">
        <is>
          <t xml:space="preserve">Franklin India Low Duration Fund- Segregated Portfolio 1- 8.25% Vodafone Idea Ltd-10JUL20-Monthly Dividend Plan</t>
        </is>
      </c>
      <c r="C2837" t="inlineStr">
        <is>
          <t xml:space="preserve">INF090I01TY5</t>
        </is>
      </c>
    </row>
    <row r="2838">
      <c r="A2838" t="inlineStr">
        <is>
          <t xml:space="preserve">Franklin Templeton Mutual Fund</t>
        </is>
      </c>
      <c r="B2838" t="inlineStr">
        <is>
          <t xml:space="preserve">Franklin India Low Duration Fund- Segregated Portfolio 1- 8.25% Vodafone Idea Ltd-10JUL20-Quarterly Dividend Plan</t>
        </is>
      </c>
      <c r="C2838" t="inlineStr">
        <is>
          <t xml:space="preserve">INF090I01TZ2</t>
        </is>
      </c>
    </row>
    <row r="2839">
      <c r="A2839" t="inlineStr">
        <is>
          <t xml:space="preserve">Franklin Templeton Mutual Fund</t>
        </is>
      </c>
      <c r="B2839" t="inlineStr">
        <is>
          <t xml:space="preserve">Franklin India Low Duration Fund- Segregated Portfolio 2 - 10.90% Vodafone Idea Ltd (02-Sep-2023) - Monthly - IDCW</t>
        </is>
      </c>
      <c r="C2839" t="inlineStr">
        <is>
          <t xml:space="preserve">INF090I01UE5</t>
        </is>
      </c>
    </row>
    <row r="2840">
      <c r="A2840" t="inlineStr">
        <is>
          <t xml:space="preserve">Franklin Templeton Mutual Fund</t>
        </is>
      </c>
      <c r="B2840" t="inlineStr">
        <is>
          <t xml:space="preserve">Franklin India Low Duration Fund- Segregated Portfolio 2 - 10.90% Vodafone Idea Ltd (02-Sep-2023) - Quarterly - IDCW</t>
        </is>
      </c>
      <c r="C2840" t="inlineStr">
        <is>
          <t xml:space="preserve">INF090I01UF2</t>
        </is>
      </c>
    </row>
    <row r="2841">
      <c r="A2841" t="inlineStr">
        <is>
          <t xml:space="preserve">Franklin Templeton Mutual Fund</t>
        </is>
      </c>
      <c r="B2841" t="inlineStr">
        <is>
          <t xml:space="preserve">Franklin India Low Duration Fund- Segregated Portfolio 2- 10.90% Vodafone Idea Ltd 02Sep2023-Direct- Growth Plan</t>
        </is>
      </c>
      <c r="C2841" t="inlineStr">
        <is>
          <t xml:space="preserve">INF090I01UJ4</t>
        </is>
      </c>
    </row>
    <row r="2842">
      <c r="A2842" t="inlineStr">
        <is>
          <t xml:space="preserve">Franklin Templeton Mutual Fund</t>
        </is>
      </c>
      <c r="B2842" t="inlineStr">
        <is>
          <t xml:space="preserve">Franklin India Low Duration Fund- Segregated Portfolio 2- 10.90% Vodafone Idea Ltd 02Sep2023-Growth Plan</t>
        </is>
      </c>
      <c r="C2842" t="inlineStr">
        <is>
          <t xml:space="preserve">INF090I01UG0</t>
        </is>
      </c>
    </row>
    <row r="2843">
      <c r="A2843" t="inlineStr">
        <is>
          <t xml:space="preserve">Franklin Templeton Mutual Fund</t>
        </is>
      </c>
      <c r="B2843" t="inlineStr">
        <is>
          <t xml:space="preserve">Franklin India Low Duration Fund-Direct- Segregated Portfolio 2 - 10.90% Vodafone Idea Ltd (02-Sep-2023) - Direct Monthly - IDCW</t>
        </is>
      </c>
      <c r="C2843" t="inlineStr">
        <is>
          <t xml:space="preserve">INF090I01UH8</t>
        </is>
      </c>
    </row>
    <row r="2844">
      <c r="A2844" t="inlineStr">
        <is>
          <t xml:space="preserve">Franklin Templeton Mutual Fund</t>
        </is>
      </c>
      <c r="B2844" t="inlineStr">
        <is>
          <t xml:space="preserve">Franklin India Low Duration Fund-Direct- Segregated Portfolio 2 - 10.90% Vodafone Idea Ltd (02-Sep-2023) - Direct Quarterly - IDCW</t>
        </is>
      </c>
      <c r="C2844" t="inlineStr">
        <is>
          <t xml:space="preserve">INF090I01UI6</t>
        </is>
      </c>
    </row>
    <row r="2845">
      <c r="A2845" t="inlineStr">
        <is>
          <t xml:space="preserve">Franklin Templeton Mutual Fund</t>
        </is>
      </c>
      <c r="B2845" t="inlineStr">
        <is>
          <t xml:space="preserve">Franklin India Low Duration Fund-Direct-Growth</t>
        </is>
      </c>
      <c r="C2845" t="inlineStr">
        <is>
          <t xml:space="preserve">INF090I01YE7</t>
        </is>
      </c>
    </row>
    <row r="2846">
      <c r="A2846" t="inlineStr">
        <is>
          <t xml:space="preserve">Franklin Templeton Mutual Fund</t>
        </is>
      </c>
      <c r="B2846" t="inlineStr">
        <is>
          <t xml:space="preserve">Franklin India Low Duration Fund-Direct-IDCW</t>
        </is>
      </c>
      <c r="C2846" t="inlineStr">
        <is>
          <t xml:space="preserve">INF090I01YG2</t>
        </is>
      </c>
    </row>
    <row r="2847">
      <c r="A2847" t="inlineStr">
        <is>
          <t xml:space="preserve">Franklin Templeton Mutual Fund</t>
        </is>
      </c>
      <c r="B2847" t="inlineStr">
        <is>
          <t xml:space="preserve">Franklin India Low Duration Fund-Growth</t>
        </is>
      </c>
      <c r="C2847" t="inlineStr">
        <is>
          <t xml:space="preserve">INF090I01YB3</t>
        </is>
      </c>
    </row>
    <row r="2848">
      <c r="A2848" t="inlineStr">
        <is>
          <t xml:space="preserve">Franklin Templeton Mutual Fund</t>
        </is>
      </c>
      <c r="B2848" t="inlineStr">
        <is>
          <t xml:space="preserve">Franklin India Low Duration Fund-IDCW</t>
        </is>
      </c>
      <c r="C2848" t="inlineStr">
        <is>
          <t xml:space="preserve">INF090I01YD9</t>
        </is>
      </c>
    </row>
    <row r="2849">
      <c r="A2849" t="inlineStr">
        <is>
          <t xml:space="preserve">Franklin Templeton Mutual Fund</t>
        </is>
      </c>
      <c r="B2849" t="inlineStr">
        <is>
          <t xml:space="preserve">Franklin India Medium to Long Duration Fund - Direct - IDCW</t>
        </is>
      </c>
      <c r="C2849" t="inlineStr">
        <is>
          <t xml:space="preserve">INF090I01XH2</t>
        </is>
      </c>
    </row>
    <row r="2850">
      <c r="A2850" t="inlineStr">
        <is>
          <t xml:space="preserve">Franklin Templeton Mutual Fund</t>
        </is>
      </c>
      <c r="B2850" t="inlineStr">
        <is>
          <t xml:space="preserve">Franklin India Medium to Long Duration Fund - Direct Growth</t>
        </is>
      </c>
      <c r="C2850" t="inlineStr">
        <is>
          <t xml:space="preserve">INF090I01XG4</t>
        </is>
      </c>
    </row>
    <row r="2851">
      <c r="A2851" t="inlineStr">
        <is>
          <t xml:space="preserve">Franklin Templeton Mutual Fund</t>
        </is>
      </c>
      <c r="B2851" t="inlineStr">
        <is>
          <t xml:space="preserve">Franklin India Medium to Long Duration Fund - Growth</t>
        </is>
      </c>
      <c r="C2851" t="inlineStr">
        <is>
          <t xml:space="preserve">INF090I01XD1</t>
        </is>
      </c>
    </row>
    <row r="2852">
      <c r="A2852" t="inlineStr">
        <is>
          <t xml:space="preserve">Franklin Templeton Mutual Fund</t>
        </is>
      </c>
      <c r="B2852" t="inlineStr">
        <is>
          <t xml:space="preserve">Franklin India Medium to Long Duration Fund - IDCW</t>
        </is>
      </c>
      <c r="C2852" t="inlineStr">
        <is>
          <t xml:space="preserve">INF090I01XE9</t>
        </is>
      </c>
    </row>
    <row r="2853">
      <c r="A2853" t="inlineStr">
        <is>
          <t xml:space="preserve">Franklin Templeton Mutual Fund</t>
        </is>
      </c>
      <c r="B2853" t="inlineStr">
        <is>
          <t xml:space="preserve">Franklin India Mid Cap Fund - Direct - Growth</t>
        </is>
      </c>
      <c r="C2853" t="inlineStr">
        <is>
          <t xml:space="preserve">INF090I01FH9</t>
        </is>
      </c>
    </row>
    <row r="2854">
      <c r="A2854" t="inlineStr">
        <is>
          <t xml:space="preserve">Franklin Templeton Mutual Fund</t>
        </is>
      </c>
      <c r="B2854" t="inlineStr">
        <is>
          <t xml:space="preserve">Franklin India Mid Cap Fund - Direct - IDCW</t>
        </is>
      </c>
      <c r="C2854" t="inlineStr">
        <is>
          <t xml:space="preserve">INF090I01FI7</t>
        </is>
      </c>
    </row>
    <row r="2855">
      <c r="A2855" t="inlineStr">
        <is>
          <t xml:space="preserve">Franklin Templeton Mutual Fund</t>
        </is>
      </c>
      <c r="B2855" t="inlineStr">
        <is>
          <t xml:space="preserve">Franklin India Mid Cap Fund - IDCW</t>
        </is>
      </c>
      <c r="C2855" t="inlineStr">
        <is>
          <t xml:space="preserve">INF090I01726</t>
        </is>
      </c>
    </row>
    <row r="2856">
      <c r="A2856" t="inlineStr">
        <is>
          <t xml:space="preserve">Franklin Templeton Mutual Fund</t>
        </is>
      </c>
      <c r="B2856" t="inlineStr">
        <is>
          <t xml:space="preserve">Franklin India Mid Cap Fund-Growth</t>
        </is>
      </c>
      <c r="C2856" t="inlineStr">
        <is>
          <t xml:space="preserve">INF090I01809</t>
        </is>
      </c>
    </row>
    <row r="2857">
      <c r="A2857" t="inlineStr">
        <is>
          <t xml:space="preserve">Franklin Templeton Mutual Fund</t>
        </is>
      </c>
      <c r="B2857" t="inlineStr">
        <is>
          <t xml:space="preserve">Franklin India Money Market Fund - Direct - Growth</t>
        </is>
      </c>
      <c r="C2857" t="inlineStr">
        <is>
          <t xml:space="preserve">INF090I01GV8</t>
        </is>
      </c>
    </row>
    <row r="2858">
      <c r="A2858" t="inlineStr">
        <is>
          <t xml:space="preserve">Franklin Templeton Mutual Fund</t>
        </is>
      </c>
      <c r="B2858" t="inlineStr">
        <is>
          <t xml:space="preserve">Franklin India Money Market Fund - DP - Wkly IDCW R</t>
        </is>
      </c>
      <c r="C2858" t="inlineStr">
        <is>
          <t xml:space="preserve">INF090I01WV5</t>
        </is>
      </c>
    </row>
    <row r="2859">
      <c r="A2859" t="inlineStr">
        <is>
          <t xml:space="preserve">Franklin Templeton Mutual Fund</t>
        </is>
      </c>
      <c r="B2859" t="inlineStr">
        <is>
          <t xml:space="preserve">Franklin India Money Market Fund - Growth Option</t>
        </is>
      </c>
      <c r="C2859" t="inlineStr">
        <is>
          <t xml:space="preserve">INF090I01CA1</t>
        </is>
      </c>
    </row>
    <row r="2860">
      <c r="A2860" t="inlineStr">
        <is>
          <t xml:space="preserve">Franklin Templeton Mutual Fund</t>
        </is>
      </c>
      <c r="B2860" t="inlineStr">
        <is>
          <t xml:space="preserve">Franklin India Money Market Fund - Institutional Option - Dividend</t>
        </is>
      </c>
      <c r="C2860" t="inlineStr">
        <is>
          <t xml:space="preserve">INF090I01BW7</t>
        </is>
      </c>
    </row>
    <row r="2861">
      <c r="A2861" t="inlineStr">
        <is>
          <t xml:space="preserve">Franklin Templeton Mutual Fund</t>
        </is>
      </c>
      <c r="B2861" t="inlineStr">
        <is>
          <t xml:space="preserve">Franklin India Money Market Fund - Institutional Option - Growth</t>
        </is>
      </c>
      <c r="C2861" t="inlineStr">
        <is>
          <t xml:space="preserve">INF090I01BX5</t>
        </is>
      </c>
    </row>
    <row r="2862">
      <c r="A2862" t="inlineStr">
        <is>
          <t xml:space="preserve">Franklin Templeton Mutual Fund</t>
        </is>
      </c>
      <c r="B2862" t="inlineStr">
        <is>
          <t xml:space="preserve">Franklin India Money Market Fund Retail Option - Daily - IDCW</t>
        </is>
      </c>
      <c r="C2862" t="inlineStr">
        <is>
          <t xml:space="preserve">INF090I01KM9</t>
        </is>
      </c>
    </row>
    <row r="2863">
      <c r="A2863" t="inlineStr">
        <is>
          <t xml:space="preserve">Franklin Templeton Mutual Fund</t>
        </is>
      </c>
      <c r="B2863" t="inlineStr">
        <is>
          <t xml:space="preserve">Franklin India Money Market Fund Retail Option - Direct - Daily - IDCW</t>
        </is>
      </c>
      <c r="C2863" t="inlineStr">
        <is>
          <t xml:space="preserve">INF090I01KN7</t>
        </is>
      </c>
    </row>
    <row r="2864">
      <c r="A2864" t="inlineStr">
        <is>
          <t xml:space="preserve">Franklin Templeton Mutual Fund</t>
        </is>
      </c>
      <c r="B2864" t="inlineStr">
        <is>
          <t xml:space="preserve">Franklin India Money Market Fund Retail Option - Direct - Monthly - IDCW</t>
        </is>
      </c>
      <c r="C2864" t="inlineStr">
        <is>
          <t xml:space="preserve">INF090I01LC8</t>
        </is>
      </c>
    </row>
    <row r="2865">
      <c r="A2865" t="inlineStr">
        <is>
          <t xml:space="preserve">Franklin Templeton Mutual Fund</t>
        </is>
      </c>
      <c r="B2865" t="inlineStr">
        <is>
          <t xml:space="preserve">Franklin India Money Market Fund Retail Option - Direct - Quarterly - IDCW</t>
        </is>
      </c>
      <c r="C2865" t="inlineStr">
        <is>
          <t xml:space="preserve">INF090I01GT2</t>
        </is>
      </c>
    </row>
    <row r="2866">
      <c r="A2866" t="inlineStr">
        <is>
          <t xml:space="preserve">Franklin Templeton Mutual Fund</t>
        </is>
      </c>
      <c r="B2866" t="inlineStr">
        <is>
          <t xml:space="preserve">Franklin India Money Market Fund Retail Option - Monthly - IDCW</t>
        </is>
      </c>
      <c r="C2866" t="inlineStr">
        <is>
          <t xml:space="preserve">INF090I01LA2</t>
        </is>
      </c>
    </row>
    <row r="2867">
      <c r="A2867" t="inlineStr">
        <is>
          <t xml:space="preserve">Franklin Templeton Mutual Fund</t>
        </is>
      </c>
      <c r="B2867" t="inlineStr">
        <is>
          <t xml:space="preserve">Franklin India Money Market Fund Retail Option - Quarterly - IDCW</t>
        </is>
      </c>
      <c r="C2867" t="inlineStr">
        <is>
          <t xml:space="preserve">INF090I01BZ0</t>
        </is>
      </c>
    </row>
    <row r="2868">
      <c r="A2868" t="inlineStr">
        <is>
          <t xml:space="preserve">Franklin Templeton Mutual Fund</t>
        </is>
      </c>
      <c r="B2868" t="inlineStr">
        <is>
          <t xml:space="preserve">Franklin India Money Market Fund Wkly IDCW R</t>
        </is>
      </c>
      <c r="C2868" t="inlineStr">
        <is>
          <t xml:space="preserve">INF090I01WT9</t>
        </is>
      </c>
    </row>
    <row r="2869">
      <c r="A2869" t="inlineStr">
        <is>
          <t xml:space="preserve">Franklin Templeton Mutual Fund</t>
        </is>
      </c>
      <c r="B2869" t="inlineStr">
        <is>
          <t xml:space="preserve">Franklin India Multi Asset Allocation Fund- Direct- IDCW</t>
        </is>
      </c>
      <c r="C2869" t="inlineStr">
        <is>
          <t xml:space="preserve">INF090I01YJ6</t>
        </is>
      </c>
    </row>
    <row r="2870">
      <c r="A2870" t="inlineStr">
        <is>
          <t xml:space="preserve">Franklin Templeton Mutual Fund</t>
        </is>
      </c>
      <c r="B2870" t="inlineStr">
        <is>
          <t xml:space="preserve">Franklin India Multi Asset Allocation Fund- Direct-Growth</t>
        </is>
      </c>
      <c r="C2870" t="inlineStr">
        <is>
          <t xml:space="preserve">INF090I01YH0</t>
        </is>
      </c>
    </row>
    <row r="2871">
      <c r="A2871" t="inlineStr">
        <is>
          <t xml:space="preserve">Franklin Templeton Mutual Fund</t>
        </is>
      </c>
      <c r="B2871" t="inlineStr">
        <is>
          <t xml:space="preserve">Franklin India Multi Asset Allocation Fund- Growth</t>
        </is>
      </c>
      <c r="C2871" t="inlineStr">
        <is>
          <t xml:space="preserve">INF090I01YM0</t>
        </is>
      </c>
    </row>
    <row r="2872">
      <c r="A2872" t="inlineStr">
        <is>
          <t xml:space="preserve">Franklin Templeton Mutual Fund</t>
        </is>
      </c>
      <c r="B2872" t="inlineStr">
        <is>
          <t xml:space="preserve">Franklin India Multi Asset Allocation Fund- IDCW</t>
        </is>
      </c>
      <c r="C2872" t="inlineStr">
        <is>
          <t xml:space="preserve">INF090I01YL2</t>
        </is>
      </c>
    </row>
    <row r="2873">
      <c r="A2873" t="inlineStr">
        <is>
          <t xml:space="preserve">Franklin Templeton Mutual Fund</t>
        </is>
      </c>
      <c r="B2873" t="inlineStr">
        <is>
          <t xml:space="preserve">Franklin India Multi Cap Fund - Direct - Growth</t>
        </is>
      </c>
      <c r="C2873" t="inlineStr">
        <is>
          <t xml:space="preserve">INF090I01XA7</t>
        </is>
      </c>
    </row>
    <row r="2874">
      <c r="A2874" t="inlineStr">
        <is>
          <t xml:space="preserve">Franklin Templeton Mutual Fund</t>
        </is>
      </c>
      <c r="B2874" t="inlineStr">
        <is>
          <t xml:space="preserve">Franklin India Multi Cap Fund - Direct - IDCW</t>
        </is>
      </c>
      <c r="C2874" t="inlineStr">
        <is>
          <t xml:space="preserve">INF090I01XB5</t>
        </is>
      </c>
    </row>
    <row r="2875">
      <c r="A2875" t="inlineStr">
        <is>
          <t xml:space="preserve">Franklin Templeton Mutual Fund</t>
        </is>
      </c>
      <c r="B2875" t="inlineStr">
        <is>
          <t xml:space="preserve">Franklin India Multi Cap Fund - Growth</t>
        </is>
      </c>
      <c r="C2875" t="inlineStr">
        <is>
          <t xml:space="preserve">INF090I01WX1</t>
        </is>
      </c>
    </row>
    <row r="2876">
      <c r="A2876" t="inlineStr">
        <is>
          <t xml:space="preserve">Franklin Templeton Mutual Fund</t>
        </is>
      </c>
      <c r="B2876" t="inlineStr">
        <is>
          <t xml:space="preserve">Franklin India Multi Cap Fund - IDCW</t>
        </is>
      </c>
      <c r="C2876" t="inlineStr">
        <is>
          <t xml:space="preserve">INF090I01WY9</t>
        </is>
      </c>
    </row>
    <row r="2877">
      <c r="A2877" t="inlineStr">
        <is>
          <t xml:space="preserve">Franklin Templeton Mutual Fund</t>
        </is>
      </c>
      <c r="B2877" t="inlineStr">
        <is>
          <t xml:space="preserve">Franklin India Multi-Factor Fund- Direct- Growth</t>
        </is>
      </c>
      <c r="C2877" t="inlineStr">
        <is>
          <t xml:space="preserve">INF090I01YQ1</t>
        </is>
      </c>
    </row>
    <row r="2878">
      <c r="A2878" t="inlineStr">
        <is>
          <t xml:space="preserve">Franklin Templeton Mutual Fund</t>
        </is>
      </c>
      <c r="B2878" t="inlineStr">
        <is>
          <t xml:space="preserve">Franklin India Multi-Factor Fund- Direct- IDCW</t>
        </is>
      </c>
      <c r="C2878" t="inlineStr">
        <is>
          <t xml:space="preserve">INF090I01YS7</t>
        </is>
      </c>
    </row>
    <row r="2879">
      <c r="A2879" t="inlineStr">
        <is>
          <t xml:space="preserve">Franklin Templeton Mutual Fund</t>
        </is>
      </c>
      <c r="B2879" t="inlineStr">
        <is>
          <t xml:space="preserve">Franklin India Multi-Factor Fund- Growth</t>
        </is>
      </c>
      <c r="C2879" t="inlineStr">
        <is>
          <t xml:space="preserve">INF090I01YN8</t>
        </is>
      </c>
    </row>
    <row r="2880">
      <c r="A2880" t="inlineStr">
        <is>
          <t xml:space="preserve">Franklin Templeton Mutual Fund</t>
        </is>
      </c>
      <c r="B2880" t="inlineStr">
        <is>
          <t xml:space="preserve">Franklin India Multi-Factor Fund- IDCW</t>
        </is>
      </c>
      <c r="C2880" t="inlineStr">
        <is>
          <t xml:space="preserve">INF090I01YP3</t>
        </is>
      </c>
    </row>
    <row r="2881">
      <c r="A2881" t="inlineStr">
        <is>
          <t xml:space="preserve">Franklin Templeton Mutual Fund</t>
        </is>
      </c>
      <c r="B2881" t="inlineStr">
        <is>
          <t xml:space="preserve">Franklin India Opportunities Fund - Direct - Growth</t>
        </is>
      </c>
      <c r="C2881" t="inlineStr">
        <is>
          <t xml:space="preserve">INF090I01GC8</t>
        </is>
      </c>
    </row>
    <row r="2882">
      <c r="A2882" t="inlineStr">
        <is>
          <t xml:space="preserve">Franklin Templeton Mutual Fund</t>
        </is>
      </c>
      <c r="B2882" t="inlineStr">
        <is>
          <t xml:space="preserve">Franklin INDIA OPPORTUNITIES FUND - Direct - IDCW</t>
        </is>
      </c>
      <c r="C2882" t="inlineStr">
        <is>
          <t xml:space="preserve">INF090I01GD6</t>
        </is>
      </c>
    </row>
    <row r="2883">
      <c r="A2883" t="inlineStr">
        <is>
          <t xml:space="preserve">Franklin Templeton Mutual Fund</t>
        </is>
      </c>
      <c r="B2883" t="inlineStr">
        <is>
          <t xml:space="preserve">Franklin India Opportunities Fund - Growth</t>
        </is>
      </c>
      <c r="C2883" t="inlineStr">
        <is>
          <t xml:space="preserve">INF090I01841</t>
        </is>
      </c>
    </row>
    <row r="2884">
      <c r="A2884" t="inlineStr">
        <is>
          <t xml:space="preserve">Franklin Templeton Mutual Fund</t>
        </is>
      </c>
      <c r="B2884" t="inlineStr">
        <is>
          <t xml:space="preserve">Franklin INDIA OPPORTUNITIES FUND - IDCW</t>
        </is>
      </c>
      <c r="C2884" t="inlineStr">
        <is>
          <t xml:space="preserve">INF090I01858</t>
        </is>
      </c>
    </row>
    <row r="2885">
      <c r="A2885" t="inlineStr">
        <is>
          <t xml:space="preserve">Franklin Templeton Mutual Fund</t>
        </is>
      </c>
      <c r="B2885" t="inlineStr">
        <is>
          <t xml:space="preserve">Franklin India Overnight Fund - Daily Dividend Plan - Daily - IDCW</t>
        </is>
      </c>
      <c r="C2885" t="inlineStr">
        <is>
          <t xml:space="preserve">INF090I01SM2</t>
        </is>
      </c>
    </row>
    <row r="2886">
      <c r="A2886" t="inlineStr">
        <is>
          <t xml:space="preserve">Franklin Templeton Mutual Fund</t>
        </is>
      </c>
      <c r="B2886" t="inlineStr">
        <is>
          <t xml:space="preserve">Franklin India Overnight Fund - Direct Daily Dividend Plan - Daily - IDCW</t>
        </is>
      </c>
      <c r="C2886" t="inlineStr">
        <is>
          <t xml:space="preserve">INF090I01ST7</t>
        </is>
      </c>
    </row>
    <row r="2887">
      <c r="A2887" t="inlineStr">
        <is>
          <t xml:space="preserve">Franklin Templeton Mutual Fund</t>
        </is>
      </c>
      <c r="B2887" t="inlineStr">
        <is>
          <t xml:space="preserve">Franklin India Overnight Fund - Direct Weekly Dividend Plan - Weekly - IDCW</t>
        </is>
      </c>
      <c r="C2887" t="inlineStr">
        <is>
          <t xml:space="preserve">INF090I01SR1</t>
        </is>
      </c>
    </row>
    <row r="2888">
      <c r="A2888" t="inlineStr">
        <is>
          <t xml:space="preserve">Franklin Templeton Mutual Fund</t>
        </is>
      </c>
      <c r="B2888" t="inlineStr">
        <is>
          <t xml:space="preserve">Franklin India Overnight Fund - Weekly Dividend Plan - Weekly - IDCW</t>
        </is>
      </c>
      <c r="C2888" t="inlineStr">
        <is>
          <t xml:space="preserve">INF090I01SN0</t>
        </is>
      </c>
    </row>
    <row r="2889">
      <c r="A2889" t="inlineStr">
        <is>
          <t xml:space="preserve">Franklin Templeton Mutual Fund</t>
        </is>
      </c>
      <c r="B2889" t="inlineStr">
        <is>
          <t xml:space="preserve">Franklin India Overnight fund- Growth</t>
        </is>
      </c>
      <c r="C2889" t="inlineStr">
        <is>
          <t xml:space="preserve">INF090I01SO8</t>
        </is>
      </c>
    </row>
    <row r="2890">
      <c r="A2890" t="inlineStr">
        <is>
          <t xml:space="preserve">Franklin Templeton Mutual Fund</t>
        </is>
      </c>
      <c r="B2890" t="inlineStr">
        <is>
          <t xml:space="preserve">Franklin India Overnight Fund- Growth - Direct</t>
        </is>
      </c>
      <c r="C2890" t="inlineStr">
        <is>
          <t xml:space="preserve">INF090I01SS9</t>
        </is>
      </c>
    </row>
    <row r="2891">
      <c r="A2891" t="inlineStr">
        <is>
          <t xml:space="preserve">Franklin Templeton Mutual Fund</t>
        </is>
      </c>
      <c r="B2891" t="inlineStr">
        <is>
          <t xml:space="preserve">Franklin India Retirement Fund - Direct - Growth</t>
        </is>
      </c>
      <c r="C2891" t="inlineStr">
        <is>
          <t xml:space="preserve">INF090I01JZ3</t>
        </is>
      </c>
    </row>
    <row r="2892">
      <c r="A2892" t="inlineStr">
        <is>
          <t xml:space="preserve">Franklin Templeton Mutual Fund</t>
        </is>
      </c>
      <c r="B2892" t="inlineStr">
        <is>
          <t xml:space="preserve">Franklin India Retirement Fund - Direct - IDCW</t>
        </is>
      </c>
      <c r="C2892" t="inlineStr">
        <is>
          <t xml:space="preserve">INF090I01KA4</t>
        </is>
      </c>
    </row>
    <row r="2893">
      <c r="A2893" t="inlineStr">
        <is>
          <t xml:space="preserve">Franklin Templeton Mutual Fund</t>
        </is>
      </c>
      <c r="B2893" t="inlineStr">
        <is>
          <t xml:space="preserve">Franklin India Retirement Fund - Growth</t>
        </is>
      </c>
      <c r="C2893" t="inlineStr">
        <is>
          <t xml:space="preserve">INF090I01510</t>
        </is>
      </c>
    </row>
    <row r="2894">
      <c r="A2894" t="inlineStr">
        <is>
          <t xml:space="preserve">Franklin Templeton Mutual Fund</t>
        </is>
      </c>
      <c r="B2894" t="inlineStr">
        <is>
          <t xml:space="preserve">Franklin India Retirement Fund - IDCW</t>
        </is>
      </c>
      <c r="C2894" t="inlineStr">
        <is>
          <t xml:space="preserve">INF090I01528</t>
        </is>
      </c>
    </row>
    <row r="2895">
      <c r="A2895" t="inlineStr">
        <is>
          <t xml:space="preserve">Franklin Templeton Mutual Fund</t>
        </is>
      </c>
      <c r="B2895" t="inlineStr">
        <is>
          <t xml:space="preserve">Franklin India Short Tem Income Plan - Segregated Portfolio 3 (9.50% Yes Bank Ltd CO 23Dec21) - Direct Retail Plan Growth Option</t>
        </is>
      </c>
      <c r="C2895" t="inlineStr">
        <is>
          <t xml:space="preserve">INF090I01VS3</t>
        </is>
      </c>
    </row>
    <row r="2896">
      <c r="A2896" t="inlineStr">
        <is>
          <t xml:space="preserve">Franklin Templeton Mutual Fund</t>
        </is>
      </c>
      <c r="B2896" t="inlineStr">
        <is>
          <t xml:space="preserve">Franklin India Short Term Income Plan -  Retail Plan - Direct - Monthly - IDCW</t>
        </is>
      </c>
      <c r="C2896" t="inlineStr">
        <is>
          <t xml:space="preserve">INF090I01GN5</t>
        </is>
      </c>
    </row>
    <row r="2897">
      <c r="A2897" t="inlineStr">
        <is>
          <t xml:space="preserve">Franklin Templeton Mutual Fund</t>
        </is>
      </c>
      <c r="B2897" t="inlineStr">
        <is>
          <t xml:space="preserve">Franklin India Short Term Income Plan -  Retail Plan - Direct - Quarterly - IDCW</t>
        </is>
      </c>
      <c r="C2897" t="inlineStr">
        <is>
          <t xml:space="preserve">INF090I01GL9</t>
        </is>
      </c>
    </row>
    <row r="2898">
      <c r="A2898" t="inlineStr">
        <is>
          <t xml:space="preserve">Franklin Templeton Mutual Fund</t>
        </is>
      </c>
      <c r="B2898" t="inlineStr">
        <is>
          <t xml:space="preserve">Franklin India Short Term Income Plan -  Retail Plan - Direct - Weekly - IDCW</t>
        </is>
      </c>
      <c r="C2898" t="inlineStr">
        <is>
          <t xml:space="preserve">INF090I01GP0</t>
        </is>
      </c>
    </row>
    <row r="2899">
      <c r="A2899" t="inlineStr">
        <is>
          <t xml:space="preserve">Franklin Templeton Mutual Fund</t>
        </is>
      </c>
      <c r="B2899" t="inlineStr">
        <is>
          <t xml:space="preserve">Franklin India Short Term Income Plan -  Retail Plan - Monthly - IDCW</t>
        </is>
      </c>
      <c r="C2899" t="inlineStr">
        <is>
          <t xml:space="preserve">INF090I01338</t>
        </is>
      </c>
    </row>
    <row r="2900">
      <c r="A2900" t="inlineStr">
        <is>
          <t xml:space="preserve">Franklin Templeton Mutual Fund</t>
        </is>
      </c>
      <c r="B2900" t="inlineStr">
        <is>
          <t xml:space="preserve">Franklin India Short Term Income Plan -  Retail Plan - Quarterly - IDCW</t>
        </is>
      </c>
      <c r="C2900" t="inlineStr">
        <is>
          <t xml:space="preserve">INF090I01312</t>
        </is>
      </c>
    </row>
    <row r="2901">
      <c r="A2901" t="inlineStr">
        <is>
          <t xml:space="preserve">Franklin Templeton Mutual Fund</t>
        </is>
      </c>
      <c r="B2901" t="inlineStr">
        <is>
          <t xml:space="preserve">Franklin India Short Term Income Plan -  Retail Plan - Weekly - IDCW</t>
        </is>
      </c>
      <c r="C2901" t="inlineStr">
        <is>
          <t xml:space="preserve">INF090I01353</t>
        </is>
      </c>
    </row>
    <row r="2902">
      <c r="A2902" t="inlineStr">
        <is>
          <t xml:space="preserve">Franklin Templeton Mutual Fund</t>
        </is>
      </c>
      <c r="B2902" t="inlineStr">
        <is>
          <t xml:space="preserve">Franklin India SHORT TERM INCOME PLAN - Direct - GROWTH</t>
        </is>
      </c>
      <c r="C2902" t="inlineStr">
        <is>
          <t xml:space="preserve">INF090I01GK1</t>
        </is>
      </c>
    </row>
    <row r="2903">
      <c r="A2903" t="inlineStr">
        <is>
          <t xml:space="preserve">Franklin Templeton Mutual Fund</t>
        </is>
      </c>
      <c r="B2903" t="inlineStr">
        <is>
          <t xml:space="preserve">Franklin India Short Term Income Plan - Segregated Portfolio 3 (9.50% Yes Bank Ltd CO 23Dec21) - Institutional Plan Growth Option</t>
        </is>
      </c>
      <c r="C2903" t="inlineStr">
        <is>
          <t xml:space="preserve">INF090I01VR5</t>
        </is>
      </c>
    </row>
    <row r="2904">
      <c r="A2904" t="inlineStr">
        <is>
          <t xml:space="preserve">Franklin Templeton Mutual Fund</t>
        </is>
      </c>
      <c r="B2904" t="inlineStr">
        <is>
          <t xml:space="preserve">Franklin India Short Term Income Plan - Segregated Portfolio 3 (9.50% Yes Bank Ltd CO 23Dec21) - Retail Plan Growth Option</t>
        </is>
      </c>
      <c r="C2904" t="inlineStr">
        <is>
          <t xml:space="preserve">INF090I01VN4</t>
        </is>
      </c>
    </row>
    <row r="2905">
      <c r="A2905" t="inlineStr">
        <is>
          <t xml:space="preserve">Franklin Templeton Mutual Fund</t>
        </is>
      </c>
      <c r="B2905" t="inlineStr">
        <is>
          <t xml:space="preserve">Franklin India Short term Income Plan- Institutional Plan- Segregated Portfolio 2- 10.90% Vodafone Idea Ltd 02Sep2023-Growth Option</t>
        </is>
      </c>
      <c r="C2905" t="inlineStr">
        <is>
          <t xml:space="preserve">INF090I01UX5</t>
        </is>
      </c>
    </row>
    <row r="2906">
      <c r="A2906" t="inlineStr">
        <is>
          <t xml:space="preserve">Franklin Templeton Mutual Fund</t>
        </is>
      </c>
      <c r="B2906" t="inlineStr">
        <is>
          <t xml:space="preserve">Franklin India Short term Income Plan- Retail Plan- Segregated Portfolio 2- 10.90% Vodafone Idea Ltd 02Sep2023-Direct-Growth Option</t>
        </is>
      </c>
      <c r="C2906" t="inlineStr">
        <is>
          <t xml:space="preserve">INF090I01UY3</t>
        </is>
      </c>
    </row>
    <row r="2907">
      <c r="A2907" t="inlineStr">
        <is>
          <t xml:space="preserve">Franklin Templeton Mutual Fund</t>
        </is>
      </c>
      <c r="B2907" t="inlineStr">
        <is>
          <t xml:space="preserve">Franklin India Short term Income Plan- Retail Plan- Segregated Portfolio 2- 10.90% Vodafone Idea Ltd 02Sep2023-Growth Option</t>
        </is>
      </c>
      <c r="C2907" t="inlineStr">
        <is>
          <t xml:space="preserve">INF090I01UT3</t>
        </is>
      </c>
    </row>
    <row r="2908">
      <c r="A2908" t="inlineStr">
        <is>
          <t xml:space="preserve">Franklin Templeton Mutual Fund</t>
        </is>
      </c>
      <c r="B2908" t="inlineStr">
        <is>
          <t xml:space="preserve">Franklin India Short term Income Plan- Retail Plan-Segregated Portfolio 1- 8.25% Vodafone Idea Ltd-10JUL20-Direct- Monthly Dividend Option</t>
        </is>
      </c>
      <c r="C2908" t="inlineStr">
        <is>
          <t xml:space="preserve">INF090I01UR7</t>
        </is>
      </c>
    </row>
    <row r="2909">
      <c r="A2909" t="inlineStr">
        <is>
          <t xml:space="preserve">Franklin Templeton Mutual Fund</t>
        </is>
      </c>
      <c r="B2909" t="inlineStr">
        <is>
          <t xml:space="preserve">Franklin India Short term Income Plan- Retail Plan-Segregated Portfolio 1- 8.25% Vodafone Idea Ltd-10JUL20-Direct- Quarterly Dividend Option</t>
        </is>
      </c>
      <c r="C2909" t="inlineStr">
        <is>
          <t xml:space="preserve">INF090I01UQ9</t>
        </is>
      </c>
    </row>
    <row r="2910">
      <c r="A2910" t="inlineStr">
        <is>
          <t xml:space="preserve">Franklin Templeton Mutual Fund</t>
        </is>
      </c>
      <c r="B2910" t="inlineStr">
        <is>
          <t xml:space="preserve">Franklin India Short Term Income Plan- Retail Plan-Segregated Portfolio 1- 8.25% Vodafone Idea Ltd-10JUL20-Monthly Dividend Option</t>
        </is>
      </c>
      <c r="C2910" t="inlineStr">
        <is>
          <t xml:space="preserve">INF090I01UM8</t>
        </is>
      </c>
    </row>
    <row r="2911">
      <c r="A2911" t="inlineStr">
        <is>
          <t xml:space="preserve">Franklin Templeton Mutual Fund</t>
        </is>
      </c>
      <c r="B2911" t="inlineStr">
        <is>
          <t xml:space="preserve">Franklin India Short term Income Plan- Retail Plan-Segregated Portfolio 1- 8.25% Vodafone Idea Ltd-10JUL20-Quarterly Dividend Option</t>
        </is>
      </c>
      <c r="C2911" t="inlineStr">
        <is>
          <t xml:space="preserve">INF090I01UL0</t>
        </is>
      </c>
    </row>
    <row r="2912">
      <c r="A2912" t="inlineStr">
        <is>
          <t xml:space="preserve">Franklin Templeton Mutual Fund</t>
        </is>
      </c>
      <c r="B2912" t="inlineStr">
        <is>
          <t xml:space="preserve">Franklin India Short term Income Plan- Retail Plan-Segregated Portfolio 2 - 10.90% Vodafone Idea Ltd (02-Sep-2023) - Direct Monthly - IDCW</t>
        </is>
      </c>
      <c r="C2912" t="inlineStr">
        <is>
          <t xml:space="preserve">INF090I01VA1</t>
        </is>
      </c>
    </row>
    <row r="2913">
      <c r="A2913" t="inlineStr">
        <is>
          <t xml:space="preserve">Franklin Templeton Mutual Fund</t>
        </is>
      </c>
      <c r="B2913" t="inlineStr">
        <is>
          <t xml:space="preserve">Franklin India Short term Income Plan- Retail Plan-Segregated Portfolio 2 - 10.90% Vodafone Idea Ltd (02-Sep-2023) - Direct Quarterly - IDCW</t>
        </is>
      </c>
      <c r="C2913" t="inlineStr">
        <is>
          <t xml:space="preserve">INF090I01UZ0</t>
        </is>
      </c>
    </row>
    <row r="2914">
      <c r="A2914" t="inlineStr">
        <is>
          <t xml:space="preserve">Franklin Templeton Mutual Fund</t>
        </is>
      </c>
      <c r="B2914" t="inlineStr">
        <is>
          <t xml:space="preserve">Franklin India Short term Income Plan- Retail Plan-Segregated Portfolio 2 - 10.90% Vodafone Idea Ltd (02-Sep-2023) - Direct Weekly - IDCW</t>
        </is>
      </c>
      <c r="C2914" t="inlineStr">
        <is>
          <t xml:space="preserve">INF090I01VB9</t>
        </is>
      </c>
    </row>
    <row r="2915">
      <c r="A2915" t="inlineStr">
        <is>
          <t xml:space="preserve">Franklin Templeton Mutual Fund</t>
        </is>
      </c>
      <c r="B2915" t="inlineStr">
        <is>
          <t xml:space="preserve">Franklin India Short term Income Plan- Retail Plan-Segregated Portfolio 2 - 10.90% Vodafone Idea Ltd (02-Sep-2023) - Monthly - IDCW</t>
        </is>
      </c>
      <c r="C2915" t="inlineStr">
        <is>
          <t xml:space="preserve">INF090I01UV9</t>
        </is>
      </c>
    </row>
    <row r="2916">
      <c r="A2916" t="inlineStr">
        <is>
          <t xml:space="preserve">Franklin Templeton Mutual Fund</t>
        </is>
      </c>
      <c r="B2916" t="inlineStr">
        <is>
          <t xml:space="preserve">Franklin India Short term Income Plan- Retail Plan-Segregated Portfolio 2 - 10.90% Vodafone Idea Ltd (02-Sep-2023) - Quarterly - IDCW</t>
        </is>
      </c>
      <c r="C2916" t="inlineStr">
        <is>
          <t xml:space="preserve">INF090I01UU1</t>
        </is>
      </c>
    </row>
    <row r="2917">
      <c r="A2917" t="inlineStr">
        <is>
          <t xml:space="preserve">Franklin Templeton Mutual Fund</t>
        </is>
      </c>
      <c r="B2917" t="inlineStr">
        <is>
          <t xml:space="preserve">Franklin India Short term Income Plan- Retail Plan-Segregated Portfolio 2 - 10.90% Vodafone Idea Ltd (02-Sep-2023) - Weekly - IDCW</t>
        </is>
      </c>
      <c r="C2917" t="inlineStr">
        <is>
          <t xml:space="preserve">INF090I01UW7</t>
        </is>
      </c>
    </row>
    <row r="2918">
      <c r="A2918" t="inlineStr">
        <is>
          <t xml:space="preserve">Franklin Templeton Mutual Fund</t>
        </is>
      </c>
      <c r="B2918" t="inlineStr">
        <is>
          <t xml:space="preserve">Franklin India Short term Income Plan- Retail Plan-Segregated Portfolio 3 (9.50% Yes Bank Ltd CO 23Dec21) - Direct Monthly - IDCW</t>
        </is>
      </c>
      <c r="C2918" t="inlineStr">
        <is>
          <t xml:space="preserve">INF090I01VU9</t>
        </is>
      </c>
    </row>
    <row r="2919">
      <c r="A2919" t="inlineStr">
        <is>
          <t xml:space="preserve">Franklin Templeton Mutual Fund</t>
        </is>
      </c>
      <c r="B2919" t="inlineStr">
        <is>
          <t xml:space="preserve">Franklin India Short term Income Plan- Retail Plan-Segregated Portfolio 3 (9.50% Yes Bank Ltd CO 23Dec21) - Direct Quarterly - IDCW</t>
        </is>
      </c>
      <c r="C2919" t="inlineStr">
        <is>
          <t xml:space="preserve">INF090I01VT1</t>
        </is>
      </c>
    </row>
    <row r="2920">
      <c r="A2920" t="inlineStr">
        <is>
          <t xml:space="preserve">Franklin Templeton Mutual Fund</t>
        </is>
      </c>
      <c r="B2920" t="inlineStr">
        <is>
          <t xml:space="preserve">Franklin India Short Term Income Plan- Retail Plan-Segregated Portfolio 3 (9.50% Yes Bank Ltd CO 23Dec21) - Monthly - IDCW</t>
        </is>
      </c>
      <c r="C2920" t="inlineStr">
        <is>
          <t xml:space="preserve">INF090I01VP9</t>
        </is>
      </c>
    </row>
    <row r="2921">
      <c r="A2921" t="inlineStr">
        <is>
          <t xml:space="preserve">Franklin Templeton Mutual Fund</t>
        </is>
      </c>
      <c r="B2921" t="inlineStr">
        <is>
          <t xml:space="preserve">Franklin India Short term Income Plan- Retail Plan-Segregated Portfolio 3 (9.50% Yes Bank Ltd CO 23Dec21) - Quarterly - IDCW</t>
        </is>
      </c>
      <c r="C2921" t="inlineStr">
        <is>
          <t xml:space="preserve">INF090I01VO2</t>
        </is>
      </c>
    </row>
    <row r="2922">
      <c r="A2922" t="inlineStr">
        <is>
          <t xml:space="preserve">Franklin Templeton Mutual Fund</t>
        </is>
      </c>
      <c r="B2922" t="inlineStr">
        <is>
          <t xml:space="preserve">Franklin India Short term Income Plan-Institutional Plan- Segregated Portfolio 1- 8.25% Vodafone Idea Ltd-10JUL20-Growth Option</t>
        </is>
      </c>
      <c r="C2922" t="inlineStr">
        <is>
          <t xml:space="preserve">INF090I01UO4</t>
        </is>
      </c>
    </row>
    <row r="2923">
      <c r="A2923" t="inlineStr">
        <is>
          <t xml:space="preserve">Franklin Templeton Mutual Fund</t>
        </is>
      </c>
      <c r="B2923" t="inlineStr">
        <is>
          <t xml:space="preserve">Franklin India Short-term Income Plan- Retail Plan - Segregated Portfolio 1- 8.25% Vodafone Idea Ltd-10JUL20-Direct- Growth Option</t>
        </is>
      </c>
      <c r="C2923" t="inlineStr">
        <is>
          <t xml:space="preserve">INF090I01UP1</t>
        </is>
      </c>
    </row>
    <row r="2924">
      <c r="A2924" t="inlineStr">
        <is>
          <t xml:space="preserve">Franklin Templeton Mutual Fund</t>
        </is>
      </c>
      <c r="B2924" t="inlineStr">
        <is>
          <t xml:space="preserve">Franklin India Short-Term Income Plan- Retail Plan-Segregated Portfolio 1- 8.25% Vodafone Idea Ltd-10JUL20-Growth Option</t>
        </is>
      </c>
      <c r="C2924" t="inlineStr">
        <is>
          <t xml:space="preserve">INF090I01UK2</t>
        </is>
      </c>
    </row>
    <row r="2925">
      <c r="A2925" t="inlineStr">
        <is>
          <t xml:space="preserve">Franklin Templeton Mutual Fund</t>
        </is>
      </c>
      <c r="B2925" t="inlineStr">
        <is>
          <t xml:space="preserve">Franklin India Short-term Income Plan- Retail Plan-Segregated Portfolio 1- 8.25% Vodafone Idea Ltd-10JUL20-Weekly Dividend Option</t>
        </is>
      </c>
      <c r="C2925" t="inlineStr">
        <is>
          <t xml:space="preserve">INF090I01UN6</t>
        </is>
      </c>
    </row>
    <row r="2926">
      <c r="A2926" t="inlineStr">
        <is>
          <t xml:space="preserve">Franklin Templeton Mutual Fund</t>
        </is>
      </c>
      <c r="B2926" t="inlineStr">
        <is>
          <t xml:space="preserve">Franklin India Short-term Income Plan- Retail Plan-Segregated Portfolio 3 (9.50% Yes Bank Ltd CO 23Dec21) - Weekly - IDCW</t>
        </is>
      </c>
      <c r="C2926" t="inlineStr">
        <is>
          <t xml:space="preserve">INF090I01VQ7</t>
        </is>
      </c>
    </row>
    <row r="2927">
      <c r="A2927" t="inlineStr">
        <is>
          <t xml:space="preserve">Franklin Templeton Mutual Fund</t>
        </is>
      </c>
      <c r="B2927" t="inlineStr">
        <is>
          <t xml:space="preserve">Franklin India Short-Term Income Plan-Growth</t>
        </is>
      </c>
      <c r="C2927" t="inlineStr">
        <is>
          <t xml:space="preserve">INF090I01304</t>
        </is>
      </c>
    </row>
    <row r="2928">
      <c r="A2928" t="inlineStr">
        <is>
          <t xml:space="preserve">Franklin Templeton Mutual Fund</t>
        </is>
      </c>
      <c r="B2928" t="inlineStr">
        <is>
          <t xml:space="preserve">Franklin India Short-Term Income Plan-Institutional Plan - Growth</t>
        </is>
      </c>
      <c r="C2928" t="inlineStr">
        <is>
          <t xml:space="preserve">INF090I01361</t>
        </is>
      </c>
    </row>
    <row r="2929">
      <c r="A2929" t="inlineStr">
        <is>
          <t xml:space="preserve">Franklin Templeton Mutual Fund</t>
        </is>
      </c>
      <c r="B2929" t="inlineStr">
        <is>
          <t xml:space="preserve">Franklin India Short-Term Income Plan-Institutional Plan - Monthly Dividend</t>
        </is>
      </c>
      <c r="C2929" t="inlineStr">
        <is>
          <t xml:space="preserve">INF090I01387</t>
        </is>
      </c>
    </row>
    <row r="2930">
      <c r="A2930" t="inlineStr">
        <is>
          <t xml:space="preserve">Franklin Templeton Mutual Fund</t>
        </is>
      </c>
      <c r="B2930" t="inlineStr">
        <is>
          <t xml:space="preserve">Franklin India Short-term Income Plan-Retail Plan- Segregated Portfolio 1- 8.25% Vodafone Idea Ltd-10JUL20-Direct-Weekly Dividend Option</t>
        </is>
      </c>
      <c r="C2930" t="inlineStr">
        <is>
          <t xml:space="preserve">INF090I01US5</t>
        </is>
      </c>
    </row>
    <row r="2931">
      <c r="A2931" t="inlineStr">
        <is>
          <t xml:space="preserve">Franklin Templeton Mutual Fund</t>
        </is>
      </c>
      <c r="B2931" t="inlineStr">
        <is>
          <t xml:space="preserve">Franklin India Short-term Income Plan-Retail Plan-Segregated Portfolio 3 (9.50% Yes Bank Ltd CO 23Dec21) - Direct Weekly - IDCW</t>
        </is>
      </c>
      <c r="C2931" t="inlineStr">
        <is>
          <t xml:space="preserve">INF090I01VV7</t>
        </is>
      </c>
    </row>
    <row r="2932">
      <c r="A2932" t="inlineStr">
        <is>
          <t xml:space="preserve">Franklin Templeton Mutual Fund</t>
        </is>
      </c>
      <c r="B2932" t="inlineStr">
        <is>
          <t xml:space="preserve">Franklin India Short-Term Income Plan-Weekly Bonus</t>
        </is>
      </c>
      <c r="C2932" t="inlineStr">
        <is>
          <t xml:space="preserve">INF090I01DY9</t>
        </is>
      </c>
    </row>
    <row r="2933">
      <c r="A2933" t="inlineStr">
        <is>
          <t xml:space="preserve">Franklin Templeton Mutual Fund</t>
        </is>
      </c>
      <c r="B2933" t="inlineStr">
        <is>
          <t xml:space="preserve">Franklin India Small Cap Fund - Direct - Growth</t>
        </is>
      </c>
      <c r="C2933" t="inlineStr">
        <is>
          <t xml:space="preserve">INF090I01IQ4</t>
        </is>
      </c>
    </row>
    <row r="2934">
      <c r="A2934" t="inlineStr">
        <is>
          <t xml:space="preserve">Franklin Templeton Mutual Fund</t>
        </is>
      </c>
      <c r="B2934" t="inlineStr">
        <is>
          <t xml:space="preserve">Franklin India Small Cap Fund - Direct - IDCW</t>
        </is>
      </c>
      <c r="C2934" t="inlineStr">
        <is>
          <t xml:space="preserve">INF090I01IO9</t>
        </is>
      </c>
    </row>
    <row r="2935">
      <c r="A2935" t="inlineStr">
        <is>
          <t xml:space="preserve">Franklin Templeton Mutual Fund</t>
        </is>
      </c>
      <c r="B2935" t="inlineStr">
        <is>
          <t xml:space="preserve">Franklin India Small Cap Fund - IDCW</t>
        </is>
      </c>
      <c r="C2935" t="inlineStr">
        <is>
          <t xml:space="preserve">INF090I01544</t>
        </is>
      </c>
    </row>
    <row r="2936">
      <c r="A2936" t="inlineStr">
        <is>
          <t xml:space="preserve">Franklin Templeton Mutual Fund</t>
        </is>
      </c>
      <c r="B2936" t="inlineStr">
        <is>
          <t xml:space="preserve">Franklin India Small Cap Fund-Growth</t>
        </is>
      </c>
      <c r="C2936" t="inlineStr">
        <is>
          <t xml:space="preserve">INF090I01569</t>
        </is>
      </c>
    </row>
    <row r="2937">
      <c r="A2937" t="inlineStr">
        <is>
          <t xml:space="preserve">Franklin Templeton Mutual Fund</t>
        </is>
      </c>
      <c r="B2937" t="inlineStr">
        <is>
          <t xml:space="preserve">Franklin India Technology Fund - Direct - Growth</t>
        </is>
      </c>
      <c r="C2937" t="inlineStr">
        <is>
          <t xml:space="preserve">INF090I01FE6</t>
        </is>
      </c>
    </row>
    <row r="2938">
      <c r="A2938" t="inlineStr">
        <is>
          <t xml:space="preserve">Franklin Templeton Mutual Fund</t>
        </is>
      </c>
      <c r="B2938" t="inlineStr">
        <is>
          <t xml:space="preserve">Franklin India Technology Fund - Direct - IDCW</t>
        </is>
      </c>
      <c r="C2938" t="inlineStr">
        <is>
          <t xml:space="preserve">INF090I01FF3</t>
        </is>
      </c>
    </row>
    <row r="2939">
      <c r="A2939" t="inlineStr">
        <is>
          <t xml:space="preserve">Franklin Templeton Mutual Fund</t>
        </is>
      </c>
      <c r="B2939" t="inlineStr">
        <is>
          <t xml:space="preserve">Franklin India Technology Fund - IDCW</t>
        </is>
      </c>
      <c r="C2939" t="inlineStr">
        <is>
          <t xml:space="preserve">INF090I01759</t>
        </is>
      </c>
    </row>
    <row r="2940">
      <c r="A2940" t="inlineStr">
        <is>
          <t xml:space="preserve">Franklin Templeton Mutual Fund</t>
        </is>
      </c>
      <c r="B2940" t="inlineStr">
        <is>
          <t xml:space="preserve">Franklin India Technology Fund-Growth</t>
        </is>
      </c>
      <c r="C2940" t="inlineStr">
        <is>
          <t xml:space="preserve">INF090I01742</t>
        </is>
      </c>
    </row>
    <row r="2941">
      <c r="A2941" t="inlineStr">
        <is>
          <t xml:space="preserve">Franklin Templeton Mutual Fund</t>
        </is>
      </c>
      <c r="B2941" t="inlineStr">
        <is>
          <t xml:space="preserve">Franklin India Ultra Short Bond Fund - Institutional - Growth</t>
        </is>
      </c>
      <c r="C2941" t="inlineStr">
        <is>
          <t xml:space="preserve">INF090I01CG8</t>
        </is>
      </c>
    </row>
    <row r="2942">
      <c r="A2942" t="inlineStr">
        <is>
          <t xml:space="preserve">Franklin Templeton Mutual Fund</t>
        </is>
      </c>
      <c r="B2942" t="inlineStr">
        <is>
          <t xml:space="preserve">Franklin India Ultra Short Bond Fund - Institutional - Weekly Dividend</t>
        </is>
      </c>
      <c r="C2942" t="inlineStr">
        <is>
          <t xml:space="preserve">INF090I01CE3</t>
        </is>
      </c>
    </row>
    <row r="2943">
      <c r="A2943" t="inlineStr">
        <is>
          <t xml:space="preserve">Franklin Templeton Mutual Fund</t>
        </is>
      </c>
      <c r="B2943" t="inlineStr">
        <is>
          <t xml:space="preserve">Franklin India Ultra Short Bond Fund - Institutional Plan - Daily - IDCW</t>
        </is>
      </c>
      <c r="C2943" t="inlineStr">
        <is>
          <t xml:space="preserve">INF090I01CD5</t>
        </is>
      </c>
    </row>
    <row r="2944">
      <c r="A2944" t="inlineStr">
        <is>
          <t xml:space="preserve">Franklin Templeton Mutual Fund</t>
        </is>
      </c>
      <c r="B2944" t="inlineStr">
        <is>
          <t xml:space="preserve">Franklin India Ultra Short Bond Fund - Retail - Growth</t>
        </is>
      </c>
      <c r="C2944" t="inlineStr">
        <is>
          <t xml:space="preserve">INF090I01CK0</t>
        </is>
      </c>
    </row>
    <row r="2945">
      <c r="A2945" t="inlineStr">
        <is>
          <t xml:space="preserve">Franklin Templeton Mutual Fund</t>
        </is>
      </c>
      <c r="B2945" t="inlineStr">
        <is>
          <t xml:space="preserve">Franklin India Ultra Short Bond Fund - Retail Plan - Daily - IDCW</t>
        </is>
      </c>
      <c r="C2945" t="inlineStr">
        <is>
          <t xml:space="preserve">INF090I01CH6</t>
        </is>
      </c>
    </row>
    <row r="2946">
      <c r="A2946" t="inlineStr">
        <is>
          <t xml:space="preserve">Franklin Templeton Mutual Fund</t>
        </is>
      </c>
      <c r="B2946" t="inlineStr">
        <is>
          <t xml:space="preserve">Franklin India Ultra Short Bond Fund - Retail Plan - Weekly - IDCW</t>
        </is>
      </c>
      <c r="C2946" t="inlineStr">
        <is>
          <t xml:space="preserve">INF090I01CI4</t>
        </is>
      </c>
    </row>
    <row r="2947">
      <c r="A2947" t="inlineStr">
        <is>
          <t xml:space="preserve">Franklin Templeton Mutual Fund</t>
        </is>
      </c>
      <c r="B2947" t="inlineStr">
        <is>
          <t xml:space="preserve">Franklin India Ultra Short Bond Fund - Super Institutional - Growth</t>
        </is>
      </c>
      <c r="C2947" t="inlineStr">
        <is>
          <t xml:space="preserve">INF090I01CN4</t>
        </is>
      </c>
    </row>
    <row r="2948">
      <c r="A2948" t="inlineStr">
        <is>
          <t xml:space="preserve">Franklin Templeton Mutual Fund</t>
        </is>
      </c>
      <c r="B2948" t="inlineStr">
        <is>
          <t xml:space="preserve">Franklin India Ultra Short Bond Fund - Super Institutional Plan - Daily - IDCW</t>
        </is>
      </c>
      <c r="C2948" t="inlineStr">
        <is>
          <t xml:space="preserve">INF090I01CL8</t>
        </is>
      </c>
    </row>
    <row r="2949">
      <c r="A2949" t="inlineStr">
        <is>
          <t xml:space="preserve">Franklin Templeton Mutual Fund</t>
        </is>
      </c>
      <c r="B2949" t="inlineStr">
        <is>
          <t xml:space="preserve">Franklin India Ultra Short Bond Fund - Super Institutional Plan - Direct - Growth</t>
        </is>
      </c>
      <c r="C2949" t="inlineStr">
        <is>
          <t xml:space="preserve">INF090I01JA6</t>
        </is>
      </c>
    </row>
    <row r="2950">
      <c r="A2950" t="inlineStr">
        <is>
          <t xml:space="preserve">Franklin Templeton Mutual Fund</t>
        </is>
      </c>
      <c r="B2950" t="inlineStr">
        <is>
          <t xml:space="preserve">Franklin India Ultra Short Bond Fund - Super Institutional Plan - Weekly - IDCW</t>
        </is>
      </c>
      <c r="C2950" t="inlineStr">
        <is>
          <t xml:space="preserve">INF090I01CM6</t>
        </is>
      </c>
    </row>
    <row r="2951">
      <c r="A2951" t="inlineStr">
        <is>
          <t xml:space="preserve">Franklin Templeton Mutual Fund</t>
        </is>
      </c>
      <c r="B2951" t="inlineStr">
        <is>
          <t xml:space="preserve">Franklin India Ultra Short Bond Fund Super Institutional Plan - Direct - Daily - IDCW</t>
        </is>
      </c>
      <c r="C2951" t="inlineStr">
        <is>
          <t xml:space="preserve">INF090I01JB4</t>
        </is>
      </c>
    </row>
    <row r="2952">
      <c r="A2952" t="inlineStr">
        <is>
          <t xml:space="preserve">Franklin Templeton Mutual Fund</t>
        </is>
      </c>
      <c r="B2952" t="inlineStr">
        <is>
          <t xml:space="preserve">Franklin India Ultra Short Bond Fund Super Institutional Plan - Direct - Weekly - IDCW</t>
        </is>
      </c>
      <c r="C2952" t="inlineStr">
        <is>
          <t xml:space="preserve">INF090I01JC2</t>
        </is>
      </c>
    </row>
    <row r="2953">
      <c r="A2953" t="inlineStr">
        <is>
          <t xml:space="preserve">Franklin Templeton Mutual Fund</t>
        </is>
      </c>
      <c r="B2953" t="inlineStr">
        <is>
          <t xml:space="preserve">Franklin India Ultra Short Bond Fund- Institutional Plan-Segregated Portfolio 1- 8.25% Vodafone Idea Ltd-10JUL20-Daily Dividend Option</t>
        </is>
      </c>
      <c r="C2953" t="inlineStr">
        <is>
          <t xml:space="preserve">INF090I01VF0</t>
        </is>
      </c>
    </row>
    <row r="2954">
      <c r="A2954" t="inlineStr">
        <is>
          <t xml:space="preserve">Franklin Templeton Mutual Fund</t>
        </is>
      </c>
      <c r="B2954" t="inlineStr">
        <is>
          <t xml:space="preserve">Franklin India Ultra Short Bond Fund- Institutional Plan-Segregated Portfolio 1- 8.25% Vodafone Idea Ltd-10JUL20-Growth Option</t>
        </is>
      </c>
      <c r="C2954" t="inlineStr">
        <is>
          <t xml:space="preserve">INF090I01VE3</t>
        </is>
      </c>
    </row>
    <row r="2955">
      <c r="A2955" t="inlineStr">
        <is>
          <t xml:space="preserve">Franklin Templeton Mutual Fund</t>
        </is>
      </c>
      <c r="B2955" t="inlineStr">
        <is>
          <t xml:space="preserve">Franklin India Ultra Short Bond Fund- Retail Plan-Segregated Portfolio 1- 8.25% Vodafone Idea Ltd-10JUL20-Daily Dividend Option</t>
        </is>
      </c>
      <c r="C2955" t="inlineStr">
        <is>
          <t xml:space="preserve">INF090I01VD5</t>
        </is>
      </c>
    </row>
    <row r="2956">
      <c r="A2956" t="inlineStr">
        <is>
          <t xml:space="preserve">Franklin Templeton Mutual Fund</t>
        </is>
      </c>
      <c r="B2956" t="inlineStr">
        <is>
          <t xml:space="preserve">Franklin India Ultra Short Bond Fund- Retail Plan-Segregated Portfolio 1- 8.25% Vodafone Idea Ltd-10JUL20-Growth Option</t>
        </is>
      </c>
      <c r="C2956" t="inlineStr">
        <is>
          <t xml:space="preserve">INF090I01VC7</t>
        </is>
      </c>
    </row>
    <row r="2957">
      <c r="A2957" t="inlineStr">
        <is>
          <t xml:space="preserve">Franklin Templeton Mutual Fund</t>
        </is>
      </c>
      <c r="B2957" t="inlineStr">
        <is>
          <t xml:space="preserve">Franklin India Ultra Short Bond Fund- Retail Plan-Segregated Portfolio 1- 8.25% Vodafone Idea Ltd-10JUL20-Weekly Dividend Option</t>
        </is>
      </c>
      <c r="C2957" t="inlineStr">
        <is>
          <t xml:space="preserve">INF090I01VI4</t>
        </is>
      </c>
    </row>
    <row r="2958">
      <c r="A2958" t="inlineStr">
        <is>
          <t xml:space="preserve">Franklin Templeton Mutual Fund</t>
        </is>
      </c>
      <c r="B2958" t="inlineStr">
        <is>
          <t xml:space="preserve">Franklin India Ultra Short Bond Fund- Super Institutional Plan-Segregated Portfolio 1- 8.25% Vodafone Idea Ltd-10JUL20-Daily Dividend Option</t>
        </is>
      </c>
      <c r="C2958" t="inlineStr">
        <is>
          <t xml:space="preserve">INF090I01VH6</t>
        </is>
      </c>
    </row>
    <row r="2959">
      <c r="A2959" t="inlineStr">
        <is>
          <t xml:space="preserve">Franklin Templeton Mutual Fund</t>
        </is>
      </c>
      <c r="B2959" t="inlineStr">
        <is>
          <t xml:space="preserve">Franklin India Ultra Short Bond Fund- Super Institutional Plan-Segregated Portfolio 1- 8.25% Vodafone Idea Ltd-10JUL20-Direct Daily Dividend Option</t>
        </is>
      </c>
      <c r="C2959" t="inlineStr">
        <is>
          <t xml:space="preserve">INF090I01VL8</t>
        </is>
      </c>
    </row>
    <row r="2960">
      <c r="A2960" t="inlineStr">
        <is>
          <t xml:space="preserve">Franklin Templeton Mutual Fund</t>
        </is>
      </c>
      <c r="B2960" t="inlineStr">
        <is>
          <t xml:space="preserve">Franklin India Ultra Short Bond Fund- Super Institutional Plan-Segregated Portfolio 1- 8.25% Vodafone Idea Ltd-10JUL20-Direct-Growth Option</t>
        </is>
      </c>
      <c r="C2960" t="inlineStr">
        <is>
          <t xml:space="preserve">INF090I01VK0</t>
        </is>
      </c>
    </row>
    <row r="2961">
      <c r="A2961" t="inlineStr">
        <is>
          <t xml:space="preserve">Franklin Templeton Mutual Fund</t>
        </is>
      </c>
      <c r="B2961" t="inlineStr">
        <is>
          <t xml:space="preserve">Franklin India Ultra Short Bond Fund- Super Institutional Plan-Segregated Portfolio 1- 8.25% Vodafone Idea Ltd-10JUL20-Direct-Weekly Dividend Option</t>
        </is>
      </c>
      <c r="C2961" t="inlineStr">
        <is>
          <t xml:space="preserve">INF090I01VM6</t>
        </is>
      </c>
    </row>
    <row r="2962">
      <c r="A2962" t="inlineStr">
        <is>
          <t xml:space="preserve">Franklin Templeton Mutual Fund</t>
        </is>
      </c>
      <c r="B2962" t="inlineStr">
        <is>
          <t xml:space="preserve">Franklin India Ultra Short Bond Fund- Super Institutional Plan-Segregated Portfolio 1- 8.25% Vodafone Idea Ltd-10JUL20-Growth Option</t>
        </is>
      </c>
      <c r="C2962" t="inlineStr">
        <is>
          <t xml:space="preserve">INF090I01VG8</t>
        </is>
      </c>
    </row>
    <row r="2963">
      <c r="A2963" t="inlineStr">
        <is>
          <t xml:space="preserve">Franklin Templeton Mutual Fund</t>
        </is>
      </c>
      <c r="B2963" t="inlineStr">
        <is>
          <t xml:space="preserve">Franklin India Ultra Short Bond Fund- Super Institutional Plan-Segregated Portfolio 1- 8.25% Vodafone Idea Ltd-10JUL20-Weekly Dividend Option</t>
        </is>
      </c>
      <c r="C2963" t="inlineStr">
        <is>
          <t xml:space="preserve">INF090I01VJ2</t>
        </is>
      </c>
    </row>
    <row r="2964">
      <c r="A2964" t="inlineStr">
        <is>
          <t xml:space="preserve">Franklin Templeton Mutual Fund</t>
        </is>
      </c>
      <c r="B2964" t="inlineStr">
        <is>
          <t xml:space="preserve">Franklin India Ultra Short Duration Fund - Direct - Growth</t>
        </is>
      </c>
      <c r="C2964" t="inlineStr">
        <is>
          <t xml:space="preserve">INF090I01XL4</t>
        </is>
      </c>
    </row>
    <row r="2965">
      <c r="A2965" t="inlineStr">
        <is>
          <t xml:space="preserve">Franklin Templeton Mutual Fund</t>
        </is>
      </c>
      <c r="B2965" t="inlineStr">
        <is>
          <t xml:space="preserve">Franklin India Ultra Short Duration Fund - Direct - IDCW</t>
        </is>
      </c>
      <c r="C2965" t="inlineStr">
        <is>
          <t xml:space="preserve">INF090I01XM2</t>
        </is>
      </c>
    </row>
    <row r="2966">
      <c r="A2966" t="inlineStr">
        <is>
          <t xml:space="preserve">Franklin Templeton Mutual Fund</t>
        </is>
      </c>
      <c r="B2966" t="inlineStr">
        <is>
          <t xml:space="preserve">Franklin India Ultra Short Duration Fund - Growth</t>
        </is>
      </c>
      <c r="C2966" t="inlineStr">
        <is>
          <t xml:space="preserve">INF090I01XJ8</t>
        </is>
      </c>
    </row>
    <row r="2967">
      <c r="A2967" t="inlineStr">
        <is>
          <t xml:space="preserve">Franklin Templeton Mutual Fund</t>
        </is>
      </c>
      <c r="B2967" t="inlineStr">
        <is>
          <t xml:space="preserve">Franklin India Ultra Short Duration Fund - IDCW</t>
        </is>
      </c>
      <c r="C2967" t="inlineStr">
        <is>
          <t xml:space="preserve">INF090I01XK6</t>
        </is>
      </c>
    </row>
    <row r="2968">
      <c r="A2968" t="inlineStr">
        <is>
          <t xml:space="preserve">Franklin Templeton Mutual Fund</t>
        </is>
      </c>
      <c r="B2968" t="inlineStr">
        <is>
          <t xml:space="preserve">Franklin U.S. Opportunities Equity Active Fund of Funds - Direct - Growth</t>
        </is>
      </c>
      <c r="C2968" t="inlineStr">
        <is>
          <t xml:space="preserve">INF090I01JR0</t>
        </is>
      </c>
    </row>
    <row r="2969">
      <c r="A2969" t="inlineStr">
        <is>
          <t xml:space="preserve">Franklin Templeton Mutual Fund</t>
        </is>
      </c>
      <c r="B2969" t="inlineStr">
        <is>
          <t xml:space="preserve">Franklin U.S. Opportunities Equity Active Fund of Funds - Direct - IDCW</t>
        </is>
      </c>
      <c r="C2969" t="inlineStr">
        <is>
          <t xml:space="preserve">INF090I01JP4</t>
        </is>
      </c>
    </row>
    <row r="2970">
      <c r="A2970" t="inlineStr">
        <is>
          <t xml:space="preserve">Franklin Templeton Mutual Fund</t>
        </is>
      </c>
      <c r="B2970" t="inlineStr">
        <is>
          <t xml:space="preserve">Franklin U.S. Opportunities Equity Active Fund of Funds - Growth</t>
        </is>
      </c>
      <c r="C2970" t="inlineStr">
        <is>
          <t xml:space="preserve">INF090I01EW1</t>
        </is>
      </c>
    </row>
    <row r="2971">
      <c r="A2971" t="inlineStr">
        <is>
          <t xml:space="preserve">Franklin Templeton Mutual Fund</t>
        </is>
      </c>
      <c r="B2971" t="inlineStr">
        <is>
          <t xml:space="preserve">Franklin U.S. Opportunities Equity Active Fund of Funds - IDCW</t>
        </is>
      </c>
      <c r="C2971" t="inlineStr">
        <is>
          <t xml:space="preserve">INF090I01EV3</t>
        </is>
      </c>
    </row>
    <row r="2972">
      <c r="A2972" t="inlineStr">
        <is>
          <t xml:space="preserve">Groww Mutual Fund</t>
        </is>
      </c>
      <c r="B2972" t="inlineStr">
        <is>
          <t xml:space="preserve">Groww Aggressive Hybrid Fund (formerly known as Indiabulls Equity Hybrid Fund) - Direct Plan - Growth option</t>
        </is>
      </c>
      <c r="C2972" t="inlineStr">
        <is>
          <t xml:space="preserve">INF666M01FA3</t>
        </is>
      </c>
    </row>
    <row r="2973">
      <c r="A2973" t="inlineStr">
        <is>
          <t xml:space="preserve">Groww Mutual Fund</t>
        </is>
      </c>
      <c r="B2973" t="inlineStr">
        <is>
          <t xml:space="preserve">Groww Aggressive Hybrid Fund (formerly known as Indiabulls Equity Hybrid Fund) - Regular Plan - Growth option</t>
        </is>
      </c>
      <c r="C2973" t="inlineStr">
        <is>
          <t xml:space="preserve">INF666M01FJ4</t>
        </is>
      </c>
    </row>
    <row r="2974">
      <c r="A2974" t="inlineStr">
        <is>
          <t xml:space="preserve">Groww Mutual Fund</t>
        </is>
      </c>
      <c r="B2974" t="inlineStr">
        <is>
          <t xml:space="preserve">Groww Aggressive Hybrid Fund (formerly known as Indiabulls Equity Hybrid Fund)- Direct Plan- - Income Distribution cum capital withdrawal Option (Payout &amp; Reinvestment)</t>
        </is>
      </c>
      <c r="C2974" t="inlineStr">
        <is>
          <t xml:space="preserve">INF666M01FB1</t>
        </is>
      </c>
    </row>
    <row r="2975">
      <c r="A2975" t="inlineStr">
        <is>
          <t xml:space="preserve">Groww Mutual Fund</t>
        </is>
      </c>
      <c r="B2975" t="inlineStr">
        <is>
          <t xml:space="preserve">Groww Aggressive Hybrid Fund (formerly known as Indiabulls Equity Hybrid Fund)- Direct Plan- Half Yearly - Income Distribution cum capital withdrawal Option (Payout &amp; Reinvestment)</t>
        </is>
      </c>
      <c r="C2975" t="inlineStr">
        <is>
          <t xml:space="preserve">INF666M01FH8</t>
        </is>
      </c>
    </row>
    <row r="2976">
      <c r="A2976" t="inlineStr">
        <is>
          <t xml:space="preserve">Groww Mutual Fund</t>
        </is>
      </c>
      <c r="B2976" t="inlineStr">
        <is>
          <t xml:space="preserve">Groww Aggressive Hybrid Fund (formerly known as Indiabulls Equity Hybrid Fund)- Direct Plan- Monthly - Income Distribution cum capital withdrawal Option (Payout &amp; Reinvestment)</t>
        </is>
      </c>
      <c r="C2976" t="inlineStr">
        <is>
          <t xml:space="preserve">INF666M01FD7</t>
        </is>
      </c>
    </row>
    <row r="2977">
      <c r="A2977" t="inlineStr">
        <is>
          <t xml:space="preserve">Groww Mutual Fund</t>
        </is>
      </c>
      <c r="B2977" t="inlineStr">
        <is>
          <t xml:space="preserve">Groww Aggressive Hybrid Fund (formerly known as Indiabulls Equity Hybrid Fund)- Direct Plan- Quarterly - Income Distribution cum capital withdrawal Option (Payout &amp; Reinvestment)</t>
        </is>
      </c>
      <c r="C2977" t="inlineStr">
        <is>
          <t xml:space="preserve">INF666M01FF2</t>
        </is>
      </c>
    </row>
    <row r="2978">
      <c r="A2978" t="inlineStr">
        <is>
          <t xml:space="preserve">Groww Mutual Fund</t>
        </is>
      </c>
      <c r="B2978" t="inlineStr">
        <is>
          <t xml:space="preserve">Groww Aggressive Hybrid Fund (formerly known as Indiabulls Equity Hybrid Fund)- Regular Plan- - Income Distribution cum capital withdrawal Option (Payout &amp; Reinvestment)</t>
        </is>
      </c>
      <c r="C2978" t="inlineStr">
        <is>
          <t xml:space="preserve">INF666M01FK2</t>
        </is>
      </c>
    </row>
    <row r="2979">
      <c r="A2979" t="inlineStr">
        <is>
          <t xml:space="preserve">Groww Mutual Fund</t>
        </is>
      </c>
      <c r="B2979" t="inlineStr">
        <is>
          <t xml:space="preserve">Groww Aggressive Hybrid Fund (formerly known as Indiabulls Equity Hybrid Fund)- Regular Plan- Half Yearly - Income Distribution cum capital withdrawal Option (Payout &amp; Reinvestment)</t>
        </is>
      </c>
      <c r="C2979" t="inlineStr">
        <is>
          <t xml:space="preserve">INF666M01FQ9</t>
        </is>
      </c>
    </row>
    <row r="2980">
      <c r="A2980" t="inlineStr">
        <is>
          <t xml:space="preserve">Groww Mutual Fund</t>
        </is>
      </c>
      <c r="B2980" t="inlineStr">
        <is>
          <t xml:space="preserve">Groww Aggressive Hybrid Fund (formerly known as Indiabulls Equity Hybrid Fund)- Regular Plan- Monthly - Income Distribution cum capital withdrawal Option (Payout &amp; Reinvestment.</t>
        </is>
      </c>
      <c r="C2980" t="inlineStr">
        <is>
          <t xml:space="preserve">INF666M01FM8</t>
        </is>
      </c>
    </row>
    <row r="2981">
      <c r="A2981" t="inlineStr">
        <is>
          <t xml:space="preserve">Groww Mutual Fund</t>
        </is>
      </c>
      <c r="B2981" t="inlineStr">
        <is>
          <t xml:space="preserve">Groww Aggressive Hybrid Fund (formerly known as Indiabulls Equity Hybrid Fund)- Regular Plan- Quarterly - Income Distribution cum capital withdrawal Option (Payout &amp; Reinvestment)</t>
        </is>
      </c>
      <c r="C2981" t="inlineStr">
        <is>
          <t xml:space="preserve">INF666M01FO4</t>
        </is>
      </c>
    </row>
    <row r="2982">
      <c r="A2982" t="inlineStr">
        <is>
          <t xml:space="preserve">Groww Mutual Fund</t>
        </is>
      </c>
      <c r="B2982" t="inlineStr">
        <is>
          <t xml:space="preserve">Groww Arbitrage Fund Direct Growth</t>
        </is>
      </c>
      <c r="C2982" t="inlineStr">
        <is>
          <t xml:space="preserve">INF666M01ON8</t>
        </is>
      </c>
    </row>
    <row r="2983">
      <c r="A2983" t="inlineStr">
        <is>
          <t xml:space="preserve">Groww Mutual Fund</t>
        </is>
      </c>
      <c r="B2983" t="inlineStr">
        <is>
          <t xml:space="preserve">Groww Arbitrage Fund Direct IDCW</t>
        </is>
      </c>
      <c r="C2983" t="inlineStr">
        <is>
          <t xml:space="preserve">INF666M01OO6</t>
        </is>
      </c>
    </row>
    <row r="2984">
      <c r="A2984" t="inlineStr">
        <is>
          <t xml:space="preserve">Groww Mutual Fund</t>
        </is>
      </c>
      <c r="B2984" t="inlineStr">
        <is>
          <t xml:space="preserve">Groww Arbitrage Fund Regular Growth</t>
        </is>
      </c>
      <c r="C2984" t="inlineStr">
        <is>
          <t xml:space="preserve">INF666M01OQ1</t>
        </is>
      </c>
    </row>
    <row r="2985">
      <c r="A2985" t="inlineStr">
        <is>
          <t xml:space="preserve">Groww Mutual Fund</t>
        </is>
      </c>
      <c r="B2985" t="inlineStr">
        <is>
          <t xml:space="preserve">Groww Arbitrage Fund Regular IDCW</t>
        </is>
      </c>
      <c r="C2985" t="inlineStr">
        <is>
          <t xml:space="preserve">INF666M01OR9</t>
        </is>
      </c>
    </row>
    <row r="2986">
      <c r="A2986" t="inlineStr">
        <is>
          <t xml:space="preserve">Groww Mutual Fund</t>
        </is>
      </c>
      <c r="B2986" t="inlineStr">
        <is>
          <t xml:space="preserve">Groww Banking &amp; Financial Services Fund - Direct Plan - Growth</t>
        </is>
      </c>
      <c r="C2986" t="inlineStr">
        <is>
          <t xml:space="preserve">INF666M01HS1</t>
        </is>
      </c>
    </row>
    <row r="2987">
      <c r="A2987" t="inlineStr">
        <is>
          <t xml:space="preserve">Groww Mutual Fund</t>
        </is>
      </c>
      <c r="B2987" t="inlineStr">
        <is>
          <t xml:space="preserve">Groww Banking &amp; Financial Services Fund - Regular - Growth</t>
        </is>
      </c>
      <c r="C2987" t="inlineStr">
        <is>
          <t xml:space="preserve">INF666M01HP7</t>
        </is>
      </c>
    </row>
    <row r="2988">
      <c r="A2988" t="inlineStr">
        <is>
          <t xml:space="preserve">Groww Mutual Fund</t>
        </is>
      </c>
      <c r="B2988" t="inlineStr">
        <is>
          <t xml:space="preserve">Groww Banking &amp; Financial Services Fund - Regular Plan - IDCW</t>
        </is>
      </c>
      <c r="C2988" t="inlineStr">
        <is>
          <t xml:space="preserve">INF666M01HQ5</t>
        </is>
      </c>
    </row>
    <row r="2989">
      <c r="A2989" t="inlineStr">
        <is>
          <t xml:space="preserve">Groww Mutual Fund</t>
        </is>
      </c>
      <c r="B2989" t="inlineStr">
        <is>
          <t xml:space="preserve">Groww Banking &amp; Financial Services Fund-IDCW</t>
        </is>
      </c>
      <c r="C2989" t="inlineStr">
        <is>
          <t xml:space="preserve">INF666M01HT9</t>
        </is>
      </c>
    </row>
    <row r="2990">
      <c r="A2990" t="inlineStr">
        <is>
          <t xml:space="preserve">Groww Mutual Fund</t>
        </is>
      </c>
      <c r="B2990" t="inlineStr">
        <is>
          <t xml:space="preserve">Groww BSE Hospitals ETF</t>
        </is>
      </c>
      <c r="C2990" t="inlineStr">
        <is>
          <t xml:space="preserve">INF666M01OD9</t>
        </is>
      </c>
    </row>
    <row r="2991">
      <c r="A2991" t="inlineStr">
        <is>
          <t xml:space="preserve">Groww Mutual Fund</t>
        </is>
      </c>
      <c r="B2991" t="inlineStr">
        <is>
          <t xml:space="preserve">Groww BSE Hospitals ETF FOF Direct Growth</t>
        </is>
      </c>
      <c r="C2991" t="inlineStr">
        <is>
          <t xml:space="preserve">INF666M01NX9</t>
        </is>
      </c>
    </row>
    <row r="2992">
      <c r="A2992" t="inlineStr">
        <is>
          <t xml:space="preserve">Groww Mutual Fund</t>
        </is>
      </c>
      <c r="B2992" t="inlineStr">
        <is>
          <t xml:space="preserve">Groww BSE Hospitals ETF FOF Direct IDCW</t>
        </is>
      </c>
      <c r="C2992" t="inlineStr">
        <is>
          <t xml:space="preserve">INF666M01NY7</t>
        </is>
      </c>
    </row>
    <row r="2993">
      <c r="A2993" t="inlineStr">
        <is>
          <t xml:space="preserve">Groww Mutual Fund</t>
        </is>
      </c>
      <c r="B2993" t="inlineStr">
        <is>
          <t xml:space="preserve">Groww BSE Hospitals ETF FOF Regular Growth</t>
        </is>
      </c>
      <c r="C2993" t="inlineStr">
        <is>
          <t xml:space="preserve">INF666M01OA5</t>
        </is>
      </c>
    </row>
    <row r="2994">
      <c r="A2994" t="inlineStr">
        <is>
          <t xml:space="preserve">Groww Mutual Fund</t>
        </is>
      </c>
      <c r="B2994" t="inlineStr">
        <is>
          <t xml:space="preserve">Groww BSE Hospitals ETF FOF Regular IDCW</t>
        </is>
      </c>
      <c r="C2994" t="inlineStr">
        <is>
          <t xml:space="preserve">INF666M01OB3</t>
        </is>
      </c>
    </row>
    <row r="2995">
      <c r="A2995" t="inlineStr">
        <is>
          <t xml:space="preserve">Groww Mutual Fund</t>
        </is>
      </c>
      <c r="B2995" t="inlineStr">
        <is>
          <t xml:space="preserve">Groww BSE Power ETF</t>
        </is>
      </c>
      <c r="C2995" t="inlineStr">
        <is>
          <t xml:space="preserve">INF666M01LM6</t>
        </is>
      </c>
    </row>
    <row r="2996">
      <c r="A2996" t="inlineStr">
        <is>
          <t xml:space="preserve">Groww Mutual Fund</t>
        </is>
      </c>
      <c r="B2996" t="inlineStr">
        <is>
          <t xml:space="preserve">Groww BSE Power ETF FOF Direct Growth</t>
        </is>
      </c>
      <c r="C2996" t="inlineStr">
        <is>
          <t xml:space="preserve">INF666M01LN4</t>
        </is>
      </c>
    </row>
    <row r="2997">
      <c r="A2997" t="inlineStr">
        <is>
          <t xml:space="preserve">Groww Mutual Fund</t>
        </is>
      </c>
      <c r="B2997" t="inlineStr">
        <is>
          <t xml:space="preserve">Groww BSE Power ETF FOF Direct IDCW</t>
        </is>
      </c>
      <c r="C2997" t="inlineStr">
        <is>
          <t xml:space="preserve">INF666M01LO2</t>
        </is>
      </c>
    </row>
    <row r="2998">
      <c r="A2998" t="inlineStr">
        <is>
          <t xml:space="preserve">Groww Mutual Fund</t>
        </is>
      </c>
      <c r="B2998" t="inlineStr">
        <is>
          <t xml:space="preserve">Groww BSE Power ETF FOF Regular Growth</t>
        </is>
      </c>
      <c r="C2998" t="inlineStr">
        <is>
          <t xml:space="preserve">INF666M01LQ7</t>
        </is>
      </c>
    </row>
    <row r="2999">
      <c r="A2999" t="inlineStr">
        <is>
          <t xml:space="preserve">Groww Mutual Fund</t>
        </is>
      </c>
      <c r="B2999" t="inlineStr">
        <is>
          <t xml:space="preserve">Groww BSE Power ETF FOF Regular IDCW</t>
        </is>
      </c>
      <c r="C2999" t="inlineStr">
        <is>
          <t xml:space="preserve">INF666M01LR5</t>
        </is>
      </c>
    </row>
    <row r="3000">
      <c r="A3000" t="inlineStr">
        <is>
          <t xml:space="preserve">Groww Mutual Fund</t>
        </is>
      </c>
      <c r="B3000" t="inlineStr">
        <is>
          <t xml:space="preserve">Groww Dynamic Term Fund (formerly known as Indiabulls Dynamic Bond Fund) - Direct Plan - Growth option</t>
        </is>
      </c>
      <c r="C3000" t="inlineStr">
        <is>
          <t xml:space="preserve">INF666M01EK5</t>
        </is>
      </c>
    </row>
    <row r="3001">
      <c r="A3001" t="inlineStr">
        <is>
          <t xml:space="preserve">Groww Mutual Fund</t>
        </is>
      </c>
      <c r="B3001" t="inlineStr">
        <is>
          <t xml:space="preserve">Groww Dynamic Term Fund (formerly known as Indiabulls Dynamic Bond Fund) - Regular Plan - Growth option</t>
        </is>
      </c>
      <c r="C3001" t="inlineStr">
        <is>
          <t xml:space="preserve">INF666M01ES8</t>
        </is>
      </c>
    </row>
    <row r="3002">
      <c r="A3002" t="inlineStr">
        <is>
          <t xml:space="preserve">Groww Mutual Fund</t>
        </is>
      </c>
      <c r="B3002" t="inlineStr">
        <is>
          <t xml:space="preserve">Groww Dynamic Term Fund (formerly known as Indiabulls Dynamic Bond Fund)- Direct Plan- - Income Distribution cum capital withdrawal Option ( Reinvestment)</t>
        </is>
      </c>
      <c r="C3002" t="inlineStr">
        <is>
          <t xml:space="preserve">INF666M01EL3</t>
        </is>
      </c>
    </row>
    <row r="3003">
      <c r="A3003" t="inlineStr">
        <is>
          <t xml:space="preserve">Groww Mutual Fund</t>
        </is>
      </c>
      <c r="B3003" t="inlineStr">
        <is>
          <t xml:space="preserve">Groww Dynamic Term Fund (formerly known as Indiabulls Dynamic Bond Fund)- Direct Plan- Fortnightly - Income Distribution cum capital withdrawal Option (Payout &amp; Reinvestment)</t>
        </is>
      </c>
      <c r="C3003" t="inlineStr">
        <is>
          <t xml:space="preserve">INF666M01EO7</t>
        </is>
      </c>
    </row>
    <row r="3004">
      <c r="A3004" t="inlineStr">
        <is>
          <t xml:space="preserve">Groww Mutual Fund</t>
        </is>
      </c>
      <c r="B3004" t="inlineStr">
        <is>
          <t xml:space="preserve">Groww Dynamic Term Fund (formerly known as Indiabulls Dynamic Bond Fund)- Direct Plan- Monthly - Income Distribution cum capital withdrawal Option (Payout &amp; Reinvestment)</t>
        </is>
      </c>
      <c r="C3004" t="inlineStr">
        <is>
          <t xml:space="preserve">INF666M01EQ2</t>
        </is>
      </c>
    </row>
    <row r="3005">
      <c r="A3005" t="inlineStr">
        <is>
          <t xml:space="preserve">Groww Mutual Fund</t>
        </is>
      </c>
      <c r="B3005" t="inlineStr">
        <is>
          <t xml:space="preserve">Groww Dynamic Term Fund (formerly known as Indiabulls Dynamic Bond Fund)- Direct Plan- Weekly - Income Distribution cum capital withdrawal Option (Payout &amp; Reinvestment)</t>
        </is>
      </c>
      <c r="C3005" t="inlineStr">
        <is>
          <t xml:space="preserve">INF666M01EM1</t>
        </is>
      </c>
    </row>
    <row r="3006">
      <c r="A3006" t="inlineStr">
        <is>
          <t xml:space="preserve">Groww Mutual Fund</t>
        </is>
      </c>
      <c r="B3006" t="inlineStr">
        <is>
          <t xml:space="preserve">Groww Dynamic Term Fund (formerly known as Indiabulls Dynamic Bond Fund)- Regular Plan- - Income Distribution cum capital withdrawal Option ( Reinvestment)</t>
        </is>
      </c>
      <c r="C3006" t="inlineStr">
        <is>
          <t xml:space="preserve">INF666M01ET6</t>
        </is>
      </c>
    </row>
    <row r="3007">
      <c r="A3007" t="inlineStr">
        <is>
          <t xml:space="preserve">Groww Mutual Fund</t>
        </is>
      </c>
      <c r="B3007" t="inlineStr">
        <is>
          <t xml:space="preserve">Groww Dynamic Term Fund (formerly known as Indiabulls Dynamic Bond Fund)- Regular Plan- Fortnightly - Income Distribution cum capital withdrawal Option (Payout &amp; Reinvestment)</t>
        </is>
      </c>
      <c r="C3007" t="inlineStr">
        <is>
          <t xml:space="preserve">INF666M01EW0</t>
        </is>
      </c>
    </row>
    <row r="3008">
      <c r="A3008" t="inlineStr">
        <is>
          <t xml:space="preserve">Groww Mutual Fund</t>
        </is>
      </c>
      <c r="B3008" t="inlineStr">
        <is>
          <t xml:space="preserve">Groww Dynamic Term Fund (formerly known as Indiabulls Dynamic Bond Fund)- Regular Plan- Monthly - Income Distribution cum capital withdrawal Option (Payout &amp; Reinvestment)</t>
        </is>
      </c>
      <c r="C3008" t="inlineStr">
        <is>
          <t xml:space="preserve">INF666M01EY6</t>
        </is>
      </c>
    </row>
    <row r="3009">
      <c r="A3009" t="inlineStr">
        <is>
          <t xml:space="preserve">Groww Mutual Fund</t>
        </is>
      </c>
      <c r="B3009" t="inlineStr">
        <is>
          <t xml:space="preserve">Groww Dynamic Term Fund (formerly known as Indiabulls Dynamic Bond Fund)- Regular Plan- Weekly - Income Distribution cum capital withdrawal Option (Payout &amp; Reinvestment)</t>
        </is>
      </c>
      <c r="C3009" t="inlineStr">
        <is>
          <t xml:space="preserve">INF666M01EU4</t>
        </is>
      </c>
    </row>
    <row r="3010">
      <c r="A3010" t="inlineStr">
        <is>
          <t xml:space="preserve">Groww Mutual Fund</t>
        </is>
      </c>
      <c r="B3010" t="inlineStr">
        <is>
          <t xml:space="preserve">Groww ELSS Tax Saver Fund (formerly known as Indiabulls Tax Savings Fund)- Direct Plan- Dividend Option</t>
        </is>
      </c>
      <c r="C3010" t="inlineStr">
        <is>
          <t xml:space="preserve">INF666M01DL5</t>
        </is>
      </c>
    </row>
    <row r="3011">
      <c r="A3011" t="inlineStr">
        <is>
          <t xml:space="preserve">Groww Mutual Fund</t>
        </is>
      </c>
      <c r="B3011" t="inlineStr">
        <is>
          <t xml:space="preserve">Groww ELSS Tax Saver Fund (formerly known as Indiabulls Tax Savings Fund)- Direct Plan- Growth Option</t>
        </is>
      </c>
      <c r="C3011" t="inlineStr">
        <is>
          <t xml:space="preserve">INF666M01DK7</t>
        </is>
      </c>
    </row>
    <row r="3012">
      <c r="A3012" t="inlineStr">
        <is>
          <t xml:space="preserve">Groww Mutual Fund</t>
        </is>
      </c>
      <c r="B3012" t="inlineStr">
        <is>
          <t xml:space="preserve">Groww ELSS Tax Saver Fund (formerly known as Indiabulls Tax Savings Fund)- Regular Plan- - Income Distribution cum capital withdrawal Option (Payout)</t>
        </is>
      </c>
      <c r="C3012" t="inlineStr">
        <is>
          <t xml:space="preserve">INF666M01DO9</t>
        </is>
      </c>
    </row>
    <row r="3013">
      <c r="A3013" t="inlineStr">
        <is>
          <t xml:space="preserve">Groww Mutual Fund</t>
        </is>
      </c>
      <c r="B3013" t="inlineStr">
        <is>
          <t xml:space="preserve">Groww ELSS Tax Saver Fund (formerly known as Indiabulls Tax Savings Fund)-Regular Plan-Growth Option</t>
        </is>
      </c>
      <c r="C3013" t="inlineStr">
        <is>
          <t xml:space="preserve">INF666M01DN1</t>
        </is>
      </c>
    </row>
    <row r="3014">
      <c r="A3014" t="inlineStr">
        <is>
          <t xml:space="preserve">Groww Mutual Fund</t>
        </is>
      </c>
      <c r="B3014" t="inlineStr">
        <is>
          <t xml:space="preserve">Groww Gilt Fund - Direct - Growth</t>
        </is>
      </c>
      <c r="C3014" t="inlineStr">
        <is>
          <t xml:space="preserve">INF666M01KK2</t>
        </is>
      </c>
    </row>
    <row r="3015">
      <c r="A3015" t="inlineStr">
        <is>
          <t xml:space="preserve">Groww Mutual Fund</t>
        </is>
      </c>
      <c r="B3015" t="inlineStr">
        <is>
          <t xml:space="preserve">Groww Gilt Fund - Direct - IDCW</t>
        </is>
      </c>
      <c r="C3015" t="inlineStr">
        <is>
          <t xml:space="preserve">INF666M01KL0</t>
        </is>
      </c>
    </row>
    <row r="3016">
      <c r="A3016" t="inlineStr">
        <is>
          <t xml:space="preserve">Groww Mutual Fund</t>
        </is>
      </c>
      <c r="B3016" t="inlineStr">
        <is>
          <t xml:space="preserve">Groww Gilt Fund - Regular - Growth</t>
        </is>
      </c>
      <c r="C3016" t="inlineStr">
        <is>
          <t xml:space="preserve">INF666M01KN6</t>
        </is>
      </c>
    </row>
    <row r="3017">
      <c r="A3017" t="inlineStr">
        <is>
          <t xml:space="preserve">Groww Mutual Fund</t>
        </is>
      </c>
      <c r="B3017" t="inlineStr">
        <is>
          <t xml:space="preserve">Groww Gilt Fund - Regular - IDCW</t>
        </is>
      </c>
      <c r="C3017" t="inlineStr">
        <is>
          <t xml:space="preserve">INF666M01KO4</t>
        </is>
      </c>
    </row>
    <row r="3018">
      <c r="A3018" t="inlineStr">
        <is>
          <t xml:space="preserve">Groww Mutual Fund</t>
        </is>
      </c>
      <c r="B3018" t="inlineStr">
        <is>
          <t xml:space="preserve">Groww Gold ETF</t>
        </is>
      </c>
      <c r="C3018" t="inlineStr">
        <is>
          <t xml:space="preserve">INF666M01OE7</t>
        </is>
      </c>
    </row>
    <row r="3019">
      <c r="A3019" t="inlineStr">
        <is>
          <t xml:space="preserve">Groww Mutual Fund</t>
        </is>
      </c>
      <c r="B3019" t="inlineStr">
        <is>
          <t xml:space="preserve">Groww Gold ETF FOF - DIRECT - GROWTH</t>
        </is>
      </c>
      <c r="C3019" t="inlineStr">
        <is>
          <t xml:space="preserve">INF666M01IX9</t>
        </is>
      </c>
    </row>
    <row r="3020">
      <c r="A3020" t="inlineStr">
        <is>
          <t xml:space="preserve">Groww Mutual Fund</t>
        </is>
      </c>
      <c r="B3020" t="inlineStr">
        <is>
          <t xml:space="preserve">Groww Gold ETF FOF - DIRECT - IDCW</t>
        </is>
      </c>
      <c r="C3020" t="inlineStr">
        <is>
          <t xml:space="preserve">INF666M01IY7</t>
        </is>
      </c>
    </row>
    <row r="3021">
      <c r="A3021" t="inlineStr">
        <is>
          <t xml:space="preserve">Groww Mutual Fund</t>
        </is>
      </c>
      <c r="B3021" t="inlineStr">
        <is>
          <t xml:space="preserve">Groww Gold ETF FOF - REGULAR - GROWTH</t>
        </is>
      </c>
      <c r="C3021" t="inlineStr">
        <is>
          <t xml:space="preserve">INF666M01JA5</t>
        </is>
      </c>
    </row>
    <row r="3022">
      <c r="A3022" t="inlineStr">
        <is>
          <t xml:space="preserve">Groww Mutual Fund</t>
        </is>
      </c>
      <c r="B3022" t="inlineStr">
        <is>
          <t xml:space="preserve">Groww Gold ETF FOF - REGULAR - IDCW</t>
        </is>
      </c>
      <c r="C3022" t="inlineStr">
        <is>
          <t xml:space="preserve">INF666M01JB3</t>
        </is>
      </c>
    </row>
    <row r="3023">
      <c r="A3023" t="inlineStr">
        <is>
          <t xml:space="preserve">Groww Mutual Fund</t>
        </is>
      </c>
      <c r="B3023" t="inlineStr">
        <is>
          <t xml:space="preserve">Groww Largecap Fund (formerly known as Indiabulls Blue Chip Fund) - Direct Plan - Growth Option</t>
        </is>
      </c>
      <c r="C3023" t="inlineStr">
        <is>
          <t xml:space="preserve">INF666M01600</t>
        </is>
      </c>
    </row>
    <row r="3024">
      <c r="A3024" t="inlineStr">
        <is>
          <t xml:space="preserve">Groww Mutual Fund</t>
        </is>
      </c>
      <c r="B3024" t="inlineStr">
        <is>
          <t xml:space="preserve">Groww Largecap Fund (formerly known as Indiabulls Blue Chip Fund) - Regular Plan- Growth Option</t>
        </is>
      </c>
      <c r="C3024" t="inlineStr">
        <is>
          <t xml:space="preserve">INF666M01162</t>
        </is>
      </c>
    </row>
    <row r="3025">
      <c r="A3025" t="inlineStr">
        <is>
          <t xml:space="preserve">Groww Mutual Fund</t>
        </is>
      </c>
      <c r="B3025" t="inlineStr">
        <is>
          <t xml:space="preserve">Groww Largecap Fund (formerly known as Indiabulls Bluechip Fund)- Direct Plan- - Income Distribution cum capital withdrawal Option (Payout &amp; Reinvestment)</t>
        </is>
      </c>
      <c r="C3025" t="inlineStr">
        <is>
          <t xml:space="preserve">INF666M01626</t>
        </is>
      </c>
    </row>
    <row r="3026">
      <c r="A3026" t="inlineStr">
        <is>
          <t xml:space="preserve">Groww Mutual Fund</t>
        </is>
      </c>
      <c r="B3026" t="inlineStr">
        <is>
          <t xml:space="preserve">Groww Largecap Fund (formerly known as Indiabulls Bluechip Fund)- Direct Plan- Half Yearly -Income Distribution cum capital withdrawal Option (Payout &amp; Reinvestment)</t>
        </is>
      </c>
      <c r="C3026" t="inlineStr">
        <is>
          <t xml:space="preserve">INF666M01CQ6</t>
        </is>
      </c>
    </row>
    <row r="3027">
      <c r="A3027" t="inlineStr">
        <is>
          <t xml:space="preserve">Groww Mutual Fund</t>
        </is>
      </c>
      <c r="B3027" t="inlineStr">
        <is>
          <t xml:space="preserve">Groww Largecap Fund (formerly known as Indiabulls Bluechip Fund)- Direct Plan- Monthly - Income Distribution cum capital withdrawal Option (Payout &amp; Reinvestment)</t>
        </is>
      </c>
      <c r="C3027" t="inlineStr">
        <is>
          <t xml:space="preserve">INF666M01CM5</t>
        </is>
      </c>
    </row>
    <row r="3028">
      <c r="A3028" t="inlineStr">
        <is>
          <t xml:space="preserve">Groww Mutual Fund</t>
        </is>
      </c>
      <c r="B3028" t="inlineStr">
        <is>
          <t xml:space="preserve">Groww Largecap Fund (formerly known as Indiabulls Bluechip Fund)- Direct Plan- Quarterly - Income Distribution cum capital withdrawal Option (Payout &amp; Reinvestment)</t>
        </is>
      </c>
      <c r="C3028" t="inlineStr">
        <is>
          <t xml:space="preserve">INF666M01CO1</t>
        </is>
      </c>
    </row>
    <row r="3029">
      <c r="A3029" t="inlineStr">
        <is>
          <t xml:space="preserve">Groww Mutual Fund</t>
        </is>
      </c>
      <c r="B3029" t="inlineStr">
        <is>
          <t xml:space="preserve">Groww Largecap Fund (formerly known as Indiabulls Bluechip Fund)- Regular Plan- - Income Distribution cum capital withdrawal Option (Payout &amp; Reinvestment)</t>
        </is>
      </c>
      <c r="C3029" t="inlineStr">
        <is>
          <t xml:space="preserve">INF666M01188</t>
        </is>
      </c>
    </row>
    <row r="3030">
      <c r="A3030" t="inlineStr">
        <is>
          <t xml:space="preserve">Groww Mutual Fund</t>
        </is>
      </c>
      <c r="B3030" t="inlineStr">
        <is>
          <t xml:space="preserve">Groww Largecap Fund (formerly known as Indiabulls Bluechip Fund)- Regular Plan- Half Yearly - Income Distribution cum capital withdrawal Option (Payout &amp; Reinvestment)</t>
        </is>
      </c>
      <c r="C3030" t="inlineStr">
        <is>
          <t xml:space="preserve">INF666M01CW4</t>
        </is>
      </c>
    </row>
    <row r="3031">
      <c r="A3031" t="inlineStr">
        <is>
          <t xml:space="preserve">Groww Mutual Fund</t>
        </is>
      </c>
      <c r="B3031" t="inlineStr">
        <is>
          <t xml:space="preserve">Groww Largecap Fund (formerly known as Indiabulls Bluechip Fund)- Regular Plan- Monthly - Income Distribution cum capital withdrawal Option (Payout &amp; Reinvestment)</t>
        </is>
      </c>
      <c r="C3031" t="inlineStr">
        <is>
          <t xml:space="preserve">INF666M01CS2</t>
        </is>
      </c>
    </row>
    <row r="3032">
      <c r="A3032" t="inlineStr">
        <is>
          <t xml:space="preserve">Groww Mutual Fund</t>
        </is>
      </c>
      <c r="B3032" t="inlineStr">
        <is>
          <t xml:space="preserve">Groww Largecap Fund (formerly known as Indiabulls Bluechip Fund)- Regular Plan- Quarterly - Income Distribution cum capital withdrawal Option (Payout &amp; Reinvestment)</t>
        </is>
      </c>
      <c r="C3032" t="inlineStr">
        <is>
          <t xml:space="preserve">INF666M01CU8</t>
        </is>
      </c>
    </row>
    <row r="3033">
      <c r="A3033" t="inlineStr">
        <is>
          <t xml:space="preserve">Groww Mutual Fund</t>
        </is>
      </c>
      <c r="B3033" t="inlineStr">
        <is>
          <t xml:space="preserve">Groww Liquid Fund ( formerly known as Indiabulls Liquid )Fund - Direct Plan - Growth Option</t>
        </is>
      </c>
      <c r="C3033" t="inlineStr">
        <is>
          <t xml:space="preserve">INF666M01451</t>
        </is>
      </c>
    </row>
    <row r="3034">
      <c r="A3034" t="inlineStr">
        <is>
          <t xml:space="preserve">Groww Mutual Fund</t>
        </is>
      </c>
      <c r="B3034" t="inlineStr">
        <is>
          <t xml:space="preserve">Groww Liquid Fund (formerly known as Indiabulls Liquid Fund) - Direct Plan- - Income Distribution cum capital withdrawal Option ( Reinvestment)</t>
        </is>
      </c>
      <c r="C3034" t="inlineStr">
        <is>
          <t xml:space="preserve">INF666M01469</t>
        </is>
      </c>
    </row>
    <row r="3035">
      <c r="A3035" t="inlineStr">
        <is>
          <t xml:space="preserve">Groww Mutual Fund</t>
        </is>
      </c>
      <c r="B3035" t="inlineStr">
        <is>
          <t xml:space="preserve">Groww Liquid Fund (formerly known as Indiabulls Liquid Fund) - Regular Plan - Growth Option</t>
        </is>
      </c>
      <c r="C3035" t="inlineStr">
        <is>
          <t xml:space="preserve">INF666M01014</t>
        </is>
      </c>
    </row>
    <row r="3036">
      <c r="A3036" t="inlineStr">
        <is>
          <t xml:space="preserve">Groww Mutual Fund</t>
        </is>
      </c>
      <c r="B3036" t="inlineStr">
        <is>
          <t xml:space="preserve">Groww Liquid Fund (formerly known as Indiabulls Liquid Fund)- Direct Plan- Fortnightly - Income Distribution cum capital withdrawal Option (Payout &amp; Reinvestment)</t>
        </is>
      </c>
      <c r="C3036" t="inlineStr">
        <is>
          <t xml:space="preserve">INF666M01501</t>
        </is>
      </c>
    </row>
    <row r="3037">
      <c r="A3037" t="inlineStr">
        <is>
          <t xml:space="preserve">Groww Mutual Fund</t>
        </is>
      </c>
      <c r="B3037" t="inlineStr">
        <is>
          <t xml:space="preserve">Groww Liquid Fund (formerly known as Indiabulls Liquid Fund)- Direct Plan- Monthly - Income Distribution cum capital withdrawal Option (Payout &amp; Reinvestment)</t>
        </is>
      </c>
      <c r="C3037" t="inlineStr">
        <is>
          <t xml:space="preserve">INF666M01519</t>
        </is>
      </c>
    </row>
    <row r="3038">
      <c r="A3038" t="inlineStr">
        <is>
          <t xml:space="preserve">Groww Mutual Fund</t>
        </is>
      </c>
      <c r="B3038" t="inlineStr">
        <is>
          <t xml:space="preserve">Groww Liquid Fund (formerly known as Indiabulls Liquid Fund)- Direct Plan- Weekly - Income Distribution cum capital withdrawal Option (Payout &amp; Reinvestment)</t>
        </is>
      </c>
      <c r="C3038" t="inlineStr">
        <is>
          <t xml:space="preserve">INF666M01527</t>
        </is>
      </c>
    </row>
    <row r="3039">
      <c r="A3039" t="inlineStr">
        <is>
          <t xml:space="preserve">Groww Mutual Fund</t>
        </is>
      </c>
      <c r="B3039" t="inlineStr">
        <is>
          <t xml:space="preserve">Groww Liquid Fund (formerly known as Indiabulls Liquid Fund)- Regular Plan- - Income Distribution cum capital withdrawal Option (Reinvestment)</t>
        </is>
      </c>
      <c r="C3039" t="inlineStr">
        <is>
          <t xml:space="preserve">INF666M01022</t>
        </is>
      </c>
    </row>
    <row r="3040">
      <c r="A3040" t="inlineStr">
        <is>
          <t xml:space="preserve">Groww Mutual Fund</t>
        </is>
      </c>
      <c r="B3040" t="inlineStr">
        <is>
          <t xml:space="preserve">Groww Liquid Fund (formerly known as Indiabulls Liquid Fund)- Regular Plan- Monthly - Income Distribution cum capital withdrawal Option (Payout &amp; Reinvestment)</t>
        </is>
      </c>
      <c r="C3040" t="inlineStr">
        <is>
          <t xml:space="preserve">INF666M01071</t>
        </is>
      </c>
    </row>
    <row r="3041">
      <c r="A3041" t="inlineStr">
        <is>
          <t xml:space="preserve">Groww Mutual Fund</t>
        </is>
      </c>
      <c r="B3041" t="inlineStr">
        <is>
          <t xml:space="preserve">Groww Liquid Fund (formerly known as Indiabulls Liquid Fund)- Regular Plan- Weekly - Income Distribution cum capital withdrawal Option (Payout &amp; Reinvestment)</t>
        </is>
      </c>
      <c r="C3041" t="inlineStr">
        <is>
          <t xml:space="preserve">INF666M01089</t>
        </is>
      </c>
    </row>
    <row r="3042">
      <c r="A3042" t="inlineStr">
        <is>
          <t xml:space="preserve">Groww Mutual Fund</t>
        </is>
      </c>
      <c r="B3042" t="inlineStr">
        <is>
          <t xml:space="preserve">Groww Liquid Fund (formerly known as Indiabulls Liquid) Fund- Regular Plan- Fortnightly - Income Distribution cum capital withdrawal Option (Payout &amp; Reinvestment)</t>
        </is>
      </c>
      <c r="C3042" t="inlineStr">
        <is>
          <t xml:space="preserve">INF666M01063</t>
        </is>
      </c>
    </row>
    <row r="3043">
      <c r="A3043" t="inlineStr">
        <is>
          <t xml:space="preserve">Groww Mutual Fund</t>
        </is>
      </c>
      <c r="B3043" t="inlineStr">
        <is>
          <t xml:space="preserve">Groww Money Market Fund Direct Growth</t>
        </is>
      </c>
      <c r="C3043" t="inlineStr">
        <is>
          <t xml:space="preserve">INF666M01MW3</t>
        </is>
      </c>
    </row>
    <row r="3044">
      <c r="A3044" t="inlineStr">
        <is>
          <t xml:space="preserve">Groww Mutual Fund</t>
        </is>
      </c>
      <c r="B3044" t="inlineStr">
        <is>
          <t xml:space="preserve">Groww Money Market Fund Direct IDCW</t>
        </is>
      </c>
      <c r="C3044" t="inlineStr">
        <is>
          <t xml:space="preserve">INF666M01MX1</t>
        </is>
      </c>
    </row>
    <row r="3045">
      <c r="A3045" t="inlineStr">
        <is>
          <t xml:space="preserve">Groww Mutual Fund</t>
        </is>
      </c>
      <c r="B3045" t="inlineStr">
        <is>
          <t xml:space="preserve">Groww Money Market Fund Regular Growth</t>
        </is>
      </c>
      <c r="C3045" t="inlineStr">
        <is>
          <t xml:space="preserve">INF666M01MZ6</t>
        </is>
      </c>
    </row>
    <row r="3046">
      <c r="A3046" t="inlineStr">
        <is>
          <t xml:space="preserve">Groww Mutual Fund</t>
        </is>
      </c>
      <c r="B3046" t="inlineStr">
        <is>
          <t xml:space="preserve">Groww Money Market Fund Regular IDCW</t>
        </is>
      </c>
      <c r="C3046" t="inlineStr">
        <is>
          <t xml:space="preserve">INF666M01NA7</t>
        </is>
      </c>
    </row>
    <row r="3047">
      <c r="A3047" t="inlineStr">
        <is>
          <t xml:space="preserve">Groww Mutual Fund</t>
        </is>
      </c>
      <c r="B3047" t="inlineStr">
        <is>
          <t xml:space="preserve">Groww Multi Asset Allocation Fund Direct Growth</t>
        </is>
      </c>
      <c r="C3047" t="inlineStr">
        <is>
          <t xml:space="preserve">INF666M01MA9</t>
        </is>
      </c>
    </row>
    <row r="3048">
      <c r="A3048" t="inlineStr">
        <is>
          <t xml:space="preserve">Groww Mutual Fund</t>
        </is>
      </c>
      <c r="B3048" t="inlineStr">
        <is>
          <t xml:space="preserve">Groww Multi Asset Allocation Fund Direct IDCW</t>
        </is>
      </c>
      <c r="C3048" t="inlineStr">
        <is>
          <t xml:space="preserve">INF666M01MB7</t>
        </is>
      </c>
    </row>
    <row r="3049">
      <c r="A3049" t="inlineStr">
        <is>
          <t xml:space="preserve">Groww Mutual Fund</t>
        </is>
      </c>
      <c r="B3049" t="inlineStr">
        <is>
          <t xml:space="preserve">Groww Multi Asset Allocation Fund Regular Growth</t>
        </is>
      </c>
      <c r="C3049" t="inlineStr">
        <is>
          <t xml:space="preserve">INF666M01MD3</t>
        </is>
      </c>
    </row>
    <row r="3050">
      <c r="A3050" t="inlineStr">
        <is>
          <t xml:space="preserve">Groww Mutual Fund</t>
        </is>
      </c>
      <c r="B3050" t="inlineStr">
        <is>
          <t xml:space="preserve">Groww Multi Asset Allocation Fund Regular IDCW</t>
        </is>
      </c>
      <c r="C3050" t="inlineStr">
        <is>
          <t xml:space="preserve">INF666M01ME1</t>
        </is>
      </c>
    </row>
    <row r="3051">
      <c r="A3051" t="inlineStr">
        <is>
          <t xml:space="preserve">Groww Mutual Fund</t>
        </is>
      </c>
      <c r="B3051" t="inlineStr">
        <is>
          <t xml:space="preserve">Groww Multi Asset Omni FOF Direct Growth</t>
        </is>
      </c>
      <c r="C3051" t="inlineStr">
        <is>
          <t xml:space="preserve">INF666M01NC3</t>
        </is>
      </c>
    </row>
    <row r="3052">
      <c r="A3052" t="inlineStr">
        <is>
          <t xml:space="preserve">Groww Mutual Fund</t>
        </is>
      </c>
      <c r="B3052" t="inlineStr">
        <is>
          <t xml:space="preserve">Groww Multi Asset Omni FOF Direct IDCW</t>
        </is>
      </c>
      <c r="C3052" t="inlineStr">
        <is>
          <t xml:space="preserve">INF666M01ND1</t>
        </is>
      </c>
    </row>
    <row r="3053">
      <c r="A3053" t="inlineStr">
        <is>
          <t xml:space="preserve">Groww Mutual Fund</t>
        </is>
      </c>
      <c r="B3053" t="inlineStr">
        <is>
          <t xml:space="preserve">Groww Multi Asset Omni FOF Regular Growth</t>
        </is>
      </c>
      <c r="C3053" t="inlineStr">
        <is>
          <t xml:space="preserve">INF666M01NF6</t>
        </is>
      </c>
    </row>
    <row r="3054">
      <c r="A3054" t="inlineStr">
        <is>
          <t xml:space="preserve">Groww Mutual Fund</t>
        </is>
      </c>
      <c r="B3054" t="inlineStr">
        <is>
          <t xml:space="preserve">Groww Multi Asset Omni FOF Regular IDCW</t>
        </is>
      </c>
      <c r="C3054" t="inlineStr">
        <is>
          <t xml:space="preserve">INF666M01NG4</t>
        </is>
      </c>
    </row>
    <row r="3055">
      <c r="A3055" t="inlineStr">
        <is>
          <t xml:space="preserve">Groww Mutual Fund</t>
        </is>
      </c>
      <c r="B3055" t="inlineStr">
        <is>
          <t xml:space="preserve">Groww Multicap Fund - Direct - Growth</t>
        </is>
      </c>
      <c r="C3055" t="inlineStr">
        <is>
          <t xml:space="preserve">INF666M01JD9</t>
        </is>
      </c>
    </row>
    <row r="3056">
      <c r="A3056" t="inlineStr">
        <is>
          <t xml:space="preserve">Groww Mutual Fund</t>
        </is>
      </c>
      <c r="B3056" t="inlineStr">
        <is>
          <t xml:space="preserve">Groww Multicap Fund - Direct - IDCW</t>
        </is>
      </c>
      <c r="C3056" t="inlineStr">
        <is>
          <t xml:space="preserve">INF666M01JE7</t>
        </is>
      </c>
    </row>
    <row r="3057">
      <c r="A3057" t="inlineStr">
        <is>
          <t xml:space="preserve">Groww Mutual Fund</t>
        </is>
      </c>
      <c r="B3057" t="inlineStr">
        <is>
          <t xml:space="preserve">Groww Multicap Fund - Regular - Growth</t>
        </is>
      </c>
      <c r="C3057" t="inlineStr">
        <is>
          <t xml:space="preserve">INF666M01JG2</t>
        </is>
      </c>
    </row>
    <row r="3058">
      <c r="A3058" t="inlineStr">
        <is>
          <t xml:space="preserve">Groww Mutual Fund</t>
        </is>
      </c>
      <c r="B3058" t="inlineStr">
        <is>
          <t xml:space="preserve">Groww Multicap Fund - Regular - IDCW</t>
        </is>
      </c>
      <c r="C3058" t="inlineStr">
        <is>
          <t xml:space="preserve">INF666M01JH0</t>
        </is>
      </c>
    </row>
    <row r="3059">
      <c r="A3059" t="inlineStr">
        <is>
          <t xml:space="preserve">Groww Mutual Fund</t>
        </is>
      </c>
      <c r="B3059" t="inlineStr">
        <is>
          <t xml:space="preserve">Groww Nifty 1D Rate Liquid ETF</t>
        </is>
      </c>
      <c r="C3059" t="inlineStr">
        <is>
          <t xml:space="preserve">INF666M01IP5</t>
        </is>
      </c>
    </row>
    <row r="3060">
      <c r="A3060" t="inlineStr">
        <is>
          <t xml:space="preserve">Groww Mutual Fund</t>
        </is>
      </c>
      <c r="B3060" t="inlineStr">
        <is>
          <t xml:space="preserve">Groww Nifty 200 ETF</t>
        </is>
      </c>
      <c r="C3060" t="inlineStr">
        <is>
          <t xml:space="preserve">INF666M01JV1</t>
        </is>
      </c>
    </row>
    <row r="3061">
      <c r="A3061" t="inlineStr">
        <is>
          <t xml:space="preserve">Groww Mutual Fund</t>
        </is>
      </c>
      <c r="B3061" t="inlineStr">
        <is>
          <t xml:space="preserve">Groww Nifty 200 ETF FOF - Direct - Growth</t>
        </is>
      </c>
      <c r="C3061" t="inlineStr">
        <is>
          <t xml:space="preserve">INF666M01JQ1</t>
        </is>
      </c>
    </row>
    <row r="3062">
      <c r="A3062" t="inlineStr">
        <is>
          <t xml:space="preserve">Groww Mutual Fund</t>
        </is>
      </c>
      <c r="B3062" t="inlineStr">
        <is>
          <t xml:space="preserve">Groww Nifty 200 ETF FOF - Direct - IDCW</t>
        </is>
      </c>
      <c r="C3062" t="inlineStr">
        <is>
          <t xml:space="preserve">INF666M01JR9</t>
        </is>
      </c>
    </row>
    <row r="3063">
      <c r="A3063" t="inlineStr">
        <is>
          <t xml:space="preserve">Groww Mutual Fund</t>
        </is>
      </c>
      <c r="B3063" t="inlineStr">
        <is>
          <t xml:space="preserve">Groww Nifty 200 ETF FOF - Regular - Growth</t>
        </is>
      </c>
      <c r="C3063" t="inlineStr">
        <is>
          <t xml:space="preserve">INF666M01JT5</t>
        </is>
      </c>
    </row>
    <row r="3064">
      <c r="A3064" t="inlineStr">
        <is>
          <t xml:space="preserve">Groww Mutual Fund</t>
        </is>
      </c>
      <c r="B3064" t="inlineStr">
        <is>
          <t xml:space="preserve">Groww Nifty 200 ETF FOF - Regular - IDCW</t>
        </is>
      </c>
      <c r="C3064" t="inlineStr">
        <is>
          <t xml:space="preserve">INF666M01JU3</t>
        </is>
      </c>
    </row>
    <row r="3065">
      <c r="A3065" t="inlineStr">
        <is>
          <t xml:space="preserve">Groww Mutual Fund</t>
        </is>
      </c>
      <c r="B3065" t="inlineStr">
        <is>
          <t xml:space="preserve">Groww Nifty 50 ETF</t>
        </is>
      </c>
      <c r="C3065" t="inlineStr">
        <is>
          <t xml:space="preserve">INF666M01LL8</t>
        </is>
      </c>
    </row>
    <row r="3066">
      <c r="A3066" t="inlineStr">
        <is>
          <t xml:space="preserve">Groww Mutual Fund</t>
        </is>
      </c>
      <c r="B3066" t="inlineStr">
        <is>
          <t xml:space="preserve">Groww Nifty 50 Index Fund Direct Growth</t>
        </is>
      </c>
      <c r="C3066" t="inlineStr">
        <is>
          <t xml:space="preserve">INF666M01KT3</t>
        </is>
      </c>
    </row>
    <row r="3067">
      <c r="A3067" t="inlineStr">
        <is>
          <t xml:space="preserve">Groww Mutual Fund</t>
        </is>
      </c>
      <c r="B3067" t="inlineStr">
        <is>
          <t xml:space="preserve">Groww Nifty 50 Index Fund Direct IDCW</t>
        </is>
      </c>
      <c r="C3067" t="inlineStr">
        <is>
          <t xml:space="preserve">INF666M01KU1</t>
        </is>
      </c>
    </row>
    <row r="3068">
      <c r="A3068" t="inlineStr">
        <is>
          <t xml:space="preserve">Groww Mutual Fund</t>
        </is>
      </c>
      <c r="B3068" t="inlineStr">
        <is>
          <t xml:space="preserve">Groww Nifty 50 Index Fund Regular Growth</t>
        </is>
      </c>
      <c r="C3068" t="inlineStr">
        <is>
          <t xml:space="preserve">INF666M01KW7</t>
        </is>
      </c>
    </row>
    <row r="3069">
      <c r="A3069" t="inlineStr">
        <is>
          <t xml:space="preserve">Groww Mutual Fund</t>
        </is>
      </c>
      <c r="B3069" t="inlineStr">
        <is>
          <t xml:space="preserve">Groww Nifty 50 Index Fund Regular IDCW</t>
        </is>
      </c>
      <c r="C3069" t="inlineStr">
        <is>
          <t xml:space="preserve">INF666M01LJ2</t>
        </is>
      </c>
    </row>
    <row r="3070">
      <c r="A3070" t="inlineStr">
        <is>
          <t xml:space="preserve">Groww Mutual Fund</t>
        </is>
      </c>
      <c r="B3070" t="inlineStr">
        <is>
          <t xml:space="preserve">Groww Nifty 500 Low Volatility 50 ETF</t>
        </is>
      </c>
      <c r="C3070" t="inlineStr">
        <is>
          <t xml:space="preserve">INF666M01LB9</t>
        </is>
      </c>
    </row>
    <row r="3071">
      <c r="A3071" t="inlineStr">
        <is>
          <t xml:space="preserve">Groww Mutual Fund</t>
        </is>
      </c>
      <c r="B3071" t="inlineStr">
        <is>
          <t xml:space="preserve">Groww Nifty 500 Momentum 50 ETF</t>
        </is>
      </c>
      <c r="C3071" t="inlineStr">
        <is>
          <t xml:space="preserve">INF666M01KJ4</t>
        </is>
      </c>
    </row>
    <row r="3072">
      <c r="A3072" t="inlineStr">
        <is>
          <t xml:space="preserve">Groww Mutual Fund</t>
        </is>
      </c>
      <c r="B3072" t="inlineStr">
        <is>
          <t xml:space="preserve">Groww Nifty 500 Momentum 50 ETF FOF - Direct Plan - Growth</t>
        </is>
      </c>
      <c r="C3072" t="inlineStr">
        <is>
          <t xml:space="preserve">INF666M01JX7</t>
        </is>
      </c>
    </row>
    <row r="3073">
      <c r="A3073" t="inlineStr">
        <is>
          <t xml:space="preserve">Groww Mutual Fund</t>
        </is>
      </c>
      <c r="B3073" t="inlineStr">
        <is>
          <t xml:space="preserve">Groww Nifty 500 Momentum 50 ETF FOF - Direct Plan - IDCW</t>
        </is>
      </c>
      <c r="C3073" t="inlineStr">
        <is>
          <t xml:space="preserve">INF666M01JY5</t>
        </is>
      </c>
    </row>
    <row r="3074">
      <c r="A3074" t="inlineStr">
        <is>
          <t xml:space="preserve">Groww Mutual Fund</t>
        </is>
      </c>
      <c r="B3074" t="inlineStr">
        <is>
          <t xml:space="preserve">Groww Nifty 500 Momentum 50 ETF FOF - Regular Plan - IDCW</t>
        </is>
      </c>
      <c r="C3074" t="inlineStr">
        <is>
          <t xml:space="preserve">INF666M01KH8</t>
        </is>
      </c>
    </row>
    <row r="3075">
      <c r="A3075" t="inlineStr">
        <is>
          <t xml:space="preserve">Groww Mutual Fund</t>
        </is>
      </c>
      <c r="B3075" t="inlineStr">
        <is>
          <t xml:space="preserve">Groww Nifty 500 Momentum 50 ETF FOF - Regular Plan- Growth</t>
        </is>
      </c>
      <c r="C3075" t="inlineStr">
        <is>
          <t xml:space="preserve">INF666M01KC9</t>
        </is>
      </c>
    </row>
    <row r="3076">
      <c r="A3076" t="inlineStr">
        <is>
          <t xml:space="preserve">Groww Mutual Fund</t>
        </is>
      </c>
      <c r="B3076" t="inlineStr">
        <is>
          <t xml:space="preserve">Groww Nifty Capital Markets ETF</t>
        </is>
      </c>
      <c r="C3076" t="inlineStr">
        <is>
          <t xml:space="preserve">INF666M01MM4</t>
        </is>
      </c>
    </row>
    <row r="3077">
      <c r="A3077" t="inlineStr">
        <is>
          <t xml:space="preserve">Groww Mutual Fund</t>
        </is>
      </c>
      <c r="B3077" t="inlineStr">
        <is>
          <t xml:space="preserve">Groww Nifty Capital Markets ETF FOF Direct Growth</t>
        </is>
      </c>
      <c r="C3077" t="inlineStr">
        <is>
          <t xml:space="preserve">INF666M01MG6</t>
        </is>
      </c>
    </row>
    <row r="3078">
      <c r="A3078" t="inlineStr">
        <is>
          <t xml:space="preserve">Groww Mutual Fund</t>
        </is>
      </c>
      <c r="B3078" t="inlineStr">
        <is>
          <t xml:space="preserve">Groww Nifty Capital Markets ETF FOF Direct IDCW</t>
        </is>
      </c>
      <c r="C3078" t="inlineStr">
        <is>
          <t xml:space="preserve">INF666M01MH4</t>
        </is>
      </c>
    </row>
    <row r="3079">
      <c r="A3079" t="inlineStr">
        <is>
          <t xml:space="preserve">Groww Mutual Fund</t>
        </is>
      </c>
      <c r="B3079" t="inlineStr">
        <is>
          <t xml:space="preserve">Groww Nifty Capital Markets ETF FOF Regular Growth</t>
        </is>
      </c>
      <c r="C3079" t="inlineStr">
        <is>
          <t xml:space="preserve">INF666M01MJ0</t>
        </is>
      </c>
    </row>
    <row r="3080">
      <c r="A3080" t="inlineStr">
        <is>
          <t xml:space="preserve">Groww Mutual Fund</t>
        </is>
      </c>
      <c r="B3080" t="inlineStr">
        <is>
          <t xml:space="preserve">Groww Nifty Capital Markets ETF FOF Regular IDCW</t>
        </is>
      </c>
      <c r="C3080" t="inlineStr">
        <is>
          <t xml:space="preserve">INF666M01MK8</t>
        </is>
      </c>
    </row>
    <row r="3081">
      <c r="A3081" t="inlineStr">
        <is>
          <t xml:space="preserve">Groww Mutual Fund</t>
        </is>
      </c>
      <c r="B3081" t="inlineStr">
        <is>
          <t xml:space="preserve">Groww Nifty Chemicals ETF</t>
        </is>
      </c>
      <c r="C3081" t="inlineStr">
        <is>
          <t xml:space="preserve">INF666M01NP5</t>
        </is>
      </c>
    </row>
    <row r="3082">
      <c r="A3082" t="inlineStr">
        <is>
          <t xml:space="preserve">Groww Mutual Fund</t>
        </is>
      </c>
      <c r="B3082" t="inlineStr">
        <is>
          <t xml:space="preserve">GROWW NIFTY EV &amp; NEW AGE AUTOMOTIVE ETF</t>
        </is>
      </c>
      <c r="C3082" t="inlineStr">
        <is>
          <t xml:space="preserve">INF666M01IH2</t>
        </is>
      </c>
    </row>
    <row r="3083">
      <c r="A3083" t="inlineStr">
        <is>
          <t xml:space="preserve">Groww Mutual Fund</t>
        </is>
      </c>
      <c r="B3083" t="inlineStr">
        <is>
          <t xml:space="preserve">Groww Nifty EV &amp; New Age Automotive ETF FOF - Direct Plan - IDCW</t>
        </is>
      </c>
      <c r="C3083" t="inlineStr">
        <is>
          <t xml:space="preserve">INF666M01IM2</t>
        </is>
      </c>
    </row>
    <row r="3084">
      <c r="A3084" t="inlineStr">
        <is>
          <t xml:space="preserve">Groww Mutual Fund</t>
        </is>
      </c>
      <c r="B3084" t="inlineStr">
        <is>
          <t xml:space="preserve">Groww Nifty EV &amp; New Age Automotive ETF FOF - Regular Plan - Growth</t>
        </is>
      </c>
      <c r="C3084" t="inlineStr">
        <is>
          <t xml:space="preserve">INF666M01II0</t>
        </is>
      </c>
    </row>
    <row r="3085">
      <c r="A3085" t="inlineStr">
        <is>
          <t xml:space="preserve">Groww Mutual Fund</t>
        </is>
      </c>
      <c r="B3085" t="inlineStr">
        <is>
          <t xml:space="preserve">Groww Nifty EV &amp; New Age Automotive ETF FOF - Regular Plan - IDCW</t>
        </is>
      </c>
      <c r="C3085" t="inlineStr">
        <is>
          <t xml:space="preserve">INF666M01IJ8</t>
        </is>
      </c>
    </row>
    <row r="3086">
      <c r="A3086" t="inlineStr">
        <is>
          <t xml:space="preserve">Groww Mutual Fund</t>
        </is>
      </c>
      <c r="B3086" t="inlineStr">
        <is>
          <t xml:space="preserve">Groww Nifty EV &amp; New Age Automotive ETF FOF- Direct Plan - Growth</t>
        </is>
      </c>
      <c r="C3086" t="inlineStr">
        <is>
          <t xml:space="preserve">INF666M01IL4</t>
        </is>
      </c>
    </row>
    <row r="3087">
      <c r="A3087" t="inlineStr">
        <is>
          <t xml:space="preserve">Groww Mutual Fund</t>
        </is>
      </c>
      <c r="B3087" t="inlineStr">
        <is>
          <t xml:space="preserve">Groww Nifty India Defence ETF</t>
        </is>
      </c>
      <c r="C3087" t="inlineStr">
        <is>
          <t xml:space="preserve">INF666M01IO8</t>
        </is>
      </c>
    </row>
    <row r="3088">
      <c r="A3088" t="inlineStr">
        <is>
          <t xml:space="preserve">Groww Mutual Fund</t>
        </is>
      </c>
      <c r="B3088" t="inlineStr">
        <is>
          <t xml:space="preserve">Groww Nifty India Defence ETF FOF - Direct - IDCW</t>
        </is>
      </c>
      <c r="C3088" t="inlineStr">
        <is>
          <t xml:space="preserve">INF666M01IR1</t>
        </is>
      </c>
    </row>
    <row r="3089">
      <c r="A3089" t="inlineStr">
        <is>
          <t xml:space="preserve">Groww Mutual Fund</t>
        </is>
      </c>
      <c r="B3089" t="inlineStr">
        <is>
          <t xml:space="preserve">Groww Nifty India Defence ETF FOF - Direct Growth</t>
        </is>
      </c>
      <c r="C3089" t="inlineStr">
        <is>
          <t xml:space="preserve">INF666M01IQ3</t>
        </is>
      </c>
    </row>
    <row r="3090">
      <c r="A3090" t="inlineStr">
        <is>
          <t xml:space="preserve">Groww Mutual Fund</t>
        </is>
      </c>
      <c r="B3090" t="inlineStr">
        <is>
          <t xml:space="preserve">Groww Nifty India Defence ETF FOF - Regular - Growth</t>
        </is>
      </c>
      <c r="C3090" t="inlineStr">
        <is>
          <t xml:space="preserve">INF666M01IT7</t>
        </is>
      </c>
    </row>
    <row r="3091">
      <c r="A3091" t="inlineStr">
        <is>
          <t xml:space="preserve">Groww Mutual Fund</t>
        </is>
      </c>
      <c r="B3091" t="inlineStr">
        <is>
          <t xml:space="preserve">Groww Nifty India Defence ETF FOF - Regular - IDCW</t>
        </is>
      </c>
      <c r="C3091" t="inlineStr">
        <is>
          <t xml:space="preserve">INF666M01IU5</t>
        </is>
      </c>
    </row>
    <row r="3092">
      <c r="A3092" t="inlineStr">
        <is>
          <t xml:space="preserve">Groww Mutual Fund</t>
        </is>
      </c>
      <c r="B3092" t="inlineStr">
        <is>
          <t xml:space="preserve">Groww Nifty India Internet ETF</t>
        </is>
      </c>
      <c r="C3092" t="inlineStr">
        <is>
          <t xml:space="preserve">INF666M01LI4</t>
        </is>
      </c>
    </row>
    <row r="3093">
      <c r="A3093" t="inlineStr">
        <is>
          <t xml:space="preserve">Groww Mutual Fund</t>
        </is>
      </c>
      <c r="B3093" t="inlineStr">
        <is>
          <t xml:space="preserve">Groww Nifty India Internet ETF FOF - Direct - Growth</t>
        </is>
      </c>
      <c r="C3093" t="inlineStr">
        <is>
          <t xml:space="preserve">INF666M01LC7</t>
        </is>
      </c>
    </row>
    <row r="3094">
      <c r="A3094" t="inlineStr">
        <is>
          <t xml:space="preserve">Groww Mutual Fund</t>
        </is>
      </c>
      <c r="B3094" t="inlineStr">
        <is>
          <t xml:space="preserve">Groww Nifty India Internet ETF FOF - Direct - IDCW</t>
        </is>
      </c>
      <c r="C3094" t="inlineStr">
        <is>
          <t xml:space="preserve">INF666M01LD5</t>
        </is>
      </c>
    </row>
    <row r="3095">
      <c r="A3095" t="inlineStr">
        <is>
          <t xml:space="preserve">Groww Mutual Fund</t>
        </is>
      </c>
      <c r="B3095" t="inlineStr">
        <is>
          <t xml:space="preserve">Groww Nifty India Internet ETF FOF - Regular - Growth</t>
        </is>
      </c>
      <c r="C3095" t="inlineStr">
        <is>
          <t xml:space="preserve">INF666M01LF0</t>
        </is>
      </c>
    </row>
    <row r="3096">
      <c r="A3096" t="inlineStr">
        <is>
          <t xml:space="preserve">Groww Mutual Fund</t>
        </is>
      </c>
      <c r="B3096" t="inlineStr">
        <is>
          <t xml:space="preserve">Groww Nifty India Internet ETF FOF - Regular - IDCW</t>
        </is>
      </c>
      <c r="C3096" t="inlineStr">
        <is>
          <t xml:space="preserve">INF666M01LG8</t>
        </is>
      </c>
    </row>
    <row r="3097">
      <c r="A3097" t="inlineStr">
        <is>
          <t xml:space="preserve">Groww Mutual Fund</t>
        </is>
      </c>
      <c r="B3097" t="inlineStr">
        <is>
          <t xml:space="preserve">Groww Nifty India Railways PSU ETF</t>
        </is>
      </c>
      <c r="C3097" t="inlineStr">
        <is>
          <t xml:space="preserve">INF666M01JJ6</t>
        </is>
      </c>
    </row>
    <row r="3098">
      <c r="A3098" t="inlineStr">
        <is>
          <t xml:space="preserve">Groww Mutual Fund</t>
        </is>
      </c>
      <c r="B3098" t="inlineStr">
        <is>
          <t xml:space="preserve">Groww Nifty India Railways PSU Index Fund - Direct Plan - Growth</t>
        </is>
      </c>
      <c r="C3098" t="inlineStr">
        <is>
          <t xml:space="preserve">INF666M01JK4</t>
        </is>
      </c>
    </row>
    <row r="3099">
      <c r="A3099" t="inlineStr">
        <is>
          <t xml:space="preserve">Groww Mutual Fund</t>
        </is>
      </c>
      <c r="B3099" t="inlineStr">
        <is>
          <t xml:space="preserve">Groww Nifty India Railways PSU Index Fund - Direct Plan - IDCW</t>
        </is>
      </c>
      <c r="C3099" t="inlineStr">
        <is>
          <t xml:space="preserve">INF666M01JL2</t>
        </is>
      </c>
    </row>
    <row r="3100">
      <c r="A3100" t="inlineStr">
        <is>
          <t xml:space="preserve">Groww Mutual Fund</t>
        </is>
      </c>
      <c r="B3100" t="inlineStr">
        <is>
          <t xml:space="preserve">Groww Nifty India Railways PSU Index Fund - Regular Plan - Growth</t>
        </is>
      </c>
      <c r="C3100" t="inlineStr">
        <is>
          <t xml:space="preserve">INF666M01JN8</t>
        </is>
      </c>
    </row>
    <row r="3101">
      <c r="A3101" t="inlineStr">
        <is>
          <t xml:space="preserve">Groww Mutual Fund</t>
        </is>
      </c>
      <c r="B3101" t="inlineStr">
        <is>
          <t xml:space="preserve">Groww Nifty India Railways PSU Index Fund - Regular Plan - IDCW</t>
        </is>
      </c>
      <c r="C3101" t="inlineStr">
        <is>
          <t xml:space="preserve">INF666M01JO6</t>
        </is>
      </c>
    </row>
    <row r="3102">
      <c r="A3102" t="inlineStr">
        <is>
          <t xml:space="preserve">Groww Mutual Fund</t>
        </is>
      </c>
      <c r="B3102" t="inlineStr">
        <is>
          <t xml:space="preserve">Groww Nifty Metal ETF</t>
        </is>
      </c>
      <c r="C3102" t="inlineStr">
        <is>
          <t xml:space="preserve">INF666M01NI0</t>
        </is>
      </c>
    </row>
    <row r="3103">
      <c r="A3103" t="inlineStr">
        <is>
          <t xml:space="preserve">Groww Mutual Fund</t>
        </is>
      </c>
      <c r="B3103" t="inlineStr">
        <is>
          <t xml:space="preserve">Groww Nifty Midcap 150 ETF</t>
        </is>
      </c>
      <c r="C3103" t="inlineStr">
        <is>
          <t xml:space="preserve">INF666M01MV5</t>
        </is>
      </c>
    </row>
    <row r="3104">
      <c r="A3104" t="inlineStr">
        <is>
          <t xml:space="preserve">Groww Mutual Fund</t>
        </is>
      </c>
      <c r="B3104" t="inlineStr">
        <is>
          <t xml:space="preserve">Groww Nifty Midcap 150 Index Fund Direct Growth</t>
        </is>
      </c>
      <c r="C3104" t="inlineStr">
        <is>
          <t xml:space="preserve">INF666M01MP7</t>
        </is>
      </c>
    </row>
    <row r="3105">
      <c r="A3105" t="inlineStr">
        <is>
          <t xml:space="preserve">Groww Mutual Fund</t>
        </is>
      </c>
      <c r="B3105" t="inlineStr">
        <is>
          <t xml:space="preserve">Groww Nifty Midcap 150 Index fund Direct IDCW</t>
        </is>
      </c>
      <c r="C3105" t="inlineStr">
        <is>
          <t xml:space="preserve">INF666M01MQ5</t>
        </is>
      </c>
    </row>
    <row r="3106">
      <c r="A3106" t="inlineStr">
        <is>
          <t xml:space="preserve">Groww Mutual Fund</t>
        </is>
      </c>
      <c r="B3106" t="inlineStr">
        <is>
          <t xml:space="preserve">Groww Nifty Midcap 150 Index Fund Regular Growth</t>
        </is>
      </c>
      <c r="C3106" t="inlineStr">
        <is>
          <t xml:space="preserve">INF666M01MS1</t>
        </is>
      </c>
    </row>
    <row r="3107">
      <c r="A3107" t="inlineStr">
        <is>
          <t xml:space="preserve">Groww Mutual Fund</t>
        </is>
      </c>
      <c r="B3107" t="inlineStr">
        <is>
          <t xml:space="preserve">Groww Nifty Midcap 150 Index Fund Regular IDCW</t>
        </is>
      </c>
      <c r="C3107" t="inlineStr">
        <is>
          <t xml:space="preserve">INF666M01MT9</t>
        </is>
      </c>
    </row>
    <row r="3108">
      <c r="A3108" t="inlineStr">
        <is>
          <t xml:space="preserve">Groww Mutual Fund</t>
        </is>
      </c>
      <c r="B3108" t="inlineStr">
        <is>
          <t xml:space="preserve">Groww Nifty Next 50 ETF</t>
        </is>
      </c>
      <c r="C3108" t="inlineStr">
        <is>
          <t xml:space="preserve">INF666M01LZ8</t>
        </is>
      </c>
    </row>
    <row r="3109">
      <c r="A3109" t="inlineStr">
        <is>
          <t xml:space="preserve">Groww Mutual Fund</t>
        </is>
      </c>
      <c r="B3109" t="inlineStr">
        <is>
          <t xml:space="preserve">Groww Nifty Next 50 Index Fund Direct Growth</t>
        </is>
      </c>
      <c r="C3109" t="inlineStr">
        <is>
          <t xml:space="preserve">INF666M01LT1</t>
        </is>
      </c>
    </row>
    <row r="3110">
      <c r="A3110" t="inlineStr">
        <is>
          <t xml:space="preserve">Groww Mutual Fund</t>
        </is>
      </c>
      <c r="B3110" t="inlineStr">
        <is>
          <t xml:space="preserve">Groww Nifty Next 50 Index Fund Direct IDCW</t>
        </is>
      </c>
      <c r="C3110" t="inlineStr">
        <is>
          <t xml:space="preserve">INF666M01LU9</t>
        </is>
      </c>
    </row>
    <row r="3111">
      <c r="A3111" t="inlineStr">
        <is>
          <t xml:space="preserve">Groww Mutual Fund</t>
        </is>
      </c>
      <c r="B3111" t="inlineStr">
        <is>
          <t xml:space="preserve">Groww Nifty Next 50 Index Fund Regular Growth</t>
        </is>
      </c>
      <c r="C3111" t="inlineStr">
        <is>
          <t xml:space="preserve">INF666M01LW5</t>
        </is>
      </c>
    </row>
    <row r="3112">
      <c r="A3112" t="inlineStr">
        <is>
          <t xml:space="preserve">Groww Mutual Fund</t>
        </is>
      </c>
      <c r="B3112" t="inlineStr">
        <is>
          <t xml:space="preserve">Groww Nifty Next 50 Index Fund Regular IDCW</t>
        </is>
      </c>
      <c r="C3112" t="inlineStr">
        <is>
          <t xml:space="preserve">INF666M01LX3</t>
        </is>
      </c>
    </row>
    <row r="3113">
      <c r="A3113" t="inlineStr">
        <is>
          <t xml:space="preserve">Groww Mutual Fund</t>
        </is>
      </c>
      <c r="B3113" t="inlineStr">
        <is>
          <t xml:space="preserve">Groww Nifty Non-Cyclical Consumer Index Fund - Direct Plan - IDCW</t>
        </is>
      </c>
      <c r="C3113" t="inlineStr">
        <is>
          <t xml:space="preserve">INF666M01IF6</t>
        </is>
      </c>
    </row>
    <row r="3114">
      <c r="A3114" t="inlineStr">
        <is>
          <t xml:space="preserve">Groww Mutual Fund</t>
        </is>
      </c>
      <c r="B3114" t="inlineStr">
        <is>
          <t xml:space="preserve">Groww Nifty Non-Cyclical Consumer Index Fund - Direct Plan Growth</t>
        </is>
      </c>
      <c r="C3114" t="inlineStr">
        <is>
          <t xml:space="preserve">INF666M01IE9</t>
        </is>
      </c>
    </row>
    <row r="3115">
      <c r="A3115" t="inlineStr">
        <is>
          <t xml:space="preserve">Groww Mutual Fund</t>
        </is>
      </c>
      <c r="B3115" t="inlineStr">
        <is>
          <t xml:space="preserve">Groww Nifty Non-Cyclical Consumer Index Fund - IDCW</t>
        </is>
      </c>
      <c r="C3115" t="inlineStr">
        <is>
          <t xml:space="preserve">INF666M01IC3</t>
        </is>
      </c>
    </row>
    <row r="3116">
      <c r="A3116" t="inlineStr">
        <is>
          <t xml:space="preserve">Groww Mutual Fund</t>
        </is>
      </c>
      <c r="B3116" t="inlineStr">
        <is>
          <t xml:space="preserve">Groww Nifty Non-Cyclical Consumer Index Fund - Regular Plan - Growth</t>
        </is>
      </c>
      <c r="C3116" t="inlineStr">
        <is>
          <t xml:space="preserve">INF666M01IB5</t>
        </is>
      </c>
    </row>
    <row r="3117">
      <c r="A3117" t="inlineStr">
        <is>
          <t xml:space="preserve">Groww Mutual Fund</t>
        </is>
      </c>
      <c r="B3117" t="inlineStr">
        <is>
          <t xml:space="preserve">Groww Nifty Private Bank ETF</t>
        </is>
      </c>
      <c r="C3117" t="inlineStr">
        <is>
          <t xml:space="preserve">INF666M01OT5</t>
        </is>
      </c>
    </row>
    <row r="3118">
      <c r="A3118" t="inlineStr">
        <is>
          <t xml:space="preserve">Groww Mutual Fund</t>
        </is>
      </c>
      <c r="B3118" t="inlineStr">
        <is>
          <t xml:space="preserve">Groww Nifty Private Bank Index Fund Direct Growth</t>
        </is>
      </c>
      <c r="C3118" t="inlineStr">
        <is>
          <t xml:space="preserve">INF666M01OU3</t>
        </is>
      </c>
    </row>
    <row r="3119">
      <c r="A3119" t="inlineStr">
        <is>
          <t xml:space="preserve">Groww Mutual Fund</t>
        </is>
      </c>
      <c r="B3119" t="inlineStr">
        <is>
          <t xml:space="preserve">Groww Nifty Private Bank Index Fund Direct IDCW</t>
        </is>
      </c>
      <c r="C3119" t="inlineStr">
        <is>
          <t xml:space="preserve">INF666M01OV1</t>
        </is>
      </c>
    </row>
    <row r="3120">
      <c r="A3120" t="inlineStr">
        <is>
          <t xml:space="preserve">Groww Mutual Fund</t>
        </is>
      </c>
      <c r="B3120" t="inlineStr">
        <is>
          <t xml:space="preserve">Groww Nifty Private Bank Index Fund Regular Growth</t>
        </is>
      </c>
      <c r="C3120" t="inlineStr">
        <is>
          <t xml:space="preserve">INF666M01OX7</t>
        </is>
      </c>
    </row>
    <row r="3121">
      <c r="A3121" t="inlineStr">
        <is>
          <t xml:space="preserve">Groww Mutual Fund</t>
        </is>
      </c>
      <c r="B3121" t="inlineStr">
        <is>
          <t xml:space="preserve">Groww Nifty Private Bank Index Fund Regular IDCW</t>
        </is>
      </c>
      <c r="C3121" t="inlineStr">
        <is>
          <t xml:space="preserve">INF666M01OY5</t>
        </is>
      </c>
    </row>
    <row r="3122">
      <c r="A3122" t="inlineStr">
        <is>
          <t xml:space="preserve">Groww Mutual Fund</t>
        </is>
      </c>
      <c r="B3122" t="inlineStr">
        <is>
          <t xml:space="preserve">Groww Nifty PSE ETF</t>
        </is>
      </c>
      <c r="C3122" t="inlineStr">
        <is>
          <t xml:space="preserve">INF666M01NQ3</t>
        </is>
      </c>
    </row>
    <row r="3123">
      <c r="A3123" t="inlineStr">
        <is>
          <t xml:space="preserve">Groww Mutual Fund</t>
        </is>
      </c>
      <c r="B3123" t="inlineStr">
        <is>
          <t xml:space="preserve">Groww Nifty PSE ETF FOF Direct Growth</t>
        </is>
      </c>
      <c r="C3123" t="inlineStr">
        <is>
          <t xml:space="preserve">INF666M01NR1</t>
        </is>
      </c>
    </row>
    <row r="3124">
      <c r="A3124" t="inlineStr">
        <is>
          <t xml:space="preserve">Groww Mutual Fund</t>
        </is>
      </c>
      <c r="B3124" t="inlineStr">
        <is>
          <t xml:space="preserve">Groww Nifty PSE ETF FOF Direct IDCW</t>
        </is>
      </c>
      <c r="C3124" t="inlineStr">
        <is>
          <t xml:space="preserve">INF666M01NS9</t>
        </is>
      </c>
    </row>
    <row r="3125">
      <c r="A3125" t="inlineStr">
        <is>
          <t xml:space="preserve">Groww Mutual Fund</t>
        </is>
      </c>
      <c r="B3125" t="inlineStr">
        <is>
          <t xml:space="preserve">Groww Nifty PSE ETF FOF Regular Growth</t>
        </is>
      </c>
      <c r="C3125" t="inlineStr">
        <is>
          <t xml:space="preserve">INF666M01NU5</t>
        </is>
      </c>
    </row>
    <row r="3126">
      <c r="A3126" t="inlineStr">
        <is>
          <t xml:space="preserve">Groww Mutual Fund</t>
        </is>
      </c>
      <c r="B3126" t="inlineStr">
        <is>
          <t xml:space="preserve">Groww Nifty PSE ETF FOF Regular IDCW</t>
        </is>
      </c>
      <c r="C3126" t="inlineStr">
        <is>
          <t xml:space="preserve">INF666M01NV3</t>
        </is>
      </c>
    </row>
    <row r="3127">
      <c r="A3127" t="inlineStr">
        <is>
          <t xml:space="preserve">Groww Mutual Fund</t>
        </is>
      </c>
      <c r="B3127" t="inlineStr">
        <is>
          <t xml:space="preserve">Groww Nifty PSU Bank ETF</t>
        </is>
      </c>
      <c r="C3127" t="inlineStr">
        <is>
          <t xml:space="preserve">INF666M01OG2</t>
        </is>
      </c>
    </row>
    <row r="3128">
      <c r="A3128" t="inlineStr">
        <is>
          <t xml:space="preserve">Groww Mutual Fund</t>
        </is>
      </c>
      <c r="B3128" t="inlineStr">
        <is>
          <t xml:space="preserve">Groww Nifty PSU Bank Index Fund Direct Growth</t>
        </is>
      </c>
      <c r="C3128" t="inlineStr">
        <is>
          <t xml:space="preserve">INF666M01OH0</t>
        </is>
      </c>
    </row>
    <row r="3129">
      <c r="A3129" t="inlineStr">
        <is>
          <t xml:space="preserve">Groww Mutual Fund</t>
        </is>
      </c>
      <c r="B3129" t="inlineStr">
        <is>
          <t xml:space="preserve">Groww Nifty PSU Bank Index Fund Direct IDCW</t>
        </is>
      </c>
      <c r="C3129" t="inlineStr">
        <is>
          <t xml:space="preserve">INF666M01OI8</t>
        </is>
      </c>
    </row>
    <row r="3130">
      <c r="A3130" t="inlineStr">
        <is>
          <t xml:space="preserve">Groww Mutual Fund</t>
        </is>
      </c>
      <c r="B3130" t="inlineStr">
        <is>
          <t xml:space="preserve">Groww Nifty PSU Bank Index Fund Regular Growth</t>
        </is>
      </c>
      <c r="C3130" t="inlineStr">
        <is>
          <t xml:space="preserve">INF666M01OK4</t>
        </is>
      </c>
    </row>
    <row r="3131">
      <c r="A3131" t="inlineStr">
        <is>
          <t xml:space="preserve">Groww Mutual Fund</t>
        </is>
      </c>
      <c r="B3131" t="inlineStr">
        <is>
          <t xml:space="preserve">Groww Nifty PSU Bank Index Fund Regular IDCW</t>
        </is>
      </c>
      <c r="C3131" t="inlineStr">
        <is>
          <t xml:space="preserve">INF666M01OL2</t>
        </is>
      </c>
    </row>
    <row r="3132">
      <c r="A3132" t="inlineStr">
        <is>
          <t xml:space="preserve">Groww Mutual Fund</t>
        </is>
      </c>
      <c r="B3132" t="inlineStr">
        <is>
          <t xml:space="preserve">Groww Nifty Realty ETF</t>
        </is>
      </c>
      <c r="C3132" t="inlineStr">
        <is>
          <t xml:space="preserve">INF666M01MN2</t>
        </is>
      </c>
    </row>
    <row r="3133">
      <c r="A3133" t="inlineStr">
        <is>
          <t xml:space="preserve">Groww Mutual Fund</t>
        </is>
      </c>
      <c r="B3133" t="inlineStr">
        <is>
          <t xml:space="preserve">Groww Nifty Smallcap 250 Index Fund - Direct Plan - Growth</t>
        </is>
      </c>
      <c r="C3133" t="inlineStr">
        <is>
          <t xml:space="preserve">INF666M01HY9</t>
        </is>
      </c>
    </row>
    <row r="3134">
      <c r="A3134" t="inlineStr">
        <is>
          <t xml:space="preserve">Groww Mutual Fund</t>
        </is>
      </c>
      <c r="B3134" t="inlineStr">
        <is>
          <t xml:space="preserve">Groww Nifty Smallcap 250 Index Fund - Direct Plan - IDCW</t>
        </is>
      </c>
      <c r="C3134" t="inlineStr">
        <is>
          <t xml:space="preserve">INF666M01HZ6</t>
        </is>
      </c>
    </row>
    <row r="3135">
      <c r="A3135" t="inlineStr">
        <is>
          <t xml:space="preserve">Groww Mutual Fund</t>
        </is>
      </c>
      <c r="B3135" t="inlineStr">
        <is>
          <t xml:space="preserve">Groww Nifty Smallcap 250 Index Fund - Regular Plan - Growth</t>
        </is>
      </c>
      <c r="C3135" t="inlineStr">
        <is>
          <t xml:space="preserve">INF666M01HV5</t>
        </is>
      </c>
    </row>
    <row r="3136">
      <c r="A3136" t="inlineStr">
        <is>
          <t xml:space="preserve">Groww Mutual Fund</t>
        </is>
      </c>
      <c r="B3136" t="inlineStr">
        <is>
          <t xml:space="preserve">Groww Nifty Smallcap 250 Index Fund - Regular Plan - Regular Plan - IDCW</t>
        </is>
      </c>
      <c r="C3136" t="inlineStr">
        <is>
          <t xml:space="preserve">INF666M01HW3</t>
        </is>
      </c>
    </row>
    <row r="3137">
      <c r="A3137" t="inlineStr">
        <is>
          <t xml:space="preserve">Groww Mutual Fund</t>
        </is>
      </c>
      <c r="B3137" t="inlineStr">
        <is>
          <t xml:space="preserve">Groww Nifty Smallcap 250 Momentum Quality 100 ETF</t>
        </is>
      </c>
      <c r="C3137" t="inlineStr">
        <is>
          <t xml:space="preserve">INF666M01PG9</t>
        </is>
      </c>
    </row>
    <row r="3138">
      <c r="A3138" t="inlineStr">
        <is>
          <t xml:space="preserve">Groww Mutual Fund</t>
        </is>
      </c>
      <c r="B3138" t="inlineStr">
        <is>
          <t xml:space="preserve">Groww Nifty Smallcap 250 Momentum Quality 100 Index Fund Direct Growth</t>
        </is>
      </c>
      <c r="C3138" t="inlineStr">
        <is>
          <t xml:space="preserve">INF666M01PA2</t>
        </is>
      </c>
    </row>
    <row r="3139">
      <c r="A3139" t="inlineStr">
        <is>
          <t xml:space="preserve">Groww Mutual Fund</t>
        </is>
      </c>
      <c r="B3139" t="inlineStr">
        <is>
          <t xml:space="preserve">Groww Nifty Smallcap 250 Momentum Quality 100 Index Fund Direct IDCW</t>
        </is>
      </c>
      <c r="C3139" t="inlineStr">
        <is>
          <t xml:space="preserve">INF666M01PB0</t>
        </is>
      </c>
    </row>
    <row r="3140">
      <c r="A3140" t="inlineStr">
        <is>
          <t xml:space="preserve">Groww Mutual Fund</t>
        </is>
      </c>
      <c r="B3140" t="inlineStr">
        <is>
          <t xml:space="preserve">Groww Nifty Smallcap 250 Momentum Quality 100 Index Fund Regular Growth</t>
        </is>
      </c>
      <c r="C3140" t="inlineStr">
        <is>
          <t xml:space="preserve">INF666M01PD6</t>
        </is>
      </c>
    </row>
    <row r="3141">
      <c r="A3141" t="inlineStr">
        <is>
          <t xml:space="preserve">Groww Mutual Fund</t>
        </is>
      </c>
      <c r="B3141" t="inlineStr">
        <is>
          <t xml:space="preserve">Groww Nifty Smallcap 250 Momentum Quality 100 Index Fund Regular IDCW</t>
        </is>
      </c>
      <c r="C3141" t="inlineStr">
        <is>
          <t xml:space="preserve">INF666M01PE4</t>
        </is>
      </c>
    </row>
    <row r="3142">
      <c r="A3142" t="inlineStr">
        <is>
          <t xml:space="preserve">Groww Mutual Fund</t>
        </is>
      </c>
      <c r="B3142" t="inlineStr">
        <is>
          <t xml:space="preserve">Groww Nifty Smallcap250 ETF</t>
        </is>
      </c>
      <c r="C3142" t="inlineStr">
        <is>
          <t xml:space="preserve">INF666M01MO0</t>
        </is>
      </c>
    </row>
    <row r="3143">
      <c r="A3143" t="inlineStr">
        <is>
          <t xml:space="preserve">Groww Mutual Fund</t>
        </is>
      </c>
      <c r="B3143" t="inlineStr">
        <is>
          <t xml:space="preserve">Groww Nifty Total Market Index Fund - Direct Plan - Growth</t>
        </is>
      </c>
      <c r="C3143" t="inlineStr">
        <is>
          <t xml:space="preserve">INF666M01HM4</t>
        </is>
      </c>
    </row>
    <row r="3144">
      <c r="A3144" t="inlineStr">
        <is>
          <t xml:space="preserve">Groww Mutual Fund</t>
        </is>
      </c>
      <c r="B3144" t="inlineStr">
        <is>
          <t xml:space="preserve">Groww Nifty Total Market Index Fund - Direct Plan - IDCW</t>
        </is>
      </c>
      <c r="C3144" t="inlineStr">
        <is>
          <t xml:space="preserve">INF666M01HN2</t>
        </is>
      </c>
    </row>
    <row r="3145">
      <c r="A3145" t="inlineStr">
        <is>
          <t xml:space="preserve">Groww Mutual Fund</t>
        </is>
      </c>
      <c r="B3145" t="inlineStr">
        <is>
          <t xml:space="preserve">Groww Nifty Total Market Index Fund - Regular Plan - Growth</t>
        </is>
      </c>
      <c r="C3145" t="inlineStr">
        <is>
          <t xml:space="preserve">INF666M01HJ0</t>
        </is>
      </c>
    </row>
    <row r="3146">
      <c r="A3146" t="inlineStr">
        <is>
          <t xml:space="preserve">Groww Mutual Fund</t>
        </is>
      </c>
      <c r="B3146" t="inlineStr">
        <is>
          <t xml:space="preserve">Groww Nifty Total Market Index Fund - Regular Plan - IDCW</t>
        </is>
      </c>
      <c r="C3146" t="inlineStr">
        <is>
          <t xml:space="preserve">INF666M01HK8</t>
        </is>
      </c>
    </row>
    <row r="3147">
      <c r="A3147" t="inlineStr">
        <is>
          <t xml:space="preserve">Groww Mutual Fund</t>
        </is>
      </c>
      <c r="B3147" t="inlineStr">
        <is>
          <t xml:space="preserve">Groww Overnight Fund (formerly known as Indiabulls Overnight Fund)- Direct Plan- - Income Distribution cum capital withdrawal Option ( Reinvestment)</t>
        </is>
      </c>
      <c r="C3147" t="inlineStr">
        <is>
          <t xml:space="preserve">INF666M01GM6</t>
        </is>
      </c>
    </row>
    <row r="3148">
      <c r="A3148" t="inlineStr">
        <is>
          <t xml:space="preserve">Groww Mutual Fund</t>
        </is>
      </c>
      <c r="B3148" t="inlineStr">
        <is>
          <t xml:space="preserve">Groww Overnight Fund (formerly known as Indiabulls Overnight Fund)- Direct Plan- Fortnightly - Income Distribution cum capital withdrawal Option (Payout &amp; Reinvestment)</t>
        </is>
      </c>
      <c r="C3148" t="inlineStr">
        <is>
          <t xml:space="preserve">INF666M01GP9</t>
        </is>
      </c>
    </row>
    <row r="3149">
      <c r="A3149" t="inlineStr">
        <is>
          <t xml:space="preserve">Groww Mutual Fund</t>
        </is>
      </c>
      <c r="B3149" t="inlineStr">
        <is>
          <t xml:space="preserve">Groww Overnight Fund (formerly known as Indiabulls Overnight Fund)- Direct Plan- Growth Option</t>
        </is>
      </c>
      <c r="C3149" t="inlineStr">
        <is>
          <t xml:space="preserve">INF666M01GL8</t>
        </is>
      </c>
    </row>
    <row r="3150">
      <c r="A3150" t="inlineStr">
        <is>
          <t xml:space="preserve">Groww Mutual Fund</t>
        </is>
      </c>
      <c r="B3150" t="inlineStr">
        <is>
          <t xml:space="preserve">Groww Overnight Fund (formerly known as Indiabulls Overnight Fund)- Direct Plan- Monthly - Income Distribution cum capital withdrawal Option (Payout &amp; Reinvestment)</t>
        </is>
      </c>
      <c r="C3150" t="inlineStr">
        <is>
          <t xml:space="preserve">INF666M01GR5</t>
        </is>
      </c>
    </row>
    <row r="3151">
      <c r="A3151" t="inlineStr">
        <is>
          <t xml:space="preserve">Groww Mutual Fund</t>
        </is>
      </c>
      <c r="B3151" t="inlineStr">
        <is>
          <t xml:space="preserve">Groww Overnight Fund (formerly known as Indiabulls Overnight Fund)- Direct Plan- Weekly - Income Distribution cum capital withdrawal Option (Payout &amp; Reinvestment)</t>
        </is>
      </c>
      <c r="C3151" t="inlineStr">
        <is>
          <t xml:space="preserve">INF666M01GN4</t>
        </is>
      </c>
    </row>
    <row r="3152">
      <c r="A3152" t="inlineStr">
        <is>
          <t xml:space="preserve">Groww Mutual Fund</t>
        </is>
      </c>
      <c r="B3152" t="inlineStr">
        <is>
          <t xml:space="preserve">Groww Overnight Fund (formerly known as Indiabulls Overnight Fund)- Regular Plan- - Income Distribution cum capital withdrawal Option ( Reinvestment)</t>
        </is>
      </c>
      <c r="C3152" t="inlineStr">
        <is>
          <t xml:space="preserve">INF666M01GU9</t>
        </is>
      </c>
    </row>
    <row r="3153">
      <c r="A3153" t="inlineStr">
        <is>
          <t xml:space="preserve">Groww Mutual Fund</t>
        </is>
      </c>
      <c r="B3153" t="inlineStr">
        <is>
          <t xml:space="preserve">Groww Overnight Fund (formerly known as Indiabulls Overnight Fund)- Regular Plan- Fortnightly - Income Distribution cum capital withdrawal Option (Payout &amp; Reinvestment)</t>
        </is>
      </c>
      <c r="C3153" t="inlineStr">
        <is>
          <t xml:space="preserve">INF666M01GX3</t>
        </is>
      </c>
    </row>
    <row r="3154">
      <c r="A3154" t="inlineStr">
        <is>
          <t xml:space="preserve">Groww Mutual Fund</t>
        </is>
      </c>
      <c r="B3154" t="inlineStr">
        <is>
          <t xml:space="preserve">Groww Overnight Fund (formerly known as Indiabulls Overnight Fund)- Regular Plan- Growth Option</t>
        </is>
      </c>
      <c r="C3154" t="inlineStr">
        <is>
          <t xml:space="preserve">INF666M01GT1</t>
        </is>
      </c>
    </row>
    <row r="3155">
      <c r="A3155" t="inlineStr">
        <is>
          <t xml:space="preserve">Groww Mutual Fund</t>
        </is>
      </c>
      <c r="B3155" t="inlineStr">
        <is>
          <t xml:space="preserve">Groww Overnight Fund (formerly known as Indiabulls Overnight Fund)- Regular Plan- Monthly - Income Distribution cum capital withdrawal Option (Payout &amp; Reinvestment)</t>
        </is>
      </c>
      <c r="C3155" t="inlineStr">
        <is>
          <t xml:space="preserve">INF666M01GZ8</t>
        </is>
      </c>
    </row>
    <row r="3156">
      <c r="A3156" t="inlineStr">
        <is>
          <t xml:space="preserve">Groww Mutual Fund</t>
        </is>
      </c>
      <c r="B3156" t="inlineStr">
        <is>
          <t xml:space="preserve">Groww Overnight Fund (formerly known as Indiabulls Overnight Fund)- Regular Plan- Weekly - Income Distribution cum capital withdrawal Option (Payout &amp; Reinvestment)</t>
        </is>
      </c>
      <c r="C3156" t="inlineStr">
        <is>
          <t xml:space="preserve">INF666M01GV7</t>
        </is>
      </c>
    </row>
    <row r="3157">
      <c r="A3157" t="inlineStr">
        <is>
          <t xml:space="preserve">Groww Mutual Fund</t>
        </is>
      </c>
      <c r="B3157" t="inlineStr">
        <is>
          <t xml:space="preserve">Groww Short Term Fund (formerly known as Indiabulls Short Term Fund )- Regular Plan - Growth Option</t>
        </is>
      </c>
      <c r="C3157" t="inlineStr">
        <is>
          <t xml:space="preserve">INF666M01AJ5</t>
        </is>
      </c>
    </row>
    <row r="3158">
      <c r="A3158" t="inlineStr">
        <is>
          <t xml:space="preserve">Groww Mutual Fund</t>
        </is>
      </c>
      <c r="B3158" t="inlineStr">
        <is>
          <t xml:space="preserve">Groww Short Term Fund (formerly known as Indiabulls Short Term Fund) - Direct Plan - Growth Option</t>
        </is>
      </c>
      <c r="C3158" t="inlineStr">
        <is>
          <t xml:space="preserve">INF666M01AC0</t>
        </is>
      </c>
    </row>
    <row r="3159">
      <c r="A3159" t="inlineStr">
        <is>
          <t xml:space="preserve">Groww Mutual Fund</t>
        </is>
      </c>
      <c r="B3159" t="inlineStr">
        <is>
          <t xml:space="preserve">Groww Short Term Fund (formerly known as Indiabulls Short Term Fund)- Direct Plan- Fortnightly - Income Distribution cum capital withdrawal Option (Payout &amp; Reinvestment)</t>
        </is>
      </c>
      <c r="C3159" t="inlineStr">
        <is>
          <t xml:space="preserve">INF666M01AH9</t>
        </is>
      </c>
    </row>
    <row r="3160">
      <c r="A3160" t="inlineStr">
        <is>
          <t xml:space="preserve">Groww Mutual Fund</t>
        </is>
      </c>
      <c r="B3160" t="inlineStr">
        <is>
          <t xml:space="preserve">Groww Short Term Fund (formerly known as Indiabulls Short Term Fund)- Direct Plan- Monthly - Income Distribution cum capital withdrawal Option (Payout &amp; Reinvestment)</t>
        </is>
      </c>
      <c r="C3160" t="inlineStr">
        <is>
          <t xml:space="preserve">INF666M01AI7</t>
        </is>
      </c>
    </row>
    <row r="3161">
      <c r="A3161" t="inlineStr">
        <is>
          <t xml:space="preserve">Groww Mutual Fund</t>
        </is>
      </c>
      <c r="B3161" t="inlineStr">
        <is>
          <t xml:space="preserve">Groww Short Term Fund (formerly known as Indiabulls Short Term Fund)- Direct Plan- Weekly - Income Distribution cum capital withdrawal Option (Payout &amp; Reinvestment)</t>
        </is>
      </c>
      <c r="C3161" t="inlineStr">
        <is>
          <t xml:space="preserve">INF666M01AG1</t>
        </is>
      </c>
    </row>
    <row r="3162">
      <c r="A3162" t="inlineStr">
        <is>
          <t xml:space="preserve">Groww Mutual Fund</t>
        </is>
      </c>
      <c r="B3162" t="inlineStr">
        <is>
          <t xml:space="preserve">Groww Short Term Fund (formerly known as Indiabulls Short Term Fund)- Regular Plan- Fortnightly - Income Distribution cum capital withdrawal Option (Payout &amp; Reinvestment)</t>
        </is>
      </c>
      <c r="C3162" t="inlineStr">
        <is>
          <t xml:space="preserve">INF666M01AO5</t>
        </is>
      </c>
    </row>
    <row r="3163">
      <c r="A3163" t="inlineStr">
        <is>
          <t xml:space="preserve">Groww Mutual Fund</t>
        </is>
      </c>
      <c r="B3163" t="inlineStr">
        <is>
          <t xml:space="preserve">Groww Short Term Fund (formerly known as Indiabulls Short Term Fund)- Regular Plan- Monthly - Income Distribution cum capital withdrawal Option (Payout &amp; Reinvestment)</t>
        </is>
      </c>
      <c r="C3163" t="inlineStr">
        <is>
          <t xml:space="preserve">INF666M01AP2</t>
        </is>
      </c>
    </row>
    <row r="3164">
      <c r="A3164" t="inlineStr">
        <is>
          <t xml:space="preserve">Groww Mutual Fund</t>
        </is>
      </c>
      <c r="B3164" t="inlineStr">
        <is>
          <t xml:space="preserve">Groww Short Term Fund (formerly known as Indiabulls Short Term Fund)- Regular Plan- Weekly - Income Distribution cum capital withdrawal Option (Payout &amp; Reinvestment)</t>
        </is>
      </c>
      <c r="C3164" t="inlineStr">
        <is>
          <t xml:space="preserve">INF666M01AN7</t>
        </is>
      </c>
    </row>
    <row r="3165">
      <c r="A3165" t="inlineStr">
        <is>
          <t xml:space="preserve">Groww Mutual Fund</t>
        </is>
      </c>
      <c r="B3165" t="inlineStr">
        <is>
          <t xml:space="preserve">Groww Silver ETF</t>
        </is>
      </c>
      <c r="C3165" t="inlineStr">
        <is>
          <t xml:space="preserve">INF666M01OF4</t>
        </is>
      </c>
    </row>
    <row r="3166">
      <c r="A3166" t="inlineStr">
        <is>
          <t xml:space="preserve">Groww Mutual Fund</t>
        </is>
      </c>
      <c r="B3166" t="inlineStr">
        <is>
          <t xml:space="preserve">Groww Silver ETF FOF - Direct - Growth</t>
        </is>
      </c>
      <c r="C3166" t="inlineStr">
        <is>
          <t xml:space="preserve">INF666M01KQ9</t>
        </is>
      </c>
    </row>
    <row r="3167">
      <c r="A3167" t="inlineStr">
        <is>
          <t xml:space="preserve">Groww Mutual Fund</t>
        </is>
      </c>
      <c r="B3167" t="inlineStr">
        <is>
          <t xml:space="preserve">Groww Silver ETF FOF - Direct - IDCW</t>
        </is>
      </c>
      <c r="C3167" t="inlineStr">
        <is>
          <t xml:space="preserve">INF666M01KR7</t>
        </is>
      </c>
    </row>
    <row r="3168">
      <c r="A3168" t="inlineStr">
        <is>
          <t xml:space="preserve">Groww Mutual Fund</t>
        </is>
      </c>
      <c r="B3168" t="inlineStr">
        <is>
          <t xml:space="preserve">Groww Silver ETF FOF - Regular - Growth</t>
        </is>
      </c>
      <c r="C3168" t="inlineStr">
        <is>
          <t xml:space="preserve">INF666M01KX5</t>
        </is>
      </c>
    </row>
    <row r="3169">
      <c r="A3169" t="inlineStr">
        <is>
          <t xml:space="preserve">Groww Mutual Fund</t>
        </is>
      </c>
      <c r="B3169" t="inlineStr">
        <is>
          <t xml:space="preserve">Groww Silver ETF FOF - Regular - IDCW</t>
        </is>
      </c>
      <c r="C3169" t="inlineStr">
        <is>
          <t xml:space="preserve">INF666M01KY3</t>
        </is>
      </c>
    </row>
    <row r="3170">
      <c r="A3170" t="inlineStr">
        <is>
          <t xml:space="preserve">Groww Mutual Fund</t>
        </is>
      </c>
      <c r="B3170" t="inlineStr">
        <is>
          <t xml:space="preserve">Groww Small Cap Fund - Direct-IDCW</t>
        </is>
      </c>
      <c r="C3170" t="inlineStr">
        <is>
          <t xml:space="preserve">INF666M01NK6</t>
        </is>
      </c>
    </row>
    <row r="3171">
      <c r="A3171" t="inlineStr">
        <is>
          <t xml:space="preserve">Groww Mutual Fund</t>
        </is>
      </c>
      <c r="B3171" t="inlineStr">
        <is>
          <t xml:space="preserve">Groww Small Cap Fund-Direct-Growth</t>
        </is>
      </c>
      <c r="C3171" t="inlineStr">
        <is>
          <t xml:space="preserve">INF666M01NJ8</t>
        </is>
      </c>
    </row>
    <row r="3172">
      <c r="A3172" t="inlineStr">
        <is>
          <t xml:space="preserve">Groww Mutual Fund</t>
        </is>
      </c>
      <c r="B3172" t="inlineStr">
        <is>
          <t xml:space="preserve">Groww Small Cap Fund-Regular-Growth</t>
        </is>
      </c>
      <c r="C3172" t="inlineStr">
        <is>
          <t xml:space="preserve">INF666M01NM2</t>
        </is>
      </c>
    </row>
    <row r="3173">
      <c r="A3173" t="inlineStr">
        <is>
          <t xml:space="preserve">Groww Mutual Fund</t>
        </is>
      </c>
      <c r="B3173" t="inlineStr">
        <is>
          <t xml:space="preserve">Groww Small Cap Fund-Regular-IDCW</t>
        </is>
      </c>
      <c r="C3173" t="inlineStr">
        <is>
          <t xml:space="preserve">INF666M01NN0</t>
        </is>
      </c>
    </row>
    <row r="3174">
      <c r="A3174" t="inlineStr">
        <is>
          <t xml:space="preserve">Groww Mutual Fund</t>
        </is>
      </c>
      <c r="B3174" t="inlineStr">
        <is>
          <t xml:space="preserve">Groww Value Fund (formerly known as Indiabulls Value Fund) - Direct Plan - Growth Option</t>
        </is>
      </c>
      <c r="C3174" t="inlineStr">
        <is>
          <t xml:space="preserve">INF666M01BE4</t>
        </is>
      </c>
    </row>
    <row r="3175">
      <c r="A3175" t="inlineStr">
        <is>
          <t xml:space="preserve">Groww Mutual Fund</t>
        </is>
      </c>
      <c r="B3175" t="inlineStr">
        <is>
          <t xml:space="preserve">Groww Value Fund (formerly known as Indiabulls Value Fund) - Regular Plan - Growth Option</t>
        </is>
      </c>
      <c r="C3175" t="inlineStr">
        <is>
          <t xml:space="preserve">INF666M01BH7</t>
        </is>
      </c>
    </row>
    <row r="3176">
      <c r="A3176" t="inlineStr">
        <is>
          <t xml:space="preserve">Groww Mutual Fund</t>
        </is>
      </c>
      <c r="B3176" t="inlineStr">
        <is>
          <t xml:space="preserve">Groww Value Fund (formerly known as Indiabulls Value Fund)- Direct Plan- - Income Distribution cum capital withdrawal Option (Payout &amp; Reinvestment)</t>
        </is>
      </c>
      <c r="C3176" t="inlineStr">
        <is>
          <t xml:space="preserve">INF666M01BF1</t>
        </is>
      </c>
    </row>
    <row r="3177">
      <c r="A3177" t="inlineStr">
        <is>
          <t xml:space="preserve">Groww Mutual Fund</t>
        </is>
      </c>
      <c r="B3177" t="inlineStr">
        <is>
          <t xml:space="preserve">Groww Value Fund (formerly known as Indiabulls Value Fund)- Direct Plan- Half Yearly - Income Distribution cum capital withdrawal Option (Payout &amp; Reinvestment)</t>
        </is>
      </c>
      <c r="C3177" t="inlineStr">
        <is>
          <t xml:space="preserve">INF666M01DC4</t>
        </is>
      </c>
    </row>
    <row r="3178">
      <c r="A3178" t="inlineStr">
        <is>
          <t xml:space="preserve">Groww Mutual Fund</t>
        </is>
      </c>
      <c r="B3178" t="inlineStr">
        <is>
          <t xml:space="preserve">Groww Value Fund (formerly known as Indiabulls Value Fund)- Direct Plan- Monthly - Income Distribution cum capital withdrawal Option (Payout &amp; Reinvestment)</t>
        </is>
      </c>
      <c r="C3178" t="inlineStr">
        <is>
          <t xml:space="preserve">INF666M01CY0</t>
        </is>
      </c>
    </row>
    <row r="3179">
      <c r="A3179" t="inlineStr">
        <is>
          <t xml:space="preserve">Groww Mutual Fund</t>
        </is>
      </c>
      <c r="B3179" t="inlineStr">
        <is>
          <t xml:space="preserve">Groww Value Fund (formerly known as Indiabulls Value Fund)- Direct Plan- Quarterly - Income Distribution cum capital withdrawal Option (Payout &amp; Reinvestment)</t>
        </is>
      </c>
      <c r="C3179" t="inlineStr">
        <is>
          <t xml:space="preserve">INF666M01DA8</t>
        </is>
      </c>
    </row>
    <row r="3180">
      <c r="A3180" t="inlineStr">
        <is>
          <t xml:space="preserve">Groww Mutual Fund</t>
        </is>
      </c>
      <c r="B3180" t="inlineStr">
        <is>
          <t xml:space="preserve">Groww Value Fund (formerly known as Indiabulls Value Fund)- Regular Plan - Income Distribution cum capital withdrawal Option (Payout &amp; Reinvestment)</t>
        </is>
      </c>
      <c r="C3180" t="inlineStr">
        <is>
          <t xml:space="preserve">INF666M01BI5</t>
        </is>
      </c>
    </row>
    <row r="3181">
      <c r="A3181" t="inlineStr">
        <is>
          <t xml:space="preserve">Groww Mutual Fund</t>
        </is>
      </c>
      <c r="B3181" t="inlineStr">
        <is>
          <t xml:space="preserve">Groww Value Fund (formerly known as Indiabulls Value Fund)- Regular Plan- Half Yearly -Income Distribution cum capital withdrawal Option (Payout &amp; Reinvestment)</t>
        </is>
      </c>
      <c r="C3181" t="inlineStr">
        <is>
          <t xml:space="preserve">INF666M01DI1</t>
        </is>
      </c>
    </row>
    <row r="3182">
      <c r="A3182" t="inlineStr">
        <is>
          <t xml:space="preserve">Groww Mutual Fund</t>
        </is>
      </c>
      <c r="B3182" t="inlineStr">
        <is>
          <t xml:space="preserve">Groww Value Fund (formerly known as Indiabulls Value Fund)- Regular Plan- Monthly - Income Distribution cum capital withdrawal Option (Payout &amp; Reinvestment.</t>
        </is>
      </c>
      <c r="C3182" t="inlineStr">
        <is>
          <t xml:space="preserve">INF666M01DE0</t>
        </is>
      </c>
    </row>
    <row r="3183">
      <c r="A3183" t="inlineStr">
        <is>
          <t xml:space="preserve">Groww Mutual Fund</t>
        </is>
      </c>
      <c r="B3183" t="inlineStr">
        <is>
          <t xml:space="preserve">Groww Value Fund (formerly known as Indiabulls Value Fund)- Regular Plan- Quarterly - Income Distribution cum capital withdrawal Option (Payout &amp; Reinvestment)</t>
        </is>
      </c>
      <c r="C3183" t="inlineStr">
        <is>
          <t xml:space="preserve">INF666M01DG5</t>
        </is>
      </c>
    </row>
    <row r="3184">
      <c r="A3184" t="inlineStr">
        <is>
          <t xml:space="preserve">HDFC Mutual Fund</t>
        </is>
      </c>
      <c r="B3184" t="inlineStr">
        <is>
          <t xml:space="preserve">HDFC ARBITRAGE FUND - Monthly IDCW - Direct Plan</t>
        </is>
      </c>
      <c r="C3184" t="inlineStr">
        <is>
          <t xml:space="preserve">INF179KA1KS8</t>
        </is>
      </c>
    </row>
    <row r="3185">
      <c r="A3185" t="inlineStr">
        <is>
          <t xml:space="preserve">HDFC Mutual Fund</t>
        </is>
      </c>
      <c r="B3185" t="inlineStr">
        <is>
          <t xml:space="preserve">HDFC ARBITRAGE FUND - Regular Plan - Monthly IDCW Option</t>
        </is>
      </c>
      <c r="C3185" t="inlineStr">
        <is>
          <t xml:space="preserve">INF179KA1KO7</t>
        </is>
      </c>
    </row>
    <row r="3186">
      <c r="A3186" t="inlineStr">
        <is>
          <t xml:space="preserve">HDFC Mutual Fund</t>
        </is>
      </c>
      <c r="B3186" t="inlineStr">
        <is>
          <t xml:space="preserve">HDFC ARBITRAGE FUND - Regular Plan -Growth Option</t>
        </is>
      </c>
      <c r="C3186" t="inlineStr">
        <is>
          <t xml:space="preserve">INF179K01343</t>
        </is>
      </c>
    </row>
    <row r="3187">
      <c r="A3187" t="inlineStr">
        <is>
          <t xml:space="preserve">HDFC Mutual Fund</t>
        </is>
      </c>
      <c r="B3187" t="inlineStr">
        <is>
          <t xml:space="preserve">HDFC ARBITRAGE FUND -Direct Plan - Growth Option</t>
        </is>
      </c>
      <c r="C3187" t="inlineStr">
        <is>
          <t xml:space="preserve">INF179KA1KT6</t>
        </is>
      </c>
    </row>
    <row r="3188">
      <c r="A3188" t="inlineStr">
        <is>
          <t xml:space="preserve">HDFC Mutual Fund</t>
        </is>
      </c>
      <c r="B3188" t="inlineStr">
        <is>
          <t xml:space="preserve">HDFC Balanced Advantage Fund - Growth Plan</t>
        </is>
      </c>
      <c r="C3188" t="inlineStr">
        <is>
          <t xml:space="preserve">INF179K01830</t>
        </is>
      </c>
    </row>
    <row r="3189">
      <c r="A3189" t="inlineStr">
        <is>
          <t xml:space="preserve">HDFC Mutual Fund</t>
        </is>
      </c>
      <c r="B3189" t="inlineStr">
        <is>
          <t xml:space="preserve">HDFC Balanced Advantage Fund - Growth Plan - Direct Plan</t>
        </is>
      </c>
      <c r="C3189" t="inlineStr">
        <is>
          <t xml:space="preserve">INF179K01WA6</t>
        </is>
      </c>
    </row>
    <row r="3190">
      <c r="A3190" t="inlineStr">
        <is>
          <t xml:space="preserve">HDFC Mutual Fund</t>
        </is>
      </c>
      <c r="B3190" t="inlineStr">
        <is>
          <t xml:space="preserve">HDFC Balanced Advantage Fund - IDCW Plan</t>
        </is>
      </c>
      <c r="C3190" t="inlineStr">
        <is>
          <t xml:space="preserve">INF179K01814</t>
        </is>
      </c>
    </row>
    <row r="3191">
      <c r="A3191" t="inlineStr">
        <is>
          <t xml:space="preserve">HDFC Mutual Fund</t>
        </is>
      </c>
      <c r="B3191" t="inlineStr">
        <is>
          <t xml:space="preserve">HDFC Balanced Advantage Fund - IDCW Plan - Direct Plan</t>
        </is>
      </c>
      <c r="C3191" t="inlineStr">
        <is>
          <t xml:space="preserve">INF179K01VY8</t>
        </is>
      </c>
    </row>
    <row r="3192">
      <c r="A3192" t="inlineStr">
        <is>
          <t xml:space="preserve">HDFC Mutual Fund</t>
        </is>
      </c>
      <c r="B3192" t="inlineStr">
        <is>
          <t xml:space="preserve">HDFC Banking &amp; Financial Services Fund - Growth Option</t>
        </is>
      </c>
      <c r="C3192" t="inlineStr">
        <is>
          <t xml:space="preserve">INF179KC1BJ4</t>
        </is>
      </c>
    </row>
    <row r="3193">
      <c r="A3193" t="inlineStr">
        <is>
          <t xml:space="preserve">HDFC Mutual Fund</t>
        </is>
      </c>
      <c r="B3193" t="inlineStr">
        <is>
          <t xml:space="preserve">HDFC Banking &amp; Financial Services Fund - Growth Option - Direct Plan</t>
        </is>
      </c>
      <c r="C3193" t="inlineStr">
        <is>
          <t xml:space="preserve">INF179KC1BG0</t>
        </is>
      </c>
    </row>
    <row r="3194">
      <c r="A3194" t="inlineStr">
        <is>
          <t xml:space="preserve">HDFC Mutual Fund</t>
        </is>
      </c>
      <c r="B3194" t="inlineStr">
        <is>
          <t xml:space="preserve">HDFC Banking &amp; Financial Services Fund - IDCW Option</t>
        </is>
      </c>
      <c r="C3194" t="inlineStr">
        <is>
          <t xml:space="preserve">INF179KC1BK2</t>
        </is>
      </c>
    </row>
    <row r="3195">
      <c r="A3195" t="inlineStr">
        <is>
          <t xml:space="preserve">HDFC Mutual Fund</t>
        </is>
      </c>
      <c r="B3195" t="inlineStr">
        <is>
          <t xml:space="preserve">HDFC Banking &amp; Financial Services Fund - IDCW Option - Direct Plan</t>
        </is>
      </c>
      <c r="C3195" t="inlineStr">
        <is>
          <t xml:space="preserve">INF179KC1BH8</t>
        </is>
      </c>
    </row>
    <row r="3196">
      <c r="A3196" t="inlineStr">
        <is>
          <t xml:space="preserve">HDFC Mutual Fund</t>
        </is>
      </c>
      <c r="B3196" t="inlineStr">
        <is>
          <t xml:space="preserve">HDFC Banking and PSU Debt Fund - Growth Option</t>
        </is>
      </c>
      <c r="C3196" t="inlineStr">
        <is>
          <t xml:space="preserve">INF179KA1JC4</t>
        </is>
      </c>
    </row>
    <row r="3197">
      <c r="A3197" t="inlineStr">
        <is>
          <t xml:space="preserve">HDFC Mutual Fund</t>
        </is>
      </c>
      <c r="B3197" t="inlineStr">
        <is>
          <t xml:space="preserve">HDFC Banking and PSU Debt Fund - Growth Option - Direct Plan</t>
        </is>
      </c>
      <c r="C3197" t="inlineStr">
        <is>
          <t xml:space="preserve">INF179KA1IZ7</t>
        </is>
      </c>
    </row>
    <row r="3198">
      <c r="A3198" t="inlineStr">
        <is>
          <t xml:space="preserve">HDFC Mutual Fund</t>
        </is>
      </c>
      <c r="B3198" t="inlineStr">
        <is>
          <t xml:space="preserve">HDFC Banking and PSU Debt Fund - IDCW Option</t>
        </is>
      </c>
      <c r="C3198" t="inlineStr">
        <is>
          <t xml:space="preserve">INF179KA1JD2</t>
        </is>
      </c>
    </row>
    <row r="3199">
      <c r="A3199" t="inlineStr">
        <is>
          <t xml:space="preserve">HDFC Mutual Fund</t>
        </is>
      </c>
      <c r="B3199" t="inlineStr">
        <is>
          <t xml:space="preserve">HDFC Banking and PSU Debt Fund - IDCW Option - Direct Plan</t>
        </is>
      </c>
      <c r="C3199" t="inlineStr">
        <is>
          <t xml:space="preserve">INF179KA1JA8</t>
        </is>
      </c>
    </row>
    <row r="3200">
      <c r="A3200" t="inlineStr">
        <is>
          <t xml:space="preserve">HDFC Mutual Fund</t>
        </is>
      </c>
      <c r="B3200" t="inlineStr">
        <is>
          <t xml:space="preserve">HDFC BSE 500 ETF - Growth Option</t>
        </is>
      </c>
      <c r="C3200" t="inlineStr">
        <is>
          <t xml:space="preserve">INF179KC1EZ4</t>
        </is>
      </c>
    </row>
    <row r="3201">
      <c r="A3201" t="inlineStr">
        <is>
          <t xml:space="preserve">HDFC Mutual Fund</t>
        </is>
      </c>
      <c r="B3201" t="inlineStr">
        <is>
          <t xml:space="preserve">HDFC BSE 500 Index Fund - Growth Option - Direct Plan</t>
        </is>
      </c>
      <c r="C3201" t="inlineStr">
        <is>
          <t xml:space="preserve">INF179KC1GG9</t>
        </is>
      </c>
    </row>
    <row r="3202">
      <c r="A3202" t="inlineStr">
        <is>
          <t xml:space="preserve">HDFC Mutual Fund</t>
        </is>
      </c>
      <c r="B3202" t="inlineStr">
        <is>
          <t xml:space="preserve">HDFC BSE 500 Index Fund - Regular Plan - Growth Option</t>
        </is>
      </c>
      <c r="C3202" t="inlineStr">
        <is>
          <t xml:space="preserve">INF179KC1GH7</t>
        </is>
      </c>
    </row>
    <row r="3203">
      <c r="A3203" t="inlineStr">
        <is>
          <t xml:space="preserve">HDFC Mutual Fund</t>
        </is>
      </c>
      <c r="B3203" t="inlineStr">
        <is>
          <t xml:space="preserve">HDFC BSE India Sector Leaders Index Fund - Regular Plan - Growth Option</t>
        </is>
      </c>
      <c r="C3203" t="inlineStr">
        <is>
          <t xml:space="preserve">INF179KC1JX8</t>
        </is>
      </c>
    </row>
    <row r="3204">
      <c r="A3204" t="inlineStr">
        <is>
          <t xml:space="preserve">HDFC Mutual Fund</t>
        </is>
      </c>
      <c r="B3204" t="inlineStr">
        <is>
          <t xml:space="preserve">HDFC BSE India Sector Leaders India Fund - Direct Plan - Growth Option</t>
        </is>
      </c>
      <c r="C3204" t="inlineStr">
        <is>
          <t xml:space="preserve">INF179KC1JY6</t>
        </is>
      </c>
    </row>
    <row r="3205">
      <c r="A3205" t="inlineStr">
        <is>
          <t xml:space="preserve">HDFC Mutual Fund</t>
        </is>
      </c>
      <c r="B3205" t="inlineStr">
        <is>
          <t xml:space="preserve">HDFC BSE Sensex ETF - Growth Plan</t>
        </is>
      </c>
      <c r="C3205" t="inlineStr">
        <is>
          <t xml:space="preserve">INF179KC1HX2</t>
        </is>
      </c>
    </row>
    <row r="3206">
      <c r="A3206" t="inlineStr">
        <is>
          <t xml:space="preserve">HDFC Mutual Fund</t>
        </is>
      </c>
      <c r="B3206" t="inlineStr">
        <is>
          <t xml:space="preserve">HDFC BSE Sensex Index Fund - Direct Plan</t>
        </is>
      </c>
      <c r="C3206" t="inlineStr">
        <is>
          <t xml:space="preserve">INF179K01WN9</t>
        </is>
      </c>
    </row>
    <row r="3207">
      <c r="A3207" t="inlineStr">
        <is>
          <t xml:space="preserve">HDFC Mutual Fund</t>
        </is>
      </c>
      <c r="B3207" t="inlineStr">
        <is>
          <t xml:space="preserve">HDFC BSE Sensex Index Fund - Growth Plan</t>
        </is>
      </c>
      <c r="C3207" t="inlineStr">
        <is>
          <t xml:space="preserve">INF179K01LA9</t>
        </is>
      </c>
    </row>
    <row r="3208">
      <c r="A3208" t="inlineStr">
        <is>
          <t xml:space="preserve">HDFC Mutual Fund</t>
        </is>
      </c>
      <c r="B3208" t="inlineStr">
        <is>
          <t xml:space="preserve">HDFC Business Cycle Fund - Growth Option</t>
        </is>
      </c>
      <c r="C3208" t="inlineStr">
        <is>
          <t xml:space="preserve">INF179KC1EB5</t>
        </is>
      </c>
    </row>
    <row r="3209">
      <c r="A3209" t="inlineStr">
        <is>
          <t xml:space="preserve">HDFC Mutual Fund</t>
        </is>
      </c>
      <c r="B3209" t="inlineStr">
        <is>
          <t xml:space="preserve">HDFC Business Cycle Fund - Growth Option - Direct Plan</t>
        </is>
      </c>
      <c r="C3209" t="inlineStr">
        <is>
          <t xml:space="preserve">INF179KC1DY9</t>
        </is>
      </c>
    </row>
    <row r="3210">
      <c r="A3210" t="inlineStr">
        <is>
          <t xml:space="preserve">HDFC Mutual Fund</t>
        </is>
      </c>
      <c r="B3210" t="inlineStr">
        <is>
          <t xml:space="preserve">HDFC Business Cycle Fund - IDCW Option</t>
        </is>
      </c>
      <c r="C3210" t="inlineStr">
        <is>
          <t xml:space="preserve">INF179KC1EC3</t>
        </is>
      </c>
    </row>
    <row r="3211">
      <c r="A3211" t="inlineStr">
        <is>
          <t xml:space="preserve">HDFC Mutual Fund</t>
        </is>
      </c>
      <c r="B3211" t="inlineStr">
        <is>
          <t xml:space="preserve">HDFC Business Cycle Fund - IDCW Option - Direct Plan</t>
        </is>
      </c>
      <c r="C3211" t="inlineStr">
        <is>
          <t xml:space="preserve">INF179KC1DZ6</t>
        </is>
      </c>
    </row>
    <row r="3212">
      <c r="A3212" t="inlineStr">
        <is>
          <t xml:space="preserve">HDFC Mutual Fund</t>
        </is>
      </c>
      <c r="B3212" t="inlineStr">
        <is>
          <t xml:space="preserve">HDFC Charity Fund for Cancer Cure - IDCW Option - 50% IDCW Donation Option</t>
        </is>
      </c>
      <c r="C3212" t="inlineStr">
        <is>
          <t xml:space="preserve">INF179KC1HC6</t>
        </is>
      </c>
    </row>
    <row r="3213">
      <c r="A3213" t="inlineStr">
        <is>
          <t xml:space="preserve">HDFC Mutual Fund</t>
        </is>
      </c>
      <c r="B3213" t="inlineStr">
        <is>
          <t xml:space="preserve">HDFC Charity Fund for Cancer Cure - IDCW Option - 75% IDCW Donation Option</t>
        </is>
      </c>
      <c r="C3213" t="inlineStr">
        <is>
          <t xml:space="preserve">INF179KC1HD4</t>
        </is>
      </c>
    </row>
    <row r="3214">
      <c r="A3214" t="inlineStr">
        <is>
          <t xml:space="preserve">HDFC Mutual Fund</t>
        </is>
      </c>
      <c r="B3214" t="inlineStr">
        <is>
          <t xml:space="preserve">HDFC Charity Fund for Cancer Cure - IDCW Option - Direct Plan - 50% IDCW Donation Option</t>
        </is>
      </c>
      <c r="C3214" t="inlineStr">
        <is>
          <t xml:space="preserve">INF179KC1HA0</t>
        </is>
      </c>
    </row>
    <row r="3215">
      <c r="A3215" t="inlineStr">
        <is>
          <t xml:space="preserve">HDFC Mutual Fund</t>
        </is>
      </c>
      <c r="B3215" t="inlineStr">
        <is>
          <t xml:space="preserve">HDFC Charity Fund for Cancer Cure - IDCW Option - Direct Plan - 75% IDCW Donation Option</t>
        </is>
      </c>
      <c r="C3215" t="inlineStr">
        <is>
          <t xml:space="preserve">INF179KC1HB8</t>
        </is>
      </c>
    </row>
    <row r="3216">
      <c r="A3216" t="inlineStr">
        <is>
          <t xml:space="preserve">HDFC Mutual Fund</t>
        </is>
      </c>
      <c r="B3216" t="inlineStr">
        <is>
          <t xml:space="preserve">HDFC Childrens Fund - Direct Plan</t>
        </is>
      </c>
      <c r="C3216" t="inlineStr">
        <is>
          <t xml:space="preserve">INF179KC1IX0</t>
        </is>
      </c>
    </row>
    <row r="3217">
      <c r="A3217" t="inlineStr">
        <is>
          <t xml:space="preserve">HDFC Mutual Fund</t>
        </is>
      </c>
      <c r="B3217" t="inlineStr">
        <is>
          <t xml:space="preserve">HDFC Childrens Fund - Growth Plan</t>
        </is>
      </c>
      <c r="C3217" t="inlineStr">
        <is>
          <t xml:space="preserve">INF179KC1IY8</t>
        </is>
      </c>
    </row>
    <row r="3218">
      <c r="A3218" t="inlineStr">
        <is>
          <t xml:space="preserve">HDFC Mutual Fund</t>
        </is>
      </c>
      <c r="B3218" t="inlineStr">
        <is>
          <t xml:space="preserve">HDFC Consumption Fund - Growth Option</t>
        </is>
      </c>
      <c r="C3218" t="inlineStr">
        <is>
          <t xml:space="preserve">INF179KC1GR6</t>
        </is>
      </c>
    </row>
    <row r="3219">
      <c r="A3219" t="inlineStr">
        <is>
          <t xml:space="preserve">HDFC Mutual Fund</t>
        </is>
      </c>
      <c r="B3219" t="inlineStr">
        <is>
          <t xml:space="preserve">HDFC Consumption Fund - Growth Option - Direct Plan</t>
        </is>
      </c>
      <c r="C3219" t="inlineStr">
        <is>
          <t xml:space="preserve">INF179KC1GO3</t>
        </is>
      </c>
    </row>
    <row r="3220">
      <c r="A3220" t="inlineStr">
        <is>
          <t xml:space="preserve">HDFC Mutual Fund</t>
        </is>
      </c>
      <c r="B3220" t="inlineStr">
        <is>
          <t xml:space="preserve">HDFC Consumption Fund - IDCW Option</t>
        </is>
      </c>
      <c r="C3220" t="inlineStr">
        <is>
          <t xml:space="preserve">INF179KC1GS4</t>
        </is>
      </c>
    </row>
    <row r="3221">
      <c r="A3221" t="inlineStr">
        <is>
          <t xml:space="preserve">HDFC Mutual Fund</t>
        </is>
      </c>
      <c r="B3221" t="inlineStr">
        <is>
          <t xml:space="preserve">HDFC Consumption Fund - IDCW Option - Direct Plan</t>
        </is>
      </c>
      <c r="C3221" t="inlineStr">
        <is>
          <t xml:space="preserve">INF179KC1GP0</t>
        </is>
      </c>
    </row>
    <row r="3222">
      <c r="A3222" t="inlineStr">
        <is>
          <t xml:space="preserve">HDFC Mutual Fund</t>
        </is>
      </c>
      <c r="B3222" t="inlineStr">
        <is>
          <t xml:space="preserve">HDFC Corporate Bond Fund - Growth Option</t>
        </is>
      </c>
      <c r="C3222" t="inlineStr">
        <is>
          <t xml:space="preserve">INF179K01DC2</t>
        </is>
      </c>
    </row>
    <row r="3223">
      <c r="A3223" t="inlineStr">
        <is>
          <t xml:space="preserve">HDFC Mutual Fund</t>
        </is>
      </c>
      <c r="B3223" t="inlineStr">
        <is>
          <t xml:space="preserve">HDFC Corporate Bond Fund - Growth Option - Direct Plan</t>
        </is>
      </c>
      <c r="C3223" t="inlineStr">
        <is>
          <t xml:space="preserve">INF179K01XD8</t>
        </is>
      </c>
    </row>
    <row r="3224">
      <c r="A3224" t="inlineStr">
        <is>
          <t xml:space="preserve">HDFC Mutual Fund</t>
        </is>
      </c>
      <c r="B3224" t="inlineStr">
        <is>
          <t xml:space="preserve">HDFC Corporate Bond Fund - IDCW Option</t>
        </is>
      </c>
      <c r="C3224" t="inlineStr">
        <is>
          <t xml:space="preserve">INF179KA1D33</t>
        </is>
      </c>
    </row>
    <row r="3225">
      <c r="A3225" t="inlineStr">
        <is>
          <t xml:space="preserve">HDFC Mutual Fund</t>
        </is>
      </c>
      <c r="B3225" t="inlineStr">
        <is>
          <t xml:space="preserve">HDFC Corporate Bond Fund - IDCW Option - Direct Plan</t>
        </is>
      </c>
      <c r="C3225" t="inlineStr">
        <is>
          <t xml:space="preserve">INF179KA1D17</t>
        </is>
      </c>
    </row>
    <row r="3226">
      <c r="A3226" t="inlineStr">
        <is>
          <t xml:space="preserve">HDFC Mutual Fund</t>
        </is>
      </c>
      <c r="B3226" t="inlineStr">
        <is>
          <t xml:space="preserve">HDFC Corporate Bond Fund - Quarterly IDCW Option</t>
        </is>
      </c>
      <c r="C3226" t="inlineStr">
        <is>
          <t xml:space="preserve">INF179K01DD0</t>
        </is>
      </c>
    </row>
    <row r="3227">
      <c r="A3227" t="inlineStr">
        <is>
          <t xml:space="preserve">HDFC Mutual Fund</t>
        </is>
      </c>
      <c r="B3227" t="inlineStr">
        <is>
          <t xml:space="preserve">HDFC Corporate Bond Fund - Quarterly IDCW Option - Direct Plan</t>
        </is>
      </c>
      <c r="C3227" t="inlineStr">
        <is>
          <t xml:space="preserve">INF179K01XB2</t>
        </is>
      </c>
    </row>
    <row r="3228">
      <c r="A3228" t="inlineStr">
        <is>
          <t xml:space="preserve">HDFC Mutual Fund</t>
        </is>
      </c>
      <c r="B3228" t="inlineStr">
        <is>
          <t xml:space="preserve">HDFC Credit Risk Debt Fund - Growth Option</t>
        </is>
      </c>
      <c r="C3228" t="inlineStr">
        <is>
          <t xml:space="preserve">INF179KA1GC0</t>
        </is>
      </c>
    </row>
    <row r="3229">
      <c r="A3229" t="inlineStr">
        <is>
          <t xml:space="preserve">HDFC Mutual Fund</t>
        </is>
      </c>
      <c r="B3229" t="inlineStr">
        <is>
          <t xml:space="preserve">HDFC Credit Risk Debt Fund - Growth Option - Direct Plan</t>
        </is>
      </c>
      <c r="C3229" t="inlineStr">
        <is>
          <t xml:space="preserve">INF179KA1FZ3</t>
        </is>
      </c>
    </row>
    <row r="3230">
      <c r="A3230" t="inlineStr">
        <is>
          <t xml:space="preserve">HDFC Mutual Fund</t>
        </is>
      </c>
      <c r="B3230" t="inlineStr">
        <is>
          <t xml:space="preserve">HDFC Credit Risk Debt Fund - IDCW Option</t>
        </is>
      </c>
      <c r="C3230" t="inlineStr">
        <is>
          <t xml:space="preserve">INF179KA1I87</t>
        </is>
      </c>
    </row>
    <row r="3231">
      <c r="A3231" t="inlineStr">
        <is>
          <t xml:space="preserve">HDFC Mutual Fund</t>
        </is>
      </c>
      <c r="B3231" t="inlineStr">
        <is>
          <t xml:space="preserve">HDFC Credit Risk Debt Fund - IDCW Option - Direct Plan</t>
        </is>
      </c>
      <c r="C3231" t="inlineStr">
        <is>
          <t xml:space="preserve">INF179KA1I61</t>
        </is>
      </c>
    </row>
    <row r="3232">
      <c r="A3232" t="inlineStr">
        <is>
          <t xml:space="preserve">HDFC Mutual Fund</t>
        </is>
      </c>
      <c r="B3232" t="inlineStr">
        <is>
          <t xml:space="preserve">HDFC Credit Risk Debt Fund - Quarterly IDCW - Direct Plan</t>
        </is>
      </c>
      <c r="C3232" t="inlineStr">
        <is>
          <t xml:space="preserve">INF179KA1GA4</t>
        </is>
      </c>
    </row>
    <row r="3233">
      <c r="A3233" t="inlineStr">
        <is>
          <t xml:space="preserve">HDFC Mutual Fund</t>
        </is>
      </c>
      <c r="B3233" t="inlineStr">
        <is>
          <t xml:space="preserve">HDFC Credit Risk Debt Fund - Quarterly IDCW Option</t>
        </is>
      </c>
      <c r="C3233" t="inlineStr">
        <is>
          <t xml:space="preserve">INF179KA1GD8</t>
        </is>
      </c>
    </row>
    <row r="3234">
      <c r="A3234" t="inlineStr">
        <is>
          <t xml:space="preserve">HDFC Mutual Fund</t>
        </is>
      </c>
      <c r="B3234" t="inlineStr">
        <is>
          <t xml:space="preserve">HDFC CRISIL-IBX Financial Services 3-6 Months Debt Index Fund - Direct Growth Plan</t>
        </is>
      </c>
      <c r="C3234" t="inlineStr">
        <is>
          <t xml:space="preserve">INF179KC1JK5</t>
        </is>
      </c>
    </row>
    <row r="3235">
      <c r="A3235" t="inlineStr">
        <is>
          <t xml:space="preserve">HDFC Mutual Fund</t>
        </is>
      </c>
      <c r="B3235" t="inlineStr">
        <is>
          <t xml:space="preserve">HDFC CRISIL-IBX Financial Services 3-6 Months Debt Index Fund - Regular Growth Plan</t>
        </is>
      </c>
      <c r="C3235" t="inlineStr">
        <is>
          <t xml:space="preserve">INF179KC1JJ7</t>
        </is>
      </c>
    </row>
    <row r="3236">
      <c r="A3236" t="inlineStr">
        <is>
          <t xml:space="preserve">HDFC Mutual Fund</t>
        </is>
      </c>
      <c r="B3236" t="inlineStr">
        <is>
          <t xml:space="preserve">HDFC CRISIL-IBX Financial Services 9-12 Months Debt Index Fund - Direct Growth Plan</t>
        </is>
      </c>
      <c r="C3236" t="inlineStr">
        <is>
          <t xml:space="preserve">INF179KC1KI7</t>
        </is>
      </c>
    </row>
    <row r="3237">
      <c r="A3237" t="inlineStr">
        <is>
          <t xml:space="preserve">HDFC Mutual Fund</t>
        </is>
      </c>
      <c r="B3237" t="inlineStr">
        <is>
          <t xml:space="preserve">HDFC CRISIL-IBX Financial Services 9-12 Months Debt Index Fund - Regular Growth Plan</t>
        </is>
      </c>
      <c r="C3237" t="inlineStr">
        <is>
          <t xml:space="preserve">INF179KC1KH9</t>
        </is>
      </c>
    </row>
    <row r="3238">
      <c r="A3238" t="inlineStr">
        <is>
          <t xml:space="preserve">HDFC Mutual Fund</t>
        </is>
      </c>
      <c r="B3238" t="inlineStr">
        <is>
          <t xml:space="preserve">HDFC Defence Fund - Growth Option</t>
        </is>
      </c>
      <c r="C3238" t="inlineStr">
        <is>
          <t xml:space="preserve">INF179KC1GL9</t>
        </is>
      </c>
    </row>
    <row r="3239">
      <c r="A3239" t="inlineStr">
        <is>
          <t xml:space="preserve">HDFC Mutual Fund</t>
        </is>
      </c>
      <c r="B3239" t="inlineStr">
        <is>
          <t xml:space="preserve">HDFC Defence Fund - Growth Option - Direct Plan</t>
        </is>
      </c>
      <c r="C3239" t="inlineStr">
        <is>
          <t xml:space="preserve">INF179KC1GI5</t>
        </is>
      </c>
    </row>
    <row r="3240">
      <c r="A3240" t="inlineStr">
        <is>
          <t xml:space="preserve">HDFC Mutual Fund</t>
        </is>
      </c>
      <c r="B3240" t="inlineStr">
        <is>
          <t xml:space="preserve">HDFC Defence Fund - IDCW Option</t>
        </is>
      </c>
      <c r="C3240" t="inlineStr">
        <is>
          <t xml:space="preserve">INF179KC1GM7</t>
        </is>
      </c>
    </row>
    <row r="3241">
      <c r="A3241" t="inlineStr">
        <is>
          <t xml:space="preserve">HDFC Mutual Fund</t>
        </is>
      </c>
      <c r="B3241" t="inlineStr">
        <is>
          <t xml:space="preserve">HDFC Defence Fund - IDCW Option - Direct Plan</t>
        </is>
      </c>
      <c r="C3241" t="inlineStr">
        <is>
          <t xml:space="preserve">INF179KC1GJ3</t>
        </is>
      </c>
    </row>
    <row r="3242">
      <c r="A3242" t="inlineStr">
        <is>
          <t xml:space="preserve">HDFC Mutual Fund</t>
        </is>
      </c>
      <c r="B3242" t="inlineStr">
        <is>
          <t xml:space="preserve">HDFC Developed World Overseas Equity Passive FOF - Direct Plan - Growth Option</t>
        </is>
      </c>
      <c r="C3242" t="inlineStr">
        <is>
          <t xml:space="preserve">INF179KC1BO4</t>
        </is>
      </c>
    </row>
    <row r="3243">
      <c r="A3243" t="inlineStr">
        <is>
          <t xml:space="preserve">HDFC Mutual Fund</t>
        </is>
      </c>
      <c r="B3243" t="inlineStr">
        <is>
          <t xml:space="preserve">HDFC Developed World Overseas Equity Passive FOF - Growth Option</t>
        </is>
      </c>
      <c r="C3243" t="inlineStr">
        <is>
          <t xml:space="preserve">INF179KC1BP1</t>
        </is>
      </c>
    </row>
    <row r="3244">
      <c r="A3244" t="inlineStr">
        <is>
          <t xml:space="preserve">HDFC Mutual Fund</t>
        </is>
      </c>
      <c r="B3244" t="inlineStr">
        <is>
          <t xml:space="preserve">HDFC Diversified Equity All Cap Active FOF - Direct Plan - Growth Plan</t>
        </is>
      </c>
      <c r="C3244" t="inlineStr">
        <is>
          <t xml:space="preserve">INF179KC1JU4</t>
        </is>
      </c>
    </row>
    <row r="3245">
      <c r="A3245" t="inlineStr">
        <is>
          <t xml:space="preserve">HDFC Mutual Fund</t>
        </is>
      </c>
      <c r="B3245" t="inlineStr">
        <is>
          <t xml:space="preserve">HDFC Diversified Equity All Cap Active FOF - IDCW - Direct Plan</t>
        </is>
      </c>
      <c r="C3245" t="inlineStr">
        <is>
          <t xml:space="preserve">INF179KC1JV2</t>
        </is>
      </c>
    </row>
    <row r="3246">
      <c r="A3246" t="inlineStr">
        <is>
          <t xml:space="preserve">HDFC Mutual Fund</t>
        </is>
      </c>
      <c r="B3246" t="inlineStr">
        <is>
          <t xml:space="preserve">HDFC Diversified Equity All Cap Active FOF - IDCW - Regular Plan</t>
        </is>
      </c>
      <c r="C3246" t="inlineStr">
        <is>
          <t xml:space="preserve">INF179KC1JS8</t>
        </is>
      </c>
    </row>
    <row r="3247">
      <c r="A3247" t="inlineStr">
        <is>
          <t xml:space="preserve">HDFC Mutual Fund</t>
        </is>
      </c>
      <c r="B3247" t="inlineStr">
        <is>
          <t xml:space="preserve">HDFC Diversified Equity All Cap Active FOF - Regular Plan - Growth Plan</t>
        </is>
      </c>
      <c r="C3247" t="inlineStr">
        <is>
          <t xml:space="preserve">INF179KC1JR0</t>
        </is>
      </c>
    </row>
    <row r="3248">
      <c r="A3248" t="inlineStr">
        <is>
          <t xml:space="preserve">HDFC Mutual Fund</t>
        </is>
      </c>
      <c r="B3248" t="inlineStr">
        <is>
          <t xml:space="preserve">HDFC Dividend Yield Fund - Growth Option Direct Plan</t>
        </is>
      </c>
      <c r="C3248" t="inlineStr">
        <is>
          <t xml:space="preserve">INF179KC1AO6</t>
        </is>
      </c>
    </row>
    <row r="3249">
      <c r="A3249" t="inlineStr">
        <is>
          <t xml:space="preserve">HDFC Mutual Fund</t>
        </is>
      </c>
      <c r="B3249" t="inlineStr">
        <is>
          <t xml:space="preserve">HDFC Dividend Yield Fund - Growth Plan</t>
        </is>
      </c>
      <c r="C3249" t="inlineStr">
        <is>
          <t xml:space="preserve">INF179KC1AR9</t>
        </is>
      </c>
    </row>
    <row r="3250">
      <c r="A3250" t="inlineStr">
        <is>
          <t xml:space="preserve">HDFC Mutual Fund</t>
        </is>
      </c>
      <c r="B3250" t="inlineStr">
        <is>
          <t xml:space="preserve">HDFC Dividend Yield Fund - IDCW Option Direct Plan</t>
        </is>
      </c>
      <c r="C3250" t="inlineStr">
        <is>
          <t xml:space="preserve">INF179KC1AP3</t>
        </is>
      </c>
    </row>
    <row r="3251">
      <c r="A3251" t="inlineStr">
        <is>
          <t xml:space="preserve">HDFC Mutual Fund</t>
        </is>
      </c>
      <c r="B3251" t="inlineStr">
        <is>
          <t xml:space="preserve">HDFC Dividend Yield Fund - IDCW Plan</t>
        </is>
      </c>
      <c r="C3251" t="inlineStr">
        <is>
          <t xml:space="preserve">INF179KC1AS7</t>
        </is>
      </c>
    </row>
    <row r="3252">
      <c r="A3252" t="inlineStr">
        <is>
          <t xml:space="preserve">HDFC Mutual Fund</t>
        </is>
      </c>
      <c r="B3252" t="inlineStr">
        <is>
          <t xml:space="preserve">HDFC Dynamic Debt Fund - Growth Option</t>
        </is>
      </c>
      <c r="C3252" t="inlineStr">
        <is>
          <t xml:space="preserve">INF179K01848</t>
        </is>
      </c>
    </row>
    <row r="3253">
      <c r="A3253" t="inlineStr">
        <is>
          <t xml:space="preserve">HDFC Mutual Fund</t>
        </is>
      </c>
      <c r="B3253" t="inlineStr">
        <is>
          <t xml:space="preserve">HDFC Dynamic Debt Fund - Growth Option - Direct Plan</t>
        </is>
      </c>
      <c r="C3253" t="inlineStr">
        <is>
          <t xml:space="preserve">INF179K01WB4</t>
        </is>
      </c>
    </row>
    <row r="3254">
      <c r="A3254" t="inlineStr">
        <is>
          <t xml:space="preserve">HDFC Mutual Fund</t>
        </is>
      </c>
      <c r="B3254" t="inlineStr">
        <is>
          <t xml:space="preserve">HDFC Dynamic Debt Fund - Half Yearly IDCW - Direct Plan</t>
        </is>
      </c>
      <c r="C3254" t="inlineStr">
        <is>
          <t xml:space="preserve">INF179K01WC2</t>
        </is>
      </c>
    </row>
    <row r="3255">
      <c r="A3255" t="inlineStr">
        <is>
          <t xml:space="preserve">HDFC Mutual Fund</t>
        </is>
      </c>
      <c r="B3255" t="inlineStr">
        <is>
          <t xml:space="preserve">HDFC Dynamic Debt Fund - Half Yearly IDCW Option</t>
        </is>
      </c>
      <c r="C3255" t="inlineStr">
        <is>
          <t xml:space="preserve">INF179K01855</t>
        </is>
      </c>
    </row>
    <row r="3256">
      <c r="A3256" t="inlineStr">
        <is>
          <t xml:space="preserve">HDFC Mutual Fund</t>
        </is>
      </c>
      <c r="B3256" t="inlineStr">
        <is>
          <t xml:space="preserve">HDFC Dynamic Debt Fund - Normal IDCW - Direct Plan</t>
        </is>
      </c>
      <c r="C3256" t="inlineStr">
        <is>
          <t xml:space="preserve">INF179KA1Q95</t>
        </is>
      </c>
    </row>
    <row r="3257">
      <c r="A3257" t="inlineStr">
        <is>
          <t xml:space="preserve">HDFC Mutual Fund</t>
        </is>
      </c>
      <c r="B3257" t="inlineStr">
        <is>
          <t xml:space="preserve">HDFC Dynamic Debt Fund - Normal IDCW Option</t>
        </is>
      </c>
      <c r="C3257" t="inlineStr">
        <is>
          <t xml:space="preserve">INF179KA1R11</t>
        </is>
      </c>
    </row>
    <row r="3258">
      <c r="A3258" t="inlineStr">
        <is>
          <t xml:space="preserve">HDFC Mutual Fund</t>
        </is>
      </c>
      <c r="B3258" t="inlineStr">
        <is>
          <t xml:space="preserve">HDFC Dynamic Debt Fund - Quarterly IDCW - Direct Plan</t>
        </is>
      </c>
      <c r="C3258" t="inlineStr">
        <is>
          <t xml:space="preserve">INF179K01WE8</t>
        </is>
      </c>
    </row>
    <row r="3259">
      <c r="A3259" t="inlineStr">
        <is>
          <t xml:space="preserve">HDFC Mutual Fund</t>
        </is>
      </c>
      <c r="B3259" t="inlineStr">
        <is>
          <t xml:space="preserve">HDFC Dynamic Debt Fund - Quarterly IDCW Option</t>
        </is>
      </c>
      <c r="C3259" t="inlineStr">
        <is>
          <t xml:space="preserve">INF179K01871</t>
        </is>
      </c>
    </row>
    <row r="3260">
      <c r="A3260" t="inlineStr">
        <is>
          <t xml:space="preserve">HDFC Mutual Fund</t>
        </is>
      </c>
      <c r="B3260" t="inlineStr">
        <is>
          <t xml:space="preserve">HDFC Dynamic Debt Fund - Yearly IDCW - Direct Plan</t>
        </is>
      </c>
      <c r="C3260" t="inlineStr">
        <is>
          <t xml:space="preserve">INF179K01WG3</t>
        </is>
      </c>
    </row>
    <row r="3261">
      <c r="A3261" t="inlineStr">
        <is>
          <t xml:space="preserve">HDFC Mutual Fund</t>
        </is>
      </c>
      <c r="B3261" t="inlineStr">
        <is>
          <t xml:space="preserve">HDFC Dynamic Debt Fund - Yearly IDCW Option</t>
        </is>
      </c>
      <c r="C3261" t="inlineStr">
        <is>
          <t xml:space="preserve">INF179K01921</t>
        </is>
      </c>
    </row>
    <row r="3262">
      <c r="A3262" t="inlineStr">
        <is>
          <t xml:space="preserve">HDFC Mutual Fund</t>
        </is>
      </c>
      <c r="B3262" t="inlineStr">
        <is>
          <t xml:space="preserve">HDFC ELSS Tax saver - Growth Option - Direct Plan</t>
        </is>
      </c>
      <c r="C3262" t="inlineStr">
        <is>
          <t xml:space="preserve">INF179K01YS4</t>
        </is>
      </c>
    </row>
    <row r="3263">
      <c r="A3263" t="inlineStr">
        <is>
          <t xml:space="preserve">HDFC Mutual Fund</t>
        </is>
      </c>
      <c r="B3263" t="inlineStr">
        <is>
          <t xml:space="preserve">HDFC ELSS Tax saver - Growth Plan</t>
        </is>
      </c>
      <c r="C3263" t="inlineStr">
        <is>
          <t xml:space="preserve">INF179K01BB8</t>
        </is>
      </c>
    </row>
    <row r="3264">
      <c r="A3264" t="inlineStr">
        <is>
          <t xml:space="preserve">HDFC Mutual Fund</t>
        </is>
      </c>
      <c r="B3264" t="inlineStr">
        <is>
          <t xml:space="preserve">HDFC ELSS Tax saver - IDCW Option - Direct Plan</t>
        </is>
      </c>
      <c r="C3264" t="inlineStr">
        <is>
          <t xml:space="preserve">INF179K01YQ8</t>
        </is>
      </c>
    </row>
    <row r="3265">
      <c r="A3265" t="inlineStr">
        <is>
          <t xml:space="preserve">HDFC Mutual Fund</t>
        </is>
      </c>
      <c r="B3265" t="inlineStr">
        <is>
          <t xml:space="preserve">HDFC ELSS Tax saver - IDCW Plan</t>
        </is>
      </c>
      <c r="C3265" t="inlineStr">
        <is>
          <t xml:space="preserve">INF179K01AZ9</t>
        </is>
      </c>
    </row>
    <row r="3266">
      <c r="A3266" t="inlineStr">
        <is>
          <t xml:space="preserve">HDFC Mutual Fund</t>
        </is>
      </c>
      <c r="B3266" t="inlineStr">
        <is>
          <t xml:space="preserve">HDFC Equity Opp Fund - II - 1100D June 2017 (1) - Growth Option</t>
        </is>
      </c>
      <c r="C3266" t="inlineStr">
        <is>
          <t xml:space="preserve">INF179KC1AL2</t>
        </is>
      </c>
    </row>
    <row r="3267">
      <c r="A3267" t="inlineStr">
        <is>
          <t xml:space="preserve">HDFC Mutual Fund</t>
        </is>
      </c>
      <c r="B3267" t="inlineStr">
        <is>
          <t xml:space="preserve">HDFC Equity Opp Fund - II - 1100D June 2017 (1) - Growth Option - Direct Plan</t>
        </is>
      </c>
      <c r="C3267" t="inlineStr">
        <is>
          <t xml:space="preserve">INF179KC1AJ6</t>
        </is>
      </c>
    </row>
    <row r="3268">
      <c r="A3268" t="inlineStr">
        <is>
          <t xml:space="preserve">HDFC Mutual Fund</t>
        </is>
      </c>
      <c r="B3268" t="inlineStr">
        <is>
          <t xml:space="preserve">HDFC Equity Opp Fund - II - 1100D June 2017 (1) - IDCW Option</t>
        </is>
      </c>
      <c r="C3268" t="inlineStr">
        <is>
          <t xml:space="preserve">INF179KC1AM0</t>
        </is>
      </c>
    </row>
    <row r="3269">
      <c r="A3269" t="inlineStr">
        <is>
          <t xml:space="preserve">HDFC Mutual Fund</t>
        </is>
      </c>
      <c r="B3269" t="inlineStr">
        <is>
          <t xml:space="preserve">HDFC Equity Opp Fund - II - 1100D June 2017 (1) - IDCW Option - Direct Plan</t>
        </is>
      </c>
      <c r="C3269" t="inlineStr">
        <is>
          <t xml:space="preserve">INF179KC1AK4</t>
        </is>
      </c>
    </row>
    <row r="3270">
      <c r="A3270" t="inlineStr">
        <is>
          <t xml:space="preserve">HDFC Mutual Fund</t>
        </is>
      </c>
      <c r="B3270" t="inlineStr">
        <is>
          <t xml:space="preserve">HDFC Equity Opp Fund - II - 1126D May 2017 (1) - Growth Option</t>
        </is>
      </c>
      <c r="C3270" t="inlineStr">
        <is>
          <t xml:space="preserve">INF179KC1AH0</t>
        </is>
      </c>
    </row>
    <row r="3271">
      <c r="A3271" t="inlineStr">
        <is>
          <t xml:space="preserve">HDFC Mutual Fund</t>
        </is>
      </c>
      <c r="B3271" t="inlineStr">
        <is>
          <t xml:space="preserve">HDFC Equity Opp Fund - II - 1126D May 2017 (1) - Growth Option - Direct Plan</t>
        </is>
      </c>
      <c r="C3271" t="inlineStr">
        <is>
          <t xml:space="preserve">INF179KC1AF4</t>
        </is>
      </c>
    </row>
    <row r="3272">
      <c r="A3272" t="inlineStr">
        <is>
          <t xml:space="preserve">HDFC Mutual Fund</t>
        </is>
      </c>
      <c r="B3272" t="inlineStr">
        <is>
          <t xml:space="preserve">HDFC Equity Opp Fund - II - 1126D May 2017 (1) - IDCW Option</t>
        </is>
      </c>
      <c r="C3272" t="inlineStr">
        <is>
          <t xml:space="preserve">INF179KC1AI8</t>
        </is>
      </c>
    </row>
    <row r="3273">
      <c r="A3273" t="inlineStr">
        <is>
          <t xml:space="preserve">HDFC Mutual Fund</t>
        </is>
      </c>
      <c r="B3273" t="inlineStr">
        <is>
          <t xml:space="preserve">HDFC Equity Opp Fund - II - 1126D May 2017 (1) - IDCW Option - Direct Plan</t>
        </is>
      </c>
      <c r="C3273" t="inlineStr">
        <is>
          <t xml:space="preserve">INF179KC1AG2</t>
        </is>
      </c>
    </row>
    <row r="3274">
      <c r="A3274" t="inlineStr">
        <is>
          <t xml:space="preserve">HDFC Mutual Fund</t>
        </is>
      </c>
      <c r="B3274" t="inlineStr">
        <is>
          <t xml:space="preserve">HDFC Equity Savings Fund - Growth Option - Direct Plan</t>
        </is>
      </c>
      <c r="C3274" t="inlineStr">
        <is>
          <t xml:space="preserve">INF179K01XT4</t>
        </is>
      </c>
    </row>
    <row r="3275">
      <c r="A3275" t="inlineStr">
        <is>
          <t xml:space="preserve">HDFC Mutual Fund</t>
        </is>
      </c>
      <c r="B3275" t="inlineStr">
        <is>
          <t xml:space="preserve">HDFC Equity Savings Fund - GROWTH PLAN</t>
        </is>
      </c>
      <c r="C3275" t="inlineStr">
        <is>
          <t xml:space="preserve">INF179K01AM7</t>
        </is>
      </c>
    </row>
    <row r="3276">
      <c r="A3276" t="inlineStr">
        <is>
          <t xml:space="preserve">HDFC Mutual Fund</t>
        </is>
      </c>
      <c r="B3276" t="inlineStr">
        <is>
          <t xml:space="preserve">HDFC Equity Savings Fund - IDCW Option - Direct Plan</t>
        </is>
      </c>
      <c r="C3276" t="inlineStr">
        <is>
          <t xml:space="preserve">INF179K01XR8</t>
        </is>
      </c>
    </row>
    <row r="3277">
      <c r="A3277" t="inlineStr">
        <is>
          <t xml:space="preserve">HDFC Mutual Fund</t>
        </is>
      </c>
      <c r="B3277" t="inlineStr">
        <is>
          <t xml:space="preserve">HDFC Equity Savings Fund - IDCW PLAN</t>
        </is>
      </c>
      <c r="C3277" t="inlineStr">
        <is>
          <t xml:space="preserve">INF179K01AK1</t>
        </is>
      </c>
    </row>
    <row r="3278">
      <c r="A3278" t="inlineStr">
        <is>
          <t xml:space="preserve">HDFC Mutual Fund</t>
        </is>
      </c>
      <c r="B3278" t="inlineStr">
        <is>
          <t xml:space="preserve">HDFC Flexi Cap Fund - Growth Option - Direct Plan</t>
        </is>
      </c>
      <c r="C3278" t="inlineStr">
        <is>
          <t xml:space="preserve">INF179K01UT0</t>
        </is>
      </c>
    </row>
    <row r="3279">
      <c r="A3279" t="inlineStr">
        <is>
          <t xml:space="preserve">HDFC Mutual Fund</t>
        </is>
      </c>
      <c r="B3279" t="inlineStr">
        <is>
          <t xml:space="preserve">HDFC Flexi Cap Fund - Growth Plan</t>
        </is>
      </c>
      <c r="C3279" t="inlineStr">
        <is>
          <t xml:space="preserve">INF179K01608</t>
        </is>
      </c>
    </row>
    <row r="3280">
      <c r="A3280" t="inlineStr">
        <is>
          <t xml:space="preserve">HDFC Mutual Fund</t>
        </is>
      </c>
      <c r="B3280" t="inlineStr">
        <is>
          <t xml:space="preserve">HDFC Flexi Cap Fund - IDCW Option - Direct Plan</t>
        </is>
      </c>
      <c r="C3280" t="inlineStr">
        <is>
          <t xml:space="preserve">INF179K01VL5</t>
        </is>
      </c>
    </row>
    <row r="3281">
      <c r="A3281" t="inlineStr">
        <is>
          <t xml:space="preserve">HDFC Mutual Fund</t>
        </is>
      </c>
      <c r="B3281" t="inlineStr">
        <is>
          <t xml:space="preserve">HDFC Flexi Cap Fund - IDCW Plan</t>
        </is>
      </c>
      <c r="C3281" t="inlineStr">
        <is>
          <t xml:space="preserve">INF179K01582</t>
        </is>
      </c>
    </row>
    <row r="3282">
      <c r="A3282" t="inlineStr">
        <is>
          <t xml:space="preserve">HDFC Mutual Fund</t>
        </is>
      </c>
      <c r="B3282" t="inlineStr">
        <is>
          <t xml:space="preserve">HDFC Floating Rate Debt Fund - Daily IDCW Option</t>
        </is>
      </c>
      <c r="C3282" t="inlineStr">
        <is>
          <t xml:space="preserve">INF179K01699</t>
        </is>
      </c>
    </row>
    <row r="3283">
      <c r="A3283" t="inlineStr">
        <is>
          <t xml:space="preserve">HDFC Mutual Fund</t>
        </is>
      </c>
      <c r="B3283" t="inlineStr">
        <is>
          <t xml:space="preserve">HDFC Floating Rate Debt Fund - Direct Plan - Daily IDCW</t>
        </is>
      </c>
      <c r="C3283" t="inlineStr">
        <is>
          <t xml:space="preserve">INF179KC1IU6</t>
        </is>
      </c>
    </row>
    <row r="3284">
      <c r="A3284" t="inlineStr">
        <is>
          <t xml:space="preserve">HDFC Mutual Fund</t>
        </is>
      </c>
      <c r="B3284" t="inlineStr">
        <is>
          <t xml:space="preserve">HDFC Floating Rate Debt Fund - Direct Plan - Growth Option</t>
        </is>
      </c>
      <c r="C3284" t="inlineStr">
        <is>
          <t xml:space="preserve">INF179K01VQ4</t>
        </is>
      </c>
    </row>
    <row r="3285">
      <c r="A3285" t="inlineStr">
        <is>
          <t xml:space="preserve">HDFC Mutual Fund</t>
        </is>
      </c>
      <c r="B3285" t="inlineStr">
        <is>
          <t xml:space="preserve">HDFC Floating Rate Debt Fund - Direct Plan - Monthly IDCW</t>
        </is>
      </c>
      <c r="C3285" t="inlineStr">
        <is>
          <t xml:space="preserve">INF179K01VO9</t>
        </is>
      </c>
    </row>
    <row r="3286">
      <c r="A3286" t="inlineStr">
        <is>
          <t xml:space="preserve">HDFC Mutual Fund</t>
        </is>
      </c>
      <c r="B3286" t="inlineStr">
        <is>
          <t xml:space="preserve">HDFC Floating Rate Debt Fund - Direct Plan - Weekly IDCW</t>
        </is>
      </c>
      <c r="C3286" t="inlineStr">
        <is>
          <t xml:space="preserve">INF179KC1IW2</t>
        </is>
      </c>
    </row>
    <row r="3287">
      <c r="A3287" t="inlineStr">
        <is>
          <t xml:space="preserve">HDFC Mutual Fund</t>
        </is>
      </c>
      <c r="B3287" t="inlineStr">
        <is>
          <t xml:space="preserve">HDFC Floating Rate Debt Fund - Growth Option</t>
        </is>
      </c>
      <c r="C3287" t="inlineStr">
        <is>
          <t xml:space="preserve">INF179K01707</t>
        </is>
      </c>
    </row>
    <row r="3288">
      <c r="A3288" t="inlineStr">
        <is>
          <t xml:space="preserve">HDFC Mutual Fund</t>
        </is>
      </c>
      <c r="B3288" t="inlineStr">
        <is>
          <t xml:space="preserve">HDFC Floating Rate Debt Fund - Monthly IDCW Option</t>
        </is>
      </c>
      <c r="C3288" t="inlineStr">
        <is>
          <t xml:space="preserve">INF179K01715</t>
        </is>
      </c>
    </row>
    <row r="3289">
      <c r="A3289" t="inlineStr">
        <is>
          <t xml:space="preserve">HDFC Mutual Fund</t>
        </is>
      </c>
      <c r="B3289" t="inlineStr">
        <is>
          <t xml:space="preserve">HDFC Floating Rate Debt Fund - Weekly IDCW Option</t>
        </is>
      </c>
      <c r="C3289" t="inlineStr">
        <is>
          <t xml:space="preserve">INF179K01731</t>
        </is>
      </c>
    </row>
    <row r="3290">
      <c r="A3290" t="inlineStr">
        <is>
          <t xml:space="preserve">HDFC Mutual Fund</t>
        </is>
      </c>
      <c r="B3290" t="inlineStr">
        <is>
          <t xml:space="preserve">HDFC FMP 1100D April 2019 (1) - Growth Option</t>
        </is>
      </c>
      <c r="C3290" t="inlineStr">
        <is>
          <t xml:space="preserve">INF179KC1932</t>
        </is>
      </c>
    </row>
    <row r="3291">
      <c r="A3291" t="inlineStr">
        <is>
          <t xml:space="preserve">HDFC Mutual Fund</t>
        </is>
      </c>
      <c r="B3291" t="inlineStr">
        <is>
          <t xml:space="preserve">HDFC FMP 1100D April 2019 (1) - Growth Option - Direct Plan</t>
        </is>
      </c>
      <c r="C3291" t="inlineStr">
        <is>
          <t xml:space="preserve">INF179KC1908</t>
        </is>
      </c>
    </row>
    <row r="3292">
      <c r="A3292" t="inlineStr">
        <is>
          <t xml:space="preserve">HDFC Mutual Fund</t>
        </is>
      </c>
      <c r="B3292" t="inlineStr">
        <is>
          <t xml:space="preserve">HDFC FMP 1100D April 2019 (1) - IDCW Option</t>
        </is>
      </c>
      <c r="C3292" t="inlineStr">
        <is>
          <t xml:space="preserve">INF179KC1940</t>
        </is>
      </c>
    </row>
    <row r="3293">
      <c r="A3293" t="inlineStr">
        <is>
          <t xml:space="preserve">HDFC Mutual Fund</t>
        </is>
      </c>
      <c r="B3293" t="inlineStr">
        <is>
          <t xml:space="preserve">HDFC FMP 1100D April 2019 (1) - IDCW Option - Direct Plan</t>
        </is>
      </c>
      <c r="C3293" t="inlineStr">
        <is>
          <t xml:space="preserve">INF179KC1916</t>
        </is>
      </c>
    </row>
    <row r="3294">
      <c r="A3294" t="inlineStr">
        <is>
          <t xml:space="preserve">HDFC Mutual Fund</t>
        </is>
      </c>
      <c r="B3294" t="inlineStr">
        <is>
          <t xml:space="preserve">HDFC FMP 1100D April 2019 (1) - Quarterly IDCW Option</t>
        </is>
      </c>
      <c r="C3294" t="inlineStr">
        <is>
          <t xml:space="preserve">INF179KC1957</t>
        </is>
      </c>
    </row>
    <row r="3295">
      <c r="A3295" t="inlineStr">
        <is>
          <t xml:space="preserve">HDFC Mutual Fund</t>
        </is>
      </c>
      <c r="B3295" t="inlineStr">
        <is>
          <t xml:space="preserve">HDFC FMP 1100D April 2019 (1) - Quarterly IDCW Option - Direct Plan</t>
        </is>
      </c>
      <c r="C3295" t="inlineStr">
        <is>
          <t xml:space="preserve">INF179KC1924</t>
        </is>
      </c>
    </row>
    <row r="3296">
      <c r="A3296" t="inlineStr">
        <is>
          <t xml:space="preserve">HDFC Mutual Fund</t>
        </is>
      </c>
      <c r="B3296" t="inlineStr">
        <is>
          <t xml:space="preserve">HDFC FMP 1118D March 2019 (1) - Growth Option</t>
        </is>
      </c>
      <c r="C3296" t="inlineStr">
        <is>
          <t xml:space="preserve">INF179KC1692</t>
        </is>
      </c>
    </row>
    <row r="3297">
      <c r="A3297" t="inlineStr">
        <is>
          <t xml:space="preserve">HDFC Mutual Fund</t>
        </is>
      </c>
      <c r="B3297" t="inlineStr">
        <is>
          <t xml:space="preserve">HDFC FMP 1118D March 2019 (1) - Growth Option - Direct Plan</t>
        </is>
      </c>
      <c r="C3297" t="inlineStr">
        <is>
          <t xml:space="preserve">INF179KC1668</t>
        </is>
      </c>
    </row>
    <row r="3298">
      <c r="A3298" t="inlineStr">
        <is>
          <t xml:space="preserve">HDFC Mutual Fund</t>
        </is>
      </c>
      <c r="B3298" t="inlineStr">
        <is>
          <t xml:space="preserve">HDFC FMP 1118D March 2019 (1) - IDCW Option</t>
        </is>
      </c>
      <c r="C3298" t="inlineStr">
        <is>
          <t xml:space="preserve">INF179KC1700</t>
        </is>
      </c>
    </row>
    <row r="3299">
      <c r="A3299" t="inlineStr">
        <is>
          <t xml:space="preserve">HDFC Mutual Fund</t>
        </is>
      </c>
      <c r="B3299" t="inlineStr">
        <is>
          <t xml:space="preserve">HDFC FMP 1118D March 2019 (1) - IDCW Option - Direct Plan</t>
        </is>
      </c>
      <c r="C3299" t="inlineStr">
        <is>
          <t xml:space="preserve">INF179KC1676</t>
        </is>
      </c>
    </row>
    <row r="3300">
      <c r="A3300" t="inlineStr">
        <is>
          <t xml:space="preserve">HDFC Mutual Fund</t>
        </is>
      </c>
      <c r="B3300" t="inlineStr">
        <is>
          <t xml:space="preserve">HDFC FMP 1118D March 2019 (1) - Quarterly IDCW Option</t>
        </is>
      </c>
      <c r="C3300" t="inlineStr">
        <is>
          <t xml:space="preserve">INF179KC1718</t>
        </is>
      </c>
    </row>
    <row r="3301">
      <c r="A3301" t="inlineStr">
        <is>
          <t xml:space="preserve">HDFC Mutual Fund</t>
        </is>
      </c>
      <c r="B3301" t="inlineStr">
        <is>
          <t xml:space="preserve">HDFC FMP 1120D March 2019 (1) - Growth Option</t>
        </is>
      </c>
      <c r="C3301" t="inlineStr">
        <is>
          <t xml:space="preserve">INF179KC1635</t>
        </is>
      </c>
    </row>
    <row r="3302">
      <c r="A3302" t="inlineStr">
        <is>
          <t xml:space="preserve">HDFC Mutual Fund</t>
        </is>
      </c>
      <c r="B3302" t="inlineStr">
        <is>
          <t xml:space="preserve">HDFC FMP 1120D March 2019 (1) - Growth Option - Direct Plan</t>
        </is>
      </c>
      <c r="C3302" t="inlineStr">
        <is>
          <t xml:space="preserve">INF179KC1601</t>
        </is>
      </c>
    </row>
    <row r="3303">
      <c r="A3303" t="inlineStr">
        <is>
          <t xml:space="preserve">HDFC Mutual Fund</t>
        </is>
      </c>
      <c r="B3303" t="inlineStr">
        <is>
          <t xml:space="preserve">HDFC FMP 1120D March 2019 (1) - IDCW Option</t>
        </is>
      </c>
      <c r="C3303" t="inlineStr">
        <is>
          <t xml:space="preserve">INF179KC1643</t>
        </is>
      </c>
    </row>
    <row r="3304">
      <c r="A3304" t="inlineStr">
        <is>
          <t xml:space="preserve">HDFC Mutual Fund</t>
        </is>
      </c>
      <c r="B3304" t="inlineStr">
        <is>
          <t xml:space="preserve">HDFC FMP 1120D March 2019 (1) - IDCW Option - Direct Plan</t>
        </is>
      </c>
      <c r="C3304" t="inlineStr">
        <is>
          <t xml:space="preserve">INF179KC1619</t>
        </is>
      </c>
    </row>
    <row r="3305">
      <c r="A3305" t="inlineStr">
        <is>
          <t xml:space="preserve">HDFC Mutual Fund</t>
        </is>
      </c>
      <c r="B3305" t="inlineStr">
        <is>
          <t xml:space="preserve">HDFC FMP 1120D March 2019 (1) - Quarterly IDCW Option</t>
        </is>
      </c>
      <c r="C3305" t="inlineStr">
        <is>
          <t xml:space="preserve">INF179KC1650</t>
        </is>
      </c>
    </row>
    <row r="3306">
      <c r="A3306" t="inlineStr">
        <is>
          <t xml:space="preserve">HDFC Mutual Fund</t>
        </is>
      </c>
      <c r="B3306" t="inlineStr">
        <is>
          <t xml:space="preserve">HDFC FMP 1120D March 2019 (1) - Quarterly IDCW Option - Direct Plan</t>
        </is>
      </c>
      <c r="C3306" t="inlineStr">
        <is>
          <t xml:space="preserve">INF179KC1627</t>
        </is>
      </c>
    </row>
    <row r="3307">
      <c r="A3307" t="inlineStr">
        <is>
          <t xml:space="preserve">HDFC Mutual Fund</t>
        </is>
      </c>
      <c r="B3307" t="inlineStr">
        <is>
          <t xml:space="preserve">HDFC FMP 1126D March 2019 (1) - Growth Option</t>
        </is>
      </c>
      <c r="C3307" t="inlineStr">
        <is>
          <t xml:space="preserve">INF179KC1510</t>
        </is>
      </c>
    </row>
    <row r="3308">
      <c r="A3308" t="inlineStr">
        <is>
          <t xml:space="preserve">HDFC Mutual Fund</t>
        </is>
      </c>
      <c r="B3308" t="inlineStr">
        <is>
          <t xml:space="preserve">HDFC FMP 1126D March 2019 (1) - Growth Option - Direct Plan</t>
        </is>
      </c>
      <c r="C3308" t="inlineStr">
        <is>
          <t xml:space="preserve">INF179KC1486</t>
        </is>
      </c>
    </row>
    <row r="3309">
      <c r="A3309" t="inlineStr">
        <is>
          <t xml:space="preserve">HDFC Mutual Fund</t>
        </is>
      </c>
      <c r="B3309" t="inlineStr">
        <is>
          <t xml:space="preserve">HDFC FMP 1126D March 2019 (1) - IDCW Option</t>
        </is>
      </c>
      <c r="C3309" t="inlineStr">
        <is>
          <t xml:space="preserve">INF179KC1528</t>
        </is>
      </c>
    </row>
    <row r="3310">
      <c r="A3310" t="inlineStr">
        <is>
          <t xml:space="preserve">HDFC Mutual Fund</t>
        </is>
      </c>
      <c r="B3310" t="inlineStr">
        <is>
          <t xml:space="preserve">HDFC FMP 1126D March 2019 (1) - IDCW Option - Direct Plan</t>
        </is>
      </c>
      <c r="C3310" t="inlineStr">
        <is>
          <t xml:space="preserve">INF179KC1494</t>
        </is>
      </c>
    </row>
    <row r="3311">
      <c r="A3311" t="inlineStr">
        <is>
          <t xml:space="preserve">HDFC Mutual Fund</t>
        </is>
      </c>
      <c r="B3311" t="inlineStr">
        <is>
          <t xml:space="preserve">HDFC FMP 1126D March 2019 (1) - Quarterly IDCW Option</t>
        </is>
      </c>
      <c r="C3311" t="inlineStr">
        <is>
          <t xml:space="preserve">INF179KC1536</t>
        </is>
      </c>
    </row>
    <row r="3312">
      <c r="A3312" t="inlineStr">
        <is>
          <t xml:space="preserve">HDFC Mutual Fund</t>
        </is>
      </c>
      <c r="B3312" t="inlineStr">
        <is>
          <t xml:space="preserve">HDFC FMP 1126D March 2019 (1) - Quarterly IDCW Option - Direct Plan</t>
        </is>
      </c>
      <c r="C3312" t="inlineStr">
        <is>
          <t xml:space="preserve">INF179KC1502</t>
        </is>
      </c>
    </row>
    <row r="3313">
      <c r="A3313" t="inlineStr">
        <is>
          <t xml:space="preserve">HDFC Mutual Fund</t>
        </is>
      </c>
      <c r="B3313" t="inlineStr">
        <is>
          <t xml:space="preserve">HDFC FMP 1127D March 2019 (1) - Growth Option</t>
        </is>
      </c>
      <c r="C3313" t="inlineStr">
        <is>
          <t xml:space="preserve">INF179KC1577</t>
        </is>
      </c>
    </row>
    <row r="3314">
      <c r="A3314" t="inlineStr">
        <is>
          <t xml:space="preserve">HDFC Mutual Fund</t>
        </is>
      </c>
      <c r="B3314" t="inlineStr">
        <is>
          <t xml:space="preserve">HDFC FMP 1127D March 2019 (1) - Growth Option - Direct Plan</t>
        </is>
      </c>
      <c r="C3314" t="inlineStr">
        <is>
          <t xml:space="preserve">INF179KC1544</t>
        </is>
      </c>
    </row>
    <row r="3315">
      <c r="A3315" t="inlineStr">
        <is>
          <t xml:space="preserve">HDFC Mutual Fund</t>
        </is>
      </c>
      <c r="B3315" t="inlineStr">
        <is>
          <t xml:space="preserve">HDFC FMP 1127D March 2019 (1) - IDCW Option</t>
        </is>
      </c>
      <c r="C3315" t="inlineStr">
        <is>
          <t xml:space="preserve">INF179KC1585</t>
        </is>
      </c>
    </row>
    <row r="3316">
      <c r="A3316" t="inlineStr">
        <is>
          <t xml:space="preserve">HDFC Mutual Fund</t>
        </is>
      </c>
      <c r="B3316" t="inlineStr">
        <is>
          <t xml:space="preserve">HDFC FMP 1127D March 2019 (1) - IDCW Option - Direct Plan</t>
        </is>
      </c>
      <c r="C3316" t="inlineStr">
        <is>
          <t xml:space="preserve">INF179KC1551</t>
        </is>
      </c>
    </row>
    <row r="3317">
      <c r="A3317" t="inlineStr">
        <is>
          <t xml:space="preserve">HDFC Mutual Fund</t>
        </is>
      </c>
      <c r="B3317" t="inlineStr">
        <is>
          <t xml:space="preserve">HDFC FMP 1127D March 2019 (1) - Quarterly IDCW Option</t>
        </is>
      </c>
      <c r="C3317" t="inlineStr">
        <is>
          <t xml:space="preserve">INF179KC1593</t>
        </is>
      </c>
    </row>
    <row r="3318">
      <c r="A3318" t="inlineStr">
        <is>
          <t xml:space="preserve">HDFC Mutual Fund</t>
        </is>
      </c>
      <c r="B3318" t="inlineStr">
        <is>
          <t xml:space="preserve">HDFC FMP 1127D March 2019 (1) - Quarterly IDCW Option - Direct Plan</t>
        </is>
      </c>
      <c r="C3318" t="inlineStr">
        <is>
          <t xml:space="preserve">INF179KC1569</t>
        </is>
      </c>
    </row>
    <row r="3319">
      <c r="A3319" t="inlineStr">
        <is>
          <t xml:space="preserve">HDFC Mutual Fund</t>
        </is>
      </c>
      <c r="B3319" t="inlineStr">
        <is>
          <t xml:space="preserve">HDFC FMP 1133D February 2019 (1) - Growth Option</t>
        </is>
      </c>
      <c r="C3319" t="inlineStr">
        <is>
          <t xml:space="preserve">INF179KC1452</t>
        </is>
      </c>
    </row>
    <row r="3320">
      <c r="A3320" t="inlineStr">
        <is>
          <t xml:space="preserve">HDFC Mutual Fund</t>
        </is>
      </c>
      <c r="B3320" t="inlineStr">
        <is>
          <t xml:space="preserve">HDFC FMP 1133D February 2019 (1) - Growth Option - Direct Plan</t>
        </is>
      </c>
      <c r="C3320" t="inlineStr">
        <is>
          <t xml:space="preserve">INF179KC1429</t>
        </is>
      </c>
    </row>
    <row r="3321">
      <c r="A3321" t="inlineStr">
        <is>
          <t xml:space="preserve">HDFC Mutual Fund</t>
        </is>
      </c>
      <c r="B3321" t="inlineStr">
        <is>
          <t xml:space="preserve">HDFC FMP 1133D February 2019 (1) - IDCW Option</t>
        </is>
      </c>
      <c r="C3321" t="inlineStr">
        <is>
          <t xml:space="preserve">INF179KC1460</t>
        </is>
      </c>
    </row>
    <row r="3322">
      <c r="A3322" t="inlineStr">
        <is>
          <t xml:space="preserve">HDFC Mutual Fund</t>
        </is>
      </c>
      <c r="B3322" t="inlineStr">
        <is>
          <t xml:space="preserve">HDFC FMP 1133D February 2019 (1) - IDCW Option - Direct Plan</t>
        </is>
      </c>
      <c r="C3322" t="inlineStr">
        <is>
          <t xml:space="preserve">INF179KC1437</t>
        </is>
      </c>
    </row>
    <row r="3323">
      <c r="A3323" t="inlineStr">
        <is>
          <t xml:space="preserve">HDFC Mutual Fund</t>
        </is>
      </c>
      <c r="B3323" t="inlineStr">
        <is>
          <t xml:space="preserve">HDFC FMP 1133D February 2019 (1) - Quarterly IDCW Option</t>
        </is>
      </c>
      <c r="C3323" t="inlineStr">
        <is>
          <t xml:space="preserve">INF179KC1478</t>
        </is>
      </c>
    </row>
    <row r="3324">
      <c r="A3324" t="inlineStr">
        <is>
          <t xml:space="preserve">HDFC Mutual Fund</t>
        </is>
      </c>
      <c r="B3324" t="inlineStr">
        <is>
          <t xml:space="preserve">HDFC FMP 1133D February 2019 (1) - Quarterly IDCW Option - Direct Plan</t>
        </is>
      </c>
      <c r="C3324" t="inlineStr">
        <is>
          <t xml:space="preserve">INF179KC1445</t>
        </is>
      </c>
    </row>
    <row r="3325">
      <c r="A3325" t="inlineStr">
        <is>
          <t xml:space="preserve">HDFC Mutual Fund</t>
        </is>
      </c>
      <c r="B3325" t="inlineStr">
        <is>
          <t xml:space="preserve">HDFC FMP 1146D February 2019 (1) - Growth Option</t>
        </is>
      </c>
      <c r="C3325" t="inlineStr">
        <is>
          <t xml:space="preserve">INF179KC1395</t>
        </is>
      </c>
    </row>
    <row r="3326">
      <c r="A3326" t="inlineStr">
        <is>
          <t xml:space="preserve">HDFC Mutual Fund</t>
        </is>
      </c>
      <c r="B3326" t="inlineStr">
        <is>
          <t xml:space="preserve">HDFC FMP 1146D February 2019 (1) - Growth Option - Direct Plan</t>
        </is>
      </c>
      <c r="C3326" t="inlineStr">
        <is>
          <t xml:space="preserve">INF179KC1361</t>
        </is>
      </c>
    </row>
    <row r="3327">
      <c r="A3327" t="inlineStr">
        <is>
          <t xml:space="preserve">HDFC Mutual Fund</t>
        </is>
      </c>
      <c r="B3327" t="inlineStr">
        <is>
          <t xml:space="preserve">HDFC FMP 1146D February 2019 (1) - IDCW Option</t>
        </is>
      </c>
      <c r="C3327" t="inlineStr">
        <is>
          <t xml:space="preserve">INF179KC1403</t>
        </is>
      </c>
    </row>
    <row r="3328">
      <c r="A3328" t="inlineStr">
        <is>
          <t xml:space="preserve">HDFC Mutual Fund</t>
        </is>
      </c>
      <c r="B3328" t="inlineStr">
        <is>
          <t xml:space="preserve">HDFC FMP 1146D February 2019 (1) - IDCW Option - Direct Plan</t>
        </is>
      </c>
      <c r="C3328" t="inlineStr">
        <is>
          <t xml:space="preserve">INF179KC1379</t>
        </is>
      </c>
    </row>
    <row r="3329">
      <c r="A3329" t="inlineStr">
        <is>
          <t xml:space="preserve">HDFC Mutual Fund</t>
        </is>
      </c>
      <c r="B3329" t="inlineStr">
        <is>
          <t xml:space="preserve">HDFC FMP 1146D February 2019 (1) - Quarterly IDCW Option</t>
        </is>
      </c>
      <c r="C3329" t="inlineStr">
        <is>
          <t xml:space="preserve">INF179KC1411</t>
        </is>
      </c>
    </row>
    <row r="3330">
      <c r="A3330" t="inlineStr">
        <is>
          <t xml:space="preserve">HDFC Mutual Fund</t>
        </is>
      </c>
      <c r="B3330" t="inlineStr">
        <is>
          <t xml:space="preserve">HDFC FMP 1146D February 2019 (1) - Quarterly IDCW Option - Direct Plan</t>
        </is>
      </c>
      <c r="C3330" t="inlineStr">
        <is>
          <t xml:space="preserve">INF179KC1387</t>
        </is>
      </c>
    </row>
    <row r="3331">
      <c r="A3331" t="inlineStr">
        <is>
          <t xml:space="preserve">HDFC Mutual Fund</t>
        </is>
      </c>
      <c r="B3331" t="inlineStr">
        <is>
          <t xml:space="preserve">HDFC FMP 1154D February 2019 (1) - Growth Option</t>
        </is>
      </c>
      <c r="C3331" t="inlineStr">
        <is>
          <t xml:space="preserve">INF179KC1338</t>
        </is>
      </c>
    </row>
    <row r="3332">
      <c r="A3332" t="inlineStr">
        <is>
          <t xml:space="preserve">HDFC Mutual Fund</t>
        </is>
      </c>
      <c r="B3332" t="inlineStr">
        <is>
          <t xml:space="preserve">HDFC FMP 1154D February 2019 (1) - Growth Option - Direct Plan</t>
        </is>
      </c>
      <c r="C3332" t="inlineStr">
        <is>
          <t xml:space="preserve">INF179KC1304</t>
        </is>
      </c>
    </row>
    <row r="3333">
      <c r="A3333" t="inlineStr">
        <is>
          <t xml:space="preserve">HDFC Mutual Fund</t>
        </is>
      </c>
      <c r="B3333" t="inlineStr">
        <is>
          <t xml:space="preserve">HDFC FMP 1154D February 2019 (1) - IDCW Option</t>
        </is>
      </c>
      <c r="C3333" t="inlineStr">
        <is>
          <t xml:space="preserve">INF179KC1346</t>
        </is>
      </c>
    </row>
    <row r="3334">
      <c r="A3334" t="inlineStr">
        <is>
          <t xml:space="preserve">HDFC Mutual Fund</t>
        </is>
      </c>
      <c r="B3334" t="inlineStr">
        <is>
          <t xml:space="preserve">HDFC FMP 1154D February 2019 (1) - IDCW Option - Direct Plan</t>
        </is>
      </c>
      <c r="C3334" t="inlineStr">
        <is>
          <t xml:space="preserve">INF179KC1312</t>
        </is>
      </c>
    </row>
    <row r="3335">
      <c r="A3335" t="inlineStr">
        <is>
          <t xml:space="preserve">HDFC Mutual Fund</t>
        </is>
      </c>
      <c r="B3335" t="inlineStr">
        <is>
          <t xml:space="preserve">HDFC FMP 1154D February 2019 (1) - Quarterly IDCW Option</t>
        </is>
      </c>
      <c r="C3335" t="inlineStr">
        <is>
          <t xml:space="preserve">INF179KC1353</t>
        </is>
      </c>
    </row>
    <row r="3336">
      <c r="A3336" t="inlineStr">
        <is>
          <t xml:space="preserve">HDFC Mutual Fund</t>
        </is>
      </c>
      <c r="B3336" t="inlineStr">
        <is>
          <t xml:space="preserve">HDFC FMP 1154D February 2019 (1) - Quarterly IDCW Option - Direct Plan</t>
        </is>
      </c>
      <c r="C3336" t="inlineStr">
        <is>
          <t xml:space="preserve">INF179KC1320</t>
        </is>
      </c>
    </row>
    <row r="3337">
      <c r="A3337" t="inlineStr">
        <is>
          <t xml:space="preserve">HDFC Mutual Fund</t>
        </is>
      </c>
      <c r="B3337" t="inlineStr">
        <is>
          <t xml:space="preserve">HDFC FMP 1158D July 2022 - Growth Option</t>
        </is>
      </c>
      <c r="C3337" t="inlineStr">
        <is>
          <t xml:space="preserve">INF179KC1CX3</t>
        </is>
      </c>
    </row>
    <row r="3338">
      <c r="A3338" t="inlineStr">
        <is>
          <t xml:space="preserve">HDFC Mutual Fund</t>
        </is>
      </c>
      <c r="B3338" t="inlineStr">
        <is>
          <t xml:space="preserve">HDFC FMP 1158D July 2022 - Growth Option - Direct Plan</t>
        </is>
      </c>
      <c r="C3338" t="inlineStr">
        <is>
          <t xml:space="preserve">INF179KC1CU9</t>
        </is>
      </c>
    </row>
    <row r="3339">
      <c r="A3339" t="inlineStr">
        <is>
          <t xml:space="preserve">HDFC Mutual Fund</t>
        </is>
      </c>
      <c r="B3339" t="inlineStr">
        <is>
          <t xml:space="preserve">HDFC FMP 1158D July 2022 - IDCW Option</t>
        </is>
      </c>
      <c r="C3339" t="inlineStr">
        <is>
          <t xml:space="preserve">INF179KC1CY1</t>
        </is>
      </c>
    </row>
    <row r="3340">
      <c r="A3340" t="inlineStr">
        <is>
          <t xml:space="preserve">HDFC Mutual Fund</t>
        </is>
      </c>
      <c r="B3340" t="inlineStr">
        <is>
          <t xml:space="preserve">HDFC FMP 1158D July 2022 - IDCW Option - Direct Plan</t>
        </is>
      </c>
      <c r="C3340" t="inlineStr">
        <is>
          <t xml:space="preserve">INF179KC1CV7</t>
        </is>
      </c>
    </row>
    <row r="3341">
      <c r="A3341" t="inlineStr">
        <is>
          <t xml:space="preserve">HDFC Mutual Fund</t>
        </is>
      </c>
      <c r="B3341" t="inlineStr">
        <is>
          <t xml:space="preserve">HDFC FMP 1158D July 2022 - Quarterly IDCW Option</t>
        </is>
      </c>
      <c r="C3341" t="inlineStr">
        <is>
          <t xml:space="preserve">INF179KC1CZ8</t>
        </is>
      </c>
    </row>
    <row r="3342">
      <c r="A3342" t="inlineStr">
        <is>
          <t xml:space="preserve">HDFC Mutual Fund</t>
        </is>
      </c>
      <c r="B3342" t="inlineStr">
        <is>
          <t xml:space="preserve">HDFC FMP 1158D July 2022 - Quarterly IDCW Option - Direct Plan</t>
        </is>
      </c>
      <c r="C3342" t="inlineStr">
        <is>
          <t xml:space="preserve">INF179KC1CW5</t>
        </is>
      </c>
    </row>
    <row r="3343">
      <c r="A3343" t="inlineStr">
        <is>
          <t xml:space="preserve">HDFC Mutual Fund</t>
        </is>
      </c>
      <c r="B3343" t="inlineStr">
        <is>
          <t xml:space="preserve">HDFC FMP 1162D March 2022 - Growth Option</t>
        </is>
      </c>
      <c r="C3343" t="inlineStr">
        <is>
          <t xml:space="preserve">INF179KC1CL8</t>
        </is>
      </c>
    </row>
    <row r="3344">
      <c r="A3344" t="inlineStr">
        <is>
          <t xml:space="preserve">HDFC Mutual Fund</t>
        </is>
      </c>
      <c r="B3344" t="inlineStr">
        <is>
          <t xml:space="preserve">HDFC FMP 1162D March 2022 - Growth Option - Direct Plan</t>
        </is>
      </c>
      <c r="C3344" t="inlineStr">
        <is>
          <t xml:space="preserve">INF179KC1CI4</t>
        </is>
      </c>
    </row>
    <row r="3345">
      <c r="A3345" t="inlineStr">
        <is>
          <t xml:space="preserve">HDFC Mutual Fund</t>
        </is>
      </c>
      <c r="B3345" t="inlineStr">
        <is>
          <t xml:space="preserve">HDFC FMP 1162D March 2022 - IDCW Option</t>
        </is>
      </c>
      <c r="C3345" t="inlineStr">
        <is>
          <t xml:space="preserve">INF179KC1CM6</t>
        </is>
      </c>
    </row>
    <row r="3346">
      <c r="A3346" t="inlineStr">
        <is>
          <t xml:space="preserve">HDFC Mutual Fund</t>
        </is>
      </c>
      <c r="B3346" t="inlineStr">
        <is>
          <t xml:space="preserve">HDFC FMP 1162D March 2022 - IDCW Option - Direct Plan</t>
        </is>
      </c>
      <c r="C3346" t="inlineStr">
        <is>
          <t xml:space="preserve">INF179KC1CJ2</t>
        </is>
      </c>
    </row>
    <row r="3347">
      <c r="A3347" t="inlineStr">
        <is>
          <t xml:space="preserve">HDFC Mutual Fund</t>
        </is>
      </c>
      <c r="B3347" t="inlineStr">
        <is>
          <t xml:space="preserve">HDFC FMP 1162D March 2022 - Quarterly Dividend Option</t>
        </is>
      </c>
      <c r="C3347" t="inlineStr">
        <is>
          <t xml:space="preserve">INF179KC1CN4</t>
        </is>
      </c>
    </row>
    <row r="3348">
      <c r="A3348" t="inlineStr">
        <is>
          <t xml:space="preserve">HDFC Mutual Fund</t>
        </is>
      </c>
      <c r="B3348" t="inlineStr">
        <is>
          <t xml:space="preserve">HDFC FMP 1162D March 2022 - Quarterly Dividend Option - Direct Plan</t>
        </is>
      </c>
      <c r="C3348" t="inlineStr">
        <is>
          <t xml:space="preserve">INF179KC1CK0</t>
        </is>
      </c>
    </row>
    <row r="3349">
      <c r="A3349" t="inlineStr">
        <is>
          <t xml:space="preserve">HDFC Mutual Fund</t>
        </is>
      </c>
      <c r="B3349" t="inlineStr">
        <is>
          <t xml:space="preserve">HDFC FMP 1168D January 2019 (1) - Growth Option</t>
        </is>
      </c>
      <c r="C3349" t="inlineStr">
        <is>
          <t xml:space="preserve">INF179KC1270</t>
        </is>
      </c>
    </row>
    <row r="3350">
      <c r="A3350" t="inlineStr">
        <is>
          <t xml:space="preserve">HDFC Mutual Fund</t>
        </is>
      </c>
      <c r="B3350" t="inlineStr">
        <is>
          <t xml:space="preserve">HDFC FMP 1168D January 2019 (1) - Growth Option - Direct Plan</t>
        </is>
      </c>
      <c r="C3350" t="inlineStr">
        <is>
          <t xml:space="preserve">INF179KC1247</t>
        </is>
      </c>
    </row>
    <row r="3351">
      <c r="A3351" t="inlineStr">
        <is>
          <t xml:space="preserve">HDFC Mutual Fund</t>
        </is>
      </c>
      <c r="B3351" t="inlineStr">
        <is>
          <t xml:space="preserve">HDFC FMP 1168D January 2019 (1) - IDCW Option</t>
        </is>
      </c>
      <c r="C3351" t="inlineStr">
        <is>
          <t xml:space="preserve">INF179KC1288</t>
        </is>
      </c>
    </row>
    <row r="3352">
      <c r="A3352" t="inlineStr">
        <is>
          <t xml:space="preserve">HDFC Mutual Fund</t>
        </is>
      </c>
      <c r="B3352" t="inlineStr">
        <is>
          <t xml:space="preserve">HDFC FMP 1168D January 2019 (1) - IDCW Option - Direct Plan</t>
        </is>
      </c>
      <c r="C3352" t="inlineStr">
        <is>
          <t xml:space="preserve">INF179KC1254</t>
        </is>
      </c>
    </row>
    <row r="3353">
      <c r="A3353" t="inlineStr">
        <is>
          <t xml:space="preserve">HDFC Mutual Fund</t>
        </is>
      </c>
      <c r="B3353" t="inlineStr">
        <is>
          <t xml:space="preserve">HDFC FMP 1168D January 2019 (1) - Quarterly IDCW Option</t>
        </is>
      </c>
      <c r="C3353" t="inlineStr">
        <is>
          <t xml:space="preserve">INF179KC1296</t>
        </is>
      </c>
    </row>
    <row r="3354">
      <c r="A3354" t="inlineStr">
        <is>
          <t xml:space="preserve">HDFC Mutual Fund</t>
        </is>
      </c>
      <c r="B3354" t="inlineStr">
        <is>
          <t xml:space="preserve">HDFC FMP 1168D January 2019 (1) - Quarterly IDCW Option - Direct Plan</t>
        </is>
      </c>
      <c r="C3354" t="inlineStr">
        <is>
          <t xml:space="preserve">INF179KC1262</t>
        </is>
      </c>
    </row>
    <row r="3355">
      <c r="A3355" t="inlineStr">
        <is>
          <t xml:space="preserve">HDFC Mutual Fund</t>
        </is>
      </c>
      <c r="B3355" t="inlineStr">
        <is>
          <t xml:space="preserve">HDFC FMP 1170D February 2017 (1) - Direct Option - Dividend Option</t>
        </is>
      </c>
      <c r="C3355" t="inlineStr">
        <is>
          <t xml:space="preserve">INF179KB1C32</t>
        </is>
      </c>
    </row>
    <row r="3356">
      <c r="A3356" t="inlineStr">
        <is>
          <t xml:space="preserve">HDFC Mutual Fund</t>
        </is>
      </c>
      <c r="B3356" t="inlineStr">
        <is>
          <t xml:space="preserve">HDFC FMP 1170D February 2017 (1) - Direct Option - Growth Option</t>
        </is>
      </c>
      <c r="C3356" t="inlineStr">
        <is>
          <t xml:space="preserve">INF179KB1C24</t>
        </is>
      </c>
    </row>
    <row r="3357">
      <c r="A3357" t="inlineStr">
        <is>
          <t xml:space="preserve">HDFC Mutual Fund</t>
        </is>
      </c>
      <c r="B3357" t="inlineStr">
        <is>
          <t xml:space="preserve">HDFC FMP 1170D February 2017 (1) - Direct Option - Quarterly Dividend Option</t>
        </is>
      </c>
      <c r="C3357" t="inlineStr">
        <is>
          <t xml:space="preserve">INF179KB1C40</t>
        </is>
      </c>
    </row>
    <row r="3358">
      <c r="A3358" t="inlineStr">
        <is>
          <t xml:space="preserve">HDFC Mutual Fund</t>
        </is>
      </c>
      <c r="B3358" t="inlineStr">
        <is>
          <t xml:space="preserve">HDFC FMP 1170D February 2017 (1) - Regular Option - Dividend Option</t>
        </is>
      </c>
      <c r="C3358" t="inlineStr">
        <is>
          <t xml:space="preserve">INF179KB1C65</t>
        </is>
      </c>
    </row>
    <row r="3359">
      <c r="A3359" t="inlineStr">
        <is>
          <t xml:space="preserve">HDFC Mutual Fund</t>
        </is>
      </c>
      <c r="B3359" t="inlineStr">
        <is>
          <t xml:space="preserve">HDFC FMP 1170D February 2017 (1) - Regular Option - Growth Option</t>
        </is>
      </c>
      <c r="C3359" t="inlineStr">
        <is>
          <t xml:space="preserve">INF179KB1C57</t>
        </is>
      </c>
    </row>
    <row r="3360">
      <c r="A3360" t="inlineStr">
        <is>
          <t xml:space="preserve">HDFC Mutual Fund</t>
        </is>
      </c>
      <c r="B3360" t="inlineStr">
        <is>
          <t xml:space="preserve">HDFC FMP 1170D February 2017 (1) - Regular Option - Quarterly Dividend Option</t>
        </is>
      </c>
      <c r="C3360" t="inlineStr">
        <is>
          <t xml:space="preserve">INF179KB1C73</t>
        </is>
      </c>
    </row>
    <row r="3361">
      <c r="A3361" t="inlineStr">
        <is>
          <t xml:space="preserve">HDFC Mutual Fund</t>
        </is>
      </c>
      <c r="B3361" t="inlineStr">
        <is>
          <t xml:space="preserve">HDFC FMP 1175D January 2019 (1) - Growth Option</t>
        </is>
      </c>
      <c r="C3361" t="inlineStr">
        <is>
          <t xml:space="preserve">INF179KC1213</t>
        </is>
      </c>
    </row>
    <row r="3362">
      <c r="A3362" t="inlineStr">
        <is>
          <t xml:space="preserve">HDFC Mutual Fund</t>
        </is>
      </c>
      <c r="B3362" t="inlineStr">
        <is>
          <t xml:space="preserve">HDFC FMP 1175D January 2019 (1) - Growth Option - Direct Plan</t>
        </is>
      </c>
      <c r="C3362" t="inlineStr">
        <is>
          <t xml:space="preserve">INF179KC1189</t>
        </is>
      </c>
    </row>
    <row r="3363">
      <c r="A3363" t="inlineStr">
        <is>
          <t xml:space="preserve">HDFC Mutual Fund</t>
        </is>
      </c>
      <c r="B3363" t="inlineStr">
        <is>
          <t xml:space="preserve">HDFC FMP 1175D January 2019 (1) - IDCW Option</t>
        </is>
      </c>
      <c r="C3363" t="inlineStr">
        <is>
          <t xml:space="preserve">INF179KC1221</t>
        </is>
      </c>
    </row>
    <row r="3364">
      <c r="A3364" t="inlineStr">
        <is>
          <t xml:space="preserve">HDFC Mutual Fund</t>
        </is>
      </c>
      <c r="B3364" t="inlineStr">
        <is>
          <t xml:space="preserve">HDFC FMP 1175D January 2019 (1) - IDCW Option - Direct Plan</t>
        </is>
      </c>
      <c r="C3364" t="inlineStr">
        <is>
          <t xml:space="preserve">INF179KC1197</t>
        </is>
      </c>
    </row>
    <row r="3365">
      <c r="A3365" t="inlineStr">
        <is>
          <t xml:space="preserve">HDFC Mutual Fund</t>
        </is>
      </c>
      <c r="B3365" t="inlineStr">
        <is>
          <t xml:space="preserve">HDFC FMP 1175D January 2019 (1) - Quarterly IDCW Option</t>
        </is>
      </c>
      <c r="C3365" t="inlineStr">
        <is>
          <t xml:space="preserve">INF179KC1239</t>
        </is>
      </c>
    </row>
    <row r="3366">
      <c r="A3366" t="inlineStr">
        <is>
          <t xml:space="preserve">HDFC Mutual Fund</t>
        </is>
      </c>
      <c r="B3366" t="inlineStr">
        <is>
          <t xml:space="preserve">HDFC FMP 1175D January 2019 (1) - Quarterly IDCW Option - Direct Plan</t>
        </is>
      </c>
      <c r="C3366" t="inlineStr">
        <is>
          <t xml:space="preserve">INF179KC1205</t>
        </is>
      </c>
    </row>
    <row r="3367">
      <c r="A3367" t="inlineStr">
        <is>
          <t xml:space="preserve">HDFC Mutual Fund</t>
        </is>
      </c>
      <c r="B3367" t="inlineStr">
        <is>
          <t xml:space="preserve">HDFC FMP 1182D January 2019 (1) - Growth Option</t>
        </is>
      </c>
      <c r="C3367" t="inlineStr">
        <is>
          <t xml:space="preserve">INF179KC1155</t>
        </is>
      </c>
    </row>
    <row r="3368">
      <c r="A3368" t="inlineStr">
        <is>
          <t xml:space="preserve">HDFC Mutual Fund</t>
        </is>
      </c>
      <c r="B3368" t="inlineStr">
        <is>
          <t xml:space="preserve">HDFC FMP 1182D January 2019 (1) - Growth Option - Direct Plan</t>
        </is>
      </c>
      <c r="C3368" t="inlineStr">
        <is>
          <t xml:space="preserve">INF179KC1122</t>
        </is>
      </c>
    </row>
    <row r="3369">
      <c r="A3369" t="inlineStr">
        <is>
          <t xml:space="preserve">HDFC Mutual Fund</t>
        </is>
      </c>
      <c r="B3369" t="inlineStr">
        <is>
          <t xml:space="preserve">HDFC FMP 1182D January 2019 (1) - IDCW Option</t>
        </is>
      </c>
      <c r="C3369" t="inlineStr">
        <is>
          <t xml:space="preserve">INF179KC1163</t>
        </is>
      </c>
    </row>
    <row r="3370">
      <c r="A3370" t="inlineStr">
        <is>
          <t xml:space="preserve">HDFC Mutual Fund</t>
        </is>
      </c>
      <c r="B3370" t="inlineStr">
        <is>
          <t xml:space="preserve">HDFC FMP 1182D January 2019 (1) - Quarterly IDCW Option</t>
        </is>
      </c>
      <c r="C3370" t="inlineStr">
        <is>
          <t xml:space="preserve">INF179KC1171</t>
        </is>
      </c>
    </row>
    <row r="3371">
      <c r="A3371" t="inlineStr">
        <is>
          <t xml:space="preserve">HDFC Mutual Fund</t>
        </is>
      </c>
      <c r="B3371" t="inlineStr">
        <is>
          <t xml:space="preserve">HDFC FMP 1182D January 2019 (1) - Quarterly IDCW Option - Direct Plan</t>
        </is>
      </c>
      <c r="C3371" t="inlineStr">
        <is>
          <t xml:space="preserve">INF179KC1148</t>
        </is>
      </c>
    </row>
    <row r="3372">
      <c r="A3372" t="inlineStr">
        <is>
          <t xml:space="preserve">HDFC Mutual Fund</t>
        </is>
      </c>
      <c r="B3372" t="inlineStr">
        <is>
          <t xml:space="preserve">HDFC FMP 1190D January 2019 (1) - Growth Option</t>
        </is>
      </c>
      <c r="C3372" t="inlineStr">
        <is>
          <t xml:space="preserve">INF179KC1098</t>
        </is>
      </c>
    </row>
    <row r="3373">
      <c r="A3373" t="inlineStr">
        <is>
          <t xml:space="preserve">HDFC Mutual Fund</t>
        </is>
      </c>
      <c r="B3373" t="inlineStr">
        <is>
          <t xml:space="preserve">HDFC FMP 1190D January 2019 (1) - Growth Option - Direct Plan</t>
        </is>
      </c>
      <c r="C3373" t="inlineStr">
        <is>
          <t xml:space="preserve">INF179KC1064</t>
        </is>
      </c>
    </row>
    <row r="3374">
      <c r="A3374" t="inlineStr">
        <is>
          <t xml:space="preserve">HDFC Mutual Fund</t>
        </is>
      </c>
      <c r="B3374" t="inlineStr">
        <is>
          <t xml:space="preserve">HDFC FMP 1190D January 2019 (1) - IDCW Option - Direct Plan</t>
        </is>
      </c>
      <c r="C3374" t="inlineStr">
        <is>
          <t xml:space="preserve">INF179KC1072</t>
        </is>
      </c>
    </row>
    <row r="3375">
      <c r="A3375" t="inlineStr">
        <is>
          <t xml:space="preserve">HDFC Mutual Fund</t>
        </is>
      </c>
      <c r="B3375" t="inlineStr">
        <is>
          <t xml:space="preserve">HDFC FMP 1190D January 2019 (1) - Quarterly IDCW Option</t>
        </is>
      </c>
      <c r="C3375" t="inlineStr">
        <is>
          <t xml:space="preserve">INF179KC1114</t>
        </is>
      </c>
    </row>
    <row r="3376">
      <c r="A3376" t="inlineStr">
        <is>
          <t xml:space="preserve">HDFC Mutual Fund</t>
        </is>
      </c>
      <c r="B3376" t="inlineStr">
        <is>
          <t xml:space="preserve">HDFC FMP 1190D January 2019 (1) - Quarterly IDCW Option - Direct Plan</t>
        </is>
      </c>
      <c r="C3376" t="inlineStr">
        <is>
          <t xml:space="preserve">INF179KC1080</t>
        </is>
      </c>
    </row>
    <row r="3377">
      <c r="A3377" t="inlineStr">
        <is>
          <t xml:space="preserve">HDFC Mutual Fund</t>
        </is>
      </c>
      <c r="B3377" t="inlineStr">
        <is>
          <t xml:space="preserve">HDFC FMP 1196D December 2018 (1) - Growth Option</t>
        </is>
      </c>
      <c r="C3377" t="inlineStr">
        <is>
          <t xml:space="preserve">INF179KC1031</t>
        </is>
      </c>
    </row>
    <row r="3378">
      <c r="A3378" t="inlineStr">
        <is>
          <t xml:space="preserve">HDFC Mutual Fund</t>
        </is>
      </c>
      <c r="B3378" t="inlineStr">
        <is>
          <t xml:space="preserve">HDFC FMP 1196D December 2018 (1) - Growth Option - Direct Plan</t>
        </is>
      </c>
      <c r="C3378" t="inlineStr">
        <is>
          <t xml:space="preserve">INF179KB19Z9</t>
        </is>
      </c>
    </row>
    <row r="3379">
      <c r="A3379" t="inlineStr">
        <is>
          <t xml:space="preserve">HDFC Mutual Fund</t>
        </is>
      </c>
      <c r="B3379" t="inlineStr">
        <is>
          <t xml:space="preserve">HDFC FMP 1196D December 2018 (1) - IDCW Option</t>
        </is>
      </c>
      <c r="C3379" t="inlineStr">
        <is>
          <t xml:space="preserve">INF179KC1049</t>
        </is>
      </c>
    </row>
    <row r="3380">
      <c r="A3380" t="inlineStr">
        <is>
          <t xml:space="preserve">HDFC Mutual Fund</t>
        </is>
      </c>
      <c r="B3380" t="inlineStr">
        <is>
          <t xml:space="preserve">HDFC FMP 1196D December 2018 (1) - IDCW Option - Direct Plan</t>
        </is>
      </c>
      <c r="C3380" t="inlineStr">
        <is>
          <t xml:space="preserve">INF179KC1015</t>
        </is>
      </c>
    </row>
    <row r="3381">
      <c r="A3381" t="inlineStr">
        <is>
          <t xml:space="preserve">HDFC Mutual Fund</t>
        </is>
      </c>
      <c r="B3381" t="inlineStr">
        <is>
          <t xml:space="preserve">HDFC FMP 1196D December 2018 (1) - Quarterly IDCW Option</t>
        </is>
      </c>
      <c r="C3381" t="inlineStr">
        <is>
          <t xml:space="preserve">INF179KC1056</t>
        </is>
      </c>
    </row>
    <row r="3382">
      <c r="A3382" t="inlineStr">
        <is>
          <t xml:space="preserve">HDFC Mutual Fund</t>
        </is>
      </c>
      <c r="B3382" t="inlineStr">
        <is>
          <t xml:space="preserve">HDFC FMP 1196D December 2018 (1) - Quarterly IDCW Option - Direct Plan</t>
        </is>
      </c>
      <c r="C3382" t="inlineStr">
        <is>
          <t xml:space="preserve">INF179KC1023</t>
        </is>
      </c>
    </row>
    <row r="3383">
      <c r="A3383" t="inlineStr">
        <is>
          <t xml:space="preserve">HDFC Mutual Fund</t>
        </is>
      </c>
      <c r="B3383" t="inlineStr">
        <is>
          <t xml:space="preserve">HDFC FMP 1203D December 2018 (1) - Growth Option</t>
        </is>
      </c>
      <c r="C3383" t="inlineStr">
        <is>
          <t xml:space="preserve">INF179KB16Z5</t>
        </is>
      </c>
    </row>
    <row r="3384">
      <c r="A3384" t="inlineStr">
        <is>
          <t xml:space="preserve">HDFC Mutual Fund</t>
        </is>
      </c>
      <c r="B3384" t="inlineStr">
        <is>
          <t xml:space="preserve">HDFC FMP 1203D December 2018 (1) - Growth Option - Direct Plan</t>
        </is>
      </c>
      <c r="C3384" t="inlineStr">
        <is>
          <t xml:space="preserve">INF179KB13Z2</t>
        </is>
      </c>
    </row>
    <row r="3385">
      <c r="A3385" t="inlineStr">
        <is>
          <t xml:space="preserve">HDFC Mutual Fund</t>
        </is>
      </c>
      <c r="B3385" t="inlineStr">
        <is>
          <t xml:space="preserve">HDFC FMP 1203D December 2018 (1) - IDCW Option</t>
        </is>
      </c>
      <c r="C3385" t="inlineStr">
        <is>
          <t xml:space="preserve">INF179KB17Z3</t>
        </is>
      </c>
    </row>
    <row r="3386">
      <c r="A3386" t="inlineStr">
        <is>
          <t xml:space="preserve">HDFC Mutual Fund</t>
        </is>
      </c>
      <c r="B3386" t="inlineStr">
        <is>
          <t xml:space="preserve">HDFC FMP 1203D December 2018 (1) - Quarterly IDCW Option</t>
        </is>
      </c>
      <c r="C3386" t="inlineStr">
        <is>
          <t xml:space="preserve">INF179KB18Z1</t>
        </is>
      </c>
    </row>
    <row r="3387">
      <c r="A3387" t="inlineStr">
        <is>
          <t xml:space="preserve">HDFC Mutual Fund</t>
        </is>
      </c>
      <c r="B3387" t="inlineStr">
        <is>
          <t xml:space="preserve">HDFC FMP 1204D December - Growth Option</t>
        </is>
      </c>
      <c r="C3387" t="inlineStr">
        <is>
          <t xml:space="preserve">INF179KC1EQ3</t>
        </is>
      </c>
    </row>
    <row r="3388">
      <c r="A3388" t="inlineStr">
        <is>
          <t xml:space="preserve">HDFC Mutual Fund</t>
        </is>
      </c>
      <c r="B3388" t="inlineStr">
        <is>
          <t xml:space="preserve">HDFC FMP 1204D December - Growth Option - Direct Plan</t>
        </is>
      </c>
      <c r="C3388" t="inlineStr">
        <is>
          <t xml:space="preserve">INF179KC1EN0</t>
        </is>
      </c>
    </row>
    <row r="3389">
      <c r="A3389" t="inlineStr">
        <is>
          <t xml:space="preserve">HDFC Mutual Fund</t>
        </is>
      </c>
      <c r="B3389" t="inlineStr">
        <is>
          <t xml:space="preserve">HDFC FMP 1204D December - IDCW Option</t>
        </is>
      </c>
      <c r="C3389" t="inlineStr">
        <is>
          <t xml:space="preserve">INF179KC1ER1</t>
        </is>
      </c>
    </row>
    <row r="3390">
      <c r="A3390" t="inlineStr">
        <is>
          <t xml:space="preserve">HDFC Mutual Fund</t>
        </is>
      </c>
      <c r="B3390" t="inlineStr">
        <is>
          <t xml:space="preserve">HDFC FMP 1204D December - IDCW Option - Direct Plan</t>
        </is>
      </c>
      <c r="C3390" t="inlineStr">
        <is>
          <t xml:space="preserve">INF179KC1EO8</t>
        </is>
      </c>
    </row>
    <row r="3391">
      <c r="A3391" t="inlineStr">
        <is>
          <t xml:space="preserve">HDFC Mutual Fund</t>
        </is>
      </c>
      <c r="B3391" t="inlineStr">
        <is>
          <t xml:space="preserve">HDFC FMP 1204D December - Quarterly IDCW Option</t>
        </is>
      </c>
      <c r="C3391" t="inlineStr">
        <is>
          <t xml:space="preserve">INF179KC1ES9</t>
        </is>
      </c>
    </row>
    <row r="3392">
      <c r="A3392" t="inlineStr">
        <is>
          <t xml:space="preserve">HDFC Mutual Fund</t>
        </is>
      </c>
      <c r="B3392" t="inlineStr">
        <is>
          <t xml:space="preserve">HDFC FMP 1204D December - Quarterly IDCW Option - Direct Plan</t>
        </is>
      </c>
      <c r="C3392" t="inlineStr">
        <is>
          <t xml:space="preserve">INF179KC1EP5</t>
        </is>
      </c>
    </row>
    <row r="3393">
      <c r="A3393" t="inlineStr">
        <is>
          <t xml:space="preserve">HDFC Mutual Fund</t>
        </is>
      </c>
      <c r="B3393" t="inlineStr">
        <is>
          <t xml:space="preserve">HDFC FMP 1211D December 2018 (1) - Growth Option</t>
        </is>
      </c>
      <c r="C3393" t="inlineStr">
        <is>
          <t xml:space="preserve">INF179KB10Z8</t>
        </is>
      </c>
    </row>
    <row r="3394">
      <c r="A3394" t="inlineStr">
        <is>
          <t xml:space="preserve">HDFC Mutual Fund</t>
        </is>
      </c>
      <c r="B3394" t="inlineStr">
        <is>
          <t xml:space="preserve">HDFC FMP 1211D December 2018 (1) - Growth Option - Direct Plan</t>
        </is>
      </c>
      <c r="C3394" t="inlineStr">
        <is>
          <t xml:space="preserve">INF179KB17Y6</t>
        </is>
      </c>
    </row>
    <row r="3395">
      <c r="A3395" t="inlineStr">
        <is>
          <t xml:space="preserve">HDFC Mutual Fund</t>
        </is>
      </c>
      <c r="B3395" t="inlineStr">
        <is>
          <t xml:space="preserve">HDFC FMP 1218D December 2018 (1) - Growth Option</t>
        </is>
      </c>
      <c r="C3395" t="inlineStr">
        <is>
          <t xml:space="preserve">INF179KB14Y3</t>
        </is>
      </c>
    </row>
    <row r="3396">
      <c r="A3396" t="inlineStr">
        <is>
          <t xml:space="preserve">HDFC Mutual Fund</t>
        </is>
      </c>
      <c r="B3396" t="inlineStr">
        <is>
          <t xml:space="preserve">HDFC FMP 1218D December 2018 (1) - Growth Option - Direct Plan</t>
        </is>
      </c>
      <c r="C3396" t="inlineStr">
        <is>
          <t xml:space="preserve">INF179KB11Y9</t>
        </is>
      </c>
    </row>
    <row r="3397">
      <c r="A3397" t="inlineStr">
        <is>
          <t xml:space="preserve">HDFC Mutual Fund</t>
        </is>
      </c>
      <c r="B3397" t="inlineStr">
        <is>
          <t xml:space="preserve">HDFC FMP 1218D December 2018 (1) - IDCW Option</t>
        </is>
      </c>
      <c r="C3397" t="inlineStr">
        <is>
          <t xml:space="preserve">INF179KB15Y0</t>
        </is>
      </c>
    </row>
    <row r="3398">
      <c r="A3398" t="inlineStr">
        <is>
          <t xml:space="preserve">HDFC Mutual Fund</t>
        </is>
      </c>
      <c r="B3398" t="inlineStr">
        <is>
          <t xml:space="preserve">HDFC FMP 1218D December 2018 (1) - IDCW Option - Direct Plan</t>
        </is>
      </c>
      <c r="C3398" t="inlineStr">
        <is>
          <t xml:space="preserve">INF179KB12Y7</t>
        </is>
      </c>
    </row>
    <row r="3399">
      <c r="A3399" t="inlineStr">
        <is>
          <t xml:space="preserve">HDFC Mutual Fund</t>
        </is>
      </c>
      <c r="B3399" t="inlineStr">
        <is>
          <t xml:space="preserve">HDFC FMP 1218D December 2018 (1) - Quarterly IDCW Option</t>
        </is>
      </c>
      <c r="C3399" t="inlineStr">
        <is>
          <t xml:space="preserve">INF179KB16Y8</t>
        </is>
      </c>
    </row>
    <row r="3400">
      <c r="A3400" t="inlineStr">
        <is>
          <t xml:space="preserve">HDFC Mutual Fund</t>
        </is>
      </c>
      <c r="B3400" t="inlineStr">
        <is>
          <t xml:space="preserve">HDFC FMP 1224D DECEMBER 2018 (1) - Growth Option</t>
        </is>
      </c>
      <c r="C3400" t="inlineStr">
        <is>
          <t xml:space="preserve">INF179KB18X6</t>
        </is>
      </c>
    </row>
    <row r="3401">
      <c r="A3401" t="inlineStr">
        <is>
          <t xml:space="preserve">HDFC Mutual Fund</t>
        </is>
      </c>
      <c r="B3401" t="inlineStr">
        <is>
          <t xml:space="preserve">HDFC FMP 1224D DECEMBER 2018 (1) - Growth Option - Direct Plan</t>
        </is>
      </c>
      <c r="C3401" t="inlineStr">
        <is>
          <t xml:space="preserve">INF179KB15X2</t>
        </is>
      </c>
    </row>
    <row r="3402">
      <c r="A3402" t="inlineStr">
        <is>
          <t xml:space="preserve">HDFC Mutual Fund</t>
        </is>
      </c>
      <c r="B3402" t="inlineStr">
        <is>
          <t xml:space="preserve">HDFC FMP 1224D DECEMBER 2018 (1) - IDCW Option</t>
        </is>
      </c>
      <c r="C3402" t="inlineStr">
        <is>
          <t xml:space="preserve">INF179KB19X4</t>
        </is>
      </c>
    </row>
    <row r="3403">
      <c r="A3403" t="inlineStr">
        <is>
          <t xml:space="preserve">HDFC Mutual Fund</t>
        </is>
      </c>
      <c r="B3403" t="inlineStr">
        <is>
          <t xml:space="preserve">HDFC FMP 1224D DECEMBER 2018 (1) - IDCW Option - Direct Plan</t>
        </is>
      </c>
      <c r="C3403" t="inlineStr">
        <is>
          <t xml:space="preserve">INF179KB16X0</t>
        </is>
      </c>
    </row>
    <row r="3404">
      <c r="A3404" t="inlineStr">
        <is>
          <t xml:space="preserve">HDFC Mutual Fund</t>
        </is>
      </c>
      <c r="B3404" t="inlineStr">
        <is>
          <t xml:space="preserve">HDFC FMP 1224D DECEMBER 2018 (1) - Quarterly IDCW Option</t>
        </is>
      </c>
      <c r="C3404" t="inlineStr">
        <is>
          <t xml:space="preserve">INF179KB10Y1</t>
        </is>
      </c>
    </row>
    <row r="3405">
      <c r="A3405" t="inlineStr">
        <is>
          <t xml:space="preserve">HDFC Mutual Fund</t>
        </is>
      </c>
      <c r="B3405" t="inlineStr">
        <is>
          <t xml:space="preserve">HDFC FMP 1232D NOVEMBER 2018 (1) - Growth Option</t>
        </is>
      </c>
      <c r="C3405" t="inlineStr">
        <is>
          <t xml:space="preserve">INF179KB18W8</t>
        </is>
      </c>
    </row>
    <row r="3406">
      <c r="A3406" t="inlineStr">
        <is>
          <t xml:space="preserve">HDFC Mutual Fund</t>
        </is>
      </c>
      <c r="B3406" t="inlineStr">
        <is>
          <t xml:space="preserve">HDFC FMP 1232D NOVEMBER 2018 (1) - Growth Option - Direct Plan</t>
        </is>
      </c>
      <c r="C3406" t="inlineStr">
        <is>
          <t xml:space="preserve">INF179KB15W4</t>
        </is>
      </c>
    </row>
    <row r="3407">
      <c r="A3407" t="inlineStr">
        <is>
          <t xml:space="preserve">HDFC Mutual Fund</t>
        </is>
      </c>
      <c r="B3407" t="inlineStr">
        <is>
          <t xml:space="preserve">HDFC FMP 1232D NOVEMBER 2018 (1) - Quarterly IDCW Option</t>
        </is>
      </c>
      <c r="C3407" t="inlineStr">
        <is>
          <t xml:space="preserve">INF179KB10X3</t>
        </is>
      </c>
    </row>
    <row r="3408">
      <c r="A3408" t="inlineStr">
        <is>
          <t xml:space="preserve">HDFC Mutual Fund</t>
        </is>
      </c>
      <c r="B3408" t="inlineStr">
        <is>
          <t xml:space="preserve">HDFC FMP 1232D NOVEMBER 2018 (1) - Quarterly IDCW Option - Direct Plan</t>
        </is>
      </c>
      <c r="C3408" t="inlineStr">
        <is>
          <t xml:space="preserve">INF179KB17W0</t>
        </is>
      </c>
    </row>
    <row r="3409">
      <c r="A3409" t="inlineStr">
        <is>
          <t xml:space="preserve">HDFC Mutual Fund</t>
        </is>
      </c>
      <c r="B3409" t="inlineStr">
        <is>
          <t xml:space="preserve">HDFC FMP 1246D NOVEMBER 2018 (1) - Growth Option</t>
        </is>
      </c>
      <c r="C3409" t="inlineStr">
        <is>
          <t xml:space="preserve">INF179KB12W1</t>
        </is>
      </c>
    </row>
    <row r="3410">
      <c r="A3410" t="inlineStr">
        <is>
          <t xml:space="preserve">HDFC Mutual Fund</t>
        </is>
      </c>
      <c r="B3410" t="inlineStr">
        <is>
          <t xml:space="preserve">HDFC FMP 1246D NOVEMBER 2018 (1) - Growth Option - Direct Plan</t>
        </is>
      </c>
      <c r="C3410" t="inlineStr">
        <is>
          <t xml:space="preserve">INF179KB19V8</t>
        </is>
      </c>
    </row>
    <row r="3411">
      <c r="A3411" t="inlineStr">
        <is>
          <t xml:space="preserve">HDFC Mutual Fund</t>
        </is>
      </c>
      <c r="B3411" t="inlineStr">
        <is>
          <t xml:space="preserve">HDFC FMP 1246D NOVEMBER 2018 (1) - IDCW Option</t>
        </is>
      </c>
      <c r="C3411" t="inlineStr">
        <is>
          <t xml:space="preserve">INF179KB13W9</t>
        </is>
      </c>
    </row>
    <row r="3412">
      <c r="A3412" t="inlineStr">
        <is>
          <t xml:space="preserve">HDFC Mutual Fund</t>
        </is>
      </c>
      <c r="B3412" t="inlineStr">
        <is>
          <t xml:space="preserve">HDFC FMP 1246D NOVEMBER 2018 (1) - IDCW Option - Direct Plan</t>
        </is>
      </c>
      <c r="C3412" t="inlineStr">
        <is>
          <t xml:space="preserve">INF179KB10W5</t>
        </is>
      </c>
    </row>
    <row r="3413">
      <c r="A3413" t="inlineStr">
        <is>
          <t xml:space="preserve">HDFC Mutual Fund</t>
        </is>
      </c>
      <c r="B3413" t="inlineStr">
        <is>
          <t xml:space="preserve">HDFC FMP 1246D NOVEMBER 2018 (1) - Quarterly IDCW Option</t>
        </is>
      </c>
      <c r="C3413" t="inlineStr">
        <is>
          <t xml:space="preserve">INF179KB14W7</t>
        </is>
      </c>
    </row>
    <row r="3414">
      <c r="A3414" t="inlineStr">
        <is>
          <t xml:space="preserve">HDFC Mutual Fund</t>
        </is>
      </c>
      <c r="B3414" t="inlineStr">
        <is>
          <t xml:space="preserve">HDFC FMP 1246D NOVEMBER 2018 (1) - Quarterly IDCW Option - Direct Plan</t>
        </is>
      </c>
      <c r="C3414" t="inlineStr">
        <is>
          <t xml:space="preserve">INF179KB11W3</t>
        </is>
      </c>
    </row>
    <row r="3415">
      <c r="A3415" t="inlineStr">
        <is>
          <t xml:space="preserve">HDFC Mutual Fund</t>
        </is>
      </c>
      <c r="B3415" t="inlineStr">
        <is>
          <t xml:space="preserve">HDFC FMP 1260D October 2018 (1) - Growth Option</t>
        </is>
      </c>
      <c r="C3415" t="inlineStr">
        <is>
          <t xml:space="preserve">INF179KB16V4</t>
        </is>
      </c>
    </row>
    <row r="3416">
      <c r="A3416" t="inlineStr">
        <is>
          <t xml:space="preserve">HDFC Mutual Fund</t>
        </is>
      </c>
      <c r="B3416" t="inlineStr">
        <is>
          <t xml:space="preserve">HDFC FMP 1260D October 2018 (1) - Growth Option - Direct Plan</t>
        </is>
      </c>
      <c r="C3416" t="inlineStr">
        <is>
          <t xml:space="preserve">INF179KB13V1</t>
        </is>
      </c>
    </row>
    <row r="3417">
      <c r="A3417" t="inlineStr">
        <is>
          <t xml:space="preserve">HDFC Mutual Fund</t>
        </is>
      </c>
      <c r="B3417" t="inlineStr">
        <is>
          <t xml:space="preserve">HDFC FMP 1260D October 2018 (1) - Quarterly IDCW Option - Direct Plan</t>
        </is>
      </c>
      <c r="C3417" t="inlineStr">
        <is>
          <t xml:space="preserve">INF179KB15V6</t>
        </is>
      </c>
    </row>
    <row r="3418">
      <c r="A3418" t="inlineStr">
        <is>
          <t xml:space="preserve">HDFC Mutual Fund</t>
        </is>
      </c>
      <c r="B3418" t="inlineStr">
        <is>
          <t xml:space="preserve">HDFC FMP 1261D October 2018 (1) - Growth Option</t>
        </is>
      </c>
      <c r="C3418" t="inlineStr">
        <is>
          <t xml:space="preserve">INF179KB10V7</t>
        </is>
      </c>
    </row>
    <row r="3419">
      <c r="A3419" t="inlineStr">
        <is>
          <t xml:space="preserve">HDFC Mutual Fund</t>
        </is>
      </c>
      <c r="B3419" t="inlineStr">
        <is>
          <t xml:space="preserve">HDFC FMP 1261D October 2018 (1) - Growth Option - Direct Plan</t>
        </is>
      </c>
      <c r="C3419" t="inlineStr">
        <is>
          <t xml:space="preserve">INF179KB17U4</t>
        </is>
      </c>
    </row>
    <row r="3420">
      <c r="A3420" t="inlineStr">
        <is>
          <t xml:space="preserve">HDFC Mutual Fund</t>
        </is>
      </c>
      <c r="B3420" t="inlineStr">
        <is>
          <t xml:space="preserve">HDFC FMP 1261D October 2018 (1) - IDCW Option - Direct Plan</t>
        </is>
      </c>
      <c r="C3420" t="inlineStr">
        <is>
          <t xml:space="preserve">INF179KB18U2</t>
        </is>
      </c>
    </row>
    <row r="3421">
      <c r="A3421" t="inlineStr">
        <is>
          <t xml:space="preserve">HDFC Mutual Fund</t>
        </is>
      </c>
      <c r="B3421" t="inlineStr">
        <is>
          <t xml:space="preserve">HDFC FMP 1261D October 2018 (1) - Quarterly IDCW Option - Direct Plan</t>
        </is>
      </c>
      <c r="C3421" t="inlineStr">
        <is>
          <t xml:space="preserve">INF179KB19U0</t>
        </is>
      </c>
    </row>
    <row r="3422">
      <c r="A3422" t="inlineStr">
        <is>
          <t xml:space="preserve">HDFC Mutual Fund</t>
        </is>
      </c>
      <c r="B3422" t="inlineStr">
        <is>
          <t xml:space="preserve">HDFC FMP 1265D October 2018 (1) - Growth Option</t>
        </is>
      </c>
      <c r="C3422" t="inlineStr">
        <is>
          <t xml:space="preserve">INF179KB14U1</t>
        </is>
      </c>
    </row>
    <row r="3423">
      <c r="A3423" t="inlineStr">
        <is>
          <t xml:space="preserve">HDFC Mutual Fund</t>
        </is>
      </c>
      <c r="B3423" t="inlineStr">
        <is>
          <t xml:space="preserve">HDFC FMP 1265D October 2018 (1) - Growth Option - Direct Plan</t>
        </is>
      </c>
      <c r="C3423" t="inlineStr">
        <is>
          <t xml:space="preserve">INF179KB11U7</t>
        </is>
      </c>
    </row>
    <row r="3424">
      <c r="A3424" t="inlineStr">
        <is>
          <t xml:space="preserve">HDFC Mutual Fund</t>
        </is>
      </c>
      <c r="B3424" t="inlineStr">
        <is>
          <t xml:space="preserve">HDFC FMP 1265D October 2018 (1) - IDCW Option</t>
        </is>
      </c>
      <c r="C3424" t="inlineStr">
        <is>
          <t xml:space="preserve">INF179KB15U8</t>
        </is>
      </c>
    </row>
    <row r="3425">
      <c r="A3425" t="inlineStr">
        <is>
          <t xml:space="preserve">HDFC Mutual Fund</t>
        </is>
      </c>
      <c r="B3425" t="inlineStr">
        <is>
          <t xml:space="preserve">HDFC FMP 1265D October 2018 (1) - IDCW Option - Direct Plan</t>
        </is>
      </c>
      <c r="C3425" t="inlineStr">
        <is>
          <t xml:space="preserve">INF179KB12U5</t>
        </is>
      </c>
    </row>
    <row r="3426">
      <c r="A3426" t="inlineStr">
        <is>
          <t xml:space="preserve">HDFC Mutual Fund</t>
        </is>
      </c>
      <c r="B3426" t="inlineStr">
        <is>
          <t xml:space="preserve">HDFC FMP 1265D October 2018 (1) - Quarterly IDCW Option</t>
        </is>
      </c>
      <c r="C3426" t="inlineStr">
        <is>
          <t xml:space="preserve">INF179KB16U6</t>
        </is>
      </c>
    </row>
    <row r="3427">
      <c r="A3427" t="inlineStr">
        <is>
          <t xml:space="preserve">HDFC Mutual Fund</t>
        </is>
      </c>
      <c r="B3427" t="inlineStr">
        <is>
          <t xml:space="preserve">HDFC FMP 1265D October 2018 (1) - Quarterly IDCW Option - Direct Plan</t>
        </is>
      </c>
      <c r="C3427" t="inlineStr">
        <is>
          <t xml:space="preserve">INF179KB13U3</t>
        </is>
      </c>
    </row>
    <row r="3428">
      <c r="A3428" t="inlineStr">
        <is>
          <t xml:space="preserve">HDFC Mutual Fund</t>
        </is>
      </c>
      <c r="B3428" t="inlineStr">
        <is>
          <t xml:space="preserve">HDFC FMP 1274D October 2018 (1) - Growth Option</t>
        </is>
      </c>
      <c r="C3428" t="inlineStr">
        <is>
          <t xml:space="preserve">INF179KB18T4</t>
        </is>
      </c>
    </row>
    <row r="3429">
      <c r="A3429" t="inlineStr">
        <is>
          <t xml:space="preserve">HDFC Mutual Fund</t>
        </is>
      </c>
      <c r="B3429" t="inlineStr">
        <is>
          <t xml:space="preserve">HDFC FMP 1274D October 2018 (1) - Growth Option - Direct Plan</t>
        </is>
      </c>
      <c r="C3429" t="inlineStr">
        <is>
          <t xml:space="preserve">INF179KB15T0</t>
        </is>
      </c>
    </row>
    <row r="3430">
      <c r="A3430" t="inlineStr">
        <is>
          <t xml:space="preserve">HDFC Mutual Fund</t>
        </is>
      </c>
      <c r="B3430" t="inlineStr">
        <is>
          <t xml:space="preserve">HDFC FMP 1274D October 2018 (1) - IDCW Option</t>
        </is>
      </c>
      <c r="C3430" t="inlineStr">
        <is>
          <t xml:space="preserve">INF179KB19T2</t>
        </is>
      </c>
    </row>
    <row r="3431">
      <c r="A3431" t="inlineStr">
        <is>
          <t xml:space="preserve">HDFC Mutual Fund</t>
        </is>
      </c>
      <c r="B3431" t="inlineStr">
        <is>
          <t xml:space="preserve">HDFC FMP 1274D October 2018 (1) - IDCW Option - Direct Plan</t>
        </is>
      </c>
      <c r="C3431" t="inlineStr">
        <is>
          <t xml:space="preserve">INF179KB16T8</t>
        </is>
      </c>
    </row>
    <row r="3432">
      <c r="A3432" t="inlineStr">
        <is>
          <t xml:space="preserve">HDFC Mutual Fund</t>
        </is>
      </c>
      <c r="B3432" t="inlineStr">
        <is>
          <t xml:space="preserve">HDFC FMP 1274D October 2018 (1) - Quarterly IDCW Option</t>
        </is>
      </c>
      <c r="C3432" t="inlineStr">
        <is>
          <t xml:space="preserve">INF179KB10U9</t>
        </is>
      </c>
    </row>
    <row r="3433">
      <c r="A3433" t="inlineStr">
        <is>
          <t xml:space="preserve">HDFC Mutual Fund</t>
        </is>
      </c>
      <c r="B3433" t="inlineStr">
        <is>
          <t xml:space="preserve">HDFC FMP 1274D October 2018 (1) - Quarterly IDCW Option - Direct Plan</t>
        </is>
      </c>
      <c r="C3433" t="inlineStr">
        <is>
          <t xml:space="preserve">INF179KB17T6</t>
        </is>
      </c>
    </row>
    <row r="3434">
      <c r="A3434" t="inlineStr">
        <is>
          <t xml:space="preserve">HDFC Mutual Fund</t>
        </is>
      </c>
      <c r="B3434" t="inlineStr">
        <is>
          <t xml:space="preserve">HDFC FMP 1280D October 2018 (1) - Growth Option</t>
        </is>
      </c>
      <c r="C3434" t="inlineStr">
        <is>
          <t xml:space="preserve">INF179KB16S0</t>
        </is>
      </c>
    </row>
    <row r="3435">
      <c r="A3435" t="inlineStr">
        <is>
          <t xml:space="preserve">HDFC Mutual Fund</t>
        </is>
      </c>
      <c r="B3435" t="inlineStr">
        <is>
          <t xml:space="preserve">HDFC FMP 1280D October 2018 (1) - Growth Option - Direct Plan</t>
        </is>
      </c>
      <c r="C3435" t="inlineStr">
        <is>
          <t xml:space="preserve">INF179KB13S7</t>
        </is>
      </c>
    </row>
    <row r="3436">
      <c r="A3436" t="inlineStr">
        <is>
          <t xml:space="preserve">HDFC Mutual Fund</t>
        </is>
      </c>
      <c r="B3436" t="inlineStr">
        <is>
          <t xml:space="preserve">HDFC FMP 1280D October 2018 (1) - Quarterly IDCW Option</t>
        </is>
      </c>
      <c r="C3436" t="inlineStr">
        <is>
          <t xml:space="preserve">INF179KB18S6</t>
        </is>
      </c>
    </row>
    <row r="3437">
      <c r="A3437" t="inlineStr">
        <is>
          <t xml:space="preserve">HDFC Mutual Fund</t>
        </is>
      </c>
      <c r="B3437" t="inlineStr">
        <is>
          <t xml:space="preserve">HDFC FMP 1344D October 2018 (1) - Growth Option</t>
        </is>
      </c>
      <c r="C3437" t="inlineStr">
        <is>
          <t xml:space="preserve">INF179KB12T7</t>
        </is>
      </c>
    </row>
    <row r="3438">
      <c r="A3438" t="inlineStr">
        <is>
          <t xml:space="preserve">HDFC Mutual Fund</t>
        </is>
      </c>
      <c r="B3438" t="inlineStr">
        <is>
          <t xml:space="preserve">HDFC FMP 1344D October 2018 (1) - Growth Option - Direct Plan</t>
        </is>
      </c>
      <c r="C3438" t="inlineStr">
        <is>
          <t xml:space="preserve">INF179KB19S4</t>
        </is>
      </c>
    </row>
    <row r="3439">
      <c r="A3439" t="inlineStr">
        <is>
          <t xml:space="preserve">HDFC Mutual Fund</t>
        </is>
      </c>
      <c r="B3439" t="inlineStr">
        <is>
          <t xml:space="preserve">HDFC FMP 1344D October 2018 (1) - IDCW Option</t>
        </is>
      </c>
      <c r="C3439" t="inlineStr">
        <is>
          <t xml:space="preserve">INF179KB13T5</t>
        </is>
      </c>
    </row>
    <row r="3440">
      <c r="A3440" t="inlineStr">
        <is>
          <t xml:space="preserve">HDFC Mutual Fund</t>
        </is>
      </c>
      <c r="B3440" t="inlineStr">
        <is>
          <t xml:space="preserve">HDFC FMP 1344D October 2018 (1) - IDCW Option - Direct Plan</t>
        </is>
      </c>
      <c r="C3440" t="inlineStr">
        <is>
          <t xml:space="preserve">INF179KB10T1</t>
        </is>
      </c>
    </row>
    <row r="3441">
      <c r="A3441" t="inlineStr">
        <is>
          <t xml:space="preserve">HDFC Mutual Fund</t>
        </is>
      </c>
      <c r="B3441" t="inlineStr">
        <is>
          <t xml:space="preserve">HDFC FMP 1344D October 2018 (1) - Quarterly IDCW Option</t>
        </is>
      </c>
      <c r="C3441" t="inlineStr">
        <is>
          <t xml:space="preserve">INF179KB14T3</t>
        </is>
      </c>
    </row>
    <row r="3442">
      <c r="A3442" t="inlineStr">
        <is>
          <t xml:space="preserve">HDFC Mutual Fund</t>
        </is>
      </c>
      <c r="B3442" t="inlineStr">
        <is>
          <t xml:space="preserve">HDFC FMP 1344D October 2018 (1) - Quarterly IDCW Option - Direct Plan</t>
        </is>
      </c>
      <c r="C3442" t="inlineStr">
        <is>
          <t xml:space="preserve">INF179KB11T9</t>
        </is>
      </c>
    </row>
    <row r="3443">
      <c r="A3443" t="inlineStr">
        <is>
          <t xml:space="preserve">HDFC Mutual Fund</t>
        </is>
      </c>
      <c r="B3443" t="inlineStr">
        <is>
          <t xml:space="preserve">HDFC FMP 1372D September 2018 (1) - Growth Option</t>
        </is>
      </c>
      <c r="C3443" t="inlineStr">
        <is>
          <t xml:space="preserve">INF179KB10S3</t>
        </is>
      </c>
    </row>
    <row r="3444">
      <c r="A3444" t="inlineStr">
        <is>
          <t xml:space="preserve">HDFC Mutual Fund</t>
        </is>
      </c>
      <c r="B3444" t="inlineStr">
        <is>
          <t xml:space="preserve">HDFC FMP 1372D September 2018 (1) - Growth Option - Direct Plan</t>
        </is>
      </c>
      <c r="C3444" t="inlineStr">
        <is>
          <t xml:space="preserve">INF179KB17R0</t>
        </is>
      </c>
    </row>
    <row r="3445">
      <c r="A3445" t="inlineStr">
        <is>
          <t xml:space="preserve">HDFC Mutual Fund</t>
        </is>
      </c>
      <c r="B3445" t="inlineStr">
        <is>
          <t xml:space="preserve">HDFC FMP 1372D September 2018 (1) - IDCW Option</t>
        </is>
      </c>
      <c r="C3445" t="inlineStr">
        <is>
          <t xml:space="preserve">INF179KB11S1</t>
        </is>
      </c>
    </row>
    <row r="3446">
      <c r="A3446" t="inlineStr">
        <is>
          <t xml:space="preserve">HDFC Mutual Fund</t>
        </is>
      </c>
      <c r="B3446" t="inlineStr">
        <is>
          <t xml:space="preserve">HDFC FMP 1372D September 2018 (1) - IDCW Option - Direct Plan</t>
        </is>
      </c>
      <c r="C3446" t="inlineStr">
        <is>
          <t xml:space="preserve">INF179KB18R8</t>
        </is>
      </c>
    </row>
    <row r="3447">
      <c r="A3447" t="inlineStr">
        <is>
          <t xml:space="preserve">HDFC Mutual Fund</t>
        </is>
      </c>
      <c r="B3447" t="inlineStr">
        <is>
          <t xml:space="preserve">HDFC FMP 1372D September 2018 (1) - Quarterly IDCW Option - Direct Plan</t>
        </is>
      </c>
      <c r="C3447" t="inlineStr">
        <is>
          <t xml:space="preserve">INF179KB19R6</t>
        </is>
      </c>
    </row>
    <row r="3448">
      <c r="A3448" t="inlineStr">
        <is>
          <t xml:space="preserve">HDFC Mutual Fund</t>
        </is>
      </c>
      <c r="B3448" t="inlineStr">
        <is>
          <t xml:space="preserve">HDFC FMP 1381D September 2018 (1) - Growth Option</t>
        </is>
      </c>
      <c r="C3448" t="inlineStr">
        <is>
          <t xml:space="preserve">INF179KB12Q3</t>
        </is>
      </c>
    </row>
    <row r="3449">
      <c r="A3449" t="inlineStr">
        <is>
          <t xml:space="preserve">HDFC Mutual Fund</t>
        </is>
      </c>
      <c r="B3449" t="inlineStr">
        <is>
          <t xml:space="preserve">HDFC FMP 1381D September 2018 (1) - Growth Option - Direct Plan</t>
        </is>
      </c>
      <c r="C3449" t="inlineStr">
        <is>
          <t xml:space="preserve">INF179KB19P0</t>
        </is>
      </c>
    </row>
    <row r="3450">
      <c r="A3450" t="inlineStr">
        <is>
          <t xml:space="preserve">HDFC Mutual Fund</t>
        </is>
      </c>
      <c r="B3450" t="inlineStr">
        <is>
          <t xml:space="preserve">HDFC FMP 1381D September 2018 (1) - IDCW Option</t>
        </is>
      </c>
      <c r="C3450" t="inlineStr">
        <is>
          <t xml:space="preserve">INF179KB13Q1</t>
        </is>
      </c>
    </row>
    <row r="3451">
      <c r="A3451" t="inlineStr">
        <is>
          <t xml:space="preserve">HDFC Mutual Fund</t>
        </is>
      </c>
      <c r="B3451" t="inlineStr">
        <is>
          <t xml:space="preserve">HDFC FMP 1381D September 2018 (1) - IDCW Option - Direct Plan</t>
        </is>
      </c>
      <c r="C3451" t="inlineStr">
        <is>
          <t xml:space="preserve">INF179KB10Q7</t>
        </is>
      </c>
    </row>
    <row r="3452">
      <c r="A3452" t="inlineStr">
        <is>
          <t xml:space="preserve">HDFC Mutual Fund</t>
        </is>
      </c>
      <c r="B3452" t="inlineStr">
        <is>
          <t xml:space="preserve">HDFC FMP 1381D September 2018 (1) - Quarterly IDCW Option</t>
        </is>
      </c>
      <c r="C3452" t="inlineStr">
        <is>
          <t xml:space="preserve">INF179KB14Q9</t>
        </is>
      </c>
    </row>
    <row r="3453">
      <c r="A3453" t="inlineStr">
        <is>
          <t xml:space="preserve">HDFC Mutual Fund</t>
        </is>
      </c>
      <c r="B3453" t="inlineStr">
        <is>
          <t xml:space="preserve">HDFC FMP 1381D September 2018 (1) - Quarterly IDCW Option - Direct Plan</t>
        </is>
      </c>
      <c r="C3453" t="inlineStr">
        <is>
          <t xml:space="preserve">INF179KB11Q5</t>
        </is>
      </c>
    </row>
    <row r="3454">
      <c r="A3454" t="inlineStr">
        <is>
          <t xml:space="preserve">HDFC Mutual Fund</t>
        </is>
      </c>
      <c r="B3454" t="inlineStr">
        <is>
          <t xml:space="preserve">HDFC FMP 1406D August 2022 - Growth Option</t>
        </is>
      </c>
      <c r="C3454" t="inlineStr">
        <is>
          <t xml:space="preserve">INF179KC1DF8</t>
        </is>
      </c>
    </row>
    <row r="3455">
      <c r="A3455" t="inlineStr">
        <is>
          <t xml:space="preserve">HDFC Mutual Fund</t>
        </is>
      </c>
      <c r="B3455" t="inlineStr">
        <is>
          <t xml:space="preserve">HDFC FMP 1406D August 2022 - Growth Option - Direct Plan</t>
        </is>
      </c>
      <c r="C3455" t="inlineStr">
        <is>
          <t xml:space="preserve">INF179KC1DC5</t>
        </is>
      </c>
    </row>
    <row r="3456">
      <c r="A3456" t="inlineStr">
        <is>
          <t xml:space="preserve">HDFC Mutual Fund</t>
        </is>
      </c>
      <c r="B3456" t="inlineStr">
        <is>
          <t xml:space="preserve">HDFC FMP 1406D August 2022 - IDCW Option</t>
        </is>
      </c>
      <c r="C3456" t="inlineStr">
        <is>
          <t xml:space="preserve">INF179KC1DG6</t>
        </is>
      </c>
    </row>
    <row r="3457">
      <c r="A3457" t="inlineStr">
        <is>
          <t xml:space="preserve">HDFC Mutual Fund</t>
        </is>
      </c>
      <c r="B3457" t="inlineStr">
        <is>
          <t xml:space="preserve">HDFC FMP 1406D August 2022 - IDCW Option - Direct Plan</t>
        </is>
      </c>
      <c r="C3457" t="inlineStr">
        <is>
          <t xml:space="preserve">INF179KC1DD3</t>
        </is>
      </c>
    </row>
    <row r="3458">
      <c r="A3458" t="inlineStr">
        <is>
          <t xml:space="preserve">HDFC Mutual Fund</t>
        </is>
      </c>
      <c r="B3458" t="inlineStr">
        <is>
          <t xml:space="preserve">HDFC FMP 1406D August 2022 - Quarterly IDCW Option</t>
        </is>
      </c>
      <c r="C3458" t="inlineStr">
        <is>
          <t xml:space="preserve">INF179KC1DH4</t>
        </is>
      </c>
    </row>
    <row r="3459">
      <c r="A3459" t="inlineStr">
        <is>
          <t xml:space="preserve">HDFC Mutual Fund</t>
        </is>
      </c>
      <c r="B3459" t="inlineStr">
        <is>
          <t xml:space="preserve">HDFC FMP 1406D August 2022 - Quarterly IDCW Option - Direct Plan</t>
        </is>
      </c>
      <c r="C3459" t="inlineStr">
        <is>
          <t xml:space="preserve">INF179KC1DE1</t>
        </is>
      </c>
    </row>
    <row r="3460">
      <c r="A3460" t="inlineStr">
        <is>
          <t xml:space="preserve">HDFC Mutual Fund</t>
        </is>
      </c>
      <c r="B3460" t="inlineStr">
        <is>
          <t xml:space="preserve">HDFC FMP 1434D May 2018 (1) - Growth Option</t>
        </is>
      </c>
      <c r="C3460" t="inlineStr">
        <is>
          <t xml:space="preserve">INF179KB11E1</t>
        </is>
      </c>
    </row>
    <row r="3461">
      <c r="A3461" t="inlineStr">
        <is>
          <t xml:space="preserve">HDFC Mutual Fund</t>
        </is>
      </c>
      <c r="B3461" t="inlineStr">
        <is>
          <t xml:space="preserve">HDFC FMP 1434D May 2018 (1) - Growth Option - Direct Plan</t>
        </is>
      </c>
      <c r="C3461" t="inlineStr">
        <is>
          <t xml:space="preserve">INF179KB18D8</t>
        </is>
      </c>
    </row>
    <row r="3462">
      <c r="A3462" t="inlineStr">
        <is>
          <t xml:space="preserve">HDFC Mutual Fund</t>
        </is>
      </c>
      <c r="B3462" t="inlineStr">
        <is>
          <t xml:space="preserve">HDFC FMP 1434D May 2018 (1) - IDCW Option</t>
        </is>
      </c>
      <c r="C3462" t="inlineStr">
        <is>
          <t xml:space="preserve">INF179KB12E9</t>
        </is>
      </c>
    </row>
    <row r="3463">
      <c r="A3463" t="inlineStr">
        <is>
          <t xml:space="preserve">HDFC Mutual Fund</t>
        </is>
      </c>
      <c r="B3463" t="inlineStr">
        <is>
          <t xml:space="preserve">HDFC FMP 1434D May 2018 (1) - IDCW Option - Direct Plan</t>
        </is>
      </c>
      <c r="C3463" t="inlineStr">
        <is>
          <t xml:space="preserve">INF179KB19D6</t>
        </is>
      </c>
    </row>
    <row r="3464">
      <c r="A3464" t="inlineStr">
        <is>
          <t xml:space="preserve">HDFC Mutual Fund</t>
        </is>
      </c>
      <c r="B3464" t="inlineStr">
        <is>
          <t xml:space="preserve">HDFC FMP 1434D May 2018 (1) - Quarterly IDCW Option</t>
        </is>
      </c>
      <c r="C3464" t="inlineStr">
        <is>
          <t xml:space="preserve">INF179KB13E7</t>
        </is>
      </c>
    </row>
    <row r="3465">
      <c r="A3465" t="inlineStr">
        <is>
          <t xml:space="preserve">HDFC Mutual Fund</t>
        </is>
      </c>
      <c r="B3465" t="inlineStr">
        <is>
          <t xml:space="preserve">HDFC FMP 1434D May 2018 (1) - Quarterly IDCW Option - Direct Plan</t>
        </is>
      </c>
      <c r="C3465" t="inlineStr">
        <is>
          <t xml:space="preserve">INF179KB10E3</t>
        </is>
      </c>
    </row>
    <row r="3466">
      <c r="A3466" t="inlineStr">
        <is>
          <t xml:space="preserve">HDFC Mutual Fund</t>
        </is>
      </c>
      <c r="B3466" t="inlineStr">
        <is>
          <t xml:space="preserve">HDFC FMP 1487D August 2018 (1) - Growth Option</t>
        </is>
      </c>
      <c r="C3466" t="inlineStr">
        <is>
          <t xml:space="preserve">INF179KB12O8</t>
        </is>
      </c>
    </row>
    <row r="3467">
      <c r="A3467" t="inlineStr">
        <is>
          <t xml:space="preserve">HDFC Mutual Fund</t>
        </is>
      </c>
      <c r="B3467" t="inlineStr">
        <is>
          <t xml:space="preserve">HDFC FMP 1487D August 2018 (1) - Growth Option - Direct Plan</t>
        </is>
      </c>
      <c r="C3467" t="inlineStr">
        <is>
          <t xml:space="preserve">INF179KB19N5</t>
        </is>
      </c>
    </row>
    <row r="3468">
      <c r="A3468" t="inlineStr">
        <is>
          <t xml:space="preserve">HDFC Mutual Fund</t>
        </is>
      </c>
      <c r="B3468" t="inlineStr">
        <is>
          <t xml:space="preserve">HDFC FMP 1487D August 2018 (1) - IDCW Option</t>
        </is>
      </c>
      <c r="C3468" t="inlineStr">
        <is>
          <t xml:space="preserve">INF179KB13O6</t>
        </is>
      </c>
    </row>
    <row r="3469">
      <c r="A3469" t="inlineStr">
        <is>
          <t xml:space="preserve">HDFC Mutual Fund</t>
        </is>
      </c>
      <c r="B3469" t="inlineStr">
        <is>
          <t xml:space="preserve">HDFC FMP 1487D August 2018 (1) - IDCW Option - Direct Plan</t>
        </is>
      </c>
      <c r="C3469" t="inlineStr">
        <is>
          <t xml:space="preserve">INF179KB10O2</t>
        </is>
      </c>
    </row>
    <row r="3470">
      <c r="A3470" t="inlineStr">
        <is>
          <t xml:space="preserve">HDFC Mutual Fund</t>
        </is>
      </c>
      <c r="B3470" t="inlineStr">
        <is>
          <t xml:space="preserve">HDFC FMP 1487D August 2018 (1) - Quarterly IDCW Option - Direct Plan</t>
        </is>
      </c>
      <c r="C3470" t="inlineStr">
        <is>
          <t xml:space="preserve">INF179KB11O0</t>
        </is>
      </c>
    </row>
    <row r="3471">
      <c r="A3471" t="inlineStr">
        <is>
          <t xml:space="preserve">HDFC Mutual Fund</t>
        </is>
      </c>
      <c r="B3471" t="inlineStr">
        <is>
          <t xml:space="preserve">HDFC FMP 1846D August 2013 (1) - Growth Option</t>
        </is>
      </c>
      <c r="C3471" t="inlineStr">
        <is>
          <t xml:space="preserve">INF179KB15P8</t>
        </is>
      </c>
    </row>
    <row r="3472">
      <c r="A3472" t="inlineStr">
        <is>
          <t xml:space="preserve">HDFC Mutual Fund</t>
        </is>
      </c>
      <c r="B3472" t="inlineStr">
        <is>
          <t xml:space="preserve">HDFC FMP 1846D August 2013 (1) - Growth Option - Direct Plan</t>
        </is>
      </c>
      <c r="C3472" t="inlineStr">
        <is>
          <t xml:space="preserve">INF179KB11P7</t>
        </is>
      </c>
    </row>
    <row r="3473">
      <c r="A3473" t="inlineStr">
        <is>
          <t xml:space="preserve">HDFC Mutual Fund</t>
        </is>
      </c>
      <c r="B3473" t="inlineStr">
        <is>
          <t xml:space="preserve">HDFC FMP 1846D August 2013 (1) - IDCW Option</t>
        </is>
      </c>
      <c r="C3473" t="inlineStr">
        <is>
          <t xml:space="preserve">INF179KB16P6</t>
        </is>
      </c>
    </row>
    <row r="3474">
      <c r="A3474" t="inlineStr">
        <is>
          <t xml:space="preserve">HDFC Mutual Fund</t>
        </is>
      </c>
      <c r="B3474" t="inlineStr">
        <is>
          <t xml:space="preserve">HDFC FMP 1846D August 2013 (1) - IDCW Option - Direct Plan</t>
        </is>
      </c>
      <c r="C3474" t="inlineStr">
        <is>
          <t xml:space="preserve">INF179KB12P5</t>
        </is>
      </c>
    </row>
    <row r="3475">
      <c r="A3475" t="inlineStr">
        <is>
          <t xml:space="preserve">HDFC Mutual Fund</t>
        </is>
      </c>
      <c r="B3475" t="inlineStr">
        <is>
          <t xml:space="preserve">HDFC FMP 1861D March 2022 - Growth Option</t>
        </is>
      </c>
      <c r="C3475" t="inlineStr">
        <is>
          <t xml:space="preserve">INF179KC1CF0</t>
        </is>
      </c>
    </row>
    <row r="3476">
      <c r="A3476" t="inlineStr">
        <is>
          <t xml:space="preserve">HDFC Mutual Fund</t>
        </is>
      </c>
      <c r="B3476" t="inlineStr">
        <is>
          <t xml:space="preserve">HDFC FMP 1861D March 2022 - Growth Option - Direct Plan</t>
        </is>
      </c>
      <c r="C3476" t="inlineStr">
        <is>
          <t xml:space="preserve">INF179KC1CC7</t>
        </is>
      </c>
    </row>
    <row r="3477">
      <c r="A3477" t="inlineStr">
        <is>
          <t xml:space="preserve">HDFC Mutual Fund</t>
        </is>
      </c>
      <c r="B3477" t="inlineStr">
        <is>
          <t xml:space="preserve">HDFC FMP 1861D March 2022 - IDCW Option</t>
        </is>
      </c>
      <c r="C3477" t="inlineStr">
        <is>
          <t xml:space="preserve">INF179KC1CG8</t>
        </is>
      </c>
    </row>
    <row r="3478">
      <c r="A3478" t="inlineStr">
        <is>
          <t xml:space="preserve">HDFC Mutual Fund</t>
        </is>
      </c>
      <c r="B3478" t="inlineStr">
        <is>
          <t xml:space="preserve">HDFC FMP 1861D March 2022 - IDCW Option - Direct Plan</t>
        </is>
      </c>
      <c r="C3478" t="inlineStr">
        <is>
          <t xml:space="preserve">INF179KC1CD5</t>
        </is>
      </c>
    </row>
    <row r="3479">
      <c r="A3479" t="inlineStr">
        <is>
          <t xml:space="preserve">HDFC Mutual Fund</t>
        </is>
      </c>
      <c r="B3479" t="inlineStr">
        <is>
          <t xml:space="preserve">HDFC FMP 1861D March 2022 - Quarterly Dividend Option</t>
        </is>
      </c>
      <c r="C3479" t="inlineStr">
        <is>
          <t xml:space="preserve">INF179KC1CH6</t>
        </is>
      </c>
    </row>
    <row r="3480">
      <c r="A3480" t="inlineStr">
        <is>
          <t xml:space="preserve">HDFC Mutual Fund</t>
        </is>
      </c>
      <c r="B3480" t="inlineStr">
        <is>
          <t xml:space="preserve">HDFC FMP 1861D March 2022 - Quarterly Dividend Option - Direct Plan</t>
        </is>
      </c>
      <c r="C3480" t="inlineStr">
        <is>
          <t xml:space="preserve">INF179KC1CE3</t>
        </is>
      </c>
    </row>
    <row r="3481">
      <c r="A3481" t="inlineStr">
        <is>
          <t xml:space="preserve">HDFC Mutual Fund</t>
        </is>
      </c>
      <c r="B3481" t="inlineStr">
        <is>
          <t xml:space="preserve">HDFC FMP 1876D March 2022 - Growth Option</t>
        </is>
      </c>
      <c r="C3481" t="inlineStr">
        <is>
          <t xml:space="preserve">INF179KC1CR5</t>
        </is>
      </c>
    </row>
    <row r="3482">
      <c r="A3482" t="inlineStr">
        <is>
          <t xml:space="preserve">HDFC Mutual Fund</t>
        </is>
      </c>
      <c r="B3482" t="inlineStr">
        <is>
          <t xml:space="preserve">HDFC FMP 1876D March 2022 - Growth Option - Direct Plan</t>
        </is>
      </c>
      <c r="C3482" t="inlineStr">
        <is>
          <t xml:space="preserve">INF179KC1CO2</t>
        </is>
      </c>
    </row>
    <row r="3483">
      <c r="A3483" t="inlineStr">
        <is>
          <t xml:space="preserve">HDFC Mutual Fund</t>
        </is>
      </c>
      <c r="B3483" t="inlineStr">
        <is>
          <t xml:space="preserve">HDFC FMP 1876D March 2022 - IDCW Option</t>
        </is>
      </c>
      <c r="C3483" t="inlineStr">
        <is>
          <t xml:space="preserve">INF179KC1CS3</t>
        </is>
      </c>
    </row>
    <row r="3484">
      <c r="A3484" t="inlineStr">
        <is>
          <t xml:space="preserve">HDFC Mutual Fund</t>
        </is>
      </c>
      <c r="B3484" t="inlineStr">
        <is>
          <t xml:space="preserve">HDFC FMP 1876D March 2022 - IDCW Option - Direct Plan</t>
        </is>
      </c>
      <c r="C3484" t="inlineStr">
        <is>
          <t xml:space="preserve">INF179KC1CP9</t>
        </is>
      </c>
    </row>
    <row r="3485">
      <c r="A3485" t="inlineStr">
        <is>
          <t xml:space="preserve">HDFC Mutual Fund</t>
        </is>
      </c>
      <c r="B3485" t="inlineStr">
        <is>
          <t xml:space="preserve">HDFC FMP 1876D March 2022 - Quarterly Dividend Option</t>
        </is>
      </c>
      <c r="C3485" t="inlineStr">
        <is>
          <t xml:space="preserve">INF179KC1CT1</t>
        </is>
      </c>
    </row>
    <row r="3486">
      <c r="A3486" t="inlineStr">
        <is>
          <t xml:space="preserve">HDFC Mutual Fund</t>
        </is>
      </c>
      <c r="B3486" t="inlineStr">
        <is>
          <t xml:space="preserve">HDFC FMP 1876D March 2022 - Quarterly Dividend Option - Direct Plan</t>
        </is>
      </c>
      <c r="C3486" t="inlineStr">
        <is>
          <t xml:space="preserve">INF179KC1CQ7</t>
        </is>
      </c>
    </row>
    <row r="3487">
      <c r="A3487" t="inlineStr">
        <is>
          <t xml:space="preserve">HDFC Mutual Fund</t>
        </is>
      </c>
      <c r="B3487" t="inlineStr">
        <is>
          <t xml:space="preserve">HDFC FMP 3360D March 2014 (1) - Flexi Option</t>
        </is>
      </c>
      <c r="C3487" t="inlineStr">
        <is>
          <t xml:space="preserve">INF179KA1II3</t>
        </is>
      </c>
    </row>
    <row r="3488">
      <c r="A3488" t="inlineStr">
        <is>
          <t xml:space="preserve">HDFC Mutual Fund</t>
        </is>
      </c>
      <c r="B3488" t="inlineStr">
        <is>
          <t xml:space="preserve">HDFC FMP 3360D March 2014 (1) - Flexi Option - Direct Plan</t>
        </is>
      </c>
      <c r="C3488" t="inlineStr">
        <is>
          <t xml:space="preserve">INF179KA1IE2</t>
        </is>
      </c>
    </row>
    <row r="3489">
      <c r="A3489" t="inlineStr">
        <is>
          <t xml:space="preserve">HDFC Mutual Fund</t>
        </is>
      </c>
      <c r="B3489" t="inlineStr">
        <is>
          <t xml:space="preserve">HDFC FMP 3360D March 2014 (1) - Growth Option</t>
        </is>
      </c>
      <c r="C3489" t="inlineStr">
        <is>
          <t xml:space="preserve">INF179KA1IF9</t>
        </is>
      </c>
    </row>
    <row r="3490">
      <c r="A3490" t="inlineStr">
        <is>
          <t xml:space="preserve">HDFC Mutual Fund</t>
        </is>
      </c>
      <c r="B3490" t="inlineStr">
        <is>
          <t xml:space="preserve">HDFC FMP 3360D March 2014 (1) - Growth Option - Direct Plan</t>
        </is>
      </c>
      <c r="C3490" t="inlineStr">
        <is>
          <t xml:space="preserve">INF179KA1IB8</t>
        </is>
      </c>
    </row>
    <row r="3491">
      <c r="A3491" t="inlineStr">
        <is>
          <t xml:space="preserve">HDFC Mutual Fund</t>
        </is>
      </c>
      <c r="B3491" t="inlineStr">
        <is>
          <t xml:space="preserve">HDFC FMP 3360D March 2014 (1) - IDCW Option</t>
        </is>
      </c>
      <c r="C3491" t="inlineStr">
        <is>
          <t xml:space="preserve">INF179KA1IG7</t>
        </is>
      </c>
    </row>
    <row r="3492">
      <c r="A3492" t="inlineStr">
        <is>
          <t xml:space="preserve">HDFC Mutual Fund</t>
        </is>
      </c>
      <c r="B3492" t="inlineStr">
        <is>
          <t xml:space="preserve">HDFC FMP 3360D March 2014 (1) - IDCW Option - Direct Plan</t>
        </is>
      </c>
      <c r="C3492" t="inlineStr">
        <is>
          <t xml:space="preserve">INF179KA1IC6</t>
        </is>
      </c>
    </row>
    <row r="3493">
      <c r="A3493" t="inlineStr">
        <is>
          <t xml:space="preserve">HDFC Mutual Fund</t>
        </is>
      </c>
      <c r="B3493" t="inlineStr">
        <is>
          <t xml:space="preserve">HDFC FMP 3360D March 2014 (1) - Quarterly IDCW Option</t>
        </is>
      </c>
      <c r="C3493" t="inlineStr">
        <is>
          <t xml:space="preserve">INF179KA1IH5</t>
        </is>
      </c>
    </row>
    <row r="3494">
      <c r="A3494" t="inlineStr">
        <is>
          <t xml:space="preserve">HDFC Mutual Fund</t>
        </is>
      </c>
      <c r="B3494" t="inlineStr">
        <is>
          <t xml:space="preserve">HDFC FMP 3360D March 2014 (1) - Quarterly IDCW Option - Direct Plan</t>
        </is>
      </c>
      <c r="C3494" t="inlineStr">
        <is>
          <t xml:space="preserve">INF179KA1ID4</t>
        </is>
      </c>
    </row>
    <row r="3495">
      <c r="A3495" t="inlineStr">
        <is>
          <t xml:space="preserve">HDFC Mutual Fund</t>
        </is>
      </c>
      <c r="B3495" t="inlineStr">
        <is>
          <t xml:space="preserve">HDFC Focused Fund - Growth Option - Direct Plan</t>
        </is>
      </c>
      <c r="C3495" t="inlineStr">
        <is>
          <t xml:space="preserve">INF179K01VK7</t>
        </is>
      </c>
    </row>
    <row r="3496">
      <c r="A3496" t="inlineStr">
        <is>
          <t xml:space="preserve">HDFC Mutual Fund</t>
        </is>
      </c>
      <c r="B3496" t="inlineStr">
        <is>
          <t xml:space="preserve">HDFC Focused Fund - GROWTH PLAN</t>
        </is>
      </c>
      <c r="C3496" t="inlineStr">
        <is>
          <t xml:space="preserve">INF179K01574</t>
        </is>
      </c>
    </row>
    <row r="3497">
      <c r="A3497" t="inlineStr">
        <is>
          <t xml:space="preserve">HDFC Mutual Fund</t>
        </is>
      </c>
      <c r="B3497" t="inlineStr">
        <is>
          <t xml:space="preserve">HDFC Focused Fund - IDCW Option - Direct Plan</t>
        </is>
      </c>
      <c r="C3497" t="inlineStr">
        <is>
          <t xml:space="preserve">INF179K01VI1</t>
        </is>
      </c>
    </row>
    <row r="3498">
      <c r="A3498" t="inlineStr">
        <is>
          <t xml:space="preserve">HDFC Mutual Fund</t>
        </is>
      </c>
      <c r="B3498" t="inlineStr">
        <is>
          <t xml:space="preserve">HDFC Focused Fund - IDCW PLAN</t>
        </is>
      </c>
      <c r="C3498" t="inlineStr">
        <is>
          <t xml:space="preserve">INF179K01558</t>
        </is>
      </c>
    </row>
    <row r="3499">
      <c r="A3499" t="inlineStr">
        <is>
          <t xml:space="preserve">HDFC Mutual Fund</t>
        </is>
      </c>
      <c r="B3499" t="inlineStr">
        <is>
          <t xml:space="preserve">HDFC Gilt Fund - Growth Option - Direct Plan</t>
        </is>
      </c>
      <c r="C3499" t="inlineStr">
        <is>
          <t xml:space="preserve">INF179K01VS0</t>
        </is>
      </c>
    </row>
    <row r="3500">
      <c r="A3500" t="inlineStr">
        <is>
          <t xml:space="preserve">HDFC Mutual Fund</t>
        </is>
      </c>
      <c r="B3500" t="inlineStr">
        <is>
          <t xml:space="preserve">HDFC Gilt Fund - Growth Plan</t>
        </is>
      </c>
      <c r="C3500" t="inlineStr">
        <is>
          <t xml:space="preserve">INF179K01756</t>
        </is>
      </c>
    </row>
    <row r="3501">
      <c r="A3501" t="inlineStr">
        <is>
          <t xml:space="preserve">HDFC Mutual Fund</t>
        </is>
      </c>
      <c r="B3501" t="inlineStr">
        <is>
          <t xml:space="preserve">HDFC Gilt Fund - IDCW Option - Direct Plan</t>
        </is>
      </c>
      <c r="C3501" t="inlineStr">
        <is>
          <t xml:space="preserve">INF179K01VR2</t>
        </is>
      </c>
    </row>
    <row r="3502">
      <c r="A3502" t="inlineStr">
        <is>
          <t xml:space="preserve">HDFC Mutual Fund</t>
        </is>
      </c>
      <c r="B3502" t="inlineStr">
        <is>
          <t xml:space="preserve">HDFC Gilt Fund - IDCW Plan</t>
        </is>
      </c>
      <c r="C3502" t="inlineStr">
        <is>
          <t xml:space="preserve">INF179K01772</t>
        </is>
      </c>
    </row>
    <row r="3503">
      <c r="A3503" t="inlineStr">
        <is>
          <t xml:space="preserve">HDFC Mutual Fund</t>
        </is>
      </c>
      <c r="B3503" t="inlineStr">
        <is>
          <t xml:space="preserve">HDFC Gold ETF - Growth Option</t>
        </is>
      </c>
      <c r="C3503" t="inlineStr">
        <is>
          <t xml:space="preserve">INF179KC1981</t>
        </is>
      </c>
    </row>
    <row r="3504">
      <c r="A3504" t="inlineStr">
        <is>
          <t xml:space="preserve">HDFC Mutual Fund</t>
        </is>
      </c>
      <c r="B3504" t="inlineStr">
        <is>
          <t xml:space="preserve">HDFC Gold ETF Fund of Fund - Direct Plan</t>
        </is>
      </c>
      <c r="C3504" t="inlineStr">
        <is>
          <t xml:space="preserve">INF179K01VX0</t>
        </is>
      </c>
    </row>
    <row r="3505">
      <c r="A3505" t="inlineStr">
        <is>
          <t xml:space="preserve">HDFC Mutual Fund</t>
        </is>
      </c>
      <c r="B3505" t="inlineStr">
        <is>
          <t xml:space="preserve">HDFC Gold ETF Fund of Fund - Growth Option</t>
        </is>
      </c>
      <c r="C3505" t="inlineStr">
        <is>
          <t xml:space="preserve">INF179K01LC5</t>
        </is>
      </c>
    </row>
    <row r="3506">
      <c r="A3506" t="inlineStr">
        <is>
          <t xml:space="preserve">HDFC Mutual Fund</t>
        </is>
      </c>
      <c r="B3506" t="inlineStr">
        <is>
          <t xml:space="preserve">HDFC Housing Opportunities Fund  - Growth Option</t>
        </is>
      </c>
      <c r="C3506" t="inlineStr">
        <is>
          <t xml:space="preserve">INF179KC1AX7</t>
        </is>
      </c>
    </row>
    <row r="3507">
      <c r="A3507" t="inlineStr">
        <is>
          <t xml:space="preserve">HDFC Mutual Fund</t>
        </is>
      </c>
      <c r="B3507" t="inlineStr">
        <is>
          <t xml:space="preserve">HDFC Housing Opportunities Fund  - Growth Option - Direct Plan</t>
        </is>
      </c>
      <c r="C3507" t="inlineStr">
        <is>
          <t xml:space="preserve">INF179KC1AU3</t>
        </is>
      </c>
    </row>
    <row r="3508">
      <c r="A3508" t="inlineStr">
        <is>
          <t xml:space="preserve">HDFC Mutual Fund</t>
        </is>
      </c>
      <c r="B3508" t="inlineStr">
        <is>
          <t xml:space="preserve">HDFC Housing Opportunities Fund  - IDCW Option</t>
        </is>
      </c>
      <c r="C3508" t="inlineStr">
        <is>
          <t xml:space="preserve">INF179KC1AY5</t>
        </is>
      </c>
    </row>
    <row r="3509">
      <c r="A3509" t="inlineStr">
        <is>
          <t xml:space="preserve">HDFC Mutual Fund</t>
        </is>
      </c>
      <c r="B3509" t="inlineStr">
        <is>
          <t xml:space="preserve">HDFC Housing Opportunities Fund  - IDCW Option - Direct Plan</t>
        </is>
      </c>
      <c r="C3509" t="inlineStr">
        <is>
          <t xml:space="preserve">INF179KC1AV1</t>
        </is>
      </c>
    </row>
    <row r="3510">
      <c r="A3510" t="inlineStr">
        <is>
          <t xml:space="preserve">HDFC Mutual Fund</t>
        </is>
      </c>
      <c r="B3510" t="inlineStr">
        <is>
          <t xml:space="preserve">HDFC Hybrid Debt Fund - Growth Option - Direct Plan</t>
        </is>
      </c>
      <c r="C3510" t="inlineStr">
        <is>
          <t xml:space="preserve">INF179K01XE6</t>
        </is>
      </c>
    </row>
    <row r="3511">
      <c r="A3511" t="inlineStr">
        <is>
          <t xml:space="preserve">HDFC Mutual Fund</t>
        </is>
      </c>
      <c r="B3511" t="inlineStr">
        <is>
          <t xml:space="preserve">HDFC Hybrid Debt Fund - Growth Plan</t>
        </is>
      </c>
      <c r="C3511" t="inlineStr">
        <is>
          <t xml:space="preserve">INF179K01AE4</t>
        </is>
      </c>
    </row>
    <row r="3512">
      <c r="A3512" t="inlineStr">
        <is>
          <t xml:space="preserve">HDFC Mutual Fund</t>
        </is>
      </c>
      <c r="B3512" t="inlineStr">
        <is>
          <t xml:space="preserve">HDFC Hybrid Debt Fund - IDCW Monthly</t>
        </is>
      </c>
      <c r="C3512" t="inlineStr">
        <is>
          <t xml:space="preserve">INF179K01AA2</t>
        </is>
      </c>
    </row>
    <row r="3513">
      <c r="A3513" t="inlineStr">
        <is>
          <t xml:space="preserve">HDFC Mutual Fund</t>
        </is>
      </c>
      <c r="B3513" t="inlineStr">
        <is>
          <t xml:space="preserve">HDFC Hybrid Debt Fund - IDCW Monthly - Direct Plan</t>
        </is>
      </c>
      <c r="C3513" t="inlineStr">
        <is>
          <t xml:space="preserve">INF179K01XF3</t>
        </is>
      </c>
    </row>
    <row r="3514">
      <c r="A3514" t="inlineStr">
        <is>
          <t xml:space="preserve">HDFC Mutual Fund</t>
        </is>
      </c>
      <c r="B3514" t="inlineStr">
        <is>
          <t xml:space="preserve">HDFC Hybrid Debt Fund - IDCW Quarterly</t>
        </is>
      </c>
      <c r="C3514" t="inlineStr">
        <is>
          <t xml:space="preserve">INF179K01AC8</t>
        </is>
      </c>
    </row>
    <row r="3515">
      <c r="A3515" t="inlineStr">
        <is>
          <t xml:space="preserve">HDFC Mutual Fund</t>
        </is>
      </c>
      <c r="B3515" t="inlineStr">
        <is>
          <t xml:space="preserve">HDFC Hybrid Debt Fund - IDCW Quarterly - Direct Plan</t>
        </is>
      </c>
      <c r="C3515" t="inlineStr">
        <is>
          <t xml:space="preserve">INF179K01XH9</t>
        </is>
      </c>
    </row>
    <row r="3516">
      <c r="A3516" t="inlineStr">
        <is>
          <t xml:space="preserve">HDFC Mutual Fund</t>
        </is>
      </c>
      <c r="B3516" t="inlineStr">
        <is>
          <t xml:space="preserve">HDFC Hybrid Equity Fund - Growth Option - Direct Plan</t>
        </is>
      </c>
      <c r="C3516" t="inlineStr">
        <is>
          <t xml:space="preserve">INF179K01XZ1</t>
        </is>
      </c>
    </row>
    <row r="3517">
      <c r="A3517" t="inlineStr">
        <is>
          <t xml:space="preserve">HDFC Mutual Fund</t>
        </is>
      </c>
      <c r="B3517" t="inlineStr">
        <is>
          <t xml:space="preserve">HDFC Hybrid Equity Fund - Growth Plan</t>
        </is>
      </c>
      <c r="C3517" t="inlineStr">
        <is>
          <t xml:space="preserve">INF179K01AS4</t>
        </is>
      </c>
    </row>
    <row r="3518">
      <c r="A3518" t="inlineStr">
        <is>
          <t xml:space="preserve">HDFC Mutual Fund</t>
        </is>
      </c>
      <c r="B3518" t="inlineStr">
        <is>
          <t xml:space="preserve">HDFC Hybrid Equity Fund - IDCW Option - Direct Plan</t>
        </is>
      </c>
      <c r="C3518" t="inlineStr">
        <is>
          <t xml:space="preserve">INF179K01XX6</t>
        </is>
      </c>
    </row>
    <row r="3519">
      <c r="A3519" t="inlineStr">
        <is>
          <t xml:space="preserve">HDFC Mutual Fund</t>
        </is>
      </c>
      <c r="B3519" t="inlineStr">
        <is>
          <t xml:space="preserve">HDFC Hybrid Equity Fund - IDCW Plan</t>
        </is>
      </c>
      <c r="C3519" t="inlineStr">
        <is>
          <t xml:space="preserve">INF179K01AQ8</t>
        </is>
      </c>
    </row>
    <row r="3520">
      <c r="A3520" t="inlineStr">
        <is>
          <t xml:space="preserve">HDFC Mutual Fund</t>
        </is>
      </c>
      <c r="B3520" t="inlineStr">
        <is>
          <t xml:space="preserve">HDFC Income Fund - Growth Option</t>
        </is>
      </c>
      <c r="C3520" t="inlineStr">
        <is>
          <t xml:space="preserve">INF179K01962</t>
        </is>
      </c>
    </row>
    <row r="3521">
      <c r="A3521" t="inlineStr">
        <is>
          <t xml:space="preserve">HDFC Mutual Fund</t>
        </is>
      </c>
      <c r="B3521" t="inlineStr">
        <is>
          <t xml:space="preserve">HDFC Income Fund - Growth Option - Direct Plan</t>
        </is>
      </c>
      <c r="C3521" t="inlineStr">
        <is>
          <t xml:space="preserve">INF179K01WL3</t>
        </is>
      </c>
    </row>
    <row r="3522">
      <c r="A3522" t="inlineStr">
        <is>
          <t xml:space="preserve">HDFC Mutual Fund</t>
        </is>
      </c>
      <c r="B3522" t="inlineStr">
        <is>
          <t xml:space="preserve">HDFC Income Fund - Normal IDCW - Direct Plan</t>
        </is>
      </c>
      <c r="C3522" t="inlineStr">
        <is>
          <t xml:space="preserve">INF179KA1Q12</t>
        </is>
      </c>
    </row>
    <row r="3523">
      <c r="A3523" t="inlineStr">
        <is>
          <t xml:space="preserve">HDFC Mutual Fund</t>
        </is>
      </c>
      <c r="B3523" t="inlineStr">
        <is>
          <t xml:space="preserve">HDFC Income Fund - Normal IDCW Option</t>
        </is>
      </c>
      <c r="C3523" t="inlineStr">
        <is>
          <t xml:space="preserve">INF179KA1Q38</t>
        </is>
      </c>
    </row>
    <row r="3524">
      <c r="A3524" t="inlineStr">
        <is>
          <t xml:space="preserve">HDFC Mutual Fund</t>
        </is>
      </c>
      <c r="B3524" t="inlineStr">
        <is>
          <t xml:space="preserve">HDFC Income Fund - Quarterly IDCW Option</t>
        </is>
      </c>
      <c r="C3524" t="inlineStr">
        <is>
          <t xml:space="preserve">INF179K01947</t>
        </is>
      </c>
    </row>
    <row r="3525">
      <c r="A3525" t="inlineStr">
        <is>
          <t xml:space="preserve">HDFC Mutual Fund</t>
        </is>
      </c>
      <c r="B3525" t="inlineStr">
        <is>
          <t xml:space="preserve">HDFC Income Fund - Quarterly IDCW- Direct Plan</t>
        </is>
      </c>
      <c r="C3525" t="inlineStr">
        <is>
          <t xml:space="preserve">INF179K01WJ7</t>
        </is>
      </c>
    </row>
    <row r="3526">
      <c r="A3526" t="inlineStr">
        <is>
          <t xml:space="preserve">HDFC Mutual Fund</t>
        </is>
      </c>
      <c r="B3526" t="inlineStr">
        <is>
          <t xml:space="preserve">HDFC Income Plus Arbitrage Active FOF - Growth Option</t>
        </is>
      </c>
      <c r="C3526" t="inlineStr">
        <is>
          <t xml:space="preserve">INF179KA1SF8</t>
        </is>
      </c>
    </row>
    <row r="3527">
      <c r="A3527" t="inlineStr">
        <is>
          <t xml:space="preserve">HDFC Mutual Fund</t>
        </is>
      </c>
      <c r="B3527" t="inlineStr">
        <is>
          <t xml:space="preserve">HDFC Income Plus Arbitrage Active FOF - Growth Option - Direct Plan</t>
        </is>
      </c>
      <c r="C3527" t="inlineStr">
        <is>
          <t xml:space="preserve">INF179KA1SC5</t>
        </is>
      </c>
    </row>
    <row r="3528">
      <c r="A3528" t="inlineStr">
        <is>
          <t xml:space="preserve">HDFC Mutual Fund</t>
        </is>
      </c>
      <c r="B3528" t="inlineStr">
        <is>
          <t xml:space="preserve">HDFC Income Plus Arbitrage Active FOF - IDCW Option</t>
        </is>
      </c>
      <c r="C3528" t="inlineStr">
        <is>
          <t xml:space="preserve">INF179KA1SG6</t>
        </is>
      </c>
    </row>
    <row r="3529">
      <c r="A3529" t="inlineStr">
        <is>
          <t xml:space="preserve">HDFC Mutual Fund</t>
        </is>
      </c>
      <c r="B3529" t="inlineStr">
        <is>
          <t xml:space="preserve">HDFC Income Plus Arbitrage Active FOF - IDCW Option - Direct Plan</t>
        </is>
      </c>
      <c r="C3529" t="inlineStr">
        <is>
          <t xml:space="preserve">INF179KA1SD3</t>
        </is>
      </c>
    </row>
    <row r="3530">
      <c r="A3530" t="inlineStr">
        <is>
          <t xml:space="preserve">HDFC Mutual Fund</t>
        </is>
      </c>
      <c r="B3530" t="inlineStr">
        <is>
          <t xml:space="preserve">HDFC INCOME PLUS ARBITRAGE OMNI FOF - GROWTH OPTION - DIRECT PLAN</t>
        </is>
      </c>
      <c r="C3530" t="inlineStr">
        <is>
          <t xml:space="preserve">INF179KC1KE6</t>
        </is>
      </c>
    </row>
    <row r="3531">
      <c r="A3531" t="inlineStr">
        <is>
          <t xml:space="preserve">HDFC Mutual Fund</t>
        </is>
      </c>
      <c r="B3531" t="inlineStr">
        <is>
          <t xml:space="preserve">HDFC INCOME PLUS ARBITRAGE OMNI FOF - GROWTH OPTION -REGULAR PLAN</t>
        </is>
      </c>
      <c r="C3531" t="inlineStr">
        <is>
          <t xml:space="preserve">INF179KC1KB2</t>
        </is>
      </c>
    </row>
    <row r="3532">
      <c r="A3532" t="inlineStr">
        <is>
          <t xml:space="preserve">HDFC Mutual Fund</t>
        </is>
      </c>
      <c r="B3532" t="inlineStr">
        <is>
          <t xml:space="preserve">HDFC INCOME PLUS ARBITRAGE OMNI FOF - IDCW OPTION - DIRECT PLAN</t>
        </is>
      </c>
      <c r="C3532" t="inlineStr">
        <is>
          <t xml:space="preserve">INF179KC1KF3</t>
        </is>
      </c>
    </row>
    <row r="3533">
      <c r="A3533" t="inlineStr">
        <is>
          <t xml:space="preserve">HDFC Mutual Fund</t>
        </is>
      </c>
      <c r="B3533" t="inlineStr">
        <is>
          <t xml:space="preserve">HDFC INCOME PLUS ARBITRAGE OMNI FOF - IDCW OPTION - REGULAR PLAN</t>
        </is>
      </c>
      <c r="C3533" t="inlineStr">
        <is>
          <t xml:space="preserve">INF179KC1KC0</t>
        </is>
      </c>
    </row>
    <row r="3534">
      <c r="A3534" t="inlineStr">
        <is>
          <t xml:space="preserve">HDFC Mutual Fund</t>
        </is>
      </c>
      <c r="B3534" t="inlineStr">
        <is>
          <t xml:space="preserve">HDFC Infrastructure Fund - Growth Option - Direct Plan</t>
        </is>
      </c>
      <c r="C3534" t="inlineStr">
        <is>
          <t xml:space="preserve">INF179K01WQ2</t>
        </is>
      </c>
    </row>
    <row r="3535">
      <c r="A3535" t="inlineStr">
        <is>
          <t xml:space="preserve">HDFC Mutual Fund</t>
        </is>
      </c>
      <c r="B3535" t="inlineStr">
        <is>
          <t xml:space="preserve">HDFC Infrastructure Fund - Growth Plan</t>
        </is>
      </c>
      <c r="C3535" t="inlineStr">
        <is>
          <t xml:space="preserve">INF179K01GF8</t>
        </is>
      </c>
    </row>
    <row r="3536">
      <c r="A3536" t="inlineStr">
        <is>
          <t xml:space="preserve">HDFC Mutual Fund</t>
        </is>
      </c>
      <c r="B3536" t="inlineStr">
        <is>
          <t xml:space="preserve">HDFC Infrastructure Fund - IDCW Option - Direct Plan</t>
        </is>
      </c>
      <c r="C3536" t="inlineStr">
        <is>
          <t xml:space="preserve">INF179K01WP4</t>
        </is>
      </c>
    </row>
    <row r="3537">
      <c r="A3537" t="inlineStr">
        <is>
          <t xml:space="preserve">HDFC Mutual Fund</t>
        </is>
      </c>
      <c r="B3537" t="inlineStr">
        <is>
          <t xml:space="preserve">HDFC Infrastructure Fund - IDCW Plan</t>
        </is>
      </c>
      <c r="C3537" t="inlineStr">
        <is>
          <t xml:space="preserve">INF179K01GE1</t>
        </is>
      </c>
    </row>
    <row r="3538">
      <c r="A3538" t="inlineStr">
        <is>
          <t xml:space="preserve">HDFC Mutual Fund</t>
        </is>
      </c>
      <c r="B3538" t="inlineStr">
        <is>
          <t xml:space="preserve">HDFC INNOVATION FUND - DIRECT PLAN - GROWTH OPTION</t>
        </is>
      </c>
      <c r="C3538" t="inlineStr">
        <is>
          <t xml:space="preserve">INF179KC1JO7</t>
        </is>
      </c>
    </row>
    <row r="3539">
      <c r="A3539" t="inlineStr">
        <is>
          <t xml:space="preserve">HDFC Mutual Fund</t>
        </is>
      </c>
      <c r="B3539" t="inlineStr">
        <is>
          <t xml:space="preserve">HDFC INNOVATION FUND - IDCW - DIRECT PLAN</t>
        </is>
      </c>
      <c r="C3539" t="inlineStr">
        <is>
          <t xml:space="preserve">INF179KC1JP4</t>
        </is>
      </c>
    </row>
    <row r="3540">
      <c r="A3540" t="inlineStr">
        <is>
          <t xml:space="preserve">HDFC Mutual Fund</t>
        </is>
      </c>
      <c r="B3540" t="inlineStr">
        <is>
          <t xml:space="preserve">HDFC INNOVATION FUND - IDCW - REGULAR PLAN</t>
        </is>
      </c>
      <c r="C3540" t="inlineStr">
        <is>
          <t xml:space="preserve">INF179KC1JM1</t>
        </is>
      </c>
    </row>
    <row r="3541">
      <c r="A3541" t="inlineStr">
        <is>
          <t xml:space="preserve">HDFC Mutual Fund</t>
        </is>
      </c>
      <c r="B3541" t="inlineStr">
        <is>
          <t xml:space="preserve">HDFC INNOVATION FUND - REGULAR PLAN - GROWTH OPTION</t>
        </is>
      </c>
      <c r="C3541" t="inlineStr">
        <is>
          <t xml:space="preserve">INF179KC1JL3</t>
        </is>
      </c>
    </row>
    <row r="3542">
      <c r="A3542" t="inlineStr">
        <is>
          <t xml:space="preserve">HDFC Mutual Fund</t>
        </is>
      </c>
      <c r="B3542" t="inlineStr">
        <is>
          <t xml:space="preserve">HDFC Large and Mid Cap Fund - Growth Option</t>
        </is>
      </c>
      <c r="C3542" t="inlineStr">
        <is>
          <t xml:space="preserve">INF179KA1RT1</t>
        </is>
      </c>
    </row>
    <row r="3543">
      <c r="A3543" t="inlineStr">
        <is>
          <t xml:space="preserve">HDFC Mutual Fund</t>
        </is>
      </c>
      <c r="B3543" t="inlineStr">
        <is>
          <t xml:space="preserve">HDFC Large and Mid Cap Fund - Growth Option - Direct Plan</t>
        </is>
      </c>
      <c r="C3543" t="inlineStr">
        <is>
          <t xml:space="preserve">INF179KA1RQ7</t>
        </is>
      </c>
    </row>
    <row r="3544">
      <c r="A3544" t="inlineStr">
        <is>
          <t xml:space="preserve">HDFC Mutual Fund</t>
        </is>
      </c>
      <c r="B3544" t="inlineStr">
        <is>
          <t xml:space="preserve">HDFC Large and Mid Cap Fund - IDCW Option</t>
        </is>
      </c>
      <c r="C3544" t="inlineStr">
        <is>
          <t xml:space="preserve">INF179KA1RU9</t>
        </is>
      </c>
    </row>
    <row r="3545">
      <c r="A3545" t="inlineStr">
        <is>
          <t xml:space="preserve">HDFC Mutual Fund</t>
        </is>
      </c>
      <c r="B3545" t="inlineStr">
        <is>
          <t xml:space="preserve">HDFC Large and Mid Cap Fund - IDCW Option - Direct Plan</t>
        </is>
      </c>
      <c r="C3545" t="inlineStr">
        <is>
          <t xml:space="preserve">INF179KA1RR5</t>
        </is>
      </c>
    </row>
    <row r="3546">
      <c r="A3546" t="inlineStr">
        <is>
          <t xml:space="preserve">HDFC Mutual Fund</t>
        </is>
      </c>
      <c r="B3546" t="inlineStr">
        <is>
          <t xml:space="preserve">HDFC Large Cap Fund - Growth Option - Direct Plan</t>
        </is>
      </c>
      <c r="C3546" t="inlineStr">
        <is>
          <t xml:space="preserve">INF179K01YV8</t>
        </is>
      </c>
    </row>
    <row r="3547">
      <c r="A3547" t="inlineStr">
        <is>
          <t xml:space="preserve">HDFC Mutual Fund</t>
        </is>
      </c>
      <c r="B3547" t="inlineStr">
        <is>
          <t xml:space="preserve">HDFC Large Cap Fund - Growth Option - Regular Plan</t>
        </is>
      </c>
      <c r="C3547" t="inlineStr">
        <is>
          <t xml:space="preserve">INF179K01BE2</t>
        </is>
      </c>
    </row>
    <row r="3548">
      <c r="A3548" t="inlineStr">
        <is>
          <t xml:space="preserve">HDFC Mutual Fund</t>
        </is>
      </c>
      <c r="B3548" t="inlineStr">
        <is>
          <t xml:space="preserve">HDFC Large Cap Fund - IDCW Option - Direct Plan</t>
        </is>
      </c>
      <c r="C3548" t="inlineStr">
        <is>
          <t xml:space="preserve">INF179K01YT2</t>
        </is>
      </c>
    </row>
    <row r="3549">
      <c r="A3549" t="inlineStr">
        <is>
          <t xml:space="preserve">HDFC Mutual Fund</t>
        </is>
      </c>
      <c r="B3549" t="inlineStr">
        <is>
          <t xml:space="preserve">HDFC Large Cap Fund - IDCW Option - Regular Plan</t>
        </is>
      </c>
      <c r="C3549" t="inlineStr">
        <is>
          <t xml:space="preserve">INF179K01BC6</t>
        </is>
      </c>
    </row>
    <row r="3550">
      <c r="A3550" t="inlineStr">
        <is>
          <t xml:space="preserve">HDFC Mutual Fund</t>
        </is>
      </c>
      <c r="B3550" t="inlineStr">
        <is>
          <t xml:space="preserve">HDFC Liquid Fund - Growth Option - Direct Plan</t>
        </is>
      </c>
      <c r="C3550" t="inlineStr">
        <is>
          <t xml:space="preserve">INF179KB1HP9</t>
        </is>
      </c>
    </row>
    <row r="3551">
      <c r="A3551" t="inlineStr">
        <is>
          <t xml:space="preserve">HDFC Mutual Fund</t>
        </is>
      </c>
      <c r="B3551" t="inlineStr">
        <is>
          <t xml:space="preserve">HDFC Liquid Fund - Growth Plan</t>
        </is>
      </c>
      <c r="C3551" t="inlineStr">
        <is>
          <t xml:space="preserve">INF179KB1HK0</t>
        </is>
      </c>
    </row>
    <row r="3552">
      <c r="A3552" t="inlineStr">
        <is>
          <t xml:space="preserve">HDFC Mutual Fund</t>
        </is>
      </c>
      <c r="B3552" t="inlineStr">
        <is>
          <t xml:space="preserve">HDFC Liquid Fund - IDCW Daily</t>
        </is>
      </c>
      <c r="C3552" t="inlineStr">
        <is>
          <t xml:space="preserve">INF179KB1IC5</t>
        </is>
      </c>
    </row>
    <row r="3553">
      <c r="A3553" t="inlineStr">
        <is>
          <t xml:space="preserve">HDFC Mutual Fund</t>
        </is>
      </c>
      <c r="B3553" t="inlineStr">
        <is>
          <t xml:space="preserve">HDFC Liquid Fund - IDCW Daily - Direct Plan</t>
        </is>
      </c>
      <c r="C3553" t="inlineStr">
        <is>
          <t xml:space="preserve">INF179KB1HV7</t>
        </is>
      </c>
    </row>
    <row r="3554">
      <c r="A3554" t="inlineStr">
        <is>
          <t xml:space="preserve">HDFC Mutual Fund</t>
        </is>
      </c>
      <c r="B3554" t="inlineStr">
        <is>
          <t xml:space="preserve">HDFC Liquid Fund - IDCW Monthly</t>
        </is>
      </c>
      <c r="C3554" t="inlineStr">
        <is>
          <t xml:space="preserve">INF179KB1HM6</t>
        </is>
      </c>
    </row>
    <row r="3555">
      <c r="A3555" t="inlineStr">
        <is>
          <t xml:space="preserve">HDFC Mutual Fund</t>
        </is>
      </c>
      <c r="B3555" t="inlineStr">
        <is>
          <t xml:space="preserve">HDFC Liquid Fund - IDCW Monthly - Direct Plan</t>
        </is>
      </c>
      <c r="C3555" t="inlineStr">
        <is>
          <t xml:space="preserve">INF179KB1HO2</t>
        </is>
      </c>
    </row>
    <row r="3556">
      <c r="A3556" t="inlineStr">
        <is>
          <t xml:space="preserve">HDFC Mutual Fund</t>
        </is>
      </c>
      <c r="B3556" t="inlineStr">
        <is>
          <t xml:space="preserve">HDFC Liquid Fund - IDCW Plan Weekly</t>
        </is>
      </c>
      <c r="C3556" t="inlineStr">
        <is>
          <t xml:space="preserve">INF179KB1ID3</t>
        </is>
      </c>
    </row>
    <row r="3557">
      <c r="A3557" t="inlineStr">
        <is>
          <t xml:space="preserve">HDFC Mutual Fund</t>
        </is>
      </c>
      <c r="B3557" t="inlineStr">
        <is>
          <t xml:space="preserve">HDFC Liquid Fund-Premium Plan - Dividend-Weekly</t>
        </is>
      </c>
      <c r="C3557" t="inlineStr">
        <is>
          <t xml:space="preserve">INF179K01KP9</t>
        </is>
      </c>
    </row>
    <row r="3558">
      <c r="A3558" t="inlineStr">
        <is>
          <t xml:space="preserve">HDFC Mutual Fund</t>
        </is>
      </c>
      <c r="B3558" t="inlineStr">
        <is>
          <t xml:space="preserve">HDFC Liquid Fund-Premium Plus Plan - Dividend-Weekly</t>
        </is>
      </c>
      <c r="C3558" t="inlineStr">
        <is>
          <t xml:space="preserve">INF179K01KS3</t>
        </is>
      </c>
    </row>
    <row r="3559">
      <c r="A3559" t="inlineStr">
        <is>
          <t xml:space="preserve">HDFC Mutual Fund</t>
        </is>
      </c>
      <c r="B3559" t="inlineStr">
        <is>
          <t xml:space="preserve">HDFC Liquid Fund-PREMIUM PLUS- Growth</t>
        </is>
      </c>
      <c r="C3559" t="inlineStr">
        <is>
          <t xml:space="preserve">INF179K01KQ7</t>
        </is>
      </c>
    </row>
    <row r="3560">
      <c r="A3560" t="inlineStr">
        <is>
          <t xml:space="preserve">HDFC Mutual Fund</t>
        </is>
      </c>
      <c r="B3560" t="inlineStr">
        <is>
          <t xml:space="preserve">HDFC Long Duration Debt Fund - Growth Option</t>
        </is>
      </c>
      <c r="C3560" t="inlineStr">
        <is>
          <t xml:space="preserve">INF179KC1EW1</t>
        </is>
      </c>
    </row>
    <row r="3561">
      <c r="A3561" t="inlineStr">
        <is>
          <t xml:space="preserve">HDFC Mutual Fund</t>
        </is>
      </c>
      <c r="B3561" t="inlineStr">
        <is>
          <t xml:space="preserve">HDFC Long Duration Debt Fund - Growth Option - Direct Plan</t>
        </is>
      </c>
      <c r="C3561" t="inlineStr">
        <is>
          <t xml:space="preserve">INF179KC1ET7</t>
        </is>
      </c>
    </row>
    <row r="3562">
      <c r="A3562" t="inlineStr">
        <is>
          <t xml:space="preserve">HDFC Mutual Fund</t>
        </is>
      </c>
      <c r="B3562" t="inlineStr">
        <is>
          <t xml:space="preserve">HDFC Long Duration Debt Fund - IDCW Option</t>
        </is>
      </c>
      <c r="C3562" t="inlineStr">
        <is>
          <t xml:space="preserve">INF179KC1EX9</t>
        </is>
      </c>
    </row>
    <row r="3563">
      <c r="A3563" t="inlineStr">
        <is>
          <t xml:space="preserve">HDFC Mutual Fund</t>
        </is>
      </c>
      <c r="B3563" t="inlineStr">
        <is>
          <t xml:space="preserve">HDFC Long Duration Debt Fund - IDCW Option - Direct Plan</t>
        </is>
      </c>
      <c r="C3563" t="inlineStr">
        <is>
          <t xml:space="preserve">INF179KC1EU5</t>
        </is>
      </c>
    </row>
    <row r="3564">
      <c r="A3564" t="inlineStr">
        <is>
          <t xml:space="preserve">HDFC Mutual Fund</t>
        </is>
      </c>
      <c r="B3564" t="inlineStr">
        <is>
          <t xml:space="preserve">HDFC Long Term Advantage Plan - Growth Option - Direct Plan</t>
        </is>
      </c>
      <c r="C3564" t="inlineStr">
        <is>
          <t xml:space="preserve">INF179K01WX8</t>
        </is>
      </c>
    </row>
    <row r="3565">
      <c r="A3565" t="inlineStr">
        <is>
          <t xml:space="preserve">HDFC Mutual Fund</t>
        </is>
      </c>
      <c r="B3565" t="inlineStr">
        <is>
          <t xml:space="preserve">HDFC Long Term Advantage Plan - Growth Plan</t>
        </is>
      </c>
      <c r="C3565" t="inlineStr">
        <is>
          <t xml:space="preserve">INF179K01996</t>
        </is>
      </c>
    </row>
    <row r="3566">
      <c r="A3566" t="inlineStr">
        <is>
          <t xml:space="preserve">HDFC Mutual Fund</t>
        </is>
      </c>
      <c r="B3566" t="inlineStr">
        <is>
          <t xml:space="preserve">HDFC Long Term Advantage Plan - IDCW Option - Direct Plan</t>
        </is>
      </c>
      <c r="C3566" t="inlineStr">
        <is>
          <t xml:space="preserve">INF179K01WV2</t>
        </is>
      </c>
    </row>
    <row r="3567">
      <c r="A3567" t="inlineStr">
        <is>
          <t xml:space="preserve">HDFC Mutual Fund</t>
        </is>
      </c>
      <c r="B3567" t="inlineStr">
        <is>
          <t xml:space="preserve">HDFC Long Term Advantage Plan - IDCW Plan</t>
        </is>
      </c>
      <c r="C3567" t="inlineStr">
        <is>
          <t xml:space="preserve">INF179K01970</t>
        </is>
      </c>
    </row>
    <row r="3568">
      <c r="A3568" t="inlineStr">
        <is>
          <t xml:space="preserve">HDFC Mutual Fund</t>
        </is>
      </c>
      <c r="B3568" t="inlineStr">
        <is>
          <t xml:space="preserve">HDFC Low Duration  Fund - Daily IDCW</t>
        </is>
      </c>
      <c r="C3568" t="inlineStr">
        <is>
          <t xml:space="preserve">INF179K01434</t>
        </is>
      </c>
    </row>
    <row r="3569">
      <c r="A3569" t="inlineStr">
        <is>
          <t xml:space="preserve">HDFC Mutual Fund</t>
        </is>
      </c>
      <c r="B3569" t="inlineStr">
        <is>
          <t xml:space="preserve">HDFC Low Duration  Fund - Direct Plan - Daily IDCW</t>
        </is>
      </c>
      <c r="C3569" t="inlineStr">
        <is>
          <t xml:space="preserve">INF179KC1IR2</t>
        </is>
      </c>
    </row>
    <row r="3570">
      <c r="A3570" t="inlineStr">
        <is>
          <t xml:space="preserve">HDFC Mutual Fund</t>
        </is>
      </c>
      <c r="B3570" t="inlineStr">
        <is>
          <t xml:space="preserve">HDFC Low Duration  Fund - Direct Plan - Growth</t>
        </is>
      </c>
      <c r="C3570" t="inlineStr">
        <is>
          <t xml:space="preserve">INF179K01VF7</t>
        </is>
      </c>
    </row>
    <row r="3571">
      <c r="A3571" t="inlineStr">
        <is>
          <t xml:space="preserve">HDFC Mutual Fund</t>
        </is>
      </c>
      <c r="B3571" t="inlineStr">
        <is>
          <t xml:space="preserve">HDFC Low Duration  Fund - Direct Plan - Monthly IDCW</t>
        </is>
      </c>
      <c r="C3571" t="inlineStr">
        <is>
          <t xml:space="preserve">INF179K01VG5</t>
        </is>
      </c>
    </row>
    <row r="3572">
      <c r="A3572" t="inlineStr">
        <is>
          <t xml:space="preserve">HDFC Mutual Fund</t>
        </is>
      </c>
      <c r="B3572" t="inlineStr">
        <is>
          <t xml:space="preserve">HDFC Low Duration  Fund - Direct Plan - Weekly IDCW</t>
        </is>
      </c>
      <c r="C3572" t="inlineStr">
        <is>
          <t xml:space="preserve">INF179KC1IS0</t>
        </is>
      </c>
    </row>
    <row r="3573">
      <c r="A3573" t="inlineStr">
        <is>
          <t xml:space="preserve">HDFC Mutual Fund</t>
        </is>
      </c>
      <c r="B3573" t="inlineStr">
        <is>
          <t xml:space="preserve">HDFC Low Duration  Fund - Growth</t>
        </is>
      </c>
      <c r="C3573" t="inlineStr">
        <is>
          <t xml:space="preserve">INF179K01442</t>
        </is>
      </c>
    </row>
    <row r="3574">
      <c r="A3574" t="inlineStr">
        <is>
          <t xml:space="preserve">HDFC Mutual Fund</t>
        </is>
      </c>
      <c r="B3574" t="inlineStr">
        <is>
          <t xml:space="preserve">HDFC Low Duration  Fund - Monthly IDCW</t>
        </is>
      </c>
      <c r="C3574" t="inlineStr">
        <is>
          <t xml:space="preserve">INF179K01459</t>
        </is>
      </c>
    </row>
    <row r="3575">
      <c r="A3575" t="inlineStr">
        <is>
          <t xml:space="preserve">HDFC Mutual Fund</t>
        </is>
      </c>
      <c r="B3575" t="inlineStr">
        <is>
          <t xml:space="preserve">HDFC Low Duration  Fund - Weekly IDCW</t>
        </is>
      </c>
      <c r="C3575" t="inlineStr">
        <is>
          <t xml:space="preserve">INF179K01475</t>
        </is>
      </c>
    </row>
    <row r="3576">
      <c r="A3576" t="inlineStr">
        <is>
          <t xml:space="preserve">HDFC Mutual Fund</t>
        </is>
      </c>
      <c r="B3576" t="inlineStr">
        <is>
          <t xml:space="preserve">HDFC Low Duration Fund- Wholesale Daily Dividend</t>
        </is>
      </c>
      <c r="C3576" t="inlineStr">
        <is>
          <t xml:space="preserve">INF179K01541</t>
        </is>
      </c>
    </row>
    <row r="3577">
      <c r="A3577" t="inlineStr">
        <is>
          <t xml:space="preserve">HDFC Mutual Fund</t>
        </is>
      </c>
      <c r="B3577" t="inlineStr">
        <is>
          <t xml:space="preserve">HDFC Low Duration Fund- Wholesale Monthly Dividend</t>
        </is>
      </c>
      <c r="C3577" t="inlineStr">
        <is>
          <t xml:space="preserve">INF179K01509</t>
        </is>
      </c>
    </row>
    <row r="3578">
      <c r="A3578" t="inlineStr">
        <is>
          <t xml:space="preserve">HDFC Mutual Fund</t>
        </is>
      </c>
      <c r="B3578" t="inlineStr">
        <is>
          <t xml:space="preserve">HDFC Low Duration Fund- Wholesale Weekly Dividend</t>
        </is>
      </c>
      <c r="C3578" t="inlineStr">
        <is>
          <t xml:space="preserve">INF179K01525</t>
        </is>
      </c>
    </row>
    <row r="3579">
      <c r="A3579" t="inlineStr">
        <is>
          <t xml:space="preserve">HDFC Mutual Fund</t>
        </is>
      </c>
      <c r="B3579" t="inlineStr">
        <is>
          <t xml:space="preserve">HDFC Low Duration Fund- Wholesale- Growth</t>
        </is>
      </c>
      <c r="C3579" t="inlineStr">
        <is>
          <t xml:space="preserve">INF179K01491</t>
        </is>
      </c>
    </row>
    <row r="3580">
      <c r="A3580" t="inlineStr">
        <is>
          <t xml:space="preserve">HDFC Mutual Fund</t>
        </is>
      </c>
      <c r="B3580" t="inlineStr">
        <is>
          <t xml:space="preserve">HDFC Manufacturing fund - Growth Option - Direct Plan</t>
        </is>
      </c>
      <c r="C3580" t="inlineStr">
        <is>
          <t xml:space="preserve">INF179KC1II1</t>
        </is>
      </c>
    </row>
    <row r="3581">
      <c r="A3581" t="inlineStr">
        <is>
          <t xml:space="preserve">HDFC Mutual Fund</t>
        </is>
      </c>
      <c r="B3581" t="inlineStr">
        <is>
          <t xml:space="preserve">HDFC Manufacturing fund - Growth Option - Regular Plan</t>
        </is>
      </c>
      <c r="C3581" t="inlineStr">
        <is>
          <t xml:space="preserve">INF179KC1IF7</t>
        </is>
      </c>
    </row>
    <row r="3582">
      <c r="A3582" t="inlineStr">
        <is>
          <t xml:space="preserve">HDFC Mutual Fund</t>
        </is>
      </c>
      <c r="B3582" t="inlineStr">
        <is>
          <t xml:space="preserve">HDFC Manufacturing fund - IDCW - Direct Plan</t>
        </is>
      </c>
      <c r="C3582" t="inlineStr">
        <is>
          <t xml:space="preserve">INF179KC1IJ9</t>
        </is>
      </c>
    </row>
    <row r="3583">
      <c r="A3583" t="inlineStr">
        <is>
          <t xml:space="preserve">HDFC Mutual Fund</t>
        </is>
      </c>
      <c r="B3583" t="inlineStr">
        <is>
          <t xml:space="preserve">HDFC Manufacturing fund - IDCW - Regular Plan</t>
        </is>
      </c>
      <c r="C3583" t="inlineStr">
        <is>
          <t xml:space="preserve">INF179KC1IG5</t>
        </is>
      </c>
    </row>
    <row r="3584">
      <c r="A3584" t="inlineStr">
        <is>
          <t xml:space="preserve">HDFC Mutual Fund</t>
        </is>
      </c>
      <c r="B3584" t="inlineStr">
        <is>
          <t xml:space="preserve">HDFC Medium Term Debt Fund - Fornightly IDCW Option</t>
        </is>
      </c>
      <c r="C3584" t="inlineStr">
        <is>
          <t xml:space="preserve">INF179K01897</t>
        </is>
      </c>
    </row>
    <row r="3585">
      <c r="A3585" t="inlineStr">
        <is>
          <t xml:space="preserve">HDFC Mutual Fund</t>
        </is>
      </c>
      <c r="B3585" t="inlineStr">
        <is>
          <t xml:space="preserve">HDFC Medium Term Debt Fund - Fortnightly IDCW Opt - Direct Plan</t>
        </is>
      </c>
      <c r="C3585" t="inlineStr">
        <is>
          <t xml:space="preserve">INF179KA1NP8</t>
        </is>
      </c>
    </row>
    <row r="3586">
      <c r="A3586" t="inlineStr">
        <is>
          <t xml:space="preserve">HDFC Mutual Fund</t>
        </is>
      </c>
      <c r="B3586" t="inlineStr">
        <is>
          <t xml:space="preserve">HDFC Medium Term Debt Fund - Growth Option</t>
        </is>
      </c>
      <c r="C3586" t="inlineStr">
        <is>
          <t xml:space="preserve">INF179K01913</t>
        </is>
      </c>
    </row>
    <row r="3587">
      <c r="A3587" t="inlineStr">
        <is>
          <t xml:space="preserve">HDFC Mutual Fund</t>
        </is>
      </c>
      <c r="B3587" t="inlineStr">
        <is>
          <t xml:space="preserve">HDFC Medium Term Debt Fund - Growth Option - Direct Plan</t>
        </is>
      </c>
      <c r="C3587" t="inlineStr">
        <is>
          <t xml:space="preserve">INF179K01WI9</t>
        </is>
      </c>
    </row>
    <row r="3588">
      <c r="A3588" t="inlineStr">
        <is>
          <t xml:space="preserve">HDFC Mutual Fund</t>
        </is>
      </c>
      <c r="B3588" t="inlineStr">
        <is>
          <t xml:space="preserve">HDFC Medium Term Debt Fund - IDCW Option</t>
        </is>
      </c>
      <c r="C3588" t="inlineStr">
        <is>
          <t xml:space="preserve">INF179KA1E16</t>
        </is>
      </c>
    </row>
    <row r="3589">
      <c r="A3589" t="inlineStr">
        <is>
          <t xml:space="preserve">HDFC Mutual Fund</t>
        </is>
      </c>
      <c r="B3589" t="inlineStr">
        <is>
          <t xml:space="preserve">HDFC Medium Term Debt Fund - IDCW Option - Direct Plan</t>
        </is>
      </c>
      <c r="C3589" t="inlineStr">
        <is>
          <t xml:space="preserve">INF179KA1D90</t>
        </is>
      </c>
    </row>
    <row r="3590">
      <c r="A3590" t="inlineStr">
        <is>
          <t xml:space="preserve">HDFC Mutual Fund</t>
        </is>
      </c>
      <c r="B3590" t="inlineStr">
        <is>
          <t xml:space="preserve">HDFC Mid Cap Fund - Growth Option - Direct Plan</t>
        </is>
      </c>
      <c r="C3590" t="inlineStr">
        <is>
          <t xml:space="preserve">INF179K01XQ0</t>
        </is>
      </c>
    </row>
    <row r="3591">
      <c r="A3591" t="inlineStr">
        <is>
          <t xml:space="preserve">HDFC Mutual Fund</t>
        </is>
      </c>
      <c r="B3591" t="inlineStr">
        <is>
          <t xml:space="preserve">HDFC Mid Cap Fund - Growth Plan</t>
        </is>
      </c>
      <c r="C3591" t="inlineStr">
        <is>
          <t xml:space="preserve">INF179K01CR2</t>
        </is>
      </c>
    </row>
    <row r="3592">
      <c r="A3592" t="inlineStr">
        <is>
          <t xml:space="preserve">HDFC Mutual Fund</t>
        </is>
      </c>
      <c r="B3592" t="inlineStr">
        <is>
          <t xml:space="preserve">HDFC Mid Cap Fund - IDCW Option - Direct Plan</t>
        </is>
      </c>
      <c r="C3592" t="inlineStr">
        <is>
          <t xml:space="preserve">INF179K01XO5</t>
        </is>
      </c>
    </row>
    <row r="3593">
      <c r="A3593" t="inlineStr">
        <is>
          <t xml:space="preserve">HDFC Mutual Fund</t>
        </is>
      </c>
      <c r="B3593" t="inlineStr">
        <is>
          <t xml:space="preserve">HDFC Mid Cap Fund - IDCW Plan</t>
        </is>
      </c>
      <c r="C3593" t="inlineStr">
        <is>
          <t xml:space="preserve">INF179K01CS0</t>
        </is>
      </c>
    </row>
    <row r="3594">
      <c r="A3594" t="inlineStr">
        <is>
          <t xml:space="preserve">HDFC Mutual Fund</t>
        </is>
      </c>
      <c r="B3594" t="inlineStr">
        <is>
          <t xml:space="preserve">HDFC MNC Fund - Growth Option</t>
        </is>
      </c>
      <c r="C3594" t="inlineStr">
        <is>
          <t xml:space="preserve">INF179KC1FF3</t>
        </is>
      </c>
    </row>
    <row r="3595">
      <c r="A3595" t="inlineStr">
        <is>
          <t xml:space="preserve">HDFC Mutual Fund</t>
        </is>
      </c>
      <c r="B3595" t="inlineStr">
        <is>
          <t xml:space="preserve">HDFC MNC Fund - Growth Option - Direct Plan</t>
        </is>
      </c>
      <c r="C3595" t="inlineStr">
        <is>
          <t xml:space="preserve">INF179KC1FC0</t>
        </is>
      </c>
    </row>
    <row r="3596">
      <c r="A3596" t="inlineStr">
        <is>
          <t xml:space="preserve">HDFC Mutual Fund</t>
        </is>
      </c>
      <c r="B3596" t="inlineStr">
        <is>
          <t xml:space="preserve">HDFC MNC Fund - IDCW Option</t>
        </is>
      </c>
      <c r="C3596" t="inlineStr">
        <is>
          <t xml:space="preserve">INF179KC1FG1</t>
        </is>
      </c>
    </row>
    <row r="3597">
      <c r="A3597" t="inlineStr">
        <is>
          <t xml:space="preserve">HDFC Mutual Fund</t>
        </is>
      </c>
      <c r="B3597" t="inlineStr">
        <is>
          <t xml:space="preserve">HDFC MNC Fund - IDCW Option - Direct Plan</t>
        </is>
      </c>
      <c r="C3597" t="inlineStr">
        <is>
          <t xml:space="preserve">INF179KC1FD8</t>
        </is>
      </c>
    </row>
    <row r="3598">
      <c r="A3598" t="inlineStr">
        <is>
          <t xml:space="preserve">HDFC Mutual Fund</t>
        </is>
      </c>
      <c r="B3598" t="inlineStr">
        <is>
          <t xml:space="preserve">HDFC Money Market Fund - Daily IDCW Option</t>
        </is>
      </c>
      <c r="C3598" t="inlineStr">
        <is>
          <t xml:space="preserve">INF179KB1IG6</t>
        </is>
      </c>
    </row>
    <row r="3599">
      <c r="A3599" t="inlineStr">
        <is>
          <t xml:space="preserve">HDFC Mutual Fund</t>
        </is>
      </c>
      <c r="B3599" t="inlineStr">
        <is>
          <t xml:space="preserve">HDFC Money Market Fund - Daily IDCW Option - Direct Plan</t>
        </is>
      </c>
      <c r="C3599" t="inlineStr">
        <is>
          <t xml:space="preserve">INF179KB1HZ8</t>
        </is>
      </c>
    </row>
    <row r="3600">
      <c r="A3600" t="inlineStr">
        <is>
          <t xml:space="preserve">HDFC Mutual Fund</t>
        </is>
      </c>
      <c r="B3600" t="inlineStr">
        <is>
          <t xml:space="preserve">HDFC Money Market Fund - Growth Option</t>
        </is>
      </c>
      <c r="C3600" t="inlineStr">
        <is>
          <t xml:space="preserve">INF179KB1HR5</t>
        </is>
      </c>
    </row>
    <row r="3601">
      <c r="A3601" t="inlineStr">
        <is>
          <t xml:space="preserve">HDFC Mutual Fund</t>
        </is>
      </c>
      <c r="B3601" t="inlineStr">
        <is>
          <t xml:space="preserve">HDFC Money Market Fund - Growth Option - Direct Plan</t>
        </is>
      </c>
      <c r="C3601" t="inlineStr">
        <is>
          <t xml:space="preserve">INF179KB1HU9</t>
        </is>
      </c>
    </row>
    <row r="3602">
      <c r="A3602" t="inlineStr">
        <is>
          <t xml:space="preserve">HDFC Mutual Fund</t>
        </is>
      </c>
      <c r="B3602" t="inlineStr">
        <is>
          <t xml:space="preserve">HDFC Money Market Fund - Weekly IDCW Option</t>
        </is>
      </c>
      <c r="C3602" t="inlineStr">
        <is>
          <t xml:space="preserve">INF179KB1IH4</t>
        </is>
      </c>
    </row>
    <row r="3603">
      <c r="A3603" t="inlineStr">
        <is>
          <t xml:space="preserve">HDFC Mutual Fund</t>
        </is>
      </c>
      <c r="B3603" t="inlineStr">
        <is>
          <t xml:space="preserve">HDFC Money Market Fund - Weekly IDCW Option -Direct Plan</t>
        </is>
      </c>
      <c r="C3603" t="inlineStr">
        <is>
          <t xml:space="preserve">INF179KB1IA9</t>
        </is>
      </c>
    </row>
    <row r="3604">
      <c r="A3604" t="inlineStr">
        <is>
          <t xml:space="preserve">HDFC Mutual Fund</t>
        </is>
      </c>
      <c r="B3604" t="inlineStr">
        <is>
          <t xml:space="preserve">HDFC Multi Cap Fund - Growth Option</t>
        </is>
      </c>
      <c r="C3604" t="inlineStr">
        <is>
          <t xml:space="preserve">INF179KC1BV9</t>
        </is>
      </c>
    </row>
    <row r="3605">
      <c r="A3605" t="inlineStr">
        <is>
          <t xml:space="preserve">HDFC Mutual Fund</t>
        </is>
      </c>
      <c r="B3605" t="inlineStr">
        <is>
          <t xml:space="preserve">HDFC Multi Cap Fund - Growth Option - Direct Plan</t>
        </is>
      </c>
      <c r="C3605" t="inlineStr">
        <is>
          <t xml:space="preserve">INF179KC1BS5</t>
        </is>
      </c>
    </row>
    <row r="3606">
      <c r="A3606" t="inlineStr">
        <is>
          <t xml:space="preserve">HDFC Mutual Fund</t>
        </is>
      </c>
      <c r="B3606" t="inlineStr">
        <is>
          <t xml:space="preserve">HDFC Multi Cap Fund - IDCW Option</t>
        </is>
      </c>
      <c r="C3606" t="inlineStr">
        <is>
          <t xml:space="preserve">INF179KC1BW7</t>
        </is>
      </c>
    </row>
    <row r="3607">
      <c r="A3607" t="inlineStr">
        <is>
          <t xml:space="preserve">HDFC Mutual Fund</t>
        </is>
      </c>
      <c r="B3607" t="inlineStr">
        <is>
          <t xml:space="preserve">HDFC Multi Cap Fund - IDCW Option - Direct Plan</t>
        </is>
      </c>
      <c r="C3607" t="inlineStr">
        <is>
          <t xml:space="preserve">INF179KC1BT3</t>
        </is>
      </c>
    </row>
    <row r="3608">
      <c r="A3608" t="inlineStr">
        <is>
          <t xml:space="preserve">HDFC Mutual Fund</t>
        </is>
      </c>
      <c r="B3608" t="inlineStr">
        <is>
          <t xml:space="preserve">HDFC Multi-Asset Active FOF - Growth Option</t>
        </is>
      </c>
      <c r="C3608" t="inlineStr">
        <is>
          <t xml:space="preserve">INF179KC1BD7</t>
        </is>
      </c>
    </row>
    <row r="3609">
      <c r="A3609" t="inlineStr">
        <is>
          <t xml:space="preserve">HDFC Mutual Fund</t>
        </is>
      </c>
      <c r="B3609" t="inlineStr">
        <is>
          <t xml:space="preserve">HDFC Multi-Asset Active FOF - Growth Option -Direct Plan</t>
        </is>
      </c>
      <c r="C3609" t="inlineStr">
        <is>
          <t xml:space="preserve">INF179KC1BA3</t>
        </is>
      </c>
    </row>
    <row r="3610">
      <c r="A3610" t="inlineStr">
        <is>
          <t xml:space="preserve">HDFC Mutual Fund</t>
        </is>
      </c>
      <c r="B3610" t="inlineStr">
        <is>
          <t xml:space="preserve">HDFC Multi-Asset Active FOF - IDCW Option</t>
        </is>
      </c>
      <c r="C3610" t="inlineStr">
        <is>
          <t xml:space="preserve">INF179KC1BE5</t>
        </is>
      </c>
    </row>
    <row r="3611">
      <c r="A3611" t="inlineStr">
        <is>
          <t xml:space="preserve">HDFC Mutual Fund</t>
        </is>
      </c>
      <c r="B3611" t="inlineStr">
        <is>
          <t xml:space="preserve">HDFC Multi-Asset Active FOF - IDCW Option - Direct Plan</t>
        </is>
      </c>
      <c r="C3611" t="inlineStr">
        <is>
          <t xml:space="preserve">INF179KC1BB1</t>
        </is>
      </c>
    </row>
    <row r="3612">
      <c r="A3612" t="inlineStr">
        <is>
          <t xml:space="preserve">HDFC Mutual Fund</t>
        </is>
      </c>
      <c r="B3612" t="inlineStr">
        <is>
          <t xml:space="preserve">HDFC Multi-Asset Fund - Growth Option</t>
        </is>
      </c>
      <c r="C3612" t="inlineStr">
        <is>
          <t xml:space="preserve">INF179K01AP0</t>
        </is>
      </c>
    </row>
    <row r="3613">
      <c r="A3613" t="inlineStr">
        <is>
          <t xml:space="preserve">HDFC Mutual Fund</t>
        </is>
      </c>
      <c r="B3613" t="inlineStr">
        <is>
          <t xml:space="preserve">HDFC Multi-Asset Fund - Growth Option - Direct Plan</t>
        </is>
      </c>
      <c r="C3613" t="inlineStr">
        <is>
          <t xml:space="preserve">INF179K01XW8</t>
        </is>
      </c>
    </row>
    <row r="3614">
      <c r="A3614" t="inlineStr">
        <is>
          <t xml:space="preserve">HDFC Mutual Fund</t>
        </is>
      </c>
      <c r="B3614" t="inlineStr">
        <is>
          <t xml:space="preserve">HDFC Multi-Asset Fund - IDCW Option</t>
        </is>
      </c>
      <c r="C3614" t="inlineStr">
        <is>
          <t xml:space="preserve">INF179K01AN5</t>
        </is>
      </c>
    </row>
    <row r="3615">
      <c r="A3615" t="inlineStr">
        <is>
          <t xml:space="preserve">HDFC Mutual Fund</t>
        </is>
      </c>
      <c r="B3615" t="inlineStr">
        <is>
          <t xml:space="preserve">HDFC Multi-Asset Fund - IDCW Option - Direct Plan</t>
        </is>
      </c>
      <c r="C3615" t="inlineStr">
        <is>
          <t xml:space="preserve">INF179K01XU2</t>
        </is>
      </c>
    </row>
    <row r="3616">
      <c r="A3616" t="inlineStr">
        <is>
          <t xml:space="preserve">HDFC Mutual Fund</t>
        </is>
      </c>
      <c r="B3616" t="inlineStr">
        <is>
          <t xml:space="preserve">HDFC Nifty 100 Equal Weight Index Fund - Direct Plan - Growth Option</t>
        </is>
      </c>
      <c r="C3616" t="inlineStr">
        <is>
          <t xml:space="preserve">INF179KC1CA1</t>
        </is>
      </c>
    </row>
    <row r="3617">
      <c r="A3617" t="inlineStr">
        <is>
          <t xml:space="preserve">HDFC Mutual Fund</t>
        </is>
      </c>
      <c r="B3617" t="inlineStr">
        <is>
          <t xml:space="preserve">HDFC Nifty 100 Equal Weight Index Fund - Growth Option</t>
        </is>
      </c>
      <c r="C3617" t="inlineStr">
        <is>
          <t xml:space="preserve">INF179KC1CB9</t>
        </is>
      </c>
    </row>
    <row r="3618">
      <c r="A3618" t="inlineStr">
        <is>
          <t xml:space="preserve">HDFC Mutual Fund</t>
        </is>
      </c>
      <c r="B3618" t="inlineStr">
        <is>
          <t xml:space="preserve">HDFC NIFTY 100 ETF - Growth Option</t>
        </is>
      </c>
      <c r="C3618" t="inlineStr">
        <is>
          <t xml:space="preserve">INF179KC1HR4</t>
        </is>
      </c>
    </row>
    <row r="3619">
      <c r="A3619" t="inlineStr">
        <is>
          <t xml:space="preserve">HDFC Mutual Fund</t>
        </is>
      </c>
      <c r="B3619" t="inlineStr">
        <is>
          <t xml:space="preserve">HDFC NIFTY 100 Index Fund - Direct Plan - Growth Option</t>
        </is>
      </c>
      <c r="C3619" t="inlineStr">
        <is>
          <t xml:space="preserve">INF179KC1BY3</t>
        </is>
      </c>
    </row>
    <row r="3620">
      <c r="A3620" t="inlineStr">
        <is>
          <t xml:space="preserve">HDFC Mutual Fund</t>
        </is>
      </c>
      <c r="B3620" t="inlineStr">
        <is>
          <t xml:space="preserve">HDFC NIFTY 100 Index Fund - Growth Option</t>
        </is>
      </c>
      <c r="C3620" t="inlineStr">
        <is>
          <t xml:space="preserve">INF179KC1BZ0</t>
        </is>
      </c>
    </row>
    <row r="3621">
      <c r="A3621" t="inlineStr">
        <is>
          <t xml:space="preserve">HDFC Mutual Fund</t>
        </is>
      </c>
      <c r="B3621" t="inlineStr">
        <is>
          <t xml:space="preserve">HDFC NIFTY 1D RATE LIQUID ETF GROWTH</t>
        </is>
      </c>
      <c r="C3621" t="inlineStr">
        <is>
          <t xml:space="preserve">INF179KC1JG3</t>
        </is>
      </c>
    </row>
    <row r="3622">
      <c r="A3622" t="inlineStr">
        <is>
          <t xml:space="preserve">HDFC Mutual Fund</t>
        </is>
      </c>
      <c r="B3622" t="inlineStr">
        <is>
          <t xml:space="preserve">HDFC NIFTY 50 ETF - Growth Plan</t>
        </is>
      </c>
      <c r="C3622" t="inlineStr">
        <is>
          <t xml:space="preserve">INF179KC1965</t>
        </is>
      </c>
    </row>
    <row r="3623">
      <c r="A3623" t="inlineStr">
        <is>
          <t xml:space="preserve">HDFC Mutual Fund</t>
        </is>
      </c>
      <c r="B3623" t="inlineStr">
        <is>
          <t xml:space="preserve">HDFC Nifty 50 Index Fund - Direct Plan</t>
        </is>
      </c>
      <c r="C3623" t="inlineStr">
        <is>
          <t xml:space="preserve">INF179K01WM1</t>
        </is>
      </c>
    </row>
    <row r="3624">
      <c r="A3624" t="inlineStr">
        <is>
          <t xml:space="preserve">HDFC Mutual Fund</t>
        </is>
      </c>
      <c r="B3624" t="inlineStr">
        <is>
          <t xml:space="preserve">HDFC Nifty 50 Index Fund - Growth Plan</t>
        </is>
      </c>
      <c r="C3624" t="inlineStr">
        <is>
          <t xml:space="preserve">INF179K01KZ8</t>
        </is>
      </c>
    </row>
    <row r="3625">
      <c r="A3625" t="inlineStr">
        <is>
          <t xml:space="preserve">HDFC Mutual Fund</t>
        </is>
      </c>
      <c r="B3625" t="inlineStr">
        <is>
          <t xml:space="preserve">HDFC NIFTY 50 VALUE 20 ETF - Growth Option</t>
        </is>
      </c>
      <c r="C3625" t="inlineStr">
        <is>
          <t xml:space="preserve">INF179KC1DK8</t>
        </is>
      </c>
    </row>
    <row r="3626">
      <c r="A3626" t="inlineStr">
        <is>
          <t xml:space="preserve">HDFC Mutual Fund</t>
        </is>
      </c>
      <c r="B3626" t="inlineStr">
        <is>
          <t xml:space="preserve">HDFC Nifty Auto Index Fund- Direct Plan- Growth Option</t>
        </is>
      </c>
      <c r="C3626" t="inlineStr">
        <is>
          <t xml:space="preserve">INF179KC1KQ0</t>
        </is>
      </c>
    </row>
    <row r="3627">
      <c r="A3627" t="inlineStr">
        <is>
          <t xml:space="preserve">HDFC Mutual Fund</t>
        </is>
      </c>
      <c r="B3627" t="inlineStr">
        <is>
          <t xml:space="preserve">HDFC Nifty Auto Index Fund- Growth Option</t>
        </is>
      </c>
      <c r="C3627" t="inlineStr">
        <is>
          <t xml:space="preserve">INF179KC1KP2</t>
        </is>
      </c>
    </row>
    <row r="3628">
      <c r="A3628" t="inlineStr">
        <is>
          <t xml:space="preserve">HDFC Mutual Fund</t>
        </is>
      </c>
      <c r="B3628" t="inlineStr">
        <is>
          <t xml:space="preserve">HDFC NIFTY Bank ETF - GROWTH</t>
        </is>
      </c>
      <c r="C3628" t="inlineStr">
        <is>
          <t xml:space="preserve">INF179KC1HY0</t>
        </is>
      </c>
    </row>
    <row r="3629">
      <c r="A3629" t="inlineStr">
        <is>
          <t xml:space="preserve">HDFC Mutual Fund</t>
        </is>
      </c>
      <c r="B3629" t="inlineStr">
        <is>
          <t xml:space="preserve">HDFC Nifty G-Sec Apr 2029 Index Fund - Growth Option</t>
        </is>
      </c>
      <c r="C3629" t="inlineStr">
        <is>
          <t xml:space="preserve">INF179KC1FR8</t>
        </is>
      </c>
    </row>
    <row r="3630">
      <c r="A3630" t="inlineStr">
        <is>
          <t xml:space="preserve">HDFC Mutual Fund</t>
        </is>
      </c>
      <c r="B3630" t="inlineStr">
        <is>
          <t xml:space="preserve">HDFC Nifty G-Sec Apr 2029 Index Fund - Growth Option - Direct Plan</t>
        </is>
      </c>
      <c r="C3630" t="inlineStr">
        <is>
          <t xml:space="preserve">INF179KC1FQ0</t>
        </is>
      </c>
    </row>
    <row r="3631">
      <c r="A3631" t="inlineStr">
        <is>
          <t xml:space="preserve">HDFC Mutual Fund</t>
        </is>
      </c>
      <c r="B3631" t="inlineStr">
        <is>
          <t xml:space="preserve">HDFC Nifty G-Sec Dec 2026 Index Fund - Growth Option</t>
        </is>
      </c>
      <c r="C3631" t="inlineStr">
        <is>
          <t xml:space="preserve">INF179KC1EG4</t>
        </is>
      </c>
    </row>
    <row r="3632">
      <c r="A3632" t="inlineStr">
        <is>
          <t xml:space="preserve">HDFC Mutual Fund</t>
        </is>
      </c>
      <c r="B3632" t="inlineStr">
        <is>
          <t xml:space="preserve">HDFC Nifty G-Sec Dec 2026 Index Fund - Growth Option - Direct Plan</t>
        </is>
      </c>
      <c r="C3632" t="inlineStr">
        <is>
          <t xml:space="preserve">INF179KC1EE9</t>
        </is>
      </c>
    </row>
    <row r="3633">
      <c r="A3633" t="inlineStr">
        <is>
          <t xml:space="preserve">HDFC Mutual Fund</t>
        </is>
      </c>
      <c r="B3633" t="inlineStr">
        <is>
          <t xml:space="preserve">HDFC Nifty G-Sec July 2031 Index Fund - Growth Option</t>
        </is>
      </c>
      <c r="C3633" t="inlineStr">
        <is>
          <t xml:space="preserve">INF179KC1EI0</t>
        </is>
      </c>
    </row>
    <row r="3634">
      <c r="A3634" t="inlineStr">
        <is>
          <t xml:space="preserve">HDFC Mutual Fund</t>
        </is>
      </c>
      <c r="B3634" t="inlineStr">
        <is>
          <t xml:space="preserve">HDFC Nifty G-Sec July 2031 Index Fund - Growth Option - Direct Plan</t>
        </is>
      </c>
      <c r="C3634" t="inlineStr">
        <is>
          <t xml:space="preserve">INF179KC1EH2</t>
        </is>
      </c>
    </row>
    <row r="3635">
      <c r="A3635" t="inlineStr">
        <is>
          <t xml:space="preserve">HDFC Mutual Fund</t>
        </is>
      </c>
      <c r="B3635" t="inlineStr">
        <is>
          <t xml:space="preserve">HDFC Nifty G-Sec Jun 2027 Index Fund - Growth Option</t>
        </is>
      </c>
      <c r="C3635" t="inlineStr">
        <is>
          <t xml:space="preserve">INF179KC1EK6</t>
        </is>
      </c>
    </row>
    <row r="3636">
      <c r="A3636" t="inlineStr">
        <is>
          <t xml:space="preserve">HDFC Mutual Fund</t>
        </is>
      </c>
      <c r="B3636" t="inlineStr">
        <is>
          <t xml:space="preserve">HDFC Nifty G-Sec Jun 2027 Index Fund - Growth Option - Direct Plan</t>
        </is>
      </c>
      <c r="C3636" t="inlineStr">
        <is>
          <t xml:space="preserve">INF179KC1EJ8</t>
        </is>
      </c>
    </row>
    <row r="3637">
      <c r="A3637" t="inlineStr">
        <is>
          <t xml:space="preserve">HDFC Mutual Fund</t>
        </is>
      </c>
      <c r="B3637" t="inlineStr">
        <is>
          <t xml:space="preserve">HDFC Nifty G-Sec Jun 2036 Index Fund - Growth Option</t>
        </is>
      </c>
      <c r="C3637" t="inlineStr">
        <is>
          <t xml:space="preserve">INF179KC1FT4</t>
        </is>
      </c>
    </row>
    <row r="3638">
      <c r="A3638" t="inlineStr">
        <is>
          <t xml:space="preserve">HDFC Mutual Fund</t>
        </is>
      </c>
      <c r="B3638" t="inlineStr">
        <is>
          <t xml:space="preserve">HDFC Nifty G-Sec Jun 2036 Index Fund - Growth Option - Direct Plan</t>
        </is>
      </c>
      <c r="C3638" t="inlineStr">
        <is>
          <t xml:space="preserve">INF179KC1FS6</t>
        </is>
      </c>
    </row>
    <row r="3639">
      <c r="A3639" t="inlineStr">
        <is>
          <t xml:space="preserve">HDFC Mutual Fund</t>
        </is>
      </c>
      <c r="B3639" t="inlineStr">
        <is>
          <t xml:space="preserve">HDFC Nifty G-Sec Sep 2032 Index Fund - Growth Option</t>
        </is>
      </c>
      <c r="C3639" t="inlineStr">
        <is>
          <t xml:space="preserve">INF179KC1EM2</t>
        </is>
      </c>
    </row>
    <row r="3640">
      <c r="A3640" t="inlineStr">
        <is>
          <t xml:space="preserve">HDFC Mutual Fund</t>
        </is>
      </c>
      <c r="B3640" t="inlineStr">
        <is>
          <t xml:space="preserve">HDFC Nifty G-Sec Sep 2032 Index Fund - Growth Option - Direct Plan</t>
        </is>
      </c>
      <c r="C3640" t="inlineStr">
        <is>
          <t xml:space="preserve">INF179KC1EL4</t>
        </is>
      </c>
    </row>
    <row r="3641">
      <c r="A3641" t="inlineStr">
        <is>
          <t xml:space="preserve">HDFC Mutual Fund</t>
        </is>
      </c>
      <c r="B3641" t="inlineStr">
        <is>
          <t xml:space="preserve">HDFC NIFTY GROWTH SECTORS 15 ETF - Growth Option</t>
        </is>
      </c>
      <c r="C3641" t="inlineStr">
        <is>
          <t xml:space="preserve">INF179KC1DJ0</t>
        </is>
      </c>
    </row>
    <row r="3642">
      <c r="A3642" t="inlineStr">
        <is>
          <t xml:space="preserve">HDFC Mutual Fund</t>
        </is>
      </c>
      <c r="B3642" t="inlineStr">
        <is>
          <t xml:space="preserve">HDFC Nifty India Consumption Index  Fund - Regular Growth Plan</t>
        </is>
      </c>
      <c r="C3642" t="inlineStr">
        <is>
          <t xml:space="preserve">INF179KC1JZ3</t>
        </is>
      </c>
    </row>
    <row r="3643">
      <c r="A3643" t="inlineStr">
        <is>
          <t xml:space="preserve">HDFC Mutual Fund</t>
        </is>
      </c>
      <c r="B3643" t="inlineStr">
        <is>
          <t xml:space="preserve">HDFC Nifty India Consumption Index Fund - Direct Growth Plan</t>
        </is>
      </c>
      <c r="C3643" t="inlineStr">
        <is>
          <t xml:space="preserve">INF179KC1KA4</t>
        </is>
      </c>
    </row>
    <row r="3644">
      <c r="A3644" t="inlineStr">
        <is>
          <t xml:space="preserve">HDFC Mutual Fund</t>
        </is>
      </c>
      <c r="B3644" t="inlineStr">
        <is>
          <t xml:space="preserve">HDFC Nifty India Digital Index Fund - Growth Option - Direct</t>
        </is>
      </c>
      <c r="C3644" t="inlineStr">
        <is>
          <t xml:space="preserve">INF179KC1JB4</t>
        </is>
      </c>
    </row>
    <row r="3645">
      <c r="A3645" t="inlineStr">
        <is>
          <t xml:space="preserve">HDFC Mutual Fund</t>
        </is>
      </c>
      <c r="B3645" t="inlineStr">
        <is>
          <t xml:space="preserve">HDFC Nifty India Digital Index Fund - Growth Option - Regular</t>
        </is>
      </c>
      <c r="C3645" t="inlineStr">
        <is>
          <t xml:space="preserve">INF179KC1JA6</t>
        </is>
      </c>
    </row>
    <row r="3646">
      <c r="A3646" t="inlineStr">
        <is>
          <t xml:space="preserve">HDFC Mutual Fund</t>
        </is>
      </c>
      <c r="B3646" t="inlineStr">
        <is>
          <t xml:space="preserve">HDFC NIFTY IT ETF - Growth option</t>
        </is>
      </c>
      <c r="C3646" t="inlineStr">
        <is>
          <t xml:space="preserve">INF179KC1IA8</t>
        </is>
      </c>
    </row>
    <row r="3647">
      <c r="A3647" t="inlineStr">
        <is>
          <t xml:space="preserve">HDFC Mutual Fund</t>
        </is>
      </c>
      <c r="B3647" t="inlineStr">
        <is>
          <t xml:space="preserve">HDFC NIFTY LargeMidcap 250 Index Fund - Growth Option</t>
        </is>
      </c>
      <c r="C3647" t="inlineStr">
        <is>
          <t xml:space="preserve">INF179KC1IP6</t>
        </is>
      </c>
    </row>
    <row r="3648">
      <c r="A3648" t="inlineStr">
        <is>
          <t xml:space="preserve">HDFC Mutual Fund</t>
        </is>
      </c>
      <c r="B3648" t="inlineStr">
        <is>
          <t xml:space="preserve">HDFC NIFTY LargeMidcap 250 Index Fund - Growth Option - Direct</t>
        </is>
      </c>
      <c r="C3648" t="inlineStr">
        <is>
          <t xml:space="preserve">INF179KC1IQ4</t>
        </is>
      </c>
    </row>
    <row r="3649">
      <c r="A3649" t="inlineStr">
        <is>
          <t xml:space="preserve">HDFC Mutual Fund</t>
        </is>
      </c>
      <c r="B3649" t="inlineStr">
        <is>
          <t xml:space="preserve">HDFC NIFTY Midcap 150 ETF - Growth Option</t>
        </is>
      </c>
      <c r="C3649" t="inlineStr">
        <is>
          <t xml:space="preserve">INF179KC1HT0</t>
        </is>
      </c>
    </row>
    <row r="3650">
      <c r="A3650" t="inlineStr">
        <is>
          <t xml:space="preserve">HDFC Mutual Fund</t>
        </is>
      </c>
      <c r="B3650" t="inlineStr">
        <is>
          <t xml:space="preserve">HDFC NIFTY Midcap 150 Index Fund - Growth Option</t>
        </is>
      </c>
      <c r="C3650" t="inlineStr">
        <is>
          <t xml:space="preserve">INF179KC1GD6</t>
        </is>
      </c>
    </row>
    <row r="3651">
      <c r="A3651" t="inlineStr">
        <is>
          <t xml:space="preserve">HDFC Mutual Fund</t>
        </is>
      </c>
      <c r="B3651" t="inlineStr">
        <is>
          <t xml:space="preserve">HDFC NIFTY Midcap 150 Index Fund - Growth Option - Direct Plan</t>
        </is>
      </c>
      <c r="C3651" t="inlineStr">
        <is>
          <t xml:space="preserve">INF179KC1GC8</t>
        </is>
      </c>
    </row>
    <row r="3652">
      <c r="A3652" t="inlineStr">
        <is>
          <t xml:space="preserve">HDFC Mutual Fund</t>
        </is>
      </c>
      <c r="B3652" t="inlineStr">
        <is>
          <t xml:space="preserve">HDFC NIFTY NEXT 50 ETF - Growth Option</t>
        </is>
      </c>
      <c r="C3652" t="inlineStr">
        <is>
          <t xml:space="preserve">INF179KC1HS2</t>
        </is>
      </c>
    </row>
    <row r="3653">
      <c r="A3653" t="inlineStr">
        <is>
          <t xml:space="preserve">HDFC Mutual Fund</t>
        </is>
      </c>
      <c r="B3653" t="inlineStr">
        <is>
          <t xml:space="preserve">HDFC NIFTY Next 50 Index Fund - Direct Plan - Growth Option</t>
        </is>
      </c>
      <c r="C3653" t="inlineStr">
        <is>
          <t xml:space="preserve">INF179KC1BQ9</t>
        </is>
      </c>
    </row>
    <row r="3654">
      <c r="A3654" t="inlineStr">
        <is>
          <t xml:space="preserve">HDFC Mutual Fund</t>
        </is>
      </c>
      <c r="B3654" t="inlineStr">
        <is>
          <t xml:space="preserve">HDFC NIFTY Next 50 Index Fund - Growth Option</t>
        </is>
      </c>
      <c r="C3654" t="inlineStr">
        <is>
          <t xml:space="preserve">INF179KC1BR7</t>
        </is>
      </c>
    </row>
    <row r="3655">
      <c r="A3655" t="inlineStr">
        <is>
          <t xml:space="preserve">HDFC Mutual Fund</t>
        </is>
      </c>
      <c r="B3655" t="inlineStr">
        <is>
          <t xml:space="preserve">HDFC NIFTY Private Bank ETF - Growth Option</t>
        </is>
      </c>
      <c r="C3655" t="inlineStr">
        <is>
          <t xml:space="preserve">INF179KC1HZ7</t>
        </is>
      </c>
    </row>
    <row r="3656">
      <c r="A3656" t="inlineStr">
        <is>
          <t xml:space="preserve">HDFC Mutual Fund</t>
        </is>
      </c>
      <c r="B3656" t="inlineStr">
        <is>
          <t xml:space="preserve">HDFC NIFTY PSU BANK ETF</t>
        </is>
      </c>
      <c r="C3656" t="inlineStr">
        <is>
          <t xml:space="preserve">INF179KC1HW4</t>
        </is>
      </c>
    </row>
    <row r="3657">
      <c r="A3657" t="inlineStr">
        <is>
          <t xml:space="preserve">HDFC Mutual Fund</t>
        </is>
      </c>
      <c r="B3657" t="inlineStr">
        <is>
          <t xml:space="preserve">HDFC NIFTY Reality Index Fund - Regular Plan</t>
        </is>
      </c>
      <c r="C3657" t="inlineStr">
        <is>
          <t xml:space="preserve">INF179KC1ID2</t>
        </is>
      </c>
    </row>
    <row r="3658">
      <c r="A3658" t="inlineStr">
        <is>
          <t xml:space="preserve">HDFC Mutual Fund</t>
        </is>
      </c>
      <c r="B3658" t="inlineStr">
        <is>
          <t xml:space="preserve">HDFC NIFTY Realty Index Fund - Direct Plan</t>
        </is>
      </c>
      <c r="C3658" t="inlineStr">
        <is>
          <t xml:space="preserve">INF179KC1IE0</t>
        </is>
      </c>
    </row>
    <row r="3659">
      <c r="A3659" t="inlineStr">
        <is>
          <t xml:space="preserve">HDFC Mutual Fund</t>
        </is>
      </c>
      <c r="B3659" t="inlineStr">
        <is>
          <t xml:space="preserve">HDFC Nifty SDL Oct 2026 Index Fund - Growth Option</t>
        </is>
      </c>
      <c r="C3659" t="inlineStr">
        <is>
          <t xml:space="preserve">INF179KC1FJ5</t>
        </is>
      </c>
    </row>
    <row r="3660">
      <c r="A3660" t="inlineStr">
        <is>
          <t xml:space="preserve">HDFC Mutual Fund</t>
        </is>
      </c>
      <c r="B3660" t="inlineStr">
        <is>
          <t xml:space="preserve">HDFC Nifty SDL Oct 2026 Index Fund - Growth Option - Direct Plan</t>
        </is>
      </c>
      <c r="C3660" t="inlineStr">
        <is>
          <t xml:space="preserve">INF179KC1FI7</t>
        </is>
      </c>
    </row>
    <row r="3661">
      <c r="A3661" t="inlineStr">
        <is>
          <t xml:space="preserve">HDFC Mutual Fund</t>
        </is>
      </c>
      <c r="B3661" t="inlineStr">
        <is>
          <t xml:space="preserve">HDFC NIFTY SDL Plus G-Sec Jun 2027 40:60 Index Fund - Growth Option</t>
        </is>
      </c>
      <c r="C3661" t="inlineStr">
        <is>
          <t xml:space="preserve">INF179KC1GB0</t>
        </is>
      </c>
    </row>
    <row r="3662">
      <c r="A3662" t="inlineStr">
        <is>
          <t xml:space="preserve">HDFC Mutual Fund</t>
        </is>
      </c>
      <c r="B3662" t="inlineStr">
        <is>
          <t xml:space="preserve">HDFC NIFTY SDL Plus G-Sec Jun 2027 40:60 Index Fund - Growth Option - Direct Plan</t>
        </is>
      </c>
      <c r="C3662" t="inlineStr">
        <is>
          <t xml:space="preserve">INF179KC1GA2</t>
        </is>
      </c>
    </row>
    <row r="3663">
      <c r="A3663" t="inlineStr">
        <is>
          <t xml:space="preserve">HDFC Mutual Fund</t>
        </is>
      </c>
      <c r="B3663" t="inlineStr">
        <is>
          <t xml:space="preserve">HDFC NIFTY Smallcap 250 ETF - Growth Option</t>
        </is>
      </c>
      <c r="C3663" t="inlineStr">
        <is>
          <t xml:space="preserve">INF179KC1FB2</t>
        </is>
      </c>
    </row>
    <row r="3664">
      <c r="A3664" t="inlineStr">
        <is>
          <t xml:space="preserve">HDFC Mutual Fund</t>
        </is>
      </c>
      <c r="B3664" t="inlineStr">
        <is>
          <t xml:space="preserve">HDFC NIFTY Smallcap 250 Index Fund - Growth Option</t>
        </is>
      </c>
      <c r="C3664" t="inlineStr">
        <is>
          <t xml:space="preserve">INF179KC1GF1</t>
        </is>
      </c>
    </row>
    <row r="3665">
      <c r="A3665" t="inlineStr">
        <is>
          <t xml:space="preserve">HDFC Mutual Fund</t>
        </is>
      </c>
      <c r="B3665" t="inlineStr">
        <is>
          <t xml:space="preserve">HDFC NIFTY Smallcap 250 Index Fund - Growth Option - Direct Plan</t>
        </is>
      </c>
      <c r="C3665" t="inlineStr">
        <is>
          <t xml:space="preserve">INF179KC1GE4</t>
        </is>
      </c>
    </row>
    <row r="3666">
      <c r="A3666" t="inlineStr">
        <is>
          <t xml:space="preserve">HDFC Mutual Fund</t>
        </is>
      </c>
      <c r="B3666" t="inlineStr">
        <is>
          <t xml:space="preserve">HDFC Nifty Top 20 Equal Weight Index Fund - Direct</t>
        </is>
      </c>
      <c r="C3666" t="inlineStr">
        <is>
          <t xml:space="preserve">INF179KC1JI9</t>
        </is>
      </c>
    </row>
    <row r="3667">
      <c r="A3667" t="inlineStr">
        <is>
          <t xml:space="preserve">HDFC Mutual Fund</t>
        </is>
      </c>
      <c r="B3667" t="inlineStr">
        <is>
          <t xml:space="preserve">HDFC Nifty Top 20 Equal Weight Index Fund - Regular Growth</t>
        </is>
      </c>
      <c r="C3667" t="inlineStr">
        <is>
          <t xml:space="preserve">INF179KC1JH1</t>
        </is>
      </c>
    </row>
    <row r="3668">
      <c r="A3668" t="inlineStr">
        <is>
          <t xml:space="preserve">HDFC Mutual Fund</t>
        </is>
      </c>
      <c r="B3668" t="inlineStr">
        <is>
          <t xml:space="preserve">HDFC NIFTY100 Low Volatility 30 ETF - Growth Option</t>
        </is>
      </c>
      <c r="C3668" t="inlineStr">
        <is>
          <t xml:space="preserve">INF179KC1HU8</t>
        </is>
      </c>
    </row>
    <row r="3669">
      <c r="A3669" t="inlineStr">
        <is>
          <t xml:space="preserve">HDFC Mutual Fund</t>
        </is>
      </c>
      <c r="B3669" t="inlineStr">
        <is>
          <t xml:space="preserve">HDFC NIFTY100 Low Volatility 30 Index Fund - Direct Plan</t>
        </is>
      </c>
      <c r="C3669" t="inlineStr">
        <is>
          <t xml:space="preserve">INF179KC1IM3</t>
        </is>
      </c>
    </row>
    <row r="3670">
      <c r="A3670" t="inlineStr">
        <is>
          <t xml:space="preserve">HDFC Mutual Fund</t>
        </is>
      </c>
      <c r="B3670" t="inlineStr">
        <is>
          <t xml:space="preserve">HDFC NIFTY100 Low Volatility 30 Index Fund - Regular Plan</t>
        </is>
      </c>
      <c r="C3670" t="inlineStr">
        <is>
          <t xml:space="preserve">INF179KC1IL5</t>
        </is>
      </c>
    </row>
    <row r="3671">
      <c r="A3671" t="inlineStr">
        <is>
          <t xml:space="preserve">HDFC Mutual Fund</t>
        </is>
      </c>
      <c r="B3671" t="inlineStr">
        <is>
          <t xml:space="preserve">HDFC NIFTY100 QUALITY 30 ETF - Growth Option</t>
        </is>
      </c>
      <c r="C3671" t="inlineStr">
        <is>
          <t xml:space="preserve">INF179KC1DL6</t>
        </is>
      </c>
    </row>
    <row r="3672">
      <c r="A3672" t="inlineStr">
        <is>
          <t xml:space="preserve">HDFC Mutual Fund</t>
        </is>
      </c>
      <c r="B3672" t="inlineStr">
        <is>
          <t xml:space="preserve">HDFC Nifty100 Quality 30 Index Fund - Direct Plan</t>
        </is>
      </c>
      <c r="C3672" t="inlineStr">
        <is>
          <t xml:space="preserve">INF179KC1JF5</t>
        </is>
      </c>
    </row>
    <row r="3673">
      <c r="A3673" t="inlineStr">
        <is>
          <t xml:space="preserve">HDFC Mutual Fund</t>
        </is>
      </c>
      <c r="B3673" t="inlineStr">
        <is>
          <t xml:space="preserve">HDFC Nifty100 Quality 30 Index Fund - Regular Plan</t>
        </is>
      </c>
      <c r="C3673" t="inlineStr">
        <is>
          <t xml:space="preserve">INF179KC1JE8</t>
        </is>
      </c>
    </row>
    <row r="3674">
      <c r="A3674" t="inlineStr">
        <is>
          <t xml:space="preserve">HDFC Mutual Fund</t>
        </is>
      </c>
      <c r="B3674" t="inlineStr">
        <is>
          <t xml:space="preserve">HDFC NIFTY200 MOMENTUM 30 ETF - Growth Option</t>
        </is>
      </c>
      <c r="C3674" t="inlineStr">
        <is>
          <t xml:space="preserve">INF179KC1HV6</t>
        </is>
      </c>
    </row>
    <row r="3675">
      <c r="A3675" t="inlineStr">
        <is>
          <t xml:space="preserve">HDFC Mutual Fund</t>
        </is>
      </c>
      <c r="B3675" t="inlineStr">
        <is>
          <t xml:space="preserve">HDFC NIFTY200 Momentum 30 Index Fund - Direct Plan</t>
        </is>
      </c>
      <c r="C3675" t="inlineStr">
        <is>
          <t xml:space="preserve">INF179KC1IC4</t>
        </is>
      </c>
    </row>
    <row r="3676">
      <c r="A3676" t="inlineStr">
        <is>
          <t xml:space="preserve">HDFC Mutual Fund</t>
        </is>
      </c>
      <c r="B3676" t="inlineStr">
        <is>
          <t xml:space="preserve">HDFC NIFTY200 Momentum 30 Index Fund - Regular Plan</t>
        </is>
      </c>
      <c r="C3676" t="inlineStr">
        <is>
          <t xml:space="preserve">INF179KC1IB6</t>
        </is>
      </c>
    </row>
    <row r="3677">
      <c r="A3677" t="inlineStr">
        <is>
          <t xml:space="preserve">HDFC Mutual Fund</t>
        </is>
      </c>
      <c r="B3677" t="inlineStr">
        <is>
          <t xml:space="preserve">HDFC NIFTY50 Equal weight Index Fund - Direct Plan - Growth Option</t>
        </is>
      </c>
      <c r="C3677" t="inlineStr">
        <is>
          <t xml:space="preserve">INF179KC1BM8</t>
        </is>
      </c>
    </row>
    <row r="3678">
      <c r="A3678" t="inlineStr">
        <is>
          <t xml:space="preserve">HDFC Mutual Fund</t>
        </is>
      </c>
      <c r="B3678" t="inlineStr">
        <is>
          <t xml:space="preserve">HDFC NIFTY50 Equal weight Index Fund - Growth Option</t>
        </is>
      </c>
      <c r="C3678" t="inlineStr">
        <is>
          <t xml:space="preserve">INF179KC1BN6</t>
        </is>
      </c>
    </row>
    <row r="3679">
      <c r="A3679" t="inlineStr">
        <is>
          <t xml:space="preserve">HDFC Mutual Fund</t>
        </is>
      </c>
      <c r="B3679" t="inlineStr">
        <is>
          <t xml:space="preserve">HDFC NIFTY500 Multicap 50:25:25 Index Fund - Direct Plan</t>
        </is>
      </c>
      <c r="C3679" t="inlineStr">
        <is>
          <t xml:space="preserve">INF179KC1IO9</t>
        </is>
      </c>
    </row>
    <row r="3680">
      <c r="A3680" t="inlineStr">
        <is>
          <t xml:space="preserve">HDFC Mutual Fund</t>
        </is>
      </c>
      <c r="B3680" t="inlineStr">
        <is>
          <t xml:space="preserve">HDFC NIFTY500 Multicap 50:25:25 index Fund - Regular Plan</t>
        </is>
      </c>
      <c r="C3680" t="inlineStr">
        <is>
          <t xml:space="preserve">INF179KC1IN1</t>
        </is>
      </c>
    </row>
    <row r="3681">
      <c r="A3681" t="inlineStr">
        <is>
          <t xml:space="preserve">HDFC Mutual Fund</t>
        </is>
      </c>
      <c r="B3681" t="inlineStr">
        <is>
          <t xml:space="preserve">HDFC Overnight Fund - Daily IDCW Option - Direct Plan</t>
        </is>
      </c>
      <c r="C3681" t="inlineStr">
        <is>
          <t xml:space="preserve">INF179KB1HY1</t>
        </is>
      </c>
    </row>
    <row r="3682">
      <c r="A3682" t="inlineStr">
        <is>
          <t xml:space="preserve">HDFC Mutual Fund</t>
        </is>
      </c>
      <c r="B3682" t="inlineStr">
        <is>
          <t xml:space="preserve">HDFC Overnight Fund - Growth Option</t>
        </is>
      </c>
      <c r="C3682" t="inlineStr">
        <is>
          <t xml:space="preserve">INF179KB1HS3</t>
        </is>
      </c>
    </row>
    <row r="3683">
      <c r="A3683" t="inlineStr">
        <is>
          <t xml:space="preserve">HDFC Mutual Fund</t>
        </is>
      </c>
      <c r="B3683" t="inlineStr">
        <is>
          <t xml:space="preserve">HDFC Overnight Fund - Growth Option - Direct Plan</t>
        </is>
      </c>
      <c r="C3683" t="inlineStr">
        <is>
          <t xml:space="preserve">INF179KB1HT1</t>
        </is>
      </c>
    </row>
    <row r="3684">
      <c r="A3684" t="inlineStr">
        <is>
          <t xml:space="preserve">HDFC Mutual Fund</t>
        </is>
      </c>
      <c r="B3684" t="inlineStr">
        <is>
          <t xml:space="preserve">HDFC Overnight Fund - IDCW Option (Daily)</t>
        </is>
      </c>
      <c r="C3684" t="inlineStr">
        <is>
          <t xml:space="preserve">INF179KB1IF8</t>
        </is>
      </c>
    </row>
    <row r="3685">
      <c r="A3685" t="inlineStr">
        <is>
          <t xml:space="preserve">HDFC Mutual Fund</t>
        </is>
      </c>
      <c r="B3685" t="inlineStr">
        <is>
          <t xml:space="preserve">HDFC Pharma and Healthcare Fund - Growth Option</t>
        </is>
      </c>
      <c r="C3685" t="inlineStr">
        <is>
          <t xml:space="preserve">INF179KC1HL7</t>
        </is>
      </c>
    </row>
    <row r="3686">
      <c r="A3686" t="inlineStr">
        <is>
          <t xml:space="preserve">HDFC Mutual Fund</t>
        </is>
      </c>
      <c r="B3686" t="inlineStr">
        <is>
          <t xml:space="preserve">HDFC Pharma and Healthcare Fund - Growth Option - Direct Plan</t>
        </is>
      </c>
      <c r="C3686" t="inlineStr">
        <is>
          <t xml:space="preserve">INF179KC1HO1</t>
        </is>
      </c>
    </row>
    <row r="3687">
      <c r="A3687" t="inlineStr">
        <is>
          <t xml:space="preserve">HDFC Mutual Fund</t>
        </is>
      </c>
      <c r="B3687" t="inlineStr">
        <is>
          <t xml:space="preserve">HDFC Pharma and Healthcare Fund - IDCW Option</t>
        </is>
      </c>
      <c r="C3687" t="inlineStr">
        <is>
          <t xml:space="preserve">INF179KC1HM5</t>
        </is>
      </c>
    </row>
    <row r="3688">
      <c r="A3688" t="inlineStr">
        <is>
          <t xml:space="preserve">HDFC Mutual Fund</t>
        </is>
      </c>
      <c r="B3688" t="inlineStr">
        <is>
          <t xml:space="preserve">HDFC Pharma and Healthcare Fund - IDCW Option - Direct Plan</t>
        </is>
      </c>
      <c r="C3688" t="inlineStr">
        <is>
          <t xml:space="preserve">INF179KC1HP8</t>
        </is>
      </c>
    </row>
    <row r="3689">
      <c r="A3689" t="inlineStr">
        <is>
          <t xml:space="preserve">HDFC Mutual Fund</t>
        </is>
      </c>
      <c r="B3689" t="inlineStr">
        <is>
          <t xml:space="preserve">HDFC Retirement Savings Fund - Equity Plan - Growth Option</t>
        </is>
      </c>
      <c r="C3689" t="inlineStr">
        <is>
          <t xml:space="preserve">INF179KB1MG8</t>
        </is>
      </c>
    </row>
    <row r="3690">
      <c r="A3690" t="inlineStr">
        <is>
          <t xml:space="preserve">HDFC Mutual Fund</t>
        </is>
      </c>
      <c r="B3690" t="inlineStr">
        <is>
          <t xml:space="preserve">HDFC Retirement Savings Fund - Equity Plan - Growth Option - Direct Plan</t>
        </is>
      </c>
      <c r="C3690" t="inlineStr">
        <is>
          <t xml:space="preserve">INF179KB1MF0</t>
        </is>
      </c>
    </row>
    <row r="3691">
      <c r="A3691" t="inlineStr">
        <is>
          <t xml:space="preserve">HDFC Mutual Fund</t>
        </is>
      </c>
      <c r="B3691" t="inlineStr">
        <is>
          <t xml:space="preserve">HDFC Retirement Savings Fund - Hybrid-Debt Plan - Growth Option</t>
        </is>
      </c>
      <c r="C3691" t="inlineStr">
        <is>
          <t xml:space="preserve">INF179KB1MK0</t>
        </is>
      </c>
    </row>
    <row r="3692">
      <c r="A3692" t="inlineStr">
        <is>
          <t xml:space="preserve">HDFC Mutual Fund</t>
        </is>
      </c>
      <c r="B3692" t="inlineStr">
        <is>
          <t xml:space="preserve">HDFC Retirement Savings Fund - Hybrid-Debt Plan - Growth Option - Direct Plan</t>
        </is>
      </c>
      <c r="C3692" t="inlineStr">
        <is>
          <t xml:space="preserve">INF179KB1MJ2</t>
        </is>
      </c>
    </row>
    <row r="3693">
      <c r="A3693" t="inlineStr">
        <is>
          <t xml:space="preserve">HDFC Mutual Fund</t>
        </is>
      </c>
      <c r="B3693" t="inlineStr">
        <is>
          <t xml:space="preserve">HDFC Retirement Savings Fund - Hybrid-Equity Plan - Growth Option</t>
        </is>
      </c>
      <c r="C3693" t="inlineStr">
        <is>
          <t xml:space="preserve">INF179KB1MI4</t>
        </is>
      </c>
    </row>
    <row r="3694">
      <c r="A3694" t="inlineStr">
        <is>
          <t xml:space="preserve">HDFC Mutual Fund</t>
        </is>
      </c>
      <c r="B3694" t="inlineStr">
        <is>
          <t xml:space="preserve">HDFC Retirement Savings Fund - Hybrid-Equity Plan - Growth Option - Direct Plan</t>
        </is>
      </c>
      <c r="C3694" t="inlineStr">
        <is>
          <t xml:space="preserve">INF179KB1MH6</t>
        </is>
      </c>
    </row>
    <row r="3695">
      <c r="A3695" t="inlineStr">
        <is>
          <t xml:space="preserve">HDFC Mutual Fund</t>
        </is>
      </c>
      <c r="B3695" t="inlineStr">
        <is>
          <t xml:space="preserve">HDFC Short Term  Debt Fund - Fortnightly IDCW Option</t>
        </is>
      </c>
      <c r="C3695" t="inlineStr">
        <is>
          <t xml:space="preserve">INF179K01CV4</t>
        </is>
      </c>
    </row>
    <row r="3696">
      <c r="A3696" t="inlineStr">
        <is>
          <t xml:space="preserve">HDFC Mutual Fund</t>
        </is>
      </c>
      <c r="B3696" t="inlineStr">
        <is>
          <t xml:space="preserve">HDFC Short Term  Debt Fund - Growth Option</t>
        </is>
      </c>
      <c r="C3696" t="inlineStr">
        <is>
          <t xml:space="preserve">INF179K01CU6</t>
        </is>
      </c>
    </row>
    <row r="3697">
      <c r="A3697" t="inlineStr">
        <is>
          <t xml:space="preserve">HDFC Mutual Fund</t>
        </is>
      </c>
      <c r="B3697" t="inlineStr">
        <is>
          <t xml:space="preserve">HDFC Short Term  Debt Fund - Growth Option - Direct Plan</t>
        </is>
      </c>
      <c r="C3697" t="inlineStr">
        <is>
          <t xml:space="preserve">INF179K01YM7</t>
        </is>
      </c>
    </row>
    <row r="3698">
      <c r="A3698" t="inlineStr">
        <is>
          <t xml:space="preserve">HDFC Mutual Fund</t>
        </is>
      </c>
      <c r="B3698" t="inlineStr">
        <is>
          <t xml:space="preserve">HDFC Short Term  Debt Fund - Normal IDCW - Direct Plan</t>
        </is>
      </c>
      <c r="C3698" t="inlineStr">
        <is>
          <t xml:space="preserve">INF179KA1Q53</t>
        </is>
      </c>
    </row>
    <row r="3699">
      <c r="A3699" t="inlineStr">
        <is>
          <t xml:space="preserve">HDFC Mutual Fund</t>
        </is>
      </c>
      <c r="B3699" t="inlineStr">
        <is>
          <t xml:space="preserve">HDFC Short Term  Debt Fund - Normal IDCW Option</t>
        </is>
      </c>
      <c r="C3699" t="inlineStr">
        <is>
          <t xml:space="preserve">INF179KA1Q79</t>
        </is>
      </c>
    </row>
    <row r="3700">
      <c r="A3700" t="inlineStr">
        <is>
          <t xml:space="preserve">HDFC Mutual Fund</t>
        </is>
      </c>
      <c r="B3700" t="inlineStr">
        <is>
          <t xml:space="preserve">HDFC Silver ETF - Growth Option</t>
        </is>
      </c>
      <c r="C3700" t="inlineStr">
        <is>
          <t xml:space="preserve">INF179KC1DI2</t>
        </is>
      </c>
    </row>
    <row r="3701">
      <c r="A3701" t="inlineStr">
        <is>
          <t xml:space="preserve">HDFC Mutual Fund</t>
        </is>
      </c>
      <c r="B3701" t="inlineStr">
        <is>
          <t xml:space="preserve">HDFC Silver ETF Fund of Fund - Growth Option</t>
        </is>
      </c>
      <c r="C3701" t="inlineStr">
        <is>
          <t xml:space="preserve">INF179KC1DV5</t>
        </is>
      </c>
    </row>
    <row r="3702">
      <c r="A3702" t="inlineStr">
        <is>
          <t xml:space="preserve">HDFC Mutual Fund</t>
        </is>
      </c>
      <c r="B3702" t="inlineStr">
        <is>
          <t xml:space="preserve">HDFC Silver ETF Fund of Fund - Growth Option - Direct Plan</t>
        </is>
      </c>
      <c r="C3702" t="inlineStr">
        <is>
          <t xml:space="preserve">INF179KC1DU7</t>
        </is>
      </c>
    </row>
    <row r="3703">
      <c r="A3703" t="inlineStr">
        <is>
          <t xml:space="preserve">HDFC Mutual Fund</t>
        </is>
      </c>
      <c r="B3703" t="inlineStr">
        <is>
          <t xml:space="preserve">HDFC Small Cap Fund - Growth Option</t>
        </is>
      </c>
      <c r="C3703" t="inlineStr">
        <is>
          <t xml:space="preserve">INF179KA1RZ8</t>
        </is>
      </c>
    </row>
    <row r="3704">
      <c r="A3704" t="inlineStr">
        <is>
          <t xml:space="preserve">HDFC Mutual Fund</t>
        </is>
      </c>
      <c r="B3704" t="inlineStr">
        <is>
          <t xml:space="preserve">HDFC Small Cap Fund - Growth Option - Direct Plan</t>
        </is>
      </c>
      <c r="C3704" t="inlineStr">
        <is>
          <t xml:space="preserve">INF179KA1RW5</t>
        </is>
      </c>
    </row>
    <row r="3705">
      <c r="A3705" t="inlineStr">
        <is>
          <t xml:space="preserve">HDFC Mutual Fund</t>
        </is>
      </c>
      <c r="B3705" t="inlineStr">
        <is>
          <t xml:space="preserve">HDFC Small Cap Fund - IDCW Option</t>
        </is>
      </c>
      <c r="C3705" t="inlineStr">
        <is>
          <t xml:space="preserve">INF179KA1SA9</t>
        </is>
      </c>
    </row>
    <row r="3706">
      <c r="A3706" t="inlineStr">
        <is>
          <t xml:space="preserve">HDFC Mutual Fund</t>
        </is>
      </c>
      <c r="B3706" t="inlineStr">
        <is>
          <t xml:space="preserve">HDFC Small Cap Fund - IDCW Option - Direct Plan</t>
        </is>
      </c>
      <c r="C3706" t="inlineStr">
        <is>
          <t xml:space="preserve">INF179KA1RX3</t>
        </is>
      </c>
    </row>
    <row r="3707">
      <c r="A3707" t="inlineStr">
        <is>
          <t xml:space="preserve">HDFC Mutual Fund</t>
        </is>
      </c>
      <c r="B3707" t="inlineStr">
        <is>
          <t xml:space="preserve">HDFC Technology Fund - Growth Option</t>
        </is>
      </c>
      <c r="C3707" t="inlineStr">
        <is>
          <t xml:space="preserve">INF179KC1HF9</t>
        </is>
      </c>
    </row>
    <row r="3708">
      <c r="A3708" t="inlineStr">
        <is>
          <t xml:space="preserve">HDFC Mutual Fund</t>
        </is>
      </c>
      <c r="B3708" t="inlineStr">
        <is>
          <t xml:space="preserve">HDFC Technology Fund - Growth Option - Direct Plan</t>
        </is>
      </c>
      <c r="C3708" t="inlineStr">
        <is>
          <t xml:space="preserve">INF179KC1HI3</t>
        </is>
      </c>
    </row>
    <row r="3709">
      <c r="A3709" t="inlineStr">
        <is>
          <t xml:space="preserve">HDFC Mutual Fund</t>
        </is>
      </c>
      <c r="B3709" t="inlineStr">
        <is>
          <t xml:space="preserve">HDFC Technology Fund - IDCW Option</t>
        </is>
      </c>
      <c r="C3709" t="inlineStr">
        <is>
          <t xml:space="preserve">INF179KC1HG7</t>
        </is>
      </c>
    </row>
    <row r="3710">
      <c r="A3710" t="inlineStr">
        <is>
          <t xml:space="preserve">HDFC Mutual Fund</t>
        </is>
      </c>
      <c r="B3710" t="inlineStr">
        <is>
          <t xml:space="preserve">HDFC Technology Fund - IDCW Option - Direct Plan</t>
        </is>
      </c>
      <c r="C3710" t="inlineStr">
        <is>
          <t xml:space="preserve">INF179KC1HJ1</t>
        </is>
      </c>
    </row>
    <row r="3711">
      <c r="A3711" t="inlineStr">
        <is>
          <t xml:space="preserve">HDFC Mutual Fund</t>
        </is>
      </c>
      <c r="B3711" t="inlineStr">
        <is>
          <t xml:space="preserve">HDFC Transportation and Logistics Fund - Growth Option</t>
        </is>
      </c>
      <c r="C3711" t="inlineStr">
        <is>
          <t xml:space="preserve">INF179KC1GX4</t>
        </is>
      </c>
    </row>
    <row r="3712">
      <c r="A3712" t="inlineStr">
        <is>
          <t xml:space="preserve">HDFC Mutual Fund</t>
        </is>
      </c>
      <c r="B3712" t="inlineStr">
        <is>
          <t xml:space="preserve">HDFC Transportation and Logistics Fund - Growth Option - Direct Plan</t>
        </is>
      </c>
      <c r="C3712" t="inlineStr">
        <is>
          <t xml:space="preserve">INF179KC1GU0</t>
        </is>
      </c>
    </row>
    <row r="3713">
      <c r="A3713" t="inlineStr">
        <is>
          <t xml:space="preserve">HDFC Mutual Fund</t>
        </is>
      </c>
      <c r="B3713" t="inlineStr">
        <is>
          <t xml:space="preserve">HDFC Transportation and Logistics Fund - IDCW Option</t>
        </is>
      </c>
      <c r="C3713" t="inlineStr">
        <is>
          <t xml:space="preserve">INF179KC1GY2</t>
        </is>
      </c>
    </row>
    <row r="3714">
      <c r="A3714" t="inlineStr">
        <is>
          <t xml:space="preserve">HDFC Mutual Fund</t>
        </is>
      </c>
      <c r="B3714" t="inlineStr">
        <is>
          <t xml:space="preserve">HDFC Transportation and Logistics Fund - IDCW Option - Direct Plan</t>
        </is>
      </c>
      <c r="C3714" t="inlineStr">
        <is>
          <t xml:space="preserve">INF179KC1GV8</t>
        </is>
      </c>
    </row>
    <row r="3715">
      <c r="A3715" t="inlineStr">
        <is>
          <t xml:space="preserve">HDFC Mutual Fund</t>
        </is>
      </c>
      <c r="B3715" t="inlineStr">
        <is>
          <t xml:space="preserve">HDFC Ultra Short Term Fund - Daily IDCW Option</t>
        </is>
      </c>
      <c r="C3715" t="inlineStr">
        <is>
          <t xml:space="preserve">INF179KB12R1</t>
        </is>
      </c>
    </row>
    <row r="3716">
      <c r="A3716" t="inlineStr">
        <is>
          <t xml:space="preserve">HDFC Mutual Fund</t>
        </is>
      </c>
      <c r="B3716" t="inlineStr">
        <is>
          <t xml:space="preserve">HDFC Ultra Short Term Fund - Direct Plan-Daily IDCW Option</t>
        </is>
      </c>
      <c r="C3716" t="inlineStr">
        <is>
          <t xml:space="preserve">INF179KB16Q4</t>
        </is>
      </c>
    </row>
    <row r="3717">
      <c r="A3717" t="inlineStr">
        <is>
          <t xml:space="preserve">HDFC Mutual Fund</t>
        </is>
      </c>
      <c r="B3717" t="inlineStr">
        <is>
          <t xml:space="preserve">HDFC Ultra Short Term Fund - Direct Plan-Growth Option</t>
        </is>
      </c>
      <c r="C3717" t="inlineStr">
        <is>
          <t xml:space="preserve">INF179KB15Q6</t>
        </is>
      </c>
    </row>
    <row r="3718">
      <c r="A3718" t="inlineStr">
        <is>
          <t xml:space="preserve">HDFC Mutual Fund</t>
        </is>
      </c>
      <c r="B3718" t="inlineStr">
        <is>
          <t xml:space="preserve">HDFC Ultra Short Term Fund - Direct Plan-Monthly IDCW Option</t>
        </is>
      </c>
      <c r="C3718" t="inlineStr">
        <is>
          <t xml:space="preserve">INF179KB10R5</t>
        </is>
      </c>
    </row>
    <row r="3719">
      <c r="A3719" t="inlineStr">
        <is>
          <t xml:space="preserve">HDFC Mutual Fund</t>
        </is>
      </c>
      <c r="B3719" t="inlineStr">
        <is>
          <t xml:space="preserve">HDFC Ultra Short Term Fund - Direct Plan-Weekly IDCW Option</t>
        </is>
      </c>
      <c r="C3719" t="inlineStr">
        <is>
          <t xml:space="preserve">INF179KB18Q0</t>
        </is>
      </c>
    </row>
    <row r="3720">
      <c r="A3720" t="inlineStr">
        <is>
          <t xml:space="preserve">HDFC Mutual Fund</t>
        </is>
      </c>
      <c r="B3720" t="inlineStr">
        <is>
          <t xml:space="preserve">HDFC Ultra Short Term Fund - Growth Option</t>
        </is>
      </c>
      <c r="C3720" t="inlineStr">
        <is>
          <t xml:space="preserve">INF179KB11R3</t>
        </is>
      </c>
    </row>
    <row r="3721">
      <c r="A3721" t="inlineStr">
        <is>
          <t xml:space="preserve">HDFC Mutual Fund</t>
        </is>
      </c>
      <c r="B3721" t="inlineStr">
        <is>
          <t xml:space="preserve">HDFC Ultra Short Term Fund - Monthly IDCW Option</t>
        </is>
      </c>
      <c r="C3721" t="inlineStr">
        <is>
          <t xml:space="preserve">INF179KB16R2</t>
        </is>
      </c>
    </row>
    <row r="3722">
      <c r="A3722" t="inlineStr">
        <is>
          <t xml:space="preserve">HDFC Mutual Fund</t>
        </is>
      </c>
      <c r="B3722" t="inlineStr">
        <is>
          <t xml:space="preserve">HDFC Ultra Short Term Fund - Weekly IDCW Option</t>
        </is>
      </c>
      <c r="C3722" t="inlineStr">
        <is>
          <t xml:space="preserve">INF179KB14R7</t>
        </is>
      </c>
    </row>
    <row r="3723">
      <c r="A3723" t="inlineStr">
        <is>
          <t xml:space="preserve">HDFC Mutual Fund</t>
        </is>
      </c>
      <c r="B3723" t="inlineStr">
        <is>
          <t xml:space="preserve">HDFC Value Fund - Growth Option - Direct Plan</t>
        </is>
      </c>
      <c r="C3723" t="inlineStr">
        <is>
          <t xml:space="preserve">INF179K01VC4</t>
        </is>
      </c>
    </row>
    <row r="3724">
      <c r="A3724" t="inlineStr">
        <is>
          <t xml:space="preserve">HDFC Mutual Fund</t>
        </is>
      </c>
      <c r="B3724" t="inlineStr">
        <is>
          <t xml:space="preserve">HDFC Value Fund - Growth Plan</t>
        </is>
      </c>
      <c r="C3724" t="inlineStr">
        <is>
          <t xml:space="preserve">INF179K01426</t>
        </is>
      </c>
    </row>
    <row r="3725">
      <c r="A3725" t="inlineStr">
        <is>
          <t xml:space="preserve">HDFC Mutual Fund</t>
        </is>
      </c>
      <c r="B3725" t="inlineStr">
        <is>
          <t xml:space="preserve">HDFC Value Fund - IDCW Option - Direct Plan</t>
        </is>
      </c>
      <c r="C3725" t="inlineStr">
        <is>
          <t xml:space="preserve">INF179K01VA8</t>
        </is>
      </c>
    </row>
    <row r="3726">
      <c r="A3726" t="inlineStr">
        <is>
          <t xml:space="preserve">HDFC Mutual Fund</t>
        </is>
      </c>
      <c r="B3726" t="inlineStr">
        <is>
          <t xml:space="preserve">HDFC Value Fund - IDCW Plan</t>
        </is>
      </c>
      <c r="C3726" t="inlineStr">
        <is>
          <t xml:space="preserve">INF179K01400</t>
        </is>
      </c>
    </row>
    <row r="3727">
      <c r="A3727" t="inlineStr">
        <is>
          <t xml:space="preserve">Helios Mutual Fund</t>
        </is>
      </c>
      <c r="B3727" t="inlineStr">
        <is>
          <t xml:space="preserve">Helios Arbitrage Fund - Direct Growth</t>
        </is>
      </c>
      <c r="C3727" t="inlineStr">
        <is>
          <t xml:space="preserve">INF0R8701442</t>
        </is>
      </c>
    </row>
    <row r="3728">
      <c r="A3728" t="inlineStr">
        <is>
          <t xml:space="preserve">Helios Mutual Fund</t>
        </is>
      </c>
      <c r="B3728" t="inlineStr">
        <is>
          <t xml:space="preserve">Helios Arbitrage Fund - Direct IDCW</t>
        </is>
      </c>
      <c r="C3728" t="inlineStr">
        <is>
          <t xml:space="preserve">INF0R8701459</t>
        </is>
      </c>
    </row>
    <row r="3729">
      <c r="A3729" t="inlineStr">
        <is>
          <t xml:space="preserve">Helios Mutual Fund</t>
        </is>
      </c>
      <c r="B3729" t="inlineStr">
        <is>
          <t xml:space="preserve">Helios Arbitrage Fund - Regular Growth</t>
        </is>
      </c>
      <c r="C3729" t="inlineStr">
        <is>
          <t xml:space="preserve">INF0R8701418</t>
        </is>
      </c>
    </row>
    <row r="3730">
      <c r="A3730" t="inlineStr">
        <is>
          <t xml:space="preserve">Helios Mutual Fund</t>
        </is>
      </c>
      <c r="B3730" t="inlineStr">
        <is>
          <t xml:space="preserve">Helios Arbitrage Fund - Regular IDCW</t>
        </is>
      </c>
      <c r="C3730" t="inlineStr">
        <is>
          <t xml:space="preserve">INF0R8701426</t>
        </is>
      </c>
    </row>
    <row r="3731">
      <c r="A3731" t="inlineStr">
        <is>
          <t xml:space="preserve">Helios Mutual Fund</t>
        </is>
      </c>
      <c r="B3731" t="inlineStr">
        <is>
          <t xml:space="preserve">Helios Balanced Advantage Fund- Direct Plan- Growth Option</t>
        </is>
      </c>
      <c r="C3731" t="inlineStr">
        <is>
          <t xml:space="preserve">INF0R8701145</t>
        </is>
      </c>
    </row>
    <row r="3732">
      <c r="A3732" t="inlineStr">
        <is>
          <t xml:space="preserve">Helios Mutual Fund</t>
        </is>
      </c>
      <c r="B3732" t="inlineStr">
        <is>
          <t xml:space="preserve">Helios Balanced Advantage Fund- Direct Plan-IDCW Option</t>
        </is>
      </c>
      <c r="C3732" t="inlineStr">
        <is>
          <t xml:space="preserve">INF0R8701152</t>
        </is>
      </c>
    </row>
    <row r="3733">
      <c r="A3733" t="inlineStr">
        <is>
          <t xml:space="preserve">Helios Mutual Fund</t>
        </is>
      </c>
      <c r="B3733" t="inlineStr">
        <is>
          <t xml:space="preserve">Helios Balanced Advantage Fund- Regular Plan- Growth Option</t>
        </is>
      </c>
      <c r="C3733" t="inlineStr">
        <is>
          <t xml:space="preserve">INF0R8701111</t>
        </is>
      </c>
    </row>
    <row r="3734">
      <c r="A3734" t="inlineStr">
        <is>
          <t xml:space="preserve">Helios Mutual Fund</t>
        </is>
      </c>
      <c r="B3734" t="inlineStr">
        <is>
          <t xml:space="preserve">Helios Balanced Advantage Fund- Regular Plan-IDCW Option</t>
        </is>
      </c>
      <c r="C3734" t="inlineStr">
        <is>
          <t xml:space="preserve">INF0R8701129</t>
        </is>
      </c>
    </row>
    <row r="3735">
      <c r="A3735" t="inlineStr">
        <is>
          <t xml:space="preserve">Helios Mutual Fund</t>
        </is>
      </c>
      <c r="B3735" t="inlineStr">
        <is>
          <t xml:space="preserve">Helios Financial Services Fund - Direct Plan - Growth Option</t>
        </is>
      </c>
      <c r="C3735" t="inlineStr">
        <is>
          <t xml:space="preserve">INF0R8701202</t>
        </is>
      </c>
    </row>
    <row r="3736">
      <c r="A3736" t="inlineStr">
        <is>
          <t xml:space="preserve">Helios Mutual Fund</t>
        </is>
      </c>
      <c r="B3736" t="inlineStr">
        <is>
          <t xml:space="preserve">Helios Financial Services Fund - Direct Plan - IDCW Option</t>
        </is>
      </c>
      <c r="C3736" t="inlineStr">
        <is>
          <t xml:space="preserve">INF0R8701210</t>
        </is>
      </c>
    </row>
    <row r="3737">
      <c r="A3737" t="inlineStr">
        <is>
          <t xml:space="preserve">Helios Mutual Fund</t>
        </is>
      </c>
      <c r="B3737" t="inlineStr">
        <is>
          <t xml:space="preserve">Helios Financial Services Fund - Regular Plan - Growth Option</t>
        </is>
      </c>
      <c r="C3737" t="inlineStr">
        <is>
          <t xml:space="preserve">INF0R8701178</t>
        </is>
      </c>
    </row>
    <row r="3738">
      <c r="A3738" t="inlineStr">
        <is>
          <t xml:space="preserve">Helios Mutual Fund</t>
        </is>
      </c>
      <c r="B3738" t="inlineStr">
        <is>
          <t xml:space="preserve">Helios Financial Services Fund - Regular Plan - IDCW Option</t>
        </is>
      </c>
      <c r="C3738" t="inlineStr">
        <is>
          <t xml:space="preserve">INF0R8701186</t>
        </is>
      </c>
    </row>
    <row r="3739">
      <c r="A3739" t="inlineStr">
        <is>
          <t xml:space="preserve">Helios Mutual Fund</t>
        </is>
      </c>
      <c r="B3739" t="inlineStr">
        <is>
          <t xml:space="preserve">Helios Flexi Cap Fund - Direct Plan - Growth Option</t>
        </is>
      </c>
      <c r="C3739" t="inlineStr">
        <is>
          <t xml:space="preserve">INF0R8701046</t>
        </is>
      </c>
    </row>
    <row r="3740">
      <c r="A3740" t="inlineStr">
        <is>
          <t xml:space="preserve">Helios Mutual Fund</t>
        </is>
      </c>
      <c r="B3740" t="inlineStr">
        <is>
          <t xml:space="preserve">Helios Flexi Cap Fund - Direct Plan - IDCW Option</t>
        </is>
      </c>
      <c r="C3740" t="inlineStr">
        <is>
          <t xml:space="preserve">INF0R8701053</t>
        </is>
      </c>
    </row>
    <row r="3741">
      <c r="A3741" t="inlineStr">
        <is>
          <t xml:space="preserve">Helios Mutual Fund</t>
        </is>
      </c>
      <c r="B3741" t="inlineStr">
        <is>
          <t xml:space="preserve">Helios Flexi Cap Fund - Regular Plan - Growth Option</t>
        </is>
      </c>
      <c r="C3741" t="inlineStr">
        <is>
          <t xml:space="preserve">INF0R8701012</t>
        </is>
      </c>
    </row>
    <row r="3742">
      <c r="A3742" t="inlineStr">
        <is>
          <t xml:space="preserve">Helios Mutual Fund</t>
        </is>
      </c>
      <c r="B3742" t="inlineStr">
        <is>
          <t xml:space="preserve">Helios Flexi Cap Fund - Regular Plan - IDCW Option</t>
        </is>
      </c>
      <c r="C3742" t="inlineStr">
        <is>
          <t xml:space="preserve">INF0R8701020</t>
        </is>
      </c>
    </row>
    <row r="3743">
      <c r="A3743" t="inlineStr">
        <is>
          <t xml:space="preserve">Helios Mutual Fund</t>
        </is>
      </c>
      <c r="B3743" t="inlineStr">
        <is>
          <t xml:space="preserve">Helios Large &amp; Mid Cap Fund - Direct Plan - Growth Option</t>
        </is>
      </c>
      <c r="C3743" t="inlineStr">
        <is>
          <t xml:space="preserve">INF0R8701269</t>
        </is>
      </c>
    </row>
    <row r="3744">
      <c r="A3744" t="inlineStr">
        <is>
          <t xml:space="preserve">Helios Mutual Fund</t>
        </is>
      </c>
      <c r="B3744" t="inlineStr">
        <is>
          <t xml:space="preserve">Helios Large &amp; Mid Cap Fund - Direct Plan - IDCW Option</t>
        </is>
      </c>
      <c r="C3744" t="inlineStr">
        <is>
          <t xml:space="preserve">INF0R8701277</t>
        </is>
      </c>
    </row>
    <row r="3745">
      <c r="A3745" t="inlineStr">
        <is>
          <t xml:space="preserve">Helios Mutual Fund</t>
        </is>
      </c>
      <c r="B3745" t="inlineStr">
        <is>
          <t xml:space="preserve">Helios Large &amp; Mid Cap Fund - Regular Plan - Growth Option</t>
        </is>
      </c>
      <c r="C3745" t="inlineStr">
        <is>
          <t xml:space="preserve">INF0R8701236</t>
        </is>
      </c>
    </row>
    <row r="3746">
      <c r="A3746" t="inlineStr">
        <is>
          <t xml:space="preserve">Helios Mutual Fund</t>
        </is>
      </c>
      <c r="B3746" t="inlineStr">
        <is>
          <t xml:space="preserve">Helios Large &amp; Mid Cap Fund - Regular Plan - IDCW Option</t>
        </is>
      </c>
      <c r="C3746" t="inlineStr">
        <is>
          <t xml:space="preserve">INF0R8701244</t>
        </is>
      </c>
    </row>
    <row r="3747">
      <c r="A3747" t="inlineStr">
        <is>
          <t xml:space="preserve">Helios Mutual Fund</t>
        </is>
      </c>
      <c r="B3747" t="inlineStr">
        <is>
          <t xml:space="preserve">Helios Mid Cap Fund - Direct Plan - Growth Option</t>
        </is>
      </c>
      <c r="C3747" t="inlineStr">
        <is>
          <t xml:space="preserve">INF0R8701327</t>
        </is>
      </c>
    </row>
    <row r="3748">
      <c r="A3748" t="inlineStr">
        <is>
          <t xml:space="preserve">Helios Mutual Fund</t>
        </is>
      </c>
      <c r="B3748" t="inlineStr">
        <is>
          <t xml:space="preserve">Helios Mid Cap Fund - Direct Plan - IDCW Option</t>
        </is>
      </c>
      <c r="C3748" t="inlineStr">
        <is>
          <t xml:space="preserve">INF0R8701335</t>
        </is>
      </c>
    </row>
    <row r="3749">
      <c r="A3749" t="inlineStr">
        <is>
          <t xml:space="preserve">Helios Mutual Fund</t>
        </is>
      </c>
      <c r="B3749" t="inlineStr">
        <is>
          <t xml:space="preserve">Helios Mid Cap Fund - Regular Plan - Growth Plan</t>
        </is>
      </c>
      <c r="C3749" t="inlineStr">
        <is>
          <t xml:space="preserve">INF0R8701293</t>
        </is>
      </c>
    </row>
    <row r="3750">
      <c r="A3750" t="inlineStr">
        <is>
          <t xml:space="preserve">Helios Mutual Fund</t>
        </is>
      </c>
      <c r="B3750" t="inlineStr">
        <is>
          <t xml:space="preserve">Helios Mid Cap Fund - Regular Plan - IDCW Option</t>
        </is>
      </c>
      <c r="C3750" t="inlineStr">
        <is>
          <t xml:space="preserve">INF0R8701301</t>
        </is>
      </c>
    </row>
    <row r="3751">
      <c r="A3751" t="inlineStr">
        <is>
          <t xml:space="preserve">Helios Mutual Fund</t>
        </is>
      </c>
      <c r="B3751" t="inlineStr">
        <is>
          <t xml:space="preserve">Helios Overnight Fund - Direct Plan - Daily IDCW Option</t>
        </is>
      </c>
      <c r="C3751" t="inlineStr">
        <is>
          <t xml:space="preserve">INF0R8701087</t>
        </is>
      </c>
    </row>
    <row r="3752">
      <c r="A3752" t="inlineStr">
        <is>
          <t xml:space="preserve">Helios Mutual Fund</t>
        </is>
      </c>
      <c r="B3752" t="inlineStr">
        <is>
          <t xml:space="preserve">Helios Overnight Fund - Direct Plan - Growth Option</t>
        </is>
      </c>
      <c r="C3752" t="inlineStr">
        <is>
          <t xml:space="preserve">INF0R8701079</t>
        </is>
      </c>
    </row>
    <row r="3753">
      <c r="A3753" t="inlineStr">
        <is>
          <t xml:space="preserve">Helios Mutual Fund</t>
        </is>
      </c>
      <c r="B3753" t="inlineStr">
        <is>
          <t xml:space="preserve">Helios Overnight Fund - Regular Plan - Daily IDCW Option</t>
        </is>
      </c>
      <c r="C3753" t="inlineStr">
        <is>
          <t xml:space="preserve">INF0R8701103</t>
        </is>
      </c>
    </row>
    <row r="3754">
      <c r="A3754" t="inlineStr">
        <is>
          <t xml:space="preserve">Helios Mutual Fund</t>
        </is>
      </c>
      <c r="B3754" t="inlineStr">
        <is>
          <t xml:space="preserve">Helios Overnight Fund - Regular Plan - Growth Option</t>
        </is>
      </c>
      <c r="C3754" t="inlineStr">
        <is>
          <t xml:space="preserve">INF0R8701095</t>
        </is>
      </c>
    </row>
    <row r="3755">
      <c r="A3755" t="inlineStr">
        <is>
          <t xml:space="preserve">Helios Mutual Fund</t>
        </is>
      </c>
      <c r="B3755" t="inlineStr">
        <is>
          <t xml:space="preserve">Helios Small Cap Fund - Direct Plan - Growth Option</t>
        </is>
      </c>
      <c r="C3755" t="inlineStr">
        <is>
          <t xml:space="preserve">INF0R8701384</t>
        </is>
      </c>
    </row>
    <row r="3756">
      <c r="A3756" t="inlineStr">
        <is>
          <t xml:space="preserve">Helios Mutual Fund</t>
        </is>
      </c>
      <c r="B3756" t="inlineStr">
        <is>
          <t xml:space="preserve">Helios Small Cap Fund - Direct Plan - IDCW Option</t>
        </is>
      </c>
      <c r="C3756" t="inlineStr">
        <is>
          <t xml:space="preserve">INF0R8701392</t>
        </is>
      </c>
    </row>
    <row r="3757">
      <c r="A3757" t="inlineStr">
        <is>
          <t xml:space="preserve">Helios Mutual Fund</t>
        </is>
      </c>
      <c r="B3757" t="inlineStr">
        <is>
          <t xml:space="preserve">Helios Small Cap Fund - Regular Plan - Growth Option</t>
        </is>
      </c>
      <c r="C3757" t="inlineStr">
        <is>
          <t xml:space="preserve">INF0R8701350</t>
        </is>
      </c>
    </row>
    <row r="3758">
      <c r="A3758" t="inlineStr">
        <is>
          <t xml:space="preserve">Helios Mutual Fund</t>
        </is>
      </c>
      <c r="B3758" t="inlineStr">
        <is>
          <t xml:space="preserve">Helios Small Cap Fund - Regular Plan - IDCW Option</t>
        </is>
      </c>
      <c r="C3758" t="inlineStr">
        <is>
          <t xml:space="preserve">INF0R8701368</t>
        </is>
      </c>
    </row>
    <row r="3759">
      <c r="A3759" t="inlineStr">
        <is>
          <t xml:space="preserve">HSBC Mutual Fund</t>
        </is>
      </c>
      <c r="B3759" t="inlineStr">
        <is>
          <t xml:space="preserve">HSBC Aggressive Hybrid Active FOF - Dividend</t>
        </is>
      </c>
      <c r="C3759" t="inlineStr">
        <is>
          <t xml:space="preserve">INF336L01HY1</t>
        </is>
      </c>
    </row>
    <row r="3760">
      <c r="A3760" t="inlineStr">
        <is>
          <t xml:space="preserve">HSBC Mutual Fund</t>
        </is>
      </c>
      <c r="B3760" t="inlineStr">
        <is>
          <t xml:space="preserve">HSBC Aggressive Hybrid Active FOF - Dividend Direct</t>
        </is>
      </c>
      <c r="C3760" t="inlineStr">
        <is>
          <t xml:space="preserve">INF336L01IB7</t>
        </is>
      </c>
    </row>
    <row r="3761">
      <c r="A3761" t="inlineStr">
        <is>
          <t xml:space="preserve">HSBC Mutual Fund</t>
        </is>
      </c>
      <c r="B3761" t="inlineStr">
        <is>
          <t xml:space="preserve">HSBC Aggressive Hybrid Active FOF - Growth</t>
        </is>
      </c>
      <c r="C3761" t="inlineStr">
        <is>
          <t xml:space="preserve">INF336L01IA9</t>
        </is>
      </c>
    </row>
    <row r="3762">
      <c r="A3762" t="inlineStr">
        <is>
          <t xml:space="preserve">HSBC Mutual Fund</t>
        </is>
      </c>
      <c r="B3762" t="inlineStr">
        <is>
          <t xml:space="preserve">HSBC Aggressive Hybrid Active FOF - Growth Direct</t>
        </is>
      </c>
      <c r="C3762" t="inlineStr">
        <is>
          <t xml:space="preserve">INF336L01ID3</t>
        </is>
      </c>
    </row>
    <row r="3763">
      <c r="A3763" t="inlineStr">
        <is>
          <t xml:space="preserve">HSBC Mutual Fund</t>
        </is>
      </c>
      <c r="B3763" t="inlineStr">
        <is>
          <t xml:space="preserve">HSBC Aggressive Hybrid Fund - Direct Annual IDCW</t>
        </is>
      </c>
      <c r="C3763" t="inlineStr">
        <is>
          <t xml:space="preserve">INF917K01TY5</t>
        </is>
      </c>
    </row>
    <row r="3764">
      <c r="A3764" t="inlineStr">
        <is>
          <t xml:space="preserve">HSBC Mutual Fund</t>
        </is>
      </c>
      <c r="B3764" t="inlineStr">
        <is>
          <t xml:space="preserve">HSBC Aggressive Hybrid Fund - Direct Growth</t>
        </is>
      </c>
      <c r="C3764" t="inlineStr">
        <is>
          <t xml:space="preserve">INF917K01LE4</t>
        </is>
      </c>
    </row>
    <row r="3765">
      <c r="A3765" t="inlineStr">
        <is>
          <t xml:space="preserve">HSBC Mutual Fund</t>
        </is>
      </c>
      <c r="B3765" t="inlineStr">
        <is>
          <t xml:space="preserve">HSBC Aggressive Hybrid Fund - Direct IDCW</t>
        </is>
      </c>
      <c r="C3765" t="inlineStr">
        <is>
          <t xml:space="preserve">INF917K01E45</t>
        </is>
      </c>
    </row>
    <row r="3766">
      <c r="A3766" t="inlineStr">
        <is>
          <t xml:space="preserve">HSBC Mutual Fund</t>
        </is>
      </c>
      <c r="B3766" t="inlineStr">
        <is>
          <t xml:space="preserve">HSBC Aggressive Hybrid Fund - Regular Annual IDCW</t>
        </is>
      </c>
      <c r="C3766" t="inlineStr">
        <is>
          <t xml:space="preserve">INF917K01TW9</t>
        </is>
      </c>
    </row>
    <row r="3767">
      <c r="A3767" t="inlineStr">
        <is>
          <t xml:space="preserve">HSBC Mutual Fund</t>
        </is>
      </c>
      <c r="B3767" t="inlineStr">
        <is>
          <t xml:space="preserve">HSBC Aggressive Hybrid Fund - Regular Growth</t>
        </is>
      </c>
      <c r="C3767" t="inlineStr">
        <is>
          <t xml:space="preserve">INF917K01LB0</t>
        </is>
      </c>
    </row>
    <row r="3768">
      <c r="A3768" t="inlineStr">
        <is>
          <t xml:space="preserve">HSBC Mutual Fund</t>
        </is>
      </c>
      <c r="B3768" t="inlineStr">
        <is>
          <t xml:space="preserve">HSBC Aggressive Hybrid Fund - Regular IDCW</t>
        </is>
      </c>
      <c r="C3768" t="inlineStr">
        <is>
          <t xml:space="preserve">INF917K01KZ1</t>
        </is>
      </c>
    </row>
    <row r="3769">
      <c r="A3769" t="inlineStr">
        <is>
          <t xml:space="preserve">HSBC Mutual Fund</t>
        </is>
      </c>
      <c r="B3769" t="inlineStr">
        <is>
          <t xml:space="preserve">HSBC Arbitrage Fund - Direct Growth</t>
        </is>
      </c>
      <c r="C3769" t="inlineStr">
        <is>
          <t xml:space="preserve">INF917K01QR5</t>
        </is>
      </c>
    </row>
    <row r="3770">
      <c r="A3770" t="inlineStr">
        <is>
          <t xml:space="preserve">HSBC Mutual Fund</t>
        </is>
      </c>
      <c r="B3770" t="inlineStr">
        <is>
          <t xml:space="preserve">HSBC Arbitrage Fund - Direct Monthly IDCW</t>
        </is>
      </c>
      <c r="C3770" t="inlineStr">
        <is>
          <t xml:space="preserve">INF917K01QT1</t>
        </is>
      </c>
    </row>
    <row r="3771">
      <c r="A3771" t="inlineStr">
        <is>
          <t xml:space="preserve">HSBC Mutual Fund</t>
        </is>
      </c>
      <c r="B3771" t="inlineStr">
        <is>
          <t xml:space="preserve">HSBC Arbitrage Fund - Direct Quarterly IDCW</t>
        </is>
      </c>
      <c r="C3771" t="inlineStr">
        <is>
          <t xml:space="preserve">INF917K01QV7</t>
        </is>
      </c>
    </row>
    <row r="3772">
      <c r="A3772" t="inlineStr">
        <is>
          <t xml:space="preserve">HSBC Mutual Fund</t>
        </is>
      </c>
      <c r="B3772" t="inlineStr">
        <is>
          <t xml:space="preserve">HSBC Arbitrage Fund - Regular Growth</t>
        </is>
      </c>
      <c r="C3772" t="inlineStr">
        <is>
          <t xml:space="preserve">INF917K01QL8</t>
        </is>
      </c>
    </row>
    <row r="3773">
      <c r="A3773" t="inlineStr">
        <is>
          <t xml:space="preserve">HSBC Mutual Fund</t>
        </is>
      </c>
      <c r="B3773" t="inlineStr">
        <is>
          <t xml:space="preserve">HSBC Arbitrage Fund - Regular Monthly IDCW</t>
        </is>
      </c>
      <c r="C3773" t="inlineStr">
        <is>
          <t xml:space="preserve">INF917K01QN4</t>
        </is>
      </c>
    </row>
    <row r="3774">
      <c r="A3774" t="inlineStr">
        <is>
          <t xml:space="preserve">HSBC Mutual Fund</t>
        </is>
      </c>
      <c r="B3774" t="inlineStr">
        <is>
          <t xml:space="preserve">HSBC Arbitrage Fund - Regular Quarterly IDCW</t>
        </is>
      </c>
      <c r="C3774" t="inlineStr">
        <is>
          <t xml:space="preserve">INF917K01QP9</t>
        </is>
      </c>
    </row>
    <row r="3775">
      <c r="A3775" t="inlineStr">
        <is>
          <t xml:space="preserve">HSBC Mutual Fund</t>
        </is>
      </c>
      <c r="B3775" t="inlineStr">
        <is>
          <t xml:space="preserve">HSBC Asia Pacific (Ex Japan) Dividend Yield Fund - Growth</t>
        </is>
      </c>
      <c r="C3775" t="inlineStr">
        <is>
          <t xml:space="preserve">INF336L01HC7</t>
        </is>
      </c>
    </row>
    <row r="3776">
      <c r="A3776" t="inlineStr">
        <is>
          <t xml:space="preserve">HSBC Mutual Fund</t>
        </is>
      </c>
      <c r="B3776" t="inlineStr">
        <is>
          <t xml:space="preserve">HSBC Asia Pacific (Ex Japan) Dividend Yield Fund - Growth Direct</t>
        </is>
      </c>
      <c r="C3776" t="inlineStr">
        <is>
          <t xml:space="preserve">INF336L01HF0</t>
        </is>
      </c>
    </row>
    <row r="3777">
      <c r="A3777" t="inlineStr">
        <is>
          <t xml:space="preserve">HSBC Mutual Fund</t>
        </is>
      </c>
      <c r="B3777" t="inlineStr">
        <is>
          <t xml:space="preserve">HSBC Asia Pacific IDCW Yield Fund Direct Plan IDCW</t>
        </is>
      </c>
      <c r="C3777" t="inlineStr">
        <is>
          <t xml:space="preserve">INF336L01HG8</t>
        </is>
      </c>
    </row>
    <row r="3778">
      <c r="A3778" t="inlineStr">
        <is>
          <t xml:space="preserve">HSBC Mutual Fund</t>
        </is>
      </c>
      <c r="B3778" t="inlineStr">
        <is>
          <t xml:space="preserve">HSBC Asia Pacific IDCW Yield Fund IDCW</t>
        </is>
      </c>
      <c r="C3778" t="inlineStr">
        <is>
          <t xml:space="preserve">INF336L01HD5</t>
        </is>
      </c>
    </row>
    <row r="3779">
      <c r="A3779" t="inlineStr">
        <is>
          <t xml:space="preserve">HSBC Mutual Fund</t>
        </is>
      </c>
      <c r="B3779" t="inlineStr">
        <is>
          <t xml:space="preserve">HSBC Balanced Advantage Fund - Direct Growth</t>
        </is>
      </c>
      <c r="C3779" t="inlineStr">
        <is>
          <t xml:space="preserve">INF917K01IN1</t>
        </is>
      </c>
    </row>
    <row r="3780">
      <c r="A3780" t="inlineStr">
        <is>
          <t xml:space="preserve">HSBC Mutual Fund</t>
        </is>
      </c>
      <c r="B3780" t="inlineStr">
        <is>
          <t xml:space="preserve">HSBC Balanced Advantage Fund - Direct IDCW</t>
        </is>
      </c>
      <c r="C3780" t="inlineStr">
        <is>
          <t xml:space="preserve">INF917K01IM3</t>
        </is>
      </c>
    </row>
    <row r="3781">
      <c r="A3781" t="inlineStr">
        <is>
          <t xml:space="preserve">HSBC Mutual Fund</t>
        </is>
      </c>
      <c r="B3781" t="inlineStr">
        <is>
          <t xml:space="preserve">HSBC Balanced Advantage Fund - Regular Growth</t>
        </is>
      </c>
      <c r="C3781" t="inlineStr">
        <is>
          <t xml:space="preserve">INF917K01KY4</t>
        </is>
      </c>
    </row>
    <row r="3782">
      <c r="A3782" t="inlineStr">
        <is>
          <t xml:space="preserve">HSBC Mutual Fund</t>
        </is>
      </c>
      <c r="B3782" t="inlineStr">
        <is>
          <t xml:space="preserve">HSBC Balanced Advantage Fund - Regular IDCW</t>
        </is>
      </c>
      <c r="C3782" t="inlineStr">
        <is>
          <t xml:space="preserve">INF917K01KW8</t>
        </is>
      </c>
    </row>
    <row r="3783">
      <c r="A3783" t="inlineStr">
        <is>
          <t xml:space="preserve">HSBC Mutual Fund</t>
        </is>
      </c>
      <c r="B3783" t="inlineStr">
        <is>
          <t xml:space="preserve">HSBC Banking and PSU Debt Fund - Direct Daily IDCW</t>
        </is>
      </c>
      <c r="C3783" t="inlineStr">
        <is>
          <t xml:space="preserve">INF917K01HL7</t>
        </is>
      </c>
    </row>
    <row r="3784">
      <c r="A3784" t="inlineStr">
        <is>
          <t xml:space="preserve">HSBC Mutual Fund</t>
        </is>
      </c>
      <c r="B3784" t="inlineStr">
        <is>
          <t xml:space="preserve">HSBC Banking and PSU Debt Fund - Direct Growth</t>
        </is>
      </c>
      <c r="C3784" t="inlineStr">
        <is>
          <t xml:space="preserve">INF917K01HH5</t>
        </is>
      </c>
    </row>
    <row r="3785">
      <c r="A3785" t="inlineStr">
        <is>
          <t xml:space="preserve">HSBC Mutual Fund</t>
        </is>
      </c>
      <c r="B3785" t="inlineStr">
        <is>
          <t xml:space="preserve">HSBC Banking and PSU Debt Fund - Direct Monthly IDCW</t>
        </is>
      </c>
      <c r="C3785" t="inlineStr">
        <is>
          <t xml:space="preserve">INF917K01HJ1</t>
        </is>
      </c>
    </row>
    <row r="3786">
      <c r="A3786" t="inlineStr">
        <is>
          <t xml:space="preserve">HSBC Mutual Fund</t>
        </is>
      </c>
      <c r="B3786" t="inlineStr">
        <is>
          <t xml:space="preserve">HSBC Banking and PSU Debt Fund - Direct Weekly IDCW</t>
        </is>
      </c>
      <c r="C3786" t="inlineStr">
        <is>
          <t xml:space="preserve">INF917K01HK9</t>
        </is>
      </c>
    </row>
    <row r="3787">
      <c r="A3787" t="inlineStr">
        <is>
          <t xml:space="preserve">HSBC Mutual Fund</t>
        </is>
      </c>
      <c r="B3787" t="inlineStr">
        <is>
          <t xml:space="preserve">HSBC Banking and PSU Debt Fund - Regular Daily IDCW</t>
        </is>
      </c>
      <c r="C3787" t="inlineStr">
        <is>
          <t xml:space="preserve">INF677K01AF4</t>
        </is>
      </c>
    </row>
    <row r="3788">
      <c r="A3788" t="inlineStr">
        <is>
          <t xml:space="preserve">HSBC Mutual Fund</t>
        </is>
      </c>
      <c r="B3788" t="inlineStr">
        <is>
          <t xml:space="preserve">HSBC Banking and PSU Debt Fund - Regular Growth</t>
        </is>
      </c>
      <c r="C3788" t="inlineStr">
        <is>
          <t xml:space="preserve">INF677K01AE7</t>
        </is>
      </c>
    </row>
    <row r="3789">
      <c r="A3789" t="inlineStr">
        <is>
          <t xml:space="preserve">HSBC Mutual Fund</t>
        </is>
      </c>
      <c r="B3789" t="inlineStr">
        <is>
          <t xml:space="preserve">HSBC Banking and PSU Debt Fund - Regular Monthly IDCW</t>
        </is>
      </c>
      <c r="C3789" t="inlineStr">
        <is>
          <t xml:space="preserve">INF677K01AI8</t>
        </is>
      </c>
    </row>
    <row r="3790">
      <c r="A3790" t="inlineStr">
        <is>
          <t xml:space="preserve">HSBC Mutual Fund</t>
        </is>
      </c>
      <c r="B3790" t="inlineStr">
        <is>
          <t xml:space="preserve">HSBC Banking and PSU Debt Fund - Regular Weekly IDCW</t>
        </is>
      </c>
      <c r="C3790" t="inlineStr">
        <is>
          <t xml:space="preserve">INF917K01HM5</t>
        </is>
      </c>
    </row>
    <row r="3791">
      <c r="A3791" t="inlineStr">
        <is>
          <t xml:space="preserve">HSBC Mutual Fund</t>
        </is>
      </c>
      <c r="B3791" t="inlineStr">
        <is>
          <t xml:space="preserve">HSBC Brazil Fund - Growth Direct</t>
        </is>
      </c>
      <c r="C3791" t="inlineStr">
        <is>
          <t xml:space="preserve">INF336L01BY4</t>
        </is>
      </c>
    </row>
    <row r="3792">
      <c r="A3792" t="inlineStr">
        <is>
          <t xml:space="preserve">HSBC Mutual Fund</t>
        </is>
      </c>
      <c r="B3792" t="inlineStr">
        <is>
          <t xml:space="preserve">HSBC Brazil Fund - IDCW</t>
        </is>
      </c>
      <c r="C3792" t="inlineStr">
        <is>
          <t xml:space="preserve">INF336L01172</t>
        </is>
      </c>
    </row>
    <row r="3793">
      <c r="A3793" t="inlineStr">
        <is>
          <t xml:space="preserve">HSBC Mutual Fund</t>
        </is>
      </c>
      <c r="B3793" t="inlineStr">
        <is>
          <t xml:space="preserve">HSBC Brazil Fund - IDCW Direct Plan</t>
        </is>
      </c>
      <c r="C3793" t="inlineStr">
        <is>
          <t xml:space="preserve">INF336L01BW8</t>
        </is>
      </c>
    </row>
    <row r="3794">
      <c r="A3794" t="inlineStr">
        <is>
          <t xml:space="preserve">HSBC Mutual Fund</t>
        </is>
      </c>
      <c r="B3794" t="inlineStr">
        <is>
          <t xml:space="preserve">HSBC Brazil Fund-Growth</t>
        </is>
      </c>
      <c r="C3794" t="inlineStr">
        <is>
          <t xml:space="preserve">INF336L01164</t>
        </is>
      </c>
    </row>
    <row r="3795">
      <c r="A3795" t="inlineStr">
        <is>
          <t xml:space="preserve">HSBC Mutual Fund</t>
        </is>
      </c>
      <c r="B3795" t="inlineStr">
        <is>
          <t xml:space="preserve">HSBC Business Cycles Fund - Direct Growth</t>
        </is>
      </c>
      <c r="C3795" t="inlineStr">
        <is>
          <t xml:space="preserve">INF917K01RI2</t>
        </is>
      </c>
    </row>
    <row r="3796">
      <c r="A3796" t="inlineStr">
        <is>
          <t xml:space="preserve">HSBC Mutual Fund</t>
        </is>
      </c>
      <c r="B3796" t="inlineStr">
        <is>
          <t xml:space="preserve">HSBC Business Cycles Fund - Direct IDCW</t>
        </is>
      </c>
      <c r="C3796" t="inlineStr">
        <is>
          <t xml:space="preserve">INF917K01RK8</t>
        </is>
      </c>
    </row>
    <row r="3797">
      <c r="A3797" t="inlineStr">
        <is>
          <t xml:space="preserve">HSBC Mutual Fund</t>
        </is>
      </c>
      <c r="B3797" t="inlineStr">
        <is>
          <t xml:space="preserve">HSBC Business Cycles Fund - Regular Growth</t>
        </is>
      </c>
      <c r="C3797" t="inlineStr">
        <is>
          <t xml:space="preserve">INF917K01RF8</t>
        </is>
      </c>
    </row>
    <row r="3798">
      <c r="A3798" t="inlineStr">
        <is>
          <t xml:space="preserve">HSBC Mutual Fund</t>
        </is>
      </c>
      <c r="B3798" t="inlineStr">
        <is>
          <t xml:space="preserve">HSBC Business Cycles Fund - Regular IDCW</t>
        </is>
      </c>
      <c r="C3798" t="inlineStr">
        <is>
          <t xml:space="preserve">INF917K01RH4</t>
        </is>
      </c>
    </row>
    <row r="3799">
      <c r="A3799" t="inlineStr">
        <is>
          <t xml:space="preserve">HSBC Mutual Fund</t>
        </is>
      </c>
      <c r="B3799" t="inlineStr">
        <is>
          <t xml:space="preserve">HSBC Conservative Hybrid Fund - Direct Growth</t>
        </is>
      </c>
      <c r="C3799" t="inlineStr">
        <is>
          <t xml:space="preserve">INF336L01DW4</t>
        </is>
      </c>
    </row>
    <row r="3800">
      <c r="A3800" t="inlineStr">
        <is>
          <t xml:space="preserve">HSBC Mutual Fund</t>
        </is>
      </c>
      <c r="B3800" t="inlineStr">
        <is>
          <t xml:space="preserve">HSBC Conservative Hybrid Fund - Direct Monthly IDCW</t>
        </is>
      </c>
      <c r="C3800" t="inlineStr">
        <is>
          <t xml:space="preserve">INF336L01DX2</t>
        </is>
      </c>
    </row>
    <row r="3801">
      <c r="A3801" t="inlineStr">
        <is>
          <t xml:space="preserve">HSBC Mutual Fund</t>
        </is>
      </c>
      <c r="B3801" t="inlineStr">
        <is>
          <t xml:space="preserve">HSBC Conservative Hybrid Fund - Direct Quarterly IDCW</t>
        </is>
      </c>
      <c r="C3801" t="inlineStr">
        <is>
          <t xml:space="preserve">INF336L01DZ7</t>
        </is>
      </c>
    </row>
    <row r="3802">
      <c r="A3802" t="inlineStr">
        <is>
          <t xml:space="preserve">HSBC Mutual Fund</t>
        </is>
      </c>
      <c r="B3802" t="inlineStr">
        <is>
          <t xml:space="preserve">HSBC Conservative Hybrid Fund - Regular Growth</t>
        </is>
      </c>
      <c r="C3802" t="inlineStr">
        <is>
          <t xml:space="preserve">INF336L01099</t>
        </is>
      </c>
    </row>
    <row r="3803">
      <c r="A3803" t="inlineStr">
        <is>
          <t xml:space="preserve">HSBC Mutual Fund</t>
        </is>
      </c>
      <c r="B3803" t="inlineStr">
        <is>
          <t xml:space="preserve">HSBC Conservative Hybrid Fund - Regular Monthly IDCW</t>
        </is>
      </c>
      <c r="C3803" t="inlineStr">
        <is>
          <t xml:space="preserve">INF336L01107</t>
        </is>
      </c>
    </row>
    <row r="3804">
      <c r="A3804" t="inlineStr">
        <is>
          <t xml:space="preserve">HSBC Mutual Fund</t>
        </is>
      </c>
      <c r="B3804" t="inlineStr">
        <is>
          <t xml:space="preserve">HSBC Conservative Hybrid Fund - Regular Quarterly IDCW</t>
        </is>
      </c>
      <c r="C3804" t="inlineStr">
        <is>
          <t xml:space="preserve">INF336L01123</t>
        </is>
      </c>
    </row>
    <row r="3805">
      <c r="A3805" t="inlineStr">
        <is>
          <t xml:space="preserve">HSBC Mutual Fund</t>
        </is>
      </c>
      <c r="B3805" t="inlineStr">
        <is>
          <t xml:space="preserve">HSBC Consumption Fund - Direct Growth</t>
        </is>
      </c>
      <c r="C3805" t="inlineStr">
        <is>
          <t xml:space="preserve">INF336L01QZ9</t>
        </is>
      </c>
    </row>
    <row r="3806">
      <c r="A3806" t="inlineStr">
        <is>
          <t xml:space="preserve">HSBC Mutual Fund</t>
        </is>
      </c>
      <c r="B3806" t="inlineStr">
        <is>
          <t xml:space="preserve">HSBC Consumption Fund - Direct IDCW</t>
        </is>
      </c>
      <c r="C3806" t="inlineStr">
        <is>
          <t xml:space="preserve">INF336L01RA0</t>
        </is>
      </c>
    </row>
    <row r="3807">
      <c r="A3807" t="inlineStr">
        <is>
          <t xml:space="preserve">HSBC Mutual Fund</t>
        </is>
      </c>
      <c r="B3807" t="inlineStr">
        <is>
          <t xml:space="preserve">HSBC Consumption Fund - Regular Growth</t>
        </is>
      </c>
      <c r="C3807" t="inlineStr">
        <is>
          <t xml:space="preserve">INF336L01RC6</t>
        </is>
      </c>
    </row>
    <row r="3808">
      <c r="A3808" t="inlineStr">
        <is>
          <t xml:space="preserve">HSBC Mutual Fund</t>
        </is>
      </c>
      <c r="B3808" t="inlineStr">
        <is>
          <t xml:space="preserve">HSBC Consumption Fund - Regular IDCW</t>
        </is>
      </c>
      <c r="C3808" t="inlineStr">
        <is>
          <t xml:space="preserve">INF336L01RD4</t>
        </is>
      </c>
    </row>
    <row r="3809">
      <c r="A3809" t="inlineStr">
        <is>
          <t xml:space="preserve">HSBC Mutual Fund</t>
        </is>
      </c>
      <c r="B3809" t="inlineStr">
        <is>
          <t xml:space="preserve">HSBC Corporate Bond Fund - Direct Annual IDCW</t>
        </is>
      </c>
      <c r="C3809" t="inlineStr">
        <is>
          <t xml:space="preserve">INF917K01VZ8</t>
        </is>
      </c>
    </row>
    <row r="3810">
      <c r="A3810" t="inlineStr">
        <is>
          <t xml:space="preserve">HSBC Mutual Fund</t>
        </is>
      </c>
      <c r="B3810" t="inlineStr">
        <is>
          <t xml:space="preserve">HSBC Corporate Bond Fund - Direct Growth</t>
        </is>
      </c>
      <c r="C3810" t="inlineStr">
        <is>
          <t xml:space="preserve">INF917K01HN3</t>
        </is>
      </c>
    </row>
    <row r="3811">
      <c r="A3811" t="inlineStr">
        <is>
          <t xml:space="preserve">HSBC Mutual Fund</t>
        </is>
      </c>
      <c r="B3811" t="inlineStr">
        <is>
          <t xml:space="preserve">HSBC Corporate Bond Fund - Direct Quarterly IDCW</t>
        </is>
      </c>
      <c r="C3811" t="inlineStr">
        <is>
          <t xml:space="preserve">INF917K01HP8</t>
        </is>
      </c>
    </row>
    <row r="3812">
      <c r="A3812" t="inlineStr">
        <is>
          <t xml:space="preserve">HSBC Mutual Fund</t>
        </is>
      </c>
      <c r="B3812" t="inlineStr">
        <is>
          <t xml:space="preserve">HSBC Corporate Bond Fund - Direct Semi Annual IDCW</t>
        </is>
      </c>
      <c r="C3812" t="inlineStr">
        <is>
          <t xml:space="preserve">INF917K01HR4</t>
        </is>
      </c>
    </row>
    <row r="3813">
      <c r="A3813" t="inlineStr">
        <is>
          <t xml:space="preserve">HSBC Mutual Fund</t>
        </is>
      </c>
      <c r="B3813" t="inlineStr">
        <is>
          <t xml:space="preserve">HSBC Corporate Bond Fund - Regular Annual IDCW</t>
        </is>
      </c>
      <c r="C3813" t="inlineStr">
        <is>
          <t xml:space="preserve">INF917K01WB7</t>
        </is>
      </c>
    </row>
    <row r="3814">
      <c r="A3814" t="inlineStr">
        <is>
          <t xml:space="preserve">HSBC Mutual Fund</t>
        </is>
      </c>
      <c r="B3814" t="inlineStr">
        <is>
          <t xml:space="preserve">HSBC Corporate Bond Fund - Regular Growth</t>
        </is>
      </c>
      <c r="C3814" t="inlineStr">
        <is>
          <t xml:space="preserve">INF917K01AH0</t>
        </is>
      </c>
    </row>
    <row r="3815">
      <c r="A3815" t="inlineStr">
        <is>
          <t xml:space="preserve">HSBC Mutual Fund</t>
        </is>
      </c>
      <c r="B3815" t="inlineStr">
        <is>
          <t xml:space="preserve">HSBC Corporate Bond Fund - Regular Quarterly IDCW</t>
        </is>
      </c>
      <c r="C3815" t="inlineStr">
        <is>
          <t xml:space="preserve">INF917K01AF4</t>
        </is>
      </c>
    </row>
    <row r="3816">
      <c r="A3816" t="inlineStr">
        <is>
          <t xml:space="preserve">HSBC Mutual Fund</t>
        </is>
      </c>
      <c r="B3816" t="inlineStr">
        <is>
          <t xml:space="preserve">HSBC Corporate Bond Fund - Regular Semi Annual IDCW</t>
        </is>
      </c>
      <c r="C3816" t="inlineStr">
        <is>
          <t xml:space="preserve">INF917K01AI8</t>
        </is>
      </c>
    </row>
    <row r="3817">
      <c r="A3817" t="inlineStr">
        <is>
          <t xml:space="preserve">HSBC Mutual Fund</t>
        </is>
      </c>
      <c r="B3817" t="inlineStr">
        <is>
          <t xml:space="preserve">HSBC Corporate Bond Fund -Regular Plan - Bonus</t>
        </is>
      </c>
      <c r="C3817" t="inlineStr">
        <is>
          <t xml:space="preserve">INF917K01AK4</t>
        </is>
      </c>
    </row>
    <row r="3818">
      <c r="A3818" t="inlineStr">
        <is>
          <t xml:space="preserve">HSBC Mutual Fund</t>
        </is>
      </c>
      <c r="B3818" t="inlineStr">
        <is>
          <t xml:space="preserve">HSBC Credit Risk Fund - Direct Annual IDCW</t>
        </is>
      </c>
      <c r="C3818" t="inlineStr">
        <is>
          <t xml:space="preserve">INF917K01UL0</t>
        </is>
      </c>
    </row>
    <row r="3819">
      <c r="A3819" t="inlineStr">
        <is>
          <t xml:space="preserve">HSBC Mutual Fund</t>
        </is>
      </c>
      <c r="B3819" t="inlineStr">
        <is>
          <t xml:space="preserve">HSBC Credit Risk Fund - Direct Growth</t>
        </is>
      </c>
      <c r="C3819" t="inlineStr">
        <is>
          <t xml:space="preserve">INF917K01UH8</t>
        </is>
      </c>
    </row>
    <row r="3820">
      <c r="A3820" t="inlineStr">
        <is>
          <t xml:space="preserve">HSBC Mutual Fund</t>
        </is>
      </c>
      <c r="B3820" t="inlineStr">
        <is>
          <t xml:space="preserve">HSBC Credit Risk Fund - Direct IDCW</t>
        </is>
      </c>
      <c r="C3820" t="inlineStr">
        <is>
          <t xml:space="preserve">INF917K01E29</t>
        </is>
      </c>
    </row>
    <row r="3821">
      <c r="A3821" t="inlineStr">
        <is>
          <t xml:space="preserve">HSBC Mutual Fund</t>
        </is>
      </c>
      <c r="B3821" t="inlineStr">
        <is>
          <t xml:space="preserve">HSBC Credit Risk Fund - Regular Annual IDCW</t>
        </is>
      </c>
      <c r="C3821" t="inlineStr">
        <is>
          <t xml:space="preserve">INF917K01UN6</t>
        </is>
      </c>
    </row>
    <row r="3822">
      <c r="A3822" t="inlineStr">
        <is>
          <t xml:space="preserve">HSBC Mutual Fund</t>
        </is>
      </c>
      <c r="B3822" t="inlineStr">
        <is>
          <t xml:space="preserve">HSBC Credit Risk Fund - Regular Growth</t>
        </is>
      </c>
      <c r="C3822" t="inlineStr">
        <is>
          <t xml:space="preserve">INF917K01130</t>
        </is>
      </c>
    </row>
    <row r="3823">
      <c r="A3823" t="inlineStr">
        <is>
          <t xml:space="preserve">HSBC Mutual Fund</t>
        </is>
      </c>
      <c r="B3823" t="inlineStr">
        <is>
          <t xml:space="preserve">HSBC Credit Risk Fund - Regular IDCW</t>
        </is>
      </c>
      <c r="C3823" t="inlineStr">
        <is>
          <t xml:space="preserve">INF917K01114</t>
        </is>
      </c>
    </row>
    <row r="3824">
      <c r="A3824" t="inlineStr">
        <is>
          <t xml:space="preserve">HSBC Mutual Fund</t>
        </is>
      </c>
      <c r="B3824" t="inlineStr">
        <is>
          <t xml:space="preserve">HSBC Credit Risk Fund- Regular Plan - Bonus</t>
        </is>
      </c>
      <c r="C3824" t="inlineStr">
        <is>
          <t xml:space="preserve">INF917K01CU9</t>
        </is>
      </c>
    </row>
    <row r="3825">
      <c r="A3825" t="inlineStr">
        <is>
          <t xml:space="preserve">HSBC Mutual Fund</t>
        </is>
      </c>
      <c r="B3825" t="inlineStr">
        <is>
          <t xml:space="preserve">HSBC CRISIL IBX 50:50 Gilt Plus SDL Apr 2028 Index Fund - Direct - Growth</t>
        </is>
      </c>
      <c r="C3825" t="inlineStr">
        <is>
          <t xml:space="preserve">INF336L01QH7</t>
        </is>
      </c>
    </row>
    <row r="3826">
      <c r="A3826" t="inlineStr">
        <is>
          <t xml:space="preserve">HSBC Mutual Fund</t>
        </is>
      </c>
      <c r="B3826" t="inlineStr">
        <is>
          <t xml:space="preserve">HSBC CRISIL IBX 50:50 Gilt Plus SDL Apr 2028 Index Fund - Direct - Payout of IDCW</t>
        </is>
      </c>
      <c r="C3826" t="inlineStr">
        <is>
          <t xml:space="preserve">INF336L01QI5</t>
        </is>
      </c>
    </row>
    <row r="3827">
      <c r="A3827" t="inlineStr">
        <is>
          <t xml:space="preserve">HSBC Mutual Fund</t>
        </is>
      </c>
      <c r="B3827" t="inlineStr">
        <is>
          <t xml:space="preserve">HSBC CRISIL IBX 50:50 Gilt Plus SDL Apr 2028 Index Fund - Regular - Growth</t>
        </is>
      </c>
      <c r="C3827" t="inlineStr">
        <is>
          <t xml:space="preserve">INF336L01QK1</t>
        </is>
      </c>
    </row>
    <row r="3828">
      <c r="A3828" t="inlineStr">
        <is>
          <t xml:space="preserve">HSBC Mutual Fund</t>
        </is>
      </c>
      <c r="B3828" t="inlineStr">
        <is>
          <t xml:space="preserve">HSBC CRISIL IBX 50:50 Gilt Plus SDL Apr 2028 Index Fund - Regular - payout of IDCW</t>
        </is>
      </c>
      <c r="C3828" t="inlineStr">
        <is>
          <t xml:space="preserve">INF336L01QL9</t>
        </is>
      </c>
    </row>
    <row r="3829">
      <c r="A3829" t="inlineStr">
        <is>
          <t xml:space="preserve">HSBC Mutual Fund</t>
        </is>
      </c>
      <c r="B3829" t="inlineStr">
        <is>
          <t xml:space="preserve">HSBC CRISIL IBX Gilt June 2027 Index Fund - Direct - Growth</t>
        </is>
      </c>
      <c r="C3829" t="inlineStr">
        <is>
          <t xml:space="preserve">INF336L01QT2</t>
        </is>
      </c>
    </row>
    <row r="3830">
      <c r="A3830" t="inlineStr">
        <is>
          <t xml:space="preserve">HSBC Mutual Fund</t>
        </is>
      </c>
      <c r="B3830" t="inlineStr">
        <is>
          <t xml:space="preserve">HSBC CRISIL IBX Gilt June 2027 Index Fund - Direct - IDCW</t>
        </is>
      </c>
      <c r="C3830" t="inlineStr">
        <is>
          <t xml:space="preserve">INF336L01QU0</t>
        </is>
      </c>
    </row>
    <row r="3831">
      <c r="A3831" t="inlineStr">
        <is>
          <t xml:space="preserve">HSBC Mutual Fund</t>
        </is>
      </c>
      <c r="B3831" t="inlineStr">
        <is>
          <t xml:space="preserve">HSBC CRISIL IBX Gilt June 2027 Index Fund - Regular - Growth</t>
        </is>
      </c>
      <c r="C3831" t="inlineStr">
        <is>
          <t xml:space="preserve">INF336L01QW6</t>
        </is>
      </c>
    </row>
    <row r="3832">
      <c r="A3832" t="inlineStr">
        <is>
          <t xml:space="preserve">HSBC Mutual Fund</t>
        </is>
      </c>
      <c r="B3832" t="inlineStr">
        <is>
          <t xml:space="preserve">HSBC CRISIL IBX Gilt June 2027 Index Fund - Regular - IDCW</t>
        </is>
      </c>
      <c r="C3832" t="inlineStr">
        <is>
          <t xml:space="preserve">INF336L01QX4</t>
        </is>
      </c>
    </row>
    <row r="3833">
      <c r="A3833" t="inlineStr">
        <is>
          <t xml:space="preserve">HSBC Mutual Fund</t>
        </is>
      </c>
      <c r="B3833" t="inlineStr">
        <is>
          <t xml:space="preserve">HSBC Dynamic Bond Fund - Direct Annual IDCW</t>
        </is>
      </c>
      <c r="C3833" t="inlineStr">
        <is>
          <t xml:space="preserve">INF917K01VN4</t>
        </is>
      </c>
    </row>
    <row r="3834">
      <c r="A3834" t="inlineStr">
        <is>
          <t xml:space="preserve">HSBC Mutual Fund</t>
        </is>
      </c>
      <c r="B3834" t="inlineStr">
        <is>
          <t xml:space="preserve">HSBC Dynamic Bond Fund - Direct Growth</t>
        </is>
      </c>
      <c r="C3834" t="inlineStr">
        <is>
          <t xml:space="preserve">INF917K01HA0</t>
        </is>
      </c>
    </row>
    <row r="3835">
      <c r="A3835" t="inlineStr">
        <is>
          <t xml:space="preserve">HSBC Mutual Fund</t>
        </is>
      </c>
      <c r="B3835" t="inlineStr">
        <is>
          <t xml:space="preserve">HSBC Dynamic Bond Fund - Direct Monthly IDCW</t>
        </is>
      </c>
      <c r="C3835" t="inlineStr">
        <is>
          <t xml:space="preserve">INF917K01GZ9</t>
        </is>
      </c>
    </row>
    <row r="3836">
      <c r="A3836" t="inlineStr">
        <is>
          <t xml:space="preserve">HSBC Mutual Fund</t>
        </is>
      </c>
      <c r="B3836" t="inlineStr">
        <is>
          <t xml:space="preserve">HSBC Dynamic Bond Fund - Regular Annual IDCW</t>
        </is>
      </c>
      <c r="C3836" t="inlineStr">
        <is>
          <t xml:space="preserve">INF917K01VP9</t>
        </is>
      </c>
    </row>
    <row r="3837">
      <c r="A3837" t="inlineStr">
        <is>
          <t xml:space="preserve">HSBC Mutual Fund</t>
        </is>
      </c>
      <c r="B3837" t="inlineStr">
        <is>
          <t xml:space="preserve">HSBC Dynamic Bond Fund - Regular Growth</t>
        </is>
      </c>
      <c r="C3837" t="inlineStr">
        <is>
          <t xml:space="preserve">INF677K01916</t>
        </is>
      </c>
    </row>
    <row r="3838">
      <c r="A3838" t="inlineStr">
        <is>
          <t xml:space="preserve">HSBC Mutual Fund</t>
        </is>
      </c>
      <c r="B3838" t="inlineStr">
        <is>
          <t xml:space="preserve">HSBC Dynamic Bond Fund - Regular Monthly IDCW</t>
        </is>
      </c>
      <c r="C3838" t="inlineStr">
        <is>
          <t xml:space="preserve">INF677K01924</t>
        </is>
      </c>
    </row>
    <row r="3839">
      <c r="A3839" t="inlineStr">
        <is>
          <t xml:space="preserve">HSBC Mutual Fund</t>
        </is>
      </c>
      <c r="B3839" t="inlineStr">
        <is>
          <t xml:space="preserve">HSBC ELSS Tax saver Fund - Direct Growth</t>
        </is>
      </c>
      <c r="C3839" t="inlineStr">
        <is>
          <t xml:space="preserve">INF917K01GP0</t>
        </is>
      </c>
    </row>
    <row r="3840">
      <c r="A3840" t="inlineStr">
        <is>
          <t xml:space="preserve">HSBC Mutual Fund</t>
        </is>
      </c>
      <c r="B3840" t="inlineStr">
        <is>
          <t xml:space="preserve">HSBC ELSS Tax saver Fund - Direct IDCW Payout</t>
        </is>
      </c>
      <c r="C3840" t="inlineStr">
        <is>
          <t xml:space="preserve">INF917K01GO3</t>
        </is>
      </c>
    </row>
    <row r="3841">
      <c r="A3841" t="inlineStr">
        <is>
          <t xml:space="preserve">HSBC Mutual Fund</t>
        </is>
      </c>
      <c r="B3841" t="inlineStr">
        <is>
          <t xml:space="preserve">HSBC ELSS Tax saver Fund - Regular Growth</t>
        </is>
      </c>
      <c r="C3841" t="inlineStr">
        <is>
          <t xml:space="preserve">INF677K01064</t>
        </is>
      </c>
    </row>
    <row r="3842">
      <c r="A3842" t="inlineStr">
        <is>
          <t xml:space="preserve">HSBC Mutual Fund</t>
        </is>
      </c>
      <c r="B3842" t="inlineStr">
        <is>
          <t xml:space="preserve">HSBC ELSS Tax saver Fund - Regular IDCW Payout</t>
        </is>
      </c>
      <c r="C3842" t="inlineStr">
        <is>
          <t xml:space="preserve">INF677K01072</t>
        </is>
      </c>
    </row>
    <row r="3843">
      <c r="A3843" t="inlineStr">
        <is>
          <t xml:space="preserve">HSBC Mutual Fund</t>
        </is>
      </c>
      <c r="B3843" t="inlineStr">
        <is>
          <t xml:space="preserve">HSBC Equity Savings Fund - Direct Growth</t>
        </is>
      </c>
      <c r="C3843" t="inlineStr">
        <is>
          <t xml:space="preserve">INF917K01GE4</t>
        </is>
      </c>
    </row>
    <row r="3844">
      <c r="A3844" t="inlineStr">
        <is>
          <t xml:space="preserve">HSBC Mutual Fund</t>
        </is>
      </c>
      <c r="B3844" t="inlineStr">
        <is>
          <t xml:space="preserve">HSBC Equity Savings Fund - Direct Monthly IDCW</t>
        </is>
      </c>
      <c r="C3844" t="inlineStr">
        <is>
          <t xml:space="preserve">INF917K01E37</t>
        </is>
      </c>
    </row>
    <row r="3845">
      <c r="A3845" t="inlineStr">
        <is>
          <t xml:space="preserve">HSBC Mutual Fund</t>
        </is>
      </c>
      <c r="B3845" t="inlineStr">
        <is>
          <t xml:space="preserve">HSBC Equity Savings Fund - Direct Quarterly IDCW</t>
        </is>
      </c>
      <c r="C3845" t="inlineStr">
        <is>
          <t xml:space="preserve">INF917K01GD6</t>
        </is>
      </c>
    </row>
    <row r="3846">
      <c r="A3846" t="inlineStr">
        <is>
          <t xml:space="preserve">HSBC Mutual Fund</t>
        </is>
      </c>
      <c r="B3846" t="inlineStr">
        <is>
          <t xml:space="preserve">HSBC Equity Savings Fund - Regular Growth</t>
        </is>
      </c>
      <c r="C3846" t="inlineStr">
        <is>
          <t xml:space="preserve">INF917K01AA5</t>
        </is>
      </c>
    </row>
    <row r="3847">
      <c r="A3847" t="inlineStr">
        <is>
          <t xml:space="preserve">HSBC Mutual Fund</t>
        </is>
      </c>
      <c r="B3847" t="inlineStr">
        <is>
          <t xml:space="preserve">HSBC Equity Savings Fund - Regular Monthly IDCW</t>
        </is>
      </c>
      <c r="C3847" t="inlineStr">
        <is>
          <t xml:space="preserve">INF917K01965</t>
        </is>
      </c>
    </row>
    <row r="3848">
      <c r="A3848" t="inlineStr">
        <is>
          <t xml:space="preserve">HSBC Mutual Fund</t>
        </is>
      </c>
      <c r="B3848" t="inlineStr">
        <is>
          <t xml:space="preserve">HSBC Equity Savings Fund - Regular Quarterly IDCW</t>
        </is>
      </c>
      <c r="C3848" t="inlineStr">
        <is>
          <t xml:space="preserve">INF917K01981</t>
        </is>
      </c>
    </row>
    <row r="3849">
      <c r="A3849" t="inlineStr">
        <is>
          <t xml:space="preserve">HSBC Mutual Fund</t>
        </is>
      </c>
      <c r="B3849" t="inlineStr">
        <is>
          <t xml:space="preserve">HSBC Financial Services Fund - Direct Growth</t>
        </is>
      </c>
      <c r="C3849" t="inlineStr">
        <is>
          <t xml:space="preserve">INF336L01RU8</t>
        </is>
      </c>
    </row>
    <row r="3850">
      <c r="A3850" t="inlineStr">
        <is>
          <t xml:space="preserve">HSBC Mutual Fund</t>
        </is>
      </c>
      <c r="B3850" t="inlineStr">
        <is>
          <t xml:space="preserve">HSBC Financial Services Fund - Direct IDCW</t>
        </is>
      </c>
      <c r="C3850" t="inlineStr">
        <is>
          <t xml:space="preserve">INF336L01RW4</t>
        </is>
      </c>
    </row>
    <row r="3851">
      <c r="A3851" t="inlineStr">
        <is>
          <t xml:space="preserve">HSBC Mutual Fund</t>
        </is>
      </c>
      <c r="B3851" t="inlineStr">
        <is>
          <t xml:space="preserve">HSBC Financial Services Fund - Regular Growth</t>
        </is>
      </c>
      <c r="C3851" t="inlineStr">
        <is>
          <t xml:space="preserve">INF336L01RR4</t>
        </is>
      </c>
    </row>
    <row r="3852">
      <c r="A3852" t="inlineStr">
        <is>
          <t xml:space="preserve">HSBC Mutual Fund</t>
        </is>
      </c>
      <c r="B3852" t="inlineStr">
        <is>
          <t xml:space="preserve">HSBC Financial Services Fund - Regular IDCW</t>
        </is>
      </c>
      <c r="C3852" t="inlineStr">
        <is>
          <t xml:space="preserve">INF336L01RT0</t>
        </is>
      </c>
    </row>
    <row r="3853">
      <c r="A3853" t="inlineStr">
        <is>
          <t xml:space="preserve">HSBC Mutual Fund</t>
        </is>
      </c>
      <c r="B3853" t="inlineStr">
        <is>
          <t xml:space="preserve">HSBC Fixed Term Series 125 - Direct Plan Growth Option</t>
        </is>
      </c>
      <c r="C3853" t="inlineStr">
        <is>
          <t xml:space="preserve">INF336L01KX7</t>
        </is>
      </c>
    </row>
    <row r="3854">
      <c r="A3854" t="inlineStr">
        <is>
          <t xml:space="preserve">HSBC Mutual Fund</t>
        </is>
      </c>
      <c r="B3854" t="inlineStr">
        <is>
          <t xml:space="preserve">HSBC Fixed Term Series 125 - Dividend Option</t>
        </is>
      </c>
      <c r="C3854" t="inlineStr">
        <is>
          <t xml:space="preserve">INF336L01LA3</t>
        </is>
      </c>
    </row>
    <row r="3855">
      <c r="A3855" t="inlineStr">
        <is>
          <t xml:space="preserve">HSBC Mutual Fund</t>
        </is>
      </c>
      <c r="B3855" t="inlineStr">
        <is>
          <t xml:space="preserve">HSBC Fixed Term Series 125 - Growth Option</t>
        </is>
      </c>
      <c r="C3855" t="inlineStr">
        <is>
          <t xml:space="preserve">INF336L01KZ2</t>
        </is>
      </c>
    </row>
    <row r="3856">
      <c r="A3856" t="inlineStr">
        <is>
          <t xml:space="preserve">HSBC Mutual Fund</t>
        </is>
      </c>
      <c r="B3856" t="inlineStr">
        <is>
          <t xml:space="preserve">HSBC Fixed Term Series 126 - Direct Plan Growth Option</t>
        </is>
      </c>
      <c r="C3856" t="inlineStr">
        <is>
          <t xml:space="preserve">INF336L01LB1</t>
        </is>
      </c>
    </row>
    <row r="3857">
      <c r="A3857" t="inlineStr">
        <is>
          <t xml:space="preserve">HSBC Mutual Fund</t>
        </is>
      </c>
      <c r="B3857" t="inlineStr">
        <is>
          <t xml:space="preserve">HSBC Fixed Term Series 126 - Dividend Option</t>
        </is>
      </c>
      <c r="C3857" t="inlineStr">
        <is>
          <t xml:space="preserve">INF336L01LE5</t>
        </is>
      </c>
    </row>
    <row r="3858">
      <c r="A3858" t="inlineStr">
        <is>
          <t xml:space="preserve">HSBC Mutual Fund</t>
        </is>
      </c>
      <c r="B3858" t="inlineStr">
        <is>
          <t xml:space="preserve">HSBC Fixed Term Series 126 - Growth Option</t>
        </is>
      </c>
      <c r="C3858" t="inlineStr">
        <is>
          <t xml:space="preserve">INF336L01LD7</t>
        </is>
      </c>
    </row>
    <row r="3859">
      <c r="A3859" t="inlineStr">
        <is>
          <t xml:space="preserve">HSBC Mutual Fund</t>
        </is>
      </c>
      <c r="B3859" t="inlineStr">
        <is>
          <t xml:space="preserve">HSBC Fixed Term Series 128 - Direct Plan Growth Option</t>
        </is>
      </c>
      <c r="C3859" t="inlineStr">
        <is>
          <t xml:space="preserve">INF336L01LX5</t>
        </is>
      </c>
    </row>
    <row r="3860">
      <c r="A3860" t="inlineStr">
        <is>
          <t xml:space="preserve">HSBC Mutual Fund</t>
        </is>
      </c>
      <c r="B3860" t="inlineStr">
        <is>
          <t xml:space="preserve">HSBC Fixed Term Series 128 - Growth Option</t>
        </is>
      </c>
      <c r="C3860" t="inlineStr">
        <is>
          <t xml:space="preserve">INF336L01LZ0</t>
        </is>
      </c>
    </row>
    <row r="3861">
      <c r="A3861" t="inlineStr">
        <is>
          <t xml:space="preserve">HSBC Mutual Fund</t>
        </is>
      </c>
      <c r="B3861" t="inlineStr">
        <is>
          <t xml:space="preserve">HSBC Fixed Term Series 129 - Direct Plan Growth Option</t>
        </is>
      </c>
      <c r="C3861" t="inlineStr">
        <is>
          <t xml:space="preserve">INF336L01MB9</t>
        </is>
      </c>
    </row>
    <row r="3862">
      <c r="A3862" t="inlineStr">
        <is>
          <t xml:space="preserve">HSBC Mutual Fund</t>
        </is>
      </c>
      <c r="B3862" t="inlineStr">
        <is>
          <t xml:space="preserve">HSBC Fixed Term Series 129 - Growth Option</t>
        </is>
      </c>
      <c r="C3862" t="inlineStr">
        <is>
          <t xml:space="preserve">INF336L01MD5</t>
        </is>
      </c>
    </row>
    <row r="3863">
      <c r="A3863" t="inlineStr">
        <is>
          <t xml:space="preserve">HSBC Mutual Fund</t>
        </is>
      </c>
      <c r="B3863" t="inlineStr">
        <is>
          <t xml:space="preserve">HSBC Fixed Term Series 130 - Growth Option</t>
        </is>
      </c>
      <c r="C3863" t="inlineStr">
        <is>
          <t xml:space="preserve">INF336L01MH6</t>
        </is>
      </c>
    </row>
    <row r="3864">
      <c r="A3864" t="inlineStr">
        <is>
          <t xml:space="preserve">HSBC Mutual Fund</t>
        </is>
      </c>
      <c r="B3864" t="inlineStr">
        <is>
          <t xml:space="preserve">HSBC Fixed Term Series 131 - Direct Plan Growth Option</t>
        </is>
      </c>
      <c r="C3864" t="inlineStr">
        <is>
          <t xml:space="preserve">INF336L01MN4</t>
        </is>
      </c>
    </row>
    <row r="3865">
      <c r="A3865" t="inlineStr">
        <is>
          <t xml:space="preserve">HSBC Mutual Fund</t>
        </is>
      </c>
      <c r="B3865" t="inlineStr">
        <is>
          <t xml:space="preserve">HSBC Fixed Term Series 131 - Growth Option</t>
        </is>
      </c>
      <c r="C3865" t="inlineStr">
        <is>
          <t xml:space="preserve">INF336L01MP9</t>
        </is>
      </c>
    </row>
    <row r="3866">
      <c r="A3866" t="inlineStr">
        <is>
          <t xml:space="preserve">HSBC Mutual Fund</t>
        </is>
      </c>
      <c r="B3866" t="inlineStr">
        <is>
          <t xml:space="preserve">HSBC Fixed Term Series 132 - Direct Plan Growth Option</t>
        </is>
      </c>
      <c r="C3866" t="inlineStr">
        <is>
          <t xml:space="preserve">INF336L01MJ2</t>
        </is>
      </c>
    </row>
    <row r="3867">
      <c r="A3867" t="inlineStr">
        <is>
          <t xml:space="preserve">HSBC Mutual Fund</t>
        </is>
      </c>
      <c r="B3867" t="inlineStr">
        <is>
          <t xml:space="preserve">HSBC Fixed Term Series 132 - Growth Option</t>
        </is>
      </c>
      <c r="C3867" t="inlineStr">
        <is>
          <t xml:space="preserve">INF336L01ML8</t>
        </is>
      </c>
    </row>
    <row r="3868">
      <c r="A3868" t="inlineStr">
        <is>
          <t xml:space="preserve">HSBC Mutual Fund</t>
        </is>
      </c>
      <c r="B3868" t="inlineStr">
        <is>
          <t xml:space="preserve">HSBC Fixed Term Series 133 - Direct Plan Growth Option</t>
        </is>
      </c>
      <c r="C3868" t="inlineStr">
        <is>
          <t xml:space="preserve">INF336L01MR5</t>
        </is>
      </c>
    </row>
    <row r="3869">
      <c r="A3869" t="inlineStr">
        <is>
          <t xml:space="preserve">HSBC Mutual Fund</t>
        </is>
      </c>
      <c r="B3869" t="inlineStr">
        <is>
          <t xml:space="preserve">HSBC Fixed Term Series 133 - Growth Option</t>
        </is>
      </c>
      <c r="C3869" t="inlineStr">
        <is>
          <t xml:space="preserve">INF336L01MT1</t>
        </is>
      </c>
    </row>
    <row r="3870">
      <c r="A3870" t="inlineStr">
        <is>
          <t xml:space="preserve">HSBC Mutual Fund</t>
        </is>
      </c>
      <c r="B3870" t="inlineStr">
        <is>
          <t xml:space="preserve">HSBC Fixed Term Series 134 - Direct Plan Growth Option</t>
        </is>
      </c>
      <c r="C3870" t="inlineStr">
        <is>
          <t xml:space="preserve">INF336L01MV7</t>
        </is>
      </c>
    </row>
    <row r="3871">
      <c r="A3871" t="inlineStr">
        <is>
          <t xml:space="preserve">HSBC Mutual Fund</t>
        </is>
      </c>
      <c r="B3871" t="inlineStr">
        <is>
          <t xml:space="preserve">HSBC Fixed Term Series 134 - Dividend Option</t>
        </is>
      </c>
      <c r="C3871" t="inlineStr">
        <is>
          <t xml:space="preserve">INF336L01MY1</t>
        </is>
      </c>
    </row>
    <row r="3872">
      <c r="A3872" t="inlineStr">
        <is>
          <t xml:space="preserve">HSBC Mutual Fund</t>
        </is>
      </c>
      <c r="B3872" t="inlineStr">
        <is>
          <t xml:space="preserve">HSBC Fixed Term Series 135 - Direct Plan Growth Option</t>
        </is>
      </c>
      <c r="C3872" t="inlineStr">
        <is>
          <t xml:space="preserve">INF336L01MZ8</t>
        </is>
      </c>
    </row>
    <row r="3873">
      <c r="A3873" t="inlineStr">
        <is>
          <t xml:space="preserve">HSBC Mutual Fund</t>
        </is>
      </c>
      <c r="B3873" t="inlineStr">
        <is>
          <t xml:space="preserve">HSBC Fixed Term Series 135 - Growth Option</t>
        </is>
      </c>
      <c r="C3873" t="inlineStr">
        <is>
          <t xml:space="preserve">INF336L01NB7</t>
        </is>
      </c>
    </row>
    <row r="3874">
      <c r="A3874" t="inlineStr">
        <is>
          <t xml:space="preserve">HSBC Mutual Fund</t>
        </is>
      </c>
      <c r="B3874" t="inlineStr">
        <is>
          <t xml:space="preserve">HSBC Fixed Term Series 136 - Direct Plan Growth Option</t>
        </is>
      </c>
      <c r="C3874" t="inlineStr">
        <is>
          <t xml:space="preserve">INF336L01ND3</t>
        </is>
      </c>
    </row>
    <row r="3875">
      <c r="A3875" t="inlineStr">
        <is>
          <t xml:space="preserve">HSBC Mutual Fund</t>
        </is>
      </c>
      <c r="B3875" t="inlineStr">
        <is>
          <t xml:space="preserve">HSBC Fixed Term Series 136 - Growth Option</t>
        </is>
      </c>
      <c r="C3875" t="inlineStr">
        <is>
          <t xml:space="preserve">INF336L01NF8</t>
        </is>
      </c>
    </row>
    <row r="3876">
      <c r="A3876" t="inlineStr">
        <is>
          <t xml:space="preserve">HSBC Mutual Fund</t>
        </is>
      </c>
      <c r="B3876" t="inlineStr">
        <is>
          <t xml:space="preserve">HSBC Fixed Term Series 137 - Growth Option</t>
        </is>
      </c>
      <c r="C3876" t="inlineStr">
        <is>
          <t xml:space="preserve">INF336L01NP7</t>
        </is>
      </c>
    </row>
    <row r="3877">
      <c r="A3877" t="inlineStr">
        <is>
          <t xml:space="preserve">HSBC Mutual Fund</t>
        </is>
      </c>
      <c r="B3877" t="inlineStr">
        <is>
          <t xml:space="preserve">HSBC Fixed Term Series 137 Direct Plan Growth Option</t>
        </is>
      </c>
      <c r="C3877" t="inlineStr">
        <is>
          <t xml:space="preserve">INF336L01NN2</t>
        </is>
      </c>
    </row>
    <row r="3878">
      <c r="A3878" t="inlineStr">
        <is>
          <t xml:space="preserve">HSBC Mutual Fund</t>
        </is>
      </c>
      <c r="B3878" t="inlineStr">
        <is>
          <t xml:space="preserve">HSBC Fixed Term Series 139 - Direct Plan - Direct Plan - Growth Option</t>
        </is>
      </c>
      <c r="C3878" t="inlineStr">
        <is>
          <t xml:space="preserve">INF336L01NR3</t>
        </is>
      </c>
    </row>
    <row r="3879">
      <c r="A3879" t="inlineStr">
        <is>
          <t xml:space="preserve">HSBC Mutual Fund</t>
        </is>
      </c>
      <c r="B3879" t="inlineStr">
        <is>
          <t xml:space="preserve">HSBC Fixed Term Series 139 - Growth Option</t>
        </is>
      </c>
      <c r="C3879" t="inlineStr">
        <is>
          <t xml:space="preserve">INF336L01NT9</t>
        </is>
      </c>
    </row>
    <row r="3880">
      <c r="A3880" t="inlineStr">
        <is>
          <t xml:space="preserve">HSBC Mutual Fund</t>
        </is>
      </c>
      <c r="B3880" t="inlineStr">
        <is>
          <t xml:space="preserve">HSBC Fixed Term Series 140 - Growth Option</t>
        </is>
      </c>
      <c r="C3880" t="inlineStr">
        <is>
          <t xml:space="preserve">INF336L01OD1</t>
        </is>
      </c>
    </row>
    <row r="3881">
      <c r="A3881" t="inlineStr">
        <is>
          <t xml:space="preserve">HSBC Mutual Fund</t>
        </is>
      </c>
      <c r="B3881" t="inlineStr">
        <is>
          <t xml:space="preserve">HSBC Fixed Term Series 140 Direct plan - Growth Option</t>
        </is>
      </c>
      <c r="C3881" t="inlineStr">
        <is>
          <t xml:space="preserve">INF336L01OB5</t>
        </is>
      </c>
    </row>
    <row r="3882">
      <c r="A3882" t="inlineStr">
        <is>
          <t xml:space="preserve">HSBC Mutual Fund</t>
        </is>
      </c>
      <c r="B3882" t="inlineStr">
        <is>
          <t xml:space="preserve">HSBC Flexi Cap Fund - Direct Growth</t>
        </is>
      </c>
      <c r="C3882" t="inlineStr">
        <is>
          <t xml:space="preserve">INF336L01DH5</t>
        </is>
      </c>
    </row>
    <row r="3883">
      <c r="A3883" t="inlineStr">
        <is>
          <t xml:space="preserve">HSBC Mutual Fund</t>
        </is>
      </c>
      <c r="B3883" t="inlineStr">
        <is>
          <t xml:space="preserve">HSBC Flexi Cap Fund - Direct IDCW</t>
        </is>
      </c>
      <c r="C3883" t="inlineStr">
        <is>
          <t xml:space="preserve">INF336L01DF9</t>
        </is>
      </c>
    </row>
    <row r="3884">
      <c r="A3884" t="inlineStr">
        <is>
          <t xml:space="preserve">HSBC Mutual Fund</t>
        </is>
      </c>
      <c r="B3884" t="inlineStr">
        <is>
          <t xml:space="preserve">HSBC Flexi Cap Fund - Regular Growth</t>
        </is>
      </c>
      <c r="C3884" t="inlineStr">
        <is>
          <t xml:space="preserve">INF336L01AF5</t>
        </is>
      </c>
    </row>
    <row r="3885">
      <c r="A3885" t="inlineStr">
        <is>
          <t xml:space="preserve">HSBC Mutual Fund</t>
        </is>
      </c>
      <c r="B3885" t="inlineStr">
        <is>
          <t xml:space="preserve">HSBC Flexi Cap Fund - Regular IDCW</t>
        </is>
      </c>
      <c r="C3885" t="inlineStr">
        <is>
          <t xml:space="preserve">INF336L01AE8</t>
        </is>
      </c>
    </row>
    <row r="3886">
      <c r="A3886" t="inlineStr">
        <is>
          <t xml:space="preserve">HSBC Mutual Fund</t>
        </is>
      </c>
      <c r="B3886" t="inlineStr">
        <is>
          <t xml:space="preserve">HSBC Focused Fund - Direct Growth</t>
        </is>
      </c>
      <c r="C3886" t="inlineStr">
        <is>
          <t xml:space="preserve">INF336L01PB2</t>
        </is>
      </c>
    </row>
    <row r="3887">
      <c r="A3887" t="inlineStr">
        <is>
          <t xml:space="preserve">HSBC Mutual Fund</t>
        </is>
      </c>
      <c r="B3887" t="inlineStr">
        <is>
          <t xml:space="preserve">HSBC Focused Fund - Direct IDCW</t>
        </is>
      </c>
      <c r="C3887" t="inlineStr">
        <is>
          <t xml:space="preserve">INF336L01PC0</t>
        </is>
      </c>
    </row>
    <row r="3888">
      <c r="A3888" t="inlineStr">
        <is>
          <t xml:space="preserve">HSBC Mutual Fund</t>
        </is>
      </c>
      <c r="B3888" t="inlineStr">
        <is>
          <t xml:space="preserve">HSBC Focused Fund - Regular Growth</t>
        </is>
      </c>
      <c r="C3888" t="inlineStr">
        <is>
          <t xml:space="preserve">INF336L01PE6</t>
        </is>
      </c>
    </row>
    <row r="3889">
      <c r="A3889" t="inlineStr">
        <is>
          <t xml:space="preserve">HSBC Mutual Fund</t>
        </is>
      </c>
      <c r="B3889" t="inlineStr">
        <is>
          <t xml:space="preserve">HSBC Focused Fund - Regular IDCW</t>
        </is>
      </c>
      <c r="C3889" t="inlineStr">
        <is>
          <t xml:space="preserve">INF336L01PF3</t>
        </is>
      </c>
    </row>
    <row r="3890">
      <c r="A3890" t="inlineStr">
        <is>
          <t xml:space="preserve">HSBC Mutual Fund</t>
        </is>
      </c>
      <c r="B3890" t="inlineStr">
        <is>
          <t xml:space="preserve">HSBC FTS 128 - IDCW - Tenure 1106 Days - Maturity: 29-Apr-2020</t>
        </is>
      </c>
      <c r="C3890" t="inlineStr">
        <is>
          <t xml:space="preserve">INF336L01MA1</t>
        </is>
      </c>
    </row>
    <row r="3891">
      <c r="A3891" t="inlineStr">
        <is>
          <t xml:space="preserve">HSBC Mutual Fund</t>
        </is>
      </c>
      <c r="B3891" t="inlineStr">
        <is>
          <t xml:space="preserve">HSBC FTS 129 - IDCW - Tenure 1120 Days - Maturity: 30-Jun-2020</t>
        </is>
      </c>
      <c r="C3891" t="inlineStr">
        <is>
          <t xml:space="preserve">INF336L01ME3</t>
        </is>
      </c>
    </row>
    <row r="3892">
      <c r="A3892" t="inlineStr">
        <is>
          <t xml:space="preserve">HSBC Mutual Fund</t>
        </is>
      </c>
      <c r="B3892" t="inlineStr">
        <is>
          <t xml:space="preserve">HSBC FTS 130 - IDCW - Tenure 1204 Days - Maturity: 08-Apr-2021</t>
        </is>
      </c>
      <c r="C3892" t="inlineStr">
        <is>
          <t xml:space="preserve">INF336L01MI4</t>
        </is>
      </c>
    </row>
    <row r="3893">
      <c r="A3893" t="inlineStr">
        <is>
          <t xml:space="preserve">HSBC Mutual Fund</t>
        </is>
      </c>
      <c r="B3893" t="inlineStr">
        <is>
          <t xml:space="preserve">HSBC FTS 130 - IDCW Direct Plan-Tenure 1204 Days-Maturity: 08-Apr-2021</t>
        </is>
      </c>
      <c r="C3893" t="inlineStr">
        <is>
          <t xml:space="preserve">INF336L01MF0</t>
        </is>
      </c>
    </row>
    <row r="3894">
      <c r="A3894" t="inlineStr">
        <is>
          <t xml:space="preserve">HSBC Mutual Fund</t>
        </is>
      </c>
      <c r="B3894" t="inlineStr">
        <is>
          <t xml:space="preserve">HSBC FTS 131 - IDCW - Tenure 1140 Days -  Maturity: 03-May-2021</t>
        </is>
      </c>
      <c r="C3894" t="inlineStr">
        <is>
          <t xml:space="preserve">INF336L01MQ7</t>
        </is>
      </c>
    </row>
    <row r="3895">
      <c r="A3895" t="inlineStr">
        <is>
          <t xml:space="preserve">HSBC Mutual Fund</t>
        </is>
      </c>
      <c r="B3895" t="inlineStr">
        <is>
          <t xml:space="preserve">HSBC FTS 132 - IDCW - Tenure 1149 Days - Maturity: 03-May-2021</t>
        </is>
      </c>
      <c r="C3895" t="inlineStr">
        <is>
          <t xml:space="preserve">INF336L01MM6</t>
        </is>
      </c>
    </row>
    <row r="3896">
      <c r="A3896" t="inlineStr">
        <is>
          <t xml:space="preserve">HSBC Mutual Fund</t>
        </is>
      </c>
      <c r="B3896" t="inlineStr">
        <is>
          <t xml:space="preserve">HSBC FTS 132 - IDCW Direct Plan-Tenure 1149 Days-Maturity: 03-May-2021</t>
        </is>
      </c>
      <c r="C3896" t="inlineStr">
        <is>
          <t xml:space="preserve">INF336L01MK0</t>
        </is>
      </c>
    </row>
    <row r="3897">
      <c r="A3897" t="inlineStr">
        <is>
          <t xml:space="preserve">HSBC Mutual Fund</t>
        </is>
      </c>
      <c r="B3897" t="inlineStr">
        <is>
          <t xml:space="preserve">HSBC FTS 133 - IDCW - Tenure 1134 Days - Maturity: 03-May-2021</t>
        </is>
      </c>
      <c r="C3897" t="inlineStr">
        <is>
          <t xml:space="preserve">INF336L01MU9</t>
        </is>
      </c>
    </row>
    <row r="3898">
      <c r="A3898" t="inlineStr">
        <is>
          <t xml:space="preserve">HSBC Mutual Fund</t>
        </is>
      </c>
      <c r="B3898" t="inlineStr">
        <is>
          <t xml:space="preserve">HSBC FTS 133 - IDCW Direct Plan-Tenure 1134 Days-Maturity: 03-May-2021</t>
        </is>
      </c>
      <c r="C3898" t="inlineStr">
        <is>
          <t xml:space="preserve">INF336L01MS3</t>
        </is>
      </c>
    </row>
    <row r="3899">
      <c r="A3899" t="inlineStr">
        <is>
          <t xml:space="preserve">HSBC Mutual Fund</t>
        </is>
      </c>
      <c r="B3899" t="inlineStr">
        <is>
          <t xml:space="preserve">HSBC FTS 134 - IDCW - Tenure 1118 Days - Maturity: 29-Jun-2021</t>
        </is>
      </c>
      <c r="C3899" t="inlineStr">
        <is>
          <t xml:space="preserve">INF336L01MX3</t>
        </is>
      </c>
    </row>
    <row r="3900">
      <c r="A3900" t="inlineStr">
        <is>
          <t xml:space="preserve">HSBC Mutual Fund</t>
        </is>
      </c>
      <c r="B3900" t="inlineStr">
        <is>
          <t xml:space="preserve">HSBC FTS 134 - IDCW Direct Plan - Tenure 1118 Days - Maturity: 29-Jun-2021</t>
        </is>
      </c>
      <c r="C3900" t="inlineStr">
        <is>
          <t xml:space="preserve">INF336L01MW5</t>
        </is>
      </c>
    </row>
    <row r="3901">
      <c r="A3901" t="inlineStr">
        <is>
          <t xml:space="preserve">HSBC Mutual Fund</t>
        </is>
      </c>
      <c r="B3901" t="inlineStr">
        <is>
          <t xml:space="preserve">HSBC FTS 135 - IDCW - Tenure 1117 Days - Maturity: 30-Jul-2021</t>
        </is>
      </c>
      <c r="C3901" t="inlineStr">
        <is>
          <t xml:space="preserve">INF336L01NC5</t>
        </is>
      </c>
    </row>
    <row r="3902">
      <c r="A3902" t="inlineStr">
        <is>
          <t xml:space="preserve">HSBC Mutual Fund</t>
        </is>
      </c>
      <c r="B3902" t="inlineStr">
        <is>
          <t xml:space="preserve">HSBC FTS 135 - IDCW Direct Plan - Tenure 1117 Days - Maturity: 30-Jul-2021</t>
        </is>
      </c>
      <c r="C3902" t="inlineStr">
        <is>
          <t xml:space="preserve">INF336L01NA9</t>
        </is>
      </c>
    </row>
    <row r="3903">
      <c r="A3903" t="inlineStr">
        <is>
          <t xml:space="preserve">HSBC Mutual Fund</t>
        </is>
      </c>
      <c r="B3903" t="inlineStr">
        <is>
          <t xml:space="preserve">HSBC FTS 136 - IDCW - Tenure 1145 Days - Maturity: 30-Sep-2021</t>
        </is>
      </c>
      <c r="C3903" t="inlineStr">
        <is>
          <t xml:space="preserve">INF336L01NG6</t>
        </is>
      </c>
    </row>
    <row r="3904">
      <c r="A3904" t="inlineStr">
        <is>
          <t xml:space="preserve">HSBC Mutual Fund</t>
        </is>
      </c>
      <c r="B3904" t="inlineStr">
        <is>
          <t xml:space="preserve">HSBC FTS 136 - IDCW Direct Plan - Tenure 1145 Days - Maturity: 30-Sep-2021</t>
        </is>
      </c>
      <c r="C3904" t="inlineStr">
        <is>
          <t xml:space="preserve">INF336L01NE1</t>
        </is>
      </c>
    </row>
    <row r="3905">
      <c r="A3905" t="inlineStr">
        <is>
          <t xml:space="preserve">HSBC Mutual Fund</t>
        </is>
      </c>
      <c r="B3905" t="inlineStr">
        <is>
          <t xml:space="preserve">HSBC FTS 137 - IDCW - Tenure 1187 Days - Maturity: 18-Apr-2022</t>
        </is>
      </c>
      <c r="C3905" t="inlineStr">
        <is>
          <t xml:space="preserve">INF336L01NQ5</t>
        </is>
      </c>
    </row>
    <row r="3906">
      <c r="A3906" t="inlineStr">
        <is>
          <t xml:space="preserve">HSBC Mutual Fund</t>
        </is>
      </c>
      <c r="B3906" t="inlineStr">
        <is>
          <t xml:space="preserve">HSBC FTS 137 - IDCW Direct Plan - Tenure 1187 Days - Maturity: 18-Apr-2022</t>
        </is>
      </c>
      <c r="C3906" t="inlineStr">
        <is>
          <t xml:space="preserve">INF336L01NO0</t>
        </is>
      </c>
    </row>
    <row r="3907">
      <c r="A3907" t="inlineStr">
        <is>
          <t xml:space="preserve">HSBC Mutual Fund</t>
        </is>
      </c>
      <c r="B3907" t="inlineStr">
        <is>
          <t xml:space="preserve">HSBC FTS 139 - IDCW - Tenure 1163 Days - Maturity: 03-May-2022</t>
        </is>
      </c>
      <c r="C3907" t="inlineStr">
        <is>
          <t xml:space="preserve">INF336L01NU7</t>
        </is>
      </c>
    </row>
    <row r="3908">
      <c r="A3908" t="inlineStr">
        <is>
          <t xml:space="preserve">HSBC Mutual Fund</t>
        </is>
      </c>
      <c r="B3908" t="inlineStr">
        <is>
          <t xml:space="preserve">HSBC FTS 139 - IDCW Direct Plan - Tenure 1163 Days - Maturity: 03-May-2022</t>
        </is>
      </c>
      <c r="C3908" t="inlineStr">
        <is>
          <t xml:space="preserve">INF336L01NS1</t>
        </is>
      </c>
    </row>
    <row r="3909">
      <c r="A3909" t="inlineStr">
        <is>
          <t xml:space="preserve">HSBC Mutual Fund</t>
        </is>
      </c>
      <c r="B3909" t="inlineStr">
        <is>
          <t xml:space="preserve">HSBC FTS 140 - IDCW - Tenure 1147 Days - Maturity: 15-Jun-2022</t>
        </is>
      </c>
      <c r="C3909" t="inlineStr">
        <is>
          <t xml:space="preserve">INF336L01OE9</t>
        </is>
      </c>
    </row>
    <row r="3910">
      <c r="A3910" t="inlineStr">
        <is>
          <t xml:space="preserve">HSBC Mutual Fund</t>
        </is>
      </c>
      <c r="B3910" t="inlineStr">
        <is>
          <t xml:space="preserve">HSBC FTS 140 - IDCW Direct Plan - Tenure 1147 Days - Maturity: 15-Jun-2022</t>
        </is>
      </c>
      <c r="C3910" t="inlineStr">
        <is>
          <t xml:space="preserve">INF336L01OC3</t>
        </is>
      </c>
    </row>
    <row r="3911">
      <c r="A3911" t="inlineStr">
        <is>
          <t xml:space="preserve">HSBC Mutual Fund</t>
        </is>
      </c>
      <c r="B3911" t="inlineStr">
        <is>
          <t xml:space="preserve">HSBC Gilt Fund - Direct Growth</t>
        </is>
      </c>
      <c r="C3911" t="inlineStr">
        <is>
          <t xml:space="preserve">INF917K01FI7</t>
        </is>
      </c>
    </row>
    <row r="3912">
      <c r="A3912" t="inlineStr">
        <is>
          <t xml:space="preserve">HSBC Mutual Fund</t>
        </is>
      </c>
      <c r="B3912" t="inlineStr">
        <is>
          <t xml:space="preserve">HSBC Gilt Fund - Direct Quarterly IDCW</t>
        </is>
      </c>
      <c r="C3912" t="inlineStr">
        <is>
          <t xml:space="preserve">INF917K01FK3</t>
        </is>
      </c>
    </row>
    <row r="3913">
      <c r="A3913" t="inlineStr">
        <is>
          <t xml:space="preserve">HSBC Mutual Fund</t>
        </is>
      </c>
      <c r="B3913" t="inlineStr">
        <is>
          <t xml:space="preserve">HSBC Gilt Fund - Regular Growth</t>
        </is>
      </c>
      <c r="C3913" t="inlineStr">
        <is>
          <t xml:space="preserve">INF917K01BP1</t>
        </is>
      </c>
    </row>
    <row r="3914">
      <c r="A3914" t="inlineStr">
        <is>
          <t xml:space="preserve">HSBC Mutual Fund</t>
        </is>
      </c>
      <c r="B3914" t="inlineStr">
        <is>
          <t xml:space="preserve">HSBC Gilt Fund - Regular Quarterly IDCW</t>
        </is>
      </c>
      <c r="C3914" t="inlineStr">
        <is>
          <t xml:space="preserve">INF917K01BN6</t>
        </is>
      </c>
    </row>
    <row r="3915">
      <c r="A3915" t="inlineStr">
        <is>
          <t xml:space="preserve">HSBC Mutual Fund</t>
        </is>
      </c>
      <c r="B3915" t="inlineStr">
        <is>
          <t xml:space="preserve">HSBC Global Emerging Market Fund - Growth Direct</t>
        </is>
      </c>
      <c r="C3915" t="inlineStr">
        <is>
          <t xml:space="preserve">INF336L01CJ3</t>
        </is>
      </c>
    </row>
    <row r="3916">
      <c r="A3916" t="inlineStr">
        <is>
          <t xml:space="preserve">HSBC Mutual Fund</t>
        </is>
      </c>
      <c r="B3916" t="inlineStr">
        <is>
          <t xml:space="preserve">HSBC Global Emerging Markets Fund - Growth</t>
        </is>
      </c>
      <c r="C3916" t="inlineStr">
        <is>
          <t xml:space="preserve">INF336L01446</t>
        </is>
      </c>
    </row>
    <row r="3917">
      <c r="A3917" t="inlineStr">
        <is>
          <t xml:space="preserve">HSBC Mutual Fund</t>
        </is>
      </c>
      <c r="B3917" t="inlineStr">
        <is>
          <t xml:space="preserve">HSBC Global Emerging Markets Fund - IDCW</t>
        </is>
      </c>
      <c r="C3917" t="inlineStr">
        <is>
          <t xml:space="preserve">INF336L01438</t>
        </is>
      </c>
    </row>
    <row r="3918">
      <c r="A3918" t="inlineStr">
        <is>
          <t xml:space="preserve">HSBC Mutual Fund</t>
        </is>
      </c>
      <c r="B3918" t="inlineStr">
        <is>
          <t xml:space="preserve">HSBC Global Emerging Markets Fund - IDCW Direct Plan</t>
        </is>
      </c>
      <c r="C3918" t="inlineStr">
        <is>
          <t xml:space="preserve">INF336L01CH7</t>
        </is>
      </c>
    </row>
    <row r="3919">
      <c r="A3919" t="inlineStr">
        <is>
          <t xml:space="preserve">HSBC Mutual Fund</t>
        </is>
      </c>
      <c r="B3919" t="inlineStr">
        <is>
          <t xml:space="preserve">HSBC Gold ETF</t>
        </is>
      </c>
      <c r="C3919" t="inlineStr">
        <is>
          <t xml:space="preserve">INF336L01RX2</t>
        </is>
      </c>
    </row>
    <row r="3920">
      <c r="A3920" t="inlineStr">
        <is>
          <t xml:space="preserve">HSBC Mutual Fund</t>
        </is>
      </c>
      <c r="B3920" t="inlineStr">
        <is>
          <t xml:space="preserve">HSBC Gold ETF Fund of fund - Direct Growth</t>
        </is>
      </c>
      <c r="C3920" t="inlineStr">
        <is>
          <t xml:space="preserve">INF336L01SB6</t>
        </is>
      </c>
    </row>
    <row r="3921">
      <c r="A3921" t="inlineStr">
        <is>
          <t xml:space="preserve">HSBC Mutual Fund</t>
        </is>
      </c>
      <c r="B3921" t="inlineStr">
        <is>
          <t xml:space="preserve">HSBC Gold ETF Fund of fund - Direct IDCW</t>
        </is>
      </c>
      <c r="C3921" t="inlineStr">
        <is>
          <t xml:space="preserve">INF336L01SD2</t>
        </is>
      </c>
    </row>
    <row r="3922">
      <c r="A3922" t="inlineStr">
        <is>
          <t xml:space="preserve">HSBC Mutual Fund</t>
        </is>
      </c>
      <c r="B3922" t="inlineStr">
        <is>
          <t xml:space="preserve">HSBC Gold ETF Fund of fund - Regular Growth</t>
        </is>
      </c>
      <c r="C3922" t="inlineStr">
        <is>
          <t xml:space="preserve">INF336L01RY0</t>
        </is>
      </c>
    </row>
    <row r="3923">
      <c r="A3923" t="inlineStr">
        <is>
          <t xml:space="preserve">HSBC Mutual Fund</t>
        </is>
      </c>
      <c r="B3923" t="inlineStr">
        <is>
          <t xml:space="preserve">HSBC Gold ETF Fund of fund - Regular IDCW</t>
        </is>
      </c>
      <c r="C3923" t="inlineStr">
        <is>
          <t xml:space="preserve">INF336L01SA8</t>
        </is>
      </c>
    </row>
    <row r="3924">
      <c r="A3924" t="inlineStr">
        <is>
          <t xml:space="preserve">HSBC Mutual Fund</t>
        </is>
      </c>
      <c r="B3924" t="inlineStr">
        <is>
          <t xml:space="preserve">HSBC Income Plus Arbitrage Active FOF - Growth</t>
        </is>
      </c>
      <c r="C3924" t="inlineStr">
        <is>
          <t xml:space="preserve">INF336L01IM4</t>
        </is>
      </c>
    </row>
    <row r="3925">
      <c r="A3925" t="inlineStr">
        <is>
          <t xml:space="preserve">HSBC Mutual Fund</t>
        </is>
      </c>
      <c r="B3925" t="inlineStr">
        <is>
          <t xml:space="preserve">HSBC Income Plus Arbitrage Active FOF - Growth Direct</t>
        </is>
      </c>
      <c r="C3925" t="inlineStr">
        <is>
          <t xml:space="preserve">INF336L01IP7</t>
        </is>
      </c>
    </row>
    <row r="3926">
      <c r="A3926" t="inlineStr">
        <is>
          <t xml:space="preserve">HSBC Mutual Fund</t>
        </is>
      </c>
      <c r="B3926" t="inlineStr">
        <is>
          <t xml:space="preserve">HSBC Income Plus Arbitrage Active FOF Direct Plan IDCW</t>
        </is>
      </c>
      <c r="C3926" t="inlineStr">
        <is>
          <t xml:space="preserve">INF336L01IN2</t>
        </is>
      </c>
    </row>
    <row r="3927">
      <c r="A3927" t="inlineStr">
        <is>
          <t xml:space="preserve">HSBC Mutual Fund</t>
        </is>
      </c>
      <c r="B3927" t="inlineStr">
        <is>
          <t xml:space="preserve">HSBC Income Plus Arbitrage Active FOF IDCW</t>
        </is>
      </c>
      <c r="C3927" t="inlineStr">
        <is>
          <t xml:space="preserve">INF336L01IK8</t>
        </is>
      </c>
    </row>
    <row r="3928">
      <c r="A3928" t="inlineStr">
        <is>
          <t xml:space="preserve">HSBC Mutual Fund</t>
        </is>
      </c>
      <c r="B3928" t="inlineStr">
        <is>
          <t xml:space="preserve">HSBC India Export Opportunities Fund - Direct Growth</t>
        </is>
      </c>
      <c r="C3928" t="inlineStr">
        <is>
          <t xml:space="preserve">INF336L01RO1</t>
        </is>
      </c>
    </row>
    <row r="3929">
      <c r="A3929" t="inlineStr">
        <is>
          <t xml:space="preserve">HSBC Mutual Fund</t>
        </is>
      </c>
      <c r="B3929" t="inlineStr">
        <is>
          <t xml:space="preserve">HSBC India Export Opportunities Fund - Direct IDCW</t>
        </is>
      </c>
      <c r="C3929" t="inlineStr">
        <is>
          <t xml:space="preserve">INF336L01RP8</t>
        </is>
      </c>
    </row>
    <row r="3930">
      <c r="A3930" t="inlineStr">
        <is>
          <t xml:space="preserve">HSBC Mutual Fund</t>
        </is>
      </c>
      <c r="B3930" t="inlineStr">
        <is>
          <t xml:space="preserve">HSBC India Export Opportunities Fund - Regular Growth</t>
        </is>
      </c>
      <c r="C3930" t="inlineStr">
        <is>
          <t xml:space="preserve">INF336L01RL7</t>
        </is>
      </c>
    </row>
    <row r="3931">
      <c r="A3931" t="inlineStr">
        <is>
          <t xml:space="preserve">HSBC Mutual Fund</t>
        </is>
      </c>
      <c r="B3931" t="inlineStr">
        <is>
          <t xml:space="preserve">HSBC India Export Opportunities Fund - Regular IDCW</t>
        </is>
      </c>
      <c r="C3931" t="inlineStr">
        <is>
          <t xml:space="preserve">INF336L01RM5</t>
        </is>
      </c>
    </row>
    <row r="3932">
      <c r="A3932" t="inlineStr">
        <is>
          <t xml:space="preserve">HSBC Mutual Fund</t>
        </is>
      </c>
      <c r="B3932" t="inlineStr">
        <is>
          <t xml:space="preserve">HSBC Infrastructure Fund - Direct Growth</t>
        </is>
      </c>
      <c r="C3932" t="inlineStr">
        <is>
          <t xml:space="preserve">INF917K01FW8</t>
        </is>
      </c>
    </row>
    <row r="3933">
      <c r="A3933" t="inlineStr">
        <is>
          <t xml:space="preserve">HSBC Mutual Fund</t>
        </is>
      </c>
      <c r="B3933" t="inlineStr">
        <is>
          <t xml:space="preserve">HSBC Infrastructure Fund - Direct IDCW</t>
        </is>
      </c>
      <c r="C3933" t="inlineStr">
        <is>
          <t xml:space="preserve">INF917K01E52</t>
        </is>
      </c>
    </row>
    <row r="3934">
      <c r="A3934" t="inlineStr">
        <is>
          <t xml:space="preserve">HSBC Mutual Fund</t>
        </is>
      </c>
      <c r="B3934" t="inlineStr">
        <is>
          <t xml:space="preserve">HSBC Infrastructure Fund - Regular Growth</t>
        </is>
      </c>
      <c r="C3934" t="inlineStr">
        <is>
          <t xml:space="preserve">INF917K01536</t>
        </is>
      </c>
    </row>
    <row r="3935">
      <c r="A3935" t="inlineStr">
        <is>
          <t xml:space="preserve">HSBC Mutual Fund</t>
        </is>
      </c>
      <c r="B3935" t="inlineStr">
        <is>
          <t xml:space="preserve">HSBC Infrastructure Fund - Regular IDCW</t>
        </is>
      </c>
      <c r="C3935" t="inlineStr">
        <is>
          <t xml:space="preserve">INF917K01544</t>
        </is>
      </c>
    </row>
    <row r="3936">
      <c r="A3936" t="inlineStr">
        <is>
          <t xml:space="preserve">HSBC Mutual Fund</t>
        </is>
      </c>
      <c r="B3936" t="inlineStr">
        <is>
          <t xml:space="preserve">HSBC Large &amp; Mid Cap Fund - Direct Growth</t>
        </is>
      </c>
      <c r="C3936" t="inlineStr">
        <is>
          <t xml:space="preserve">INF336L01NV5</t>
        </is>
      </c>
    </row>
    <row r="3937">
      <c r="A3937" t="inlineStr">
        <is>
          <t xml:space="preserve">HSBC Mutual Fund</t>
        </is>
      </c>
      <c r="B3937" t="inlineStr">
        <is>
          <t xml:space="preserve">HSBC Large &amp; Mid Cap Fund - Direct IDCW</t>
        </is>
      </c>
      <c r="C3937" t="inlineStr">
        <is>
          <t xml:space="preserve">INF336L01NW3</t>
        </is>
      </c>
    </row>
    <row r="3938">
      <c r="A3938" t="inlineStr">
        <is>
          <t xml:space="preserve">HSBC Mutual Fund</t>
        </is>
      </c>
      <c r="B3938" t="inlineStr">
        <is>
          <t xml:space="preserve">HSBC Large &amp; Mid Cap Fund - Regular Growth</t>
        </is>
      </c>
      <c r="C3938" t="inlineStr">
        <is>
          <t xml:space="preserve">INF336L01NY9</t>
        </is>
      </c>
    </row>
    <row r="3939">
      <c r="A3939" t="inlineStr">
        <is>
          <t xml:space="preserve">HSBC Mutual Fund</t>
        </is>
      </c>
      <c r="B3939" t="inlineStr">
        <is>
          <t xml:space="preserve">HSBC Large &amp; Mid Cap Fund - Regular IDCW</t>
        </is>
      </c>
      <c r="C3939" t="inlineStr">
        <is>
          <t xml:space="preserve">INF336L01NZ6</t>
        </is>
      </c>
    </row>
    <row r="3940">
      <c r="A3940" t="inlineStr">
        <is>
          <t xml:space="preserve">HSBC Mutual Fund</t>
        </is>
      </c>
      <c r="B3940" t="inlineStr">
        <is>
          <t xml:space="preserve">HSBC Large Cap Fund - Direct Growth</t>
        </is>
      </c>
      <c r="C3940" t="inlineStr">
        <is>
          <t xml:space="preserve">INF336L01CM7</t>
        </is>
      </c>
    </row>
    <row r="3941">
      <c r="A3941" t="inlineStr">
        <is>
          <t xml:space="preserve">HSBC Mutual Fund</t>
        </is>
      </c>
      <c r="B3941" t="inlineStr">
        <is>
          <t xml:space="preserve">HSBC Large Cap Fund - Direct IDCW</t>
        </is>
      </c>
      <c r="C3941" t="inlineStr">
        <is>
          <t xml:space="preserve">INF336L01CK1</t>
        </is>
      </c>
    </row>
    <row r="3942">
      <c r="A3942" t="inlineStr">
        <is>
          <t xml:space="preserve">HSBC Mutual Fund</t>
        </is>
      </c>
      <c r="B3942" t="inlineStr">
        <is>
          <t xml:space="preserve">HSBC Large Cap Fund - Regular Growth</t>
        </is>
      </c>
      <c r="C3942" t="inlineStr">
        <is>
          <t xml:space="preserve">INF336L01016</t>
        </is>
      </c>
    </row>
    <row r="3943">
      <c r="A3943" t="inlineStr">
        <is>
          <t xml:space="preserve">HSBC Mutual Fund</t>
        </is>
      </c>
      <c r="B3943" t="inlineStr">
        <is>
          <t xml:space="preserve">HSBC Large Cap Fund - Regular IDCW</t>
        </is>
      </c>
      <c r="C3943" t="inlineStr">
        <is>
          <t xml:space="preserve">INF336L01024</t>
        </is>
      </c>
    </row>
    <row r="3944">
      <c r="A3944" t="inlineStr">
        <is>
          <t xml:space="preserve">HSBC Mutual Fund</t>
        </is>
      </c>
      <c r="B3944" t="inlineStr">
        <is>
          <t xml:space="preserve">HSBC Liquid Fund -  Growth Direct</t>
        </is>
      </c>
      <c r="C3944" t="inlineStr">
        <is>
          <t xml:space="preserve">INF336L01CC8</t>
        </is>
      </c>
    </row>
    <row r="3945">
      <c r="A3945" t="inlineStr">
        <is>
          <t xml:space="preserve">HSBC Mutual Fund</t>
        </is>
      </c>
      <c r="B3945" t="inlineStr">
        <is>
          <t xml:space="preserve">HSBC Liquid Fund - Direct Daily IDCW</t>
        </is>
      </c>
      <c r="C3945" t="inlineStr">
        <is>
          <t xml:space="preserve">INF336L01CB0</t>
        </is>
      </c>
    </row>
    <row r="3946">
      <c r="A3946" t="inlineStr">
        <is>
          <t xml:space="preserve">HSBC Mutual Fund</t>
        </is>
      </c>
      <c r="B3946" t="inlineStr">
        <is>
          <t xml:space="preserve">HSBC Liquid Fund - Direct Monthly IDCW</t>
        </is>
      </c>
      <c r="C3946" t="inlineStr">
        <is>
          <t xml:space="preserve">INF336L01BZ1</t>
        </is>
      </c>
    </row>
    <row r="3947">
      <c r="A3947" t="inlineStr">
        <is>
          <t xml:space="preserve">HSBC Mutual Fund</t>
        </is>
      </c>
      <c r="B3947" t="inlineStr">
        <is>
          <t xml:space="preserve">HSBC Liquid Fund - Direct Weekly IDCW</t>
        </is>
      </c>
      <c r="C3947" t="inlineStr">
        <is>
          <t xml:space="preserve">INF336L01LK2</t>
        </is>
      </c>
    </row>
    <row r="3948">
      <c r="A3948" t="inlineStr">
        <is>
          <t xml:space="preserve">HSBC Mutual Fund</t>
        </is>
      </c>
      <c r="B3948" t="inlineStr">
        <is>
          <t xml:space="preserve">HSBC Liquid Fund - Growth</t>
        </is>
      </c>
      <c r="C3948" t="inlineStr">
        <is>
          <t xml:space="preserve">INF336L01BL1</t>
        </is>
      </c>
    </row>
    <row r="3949">
      <c r="A3949" t="inlineStr">
        <is>
          <t xml:space="preserve">HSBC Mutual Fund</t>
        </is>
      </c>
      <c r="B3949" t="inlineStr">
        <is>
          <t xml:space="preserve">HSBC Liquid Fund - IDCW</t>
        </is>
      </c>
      <c r="C3949" t="inlineStr">
        <is>
          <t xml:space="preserve">INF336L01BK3</t>
        </is>
      </c>
    </row>
    <row r="3950">
      <c r="A3950" t="inlineStr">
        <is>
          <t xml:space="preserve">HSBC Mutual Fund</t>
        </is>
      </c>
      <c r="B3950" t="inlineStr">
        <is>
          <t xml:space="preserve">HSBC Liquid Fund - Institutional Daily IDCW</t>
        </is>
      </c>
      <c r="C3950" t="inlineStr">
        <is>
          <t xml:space="preserve">INF336L01BS6</t>
        </is>
      </c>
    </row>
    <row r="3951">
      <c r="A3951" t="inlineStr">
        <is>
          <t xml:space="preserve">HSBC Mutual Fund</t>
        </is>
      </c>
      <c r="B3951" t="inlineStr">
        <is>
          <t xml:space="preserve">HSBC Liquid Fund - Regular Daily IDCW</t>
        </is>
      </c>
      <c r="C3951" t="inlineStr">
        <is>
          <t xml:space="preserve">INF336L01BM9</t>
        </is>
      </c>
    </row>
    <row r="3952">
      <c r="A3952" t="inlineStr">
        <is>
          <t xml:space="preserve">HSBC Mutual Fund</t>
        </is>
      </c>
      <c r="B3952" t="inlineStr">
        <is>
          <t xml:space="preserve">HSBC Liquid Fund - Regular Growth</t>
        </is>
      </c>
      <c r="C3952" t="inlineStr">
        <is>
          <t xml:space="preserve">INF336L01BN7</t>
        </is>
      </c>
    </row>
    <row r="3953">
      <c r="A3953" t="inlineStr">
        <is>
          <t xml:space="preserve">HSBC Mutual Fund</t>
        </is>
      </c>
      <c r="B3953" t="inlineStr">
        <is>
          <t xml:space="preserve">HSBC Liquid Fund - Regular Monthly IDCW</t>
        </is>
      </c>
      <c r="C3953" t="inlineStr">
        <is>
          <t xml:space="preserve">INF336L01BP2</t>
        </is>
      </c>
    </row>
    <row r="3954">
      <c r="A3954" t="inlineStr">
        <is>
          <t xml:space="preserve">HSBC Mutual Fund</t>
        </is>
      </c>
      <c r="B3954" t="inlineStr">
        <is>
          <t xml:space="preserve">HSBC Liquid Fund - Regular Weekly IDCW</t>
        </is>
      </c>
      <c r="C3954" t="inlineStr">
        <is>
          <t xml:space="preserve">INF336L01LJ4</t>
        </is>
      </c>
    </row>
    <row r="3955">
      <c r="A3955" t="inlineStr">
        <is>
          <t xml:space="preserve">HSBC Mutual Fund</t>
        </is>
      </c>
      <c r="B3955" t="inlineStr">
        <is>
          <t xml:space="preserve">HSBC Liquid Fund - Weekly IDCW</t>
        </is>
      </c>
      <c r="C3955" t="inlineStr">
        <is>
          <t xml:space="preserve">INF336L01BR8</t>
        </is>
      </c>
    </row>
    <row r="3956">
      <c r="A3956" t="inlineStr">
        <is>
          <t xml:space="preserve">HSBC Mutual Fund</t>
        </is>
      </c>
      <c r="B3956" t="inlineStr">
        <is>
          <t xml:space="preserve">HSBC Low Duration Fund - Direct Annual IDCW</t>
        </is>
      </c>
      <c r="C3956" t="inlineStr">
        <is>
          <t xml:space="preserve">INF917K01VV7</t>
        </is>
      </c>
    </row>
    <row r="3957">
      <c r="A3957" t="inlineStr">
        <is>
          <t xml:space="preserve">HSBC Mutual Fund</t>
        </is>
      </c>
      <c r="B3957" t="inlineStr">
        <is>
          <t xml:space="preserve">HSBC Low Duration Fund - Direct Growth</t>
        </is>
      </c>
      <c r="C3957" t="inlineStr">
        <is>
          <t xml:space="preserve">INF917K01GM7</t>
        </is>
      </c>
    </row>
    <row r="3958">
      <c r="A3958" t="inlineStr">
        <is>
          <t xml:space="preserve">HSBC Mutual Fund</t>
        </is>
      </c>
      <c r="B3958" t="inlineStr">
        <is>
          <t xml:space="preserve">HSBC Low Duration Fund - Direct Monthly IDCW</t>
        </is>
      </c>
      <c r="C3958" t="inlineStr">
        <is>
          <t xml:space="preserve">INF917K01E60</t>
        </is>
      </c>
    </row>
    <row r="3959">
      <c r="A3959" t="inlineStr">
        <is>
          <t xml:space="preserve">HSBC Mutual Fund</t>
        </is>
      </c>
      <c r="B3959" t="inlineStr">
        <is>
          <t xml:space="preserve">HSBC Low Duration Fund - Regular Annual IDCW</t>
        </is>
      </c>
      <c r="C3959" t="inlineStr">
        <is>
          <t xml:space="preserve">INF917K01VX3</t>
        </is>
      </c>
    </row>
    <row r="3960">
      <c r="A3960" t="inlineStr">
        <is>
          <t xml:space="preserve">HSBC Mutual Fund</t>
        </is>
      </c>
      <c r="B3960" t="inlineStr">
        <is>
          <t xml:space="preserve">HSBC Low Duration Fund - Regular Growth</t>
        </is>
      </c>
      <c r="C3960" t="inlineStr">
        <is>
          <t xml:space="preserve">INF677K01452</t>
        </is>
      </c>
    </row>
    <row r="3961">
      <c r="A3961" t="inlineStr">
        <is>
          <t xml:space="preserve">HSBC Mutual Fund</t>
        </is>
      </c>
      <c r="B3961" t="inlineStr">
        <is>
          <t xml:space="preserve">HSBC Low Duration Fund - Regular Monthly IDCW</t>
        </is>
      </c>
      <c r="C3961" t="inlineStr">
        <is>
          <t xml:space="preserve">INF677K01460</t>
        </is>
      </c>
    </row>
    <row r="3962">
      <c r="A3962" t="inlineStr">
        <is>
          <t xml:space="preserve">HSBC Mutual Fund</t>
        </is>
      </c>
      <c r="B3962" t="inlineStr">
        <is>
          <t xml:space="preserve">HSBC Medium Duration Fund - Direct Annual IDCW</t>
        </is>
      </c>
      <c r="C3962" t="inlineStr">
        <is>
          <t xml:space="preserve">INF917K01WF8</t>
        </is>
      </c>
    </row>
    <row r="3963">
      <c r="A3963" t="inlineStr">
        <is>
          <t xml:space="preserve">HSBC Mutual Fund</t>
        </is>
      </c>
      <c r="B3963" t="inlineStr">
        <is>
          <t xml:space="preserve">HSBC Medium Duration Fund - Direct Growth</t>
        </is>
      </c>
      <c r="C3963" t="inlineStr">
        <is>
          <t xml:space="preserve">INF917K01TK4</t>
        </is>
      </c>
    </row>
    <row r="3964">
      <c r="A3964" t="inlineStr">
        <is>
          <t xml:space="preserve">HSBC Mutual Fund</t>
        </is>
      </c>
      <c r="B3964" t="inlineStr">
        <is>
          <t xml:space="preserve">HSBC Medium Duration Fund - Direct IDCW</t>
        </is>
      </c>
      <c r="C3964" t="inlineStr">
        <is>
          <t xml:space="preserve">INF917K01TM0</t>
        </is>
      </c>
    </row>
    <row r="3965">
      <c r="A3965" t="inlineStr">
        <is>
          <t xml:space="preserve">HSBC Mutual Fund</t>
        </is>
      </c>
      <c r="B3965" t="inlineStr">
        <is>
          <t xml:space="preserve">HSBC Medium Duration Fund - Regular Annual IDCW</t>
        </is>
      </c>
      <c r="C3965" t="inlineStr">
        <is>
          <t xml:space="preserve">INF917K01WE1</t>
        </is>
      </c>
    </row>
    <row r="3966">
      <c r="A3966" t="inlineStr">
        <is>
          <t xml:space="preserve">HSBC Mutual Fund</t>
        </is>
      </c>
      <c r="B3966" t="inlineStr">
        <is>
          <t xml:space="preserve">HSBC Medium Duration Fund - Regular Growth</t>
        </is>
      </c>
      <c r="C3966" t="inlineStr">
        <is>
          <t xml:space="preserve">INF917K01TH0</t>
        </is>
      </c>
    </row>
    <row r="3967">
      <c r="A3967" t="inlineStr">
        <is>
          <t xml:space="preserve">HSBC Mutual Fund</t>
        </is>
      </c>
      <c r="B3967" t="inlineStr">
        <is>
          <t xml:space="preserve">HSBC Medium Duration Fund - Regular IDCW</t>
        </is>
      </c>
      <c r="C3967" t="inlineStr">
        <is>
          <t xml:space="preserve">INF917K01TJ6</t>
        </is>
      </c>
    </row>
    <row r="3968">
      <c r="A3968" t="inlineStr">
        <is>
          <t xml:space="preserve">HSBC Mutual Fund</t>
        </is>
      </c>
      <c r="B3968" t="inlineStr">
        <is>
          <t xml:space="preserve">HSBC Medium to Long Duration Fund - Direct Growth</t>
        </is>
      </c>
      <c r="C3968" t="inlineStr">
        <is>
          <t xml:space="preserve">INF336L01DE2</t>
        </is>
      </c>
    </row>
    <row r="3969">
      <c r="A3969" t="inlineStr">
        <is>
          <t xml:space="preserve">HSBC Mutual Fund</t>
        </is>
      </c>
      <c r="B3969" t="inlineStr">
        <is>
          <t xml:space="preserve">HSBC Medium to Long Duration Fund - Direct Quarterly IDCW</t>
        </is>
      </c>
      <c r="C3969" t="inlineStr">
        <is>
          <t xml:space="preserve">INF336L01EO9</t>
        </is>
      </c>
    </row>
    <row r="3970">
      <c r="A3970" t="inlineStr">
        <is>
          <t xml:space="preserve">HSBC Mutual Fund</t>
        </is>
      </c>
      <c r="B3970" t="inlineStr">
        <is>
          <t xml:space="preserve">HSBC Medium to Long Duration Fund - Regular Growth</t>
        </is>
      </c>
      <c r="C3970" t="inlineStr">
        <is>
          <t xml:space="preserve">INF336L01776</t>
        </is>
      </c>
    </row>
    <row r="3971">
      <c r="A3971" t="inlineStr">
        <is>
          <t xml:space="preserve">HSBC Mutual Fund</t>
        </is>
      </c>
      <c r="B3971" t="inlineStr">
        <is>
          <t xml:space="preserve">HSBC Medium to Long Duration Fund - Regular Quarterly IDCW</t>
        </is>
      </c>
      <c r="C3971" t="inlineStr">
        <is>
          <t xml:space="preserve">INF336L01784</t>
        </is>
      </c>
    </row>
    <row r="3972">
      <c r="A3972" t="inlineStr">
        <is>
          <t xml:space="preserve">HSBC Mutual Fund</t>
        </is>
      </c>
      <c r="B3972" t="inlineStr">
        <is>
          <t xml:space="preserve">HSBC Midcap Fund - Direct Growth</t>
        </is>
      </c>
      <c r="C3972" t="inlineStr">
        <is>
          <t xml:space="preserve">INF917K01FZ1</t>
        </is>
      </c>
    </row>
    <row r="3973">
      <c r="A3973" t="inlineStr">
        <is>
          <t xml:space="preserve">HSBC Mutual Fund</t>
        </is>
      </c>
      <c r="B3973" t="inlineStr">
        <is>
          <t xml:space="preserve">HSBC Midcap Fund - Direct IDCW</t>
        </is>
      </c>
      <c r="C3973" t="inlineStr">
        <is>
          <t xml:space="preserve">INF917K01E78</t>
        </is>
      </c>
    </row>
    <row r="3974">
      <c r="A3974" t="inlineStr">
        <is>
          <t xml:space="preserve">HSBC Mutual Fund</t>
        </is>
      </c>
      <c r="B3974" t="inlineStr">
        <is>
          <t xml:space="preserve">HSBC Midcap Fund - Regular Growth</t>
        </is>
      </c>
      <c r="C3974" t="inlineStr">
        <is>
          <t xml:space="preserve">INF917K01254</t>
        </is>
      </c>
    </row>
    <row r="3975">
      <c r="A3975" t="inlineStr">
        <is>
          <t xml:space="preserve">HSBC Mutual Fund</t>
        </is>
      </c>
      <c r="B3975" t="inlineStr">
        <is>
          <t xml:space="preserve">HSBC Midcap Fund - Regular IDCW</t>
        </is>
      </c>
      <c r="C3975" t="inlineStr">
        <is>
          <t xml:space="preserve">INF917K01239</t>
        </is>
      </c>
    </row>
    <row r="3976">
      <c r="A3976" t="inlineStr">
        <is>
          <t xml:space="preserve">HSBC Mutual Fund</t>
        </is>
      </c>
      <c r="B3976" t="inlineStr">
        <is>
          <t xml:space="preserve">HSBC Money Market Fund - Direct Daily IDCW</t>
        </is>
      </c>
      <c r="C3976" t="inlineStr">
        <is>
          <t xml:space="preserve">INF917K01FD8</t>
        </is>
      </c>
    </row>
    <row r="3977">
      <c r="A3977" t="inlineStr">
        <is>
          <t xml:space="preserve">HSBC Mutual Fund</t>
        </is>
      </c>
      <c r="B3977" t="inlineStr">
        <is>
          <t xml:space="preserve">HSBC Money Market Fund - Direct Growth</t>
        </is>
      </c>
      <c r="C3977" t="inlineStr">
        <is>
          <t xml:space="preserve">INF917K01FE6</t>
        </is>
      </c>
    </row>
    <row r="3978">
      <c r="A3978" t="inlineStr">
        <is>
          <t xml:space="preserve">HSBC Mutual Fund</t>
        </is>
      </c>
      <c r="B3978" t="inlineStr">
        <is>
          <t xml:space="preserve">HSBC Money Market Fund - Direct Monthly IDCW</t>
        </is>
      </c>
      <c r="C3978" t="inlineStr">
        <is>
          <t xml:space="preserve">INF917K01E86</t>
        </is>
      </c>
    </row>
    <row r="3979">
      <c r="A3979" t="inlineStr">
        <is>
          <t xml:space="preserve">HSBC Mutual Fund</t>
        </is>
      </c>
      <c r="B3979" t="inlineStr">
        <is>
          <t xml:space="preserve">HSBC Money Market Fund - Direct Weekly IDCW</t>
        </is>
      </c>
      <c r="C3979" t="inlineStr">
        <is>
          <t xml:space="preserve">INF917K01FH9</t>
        </is>
      </c>
    </row>
    <row r="3980">
      <c r="A3980" t="inlineStr">
        <is>
          <t xml:space="preserve">HSBC Mutual Fund</t>
        </is>
      </c>
      <c r="B3980" t="inlineStr">
        <is>
          <t xml:space="preserve">HSBC Money Market Fund - Regular Daily IDCW</t>
        </is>
      </c>
      <c r="C3980" t="inlineStr">
        <is>
          <t xml:space="preserve">INF917K01AY5</t>
        </is>
      </c>
    </row>
    <row r="3981">
      <c r="A3981" t="inlineStr">
        <is>
          <t xml:space="preserve">HSBC Mutual Fund</t>
        </is>
      </c>
      <c r="B3981" t="inlineStr">
        <is>
          <t xml:space="preserve">HSBC Money Market Fund - Regular Growth</t>
        </is>
      </c>
      <c r="C3981" t="inlineStr">
        <is>
          <t xml:space="preserve">INF917K01BC9</t>
        </is>
      </c>
    </row>
    <row r="3982">
      <c r="A3982" t="inlineStr">
        <is>
          <t xml:space="preserve">HSBC Mutual Fund</t>
        </is>
      </c>
      <c r="B3982" t="inlineStr">
        <is>
          <t xml:space="preserve">HSBC Money Market Fund - Regular Monthly IDCW</t>
        </is>
      </c>
      <c r="C3982" t="inlineStr">
        <is>
          <t xml:space="preserve">INF917K01BB1</t>
        </is>
      </c>
    </row>
    <row r="3983">
      <c r="A3983" t="inlineStr">
        <is>
          <t xml:space="preserve">HSBC Mutual Fund</t>
        </is>
      </c>
      <c r="B3983" t="inlineStr">
        <is>
          <t xml:space="preserve">HSBC Money Market Fund - Regular Weekly IDCW</t>
        </is>
      </c>
      <c r="C3983" t="inlineStr">
        <is>
          <t xml:space="preserve">INF917K01AZ2</t>
        </is>
      </c>
    </row>
    <row r="3984">
      <c r="A3984" t="inlineStr">
        <is>
          <t xml:space="preserve">HSBC Mutual Fund</t>
        </is>
      </c>
      <c r="B3984" t="inlineStr">
        <is>
          <t xml:space="preserve">HSBC Multi Asset Active FOF - Growth</t>
        </is>
      </c>
      <c r="C3984" t="inlineStr">
        <is>
          <t xml:space="preserve">INF336L01IG6</t>
        </is>
      </c>
    </row>
    <row r="3985">
      <c r="A3985" t="inlineStr">
        <is>
          <t xml:space="preserve">HSBC Mutual Fund</t>
        </is>
      </c>
      <c r="B3985" t="inlineStr">
        <is>
          <t xml:space="preserve">HSBC Multi Asset Active FOF - Growth Direct</t>
        </is>
      </c>
      <c r="C3985" t="inlineStr">
        <is>
          <t xml:space="preserve">INF336L01IJ0</t>
        </is>
      </c>
    </row>
    <row r="3986">
      <c r="A3986" t="inlineStr">
        <is>
          <t xml:space="preserve">HSBC Mutual Fund</t>
        </is>
      </c>
      <c r="B3986" t="inlineStr">
        <is>
          <t xml:space="preserve">HSBC Multi Asset Active FOF Direct Plan IDCW</t>
        </is>
      </c>
      <c r="C3986" t="inlineStr">
        <is>
          <t xml:space="preserve">INF336L01IH4</t>
        </is>
      </c>
    </row>
    <row r="3987">
      <c r="A3987" t="inlineStr">
        <is>
          <t xml:space="preserve">HSBC Mutual Fund</t>
        </is>
      </c>
      <c r="B3987" t="inlineStr">
        <is>
          <t xml:space="preserve">HSBC Multi Asset Active FOF IDCW</t>
        </is>
      </c>
      <c r="C3987" t="inlineStr">
        <is>
          <t xml:space="preserve">INF336L01IE1</t>
        </is>
      </c>
    </row>
    <row r="3988">
      <c r="A3988" t="inlineStr">
        <is>
          <t xml:space="preserve">HSBC Mutual Fund</t>
        </is>
      </c>
      <c r="B3988" t="inlineStr">
        <is>
          <t xml:space="preserve">HSBC Multi Asset Allocation Fund - Direct - Growth</t>
        </is>
      </c>
      <c r="C3988" t="inlineStr">
        <is>
          <t xml:space="preserve">INF336L01RI3</t>
        </is>
      </c>
    </row>
    <row r="3989">
      <c r="A3989" t="inlineStr">
        <is>
          <t xml:space="preserve">HSBC Mutual Fund</t>
        </is>
      </c>
      <c r="B3989" t="inlineStr">
        <is>
          <t xml:space="preserve">HSBC Multi Asset Allocation Fund - Direct - IDCW</t>
        </is>
      </c>
      <c r="C3989" t="inlineStr">
        <is>
          <t xml:space="preserve">INF336L01RJ1</t>
        </is>
      </c>
    </row>
    <row r="3990">
      <c r="A3990" t="inlineStr">
        <is>
          <t xml:space="preserve">HSBC Mutual Fund</t>
        </is>
      </c>
      <c r="B3990" t="inlineStr">
        <is>
          <t xml:space="preserve">HSBC Multi Asset Allocation Fund - Regular - Growth</t>
        </is>
      </c>
      <c r="C3990" t="inlineStr">
        <is>
          <t xml:space="preserve">INF336L01RF9</t>
        </is>
      </c>
    </row>
    <row r="3991">
      <c r="A3991" t="inlineStr">
        <is>
          <t xml:space="preserve">HSBC Mutual Fund</t>
        </is>
      </c>
      <c r="B3991" t="inlineStr">
        <is>
          <t xml:space="preserve">HSBC Multi Asset Allocation Fund - Regular - IDCW</t>
        </is>
      </c>
      <c r="C3991" t="inlineStr">
        <is>
          <t xml:space="preserve">INF336L01RG7</t>
        </is>
      </c>
    </row>
    <row r="3992">
      <c r="A3992" t="inlineStr">
        <is>
          <t xml:space="preserve">HSBC Mutual Fund</t>
        </is>
      </c>
      <c r="B3992" t="inlineStr">
        <is>
          <t xml:space="preserve">HSBC Multi Cap Fund - Direct - Growth</t>
        </is>
      </c>
      <c r="C3992" t="inlineStr">
        <is>
          <t xml:space="preserve">INF336L01QN5</t>
        </is>
      </c>
    </row>
    <row r="3993">
      <c r="A3993" t="inlineStr">
        <is>
          <t xml:space="preserve">HSBC Mutual Fund</t>
        </is>
      </c>
      <c r="B3993" t="inlineStr">
        <is>
          <t xml:space="preserve">HSBC Multi Cap Fund - Direct - IDCW</t>
        </is>
      </c>
      <c r="C3993" t="inlineStr">
        <is>
          <t xml:space="preserve">INF336L01QO3</t>
        </is>
      </c>
    </row>
    <row r="3994">
      <c r="A3994" t="inlineStr">
        <is>
          <t xml:space="preserve">HSBC Mutual Fund</t>
        </is>
      </c>
      <c r="B3994" t="inlineStr">
        <is>
          <t xml:space="preserve">HSBC Multi Cap Fund - Regular - Growth</t>
        </is>
      </c>
      <c r="C3994" t="inlineStr">
        <is>
          <t xml:space="preserve">INF336L01QQ8</t>
        </is>
      </c>
    </row>
    <row r="3995">
      <c r="A3995" t="inlineStr">
        <is>
          <t xml:space="preserve">HSBC Mutual Fund</t>
        </is>
      </c>
      <c r="B3995" t="inlineStr">
        <is>
          <t xml:space="preserve">HSBC Multi Cap Fund - Regular - IDCW</t>
        </is>
      </c>
      <c r="C3995" t="inlineStr">
        <is>
          <t xml:space="preserve">INF336L01QR6</t>
        </is>
      </c>
    </row>
    <row r="3996">
      <c r="A3996" t="inlineStr">
        <is>
          <t xml:space="preserve">HSBC Mutual Fund</t>
        </is>
      </c>
      <c r="B3996" t="inlineStr">
        <is>
          <t xml:space="preserve">HSBC NIFTY 50 INDEX FUND - Direct Growth</t>
        </is>
      </c>
      <c r="C3996" t="inlineStr">
        <is>
          <t xml:space="preserve">INF917K01D12</t>
        </is>
      </c>
    </row>
    <row r="3997">
      <c r="A3997" t="inlineStr">
        <is>
          <t xml:space="preserve">HSBC Mutual Fund</t>
        </is>
      </c>
      <c r="B3997" t="inlineStr">
        <is>
          <t xml:space="preserve">HSBC NIFTY 50 INDEX FUND - Direct IDCW</t>
        </is>
      </c>
      <c r="C3997" t="inlineStr">
        <is>
          <t xml:space="preserve">INF917K01C96</t>
        </is>
      </c>
    </row>
    <row r="3998">
      <c r="A3998" t="inlineStr">
        <is>
          <t xml:space="preserve">HSBC Mutual Fund</t>
        </is>
      </c>
      <c r="B3998" t="inlineStr">
        <is>
          <t xml:space="preserve">HSBC NIFTY 50 INDEX FUND - Regular Growth</t>
        </is>
      </c>
      <c r="C3998" t="inlineStr">
        <is>
          <t xml:space="preserve">INF917K01D38</t>
        </is>
      </c>
    </row>
    <row r="3999">
      <c r="A3999" t="inlineStr">
        <is>
          <t xml:space="preserve">HSBC Mutual Fund</t>
        </is>
      </c>
      <c r="B3999" t="inlineStr">
        <is>
          <t xml:space="preserve">HSBC NIFTY 50 INDEX FUND - Regular IDCW</t>
        </is>
      </c>
      <c r="C3999" t="inlineStr">
        <is>
          <t xml:space="preserve">INF917K01D20</t>
        </is>
      </c>
    </row>
    <row r="4000">
      <c r="A4000" t="inlineStr">
        <is>
          <t xml:space="preserve">HSBC Mutual Fund</t>
        </is>
      </c>
      <c r="B4000" t="inlineStr">
        <is>
          <t xml:space="preserve">HSBC NIFTY NEXT 50 INDEX FUND - Direct Growth</t>
        </is>
      </c>
      <c r="C4000" t="inlineStr">
        <is>
          <t xml:space="preserve">INF917K01D79</t>
        </is>
      </c>
    </row>
    <row r="4001">
      <c r="A4001" t="inlineStr">
        <is>
          <t xml:space="preserve">HSBC Mutual Fund</t>
        </is>
      </c>
      <c r="B4001" t="inlineStr">
        <is>
          <t xml:space="preserve">HSBC NIFTY NEXT 50 INDEX FUND - Direct IDCW</t>
        </is>
      </c>
      <c r="C4001" t="inlineStr">
        <is>
          <t xml:space="preserve">INF917K01D53</t>
        </is>
      </c>
    </row>
    <row r="4002">
      <c r="A4002" t="inlineStr">
        <is>
          <t xml:space="preserve">HSBC Mutual Fund</t>
        </is>
      </c>
      <c r="B4002" t="inlineStr">
        <is>
          <t xml:space="preserve">HSBC NIFTY NEXT 50 INDEX FUND - Regular Growth</t>
        </is>
      </c>
      <c r="C4002" t="inlineStr">
        <is>
          <t xml:space="preserve">INF917K01D95</t>
        </is>
      </c>
    </row>
    <row r="4003">
      <c r="A4003" t="inlineStr">
        <is>
          <t xml:space="preserve">HSBC Mutual Fund</t>
        </is>
      </c>
      <c r="B4003" t="inlineStr">
        <is>
          <t xml:space="preserve">HSBC NIFTY NEXT 50 INDEX FUND - Regular IDCW</t>
        </is>
      </c>
      <c r="C4003" t="inlineStr">
        <is>
          <t xml:space="preserve">INF917K01D87</t>
        </is>
      </c>
    </row>
    <row r="4004">
      <c r="A4004" t="inlineStr">
        <is>
          <t xml:space="preserve">HSBC Mutual Fund</t>
        </is>
      </c>
      <c r="B4004" t="inlineStr">
        <is>
          <t xml:space="preserve">HSBC Overnight Fund - Direct Daily IDCW</t>
        </is>
      </c>
      <c r="C4004" t="inlineStr">
        <is>
          <t xml:space="preserve">INF336L01OG4</t>
        </is>
      </c>
    </row>
    <row r="4005">
      <c r="A4005" t="inlineStr">
        <is>
          <t xml:space="preserve">HSBC Mutual Fund</t>
        </is>
      </c>
      <c r="B4005" t="inlineStr">
        <is>
          <t xml:space="preserve">HSBC Overnight Fund - Direct Growth</t>
        </is>
      </c>
      <c r="C4005" t="inlineStr">
        <is>
          <t xml:space="preserve">INF336L01OF6</t>
        </is>
      </c>
    </row>
    <row r="4006">
      <c r="A4006" t="inlineStr">
        <is>
          <t xml:space="preserve">HSBC Mutual Fund</t>
        </is>
      </c>
      <c r="B4006" t="inlineStr">
        <is>
          <t xml:space="preserve">HSBC Overnight Fund - Direct Monthly IDCW</t>
        </is>
      </c>
      <c r="C4006" t="inlineStr">
        <is>
          <t xml:space="preserve">INF336L01OK6</t>
        </is>
      </c>
    </row>
    <row r="4007">
      <c r="A4007" t="inlineStr">
        <is>
          <t xml:space="preserve">HSBC Mutual Fund</t>
        </is>
      </c>
      <c r="B4007" t="inlineStr">
        <is>
          <t xml:space="preserve">HSBC Overnight Fund - Direct Weekly IDCW</t>
        </is>
      </c>
      <c r="C4007" t="inlineStr">
        <is>
          <t xml:space="preserve">INF336L01OJ8</t>
        </is>
      </c>
    </row>
    <row r="4008">
      <c r="A4008" t="inlineStr">
        <is>
          <t xml:space="preserve">HSBC Mutual Fund</t>
        </is>
      </c>
      <c r="B4008" t="inlineStr">
        <is>
          <t xml:space="preserve">HSBC Overnight Fund - Regular Daily IDCW</t>
        </is>
      </c>
      <c r="C4008" t="inlineStr">
        <is>
          <t xml:space="preserve">INF336L01OM2</t>
        </is>
      </c>
    </row>
    <row r="4009">
      <c r="A4009" t="inlineStr">
        <is>
          <t xml:space="preserve">HSBC Mutual Fund</t>
        </is>
      </c>
      <c r="B4009" t="inlineStr">
        <is>
          <t xml:space="preserve">HSBC Overnight Fund - Regular Growth</t>
        </is>
      </c>
      <c r="C4009" t="inlineStr">
        <is>
          <t xml:space="preserve">INF336L01OL4</t>
        </is>
      </c>
    </row>
    <row r="4010">
      <c r="A4010" t="inlineStr">
        <is>
          <t xml:space="preserve">HSBC Mutual Fund</t>
        </is>
      </c>
      <c r="B4010" t="inlineStr">
        <is>
          <t xml:space="preserve">HSBC Overnight Fund - Regular Monthly IDCW</t>
        </is>
      </c>
      <c r="C4010" t="inlineStr">
        <is>
          <t xml:space="preserve">INF336L01OQ3</t>
        </is>
      </c>
    </row>
    <row r="4011">
      <c r="A4011" t="inlineStr">
        <is>
          <t xml:space="preserve">HSBC Mutual Fund</t>
        </is>
      </c>
      <c r="B4011" t="inlineStr">
        <is>
          <t xml:space="preserve">HSBC Overnight Fund - Regular Weekly IDCW</t>
        </is>
      </c>
      <c r="C4011" t="inlineStr">
        <is>
          <t xml:space="preserve">INF336L01OP5</t>
        </is>
      </c>
    </row>
    <row r="4012">
      <c r="A4012" t="inlineStr">
        <is>
          <t xml:space="preserve">HSBC Mutual Fund</t>
        </is>
      </c>
      <c r="B4012" t="inlineStr">
        <is>
          <t xml:space="preserve">HSBC Short Duration Fund -  Regular Plan - Monthly IDCW</t>
        </is>
      </c>
      <c r="C4012" t="inlineStr">
        <is>
          <t xml:space="preserve">INF917K01CH6</t>
        </is>
      </c>
    </row>
    <row r="4013">
      <c r="A4013" t="inlineStr">
        <is>
          <t xml:space="preserve">HSBC Mutual Fund</t>
        </is>
      </c>
      <c r="B4013" t="inlineStr">
        <is>
          <t xml:space="preserve">HSBC Short Duration Fund - Bonus</t>
        </is>
      </c>
      <c r="C4013" t="inlineStr">
        <is>
          <t xml:space="preserve">INF917K01CM6</t>
        </is>
      </c>
    </row>
    <row r="4014">
      <c r="A4014" t="inlineStr">
        <is>
          <t xml:space="preserve">HSBC Mutual Fund</t>
        </is>
      </c>
      <c r="B4014" t="inlineStr">
        <is>
          <t xml:space="preserve">HSBC Short Duration Fund - Direct Annual IDCW</t>
        </is>
      </c>
      <c r="C4014" t="inlineStr">
        <is>
          <t xml:space="preserve">INF917K01VR5</t>
        </is>
      </c>
    </row>
    <row r="4015">
      <c r="A4015" t="inlineStr">
        <is>
          <t xml:space="preserve">HSBC Mutual Fund</t>
        </is>
      </c>
      <c r="B4015" t="inlineStr">
        <is>
          <t xml:space="preserve">HSBC Short Duration Fund - Direct Growth</t>
        </is>
      </c>
      <c r="C4015" t="inlineStr">
        <is>
          <t xml:space="preserve">INF917K01IQ4</t>
        </is>
      </c>
    </row>
    <row r="4016">
      <c r="A4016" t="inlineStr">
        <is>
          <t xml:space="preserve">HSBC Mutual Fund</t>
        </is>
      </c>
      <c r="B4016" t="inlineStr">
        <is>
          <t xml:space="preserve">HSBC Short Duration Fund - Direct Plan -  Monthly IDCW</t>
        </is>
      </c>
      <c r="C4016" t="inlineStr">
        <is>
          <t xml:space="preserve">INF917K01IP6</t>
        </is>
      </c>
    </row>
    <row r="4017">
      <c r="A4017" t="inlineStr">
        <is>
          <t xml:space="preserve">HSBC Mutual Fund</t>
        </is>
      </c>
      <c r="B4017" t="inlineStr">
        <is>
          <t xml:space="preserve">HSBC Short Duration Fund - Direct Quarterly IDCW</t>
        </is>
      </c>
      <c r="C4017" t="inlineStr">
        <is>
          <t xml:space="preserve">INF917K01IS0</t>
        </is>
      </c>
    </row>
    <row r="4018">
      <c r="A4018" t="inlineStr">
        <is>
          <t xml:space="preserve">HSBC Mutual Fund</t>
        </is>
      </c>
      <c r="B4018" t="inlineStr">
        <is>
          <t xml:space="preserve">HSBC Short Duration Fund - Regular Annual IDCW</t>
        </is>
      </c>
      <c r="C4018" t="inlineStr">
        <is>
          <t xml:space="preserve">INF917K01VT1</t>
        </is>
      </c>
    </row>
    <row r="4019">
      <c r="A4019" t="inlineStr">
        <is>
          <t xml:space="preserve">HSBC Mutual Fund</t>
        </is>
      </c>
      <c r="B4019" t="inlineStr">
        <is>
          <t xml:space="preserve">HSBC Short Duration Fund - Regular Growth</t>
        </is>
      </c>
      <c r="C4019" t="inlineStr">
        <is>
          <t xml:space="preserve">INF917K01CL8</t>
        </is>
      </c>
    </row>
    <row r="4020">
      <c r="A4020" t="inlineStr">
        <is>
          <t xml:space="preserve">HSBC Mutual Fund</t>
        </is>
      </c>
      <c r="B4020" t="inlineStr">
        <is>
          <t xml:space="preserve">HSBC Short Duration Fund - Regular Quarterly IDCW</t>
        </is>
      </c>
      <c r="C4020" t="inlineStr">
        <is>
          <t xml:space="preserve">INF917K01CJ2</t>
        </is>
      </c>
    </row>
    <row r="4021">
      <c r="A4021" t="inlineStr">
        <is>
          <t xml:space="preserve">HSBC Mutual Fund</t>
        </is>
      </c>
      <c r="B4021" t="inlineStr">
        <is>
          <t xml:space="preserve">HSBC Small Cap Fund - Direct Growth</t>
        </is>
      </c>
      <c r="C4021" t="inlineStr">
        <is>
          <t xml:space="preserve">INF917K01QA1</t>
        </is>
      </c>
    </row>
    <row r="4022">
      <c r="A4022" t="inlineStr">
        <is>
          <t xml:space="preserve">HSBC Mutual Fund</t>
        </is>
      </c>
      <c r="B4022" t="inlineStr">
        <is>
          <t xml:space="preserve">HSBC Small Cap Fund - Direct IDCW</t>
        </is>
      </c>
      <c r="C4022" t="inlineStr">
        <is>
          <t xml:space="preserve">INF917K01PZ0</t>
        </is>
      </c>
    </row>
    <row r="4023">
      <c r="A4023" t="inlineStr">
        <is>
          <t xml:space="preserve">HSBC Mutual Fund</t>
        </is>
      </c>
      <c r="B4023" t="inlineStr">
        <is>
          <t xml:space="preserve">HSBC Small Cap Fund - Regular Growth</t>
        </is>
      </c>
      <c r="C4023" t="inlineStr">
        <is>
          <t xml:space="preserve">INF917K01QC7</t>
        </is>
      </c>
    </row>
    <row r="4024">
      <c r="A4024" t="inlineStr">
        <is>
          <t xml:space="preserve">HSBC Mutual Fund</t>
        </is>
      </c>
      <c r="B4024" t="inlineStr">
        <is>
          <t xml:space="preserve">HSBC Small Cap Fund - Regular IDCW</t>
        </is>
      </c>
      <c r="C4024" t="inlineStr">
        <is>
          <t xml:space="preserve">INF917K01QB9</t>
        </is>
      </c>
    </row>
    <row r="4025">
      <c r="A4025" t="inlineStr">
        <is>
          <t xml:space="preserve">HSBC Mutual Fund</t>
        </is>
      </c>
      <c r="B4025" t="inlineStr">
        <is>
          <t xml:space="preserve">HSBC Ultra Short Duration Fund - Direct Daily IDCW</t>
        </is>
      </c>
      <c r="C4025" t="inlineStr">
        <is>
          <t xml:space="preserve">INF336L01OS9</t>
        </is>
      </c>
    </row>
    <row r="4026">
      <c r="A4026" t="inlineStr">
        <is>
          <t xml:space="preserve">HSBC Mutual Fund</t>
        </is>
      </c>
      <c r="B4026" t="inlineStr">
        <is>
          <t xml:space="preserve">HSBC Ultra Short Duration Fund - Direct Growth</t>
        </is>
      </c>
      <c r="C4026" t="inlineStr">
        <is>
          <t xml:space="preserve">INF336L01OR1</t>
        </is>
      </c>
    </row>
    <row r="4027">
      <c r="A4027" t="inlineStr">
        <is>
          <t xml:space="preserve">HSBC Mutual Fund</t>
        </is>
      </c>
      <c r="B4027" t="inlineStr">
        <is>
          <t xml:space="preserve">HSBC Ultra Short Duration Fund - Direct Monthly IDCW</t>
        </is>
      </c>
      <c r="C4027" t="inlineStr">
        <is>
          <t xml:space="preserve">INF336L01OV3</t>
        </is>
      </c>
    </row>
    <row r="4028">
      <c r="A4028" t="inlineStr">
        <is>
          <t xml:space="preserve">HSBC Mutual Fund</t>
        </is>
      </c>
      <c r="B4028" t="inlineStr">
        <is>
          <t xml:space="preserve">HSBC Ultra Short Duration Fund - Direct Weekly IDCW</t>
        </is>
      </c>
      <c r="C4028" t="inlineStr">
        <is>
          <t xml:space="preserve">INF336L01OT7</t>
        </is>
      </c>
    </row>
    <row r="4029">
      <c r="A4029" t="inlineStr">
        <is>
          <t xml:space="preserve">HSBC Mutual Fund</t>
        </is>
      </c>
      <c r="B4029" t="inlineStr">
        <is>
          <t xml:space="preserve">HSBC Ultra Short Duration Fund - Regular Daily IDCW</t>
        </is>
      </c>
      <c r="C4029" t="inlineStr">
        <is>
          <t xml:space="preserve">INF336L01OX9</t>
        </is>
      </c>
    </row>
    <row r="4030">
      <c r="A4030" t="inlineStr">
        <is>
          <t xml:space="preserve">HSBC Mutual Fund</t>
        </is>
      </c>
      <c r="B4030" t="inlineStr">
        <is>
          <t xml:space="preserve">HSBC Ultra Short Duration Fund - Regular Growth</t>
        </is>
      </c>
      <c r="C4030" t="inlineStr">
        <is>
          <t xml:space="preserve">INF336L01OW1</t>
        </is>
      </c>
    </row>
    <row r="4031">
      <c r="A4031" t="inlineStr">
        <is>
          <t xml:space="preserve">HSBC Mutual Fund</t>
        </is>
      </c>
      <c r="B4031" t="inlineStr">
        <is>
          <t xml:space="preserve">HSBC Ultra Short Duration Fund - Regular Monthly IDCW</t>
        </is>
      </c>
      <c r="C4031" t="inlineStr">
        <is>
          <t xml:space="preserve">INF336L01PA4</t>
        </is>
      </c>
    </row>
    <row r="4032">
      <c r="A4032" t="inlineStr">
        <is>
          <t xml:space="preserve">HSBC Mutual Fund</t>
        </is>
      </c>
      <c r="B4032" t="inlineStr">
        <is>
          <t xml:space="preserve">HSBC Ultra Short Duration Fund - Regular Weekly IDCW</t>
        </is>
      </c>
      <c r="C4032" t="inlineStr">
        <is>
          <t xml:space="preserve">INF336L01OY7</t>
        </is>
      </c>
    </row>
    <row r="4033">
      <c r="A4033" t="inlineStr">
        <is>
          <t xml:space="preserve">HSBC Mutual Fund</t>
        </is>
      </c>
      <c r="B4033" t="inlineStr">
        <is>
          <t xml:space="preserve">HSBC Value Fund - Direct Growth</t>
        </is>
      </c>
      <c r="C4033" t="inlineStr">
        <is>
          <t xml:space="preserve">INF917K01HD4</t>
        </is>
      </c>
    </row>
    <row r="4034">
      <c r="A4034" t="inlineStr">
        <is>
          <t xml:space="preserve">HSBC Mutual Fund</t>
        </is>
      </c>
      <c r="B4034" t="inlineStr">
        <is>
          <t xml:space="preserve">HSBC Value Fund - Direct IDCW</t>
        </is>
      </c>
      <c r="C4034" t="inlineStr">
        <is>
          <t xml:space="preserve">INF917K01HC6</t>
        </is>
      </c>
    </row>
    <row r="4035">
      <c r="A4035" t="inlineStr">
        <is>
          <t xml:space="preserve">HSBC Mutual Fund</t>
        </is>
      </c>
      <c r="B4035" t="inlineStr">
        <is>
          <t xml:space="preserve">HSBC Value Fund - Regular Growth</t>
        </is>
      </c>
      <c r="C4035" t="inlineStr">
        <is>
          <t xml:space="preserve">INF677K01023</t>
        </is>
      </c>
    </row>
    <row r="4036">
      <c r="A4036" t="inlineStr">
        <is>
          <t xml:space="preserve">HSBC Mutual Fund</t>
        </is>
      </c>
      <c r="B4036" t="inlineStr">
        <is>
          <t xml:space="preserve">HSBC Value Fund - Regular IDCW</t>
        </is>
      </c>
      <c r="C4036" t="inlineStr">
        <is>
          <t xml:space="preserve">INF677K01213</t>
        </is>
      </c>
    </row>
    <row r="4037">
      <c r="A4037" t="inlineStr">
        <is>
          <t xml:space="preserve">ICICI Prudential Mutual Fund</t>
        </is>
      </c>
      <c r="B4037" t="inlineStr">
        <is>
          <t xml:space="preserve">ICICI Prudential Active Momentum Fund - Direct Plan - Growth</t>
        </is>
      </c>
      <c r="C4037" t="inlineStr">
        <is>
          <t xml:space="preserve">INF109K1A385</t>
        </is>
      </c>
    </row>
    <row r="4038">
      <c r="A4038" t="inlineStr">
        <is>
          <t xml:space="preserve">ICICI Prudential Mutual Fund</t>
        </is>
      </c>
      <c r="B4038" t="inlineStr">
        <is>
          <t xml:space="preserve">ICICI Prudential Active Momentum Fund - Growth</t>
        </is>
      </c>
      <c r="C4038" t="inlineStr">
        <is>
          <t xml:space="preserve">INF109K1A377</t>
        </is>
      </c>
    </row>
    <row r="4039">
      <c r="A4039" t="inlineStr">
        <is>
          <t xml:space="preserve">ICICI Prudential Mutual Fund</t>
        </is>
      </c>
      <c r="B4039" t="inlineStr">
        <is>
          <t xml:space="preserve">ICICI Prudential Aggressive Hybrid Active FOF - Direct Plan - Growth</t>
        </is>
      </c>
      <c r="C4039" t="inlineStr">
        <is>
          <t xml:space="preserve">INF109K01X40</t>
        </is>
      </c>
    </row>
    <row r="4040">
      <c r="A4040" t="inlineStr">
        <is>
          <t xml:space="preserve">ICICI Prudential Mutual Fund</t>
        </is>
      </c>
      <c r="B4040" t="inlineStr">
        <is>
          <t xml:space="preserve">ICICI Prudential Aggressive Hybrid Active FOF - Growth</t>
        </is>
      </c>
      <c r="C4040" t="inlineStr">
        <is>
          <t xml:space="preserve">INF109K01852</t>
        </is>
      </c>
    </row>
    <row r="4041">
      <c r="A4041" t="inlineStr">
        <is>
          <t xml:space="preserve">ICICI Prudential Mutual Fund</t>
        </is>
      </c>
      <c r="B4041" t="inlineStr">
        <is>
          <t xml:space="preserve">ICICI Prudential Aggressive Hybrid Active FOF - IDCW</t>
        </is>
      </c>
      <c r="C4041" t="inlineStr">
        <is>
          <t xml:space="preserve">INF109K01FR2</t>
        </is>
      </c>
    </row>
    <row r="4042">
      <c r="A4042" t="inlineStr">
        <is>
          <t xml:space="preserve">ICICI Prudential Mutual Fund</t>
        </is>
      </c>
      <c r="B4042" t="inlineStr">
        <is>
          <t xml:space="preserve">ICICI Prudential All Seasons Bond Fund - Annual IDCW</t>
        </is>
      </c>
      <c r="C4042" t="inlineStr">
        <is>
          <t xml:space="preserve">INF109K01GO7</t>
        </is>
      </c>
    </row>
    <row r="4043">
      <c r="A4043" t="inlineStr">
        <is>
          <t xml:space="preserve">ICICI Prudential Mutual Fund</t>
        </is>
      </c>
      <c r="B4043" t="inlineStr">
        <is>
          <t xml:space="preserve">ICICI Prudential All Seasons Bond Fund - Bonus</t>
        </is>
      </c>
      <c r="C4043" t="inlineStr">
        <is>
          <t xml:space="preserve">INF109KA1H36</t>
        </is>
      </c>
    </row>
    <row r="4044">
      <c r="A4044" t="inlineStr">
        <is>
          <t xml:space="preserve">ICICI Prudential Mutual Fund</t>
        </is>
      </c>
      <c r="B4044" t="inlineStr">
        <is>
          <t xml:space="preserve">ICICI Prudential All Seasons Bond Fund - Direct Plan - Annual IDCW</t>
        </is>
      </c>
      <c r="C4044" t="inlineStr">
        <is>
          <t xml:space="preserve">INF109K012E4</t>
        </is>
      </c>
    </row>
    <row r="4045">
      <c r="A4045" t="inlineStr">
        <is>
          <t xml:space="preserve">ICICI Prudential Mutual Fund</t>
        </is>
      </c>
      <c r="B4045" t="inlineStr">
        <is>
          <t xml:space="preserve">ICICI Prudential All Seasons Bond Fund - Direct Plan - Growth</t>
        </is>
      </c>
      <c r="C4045" t="inlineStr">
        <is>
          <t xml:space="preserve">INF109K016E5</t>
        </is>
      </c>
    </row>
    <row r="4046">
      <c r="A4046" t="inlineStr">
        <is>
          <t xml:space="preserve">ICICI Prudential Mutual Fund</t>
        </is>
      </c>
      <c r="B4046" t="inlineStr">
        <is>
          <t xml:space="preserve">ICICI Prudential All Seasons Bond Fund - Direct Plan - IDCW</t>
        </is>
      </c>
      <c r="C4046" t="inlineStr">
        <is>
          <t xml:space="preserve">INF109K014E0</t>
        </is>
      </c>
    </row>
    <row r="4047">
      <c r="A4047" t="inlineStr">
        <is>
          <t xml:space="preserve">ICICI Prudential Mutual Fund</t>
        </is>
      </c>
      <c r="B4047" t="inlineStr">
        <is>
          <t xml:space="preserve">ICICI Prudential All Seasons Bond Fund - Direct Plan - Quarterly IDCW</t>
        </is>
      </c>
      <c r="C4047" t="inlineStr">
        <is>
          <t xml:space="preserve">INF109K017E3</t>
        </is>
      </c>
    </row>
    <row r="4048">
      <c r="A4048" t="inlineStr">
        <is>
          <t xml:space="preserve">ICICI Prudential Mutual Fund</t>
        </is>
      </c>
      <c r="B4048" t="inlineStr">
        <is>
          <t xml:space="preserve">ICICI Prudential All Seasons Bond Fund - Direct Plan - Weekly IDCW</t>
        </is>
      </c>
      <c r="C4048" t="inlineStr">
        <is>
          <t xml:space="preserve">INF109K019E9</t>
        </is>
      </c>
    </row>
    <row r="4049">
      <c r="A4049" t="inlineStr">
        <is>
          <t xml:space="preserve">ICICI Prudential Mutual Fund</t>
        </is>
      </c>
      <c r="B4049" t="inlineStr">
        <is>
          <t xml:space="preserve">ICICI Prudential All Seasons Bond Fund - Direct Plan Bonus</t>
        </is>
      </c>
      <c r="C4049" t="inlineStr">
        <is>
          <t xml:space="preserve">INF109KA1H28</t>
        </is>
      </c>
    </row>
    <row r="4050">
      <c r="A4050" t="inlineStr">
        <is>
          <t xml:space="preserve">ICICI Prudential Mutual Fund</t>
        </is>
      </c>
      <c r="B4050" t="inlineStr">
        <is>
          <t xml:space="preserve">ICICI Prudential All Seasons Bond Fund - Growth</t>
        </is>
      </c>
      <c r="C4050" t="inlineStr">
        <is>
          <t xml:space="preserve">INF109K01GN9</t>
        </is>
      </c>
    </row>
    <row r="4051">
      <c r="A4051" t="inlineStr">
        <is>
          <t xml:space="preserve">ICICI Prudential Mutual Fund</t>
        </is>
      </c>
      <c r="B4051" t="inlineStr">
        <is>
          <t xml:space="preserve">ICICI Prudential All Seasons Bond Fund - IDCW</t>
        </is>
      </c>
      <c r="C4051" t="inlineStr">
        <is>
          <t xml:space="preserve">INF109K01GK5</t>
        </is>
      </c>
    </row>
    <row r="4052">
      <c r="A4052" t="inlineStr">
        <is>
          <t xml:space="preserve">ICICI Prudential Mutual Fund</t>
        </is>
      </c>
      <c r="B4052" t="inlineStr">
        <is>
          <t xml:space="preserve">ICICI Prudential All Seasons Bond Fund - Premium Growth Option</t>
        </is>
      </c>
      <c r="C4052" t="inlineStr">
        <is>
          <t xml:space="preserve">INF109K01GM1</t>
        </is>
      </c>
    </row>
    <row r="4053">
      <c r="A4053" t="inlineStr">
        <is>
          <t xml:space="preserve">ICICI Prudential Mutual Fund</t>
        </is>
      </c>
      <c r="B4053" t="inlineStr">
        <is>
          <t xml:space="preserve">ICICI Prudential All Seasons Bond Fund - Quarterly IDCW</t>
        </is>
      </c>
      <c r="C4053" t="inlineStr">
        <is>
          <t xml:space="preserve">INF109K01GE8</t>
        </is>
      </c>
    </row>
    <row r="4054">
      <c r="A4054" t="inlineStr">
        <is>
          <t xml:space="preserve">ICICI Prudential Mutual Fund</t>
        </is>
      </c>
      <c r="B4054" t="inlineStr">
        <is>
          <t xml:space="preserve">ICICI Prudential All Seasons Bond Fund - Weekly IDCW</t>
        </is>
      </c>
      <c r="C4054" t="inlineStr">
        <is>
          <t xml:space="preserve">INF109K01FD2</t>
        </is>
      </c>
    </row>
    <row r="4055">
      <c r="A4055" t="inlineStr">
        <is>
          <t xml:space="preserve">ICICI Prudential Mutual Fund</t>
        </is>
      </c>
      <c r="B4055" t="inlineStr">
        <is>
          <t xml:space="preserve">ICICI Prudential All Seasons Bond Fund Retail - Annual Dividend</t>
        </is>
      </c>
      <c r="C4055" t="inlineStr">
        <is>
          <t xml:space="preserve">INF109K01GI9</t>
        </is>
      </c>
    </row>
    <row r="4056">
      <c r="A4056" t="inlineStr">
        <is>
          <t xml:space="preserve">ICICI Prudential Mutual Fund</t>
        </is>
      </c>
      <c r="B4056" t="inlineStr">
        <is>
          <t xml:space="preserve">ICICI Prudential All Seasons Bond Fund Retail - Cumulative</t>
        </is>
      </c>
      <c r="C4056" t="inlineStr">
        <is>
          <t xml:space="preserve">INF109K01712</t>
        </is>
      </c>
    </row>
    <row r="4057">
      <c r="A4057" t="inlineStr">
        <is>
          <t xml:space="preserve">ICICI Prudential Mutual Fund</t>
        </is>
      </c>
      <c r="B4057" t="inlineStr">
        <is>
          <t xml:space="preserve">ICICI Prudential All Seasons Bond Fund Retail - Quarterly Dividend</t>
        </is>
      </c>
      <c r="C4057" t="inlineStr">
        <is>
          <t xml:space="preserve">INF109K01GG3</t>
        </is>
      </c>
    </row>
    <row r="4058">
      <c r="A4058" t="inlineStr">
        <is>
          <t xml:space="preserve">ICICI Prudential Mutual Fund</t>
        </is>
      </c>
      <c r="B4058" t="inlineStr">
        <is>
          <t xml:space="preserve">ICICI Prudential Arbitrage Fund - Direct Plan - Growth</t>
        </is>
      </c>
      <c r="C4058" t="inlineStr">
        <is>
          <t xml:space="preserve">INF109K016O4</t>
        </is>
      </c>
    </row>
    <row r="4059">
      <c r="A4059" t="inlineStr">
        <is>
          <t xml:space="preserve">ICICI Prudential Mutual Fund</t>
        </is>
      </c>
      <c r="B4059" t="inlineStr">
        <is>
          <t xml:space="preserve">ICICI Prudential Arbitrage Fund - Direct Plan - IDCW</t>
        </is>
      </c>
      <c r="C4059" t="inlineStr">
        <is>
          <t xml:space="preserve">INF109K017O2</t>
        </is>
      </c>
    </row>
    <row r="4060">
      <c r="A4060" t="inlineStr">
        <is>
          <t xml:space="preserve">ICICI Prudential Mutual Fund</t>
        </is>
      </c>
      <c r="B4060" t="inlineStr">
        <is>
          <t xml:space="preserve">ICICI Prudential Arbitrage Fund - Growth</t>
        </is>
      </c>
      <c r="C4060" t="inlineStr">
        <is>
          <t xml:space="preserve">INF109K01BF6</t>
        </is>
      </c>
    </row>
    <row r="4061">
      <c r="A4061" t="inlineStr">
        <is>
          <t xml:space="preserve">ICICI Prudential Mutual Fund</t>
        </is>
      </c>
      <c r="B4061" t="inlineStr">
        <is>
          <t xml:space="preserve">ICICI Prudential Arbitrage Fund - IDCW</t>
        </is>
      </c>
      <c r="C4061" t="inlineStr">
        <is>
          <t xml:space="preserve">INF109K01EF0</t>
        </is>
      </c>
    </row>
    <row r="4062">
      <c r="A4062" t="inlineStr">
        <is>
          <t xml:space="preserve">ICICI Prudential Mutual Fund</t>
        </is>
      </c>
      <c r="B4062" t="inlineStr">
        <is>
          <t xml:space="preserve">ICICI Prudential Balanced Advantage Fund - Direct Plan -  Growth</t>
        </is>
      </c>
      <c r="C4062" t="inlineStr">
        <is>
          <t xml:space="preserve">INF109K012B0</t>
        </is>
      </c>
    </row>
    <row r="4063">
      <c r="A4063" t="inlineStr">
        <is>
          <t xml:space="preserve">ICICI Prudential Mutual Fund</t>
        </is>
      </c>
      <c r="B4063" t="inlineStr">
        <is>
          <t xml:space="preserve">ICICI Prudential Balanced Advantage Fund - Direct Plan -  IDCW</t>
        </is>
      </c>
      <c r="C4063" t="inlineStr">
        <is>
          <t xml:space="preserve">INF109K010B4</t>
        </is>
      </c>
    </row>
    <row r="4064">
      <c r="A4064" t="inlineStr">
        <is>
          <t xml:space="preserve">ICICI Prudential Mutual Fund</t>
        </is>
      </c>
      <c r="B4064" t="inlineStr">
        <is>
          <t xml:space="preserve">ICICI Prudential Balanced Advantage Fund - Direct Plan - Monthly IDCW</t>
        </is>
      </c>
      <c r="C4064" t="inlineStr">
        <is>
          <t xml:space="preserve">INF109K016W7</t>
        </is>
      </c>
    </row>
    <row r="4065">
      <c r="A4065" t="inlineStr">
        <is>
          <t xml:space="preserve">ICICI Prudential Mutual Fund</t>
        </is>
      </c>
      <c r="B4065" t="inlineStr">
        <is>
          <t xml:space="preserve">ICICI Prudential Balanced Advantage Fund - Direct Plan - Quarterly IDCW</t>
        </is>
      </c>
      <c r="C4065" t="inlineStr">
        <is>
          <t xml:space="preserve">INF109KA1Y50</t>
        </is>
      </c>
    </row>
    <row r="4066">
      <c r="A4066" t="inlineStr">
        <is>
          <t xml:space="preserve">ICICI Prudential Mutual Fund</t>
        </is>
      </c>
      <c r="B4066" t="inlineStr">
        <is>
          <t xml:space="preserve">ICICI Prudential Balanced Advantage Fund - Growth</t>
        </is>
      </c>
      <c r="C4066" t="inlineStr">
        <is>
          <t xml:space="preserve">INF109K01BH2</t>
        </is>
      </c>
    </row>
    <row r="4067">
      <c r="A4067" t="inlineStr">
        <is>
          <t xml:space="preserve">ICICI Prudential Mutual Fund</t>
        </is>
      </c>
      <c r="B4067" t="inlineStr">
        <is>
          <t xml:space="preserve">ICICI Prudential Balanced Advantage Fund - IDCW</t>
        </is>
      </c>
      <c r="C4067" t="inlineStr">
        <is>
          <t xml:space="preserve">INF109K01EG8</t>
        </is>
      </c>
    </row>
    <row r="4068">
      <c r="A4068" t="inlineStr">
        <is>
          <t xml:space="preserve">ICICI Prudential Mutual Fund</t>
        </is>
      </c>
      <c r="B4068" t="inlineStr">
        <is>
          <t xml:space="preserve">ICICI Prudential Balanced Advantage Fund - Monthly IDCW</t>
        </is>
      </c>
      <c r="C4068" t="inlineStr">
        <is>
          <t xml:space="preserve">INF109K018W3</t>
        </is>
      </c>
    </row>
    <row r="4069">
      <c r="A4069" t="inlineStr">
        <is>
          <t xml:space="preserve">ICICI Prudential Mutual Fund</t>
        </is>
      </c>
      <c r="B4069" t="inlineStr">
        <is>
          <t xml:space="preserve">ICICI Prudential Balanced Advantage Fund - Quarterly IDCW</t>
        </is>
      </c>
      <c r="C4069" t="inlineStr">
        <is>
          <t xml:space="preserve">INF109KA1Y35</t>
        </is>
      </c>
    </row>
    <row r="4070">
      <c r="A4070" t="inlineStr">
        <is>
          <t xml:space="preserve">ICICI Prudential Mutual Fund</t>
        </is>
      </c>
      <c r="B4070" t="inlineStr">
        <is>
          <t xml:space="preserve">ICICI Prudential Banking and Financial Services Fund -  Growth</t>
        </is>
      </c>
      <c r="C4070" t="inlineStr">
        <is>
          <t xml:space="preserve">INF109K01BU5</t>
        </is>
      </c>
    </row>
    <row r="4071">
      <c r="A4071" t="inlineStr">
        <is>
          <t xml:space="preserve">ICICI Prudential Mutual Fund</t>
        </is>
      </c>
      <c r="B4071" t="inlineStr">
        <is>
          <t xml:space="preserve">ICICI Prudential Banking and Financial Services Fund -  IDCW</t>
        </is>
      </c>
      <c r="C4071" t="inlineStr">
        <is>
          <t xml:space="preserve">INF109K01DY3</t>
        </is>
      </c>
    </row>
    <row r="4072">
      <c r="A4072" t="inlineStr">
        <is>
          <t xml:space="preserve">ICICI Prudential Mutual Fund</t>
        </is>
      </c>
      <c r="B4072" t="inlineStr">
        <is>
          <t xml:space="preserve">ICICI Prudential Banking and Financial Services Fund - Direct Plan -  Growth</t>
        </is>
      </c>
      <c r="C4072" t="inlineStr">
        <is>
          <t xml:space="preserve">INF109K013J1</t>
        </is>
      </c>
    </row>
    <row r="4073">
      <c r="A4073" t="inlineStr">
        <is>
          <t xml:space="preserve">ICICI Prudential Mutual Fund</t>
        </is>
      </c>
      <c r="B4073" t="inlineStr">
        <is>
          <t xml:space="preserve">ICICI Prudential Banking and Financial Services Fund - Direct Plan -  IDCW</t>
        </is>
      </c>
      <c r="C4073" t="inlineStr">
        <is>
          <t xml:space="preserve">INF109K011J5</t>
        </is>
      </c>
    </row>
    <row r="4074">
      <c r="A4074" t="inlineStr">
        <is>
          <t xml:space="preserve">ICICI Prudential Mutual Fund</t>
        </is>
      </c>
      <c r="B4074" t="inlineStr">
        <is>
          <t xml:space="preserve">ICICI Prudential Banking and PSU Debt Fund -  Daily IDCW</t>
        </is>
      </c>
      <c r="C4074" t="inlineStr">
        <is>
          <t xml:space="preserve">INF109K01WS5</t>
        </is>
      </c>
    </row>
    <row r="4075">
      <c r="A4075" t="inlineStr">
        <is>
          <t xml:space="preserve">ICICI Prudential Mutual Fund</t>
        </is>
      </c>
      <c r="B4075" t="inlineStr">
        <is>
          <t xml:space="preserve">ICICI Prudential Banking and PSU Debt Fund -  Weekly IDCW</t>
        </is>
      </c>
      <c r="C4075" t="inlineStr">
        <is>
          <t xml:space="preserve">INF109K01WR7</t>
        </is>
      </c>
    </row>
    <row r="4076">
      <c r="A4076" t="inlineStr">
        <is>
          <t xml:space="preserve">ICICI Prudential Mutual Fund</t>
        </is>
      </c>
      <c r="B4076" t="inlineStr">
        <is>
          <t xml:space="preserve">ICICI Prudential Banking and PSU Debt Fund - Bonus</t>
        </is>
      </c>
      <c r="C4076" t="inlineStr">
        <is>
          <t xml:space="preserve">INF109KA1B57</t>
        </is>
      </c>
    </row>
    <row r="4077">
      <c r="A4077" t="inlineStr">
        <is>
          <t xml:space="preserve">ICICI Prudential Mutual Fund</t>
        </is>
      </c>
      <c r="B4077" t="inlineStr">
        <is>
          <t xml:space="preserve">ICICI Prudential Banking and PSU Debt Fund - Direct Plan -  Daily IDCW</t>
        </is>
      </c>
      <c r="C4077" t="inlineStr">
        <is>
          <t xml:space="preserve">INF109K01Z89</t>
        </is>
      </c>
    </row>
    <row r="4078">
      <c r="A4078" t="inlineStr">
        <is>
          <t xml:space="preserve">ICICI Prudential Mutual Fund</t>
        </is>
      </c>
      <c r="B4078" t="inlineStr">
        <is>
          <t xml:space="preserve">ICICI Prudential Banking and PSU Debt Fund - Direct Plan -  Growth</t>
        </is>
      </c>
      <c r="C4078" t="inlineStr">
        <is>
          <t xml:space="preserve">INF109K010A6</t>
        </is>
      </c>
    </row>
    <row r="4079">
      <c r="A4079" t="inlineStr">
        <is>
          <t xml:space="preserve">ICICI Prudential Mutual Fund</t>
        </is>
      </c>
      <c r="B4079" t="inlineStr">
        <is>
          <t xml:space="preserve">ICICI Prudential Banking and PSU Debt Fund - Direct Plan -  Quarterly IDCW</t>
        </is>
      </c>
      <c r="C4079" t="inlineStr">
        <is>
          <t xml:space="preserve">INF109K011A4</t>
        </is>
      </c>
    </row>
    <row r="4080">
      <c r="A4080" t="inlineStr">
        <is>
          <t xml:space="preserve">ICICI Prudential Mutual Fund</t>
        </is>
      </c>
      <c r="B4080" t="inlineStr">
        <is>
          <t xml:space="preserve">ICICI Prudential Banking and PSU Debt Fund - Direct Plan -  Weekly IDCW</t>
        </is>
      </c>
      <c r="C4080" t="inlineStr">
        <is>
          <t xml:space="preserve">INF109K013A0</t>
        </is>
      </c>
    </row>
    <row r="4081">
      <c r="A4081" t="inlineStr">
        <is>
          <t xml:space="preserve">ICICI Prudential Mutual Fund</t>
        </is>
      </c>
      <c r="B4081" t="inlineStr">
        <is>
          <t xml:space="preserve">ICICI Prudential Banking and PSU Debt Fund - Direct Plan Bonus</t>
        </is>
      </c>
      <c r="C4081" t="inlineStr">
        <is>
          <t xml:space="preserve">INF109KA1B40</t>
        </is>
      </c>
    </row>
    <row r="4082">
      <c r="A4082" t="inlineStr">
        <is>
          <t xml:space="preserve">ICICI Prudential Mutual Fund</t>
        </is>
      </c>
      <c r="B4082" t="inlineStr">
        <is>
          <t xml:space="preserve">ICICI Prudential Banking and PSU Debt Fund - Direct Plan Half Yearly IDCW Option</t>
        </is>
      </c>
      <c r="C4082" t="inlineStr">
        <is>
          <t xml:space="preserve">INF109KA1M96</t>
        </is>
      </c>
    </row>
    <row r="4083">
      <c r="A4083" t="inlineStr">
        <is>
          <t xml:space="preserve">ICICI Prudential Mutual Fund</t>
        </is>
      </c>
      <c r="B4083" t="inlineStr">
        <is>
          <t xml:space="preserve">ICICI Prudential Banking and PSU Debt Fund - Growth</t>
        </is>
      </c>
      <c r="C4083" t="inlineStr">
        <is>
          <t xml:space="preserve">INF109K01RT3</t>
        </is>
      </c>
    </row>
    <row r="4084">
      <c r="A4084" t="inlineStr">
        <is>
          <t xml:space="preserve">ICICI Prudential Mutual Fund</t>
        </is>
      </c>
      <c r="B4084" t="inlineStr">
        <is>
          <t xml:space="preserve">ICICI Prudential Banking and PSU Debt Fund - Quarterly IDCW</t>
        </is>
      </c>
      <c r="C4084" t="inlineStr">
        <is>
          <t xml:space="preserve">INF109K01YE1</t>
        </is>
      </c>
    </row>
    <row r="4085">
      <c r="A4085" t="inlineStr">
        <is>
          <t xml:space="preserve">ICICI Prudential Mutual Fund</t>
        </is>
      </c>
      <c r="B4085" t="inlineStr">
        <is>
          <t xml:space="preserve">ICICI Prudential Banking and PSU Debt Fund Half Yearly IDCW Option</t>
        </is>
      </c>
      <c r="C4085" t="inlineStr">
        <is>
          <t xml:space="preserve">INF109KA1M70</t>
        </is>
      </c>
    </row>
    <row r="4086">
      <c r="A4086" t="inlineStr">
        <is>
          <t xml:space="preserve">ICICI Prudential Mutual Fund</t>
        </is>
      </c>
      <c r="B4086" t="inlineStr">
        <is>
          <t xml:space="preserve">ICICI Prudential Banking and PSU Debt Fund Retail Daily Dividend</t>
        </is>
      </c>
      <c r="C4086" t="inlineStr">
        <is>
          <t xml:space="preserve">INF109K01WW7</t>
        </is>
      </c>
    </row>
    <row r="4087">
      <c r="A4087" t="inlineStr">
        <is>
          <t xml:space="preserve">ICICI Prudential Mutual Fund</t>
        </is>
      </c>
      <c r="B4087" t="inlineStr">
        <is>
          <t xml:space="preserve">ICICI Prudential Banking and PSU Debt Fund Retail Growth</t>
        </is>
      </c>
      <c r="C4087" t="inlineStr">
        <is>
          <t xml:space="preserve">INF109K01II5</t>
        </is>
      </c>
    </row>
    <row r="4088">
      <c r="A4088" t="inlineStr">
        <is>
          <t xml:space="preserve">ICICI Prudential Mutual Fund</t>
        </is>
      </c>
      <c r="B4088" t="inlineStr">
        <is>
          <t xml:space="preserve">ICICI Prudential Banking and PSU Debt Fund Retail Weekly Dividend</t>
        </is>
      </c>
      <c r="C4088" t="inlineStr">
        <is>
          <t xml:space="preserve">INF109K01WV9</t>
        </is>
      </c>
    </row>
    <row r="4089">
      <c r="A4089" t="inlineStr">
        <is>
          <t xml:space="preserve">ICICI Prudential Mutual Fund</t>
        </is>
      </c>
      <c r="B4089" t="inlineStr">
        <is>
          <t xml:space="preserve">ICICI Prudential BHARAT 22 FOF - Cumulative Option</t>
        </is>
      </c>
      <c r="C4089" t="inlineStr">
        <is>
          <t xml:space="preserve">INF109KC1FW3</t>
        </is>
      </c>
    </row>
    <row r="4090">
      <c r="A4090" t="inlineStr">
        <is>
          <t xml:space="preserve">ICICI Prudential Mutual Fund</t>
        </is>
      </c>
      <c r="B4090" t="inlineStr">
        <is>
          <t xml:space="preserve">ICICI Prudential BHARAT 22 FOF - Direct Plan Cumulative Option</t>
        </is>
      </c>
      <c r="C4090" t="inlineStr">
        <is>
          <t xml:space="preserve">INF109KC1FX1</t>
        </is>
      </c>
    </row>
    <row r="4091">
      <c r="A4091" t="inlineStr">
        <is>
          <t xml:space="preserve">ICICI Prudential Mutual Fund</t>
        </is>
      </c>
      <c r="B4091" t="inlineStr">
        <is>
          <t xml:space="preserve">ICICI Prudential Bharat Consumption Fund - Direct Plan - Growth Option</t>
        </is>
      </c>
      <c r="C4091" t="inlineStr">
        <is>
          <t xml:space="preserve">INF109KC1YD4</t>
        </is>
      </c>
    </row>
    <row r="4092">
      <c r="A4092" t="inlineStr">
        <is>
          <t xml:space="preserve">ICICI Prudential Mutual Fund</t>
        </is>
      </c>
      <c r="B4092" t="inlineStr">
        <is>
          <t xml:space="preserve">ICICI Prudential Bharat Consumption Fund - Direct Plan - IDCW Option</t>
        </is>
      </c>
      <c r="C4092" t="inlineStr">
        <is>
          <t xml:space="preserve">INF109KC1YF9</t>
        </is>
      </c>
    </row>
    <row r="4093">
      <c r="A4093" t="inlineStr">
        <is>
          <t xml:space="preserve">ICICI Prudential Mutual Fund</t>
        </is>
      </c>
      <c r="B4093" t="inlineStr">
        <is>
          <t xml:space="preserve">ICICI Prudential Bharat Consumption Fund - Growth Option</t>
        </is>
      </c>
      <c r="C4093" t="inlineStr">
        <is>
          <t xml:space="preserve">INF109KC1YA0</t>
        </is>
      </c>
    </row>
    <row r="4094">
      <c r="A4094" t="inlineStr">
        <is>
          <t xml:space="preserve">ICICI Prudential Mutual Fund</t>
        </is>
      </c>
      <c r="B4094" t="inlineStr">
        <is>
          <t xml:space="preserve">ICICI Prudential Bharat Consumption Fund - IDCW Option</t>
        </is>
      </c>
      <c r="C4094" t="inlineStr">
        <is>
          <t xml:space="preserve">INF109KC1YC6</t>
        </is>
      </c>
    </row>
    <row r="4095">
      <c r="A4095" t="inlineStr">
        <is>
          <t xml:space="preserve">ICICI Prudential Mutual Fund</t>
        </is>
      </c>
      <c r="B4095" t="inlineStr">
        <is>
          <t xml:space="preserve">ICICI Prudential Bharat Consumption Fund - Series 1 - Cumulative Option</t>
        </is>
      </c>
      <c r="C4095" t="inlineStr">
        <is>
          <t xml:space="preserve">INF109KC1BL5</t>
        </is>
      </c>
    </row>
    <row r="4096">
      <c r="A4096" t="inlineStr">
        <is>
          <t xml:space="preserve">ICICI Prudential Mutual Fund</t>
        </is>
      </c>
      <c r="B4096" t="inlineStr">
        <is>
          <t xml:space="preserve">ICICI Prudential Bharat Consumption Fund - Series 1 - Direct Plan - Cumulative Option</t>
        </is>
      </c>
      <c r="C4096" t="inlineStr">
        <is>
          <t xml:space="preserve">INF109KC1BN1</t>
        </is>
      </c>
    </row>
    <row r="4097">
      <c r="A4097" t="inlineStr">
        <is>
          <t xml:space="preserve">ICICI Prudential Mutual Fund</t>
        </is>
      </c>
      <c r="B4097" t="inlineStr">
        <is>
          <t xml:space="preserve">ICICI Prudential Bharat Consumption Fund - Series 1 - Direct Plan - IDCW Option</t>
        </is>
      </c>
      <c r="C4097" t="inlineStr">
        <is>
          <t xml:space="preserve">INF109KC1BO9</t>
        </is>
      </c>
    </row>
    <row r="4098">
      <c r="A4098" t="inlineStr">
        <is>
          <t xml:space="preserve">ICICI Prudential Mutual Fund</t>
        </is>
      </c>
      <c r="B4098" t="inlineStr">
        <is>
          <t xml:space="preserve">ICICI Prudential Bharat Consumption Fund - Series 1 - IDCW Option</t>
        </is>
      </c>
      <c r="C4098" t="inlineStr">
        <is>
          <t xml:space="preserve">INF109KC1BM3</t>
        </is>
      </c>
    </row>
    <row r="4099">
      <c r="A4099" t="inlineStr">
        <is>
          <t xml:space="preserve">ICICI Prudential Mutual Fund</t>
        </is>
      </c>
      <c r="B4099" t="inlineStr">
        <is>
          <t xml:space="preserve">ICICI Prudential Bharat Consumption Fund - Series 2 - Cumulative Option</t>
        </is>
      </c>
      <c r="C4099" t="inlineStr">
        <is>
          <t xml:space="preserve">INF109KC1CV2</t>
        </is>
      </c>
    </row>
    <row r="4100">
      <c r="A4100" t="inlineStr">
        <is>
          <t xml:space="preserve">ICICI Prudential Mutual Fund</t>
        </is>
      </c>
      <c r="B4100" t="inlineStr">
        <is>
          <t xml:space="preserve">ICICI Prudential Bharat Consumption Fund - Series 2 - Direct Plan - Cumulative Option</t>
        </is>
      </c>
      <c r="C4100" t="inlineStr">
        <is>
          <t xml:space="preserve">INF109KC1CX8</t>
        </is>
      </c>
    </row>
    <row r="4101">
      <c r="A4101" t="inlineStr">
        <is>
          <t xml:space="preserve">ICICI Prudential Mutual Fund</t>
        </is>
      </c>
      <c r="B4101" t="inlineStr">
        <is>
          <t xml:space="preserve">ICICI Prudential Bharat Consumption Fund - Series 2 - Direct Plan - IDCW Option</t>
        </is>
      </c>
      <c r="C4101" t="inlineStr">
        <is>
          <t xml:space="preserve">INF109KC1CY6</t>
        </is>
      </c>
    </row>
    <row r="4102">
      <c r="A4102" t="inlineStr">
        <is>
          <t xml:space="preserve">ICICI Prudential Mutual Fund</t>
        </is>
      </c>
      <c r="B4102" t="inlineStr">
        <is>
          <t xml:space="preserve">ICICI Prudential Bharat Consumption Fund - Series 2 - IDCW Option</t>
        </is>
      </c>
      <c r="C4102" t="inlineStr">
        <is>
          <t xml:space="preserve">INF109KC1CW0</t>
        </is>
      </c>
    </row>
    <row r="4103">
      <c r="A4103" t="inlineStr">
        <is>
          <t xml:space="preserve">ICICI Prudential Mutual Fund</t>
        </is>
      </c>
      <c r="B4103" t="inlineStr">
        <is>
          <t xml:space="preserve">ICICI Prudential Bharat Consumption Fund - Series 3 - Cumulative Option</t>
        </is>
      </c>
      <c r="C4103" t="inlineStr">
        <is>
          <t xml:space="preserve">INF109KC1GQ3</t>
        </is>
      </c>
    </row>
    <row r="4104">
      <c r="A4104" t="inlineStr">
        <is>
          <t xml:space="preserve">ICICI Prudential Mutual Fund</t>
        </is>
      </c>
      <c r="B4104" t="inlineStr">
        <is>
          <t xml:space="preserve">ICICI Prudential Bharat Consumption Fund - Series 3 - Direct Plan - Cumulative Option</t>
        </is>
      </c>
      <c r="C4104" t="inlineStr">
        <is>
          <t xml:space="preserve">INF109KC1GS9</t>
        </is>
      </c>
    </row>
    <row r="4105">
      <c r="A4105" t="inlineStr">
        <is>
          <t xml:space="preserve">ICICI Prudential Mutual Fund</t>
        </is>
      </c>
      <c r="B4105" t="inlineStr">
        <is>
          <t xml:space="preserve">ICICI Prudential Bharat Consumption Fund - Series 3 - Direct Plan - IDCW Option</t>
        </is>
      </c>
      <c r="C4105" t="inlineStr">
        <is>
          <t xml:space="preserve">INF109KC1GT7</t>
        </is>
      </c>
    </row>
    <row r="4106">
      <c r="A4106" t="inlineStr">
        <is>
          <t xml:space="preserve">ICICI Prudential Mutual Fund</t>
        </is>
      </c>
      <c r="B4106" t="inlineStr">
        <is>
          <t xml:space="preserve">ICICI Prudential Bharat Consumption Fund - Series 3 - IDCW Option</t>
        </is>
      </c>
      <c r="C4106" t="inlineStr">
        <is>
          <t xml:space="preserve">INF109KC1GR1</t>
        </is>
      </c>
    </row>
    <row r="4107">
      <c r="A4107" t="inlineStr">
        <is>
          <t xml:space="preserve">ICICI Prudential Mutual Fund</t>
        </is>
      </c>
      <c r="B4107" t="inlineStr">
        <is>
          <t xml:space="preserve">ICICI Prudential Bharat Consumption Fund - Series 4 - Cumulative Option</t>
        </is>
      </c>
      <c r="C4107" t="inlineStr">
        <is>
          <t xml:space="preserve">INF109KC1IU1</t>
        </is>
      </c>
    </row>
    <row r="4108">
      <c r="A4108" t="inlineStr">
        <is>
          <t xml:space="preserve">ICICI Prudential Mutual Fund</t>
        </is>
      </c>
      <c r="B4108" t="inlineStr">
        <is>
          <t xml:space="preserve">ICICI Prudential Bharat Consumption Fund - Series 4 - Direct Plan - Cumulative Option</t>
        </is>
      </c>
      <c r="C4108" t="inlineStr">
        <is>
          <t xml:space="preserve">INF109KC1IW7</t>
        </is>
      </c>
    </row>
    <row r="4109">
      <c r="A4109" t="inlineStr">
        <is>
          <t xml:space="preserve">ICICI Prudential Mutual Fund</t>
        </is>
      </c>
      <c r="B4109" t="inlineStr">
        <is>
          <t xml:space="preserve">ICICI Prudential Bharat Consumption Fund - Series 4 - Direct Plan - IDCW Option</t>
        </is>
      </c>
      <c r="C4109" t="inlineStr">
        <is>
          <t xml:space="preserve">INF109KC1IX5</t>
        </is>
      </c>
    </row>
    <row r="4110">
      <c r="A4110" t="inlineStr">
        <is>
          <t xml:space="preserve">ICICI Prudential Mutual Fund</t>
        </is>
      </c>
      <c r="B4110" t="inlineStr">
        <is>
          <t xml:space="preserve">ICICI Prudential Bharat Consumption Fund - Series 4 - IDCW Option</t>
        </is>
      </c>
      <c r="C4110" t="inlineStr">
        <is>
          <t xml:space="preserve">INF109KC1IV9</t>
        </is>
      </c>
    </row>
    <row r="4111">
      <c r="A4111" t="inlineStr">
        <is>
          <t xml:space="preserve">ICICI Prudential Mutual Fund</t>
        </is>
      </c>
      <c r="B4111" t="inlineStr">
        <is>
          <t xml:space="preserve">ICICI Prudential Bharat Consumption Fund - Series 5 - Cumulative Option</t>
        </is>
      </c>
      <c r="C4111" t="inlineStr">
        <is>
          <t xml:space="preserve">INF109KC1NO4</t>
        </is>
      </c>
    </row>
    <row r="4112">
      <c r="A4112" t="inlineStr">
        <is>
          <t xml:space="preserve">ICICI Prudential Mutual Fund</t>
        </is>
      </c>
      <c r="B4112" t="inlineStr">
        <is>
          <t xml:space="preserve">ICICI Prudential Bharat Consumption Fund - Series 5 - Direct Plan - Cumulative Option</t>
        </is>
      </c>
      <c r="C4112" t="inlineStr">
        <is>
          <t xml:space="preserve">INF109KC1NQ9</t>
        </is>
      </c>
    </row>
    <row r="4113">
      <c r="A4113" t="inlineStr">
        <is>
          <t xml:space="preserve">ICICI Prudential Mutual Fund</t>
        </is>
      </c>
      <c r="B4113" t="inlineStr">
        <is>
          <t xml:space="preserve">ICICI Prudential Bharat Consumption Fund - Series 5 - Direct Plan - IDCW Option</t>
        </is>
      </c>
      <c r="C4113" t="inlineStr">
        <is>
          <t xml:space="preserve">INF109KC1NR7</t>
        </is>
      </c>
    </row>
    <row r="4114">
      <c r="A4114" t="inlineStr">
        <is>
          <t xml:space="preserve">ICICI Prudential Mutual Fund</t>
        </is>
      </c>
      <c r="B4114" t="inlineStr">
        <is>
          <t xml:space="preserve">ICICI Prudential Bharat Consumption Fund - Series 5 - IDCW Option</t>
        </is>
      </c>
      <c r="C4114" t="inlineStr">
        <is>
          <t xml:space="preserve">INF109KC1NP1</t>
        </is>
      </c>
    </row>
    <row r="4115">
      <c r="A4115" t="inlineStr">
        <is>
          <t xml:space="preserve">ICICI Prudential Mutual Fund</t>
        </is>
      </c>
      <c r="B4115" t="inlineStr">
        <is>
          <t xml:space="preserve">ICICI Prudential Blended Plan A -  Dividend</t>
        </is>
      </c>
      <c r="C4115" t="inlineStr">
        <is>
          <t xml:space="preserve">INF109K01DZ0</t>
        </is>
      </c>
    </row>
    <row r="4116">
      <c r="A4116" t="inlineStr">
        <is>
          <t xml:space="preserve">ICICI Prudential Mutual Fund</t>
        </is>
      </c>
      <c r="B4116" t="inlineStr">
        <is>
          <t xml:space="preserve">ICICI Prudential Blended Plan A - Direct Plan Bonus</t>
        </is>
      </c>
      <c r="C4116" t="inlineStr">
        <is>
          <t xml:space="preserve">INF109KA1B65</t>
        </is>
      </c>
    </row>
    <row r="4117">
      <c r="A4117" t="inlineStr">
        <is>
          <t xml:space="preserve">ICICI Prudential Mutual Fund</t>
        </is>
      </c>
      <c r="B4117" t="inlineStr">
        <is>
          <t xml:space="preserve">ICICI Prudential Blended Plan A - Growth</t>
        </is>
      </c>
      <c r="C4117" t="inlineStr">
        <is>
          <t xml:space="preserve">INF109K01AP7</t>
        </is>
      </c>
    </row>
    <row r="4118">
      <c r="A4118" t="inlineStr">
        <is>
          <t xml:space="preserve">ICICI Prudential Mutual Fund</t>
        </is>
      </c>
      <c r="B4118" t="inlineStr">
        <is>
          <t xml:space="preserve">ICICI Prudential Blended Plan A-Direct Plan -  Dividend</t>
        </is>
      </c>
      <c r="C4118" t="inlineStr">
        <is>
          <t xml:space="preserve">INF109K013C6</t>
        </is>
      </c>
    </row>
    <row r="4119">
      <c r="A4119" t="inlineStr">
        <is>
          <t xml:space="preserve">ICICI Prudential Mutual Fund</t>
        </is>
      </c>
      <c r="B4119" t="inlineStr">
        <is>
          <t xml:space="preserve">ICICI Prudential Blended Plan A-Direct Plan -  Growth</t>
        </is>
      </c>
      <c r="C4119" t="inlineStr">
        <is>
          <t xml:space="preserve">INF109K015C1</t>
        </is>
      </c>
    </row>
    <row r="4120">
      <c r="A4120" t="inlineStr">
        <is>
          <t xml:space="preserve">ICICI Prudential Mutual Fund</t>
        </is>
      </c>
      <c r="B4120" t="inlineStr">
        <is>
          <t xml:space="preserve">ICICI Prudential Blended Plan B -  Dividend Option - I</t>
        </is>
      </c>
      <c r="C4120" t="inlineStr">
        <is>
          <t xml:space="preserve">INF109K01EA1</t>
        </is>
      </c>
    </row>
    <row r="4121">
      <c r="A4121" t="inlineStr">
        <is>
          <t xml:space="preserve">ICICI Prudential Mutual Fund</t>
        </is>
      </c>
      <c r="B4121" t="inlineStr">
        <is>
          <t xml:space="preserve">ICICI Prudential Blended Plan B -  Growth Option - I</t>
        </is>
      </c>
      <c r="C4121" t="inlineStr">
        <is>
          <t xml:space="preserve">INF109K01AR3</t>
        </is>
      </c>
    </row>
    <row r="4122">
      <c r="A4122" t="inlineStr">
        <is>
          <t xml:space="preserve">ICICI Prudential Mutual Fund</t>
        </is>
      </c>
      <c r="B4122" t="inlineStr">
        <is>
          <t xml:space="preserve">ICICI Prudential Blended Plan B -  Monthly Dividend Option - I</t>
        </is>
      </c>
      <c r="C4122" t="inlineStr">
        <is>
          <t xml:space="preserve">INF109K01VV1</t>
        </is>
      </c>
    </row>
    <row r="4123">
      <c r="A4123" t="inlineStr">
        <is>
          <t xml:space="preserve">ICICI Prudential Mutual Fund</t>
        </is>
      </c>
      <c r="B4123" t="inlineStr">
        <is>
          <t xml:space="preserve">ICICI Prudential Blended Plan B - Daily Dividend Option - I</t>
        </is>
      </c>
      <c r="C4123" t="inlineStr">
        <is>
          <t xml:space="preserve">INF109K01VW9</t>
        </is>
      </c>
    </row>
    <row r="4124">
      <c r="A4124" t="inlineStr">
        <is>
          <t xml:space="preserve">ICICI Prudential Mutual Fund</t>
        </is>
      </c>
      <c r="B4124" t="inlineStr">
        <is>
          <t xml:space="preserve">ICICI Prudential Blended Plan B - Direct Plan -  Dividend Option - I</t>
        </is>
      </c>
      <c r="C4124" t="inlineStr">
        <is>
          <t xml:space="preserve">INF109K015J6</t>
        </is>
      </c>
    </row>
    <row r="4125">
      <c r="A4125" t="inlineStr">
        <is>
          <t xml:space="preserve">ICICI Prudential Mutual Fund</t>
        </is>
      </c>
      <c r="B4125" t="inlineStr">
        <is>
          <t xml:space="preserve">ICICI Prudential Blended Plan B - Direct Plan -  Growth Option - I</t>
        </is>
      </c>
      <c r="C4125" t="inlineStr">
        <is>
          <t xml:space="preserve">INF109K017J2</t>
        </is>
      </c>
    </row>
    <row r="4126">
      <c r="A4126" t="inlineStr">
        <is>
          <t xml:space="preserve">ICICI Prudential Mutual Fund</t>
        </is>
      </c>
      <c r="B4126" t="inlineStr">
        <is>
          <t xml:space="preserve">ICICI Prudential Blended Plan B - Direct Plan -  Monthly Dividend Option - I</t>
        </is>
      </c>
      <c r="C4126" t="inlineStr">
        <is>
          <t xml:space="preserve">INF109K018J0</t>
        </is>
      </c>
    </row>
    <row r="4127">
      <c r="A4127" t="inlineStr">
        <is>
          <t xml:space="preserve">ICICI Prudential Mutual Fund</t>
        </is>
      </c>
      <c r="B4127" t="inlineStr">
        <is>
          <t xml:space="preserve">ICICI Prudential Blended Plan B - Direct Plan - Half Yearly Dividend Option - I</t>
        </is>
      </c>
      <c r="C4127" t="inlineStr">
        <is>
          <t xml:space="preserve">INF109KA1M54</t>
        </is>
      </c>
    </row>
    <row r="4128">
      <c r="A4128" t="inlineStr">
        <is>
          <t xml:space="preserve">ICICI Prudential Mutual Fund</t>
        </is>
      </c>
      <c r="B4128" t="inlineStr">
        <is>
          <t xml:space="preserve">ICICI Prudential Blended Plan B - Direct Plan - Quarterly Dividend Option - I</t>
        </is>
      </c>
      <c r="C4128" t="inlineStr">
        <is>
          <t xml:space="preserve">INF109KA1CK7</t>
        </is>
      </c>
    </row>
    <row r="4129">
      <c r="A4129" t="inlineStr">
        <is>
          <t xml:space="preserve">ICICI Prudential Mutual Fund</t>
        </is>
      </c>
      <c r="B4129" t="inlineStr">
        <is>
          <t xml:space="preserve">ICICI Prudential Blended Plan B - Half Yearly Dividend Option - I</t>
        </is>
      </c>
      <c r="C4129" t="inlineStr">
        <is>
          <t xml:space="preserve">INF109KA1M39</t>
        </is>
      </c>
    </row>
    <row r="4130">
      <c r="A4130" t="inlineStr">
        <is>
          <t xml:space="preserve">ICICI Prudential Mutual Fund</t>
        </is>
      </c>
      <c r="B4130" t="inlineStr">
        <is>
          <t xml:space="preserve">ICICI Prudential Blended Plan B - option I-Bonus</t>
        </is>
      </c>
      <c r="C4130" t="inlineStr">
        <is>
          <t xml:space="preserve">INF109KA1392</t>
        </is>
      </c>
    </row>
    <row r="4131">
      <c r="A4131" t="inlineStr">
        <is>
          <t xml:space="preserve">ICICI Prudential Mutual Fund</t>
        </is>
      </c>
      <c r="B4131" t="inlineStr">
        <is>
          <t xml:space="preserve">ICICI Prudential Blended Plan B-Direct Plan -  Daily Dividend Option - I</t>
        </is>
      </c>
      <c r="C4131" t="inlineStr">
        <is>
          <t xml:space="preserve">INF109K014J9</t>
        </is>
      </c>
    </row>
    <row r="4132">
      <c r="A4132" t="inlineStr">
        <is>
          <t xml:space="preserve">ICICI Prudential Mutual Fund</t>
        </is>
      </c>
      <c r="B4132" t="inlineStr">
        <is>
          <t xml:space="preserve">ICICI Prudential Bluechip Fund - Institutional Option - I - Growth</t>
        </is>
      </c>
      <c r="C4132" t="inlineStr">
        <is>
          <t xml:space="preserve">INF109K01BN0</t>
        </is>
      </c>
    </row>
    <row r="4133">
      <c r="A4133" t="inlineStr">
        <is>
          <t xml:space="preserve">ICICI Prudential Mutual Fund</t>
        </is>
      </c>
      <c r="B4133" t="inlineStr">
        <is>
          <t xml:space="preserve">ICICI Prudential Bond Fund - Bonus</t>
        </is>
      </c>
      <c r="C4133" t="inlineStr">
        <is>
          <t xml:space="preserve">INF109KA1C72</t>
        </is>
      </c>
    </row>
    <row r="4134">
      <c r="A4134" t="inlineStr">
        <is>
          <t xml:space="preserve">ICICI Prudential Mutual Fund</t>
        </is>
      </c>
      <c r="B4134" t="inlineStr">
        <is>
          <t xml:space="preserve">ICICI Prudential Bond Fund - Direct Plan - Growth</t>
        </is>
      </c>
      <c r="C4134" t="inlineStr">
        <is>
          <t xml:space="preserve">INF109K01V83</t>
        </is>
      </c>
    </row>
    <row r="4135">
      <c r="A4135" t="inlineStr">
        <is>
          <t xml:space="preserve">ICICI Prudential Mutual Fund</t>
        </is>
      </c>
      <c r="B4135" t="inlineStr">
        <is>
          <t xml:space="preserve">ICICI Prudential Bond Fund - Direct Plan - Half Yearly IDCW</t>
        </is>
      </c>
      <c r="C4135" t="inlineStr">
        <is>
          <t xml:space="preserve">INF109KA1X77</t>
        </is>
      </c>
    </row>
    <row r="4136">
      <c r="A4136" t="inlineStr">
        <is>
          <t xml:space="preserve">ICICI Prudential Mutual Fund</t>
        </is>
      </c>
      <c r="B4136" t="inlineStr">
        <is>
          <t xml:space="preserve">ICICI Prudential Bond Fund - Direct Plan - IDCW Monthly</t>
        </is>
      </c>
      <c r="C4136" t="inlineStr">
        <is>
          <t xml:space="preserve">INF109K01V59</t>
        </is>
      </c>
    </row>
    <row r="4137">
      <c r="A4137" t="inlineStr">
        <is>
          <t xml:space="preserve">ICICI Prudential Mutual Fund</t>
        </is>
      </c>
      <c r="B4137" t="inlineStr">
        <is>
          <t xml:space="preserve">ICICI Prudential Bond Fund - Direct Plan - IDCW Quarterly</t>
        </is>
      </c>
      <c r="C4137" t="inlineStr">
        <is>
          <t xml:space="preserve">INF109K01V75</t>
        </is>
      </c>
    </row>
    <row r="4138">
      <c r="A4138" t="inlineStr">
        <is>
          <t xml:space="preserve">ICICI Prudential Mutual Fund</t>
        </is>
      </c>
      <c r="B4138" t="inlineStr">
        <is>
          <t xml:space="preserve">ICICI Prudential Bond Fund - Growth</t>
        </is>
      </c>
      <c r="C4138" t="inlineStr">
        <is>
          <t xml:space="preserve">INF109K01BO8</t>
        </is>
      </c>
    </row>
    <row r="4139">
      <c r="A4139" t="inlineStr">
        <is>
          <t xml:space="preserve">ICICI Prudential Mutual Fund</t>
        </is>
      </c>
      <c r="B4139" t="inlineStr">
        <is>
          <t xml:space="preserve">ICICI Prudential Bond Fund - Half Yearly IDCW</t>
        </is>
      </c>
      <c r="C4139" t="inlineStr">
        <is>
          <t xml:space="preserve">INF109KA1X51</t>
        </is>
      </c>
    </row>
    <row r="4140">
      <c r="A4140" t="inlineStr">
        <is>
          <t xml:space="preserve">ICICI Prudential Mutual Fund</t>
        </is>
      </c>
      <c r="B4140" t="inlineStr">
        <is>
          <t xml:space="preserve">ICICI Prudential Bond Fund - IDCW Monthly</t>
        </is>
      </c>
      <c r="C4140" t="inlineStr">
        <is>
          <t xml:space="preserve">INF109K01EU9</t>
        </is>
      </c>
    </row>
    <row r="4141">
      <c r="A4141" t="inlineStr">
        <is>
          <t xml:space="preserve">ICICI Prudential Mutual Fund</t>
        </is>
      </c>
      <c r="B4141" t="inlineStr">
        <is>
          <t xml:space="preserve">ICICI Prudential Bond Fund - IDCW Quarterly</t>
        </is>
      </c>
      <c r="C4141" t="inlineStr">
        <is>
          <t xml:space="preserve">INF109K01EV7</t>
        </is>
      </c>
    </row>
    <row r="4142">
      <c r="A4142" t="inlineStr">
        <is>
          <t xml:space="preserve">ICICI Prudential Mutual Fund</t>
        </is>
      </c>
      <c r="B4142" t="inlineStr">
        <is>
          <t xml:space="preserve">ICICI Prudential Bond Fund- Institutional Growth</t>
        </is>
      </c>
      <c r="C4142" t="inlineStr">
        <is>
          <t xml:space="preserve">INF109K01BQ3</t>
        </is>
      </c>
    </row>
    <row r="4143">
      <c r="A4143" t="inlineStr">
        <is>
          <t xml:space="preserve">ICICI Prudential Mutual Fund</t>
        </is>
      </c>
      <c r="B4143" t="inlineStr">
        <is>
          <t xml:space="preserve">ICICI Prudential Bond Fund- Institutional Monthly Dividend</t>
        </is>
      </c>
      <c r="C4143" t="inlineStr">
        <is>
          <t xml:space="preserve">INF109K01ES3</t>
        </is>
      </c>
    </row>
    <row r="4144">
      <c r="A4144" t="inlineStr">
        <is>
          <t xml:space="preserve">ICICI Prudential Mutual Fund</t>
        </is>
      </c>
      <c r="B4144" t="inlineStr">
        <is>
          <t xml:space="preserve">ICICI Prudential Bond Fund- Institutional Quarterly Dividend</t>
        </is>
      </c>
      <c r="C4144" t="inlineStr">
        <is>
          <t xml:space="preserve">INF109K01ET1</t>
        </is>
      </c>
    </row>
    <row r="4145">
      <c r="A4145" t="inlineStr">
        <is>
          <t xml:space="preserve">ICICI Prudential Mutual Fund</t>
        </is>
      </c>
      <c r="B4145" t="inlineStr">
        <is>
          <t xml:space="preserve">ICICI Prudential BSE 500 ETF</t>
        </is>
      </c>
      <c r="C4145" t="inlineStr">
        <is>
          <t xml:space="preserve">INF109KC1V59</t>
        </is>
      </c>
    </row>
    <row r="4146">
      <c r="A4146" t="inlineStr">
        <is>
          <t xml:space="preserve">ICICI Prudential Mutual Fund</t>
        </is>
      </c>
      <c r="B4146" t="inlineStr">
        <is>
          <t xml:space="preserve">ICICI Prudential BSE 500 ETF FOF - Direct Plan - Growth</t>
        </is>
      </c>
      <c r="C4146" t="inlineStr">
        <is>
          <t xml:space="preserve">INF109KC1V91</t>
        </is>
      </c>
    </row>
    <row r="4147">
      <c r="A4147" t="inlineStr">
        <is>
          <t xml:space="preserve">ICICI Prudential Mutual Fund</t>
        </is>
      </c>
      <c r="B4147" t="inlineStr">
        <is>
          <t xml:space="preserve">ICICI Prudential BSE 500 ETF FOF - Direct Plan - IDCW</t>
        </is>
      </c>
      <c r="C4147" t="inlineStr">
        <is>
          <t xml:space="preserve">INF109KC1W09</t>
        </is>
      </c>
    </row>
    <row r="4148">
      <c r="A4148" t="inlineStr">
        <is>
          <t xml:space="preserve">ICICI Prudential Mutual Fund</t>
        </is>
      </c>
      <c r="B4148" t="inlineStr">
        <is>
          <t xml:space="preserve">ICICI Prudential BSE 500 ETF FOF - Growth</t>
        </is>
      </c>
      <c r="C4148" t="inlineStr">
        <is>
          <t xml:space="preserve">INF109KC1V67</t>
        </is>
      </c>
    </row>
    <row r="4149">
      <c r="A4149" t="inlineStr">
        <is>
          <t xml:space="preserve">ICICI Prudential Mutual Fund</t>
        </is>
      </c>
      <c r="B4149" t="inlineStr">
        <is>
          <t xml:space="preserve">ICICI Prudential BSE 500 ETF FOF - IDCW</t>
        </is>
      </c>
      <c r="C4149" t="inlineStr">
        <is>
          <t xml:space="preserve">INF109KC1V75</t>
        </is>
      </c>
    </row>
    <row r="4150">
      <c r="A4150" t="inlineStr">
        <is>
          <t xml:space="preserve">ICICI Prudential Mutual Fund</t>
        </is>
      </c>
      <c r="B4150" t="inlineStr">
        <is>
          <t xml:space="preserve">ICICI Prudential BSE Liquid Rate ETF - Growth</t>
        </is>
      </c>
      <c r="C4150" t="inlineStr">
        <is>
          <t xml:space="preserve">INF109K1A021</t>
        </is>
      </c>
    </row>
    <row r="4151">
      <c r="A4151" t="inlineStr">
        <is>
          <t xml:space="preserve">ICICI Prudential Mutual Fund</t>
        </is>
      </c>
      <c r="B4151" t="inlineStr">
        <is>
          <t xml:space="preserve">ICICI Prudential BSE Liquid Rate ETF - IDCW</t>
        </is>
      </c>
      <c r="C4151" t="inlineStr">
        <is>
          <t xml:space="preserve">INF109KC1KT9</t>
        </is>
      </c>
    </row>
    <row r="4152">
      <c r="A4152" t="inlineStr">
        <is>
          <t xml:space="preserve">ICICI Prudential Mutual Fund</t>
        </is>
      </c>
      <c r="B4152" t="inlineStr">
        <is>
          <t xml:space="preserve">ICICI Prudential BSE Midcap Select ETF</t>
        </is>
      </c>
      <c r="C4152" t="inlineStr">
        <is>
          <t xml:space="preserve">INF109KC10W0</t>
        </is>
      </c>
    </row>
    <row r="4153">
      <c r="A4153" t="inlineStr">
        <is>
          <t xml:space="preserve">ICICI Prudential Mutual Fund</t>
        </is>
      </c>
      <c r="B4153" t="inlineStr">
        <is>
          <t xml:space="preserve">ICICI Prudential BSE Sensex ETF</t>
        </is>
      </c>
      <c r="C4153" t="inlineStr">
        <is>
          <t xml:space="preserve">INF346A01034</t>
        </is>
      </c>
    </row>
    <row r="4154">
      <c r="A4154" t="inlineStr">
        <is>
          <t xml:space="preserve">ICICI Prudential Mutual Fund</t>
        </is>
      </c>
      <c r="B4154" t="inlineStr">
        <is>
          <t xml:space="preserve">ICICI Prudential BSE Sensex Index Fund - Cumulative Option</t>
        </is>
      </c>
      <c r="C4154" t="inlineStr">
        <is>
          <t xml:space="preserve">INF109KB17W7</t>
        </is>
      </c>
    </row>
    <row r="4155">
      <c r="A4155" t="inlineStr">
        <is>
          <t xml:space="preserve">ICICI Prudential Mutual Fund</t>
        </is>
      </c>
      <c r="B4155" t="inlineStr">
        <is>
          <t xml:space="preserve">ICICI Prudential BSE Sensex Index Fund - Direct Plan - Cumulative Option</t>
        </is>
      </c>
      <c r="C4155" t="inlineStr">
        <is>
          <t xml:space="preserve">INF109KB10X0</t>
        </is>
      </c>
    </row>
    <row r="4156">
      <c r="A4156" t="inlineStr">
        <is>
          <t xml:space="preserve">ICICI Prudential Mutual Fund</t>
        </is>
      </c>
      <c r="B4156" t="inlineStr">
        <is>
          <t xml:space="preserve">ICICI Prudential BSE Sensex Index Fund - Direct Plan - IDCW Option</t>
        </is>
      </c>
      <c r="C4156" t="inlineStr">
        <is>
          <t xml:space="preserve">INF109KB12X6</t>
        </is>
      </c>
    </row>
    <row r="4157">
      <c r="A4157" t="inlineStr">
        <is>
          <t xml:space="preserve">ICICI Prudential Mutual Fund</t>
        </is>
      </c>
      <c r="B4157" t="inlineStr">
        <is>
          <t xml:space="preserve">ICICI Prudential BSE Sensex Index Fund - IDCW Option</t>
        </is>
      </c>
      <c r="C4157" t="inlineStr">
        <is>
          <t xml:space="preserve">INF109KB19W3</t>
        </is>
      </c>
    </row>
    <row r="4158">
      <c r="A4158" t="inlineStr">
        <is>
          <t xml:space="preserve">ICICI Prudential Mutual Fund</t>
        </is>
      </c>
      <c r="B4158" t="inlineStr">
        <is>
          <t xml:space="preserve">ICICI Prudential Business Cycle Fund - Series 1  Cumulative Option</t>
        </is>
      </c>
      <c r="C4158" t="inlineStr">
        <is>
          <t xml:space="preserve">INF109KB1MX8</t>
        </is>
      </c>
    </row>
    <row r="4159">
      <c r="A4159" t="inlineStr">
        <is>
          <t xml:space="preserve">ICICI Prudential Mutual Fund</t>
        </is>
      </c>
      <c r="B4159" t="inlineStr">
        <is>
          <t xml:space="preserve">ICICI Prudential Business Cycle Fund - Series 1 Direct Plan Cumulative Option</t>
        </is>
      </c>
      <c r="C4159" t="inlineStr">
        <is>
          <t xml:space="preserve">INF109KB1MV2</t>
        </is>
      </c>
    </row>
    <row r="4160">
      <c r="A4160" t="inlineStr">
        <is>
          <t xml:space="preserve">ICICI Prudential Mutual Fund</t>
        </is>
      </c>
      <c r="B4160" t="inlineStr">
        <is>
          <t xml:space="preserve">ICICI Prudential Business Cycle Fund - Series 1 Direct Plan Dividend Option</t>
        </is>
      </c>
      <c r="C4160" t="inlineStr">
        <is>
          <t xml:space="preserve">INF109KB1MW0</t>
        </is>
      </c>
    </row>
    <row r="4161">
      <c r="A4161" t="inlineStr">
        <is>
          <t xml:space="preserve">ICICI Prudential Mutual Fund</t>
        </is>
      </c>
      <c r="B4161" t="inlineStr">
        <is>
          <t xml:space="preserve">ICICI Prudential Business Cycle Fund - Series 1 Dividend Option</t>
        </is>
      </c>
      <c r="C4161" t="inlineStr">
        <is>
          <t xml:space="preserve">INF109KB1MY6</t>
        </is>
      </c>
    </row>
    <row r="4162">
      <c r="A4162" t="inlineStr">
        <is>
          <t xml:space="preserve">ICICI Prudential Mutual Fund</t>
        </is>
      </c>
      <c r="B4162" t="inlineStr">
        <is>
          <t xml:space="preserve">ICICI Prudential Business Cycle Fund - Series 2  Cumulative Option</t>
        </is>
      </c>
      <c r="C4162" t="inlineStr">
        <is>
          <t xml:space="preserve">INF109KB1OH7</t>
        </is>
      </c>
    </row>
    <row r="4163">
      <c r="A4163" t="inlineStr">
        <is>
          <t xml:space="preserve">ICICI Prudential Mutual Fund</t>
        </is>
      </c>
      <c r="B4163" t="inlineStr">
        <is>
          <t xml:space="preserve">ICICI Prudential Business Cycle Fund - Series 2  Dividend Option</t>
        </is>
      </c>
      <c r="C4163" t="inlineStr">
        <is>
          <t xml:space="preserve">INF109KB1OI5</t>
        </is>
      </c>
    </row>
    <row r="4164">
      <c r="A4164" t="inlineStr">
        <is>
          <t xml:space="preserve">ICICI Prudential Mutual Fund</t>
        </is>
      </c>
      <c r="B4164" t="inlineStr">
        <is>
          <t xml:space="preserve">ICICI Prudential Business Cycle Fund - Series 2 Direct Plan Cumulative Option</t>
        </is>
      </c>
      <c r="C4164" t="inlineStr">
        <is>
          <t xml:space="preserve">INF109KB1OF1</t>
        </is>
      </c>
    </row>
    <row r="4165">
      <c r="A4165" t="inlineStr">
        <is>
          <t xml:space="preserve">ICICI Prudential Mutual Fund</t>
        </is>
      </c>
      <c r="B4165" t="inlineStr">
        <is>
          <t xml:space="preserve">ICICI Prudential Business Cycle Fund - Series 2 Direct Plan Dividend Option</t>
        </is>
      </c>
      <c r="C4165" t="inlineStr">
        <is>
          <t xml:space="preserve">INF109KB1OG9</t>
        </is>
      </c>
    </row>
    <row r="4166">
      <c r="A4166" t="inlineStr">
        <is>
          <t xml:space="preserve">ICICI Prudential Mutual Fund</t>
        </is>
      </c>
      <c r="B4166" t="inlineStr">
        <is>
          <t xml:space="preserve">ICICI Prudential Business Cycle Fund - Series 3 Cumulative option</t>
        </is>
      </c>
      <c r="C4166" t="inlineStr">
        <is>
          <t xml:space="preserve">INF109KB1PX1</t>
        </is>
      </c>
    </row>
    <row r="4167">
      <c r="A4167" t="inlineStr">
        <is>
          <t xml:space="preserve">ICICI Prudential Mutual Fund</t>
        </is>
      </c>
      <c r="B4167" t="inlineStr">
        <is>
          <t xml:space="preserve">ICICI Prudential Business Cycle Fund - Series 3 Direct Plan Cumulative option</t>
        </is>
      </c>
      <c r="C4167" t="inlineStr">
        <is>
          <t xml:space="preserve">INF109KB1PZ6</t>
        </is>
      </c>
    </row>
    <row r="4168">
      <c r="A4168" t="inlineStr">
        <is>
          <t xml:space="preserve">ICICI Prudential Mutual Fund</t>
        </is>
      </c>
      <c r="B4168" t="inlineStr">
        <is>
          <t xml:space="preserve">ICICI Prudential Business Cycle Fund - Series 3 Direct Plan Dividend option</t>
        </is>
      </c>
      <c r="C4168" t="inlineStr">
        <is>
          <t xml:space="preserve">INF109KB1QA7</t>
        </is>
      </c>
    </row>
    <row r="4169">
      <c r="A4169" t="inlineStr">
        <is>
          <t xml:space="preserve">ICICI Prudential Mutual Fund</t>
        </is>
      </c>
      <c r="B4169" t="inlineStr">
        <is>
          <t xml:space="preserve">ICICI Prudential Business Cycle Fund - Series 3 Dividend option</t>
        </is>
      </c>
      <c r="C4169" t="inlineStr">
        <is>
          <t xml:space="preserve">INF109KB1PY9</t>
        </is>
      </c>
    </row>
    <row r="4170">
      <c r="A4170" t="inlineStr">
        <is>
          <t xml:space="preserve">ICICI Prudential Mutual Fund</t>
        </is>
      </c>
      <c r="B4170" t="inlineStr">
        <is>
          <t xml:space="preserve">ICICI Prudential Business Cycle Fund Direct Plan Growth</t>
        </is>
      </c>
      <c r="C4170" t="inlineStr">
        <is>
          <t xml:space="preserve">INF109KC1P24</t>
        </is>
      </c>
    </row>
    <row r="4171">
      <c r="A4171" t="inlineStr">
        <is>
          <t xml:space="preserve">ICICI Prudential Mutual Fund</t>
        </is>
      </c>
      <c r="B4171" t="inlineStr">
        <is>
          <t xml:space="preserve">ICICI Prudential Business Cycle Fund Direct Plan IDCW</t>
        </is>
      </c>
      <c r="C4171" t="inlineStr">
        <is>
          <t xml:space="preserve">INF109KC1P40</t>
        </is>
      </c>
    </row>
    <row r="4172">
      <c r="A4172" t="inlineStr">
        <is>
          <t xml:space="preserve">ICICI Prudential Mutual Fund</t>
        </is>
      </c>
      <c r="B4172" t="inlineStr">
        <is>
          <t xml:space="preserve">ICICI Prudential Business Cycle Fund Growth</t>
        </is>
      </c>
      <c r="C4172" t="inlineStr">
        <is>
          <t xml:space="preserve">INF109KC1O90</t>
        </is>
      </c>
    </row>
    <row r="4173">
      <c r="A4173" t="inlineStr">
        <is>
          <t xml:space="preserve">ICICI Prudential Mutual Fund</t>
        </is>
      </c>
      <c r="B4173" t="inlineStr">
        <is>
          <t xml:space="preserve">ICICI Prudential Business Cycle Fund IDCW</t>
        </is>
      </c>
      <c r="C4173" t="inlineStr">
        <is>
          <t xml:space="preserve">INF109KC1P16</t>
        </is>
      </c>
    </row>
    <row r="4174">
      <c r="A4174" t="inlineStr">
        <is>
          <t xml:space="preserve">ICICI Prudential Mutual Fund</t>
        </is>
      </c>
      <c r="B4174" t="inlineStr">
        <is>
          <t xml:space="preserve">ICICI Prudential Capital Protection Oriented Fund - Series IX - 1101 Days Plan A Cumulative Option</t>
        </is>
      </c>
      <c r="C4174" t="inlineStr">
        <is>
          <t xml:space="preserve">INF109KB1NT4</t>
        </is>
      </c>
    </row>
    <row r="4175">
      <c r="A4175" t="inlineStr">
        <is>
          <t xml:space="preserve">ICICI Prudential Mutual Fund</t>
        </is>
      </c>
      <c r="B4175" t="inlineStr">
        <is>
          <t xml:space="preserve">ICICI Prudential Capital Protection Oriented Fund - Series IX - 1101 Days Plan A Direct Plan Cumulative Option</t>
        </is>
      </c>
      <c r="C4175" t="inlineStr">
        <is>
          <t xml:space="preserve">INF109KB1NV0</t>
        </is>
      </c>
    </row>
    <row r="4176">
      <c r="A4176" t="inlineStr">
        <is>
          <t xml:space="preserve">ICICI Prudential Mutual Fund</t>
        </is>
      </c>
      <c r="B4176" t="inlineStr">
        <is>
          <t xml:space="preserve">ICICI Prudential Capital Protection Oriented Fund - Series IX - 1101 Days Plan A Direct Plan Dividend Option</t>
        </is>
      </c>
      <c r="C4176" t="inlineStr">
        <is>
          <t xml:space="preserve">INF109KB1NW8</t>
        </is>
      </c>
    </row>
    <row r="4177">
      <c r="A4177" t="inlineStr">
        <is>
          <t xml:space="preserve">ICICI Prudential Mutual Fund</t>
        </is>
      </c>
      <c r="B4177" t="inlineStr">
        <is>
          <t xml:space="preserve">ICICI Prudential Capital Protection Oriented Fund - Series IX - 1101 Days Plan A Dividend Option</t>
        </is>
      </c>
      <c r="C4177" t="inlineStr">
        <is>
          <t xml:space="preserve">INF109KB1NU2</t>
        </is>
      </c>
    </row>
    <row r="4178">
      <c r="A4178" t="inlineStr">
        <is>
          <t xml:space="preserve">ICICI Prudential Mutual Fund</t>
        </is>
      </c>
      <c r="B4178" t="inlineStr">
        <is>
          <t xml:space="preserve">ICICI Prudential Capital Protection Oriented Fund - Series IX - 1120 Days Plan F Cumulative Option</t>
        </is>
      </c>
      <c r="C4178" t="inlineStr">
        <is>
          <t xml:space="preserve">INF109KB1TH6</t>
        </is>
      </c>
    </row>
    <row r="4179">
      <c r="A4179" t="inlineStr">
        <is>
          <t xml:space="preserve">ICICI Prudential Mutual Fund</t>
        </is>
      </c>
      <c r="B4179" t="inlineStr">
        <is>
          <t xml:space="preserve">ICICI Prudential Capital Protection Oriented Fund - Series IX - 1120 Days Plan F Direct Plan Cumulative Option</t>
        </is>
      </c>
      <c r="C4179" t="inlineStr">
        <is>
          <t xml:space="preserve">INF109KB1TJ2</t>
        </is>
      </c>
    </row>
    <row r="4180">
      <c r="A4180" t="inlineStr">
        <is>
          <t xml:space="preserve">ICICI Prudential Mutual Fund</t>
        </is>
      </c>
      <c r="B4180" t="inlineStr">
        <is>
          <t xml:space="preserve">ICICI Prudential Capital Protection Oriented Fund - Series IX - 1120 Days Plan F Dividend Option</t>
        </is>
      </c>
      <c r="C4180" t="inlineStr">
        <is>
          <t xml:space="preserve">INF109KB1TI4</t>
        </is>
      </c>
    </row>
    <row r="4181">
      <c r="A4181" t="inlineStr">
        <is>
          <t xml:space="preserve">ICICI Prudential Mutual Fund</t>
        </is>
      </c>
      <c r="B4181" t="inlineStr">
        <is>
          <t xml:space="preserve">ICICI Prudential Capital Protection Oriented Fund - Series IX - 1195 Days Plan C Cumulative Option</t>
        </is>
      </c>
      <c r="C4181" t="inlineStr">
        <is>
          <t xml:space="preserve">INF109KB1OV8</t>
        </is>
      </c>
    </row>
    <row r="4182">
      <c r="A4182" t="inlineStr">
        <is>
          <t xml:space="preserve">ICICI Prudential Mutual Fund</t>
        </is>
      </c>
      <c r="B4182" t="inlineStr">
        <is>
          <t xml:space="preserve">ICICI Prudential Capital Protection Oriented Fund - Series IX - 1195 Days Plan C Direct Plan Cumulative Option</t>
        </is>
      </c>
      <c r="C4182" t="inlineStr">
        <is>
          <t xml:space="preserve">INF109KB1OX4</t>
        </is>
      </c>
    </row>
    <row r="4183">
      <c r="A4183" t="inlineStr">
        <is>
          <t xml:space="preserve">ICICI Prudential Mutual Fund</t>
        </is>
      </c>
      <c r="B4183" t="inlineStr">
        <is>
          <t xml:space="preserve">ICICI Prudential Capital Protection Oriented Fund - Series IX - 1195 Days Plan C Direct Plan Dividend Option</t>
        </is>
      </c>
      <c r="C4183" t="inlineStr">
        <is>
          <t xml:space="preserve">INF109KB1OY2</t>
        </is>
      </c>
    </row>
    <row r="4184">
      <c r="A4184" t="inlineStr">
        <is>
          <t xml:space="preserve">ICICI Prudential Mutual Fund</t>
        </is>
      </c>
      <c r="B4184" t="inlineStr">
        <is>
          <t xml:space="preserve">ICICI Prudential Capital Protection Oriented Fund - Series IX - 1195 Days Plan C Dividend Option</t>
        </is>
      </c>
      <c r="C4184" t="inlineStr">
        <is>
          <t xml:space="preserve">INF109KB1OW6</t>
        </is>
      </c>
    </row>
    <row r="4185">
      <c r="A4185" t="inlineStr">
        <is>
          <t xml:space="preserve">ICICI Prudential Mutual Fund</t>
        </is>
      </c>
      <c r="B4185" t="inlineStr">
        <is>
          <t xml:space="preserve">ICICI Prudential Capital Protection Oriented Fund - Series IX - 1325 Days Plan E Cumulative Option</t>
        </is>
      </c>
      <c r="C4185" t="inlineStr">
        <is>
          <t xml:space="preserve">INF109KB1SN6</t>
        </is>
      </c>
    </row>
    <row r="4186">
      <c r="A4186" t="inlineStr">
        <is>
          <t xml:space="preserve">ICICI Prudential Mutual Fund</t>
        </is>
      </c>
      <c r="B4186" t="inlineStr">
        <is>
          <t xml:space="preserve">ICICI Prudential Capital Protection Oriented Fund - Series IX - 1325 Days Plan E Direct Plan Cumulative Option</t>
        </is>
      </c>
      <c r="C4186" t="inlineStr">
        <is>
          <t xml:space="preserve">INF109KB1SP1</t>
        </is>
      </c>
    </row>
    <row r="4187">
      <c r="A4187" t="inlineStr">
        <is>
          <t xml:space="preserve">ICICI Prudential Mutual Fund</t>
        </is>
      </c>
      <c r="B4187" t="inlineStr">
        <is>
          <t xml:space="preserve">ICICI Prudential Capital Protection Oriented Fund - Series IX - 1325 Days Plan E Direct Plan Dividend Option</t>
        </is>
      </c>
      <c r="C4187" t="inlineStr">
        <is>
          <t xml:space="preserve">INF109KB1SQ9</t>
        </is>
      </c>
    </row>
    <row r="4188">
      <c r="A4188" t="inlineStr">
        <is>
          <t xml:space="preserve">ICICI Prudential Mutual Fund</t>
        </is>
      </c>
      <c r="B4188" t="inlineStr">
        <is>
          <t xml:space="preserve">ICICI Prudential Capital Protection Oriented Fund - Series IX - 1325 Days Plan E Dividend Option</t>
        </is>
      </c>
      <c r="C4188" t="inlineStr">
        <is>
          <t xml:space="preserve">INF109KB1SO4</t>
        </is>
      </c>
    </row>
    <row r="4189">
      <c r="A4189" t="inlineStr">
        <is>
          <t xml:space="preserve">ICICI Prudential Mutual Fund</t>
        </is>
      </c>
      <c r="B4189" t="inlineStr">
        <is>
          <t xml:space="preserve">ICICI Prudential Capital Protection Oriented Fund - Series IX - 1378 Days Plan D Cumulative Option</t>
        </is>
      </c>
      <c r="C4189" t="inlineStr">
        <is>
          <t xml:space="preserve">INF109KB1PP7</t>
        </is>
      </c>
    </row>
    <row r="4190">
      <c r="A4190" t="inlineStr">
        <is>
          <t xml:space="preserve">ICICI Prudential Mutual Fund</t>
        </is>
      </c>
      <c r="B4190" t="inlineStr">
        <is>
          <t xml:space="preserve">ICICI Prudential Capital Protection Oriented Fund - Series IX - 1378 Days Plan D Direct Plan Cumulative Option</t>
        </is>
      </c>
      <c r="C4190" t="inlineStr">
        <is>
          <t xml:space="preserve">INF109KB1PR3</t>
        </is>
      </c>
    </row>
    <row r="4191">
      <c r="A4191" t="inlineStr">
        <is>
          <t xml:space="preserve">ICICI Prudential Mutual Fund</t>
        </is>
      </c>
      <c r="B4191" t="inlineStr">
        <is>
          <t xml:space="preserve">ICICI Prudential Capital Protection Oriented Fund - Series IX - 1378 Days Plan D Direct Plan Dividend Option</t>
        </is>
      </c>
      <c r="C4191" t="inlineStr">
        <is>
          <t xml:space="preserve">INF109KB1PS1</t>
        </is>
      </c>
    </row>
    <row r="4192">
      <c r="A4192" t="inlineStr">
        <is>
          <t xml:space="preserve">ICICI Prudential Mutual Fund</t>
        </is>
      </c>
      <c r="B4192" t="inlineStr">
        <is>
          <t xml:space="preserve">ICICI Prudential Capital Protection Oriented Fund - Series IX - 1378 Days Plan D Dividend Option</t>
        </is>
      </c>
      <c r="C4192" t="inlineStr">
        <is>
          <t xml:space="preserve">INF109KB1PQ5</t>
        </is>
      </c>
    </row>
    <row r="4193">
      <c r="A4193" t="inlineStr">
        <is>
          <t xml:space="preserve">ICICI Prudential Mutual Fund</t>
        </is>
      </c>
      <c r="B4193" t="inlineStr">
        <is>
          <t xml:space="preserve">ICICI Prudential Capital Protection Oriented Fund - Series IX -1103 Days Plan B Cumulative Option</t>
        </is>
      </c>
      <c r="C4193" t="inlineStr">
        <is>
          <t xml:space="preserve">INF109KB1OB0</t>
        </is>
      </c>
    </row>
    <row r="4194">
      <c r="A4194" t="inlineStr">
        <is>
          <t xml:space="preserve">ICICI Prudential Mutual Fund</t>
        </is>
      </c>
      <c r="B4194" t="inlineStr">
        <is>
          <t xml:space="preserve">ICICI Prudential Capital Protection Oriented Fund - Series IX -1103 Days Plan B Direct Plan Cumulative Option</t>
        </is>
      </c>
      <c r="C4194" t="inlineStr">
        <is>
          <t xml:space="preserve">INF109KB1OD6</t>
        </is>
      </c>
    </row>
    <row r="4195">
      <c r="A4195" t="inlineStr">
        <is>
          <t xml:space="preserve">ICICI Prudential Mutual Fund</t>
        </is>
      </c>
      <c r="B4195" t="inlineStr">
        <is>
          <t xml:space="preserve">ICICI Prudential Capital Protection Oriented Fund - Series IX -1103 Days Plan B Direct Plan Dividend Option</t>
        </is>
      </c>
      <c r="C4195" t="inlineStr">
        <is>
          <t xml:space="preserve">INF109KB1OE4</t>
        </is>
      </c>
    </row>
    <row r="4196">
      <c r="A4196" t="inlineStr">
        <is>
          <t xml:space="preserve">ICICI Prudential Mutual Fund</t>
        </is>
      </c>
      <c r="B4196" t="inlineStr">
        <is>
          <t xml:space="preserve">ICICI Prudential Capital Protection Oriented Fund - Series IX -1103 Days Plan B Dividend Option</t>
        </is>
      </c>
      <c r="C4196" t="inlineStr">
        <is>
          <t xml:space="preserve">INF109KB1OC8</t>
        </is>
      </c>
    </row>
    <row r="4197">
      <c r="A4197" t="inlineStr">
        <is>
          <t xml:space="preserve">ICICI Prudential Mutual Fund</t>
        </is>
      </c>
      <c r="B4197" t="inlineStr">
        <is>
          <t xml:space="preserve">ICICI Prudential Capital Protection Oriented Fund - Series V - 60 Months - Cumulative</t>
        </is>
      </c>
      <c r="C4197" t="inlineStr">
        <is>
          <t xml:space="preserve">INF109K01SX3</t>
        </is>
      </c>
    </row>
    <row r="4198">
      <c r="A4198" t="inlineStr">
        <is>
          <t xml:space="preserve">ICICI Prudential Mutual Fund</t>
        </is>
      </c>
      <c r="B4198" t="inlineStr">
        <is>
          <t xml:space="preserve">ICICI Prudential Capital Protection Oriented Fund - Series V - 60 Months - Dividend</t>
        </is>
      </c>
      <c r="C4198" t="inlineStr">
        <is>
          <t xml:space="preserve">INF109K01SY1</t>
        </is>
      </c>
    </row>
    <row r="4199">
      <c r="A4199" t="inlineStr">
        <is>
          <t xml:space="preserve">ICICI Prudential Mutual Fund</t>
        </is>
      </c>
      <c r="B4199" t="inlineStr">
        <is>
          <t xml:space="preserve">ICICI Prudential Capital Protection Oriented Fund - Series VI - 1100 Days Plan D Direct Plan Cumulative Option</t>
        </is>
      </c>
      <c r="C4199" t="inlineStr">
        <is>
          <t xml:space="preserve">INF109KA1XX6</t>
        </is>
      </c>
    </row>
    <row r="4200">
      <c r="A4200" t="inlineStr">
        <is>
          <t xml:space="preserve">ICICI Prudential Mutual Fund</t>
        </is>
      </c>
      <c r="B4200" t="inlineStr">
        <is>
          <t xml:space="preserve">ICICI Prudential Capital Protection Oriented Fund - Series VI - 1100 Days Plan D Direct Plan Dividend Option</t>
        </is>
      </c>
      <c r="C4200" t="inlineStr">
        <is>
          <t xml:space="preserve">INF109KA1XY4</t>
        </is>
      </c>
    </row>
    <row r="4201">
      <c r="A4201" t="inlineStr">
        <is>
          <t xml:space="preserve">ICICI Prudential Mutual Fund</t>
        </is>
      </c>
      <c r="B4201" t="inlineStr">
        <is>
          <t xml:space="preserve">ICICI Prudential Capital Protection Oriented Fund - Series VI - 1100 Days Plan D Dividend Option</t>
        </is>
      </c>
      <c r="C4201" t="inlineStr">
        <is>
          <t xml:space="preserve">INF109KA1XW8</t>
        </is>
      </c>
    </row>
    <row r="4202">
      <c r="A4202" t="inlineStr">
        <is>
          <t xml:space="preserve">ICICI Prudential Mutual Fund</t>
        </is>
      </c>
      <c r="B4202" t="inlineStr">
        <is>
          <t xml:space="preserve">ICICI Prudential Capital Protection Oriented Fund - Series VI - 1100 Days Plan E Cumulative Option</t>
        </is>
      </c>
      <c r="C4202" t="inlineStr">
        <is>
          <t xml:space="preserve">INF109KA1YZ9</t>
        </is>
      </c>
    </row>
    <row r="4203">
      <c r="A4203" t="inlineStr">
        <is>
          <t xml:space="preserve">ICICI Prudential Mutual Fund</t>
        </is>
      </c>
      <c r="B4203" t="inlineStr">
        <is>
          <t xml:space="preserve">ICICI Prudential Capital Protection Oriented Fund - Series VI - 1100 Days Plan E Direct Plan Cumulative Option</t>
        </is>
      </c>
      <c r="C4203" t="inlineStr">
        <is>
          <t xml:space="preserve">INF109KA1ZB7</t>
        </is>
      </c>
    </row>
    <row r="4204">
      <c r="A4204" t="inlineStr">
        <is>
          <t xml:space="preserve">ICICI Prudential Mutual Fund</t>
        </is>
      </c>
      <c r="B4204" t="inlineStr">
        <is>
          <t xml:space="preserve">ICICI Prudential Capital Protection Oriented Fund - Series VI - 1100 Days Plan E Dividend Option</t>
        </is>
      </c>
      <c r="C4204" t="inlineStr">
        <is>
          <t xml:space="preserve">INF109KA1ZA9</t>
        </is>
      </c>
    </row>
    <row r="4205">
      <c r="A4205" t="inlineStr">
        <is>
          <t xml:space="preserve">ICICI Prudential Mutual Fund</t>
        </is>
      </c>
      <c r="B4205" t="inlineStr">
        <is>
          <t xml:space="preserve">ICICI Prudential Capital Protection Oriented Fund - Series VI - 1100 Days Plan F Cumulative Option</t>
        </is>
      </c>
      <c r="C4205" t="inlineStr">
        <is>
          <t xml:space="preserve">INF109KA1A66</t>
        </is>
      </c>
    </row>
    <row r="4206">
      <c r="A4206" t="inlineStr">
        <is>
          <t xml:space="preserve">ICICI Prudential Mutual Fund</t>
        </is>
      </c>
      <c r="B4206" t="inlineStr">
        <is>
          <t xml:space="preserve">ICICI Prudential Capital Protection Oriented Fund - Series VI - 1100 Days Plan F Direct Plan Cumulative Option</t>
        </is>
      </c>
      <c r="C4206" t="inlineStr">
        <is>
          <t xml:space="preserve">INF109KA1A82</t>
        </is>
      </c>
    </row>
    <row r="4207">
      <c r="A4207" t="inlineStr">
        <is>
          <t xml:space="preserve">ICICI Prudential Mutual Fund</t>
        </is>
      </c>
      <c r="B4207" t="inlineStr">
        <is>
          <t xml:space="preserve">ICICI Prudential Capital Protection Oriented Fund - Series VI - 1100 Days Plan F Direct Plan Dividend Option</t>
        </is>
      </c>
      <c r="C4207" t="inlineStr">
        <is>
          <t xml:space="preserve">INF109KA1A90</t>
        </is>
      </c>
    </row>
    <row r="4208">
      <c r="A4208" t="inlineStr">
        <is>
          <t xml:space="preserve">ICICI Prudential Mutual Fund</t>
        </is>
      </c>
      <c r="B4208" t="inlineStr">
        <is>
          <t xml:space="preserve">ICICI Prudential Capital Protection Oriented Fund - Series VI - 1100 Days Plan F Dividend Option</t>
        </is>
      </c>
      <c r="C4208" t="inlineStr">
        <is>
          <t xml:space="preserve">INF109KA1A74</t>
        </is>
      </c>
    </row>
    <row r="4209">
      <c r="A4209" t="inlineStr">
        <is>
          <t xml:space="preserve">ICICI Prudential Mutual Fund</t>
        </is>
      </c>
      <c r="B4209" t="inlineStr">
        <is>
          <t xml:space="preserve">ICICI Prudential Capital Protection Oriented Fund - Series VI - 1100 Days Plan G Cumulative Option</t>
        </is>
      </c>
      <c r="C4209" t="inlineStr">
        <is>
          <t xml:space="preserve">INF109KA1B08</t>
        </is>
      </c>
    </row>
    <row r="4210">
      <c r="A4210" t="inlineStr">
        <is>
          <t xml:space="preserve">ICICI Prudential Mutual Fund</t>
        </is>
      </c>
      <c r="B4210" t="inlineStr">
        <is>
          <t xml:space="preserve">ICICI Prudential Capital Protection Oriented Fund - Series VI - 1100 Days Plan G Direct Plan Cumulative Option</t>
        </is>
      </c>
      <c r="C4210" t="inlineStr">
        <is>
          <t xml:space="preserve">INF109KA1B24</t>
        </is>
      </c>
    </row>
    <row r="4211">
      <c r="A4211" t="inlineStr">
        <is>
          <t xml:space="preserve">ICICI Prudential Mutual Fund</t>
        </is>
      </c>
      <c r="B4211" t="inlineStr">
        <is>
          <t xml:space="preserve">ICICI Prudential Capital Protection Oriented Fund - Series VI - 1100 Days Plan G Direct Plan Dividend Option</t>
        </is>
      </c>
      <c r="C4211" t="inlineStr">
        <is>
          <t xml:space="preserve">INF109KA1B32</t>
        </is>
      </c>
    </row>
    <row r="4212">
      <c r="A4212" t="inlineStr">
        <is>
          <t xml:space="preserve">ICICI Prudential Mutual Fund</t>
        </is>
      </c>
      <c r="B4212" t="inlineStr">
        <is>
          <t xml:space="preserve">ICICI Prudential Capital Protection Oriented Fund - Series VI - 1100 Days Plan G Dividend Option</t>
        </is>
      </c>
      <c r="C4212" t="inlineStr">
        <is>
          <t xml:space="preserve">INF109KA1B16</t>
        </is>
      </c>
    </row>
    <row r="4213">
      <c r="A4213" t="inlineStr">
        <is>
          <t xml:space="preserve">ICICI Prudential Mutual Fund</t>
        </is>
      </c>
      <c r="B4213" t="inlineStr">
        <is>
          <t xml:space="preserve">ICICI Prudential Capital Protection Oriented Fund - Series VI - 1100 Days Plan H Cumulative Option</t>
        </is>
      </c>
      <c r="C4213" t="inlineStr">
        <is>
          <t xml:space="preserve">INF109KA1Q01</t>
        </is>
      </c>
    </row>
    <row r="4214">
      <c r="A4214" t="inlineStr">
        <is>
          <t xml:space="preserve">ICICI Prudential Mutual Fund</t>
        </is>
      </c>
      <c r="B4214" t="inlineStr">
        <is>
          <t xml:space="preserve">ICICI Prudential Capital Protection Oriented Fund - Series VI - 1100 Days Plan H Direct Plan Cumulative Option</t>
        </is>
      </c>
      <c r="C4214" t="inlineStr">
        <is>
          <t xml:space="preserve">INF109KA1Q27</t>
        </is>
      </c>
    </row>
    <row r="4215">
      <c r="A4215" t="inlineStr">
        <is>
          <t xml:space="preserve">ICICI Prudential Mutual Fund</t>
        </is>
      </c>
      <c r="B4215" t="inlineStr">
        <is>
          <t xml:space="preserve">ICICI Prudential Capital Protection Oriented Fund - Series VI - 1100 Days Plan H Direct Plan Dividend Option</t>
        </is>
      </c>
      <c r="C4215" t="inlineStr">
        <is>
          <t xml:space="preserve">INF109KA1Q35</t>
        </is>
      </c>
    </row>
    <row r="4216">
      <c r="A4216" t="inlineStr">
        <is>
          <t xml:space="preserve">ICICI Prudential Mutual Fund</t>
        </is>
      </c>
      <c r="B4216" t="inlineStr">
        <is>
          <t xml:space="preserve">ICICI Prudential Capital Protection Oriented Fund - Series VI - 1100 Days Plan H Dividend Option</t>
        </is>
      </c>
      <c r="C4216" t="inlineStr">
        <is>
          <t xml:space="preserve">INF109KA1Q19</t>
        </is>
      </c>
    </row>
    <row r="4217">
      <c r="A4217" t="inlineStr">
        <is>
          <t xml:space="preserve">ICICI Prudential Mutual Fund</t>
        </is>
      </c>
      <c r="B4217" t="inlineStr">
        <is>
          <t xml:space="preserve">ICICI Prudential Capital Protection Oriented Fund - Series VI -1100 Days Plan D Cumulative Option</t>
        </is>
      </c>
      <c r="C4217" t="inlineStr">
        <is>
          <t xml:space="preserve">INF109KA1XV0</t>
        </is>
      </c>
    </row>
    <row r="4218">
      <c r="A4218" t="inlineStr">
        <is>
          <t xml:space="preserve">ICICI Prudential Mutual Fund</t>
        </is>
      </c>
      <c r="B4218" t="inlineStr">
        <is>
          <t xml:space="preserve">ICICI Prudential Capital Protection Oriented Fund - Series VII - 1284 Days Plan C Cumulative Option</t>
        </is>
      </c>
      <c r="C4218" t="inlineStr">
        <is>
          <t xml:space="preserve">INF109KA18M8</t>
        </is>
      </c>
    </row>
    <row r="4219">
      <c r="A4219" t="inlineStr">
        <is>
          <t xml:space="preserve">ICICI Prudential Mutual Fund</t>
        </is>
      </c>
      <c r="B4219" t="inlineStr">
        <is>
          <t xml:space="preserve">ICICI Prudential Capital Protection Oriented Fund - Series VII - 1284 Days Plan C Direct Plan Cumulative Option</t>
        </is>
      </c>
      <c r="C4219" t="inlineStr">
        <is>
          <t xml:space="preserve">INF109KA10N3</t>
        </is>
      </c>
    </row>
    <row r="4220">
      <c r="A4220" t="inlineStr">
        <is>
          <t xml:space="preserve">ICICI Prudential Mutual Fund</t>
        </is>
      </c>
      <c r="B4220" t="inlineStr">
        <is>
          <t xml:space="preserve">ICICI Prudential Capital Protection Oriented Fund - Series VII - 1284 Days Plan C Direct Plan Dividend Option</t>
        </is>
      </c>
      <c r="C4220" t="inlineStr">
        <is>
          <t xml:space="preserve">INF109KA11N1</t>
        </is>
      </c>
    </row>
    <row r="4221">
      <c r="A4221" t="inlineStr">
        <is>
          <t xml:space="preserve">ICICI Prudential Mutual Fund</t>
        </is>
      </c>
      <c r="B4221" t="inlineStr">
        <is>
          <t xml:space="preserve">ICICI Prudential Capital Protection Oriented Fund - Series VII - 1284 Days Plan C Dividend Option</t>
        </is>
      </c>
      <c r="C4221" t="inlineStr">
        <is>
          <t xml:space="preserve">INF109KA19M6</t>
        </is>
      </c>
    </row>
    <row r="4222">
      <c r="A4222" t="inlineStr">
        <is>
          <t xml:space="preserve">ICICI Prudential Mutual Fund</t>
        </is>
      </c>
      <c r="B4222" t="inlineStr">
        <is>
          <t xml:space="preserve">ICICI Prudential Capital Protection Oriented Fund - Series VII - 1284 Days Plan E Cumulative Option</t>
        </is>
      </c>
      <c r="C4222" t="inlineStr">
        <is>
          <t xml:space="preserve">INF109KA14P0</t>
        </is>
      </c>
    </row>
    <row r="4223">
      <c r="A4223" t="inlineStr">
        <is>
          <t xml:space="preserve">ICICI Prudential Mutual Fund</t>
        </is>
      </c>
      <c r="B4223" t="inlineStr">
        <is>
          <t xml:space="preserve">ICICI Prudential Capital Protection Oriented Fund - Series VII - 1284 Days Plan E Direct Plan Cumulative Option</t>
        </is>
      </c>
      <c r="C4223" t="inlineStr">
        <is>
          <t xml:space="preserve">INF109KA16P5</t>
        </is>
      </c>
    </row>
    <row r="4224">
      <c r="A4224" t="inlineStr">
        <is>
          <t xml:space="preserve">ICICI Prudential Mutual Fund</t>
        </is>
      </c>
      <c r="B4224" t="inlineStr">
        <is>
          <t xml:space="preserve">ICICI Prudential Capital Protection Oriented Fund - Series VII - 1284 Days Plan E Direct Plan Dividend Option</t>
        </is>
      </c>
      <c r="C4224" t="inlineStr">
        <is>
          <t xml:space="preserve">INF109KA17P3</t>
        </is>
      </c>
    </row>
    <row r="4225">
      <c r="A4225" t="inlineStr">
        <is>
          <t xml:space="preserve">ICICI Prudential Mutual Fund</t>
        </is>
      </c>
      <c r="B4225" t="inlineStr">
        <is>
          <t xml:space="preserve">ICICI Prudential Capital Protection Oriented Fund - Series VII - 1284 Days Plan E Dividend Option</t>
        </is>
      </c>
      <c r="C4225" t="inlineStr">
        <is>
          <t xml:space="preserve">INF109KA15P7</t>
        </is>
      </c>
    </row>
    <row r="4226">
      <c r="A4226" t="inlineStr">
        <is>
          <t xml:space="preserve">ICICI Prudential Mutual Fund</t>
        </is>
      </c>
      <c r="B4226" t="inlineStr">
        <is>
          <t xml:space="preserve">ICICI Prudential Capital Protection Oriented Fund - Series VII - 1284 Days Plan H Cumulative Option</t>
        </is>
      </c>
      <c r="C4226" t="inlineStr">
        <is>
          <t xml:space="preserve">INF109KA14X4</t>
        </is>
      </c>
    </row>
    <row r="4227">
      <c r="A4227" t="inlineStr">
        <is>
          <t xml:space="preserve">ICICI Prudential Mutual Fund</t>
        </is>
      </c>
      <c r="B4227" t="inlineStr">
        <is>
          <t xml:space="preserve">ICICI Prudential Capital Protection Oriented Fund - Series VII - 1284 Days Plan H Direct Plan Cumulative Option</t>
        </is>
      </c>
      <c r="C4227" t="inlineStr">
        <is>
          <t xml:space="preserve">INF109KA16X9</t>
        </is>
      </c>
    </row>
    <row r="4228">
      <c r="A4228" t="inlineStr">
        <is>
          <t xml:space="preserve">ICICI Prudential Mutual Fund</t>
        </is>
      </c>
      <c r="B4228" t="inlineStr">
        <is>
          <t xml:space="preserve">ICICI Prudential Capital Protection Oriented Fund - Series VII - 1284 Days Plan H Direct Plan Dividend Option</t>
        </is>
      </c>
      <c r="C4228" t="inlineStr">
        <is>
          <t xml:space="preserve">INF109KA17X7</t>
        </is>
      </c>
    </row>
    <row r="4229">
      <c r="A4229" t="inlineStr">
        <is>
          <t xml:space="preserve">ICICI Prudential Mutual Fund</t>
        </is>
      </c>
      <c r="B4229" t="inlineStr">
        <is>
          <t xml:space="preserve">ICICI Prudential Capital Protection Oriented Fund - Series VII - 1284 Days Plan H Dividend Option</t>
        </is>
      </c>
      <c r="C4229" t="inlineStr">
        <is>
          <t xml:space="preserve">INF109KA15X1</t>
        </is>
      </c>
    </row>
    <row r="4230">
      <c r="A4230" t="inlineStr">
        <is>
          <t xml:space="preserve">ICICI Prudential Mutual Fund</t>
        </is>
      </c>
      <c r="B4230" t="inlineStr">
        <is>
          <t xml:space="preserve">ICICI Prudential Capital Protection Oriented Fund - Series VII - 1285 Days Plan A Cumulative Option</t>
        </is>
      </c>
      <c r="C4230" t="inlineStr">
        <is>
          <t xml:space="preserve">INF109KA1W29</t>
        </is>
      </c>
    </row>
    <row r="4231">
      <c r="A4231" t="inlineStr">
        <is>
          <t xml:space="preserve">ICICI Prudential Mutual Fund</t>
        </is>
      </c>
      <c r="B4231" t="inlineStr">
        <is>
          <t xml:space="preserve">ICICI Prudential Capital Protection Oriented Fund - Series VII - 1285 Days Plan A Direct Plan Cumulative Option</t>
        </is>
      </c>
      <c r="C4231" t="inlineStr">
        <is>
          <t xml:space="preserve">INF109KA1W45</t>
        </is>
      </c>
    </row>
    <row r="4232">
      <c r="A4232" t="inlineStr">
        <is>
          <t xml:space="preserve">ICICI Prudential Mutual Fund</t>
        </is>
      </c>
      <c r="B4232" t="inlineStr">
        <is>
          <t xml:space="preserve">ICICI Prudential Capital Protection Oriented Fund - Series VII - 1285 Days Plan A Direct Plan Dividend Option</t>
        </is>
      </c>
      <c r="C4232" t="inlineStr">
        <is>
          <t xml:space="preserve">INF109KA1W52</t>
        </is>
      </c>
    </row>
    <row r="4233">
      <c r="A4233" t="inlineStr">
        <is>
          <t xml:space="preserve">ICICI Prudential Mutual Fund</t>
        </is>
      </c>
      <c r="B4233" t="inlineStr">
        <is>
          <t xml:space="preserve">ICICI Prudential Capital Protection Oriented Fund - Series VII - 1285 Days Plan A Dividend Option</t>
        </is>
      </c>
      <c r="C4233" t="inlineStr">
        <is>
          <t xml:space="preserve">INF109KA1W37</t>
        </is>
      </c>
    </row>
    <row r="4234">
      <c r="A4234" t="inlineStr">
        <is>
          <t xml:space="preserve">ICICI Prudential Mutual Fund</t>
        </is>
      </c>
      <c r="B4234" t="inlineStr">
        <is>
          <t xml:space="preserve">ICICI Prudential Capital Protection Oriented Fund - Series VII - 1285 Days Plan B Cumulative Option</t>
        </is>
      </c>
      <c r="C4234" t="inlineStr">
        <is>
          <t xml:space="preserve">INF109KA14E4</t>
        </is>
      </c>
    </row>
    <row r="4235">
      <c r="A4235" t="inlineStr">
        <is>
          <t xml:space="preserve">ICICI Prudential Mutual Fund</t>
        </is>
      </c>
      <c r="B4235" t="inlineStr">
        <is>
          <t xml:space="preserve">ICICI Prudential Capital Protection Oriented Fund - Series VII - 1285 Days Plan B Direct Plan Cumulative Option</t>
        </is>
      </c>
      <c r="C4235" t="inlineStr">
        <is>
          <t xml:space="preserve">INF109KA16E9</t>
        </is>
      </c>
    </row>
    <row r="4236">
      <c r="A4236" t="inlineStr">
        <is>
          <t xml:space="preserve">ICICI Prudential Mutual Fund</t>
        </is>
      </c>
      <c r="B4236" t="inlineStr">
        <is>
          <t xml:space="preserve">ICICI Prudential Capital Protection Oriented Fund - Series VII - 1285 Days Plan B Direct Plan Dividend Option</t>
        </is>
      </c>
      <c r="C4236" t="inlineStr">
        <is>
          <t xml:space="preserve">INF109KA17E7</t>
        </is>
      </c>
    </row>
    <row r="4237">
      <c r="A4237" t="inlineStr">
        <is>
          <t xml:space="preserve">ICICI Prudential Mutual Fund</t>
        </is>
      </c>
      <c r="B4237" t="inlineStr">
        <is>
          <t xml:space="preserve">ICICI Prudential Capital Protection Oriented Fund - Series VII - 1285 Days Plan B Dividend Option</t>
        </is>
      </c>
      <c r="C4237" t="inlineStr">
        <is>
          <t xml:space="preserve">INF109KA15E1</t>
        </is>
      </c>
    </row>
    <row r="4238">
      <c r="A4238" t="inlineStr">
        <is>
          <t xml:space="preserve">ICICI Prudential Mutual Fund</t>
        </is>
      </c>
      <c r="B4238" t="inlineStr">
        <is>
          <t xml:space="preserve">ICICI Prudential Capital Protection Oriented Fund - Series VII - 1285 Days Plan G Cumulative Option</t>
        </is>
      </c>
      <c r="C4238" t="inlineStr">
        <is>
          <t xml:space="preserve">INF109KA18T3</t>
        </is>
      </c>
    </row>
    <row r="4239">
      <c r="A4239" t="inlineStr">
        <is>
          <t xml:space="preserve">ICICI Prudential Mutual Fund</t>
        </is>
      </c>
      <c r="B4239" t="inlineStr">
        <is>
          <t xml:space="preserve">ICICI Prudential Capital Protection Oriented Fund - Series VII - 1285 Days Plan G Direct Plan Cumulative Option</t>
        </is>
      </c>
      <c r="C4239" t="inlineStr">
        <is>
          <t xml:space="preserve">INF109KA10U8</t>
        </is>
      </c>
    </row>
    <row r="4240">
      <c r="A4240" t="inlineStr">
        <is>
          <t xml:space="preserve">ICICI Prudential Mutual Fund</t>
        </is>
      </c>
      <c r="B4240" t="inlineStr">
        <is>
          <t xml:space="preserve">ICICI Prudential Capital Protection Oriented Fund - Series VII - 1285 Days Plan G Dividend Option</t>
        </is>
      </c>
      <c r="C4240" t="inlineStr">
        <is>
          <t xml:space="preserve">INF109KA19T1</t>
        </is>
      </c>
    </row>
    <row r="4241">
      <c r="A4241" t="inlineStr">
        <is>
          <t xml:space="preserve">ICICI Prudential Mutual Fund</t>
        </is>
      </c>
      <c r="B4241" t="inlineStr">
        <is>
          <t xml:space="preserve">ICICI Prudential Capital Protection Oriented Fund - Series VII - 1822 Days Plan D Cumulative Option</t>
        </is>
      </c>
      <c r="C4241" t="inlineStr">
        <is>
          <t xml:space="preserve">INF109KA10P8</t>
        </is>
      </c>
    </row>
    <row r="4242">
      <c r="A4242" t="inlineStr">
        <is>
          <t xml:space="preserve">ICICI Prudential Mutual Fund</t>
        </is>
      </c>
      <c r="B4242" t="inlineStr">
        <is>
          <t xml:space="preserve">ICICI Prudential Capital Protection Oriented Fund - Series VII - 1822 Days Plan D Direct Plan Cumulative Option</t>
        </is>
      </c>
      <c r="C4242" t="inlineStr">
        <is>
          <t xml:space="preserve">INF109KA12P4</t>
        </is>
      </c>
    </row>
    <row r="4243">
      <c r="A4243" t="inlineStr">
        <is>
          <t xml:space="preserve">ICICI Prudential Mutual Fund</t>
        </is>
      </c>
      <c r="B4243" t="inlineStr">
        <is>
          <t xml:space="preserve">ICICI Prudential Capital Protection Oriented Fund - Series VII - 1822 Days Plan D Direct Plan Dividend Option</t>
        </is>
      </c>
      <c r="C4243" t="inlineStr">
        <is>
          <t xml:space="preserve">INF109KA13P2</t>
        </is>
      </c>
    </row>
    <row r="4244">
      <c r="A4244" t="inlineStr">
        <is>
          <t xml:space="preserve">ICICI Prudential Mutual Fund</t>
        </is>
      </c>
      <c r="B4244" t="inlineStr">
        <is>
          <t xml:space="preserve">ICICI Prudential Capital Protection Oriented Fund - Series VII - 1822 Days Plan D Dividend Option</t>
        </is>
      </c>
      <c r="C4244" t="inlineStr">
        <is>
          <t xml:space="preserve">INF109KA11P6</t>
        </is>
      </c>
    </row>
    <row r="4245">
      <c r="A4245" t="inlineStr">
        <is>
          <t xml:space="preserve">ICICI Prudential Mutual Fund</t>
        </is>
      </c>
      <c r="B4245" t="inlineStr">
        <is>
          <t xml:space="preserve">ICICI Prudential Capital Protection Oriented Fund - Series VIII - 1101 Days Plan G Cumulative Option</t>
        </is>
      </c>
      <c r="C4245" t="inlineStr">
        <is>
          <t xml:space="preserve">INF109KB1KN3</t>
        </is>
      </c>
    </row>
    <row r="4246">
      <c r="A4246" t="inlineStr">
        <is>
          <t xml:space="preserve">ICICI Prudential Mutual Fund</t>
        </is>
      </c>
      <c r="B4246" t="inlineStr">
        <is>
          <t xml:space="preserve">ICICI Prudential Capital Protection Oriented Fund - Series VIII - 1101 Days Plan G Direct Plan Cumulative Option</t>
        </is>
      </c>
      <c r="C4246" t="inlineStr">
        <is>
          <t xml:space="preserve">INF109KB1KP8</t>
        </is>
      </c>
    </row>
    <row r="4247">
      <c r="A4247" t="inlineStr">
        <is>
          <t xml:space="preserve">ICICI Prudential Mutual Fund</t>
        </is>
      </c>
      <c r="B4247" t="inlineStr">
        <is>
          <t xml:space="preserve">ICICI Prudential Capital Protection Oriented Fund - Series VIII - 1101 Days Plan G Dividend Option</t>
        </is>
      </c>
      <c r="C4247" t="inlineStr">
        <is>
          <t xml:space="preserve">INF109KB1KO1</t>
        </is>
      </c>
    </row>
    <row r="4248">
      <c r="A4248" t="inlineStr">
        <is>
          <t xml:space="preserve">ICICI Prudential Mutual Fund</t>
        </is>
      </c>
      <c r="B4248" t="inlineStr">
        <is>
          <t xml:space="preserve">ICICI Prudential Capital Protection Oriented Fund - Series VIII - 1103 Days Plan B Cumulative Option</t>
        </is>
      </c>
      <c r="C4248" t="inlineStr">
        <is>
          <t xml:space="preserve">INF109KB1AT1</t>
        </is>
      </c>
    </row>
    <row r="4249">
      <c r="A4249" t="inlineStr">
        <is>
          <t xml:space="preserve">ICICI Prudential Mutual Fund</t>
        </is>
      </c>
      <c r="B4249" t="inlineStr">
        <is>
          <t xml:space="preserve">ICICI Prudential Capital Protection Oriented Fund - Series VIII - 1103 Days Plan B Direct Plan Cumulative Option</t>
        </is>
      </c>
      <c r="C4249" t="inlineStr">
        <is>
          <t xml:space="preserve">INF109KB1AV7</t>
        </is>
      </c>
    </row>
    <row r="4250">
      <c r="A4250" t="inlineStr">
        <is>
          <t xml:space="preserve">ICICI Prudential Mutual Fund</t>
        </is>
      </c>
      <c r="B4250" t="inlineStr">
        <is>
          <t xml:space="preserve">ICICI Prudential Capital Protection Oriented Fund - Series VIII - 1103 Days Plan B Direct Plan Dividend Option</t>
        </is>
      </c>
      <c r="C4250" t="inlineStr">
        <is>
          <t xml:space="preserve">INF109KB1AW5</t>
        </is>
      </c>
    </row>
    <row r="4251">
      <c r="A4251" t="inlineStr">
        <is>
          <t xml:space="preserve">ICICI Prudential Mutual Fund</t>
        </is>
      </c>
      <c r="B4251" t="inlineStr">
        <is>
          <t xml:space="preserve">ICICI Prudential Capital Protection Oriented Fund - Series VIII - 1103 Days Plan B Dividend Option</t>
        </is>
      </c>
      <c r="C4251" t="inlineStr">
        <is>
          <t xml:space="preserve">INF109KB1AU9</t>
        </is>
      </c>
    </row>
    <row r="4252">
      <c r="A4252" t="inlineStr">
        <is>
          <t xml:space="preserve">ICICI Prudential Mutual Fund</t>
        </is>
      </c>
      <c r="B4252" t="inlineStr">
        <is>
          <t xml:space="preserve">ICICI Prudential Capital Protection Oriented Fund - Series VIII - 1103 Days Plan C Cumulative Option</t>
        </is>
      </c>
      <c r="C4252" t="inlineStr">
        <is>
          <t xml:space="preserve">INF109KB1DB3</t>
        </is>
      </c>
    </row>
    <row r="4253">
      <c r="A4253" t="inlineStr">
        <is>
          <t xml:space="preserve">ICICI Prudential Mutual Fund</t>
        </is>
      </c>
      <c r="B4253" t="inlineStr">
        <is>
          <t xml:space="preserve">ICICI Prudential Capital Protection Oriented Fund - Series VIII - 1103 Days Plan C Direct Plan Cumulative Option</t>
        </is>
      </c>
      <c r="C4253" t="inlineStr">
        <is>
          <t xml:space="preserve">INF109KB1DD9</t>
        </is>
      </c>
    </row>
    <row r="4254">
      <c r="A4254" t="inlineStr">
        <is>
          <t xml:space="preserve">ICICI Prudential Mutual Fund</t>
        </is>
      </c>
      <c r="B4254" t="inlineStr">
        <is>
          <t xml:space="preserve">ICICI Prudential Capital Protection Oriented Fund - Series VIII - 1103 Days Plan C Direct Plan Dividend Option</t>
        </is>
      </c>
      <c r="C4254" t="inlineStr">
        <is>
          <t xml:space="preserve">INF109KB1DE7</t>
        </is>
      </c>
    </row>
    <row r="4255">
      <c r="A4255" t="inlineStr">
        <is>
          <t xml:space="preserve">ICICI Prudential Mutual Fund</t>
        </is>
      </c>
      <c r="B4255" t="inlineStr">
        <is>
          <t xml:space="preserve">ICICI Prudential Capital Protection Oriented Fund - Series VIII - 1103 Days Plan C Dividend Option</t>
        </is>
      </c>
      <c r="C4255" t="inlineStr">
        <is>
          <t xml:space="preserve">INF109KB1DC1</t>
        </is>
      </c>
    </row>
    <row r="4256">
      <c r="A4256" t="inlineStr">
        <is>
          <t xml:space="preserve">ICICI Prudential Mutual Fund</t>
        </is>
      </c>
      <c r="B4256" t="inlineStr">
        <is>
          <t xml:space="preserve">ICICI Prudential Capital Protection Oriented Fund - Series VIII - 1115 Days Plan F Cumulative Option</t>
        </is>
      </c>
      <c r="C4256" t="inlineStr">
        <is>
          <t xml:space="preserve">INF109KB1IX6</t>
        </is>
      </c>
    </row>
    <row r="4257">
      <c r="A4257" t="inlineStr">
        <is>
          <t xml:space="preserve">ICICI Prudential Mutual Fund</t>
        </is>
      </c>
      <c r="B4257" t="inlineStr">
        <is>
          <t xml:space="preserve">ICICI Prudential Capital Protection Oriented Fund - Series VIII - 1115 Days Plan F Direct Plan Cumulative Option</t>
        </is>
      </c>
      <c r="C4257" t="inlineStr">
        <is>
          <t xml:space="preserve">INF109KB1IZ1</t>
        </is>
      </c>
    </row>
    <row r="4258">
      <c r="A4258" t="inlineStr">
        <is>
          <t xml:space="preserve">ICICI Prudential Mutual Fund</t>
        </is>
      </c>
      <c r="B4258" t="inlineStr">
        <is>
          <t xml:space="preserve">ICICI Prudential Capital Protection Oriented Fund - Series VIII - 1115 Days Plan F Direct Plan Dividend Option</t>
        </is>
      </c>
      <c r="C4258" t="inlineStr">
        <is>
          <t xml:space="preserve">INF109KB1JA2</t>
        </is>
      </c>
    </row>
    <row r="4259">
      <c r="A4259" t="inlineStr">
        <is>
          <t xml:space="preserve">ICICI Prudential Mutual Fund</t>
        </is>
      </c>
      <c r="B4259" t="inlineStr">
        <is>
          <t xml:space="preserve">ICICI Prudential Capital Protection Oriented Fund - Series VIII - 1115 Days Plan F Dividend Option</t>
        </is>
      </c>
      <c r="C4259" t="inlineStr">
        <is>
          <t xml:space="preserve">INF109KB1IY4</t>
        </is>
      </c>
    </row>
    <row r="4260">
      <c r="A4260" t="inlineStr">
        <is>
          <t xml:space="preserve">ICICI Prudential Mutual Fund</t>
        </is>
      </c>
      <c r="B4260" t="inlineStr">
        <is>
          <t xml:space="preserve">ICICI Prudential Capital Protection Oriented Fund - Series VIII - 1290 Days Plan I Cumulative Option</t>
        </is>
      </c>
      <c r="C4260" t="inlineStr">
        <is>
          <t xml:space="preserve">INF109KB1LL5</t>
        </is>
      </c>
    </row>
    <row r="4261">
      <c r="A4261" t="inlineStr">
        <is>
          <t xml:space="preserve">ICICI Prudential Mutual Fund</t>
        </is>
      </c>
      <c r="B4261" t="inlineStr">
        <is>
          <t xml:space="preserve">ICICI Prudential Capital Protection Oriented Fund - Series VIII - 1290 Days Plan I Direct Plan Cumulative Option</t>
        </is>
      </c>
      <c r="C4261" t="inlineStr">
        <is>
          <t xml:space="preserve">INF109KB1LN1</t>
        </is>
      </c>
    </row>
    <row r="4262">
      <c r="A4262" t="inlineStr">
        <is>
          <t xml:space="preserve">ICICI Prudential Mutual Fund</t>
        </is>
      </c>
      <c r="B4262" t="inlineStr">
        <is>
          <t xml:space="preserve">ICICI Prudential Capital Protection Oriented Fund - Series VIII - 1290 Days Plan I Direct Plan Dividend Option</t>
        </is>
      </c>
      <c r="C4262" t="inlineStr">
        <is>
          <t xml:space="preserve">INF109KB1LO9</t>
        </is>
      </c>
    </row>
    <row r="4263">
      <c r="A4263" t="inlineStr">
        <is>
          <t xml:space="preserve">ICICI Prudential Mutual Fund</t>
        </is>
      </c>
      <c r="B4263" t="inlineStr">
        <is>
          <t xml:space="preserve">ICICI Prudential Capital Protection Oriented Fund - Series VIII - 1290 Days Plan I Dividend Option</t>
        </is>
      </c>
      <c r="C4263" t="inlineStr">
        <is>
          <t xml:space="preserve">INF109KB1LM3</t>
        </is>
      </c>
    </row>
    <row r="4264">
      <c r="A4264" t="inlineStr">
        <is>
          <t xml:space="preserve">ICICI Prudential Mutual Fund</t>
        </is>
      </c>
      <c r="B4264" t="inlineStr">
        <is>
          <t xml:space="preserve">ICICI Prudential Capital Protection Oriented Fund - Series VIII - 1300 Days Plan A Cumulative Option</t>
        </is>
      </c>
      <c r="C4264" t="inlineStr">
        <is>
          <t xml:space="preserve">INF109KB1250</t>
        </is>
      </c>
    </row>
    <row r="4265">
      <c r="A4265" t="inlineStr">
        <is>
          <t xml:space="preserve">ICICI Prudential Mutual Fund</t>
        </is>
      </c>
      <c r="B4265" t="inlineStr">
        <is>
          <t xml:space="preserve">ICICI Prudential Capital Protection Oriented Fund - Series VIII - 1300 Days Plan A Direct Plan Cumulative Option</t>
        </is>
      </c>
      <c r="C4265" t="inlineStr">
        <is>
          <t xml:space="preserve">INF109KB1276</t>
        </is>
      </c>
    </row>
    <row r="4266">
      <c r="A4266" t="inlineStr">
        <is>
          <t xml:space="preserve">ICICI Prudential Mutual Fund</t>
        </is>
      </c>
      <c r="B4266" t="inlineStr">
        <is>
          <t xml:space="preserve">ICICI Prudential Capital Protection Oriented Fund - Series VIII - 1300 Days Plan A Dividend Option</t>
        </is>
      </c>
      <c r="C4266" t="inlineStr">
        <is>
          <t xml:space="preserve">INF109KB1268</t>
        </is>
      </c>
    </row>
    <row r="4267">
      <c r="A4267" t="inlineStr">
        <is>
          <t xml:space="preserve">ICICI Prudential Mutual Fund</t>
        </is>
      </c>
      <c r="B4267" t="inlineStr">
        <is>
          <t xml:space="preserve">ICICI Prudential Capital Protection Oriented Fund - Series VIII -1101 Days Plan D Cumulative Option</t>
        </is>
      </c>
      <c r="C4267" t="inlineStr">
        <is>
          <t xml:space="preserve">INF109KB1GZ5</t>
        </is>
      </c>
    </row>
    <row r="4268">
      <c r="A4268" t="inlineStr">
        <is>
          <t xml:space="preserve">ICICI Prudential Mutual Fund</t>
        </is>
      </c>
      <c r="B4268" t="inlineStr">
        <is>
          <t xml:space="preserve">ICICI Prudential Capital Protection Oriented Fund - Series VIII -1101 Days Plan D Direct Plan Cumulative Option</t>
        </is>
      </c>
      <c r="C4268" t="inlineStr">
        <is>
          <t xml:space="preserve">INF109KB1GX0</t>
        </is>
      </c>
    </row>
    <row r="4269">
      <c r="A4269" t="inlineStr">
        <is>
          <t xml:space="preserve">ICICI Prudential Mutual Fund</t>
        </is>
      </c>
      <c r="B4269" t="inlineStr">
        <is>
          <t xml:space="preserve">ICICI Prudential Capital Protection Oriented Fund - Series VIII -1101 Days Plan D Direct Plan Dividend Option</t>
        </is>
      </c>
      <c r="C4269" t="inlineStr">
        <is>
          <t xml:space="preserve">INF109KB1GY8</t>
        </is>
      </c>
    </row>
    <row r="4270">
      <c r="A4270" t="inlineStr">
        <is>
          <t xml:space="preserve">ICICI Prudential Mutual Fund</t>
        </is>
      </c>
      <c r="B4270" t="inlineStr">
        <is>
          <t xml:space="preserve">ICICI Prudential Capital Protection Oriented Fund - Series VIII -1101 Days Plan D Dividend Option</t>
        </is>
      </c>
      <c r="C4270" t="inlineStr">
        <is>
          <t xml:space="preserve">INF109KB1HA6</t>
        </is>
      </c>
    </row>
    <row r="4271">
      <c r="A4271" t="inlineStr">
        <is>
          <t xml:space="preserve">ICICI Prudential Mutual Fund</t>
        </is>
      </c>
      <c r="B4271" t="inlineStr">
        <is>
          <t xml:space="preserve">ICICI Prudential Capital Protection Oriented Fund - Series VIII -1105 Days Plan H Cumulative Option</t>
        </is>
      </c>
      <c r="C4271" t="inlineStr">
        <is>
          <t xml:space="preserve">INF109KB1KZ7</t>
        </is>
      </c>
    </row>
    <row r="4272">
      <c r="A4272" t="inlineStr">
        <is>
          <t xml:space="preserve">ICICI Prudential Mutual Fund</t>
        </is>
      </c>
      <c r="B4272" t="inlineStr">
        <is>
          <t xml:space="preserve">ICICI Prudential Capital Protection Oriented Fund - Series VIII -1105 Days Plan H Direct Plan Cumulative Option</t>
        </is>
      </c>
      <c r="C4272" t="inlineStr">
        <is>
          <t xml:space="preserve">INF109KB1LB6</t>
        </is>
      </c>
    </row>
    <row r="4273">
      <c r="A4273" t="inlineStr">
        <is>
          <t xml:space="preserve">ICICI Prudential Mutual Fund</t>
        </is>
      </c>
      <c r="B4273" t="inlineStr">
        <is>
          <t xml:space="preserve">ICICI Prudential Capital Protection Oriented Fund - Series VIII -1105 Days Plan H Direct Plan Dividend Option</t>
        </is>
      </c>
      <c r="C4273" t="inlineStr">
        <is>
          <t xml:space="preserve">INF109KB1LC4</t>
        </is>
      </c>
    </row>
    <row r="4274">
      <c r="A4274" t="inlineStr">
        <is>
          <t xml:space="preserve">ICICI Prudential Mutual Fund</t>
        </is>
      </c>
      <c r="B4274" t="inlineStr">
        <is>
          <t xml:space="preserve">ICICI Prudential Capital Protection Oriented Fund - Series VIII -1105 Days Plan H Dividend Option</t>
        </is>
      </c>
      <c r="C4274" t="inlineStr">
        <is>
          <t xml:space="preserve">INF109KB1LA8</t>
        </is>
      </c>
    </row>
    <row r="4275">
      <c r="A4275" t="inlineStr">
        <is>
          <t xml:space="preserve">ICICI Prudential Mutual Fund</t>
        </is>
      </c>
      <c r="B4275" t="inlineStr">
        <is>
          <t xml:space="preserve">ICICI Prudential Capital Protection Oriented Fund - Series VIII -1107 Days Plan E Cumulative Option</t>
        </is>
      </c>
      <c r="C4275" t="inlineStr">
        <is>
          <t xml:space="preserve">INF109KB1HZ3</t>
        </is>
      </c>
    </row>
    <row r="4276">
      <c r="A4276" t="inlineStr">
        <is>
          <t xml:space="preserve">ICICI Prudential Mutual Fund</t>
        </is>
      </c>
      <c r="B4276" t="inlineStr">
        <is>
          <t xml:space="preserve">ICICI Prudential Capital Protection Oriented Fund - Series VIII -1107 Days Plan E Direct Plan Cumulative Option</t>
        </is>
      </c>
      <c r="C4276" t="inlineStr">
        <is>
          <t xml:space="preserve">INF109KB1IB2</t>
        </is>
      </c>
    </row>
    <row r="4277">
      <c r="A4277" t="inlineStr">
        <is>
          <t xml:space="preserve">ICICI Prudential Mutual Fund</t>
        </is>
      </c>
      <c r="B4277" t="inlineStr">
        <is>
          <t xml:space="preserve">ICICI Prudential Capital Protection Oriented Fund - Series VIII -1107 Days Plan E Direct Plan Dividend Option</t>
        </is>
      </c>
      <c r="C4277" t="inlineStr">
        <is>
          <t xml:space="preserve">INF109KB1IC0</t>
        </is>
      </c>
    </row>
    <row r="4278">
      <c r="A4278" t="inlineStr">
        <is>
          <t xml:space="preserve">ICICI Prudential Mutual Fund</t>
        </is>
      </c>
      <c r="B4278" t="inlineStr">
        <is>
          <t xml:space="preserve">ICICI Prudential Capital Protection Oriented Fund - Series VIII -1107 Days Plan E Dividend Option</t>
        </is>
      </c>
      <c r="C4278" t="inlineStr">
        <is>
          <t xml:space="preserve">INF109KB1IA4</t>
        </is>
      </c>
    </row>
    <row r="4279">
      <c r="A4279" t="inlineStr">
        <is>
          <t xml:space="preserve">ICICI Prudential Mutual Fund</t>
        </is>
      </c>
      <c r="B4279" t="inlineStr">
        <is>
          <t xml:space="preserve">ICICI Prudential Capital Protection Oriented Fund - Series VIII -1284 Days Plan J Cumulative Option</t>
        </is>
      </c>
      <c r="C4279" t="inlineStr">
        <is>
          <t xml:space="preserve">INF109KB1LR2</t>
        </is>
      </c>
    </row>
    <row r="4280">
      <c r="A4280" t="inlineStr">
        <is>
          <t xml:space="preserve">ICICI Prudential Mutual Fund</t>
        </is>
      </c>
      <c r="B4280" t="inlineStr">
        <is>
          <t xml:space="preserve">ICICI Prudential Capital Protection Oriented Fund - Series VIII -1284 Days Plan J Direct Plan Cumulative Option</t>
        </is>
      </c>
      <c r="C4280" t="inlineStr">
        <is>
          <t xml:space="preserve">INF109KB1LT8</t>
        </is>
      </c>
    </row>
    <row r="4281">
      <c r="A4281" t="inlineStr">
        <is>
          <t xml:space="preserve">ICICI Prudential Mutual Fund</t>
        </is>
      </c>
      <c r="B4281" t="inlineStr">
        <is>
          <t xml:space="preserve">ICICI Prudential Capital Protection Oriented Fund - Series VIII -1284 Days Plan J Direct Plan Dividend Option</t>
        </is>
      </c>
      <c r="C4281" t="inlineStr">
        <is>
          <t xml:space="preserve">INF109KB1LU6</t>
        </is>
      </c>
    </row>
    <row r="4282">
      <c r="A4282" t="inlineStr">
        <is>
          <t xml:space="preserve">ICICI Prudential Mutual Fund</t>
        </is>
      </c>
      <c r="B4282" t="inlineStr">
        <is>
          <t xml:space="preserve">ICICI Prudential Capital Protection Oriented Fund - Series VIII -1284 Days Plan J Dividend Option</t>
        </is>
      </c>
      <c r="C4282" t="inlineStr">
        <is>
          <t xml:space="preserve">INF109KB1LS0</t>
        </is>
      </c>
    </row>
    <row r="4283">
      <c r="A4283" t="inlineStr">
        <is>
          <t xml:space="preserve">ICICI Prudential Mutual Fund</t>
        </is>
      </c>
      <c r="B4283" t="inlineStr">
        <is>
          <t xml:space="preserve">ICICI Prudential Capital Protection Oriented Fund - Series X - 1235 Days Plan A Cumulative Option</t>
        </is>
      </c>
      <c r="C4283" t="inlineStr">
        <is>
          <t xml:space="preserve">INF109KB1VP5</t>
        </is>
      </c>
    </row>
    <row r="4284">
      <c r="A4284" t="inlineStr">
        <is>
          <t xml:space="preserve">ICICI Prudential Mutual Fund</t>
        </is>
      </c>
      <c r="B4284" t="inlineStr">
        <is>
          <t xml:space="preserve">ICICI Prudential Capital Protection Oriented Fund - Series X - 1235 Days Plan A Direct Plan Cumulative Option</t>
        </is>
      </c>
      <c r="C4284" t="inlineStr">
        <is>
          <t xml:space="preserve">INF109KB1VR1</t>
        </is>
      </c>
    </row>
    <row r="4285">
      <c r="A4285" t="inlineStr">
        <is>
          <t xml:space="preserve">ICICI Prudential Mutual Fund</t>
        </is>
      </c>
      <c r="B4285" t="inlineStr">
        <is>
          <t xml:space="preserve">ICICI Prudential Capital Protection Oriented Fund - Series X - 1235 Days Plan A Direct Plan Dividend Option</t>
        </is>
      </c>
      <c r="C4285" t="inlineStr">
        <is>
          <t xml:space="preserve">INF109KB1VS9</t>
        </is>
      </c>
    </row>
    <row r="4286">
      <c r="A4286" t="inlineStr">
        <is>
          <t xml:space="preserve">ICICI Prudential Mutual Fund</t>
        </is>
      </c>
      <c r="B4286" t="inlineStr">
        <is>
          <t xml:space="preserve">ICICI Prudential Capital Protection Oriented Fund - Series X - 1235 Days Plan A Dividend Option</t>
        </is>
      </c>
      <c r="C4286" t="inlineStr">
        <is>
          <t xml:space="preserve">INF109KB1VQ3</t>
        </is>
      </c>
    </row>
    <row r="4287">
      <c r="A4287" t="inlineStr">
        <is>
          <t xml:space="preserve">ICICI Prudential Mutual Fund</t>
        </is>
      </c>
      <c r="B4287" t="inlineStr">
        <is>
          <t xml:space="preserve">ICICI Prudential Capital Protection Oriented Fund - Series X - 1375 Days Plan B Cumulative Plan</t>
        </is>
      </c>
      <c r="C4287" t="inlineStr">
        <is>
          <t xml:space="preserve">INF109KB1WZ2</t>
        </is>
      </c>
    </row>
    <row r="4288">
      <c r="A4288" t="inlineStr">
        <is>
          <t xml:space="preserve">ICICI Prudential Mutual Fund</t>
        </is>
      </c>
      <c r="B4288" t="inlineStr">
        <is>
          <t xml:space="preserve">ICICI Prudential Capital Protection Oriented Fund - Series X - 1375 Days Plan B Direct Plan Cumulative Plan</t>
        </is>
      </c>
      <c r="C4288" t="inlineStr">
        <is>
          <t xml:space="preserve">INF109KB1XB1</t>
        </is>
      </c>
    </row>
    <row r="4289">
      <c r="A4289" t="inlineStr">
        <is>
          <t xml:space="preserve">ICICI Prudential Mutual Fund</t>
        </is>
      </c>
      <c r="B4289" t="inlineStr">
        <is>
          <t xml:space="preserve">ICICI Prudential Capital Protection Oriented Fund - Series X - 1375 Days Plan B Direct Plan Dividend Option</t>
        </is>
      </c>
      <c r="C4289" t="inlineStr">
        <is>
          <t xml:space="preserve">INF109KB1XC9</t>
        </is>
      </c>
    </row>
    <row r="4290">
      <c r="A4290" t="inlineStr">
        <is>
          <t xml:space="preserve">ICICI Prudential Mutual Fund</t>
        </is>
      </c>
      <c r="B4290" t="inlineStr">
        <is>
          <t xml:space="preserve">ICICI Prudential Capital Protection Oriented Fund - Series X - 1375 Days Plan B Dividend Plan</t>
        </is>
      </c>
      <c r="C4290" t="inlineStr">
        <is>
          <t xml:space="preserve">INF109KB1XA3</t>
        </is>
      </c>
    </row>
    <row r="4291">
      <c r="A4291" t="inlineStr">
        <is>
          <t xml:space="preserve">ICICI Prudential Mutual Fund</t>
        </is>
      </c>
      <c r="B4291" t="inlineStr">
        <is>
          <t xml:space="preserve">ICICI Prudential Capital Protection Oriented Fund - Series XI - Plan A 2056 Days - Cumulative Option</t>
        </is>
      </c>
      <c r="C4291" t="inlineStr">
        <is>
          <t xml:space="preserve">INF109KB1K88</t>
        </is>
      </c>
    </row>
    <row r="4292">
      <c r="A4292" t="inlineStr">
        <is>
          <t xml:space="preserve">ICICI Prudential Mutual Fund</t>
        </is>
      </c>
      <c r="B4292" t="inlineStr">
        <is>
          <t xml:space="preserve">ICICI Prudential Capital Protection Oriented Fund - Series XI - Plan A 2056 Days - Direct Plan - Cumulative Option</t>
        </is>
      </c>
      <c r="C4292" t="inlineStr">
        <is>
          <t xml:space="preserve">INF109KB1L04</t>
        </is>
      </c>
    </row>
    <row r="4293">
      <c r="A4293" t="inlineStr">
        <is>
          <t xml:space="preserve">ICICI Prudential Mutual Fund</t>
        </is>
      </c>
      <c r="B4293" t="inlineStr">
        <is>
          <t xml:space="preserve">ICICI Prudential Capital Protection Oriented Fund - Series XI - Plan A 2056 Days - Direct Plan - IDCW Option</t>
        </is>
      </c>
      <c r="C4293" t="inlineStr">
        <is>
          <t xml:space="preserve">INF109KB1L12</t>
        </is>
      </c>
    </row>
    <row r="4294">
      <c r="A4294" t="inlineStr">
        <is>
          <t xml:space="preserve">ICICI Prudential Mutual Fund</t>
        </is>
      </c>
      <c r="B4294" t="inlineStr">
        <is>
          <t xml:space="preserve">ICICI Prudential Capital Protection Oriented Fund - Series XI - Plan A 2056 Days - IDCW Option</t>
        </is>
      </c>
      <c r="C4294" t="inlineStr">
        <is>
          <t xml:space="preserve">INF109KB1K96</t>
        </is>
      </c>
    </row>
    <row r="4295">
      <c r="A4295" t="inlineStr">
        <is>
          <t xml:space="preserve">ICICI Prudential Mutual Fund</t>
        </is>
      </c>
      <c r="B4295" t="inlineStr">
        <is>
          <t xml:space="preserve">ICICI Prudential Capital Protection Oriented Fund - Series XI - Plan B 1222 Days - Cumulative Option</t>
        </is>
      </c>
      <c r="C4295" t="inlineStr">
        <is>
          <t xml:space="preserve">INF109KB1L46</t>
        </is>
      </c>
    </row>
    <row r="4296">
      <c r="A4296" t="inlineStr">
        <is>
          <t xml:space="preserve">ICICI Prudential Mutual Fund</t>
        </is>
      </c>
      <c r="B4296" t="inlineStr">
        <is>
          <t xml:space="preserve">ICICI Prudential Capital Protection Oriented Fund - Series XI - Plan B 1222 Days - Direct Plan - Cumulative Option</t>
        </is>
      </c>
      <c r="C4296" t="inlineStr">
        <is>
          <t xml:space="preserve">INF109KB1L61</t>
        </is>
      </c>
    </row>
    <row r="4297">
      <c r="A4297" t="inlineStr">
        <is>
          <t xml:space="preserve">ICICI Prudential Mutual Fund</t>
        </is>
      </c>
      <c r="B4297" t="inlineStr">
        <is>
          <t xml:space="preserve">ICICI Prudential Capital Protection Oriented Fund - Series XI - Plan B 1222 Days - Direct Plan - Dividend Option</t>
        </is>
      </c>
      <c r="C4297" t="inlineStr">
        <is>
          <t xml:space="preserve">INF109KB1L79</t>
        </is>
      </c>
    </row>
    <row r="4298">
      <c r="A4298" t="inlineStr">
        <is>
          <t xml:space="preserve">ICICI Prudential Mutual Fund</t>
        </is>
      </c>
      <c r="B4298" t="inlineStr">
        <is>
          <t xml:space="preserve">ICICI Prudential Capital Protection Oriented Fund - Series XI - Plan B 1222 Days - Dividend Option</t>
        </is>
      </c>
      <c r="C4298" t="inlineStr">
        <is>
          <t xml:space="preserve">INF109KB1L53</t>
        </is>
      </c>
    </row>
    <row r="4299">
      <c r="A4299" t="inlineStr">
        <is>
          <t xml:space="preserve">ICICI Prudential Mutual Fund</t>
        </is>
      </c>
      <c r="B4299" t="inlineStr">
        <is>
          <t xml:space="preserve">ICICI Prudential Capital Protection Oriented Fund - Series XI - Plan C 1255 Days - Cumulative Option</t>
        </is>
      </c>
      <c r="C4299" t="inlineStr">
        <is>
          <t xml:space="preserve">INF109KB1Q25</t>
        </is>
      </c>
    </row>
    <row r="4300">
      <c r="A4300" t="inlineStr">
        <is>
          <t xml:space="preserve">ICICI Prudential Mutual Fund</t>
        </is>
      </c>
      <c r="B4300" t="inlineStr">
        <is>
          <t xml:space="preserve">ICICI Prudential Capital Protection Oriented Fund - Series XI - Plan C 1255 Days - Direct Plan - Cumulative Option</t>
        </is>
      </c>
      <c r="C4300" t="inlineStr">
        <is>
          <t xml:space="preserve">INF109KB1Q41</t>
        </is>
      </c>
    </row>
    <row r="4301">
      <c r="A4301" t="inlineStr">
        <is>
          <t xml:space="preserve">ICICI Prudential Mutual Fund</t>
        </is>
      </c>
      <c r="B4301" t="inlineStr">
        <is>
          <t xml:space="preserve">ICICI Prudential Capital Protection Oriented Fund - Series XI - Plan C 1255 Days - Direct Plan - Dividend Option</t>
        </is>
      </c>
      <c r="C4301" t="inlineStr">
        <is>
          <t xml:space="preserve">INF109KB1Q58</t>
        </is>
      </c>
    </row>
    <row r="4302">
      <c r="A4302" t="inlineStr">
        <is>
          <t xml:space="preserve">ICICI Prudential Mutual Fund</t>
        </is>
      </c>
      <c r="B4302" t="inlineStr">
        <is>
          <t xml:space="preserve">ICICI Prudential Capital Protection Oriented Fund - Series XI - Plan C 1255 Days - Dividend Option</t>
        </is>
      </c>
      <c r="C4302" t="inlineStr">
        <is>
          <t xml:space="preserve">INF109KB1Q33</t>
        </is>
      </c>
    </row>
    <row r="4303">
      <c r="A4303" t="inlineStr">
        <is>
          <t xml:space="preserve">ICICI Prudential Mutual Fund</t>
        </is>
      </c>
      <c r="B4303" t="inlineStr">
        <is>
          <t xml:space="preserve">ICICI Prudential Capital Protection Oriented Fund - Series XI - Plan D 1247 Days - Cumulative Option</t>
        </is>
      </c>
      <c r="C4303" t="inlineStr">
        <is>
          <t xml:space="preserve">INF109KB1R08</t>
        </is>
      </c>
    </row>
    <row r="4304">
      <c r="A4304" t="inlineStr">
        <is>
          <t xml:space="preserve">ICICI Prudential Mutual Fund</t>
        </is>
      </c>
      <c r="B4304" t="inlineStr">
        <is>
          <t xml:space="preserve">ICICI Prudential Capital Protection Oriented Fund - Series XI - Plan D 1247 Days - Direct Plan -  Cumulative Option</t>
        </is>
      </c>
      <c r="C4304" t="inlineStr">
        <is>
          <t xml:space="preserve">INF109KB1R24</t>
        </is>
      </c>
    </row>
    <row r="4305">
      <c r="A4305" t="inlineStr">
        <is>
          <t xml:space="preserve">ICICI Prudential Mutual Fund</t>
        </is>
      </c>
      <c r="B4305" t="inlineStr">
        <is>
          <t xml:space="preserve">ICICI Prudential Capital Protection Oriented Fund - Series XI - Plan D 1247 Days - Direct Plan -  Dividend Option</t>
        </is>
      </c>
      <c r="C4305" t="inlineStr">
        <is>
          <t xml:space="preserve">INF109KB1R32</t>
        </is>
      </c>
    </row>
    <row r="4306">
      <c r="A4306" t="inlineStr">
        <is>
          <t xml:space="preserve">ICICI Prudential Mutual Fund</t>
        </is>
      </c>
      <c r="B4306" t="inlineStr">
        <is>
          <t xml:space="preserve">ICICI Prudential Capital Protection Oriented Fund - Series XI - Plan D 1247 Days - Dividend Option</t>
        </is>
      </c>
      <c r="C4306" t="inlineStr">
        <is>
          <t xml:space="preserve">INF109KB1R16</t>
        </is>
      </c>
    </row>
    <row r="4307">
      <c r="A4307" t="inlineStr">
        <is>
          <t xml:space="preserve">ICICI Prudential Mutual Fund</t>
        </is>
      </c>
      <c r="B4307" t="inlineStr">
        <is>
          <t xml:space="preserve">ICICI Prudential Capital Protection Oriented Fund - Series XI - Plan E 1222 Days - Cumulative Option</t>
        </is>
      </c>
      <c r="C4307" t="inlineStr">
        <is>
          <t xml:space="preserve">INF109KB1W27</t>
        </is>
      </c>
    </row>
    <row r="4308">
      <c r="A4308" t="inlineStr">
        <is>
          <t xml:space="preserve">ICICI Prudential Mutual Fund</t>
        </is>
      </c>
      <c r="B4308" t="inlineStr">
        <is>
          <t xml:space="preserve">ICICI Prudential Capital Protection Oriented Fund - Series XI - Plan E 1222 Days - Direct Plan -  Cumulative Option</t>
        </is>
      </c>
      <c r="C4308" t="inlineStr">
        <is>
          <t xml:space="preserve">INF109KB1W43</t>
        </is>
      </c>
    </row>
    <row r="4309">
      <c r="A4309" t="inlineStr">
        <is>
          <t xml:space="preserve">ICICI Prudential Mutual Fund</t>
        </is>
      </c>
      <c r="B4309" t="inlineStr">
        <is>
          <t xml:space="preserve">ICICI Prudential Capital Protection Oriented Fund - Series XI - Plan E 1222 Days - Direct Plan -  Dividend Option</t>
        </is>
      </c>
      <c r="C4309" t="inlineStr">
        <is>
          <t xml:space="preserve">INF109KB1W50</t>
        </is>
      </c>
    </row>
    <row r="4310">
      <c r="A4310" t="inlineStr">
        <is>
          <t xml:space="preserve">ICICI Prudential Mutual Fund</t>
        </is>
      </c>
      <c r="B4310" t="inlineStr">
        <is>
          <t xml:space="preserve">ICICI Prudential Capital Protection Oriented Fund - Series XI - Plan E 1222 Days - Dividend Option</t>
        </is>
      </c>
      <c r="C4310" t="inlineStr">
        <is>
          <t xml:space="preserve">INF109KB1W35</t>
        </is>
      </c>
    </row>
    <row r="4311">
      <c r="A4311" t="inlineStr">
        <is>
          <t xml:space="preserve">ICICI Prudential Mutual Fund</t>
        </is>
      </c>
      <c r="B4311" t="inlineStr">
        <is>
          <t xml:space="preserve">ICICI Prudential Capital Protection Oriented Fund - Series XII - Plan A 1168 Days - Cumulative Option</t>
        </is>
      </c>
      <c r="C4311" t="inlineStr">
        <is>
          <t xml:space="preserve">INF109KB12H9</t>
        </is>
      </c>
    </row>
    <row r="4312">
      <c r="A4312" t="inlineStr">
        <is>
          <t xml:space="preserve">ICICI Prudential Mutual Fund</t>
        </is>
      </c>
      <c r="B4312" t="inlineStr">
        <is>
          <t xml:space="preserve">ICICI Prudential Capital Protection Oriented Fund - Series XII - Plan A 1168 Days - Direct Plan - Cumulative Option</t>
        </is>
      </c>
      <c r="C4312" t="inlineStr">
        <is>
          <t xml:space="preserve">INF109KB14H5</t>
        </is>
      </c>
    </row>
    <row r="4313">
      <c r="A4313" t="inlineStr">
        <is>
          <t xml:space="preserve">ICICI Prudential Mutual Fund</t>
        </is>
      </c>
      <c r="B4313" t="inlineStr">
        <is>
          <t xml:space="preserve">ICICI Prudential Capital Protection Oriented Fund - Series XII - Plan A 1168 Days - Direct Plan - Dividend Option</t>
        </is>
      </c>
      <c r="C4313" t="inlineStr">
        <is>
          <t xml:space="preserve">INF109KB15H2</t>
        </is>
      </c>
    </row>
    <row r="4314">
      <c r="A4314" t="inlineStr">
        <is>
          <t xml:space="preserve">ICICI Prudential Mutual Fund</t>
        </is>
      </c>
      <c r="B4314" t="inlineStr">
        <is>
          <t xml:space="preserve">ICICI Prudential Capital Protection Oriented Fund - Series XII - Plan A 1168 Days - Dividend Option</t>
        </is>
      </c>
      <c r="C4314" t="inlineStr">
        <is>
          <t xml:space="preserve">INF109KB13H7</t>
        </is>
      </c>
    </row>
    <row r="4315">
      <c r="A4315" t="inlineStr">
        <is>
          <t xml:space="preserve">ICICI Prudential Mutual Fund</t>
        </is>
      </c>
      <c r="B4315" t="inlineStr">
        <is>
          <t xml:space="preserve">ICICI Prudential Capital Protection Oriented Fund - Series XII - Plan C 1270 Days - Cumulative Option</t>
        </is>
      </c>
      <c r="C4315" t="inlineStr">
        <is>
          <t xml:space="preserve">INF109KB15X9</t>
        </is>
      </c>
    </row>
    <row r="4316">
      <c r="A4316" t="inlineStr">
        <is>
          <t xml:space="preserve">ICICI Prudential Mutual Fund</t>
        </is>
      </c>
      <c r="B4316" t="inlineStr">
        <is>
          <t xml:space="preserve">ICICI Prudential Capital Protection Oriented Fund - Series XII - Plan C 1270 Days - Direct Plan - Cumulative Option</t>
        </is>
      </c>
      <c r="C4316" t="inlineStr">
        <is>
          <t xml:space="preserve">INF109KB13X4</t>
        </is>
      </c>
    </row>
    <row r="4317">
      <c r="A4317" t="inlineStr">
        <is>
          <t xml:space="preserve">ICICI Prudential Mutual Fund</t>
        </is>
      </c>
      <c r="B4317" t="inlineStr">
        <is>
          <t xml:space="preserve">ICICI Prudential Capital Protection Oriented Fund - Series XII - Plan C 1270 Days - Direct Plan - IDCW Option</t>
        </is>
      </c>
      <c r="C4317" t="inlineStr">
        <is>
          <t xml:space="preserve">INF109KB14X2</t>
        </is>
      </c>
    </row>
    <row r="4318">
      <c r="A4318" t="inlineStr">
        <is>
          <t xml:space="preserve">ICICI Prudential Mutual Fund</t>
        </is>
      </c>
      <c r="B4318" t="inlineStr">
        <is>
          <t xml:space="preserve">ICICI Prudential Capital Protection Oriented Fund - Series XII - Plan C 1270 Days - IDCW OPtion</t>
        </is>
      </c>
      <c r="C4318" t="inlineStr">
        <is>
          <t xml:space="preserve">INF109KB16X7</t>
        </is>
      </c>
    </row>
    <row r="4319">
      <c r="A4319" t="inlineStr">
        <is>
          <t xml:space="preserve">ICICI Prudential Mutual Fund</t>
        </is>
      </c>
      <c r="B4319" t="inlineStr">
        <is>
          <t xml:space="preserve">ICICI Prudential Capital Protection Oriented Fund - Series XIV - Plan A 1275 Days - Cumulative Option</t>
        </is>
      </c>
      <c r="C4319" t="inlineStr">
        <is>
          <t xml:space="preserve">INF109KC1PC4</t>
        </is>
      </c>
    </row>
    <row r="4320">
      <c r="A4320" t="inlineStr">
        <is>
          <t xml:space="preserve">ICICI Prudential Mutual Fund</t>
        </is>
      </c>
      <c r="B4320" t="inlineStr">
        <is>
          <t xml:space="preserve">ICICI Prudential Capital Protection Oriented Fund - Series XIV - Plan A 1275 Days - Direct Plan - Cumulative Option</t>
        </is>
      </c>
      <c r="C4320" t="inlineStr">
        <is>
          <t xml:space="preserve">INF109KC1PE0</t>
        </is>
      </c>
    </row>
    <row r="4321">
      <c r="A4321" t="inlineStr">
        <is>
          <t xml:space="preserve">ICICI Prudential Mutual Fund</t>
        </is>
      </c>
      <c r="B4321" t="inlineStr">
        <is>
          <t xml:space="preserve">ICICI Prudential Capital Protection Oriented Fund - Series XIV - Plan A 1275 Days - Direct Plan - IDCW Option</t>
        </is>
      </c>
      <c r="C4321" t="inlineStr">
        <is>
          <t xml:space="preserve">INF109KC1PF7</t>
        </is>
      </c>
    </row>
    <row r="4322">
      <c r="A4322" t="inlineStr">
        <is>
          <t xml:space="preserve">ICICI Prudential Mutual Fund</t>
        </is>
      </c>
      <c r="B4322" t="inlineStr">
        <is>
          <t xml:space="preserve">ICICI Prudential Capital Protection Oriented Fund - Series XIV - Plan A 1275 Days - IDCW Option</t>
        </is>
      </c>
      <c r="C4322" t="inlineStr">
        <is>
          <t xml:space="preserve">INF109KC1PD2</t>
        </is>
      </c>
    </row>
    <row r="4323">
      <c r="A4323" t="inlineStr">
        <is>
          <t xml:space="preserve">ICICI Prudential Mutual Fund</t>
        </is>
      </c>
      <c r="B4323" t="inlineStr">
        <is>
          <t xml:space="preserve">ICICI Prudential Capital Protection Oriented Fund II - Series IX - 36 Months - Cumulative</t>
        </is>
      </c>
      <c r="C4323" t="inlineStr">
        <is>
          <t xml:space="preserve">INF109K01C78</t>
        </is>
      </c>
    </row>
    <row r="4324">
      <c r="A4324" t="inlineStr">
        <is>
          <t xml:space="preserve">ICICI Prudential Mutual Fund</t>
        </is>
      </c>
      <c r="B4324" t="inlineStr">
        <is>
          <t xml:space="preserve">ICICI Prudential Capital Protection Oriented Fund II - Series IX - 36 Months - Dividend</t>
        </is>
      </c>
      <c r="C4324" t="inlineStr">
        <is>
          <t xml:space="preserve">INF109K01C86</t>
        </is>
      </c>
    </row>
    <row r="4325">
      <c r="A4325" t="inlineStr">
        <is>
          <t xml:space="preserve">ICICI Prudential Mutual Fund</t>
        </is>
      </c>
      <c r="B4325" t="inlineStr">
        <is>
          <t xml:space="preserve">ICICI Prudential Capital Protection Oriented Fund II - Series X - 36 Months - Cumulative</t>
        </is>
      </c>
      <c r="C4325" t="inlineStr">
        <is>
          <t xml:space="preserve">INF109K01D77</t>
        </is>
      </c>
    </row>
    <row r="4326">
      <c r="A4326" t="inlineStr">
        <is>
          <t xml:space="preserve">ICICI Prudential Mutual Fund</t>
        </is>
      </c>
      <c r="B4326" t="inlineStr">
        <is>
          <t xml:space="preserve">ICICI Prudential Capital Protection Oriented Fund II - Series X - 36 Months - Dividend</t>
        </is>
      </c>
      <c r="C4326" t="inlineStr">
        <is>
          <t xml:space="preserve">INF109K01D85</t>
        </is>
      </c>
    </row>
    <row r="4327">
      <c r="A4327" t="inlineStr">
        <is>
          <t xml:space="preserve">ICICI Prudential Mutual Fund</t>
        </is>
      </c>
      <c r="B4327" t="inlineStr">
        <is>
          <t xml:space="preserve">ICICI Prudential Capital Protection Oriented Fund III - PLAN A - 36 Months - Cumulative</t>
        </is>
      </c>
      <c r="C4327" t="inlineStr">
        <is>
          <t xml:space="preserve">INF109K01G66</t>
        </is>
      </c>
    </row>
    <row r="4328">
      <c r="A4328" t="inlineStr">
        <is>
          <t xml:space="preserve">ICICI Prudential Mutual Fund</t>
        </is>
      </c>
      <c r="B4328" t="inlineStr">
        <is>
          <t xml:space="preserve">ICICI Prudential Capital Protection Oriented Fund III - PLAN A - 36 Months - Dividend</t>
        </is>
      </c>
      <c r="C4328" t="inlineStr">
        <is>
          <t xml:space="preserve">INF109K01G74</t>
        </is>
      </c>
    </row>
    <row r="4329">
      <c r="A4329" t="inlineStr">
        <is>
          <t xml:space="preserve">ICICI Prudential Mutual Fund</t>
        </is>
      </c>
      <c r="B4329" t="inlineStr">
        <is>
          <t xml:space="preserve">ICICI Prudential Capital Protection Oriented Fund III - PLAN B - 60 Months - Cumulative</t>
        </is>
      </c>
      <c r="C4329" t="inlineStr">
        <is>
          <t xml:space="preserve">INF109K01G41</t>
        </is>
      </c>
    </row>
    <row r="4330">
      <c r="A4330" t="inlineStr">
        <is>
          <t xml:space="preserve">ICICI Prudential Mutual Fund</t>
        </is>
      </c>
      <c r="B4330" t="inlineStr">
        <is>
          <t xml:space="preserve">ICICI Prudential Capital Protection Oriented Fund III - PLAN B - 60 Months - Dividend</t>
        </is>
      </c>
      <c r="C4330" t="inlineStr">
        <is>
          <t xml:space="preserve">INF109K01G58</t>
        </is>
      </c>
    </row>
    <row r="4331">
      <c r="A4331" t="inlineStr">
        <is>
          <t xml:space="preserve">ICICI Prudential Mutual Fund</t>
        </is>
      </c>
      <c r="B4331" t="inlineStr">
        <is>
          <t xml:space="preserve">ICICI Prudential Capital Protection Oriented Fund III - PLAN C - 36 Months - Cumulative</t>
        </is>
      </c>
      <c r="C4331" t="inlineStr">
        <is>
          <t xml:space="preserve">INF109K01H24</t>
        </is>
      </c>
    </row>
    <row r="4332">
      <c r="A4332" t="inlineStr">
        <is>
          <t xml:space="preserve">ICICI Prudential Mutual Fund</t>
        </is>
      </c>
      <c r="B4332" t="inlineStr">
        <is>
          <t xml:space="preserve">ICICI Prudential Capital Protection Oriented Fund III - PLAN C - 36 Months - Dividend</t>
        </is>
      </c>
      <c r="C4332" t="inlineStr">
        <is>
          <t xml:space="preserve">INF109K01H32</t>
        </is>
      </c>
    </row>
    <row r="4333">
      <c r="A4333" t="inlineStr">
        <is>
          <t xml:space="preserve">ICICI Prudential Mutual Fund</t>
        </is>
      </c>
      <c r="B4333" t="inlineStr">
        <is>
          <t xml:space="preserve">ICICI Prudential Capital Protection Oriented Fund III - PLAN D - 36 Months - Cumulative</t>
        </is>
      </c>
      <c r="C4333" t="inlineStr">
        <is>
          <t xml:space="preserve">INF109K01I80</t>
        </is>
      </c>
    </row>
    <row r="4334">
      <c r="A4334" t="inlineStr">
        <is>
          <t xml:space="preserve">ICICI Prudential Mutual Fund</t>
        </is>
      </c>
      <c r="B4334" t="inlineStr">
        <is>
          <t xml:space="preserve">ICICI Prudential Capital Protection Oriented Fund III - PLAN D - 36 Months - Direct Plan - Cumulative</t>
        </is>
      </c>
      <c r="C4334" t="inlineStr">
        <is>
          <t xml:space="preserve">INF109K01I98</t>
        </is>
      </c>
    </row>
    <row r="4335">
      <c r="A4335" t="inlineStr">
        <is>
          <t xml:space="preserve">ICICI Prudential Mutual Fund</t>
        </is>
      </c>
      <c r="B4335" t="inlineStr">
        <is>
          <t xml:space="preserve">ICICI Prudential Capital Protection Oriented Fund III - PLAN D - 36 Months - Direct Plan - Dividend</t>
        </is>
      </c>
      <c r="C4335" t="inlineStr">
        <is>
          <t xml:space="preserve">INF109K01J14</t>
        </is>
      </c>
    </row>
    <row r="4336">
      <c r="A4336" t="inlineStr">
        <is>
          <t xml:space="preserve">ICICI Prudential Mutual Fund</t>
        </is>
      </c>
      <c r="B4336" t="inlineStr">
        <is>
          <t xml:space="preserve">ICICI Prudential Capital Protection Oriented Fund III - PLAN D - 36 Months - Dividend</t>
        </is>
      </c>
      <c r="C4336" t="inlineStr">
        <is>
          <t xml:space="preserve">INF109K01J06</t>
        </is>
      </c>
    </row>
    <row r="4337">
      <c r="A4337" t="inlineStr">
        <is>
          <t xml:space="preserve">ICICI Prudential Mutual Fund</t>
        </is>
      </c>
      <c r="B4337" t="inlineStr">
        <is>
          <t xml:space="preserve">ICICI Prudential Capital Protection Oriented Fund III - PLAN E - 60 Months - Cumulative</t>
        </is>
      </c>
      <c r="C4337" t="inlineStr">
        <is>
          <t xml:space="preserve">INF109K01K03</t>
        </is>
      </c>
    </row>
    <row r="4338">
      <c r="A4338" t="inlineStr">
        <is>
          <t xml:space="preserve">ICICI Prudential Mutual Fund</t>
        </is>
      </c>
      <c r="B4338" t="inlineStr">
        <is>
          <t xml:space="preserve">ICICI Prudential Capital Protection Oriented Fund III - PLAN E - 60 Months - Direct Plan - Cumulative</t>
        </is>
      </c>
      <c r="C4338" t="inlineStr">
        <is>
          <t xml:space="preserve">INF109K01K29</t>
        </is>
      </c>
    </row>
    <row r="4339">
      <c r="A4339" t="inlineStr">
        <is>
          <t xml:space="preserve">ICICI Prudential Mutual Fund</t>
        </is>
      </c>
      <c r="B4339" t="inlineStr">
        <is>
          <t xml:space="preserve">ICICI Prudential Capital Protection Oriented Fund III - PLAN E - 60 Months - Direct Plan - Dividend</t>
        </is>
      </c>
      <c r="C4339" t="inlineStr">
        <is>
          <t xml:space="preserve">INF109K01K37</t>
        </is>
      </c>
    </row>
    <row r="4340">
      <c r="A4340" t="inlineStr">
        <is>
          <t xml:space="preserve">ICICI Prudential Mutual Fund</t>
        </is>
      </c>
      <c r="B4340" t="inlineStr">
        <is>
          <t xml:space="preserve">ICICI Prudential Capital Protection Oriented Fund III - PLAN E - 60 Months - Dividend</t>
        </is>
      </c>
      <c r="C4340" t="inlineStr">
        <is>
          <t xml:space="preserve">INF109K01K11</t>
        </is>
      </c>
    </row>
    <row r="4341">
      <c r="A4341" t="inlineStr">
        <is>
          <t xml:space="preserve">ICICI Prudential Mutual Fund</t>
        </is>
      </c>
      <c r="B4341" t="inlineStr">
        <is>
          <t xml:space="preserve">ICICI Prudential Capital Protection Oriented Fund III - PLAN F - 36 Months - Cumulative</t>
        </is>
      </c>
      <c r="C4341" t="inlineStr">
        <is>
          <t xml:space="preserve">INF109K011F3</t>
        </is>
      </c>
    </row>
    <row r="4342">
      <c r="A4342" t="inlineStr">
        <is>
          <t xml:space="preserve">ICICI Prudential Mutual Fund</t>
        </is>
      </c>
      <c r="B4342" t="inlineStr">
        <is>
          <t xml:space="preserve">ICICI Prudential Capital Protection Oriented Fund III - PLAN F - 36 Months - Direct Plan - Cumulative</t>
        </is>
      </c>
      <c r="C4342" t="inlineStr">
        <is>
          <t xml:space="preserve">INF109K013F9</t>
        </is>
      </c>
    </row>
    <row r="4343">
      <c r="A4343" t="inlineStr">
        <is>
          <t xml:space="preserve">ICICI Prudential Mutual Fund</t>
        </is>
      </c>
      <c r="B4343" t="inlineStr">
        <is>
          <t xml:space="preserve">ICICI Prudential Capital Protection Oriented Fund III - PLAN F - 36 Months - Direct Plan - Dividend</t>
        </is>
      </c>
      <c r="C4343" t="inlineStr">
        <is>
          <t xml:space="preserve">INF109K014F7</t>
        </is>
      </c>
    </row>
    <row r="4344">
      <c r="A4344" t="inlineStr">
        <is>
          <t xml:space="preserve">ICICI Prudential Mutual Fund</t>
        </is>
      </c>
      <c r="B4344" t="inlineStr">
        <is>
          <t xml:space="preserve">ICICI Prudential Capital Protection Oriented Fund III - PLAN F - 36 Months - Dividend</t>
        </is>
      </c>
      <c r="C4344" t="inlineStr">
        <is>
          <t xml:space="preserve">INF109K012F1</t>
        </is>
      </c>
    </row>
    <row r="4345">
      <c r="A4345" t="inlineStr">
        <is>
          <t xml:space="preserve">ICICI Prudential Mutual Fund</t>
        </is>
      </c>
      <c r="B4345" t="inlineStr">
        <is>
          <t xml:space="preserve">ICICI Prudential Capital Protection Oriented Fund III - PLAN G - 60 Months - Cumulative</t>
        </is>
      </c>
      <c r="C4345" t="inlineStr">
        <is>
          <t xml:space="preserve">INF109K017I4</t>
        </is>
      </c>
    </row>
    <row r="4346">
      <c r="A4346" t="inlineStr">
        <is>
          <t xml:space="preserve">ICICI Prudential Mutual Fund</t>
        </is>
      </c>
      <c r="B4346" t="inlineStr">
        <is>
          <t xml:space="preserve">ICICI Prudential Capital Protection Oriented Fund III - PLAN G - 60 Months - Direct Plan - Cumulative</t>
        </is>
      </c>
      <c r="C4346" t="inlineStr">
        <is>
          <t xml:space="preserve">INF109K019I0</t>
        </is>
      </c>
    </row>
    <row r="4347">
      <c r="A4347" t="inlineStr">
        <is>
          <t xml:space="preserve">ICICI Prudential Mutual Fund</t>
        </is>
      </c>
      <c r="B4347" t="inlineStr">
        <is>
          <t xml:space="preserve">ICICI Prudential Capital Protection Oriented Fund III - PLAN G - 60 Months - Dividend</t>
        </is>
      </c>
      <c r="C4347" t="inlineStr">
        <is>
          <t xml:space="preserve">INF109K018I2</t>
        </is>
      </c>
    </row>
    <row r="4348">
      <c r="A4348" t="inlineStr">
        <is>
          <t xml:space="preserve">ICICI Prudential Mutual Fund</t>
        </is>
      </c>
      <c r="B4348" t="inlineStr">
        <is>
          <t xml:space="preserve">ICICI Prudential Capital Protection Oriented Fund III - PLAN H - 60 Months - Cumulative</t>
        </is>
      </c>
      <c r="C4348" t="inlineStr">
        <is>
          <t xml:space="preserve">INF109K013V6</t>
        </is>
      </c>
    </row>
    <row r="4349">
      <c r="A4349" t="inlineStr">
        <is>
          <t xml:space="preserve">ICICI Prudential Mutual Fund</t>
        </is>
      </c>
      <c r="B4349" t="inlineStr">
        <is>
          <t xml:space="preserve">ICICI Prudential Capital Protection Oriented Fund III - PLAN H - 60 Months - Direct Plan - Cumulative</t>
        </is>
      </c>
      <c r="C4349" t="inlineStr">
        <is>
          <t xml:space="preserve">INF109K015V1</t>
        </is>
      </c>
    </row>
    <row r="4350">
      <c r="A4350" t="inlineStr">
        <is>
          <t xml:space="preserve">ICICI Prudential Mutual Fund</t>
        </is>
      </c>
      <c r="B4350" t="inlineStr">
        <is>
          <t xml:space="preserve">ICICI Prudential Capital Protection Oriented Fund III - PLAN H - 60 Months - Direct Plan - Dividend</t>
        </is>
      </c>
      <c r="C4350" t="inlineStr">
        <is>
          <t xml:space="preserve">INF109K016V9</t>
        </is>
      </c>
    </row>
    <row r="4351">
      <c r="A4351" t="inlineStr">
        <is>
          <t xml:space="preserve">ICICI Prudential Mutual Fund</t>
        </is>
      </c>
      <c r="B4351" t="inlineStr">
        <is>
          <t xml:space="preserve">ICICI Prudential Capital Protection Oriented Fund III - PLAN H - 60 Months - Dividend</t>
        </is>
      </c>
      <c r="C4351" t="inlineStr">
        <is>
          <t xml:space="preserve">INF109K014V4</t>
        </is>
      </c>
    </row>
    <row r="4352">
      <c r="A4352" t="inlineStr">
        <is>
          <t xml:space="preserve">ICICI Prudential Mutual Fund</t>
        </is>
      </c>
      <c r="B4352" t="inlineStr">
        <is>
          <t xml:space="preserve">ICICI Prudential Capital Protection Oriented Fund IV - PLAN A - 60 Months - Cumulative</t>
        </is>
      </c>
      <c r="C4352" t="inlineStr">
        <is>
          <t xml:space="preserve">INF109KA1863</t>
        </is>
      </c>
    </row>
    <row r="4353">
      <c r="A4353" t="inlineStr">
        <is>
          <t xml:space="preserve">ICICI Prudential Mutual Fund</t>
        </is>
      </c>
      <c r="B4353" t="inlineStr">
        <is>
          <t xml:space="preserve">ICICI Prudential Capital Protection Oriented Fund IV - PLAN A - 60 Months - Direct Plan - Cumulative</t>
        </is>
      </c>
      <c r="C4353" t="inlineStr">
        <is>
          <t xml:space="preserve">INF109KA1848</t>
        </is>
      </c>
    </row>
    <row r="4354">
      <c r="A4354" t="inlineStr">
        <is>
          <t xml:space="preserve">ICICI Prudential Mutual Fund</t>
        </is>
      </c>
      <c r="B4354" t="inlineStr">
        <is>
          <t xml:space="preserve">ICICI Prudential Capital Protection Oriented Fund IV - PLAN A - 60 Months - Dividend</t>
        </is>
      </c>
      <c r="C4354" t="inlineStr">
        <is>
          <t xml:space="preserve">INF109KA1871</t>
        </is>
      </c>
    </row>
    <row r="4355">
      <c r="A4355" t="inlineStr">
        <is>
          <t xml:space="preserve">ICICI Prudential Mutual Fund</t>
        </is>
      </c>
      <c r="B4355" t="inlineStr">
        <is>
          <t xml:space="preserve">ICICI Prudential Capital Protection Oriented Fund IV - PLAN C - 60 Months - Cumulative</t>
        </is>
      </c>
      <c r="C4355" t="inlineStr">
        <is>
          <t xml:space="preserve">INF109KA1BR4</t>
        </is>
      </c>
    </row>
    <row r="4356">
      <c r="A4356" t="inlineStr">
        <is>
          <t xml:space="preserve">ICICI Prudential Mutual Fund</t>
        </is>
      </c>
      <c r="B4356" t="inlineStr">
        <is>
          <t xml:space="preserve">ICICI Prudential Capital Protection Oriented Fund IV - PLAN C - 60 Months - Direct Plan - Cumulative</t>
        </is>
      </c>
      <c r="C4356" t="inlineStr">
        <is>
          <t xml:space="preserve">INF109KA1BP8</t>
        </is>
      </c>
    </row>
    <row r="4357">
      <c r="A4357" t="inlineStr">
        <is>
          <t xml:space="preserve">ICICI Prudential Mutual Fund</t>
        </is>
      </c>
      <c r="B4357" t="inlineStr">
        <is>
          <t xml:space="preserve">ICICI Prudential Capital Protection Oriented Fund IV - PLAN C - 60 Months - Direct Plan - Dividend</t>
        </is>
      </c>
      <c r="C4357" t="inlineStr">
        <is>
          <t xml:space="preserve">INF109KA1BQ6</t>
        </is>
      </c>
    </row>
    <row r="4358">
      <c r="A4358" t="inlineStr">
        <is>
          <t xml:space="preserve">ICICI Prudential Mutual Fund</t>
        </is>
      </c>
      <c r="B4358" t="inlineStr">
        <is>
          <t xml:space="preserve">ICICI Prudential Capital Protection Oriented Fund IV - PLAN C - 60 Months - Dividend</t>
        </is>
      </c>
      <c r="C4358" t="inlineStr">
        <is>
          <t xml:space="preserve">INF109KA1BS2</t>
        </is>
      </c>
    </row>
    <row r="4359">
      <c r="A4359" t="inlineStr">
        <is>
          <t xml:space="preserve">ICICI Prudential Mutual Fund</t>
        </is>
      </c>
      <c r="B4359" t="inlineStr">
        <is>
          <t xml:space="preserve">ICICI Prudential Capital Protection Oriented Fund IV - PLAN D - 60 Months - Cumulative</t>
        </is>
      </c>
      <c r="C4359" t="inlineStr">
        <is>
          <t xml:space="preserve">INF109KA1EF3</t>
        </is>
      </c>
    </row>
    <row r="4360">
      <c r="A4360" t="inlineStr">
        <is>
          <t xml:space="preserve">ICICI Prudential Mutual Fund</t>
        </is>
      </c>
      <c r="B4360" t="inlineStr">
        <is>
          <t xml:space="preserve">ICICI Prudential Capital Protection Oriented Fund IV - PLAN D - 60 Months - Direct Plan - Cumulative</t>
        </is>
      </c>
      <c r="C4360" t="inlineStr">
        <is>
          <t xml:space="preserve">INF109KA1ED8</t>
        </is>
      </c>
    </row>
    <row r="4361">
      <c r="A4361" t="inlineStr">
        <is>
          <t xml:space="preserve">ICICI Prudential Mutual Fund</t>
        </is>
      </c>
      <c r="B4361" t="inlineStr">
        <is>
          <t xml:space="preserve">ICICI Prudential Capital Protection Oriented Fund IV - PLAN D - 60 Months - Direct Plan - Dividend</t>
        </is>
      </c>
      <c r="C4361" t="inlineStr">
        <is>
          <t xml:space="preserve">INF109KA1EE6</t>
        </is>
      </c>
    </row>
    <row r="4362">
      <c r="A4362" t="inlineStr">
        <is>
          <t xml:space="preserve">ICICI Prudential Mutual Fund</t>
        </is>
      </c>
      <c r="B4362" t="inlineStr">
        <is>
          <t xml:space="preserve">ICICI Prudential Capital Protection Oriented Fund IV - PLAN D - 60 Months - Dividend</t>
        </is>
      </c>
      <c r="C4362" t="inlineStr">
        <is>
          <t xml:space="preserve">INF109KA1EG1</t>
        </is>
      </c>
    </row>
    <row r="4363">
      <c r="A4363" t="inlineStr">
        <is>
          <t xml:space="preserve">ICICI Prudential Mutual Fund</t>
        </is>
      </c>
      <c r="B4363" t="inlineStr">
        <is>
          <t xml:space="preserve">ICICI Prudential Capital Protection Oriented Fund IV - PLAN E - 36 Months - Cumulative</t>
        </is>
      </c>
      <c r="C4363" t="inlineStr">
        <is>
          <t xml:space="preserve">INF109KA1FN4</t>
        </is>
      </c>
    </row>
    <row r="4364">
      <c r="A4364" t="inlineStr">
        <is>
          <t xml:space="preserve">ICICI Prudential Mutual Fund</t>
        </is>
      </c>
      <c r="B4364" t="inlineStr">
        <is>
          <t xml:space="preserve">ICICI Prudential Capital Protection Oriented Fund IV - PLAN E - 36 Months - Direct Plan - Cumulative</t>
        </is>
      </c>
      <c r="C4364" t="inlineStr">
        <is>
          <t xml:space="preserve">INF109KA1FP9</t>
        </is>
      </c>
    </row>
    <row r="4365">
      <c r="A4365" t="inlineStr">
        <is>
          <t xml:space="preserve">ICICI Prudential Mutual Fund</t>
        </is>
      </c>
      <c r="B4365" t="inlineStr">
        <is>
          <t xml:space="preserve">ICICI Prudential Capital Protection Oriented Fund IV - PLAN E - 36 Months - Direct Plan - Dividend</t>
        </is>
      </c>
      <c r="C4365" t="inlineStr">
        <is>
          <t xml:space="preserve">INF109KA1FQ7</t>
        </is>
      </c>
    </row>
    <row r="4366">
      <c r="A4366" t="inlineStr">
        <is>
          <t xml:space="preserve">ICICI Prudential Mutual Fund</t>
        </is>
      </c>
      <c r="B4366" t="inlineStr">
        <is>
          <t xml:space="preserve">ICICI Prudential Capital Protection Oriented Fund IV - PLAN E - 36 Months - Dividend</t>
        </is>
      </c>
      <c r="C4366" t="inlineStr">
        <is>
          <t xml:space="preserve">INF109KA1FO2</t>
        </is>
      </c>
    </row>
    <row r="4367">
      <c r="A4367" t="inlineStr">
        <is>
          <t xml:space="preserve">ICICI Prudential Mutual Fund</t>
        </is>
      </c>
      <c r="B4367" t="inlineStr">
        <is>
          <t xml:space="preserve">ICICI Prudential Capital Protection Oriented Fund IV - PLAN F - 60 Months - Cumulative</t>
        </is>
      </c>
      <c r="C4367" t="inlineStr">
        <is>
          <t xml:space="preserve">INF109KA1GN2</t>
        </is>
      </c>
    </row>
    <row r="4368">
      <c r="A4368" t="inlineStr">
        <is>
          <t xml:space="preserve">ICICI Prudential Mutual Fund</t>
        </is>
      </c>
      <c r="B4368" t="inlineStr">
        <is>
          <t xml:space="preserve">ICICI Prudential Capital Protection Oriented Fund IV - PLAN F - 60 Months - Direct Plan - Cumulative</t>
        </is>
      </c>
      <c r="C4368" t="inlineStr">
        <is>
          <t xml:space="preserve">INF109KA1GP7</t>
        </is>
      </c>
    </row>
    <row r="4369">
      <c r="A4369" t="inlineStr">
        <is>
          <t xml:space="preserve">ICICI Prudential Mutual Fund</t>
        </is>
      </c>
      <c r="B4369" t="inlineStr">
        <is>
          <t xml:space="preserve">ICICI Prudential Capital Protection Oriented Fund IV - PLAN F - 60 Months - Direct Plan - Dividend</t>
        </is>
      </c>
      <c r="C4369" t="inlineStr">
        <is>
          <t xml:space="preserve">INF109KA1GQ5</t>
        </is>
      </c>
    </row>
    <row r="4370">
      <c r="A4370" t="inlineStr">
        <is>
          <t xml:space="preserve">ICICI Prudential Mutual Fund</t>
        </is>
      </c>
      <c r="B4370" t="inlineStr">
        <is>
          <t xml:space="preserve">ICICI Prudential Capital Protection Oriented Fund IV - PLAN F - 60 Months - Dividend</t>
        </is>
      </c>
      <c r="C4370" t="inlineStr">
        <is>
          <t xml:space="preserve">INF109KA1GO0</t>
        </is>
      </c>
    </row>
    <row r="4371">
      <c r="A4371" t="inlineStr">
        <is>
          <t xml:space="preserve">ICICI Prudential Mutual Fund</t>
        </is>
      </c>
      <c r="B4371" t="inlineStr">
        <is>
          <t xml:space="preserve">ICICI Prudential Capital Protection Oriented Fund IV - PLAN G - 60 Months plan - Cumulative</t>
        </is>
      </c>
      <c r="C4371" t="inlineStr">
        <is>
          <t xml:space="preserve">INF109KA1HR1</t>
        </is>
      </c>
    </row>
    <row r="4372">
      <c r="A4372" t="inlineStr">
        <is>
          <t xml:space="preserve">ICICI Prudential Mutual Fund</t>
        </is>
      </c>
      <c r="B4372" t="inlineStr">
        <is>
          <t xml:space="preserve">ICICI Prudential Capital Protection Oriented Fund IV - PLAN G - 60 Months Plan - Direct Plan - Cumulative</t>
        </is>
      </c>
      <c r="C4372" t="inlineStr">
        <is>
          <t xml:space="preserve">INF109KA1HT7</t>
        </is>
      </c>
    </row>
    <row r="4373">
      <c r="A4373" t="inlineStr">
        <is>
          <t xml:space="preserve">ICICI Prudential Mutual Fund</t>
        </is>
      </c>
      <c r="B4373" t="inlineStr">
        <is>
          <t xml:space="preserve">ICICI Prudential Capital Protection Oriented Fund IV - PLAN G - 60 Months Plan - Direct Plan - Dividend</t>
        </is>
      </c>
      <c r="C4373" t="inlineStr">
        <is>
          <t xml:space="preserve">INF109KA1HU5</t>
        </is>
      </c>
    </row>
    <row r="4374">
      <c r="A4374" t="inlineStr">
        <is>
          <t xml:space="preserve">ICICI Prudential Mutual Fund</t>
        </is>
      </c>
      <c r="B4374" t="inlineStr">
        <is>
          <t xml:space="preserve">ICICI Prudential Capital Protection Oriented Fund IV - PLAN G - 60 Months Plan - Dividend</t>
        </is>
      </c>
      <c r="C4374" t="inlineStr">
        <is>
          <t xml:space="preserve">INF109KA1HS9</t>
        </is>
      </c>
    </row>
    <row r="4375">
      <c r="A4375" t="inlineStr">
        <is>
          <t xml:space="preserve">ICICI Prudential Mutual Fund</t>
        </is>
      </c>
      <c r="B4375" t="inlineStr">
        <is>
          <t xml:space="preserve">ICICI Prudential Capital Protection Oriented Fund IV - PLAN H - 36 Months plan - Cumulative</t>
        </is>
      </c>
      <c r="C4375" t="inlineStr">
        <is>
          <t xml:space="preserve">INF109KA1IP3</t>
        </is>
      </c>
    </row>
    <row r="4376">
      <c r="A4376" t="inlineStr">
        <is>
          <t xml:space="preserve">ICICI Prudential Mutual Fund</t>
        </is>
      </c>
      <c r="B4376" t="inlineStr">
        <is>
          <t xml:space="preserve">ICICI Prudential Capital Protection Oriented Fund IV - PLAN H - 36 Months Plan - Direct Plan - Cumulative</t>
        </is>
      </c>
      <c r="C4376" t="inlineStr">
        <is>
          <t xml:space="preserve">INF109KA1IR9</t>
        </is>
      </c>
    </row>
    <row r="4377">
      <c r="A4377" t="inlineStr">
        <is>
          <t xml:space="preserve">ICICI Prudential Mutual Fund</t>
        </is>
      </c>
      <c r="B4377" t="inlineStr">
        <is>
          <t xml:space="preserve">ICICI Prudential Capital Protection Oriented Fund IV - PLAN H - 36 Months Plan - Direct Plan - Dividend</t>
        </is>
      </c>
      <c r="C4377" t="inlineStr">
        <is>
          <t xml:space="preserve">INF109KA1IS7</t>
        </is>
      </c>
    </row>
    <row r="4378">
      <c r="A4378" t="inlineStr">
        <is>
          <t xml:space="preserve">ICICI Prudential Mutual Fund</t>
        </is>
      </c>
      <c r="B4378" t="inlineStr">
        <is>
          <t xml:space="preserve">ICICI Prudential Capital Protection Oriented Fund IV - PLAN H - 36 Months Plan - Dividend</t>
        </is>
      </c>
      <c r="C4378" t="inlineStr">
        <is>
          <t xml:space="preserve">INF109KA1IQ1</t>
        </is>
      </c>
    </row>
    <row r="4379">
      <c r="A4379" t="inlineStr">
        <is>
          <t xml:space="preserve">ICICI Prudential Mutual Fund</t>
        </is>
      </c>
      <c r="B4379" t="inlineStr">
        <is>
          <t xml:space="preserve">ICICI Prudential Capital Protection Oriented Fund Series VI -1100 Days Plan B Cumulative Option</t>
        </is>
      </c>
      <c r="C4379" t="inlineStr">
        <is>
          <t xml:space="preserve">INF109KA1XD8</t>
        </is>
      </c>
    </row>
    <row r="4380">
      <c r="A4380" t="inlineStr">
        <is>
          <t xml:space="preserve">ICICI Prudential Mutual Fund</t>
        </is>
      </c>
      <c r="B4380" t="inlineStr">
        <is>
          <t xml:space="preserve">ICICI Prudential Capital Protection Oriented Fund Series VI -1825 Days Plan A Cumulative Option</t>
        </is>
      </c>
      <c r="C4380" t="inlineStr">
        <is>
          <t xml:space="preserve">INF109KA1VV4</t>
        </is>
      </c>
    </row>
    <row r="4381">
      <c r="A4381" t="inlineStr">
        <is>
          <t xml:space="preserve">ICICI Prudential Mutual Fund</t>
        </is>
      </c>
      <c r="B4381" t="inlineStr">
        <is>
          <t xml:space="preserve">ICICI Prudential Capital Protection Oriented Fund Series VI -1825 Days Plan C Direct Plan Cumulative Option</t>
        </is>
      </c>
      <c r="C4381" t="inlineStr">
        <is>
          <t xml:space="preserve">INF109KA1XJ5</t>
        </is>
      </c>
    </row>
    <row r="4382">
      <c r="A4382" t="inlineStr">
        <is>
          <t xml:space="preserve">ICICI Prudential Mutual Fund</t>
        </is>
      </c>
      <c r="B4382" t="inlineStr">
        <is>
          <t xml:space="preserve">ICICI Prudential Capital Protection Oriented Fund Series VI- 1100 Days Plan B Direct Plan Cumulative option</t>
        </is>
      </c>
      <c r="C4382" t="inlineStr">
        <is>
          <t xml:space="preserve">INF109KA1XF3</t>
        </is>
      </c>
    </row>
    <row r="4383">
      <c r="A4383" t="inlineStr">
        <is>
          <t xml:space="preserve">ICICI Prudential Mutual Fund</t>
        </is>
      </c>
      <c r="B4383" t="inlineStr">
        <is>
          <t xml:space="preserve">ICICI Prudential Capital Protection Oriented Fund Series VI- 1100 Days Plan B Direct Plan Dividend Option</t>
        </is>
      </c>
      <c r="C4383" t="inlineStr">
        <is>
          <t xml:space="preserve">INF109KA1XG1</t>
        </is>
      </c>
    </row>
    <row r="4384">
      <c r="A4384" t="inlineStr">
        <is>
          <t xml:space="preserve">ICICI Prudential Mutual Fund</t>
        </is>
      </c>
      <c r="B4384" t="inlineStr">
        <is>
          <t xml:space="preserve">ICICI Prudential Capital Protection Oriented Fund Series VI- 1100 Days Plan B Dividend Option</t>
        </is>
      </c>
      <c r="C4384" t="inlineStr">
        <is>
          <t xml:space="preserve">INF109KA1XE6</t>
        </is>
      </c>
    </row>
    <row r="4385">
      <c r="A4385" t="inlineStr">
        <is>
          <t xml:space="preserve">ICICI Prudential Mutual Fund</t>
        </is>
      </c>
      <c r="B4385" t="inlineStr">
        <is>
          <t xml:space="preserve">ICICI Prudential Capital Protection Oriented Fund Series VI- 1825 Days Plan A Direct Plan Cumulative option</t>
        </is>
      </c>
      <c r="C4385" t="inlineStr">
        <is>
          <t xml:space="preserve">INF109KA1VX0</t>
        </is>
      </c>
    </row>
    <row r="4386">
      <c r="A4386" t="inlineStr">
        <is>
          <t xml:space="preserve">ICICI Prudential Mutual Fund</t>
        </is>
      </c>
      <c r="B4386" t="inlineStr">
        <is>
          <t xml:space="preserve">ICICI Prudential Capital Protection Oriented Fund Series VI- 1825 Days Plan A Direct Plan Dividend Option</t>
        </is>
      </c>
      <c r="C4386" t="inlineStr">
        <is>
          <t xml:space="preserve">INF109KA1VY8</t>
        </is>
      </c>
    </row>
    <row r="4387">
      <c r="A4387" t="inlineStr">
        <is>
          <t xml:space="preserve">ICICI Prudential Mutual Fund</t>
        </is>
      </c>
      <c r="B4387" t="inlineStr">
        <is>
          <t xml:space="preserve">ICICI Prudential Capital Protection Oriented Fund Series VI- 1825 Days Plan A Dividend Option</t>
        </is>
      </c>
      <c r="C4387" t="inlineStr">
        <is>
          <t xml:space="preserve">INF109KA1VW2</t>
        </is>
      </c>
    </row>
    <row r="4388">
      <c r="A4388" t="inlineStr">
        <is>
          <t xml:space="preserve">ICICI Prudential Mutual Fund</t>
        </is>
      </c>
      <c r="B4388" t="inlineStr">
        <is>
          <t xml:space="preserve">ICICI Prudential Capital Protection Oriented Fund Series VI- 1825 Days Plan C Cumulative Option</t>
        </is>
      </c>
      <c r="C4388" t="inlineStr">
        <is>
          <t xml:space="preserve">INF109KA1XH9</t>
        </is>
      </c>
    </row>
    <row r="4389">
      <c r="A4389" t="inlineStr">
        <is>
          <t xml:space="preserve">ICICI Prudential Mutual Fund</t>
        </is>
      </c>
      <c r="B4389" t="inlineStr">
        <is>
          <t xml:space="preserve">ICICI Prudential Capital Protection Oriented Fund Series VI- 1825 Days Plan C Direct Plan Dividend option</t>
        </is>
      </c>
      <c r="C4389" t="inlineStr">
        <is>
          <t xml:space="preserve">INF109KA1XK3</t>
        </is>
      </c>
    </row>
    <row r="4390">
      <c r="A4390" t="inlineStr">
        <is>
          <t xml:space="preserve">ICICI Prudential Mutual Fund</t>
        </is>
      </c>
      <c r="B4390" t="inlineStr">
        <is>
          <t xml:space="preserve">ICICI Prudential Capital Protection Oriented Fund Series VI- 1825 Days Plan C Dividend Option</t>
        </is>
      </c>
      <c r="C4390" t="inlineStr">
        <is>
          <t xml:space="preserve">INF109KA1XI7</t>
        </is>
      </c>
    </row>
    <row r="4391">
      <c r="A4391" t="inlineStr">
        <is>
          <t xml:space="preserve">ICICI Prudential Mutual Fund</t>
        </is>
      </c>
      <c r="B4391" t="inlineStr">
        <is>
          <t xml:space="preserve">ICICI Prudential Capital Protection Oriented Fund V - PLAN A - 5 Years Plan - Cumulative</t>
        </is>
      </c>
      <c r="C4391" t="inlineStr">
        <is>
          <t xml:space="preserve">INF109KA1KD5</t>
        </is>
      </c>
    </row>
    <row r="4392">
      <c r="A4392" t="inlineStr">
        <is>
          <t xml:space="preserve">ICICI Prudential Mutual Fund</t>
        </is>
      </c>
      <c r="B4392" t="inlineStr">
        <is>
          <t xml:space="preserve">ICICI Prudential Capital Protection Oriented Fund V - PLAN A - 5 Years Plan - Direct Plan - Cumulative</t>
        </is>
      </c>
      <c r="C4392" t="inlineStr">
        <is>
          <t xml:space="preserve">INF109KA1KF0</t>
        </is>
      </c>
    </row>
    <row r="4393">
      <c r="A4393" t="inlineStr">
        <is>
          <t xml:space="preserve">ICICI Prudential Mutual Fund</t>
        </is>
      </c>
      <c r="B4393" t="inlineStr">
        <is>
          <t xml:space="preserve">ICICI Prudential Capital Protection Oriented Fund V - PLAN A - 5 Years Plan - Direct Plan - Dividend</t>
        </is>
      </c>
      <c r="C4393" t="inlineStr">
        <is>
          <t xml:space="preserve">INF109KA1KG8</t>
        </is>
      </c>
    </row>
    <row r="4394">
      <c r="A4394" t="inlineStr">
        <is>
          <t xml:space="preserve">ICICI Prudential Mutual Fund</t>
        </is>
      </c>
      <c r="B4394" t="inlineStr">
        <is>
          <t xml:space="preserve">ICICI Prudential Capital Protection Oriented Fund V - PLAN A - 5 Years Plan - Dividend</t>
        </is>
      </c>
      <c r="C4394" t="inlineStr">
        <is>
          <t xml:space="preserve">INF109KA1KE3</t>
        </is>
      </c>
    </row>
    <row r="4395">
      <c r="A4395" t="inlineStr">
        <is>
          <t xml:space="preserve">ICICI Prudential Mutual Fund</t>
        </is>
      </c>
      <c r="B4395" t="inlineStr">
        <is>
          <t xml:space="preserve">ICICI Prudential Capital Protection Oriented Fund V - PLAN B - 1100 Days - Cumulative</t>
        </is>
      </c>
      <c r="C4395" t="inlineStr">
        <is>
          <t xml:space="preserve">INF109KA1LF8</t>
        </is>
      </c>
    </row>
    <row r="4396">
      <c r="A4396" t="inlineStr">
        <is>
          <t xml:space="preserve">ICICI Prudential Mutual Fund</t>
        </is>
      </c>
      <c r="B4396" t="inlineStr">
        <is>
          <t xml:space="preserve">ICICI Prudential Capital Protection Oriented Fund V - PLAN B - 1100 Days - Direct Plan - Cumulative</t>
        </is>
      </c>
      <c r="C4396" t="inlineStr">
        <is>
          <t xml:space="preserve">INF109KA1LH4</t>
        </is>
      </c>
    </row>
    <row r="4397">
      <c r="A4397" t="inlineStr">
        <is>
          <t xml:space="preserve">ICICI Prudential Mutual Fund</t>
        </is>
      </c>
      <c r="B4397" t="inlineStr">
        <is>
          <t xml:space="preserve">ICICI Prudential Capital Protection Oriented Fund V - PLAN B - 1100 Days - Direct Plan - Dividend</t>
        </is>
      </c>
      <c r="C4397" t="inlineStr">
        <is>
          <t xml:space="preserve">INF109KA1LI2</t>
        </is>
      </c>
    </row>
    <row r="4398">
      <c r="A4398" t="inlineStr">
        <is>
          <t xml:space="preserve">ICICI Prudential Mutual Fund</t>
        </is>
      </c>
      <c r="B4398" t="inlineStr">
        <is>
          <t xml:space="preserve">ICICI Prudential Capital Protection Oriented Fund V - PLAN B - 1100 Days - Dividend</t>
        </is>
      </c>
      <c r="C4398" t="inlineStr">
        <is>
          <t xml:space="preserve">INF109KA1LG6</t>
        </is>
      </c>
    </row>
    <row r="4399">
      <c r="A4399" t="inlineStr">
        <is>
          <t xml:space="preserve">ICICI Prudential Mutual Fund</t>
        </is>
      </c>
      <c r="B4399" t="inlineStr">
        <is>
          <t xml:space="preserve">ICICI Prudential Capital Protection Oriented Fund V - PLAN C - 1825 Days - Cumulative</t>
        </is>
      </c>
      <c r="C4399" t="inlineStr">
        <is>
          <t xml:space="preserve">INF109KA1MN0</t>
        </is>
      </c>
    </row>
    <row r="4400">
      <c r="A4400" t="inlineStr">
        <is>
          <t xml:space="preserve">ICICI Prudential Mutual Fund</t>
        </is>
      </c>
      <c r="B4400" t="inlineStr">
        <is>
          <t xml:space="preserve">ICICI Prudential Capital Protection Oriented Fund V - PLAN C - 1825 Days - Direct Plan - Cumulative</t>
        </is>
      </c>
      <c r="C4400" t="inlineStr">
        <is>
          <t xml:space="preserve">INF109KA1ML4</t>
        </is>
      </c>
    </row>
    <row r="4401">
      <c r="A4401" t="inlineStr">
        <is>
          <t xml:space="preserve">ICICI Prudential Mutual Fund</t>
        </is>
      </c>
      <c r="B4401" t="inlineStr">
        <is>
          <t xml:space="preserve">ICICI Prudential Capital Protection Oriented Fund V - PLAN C - 1825 Days - Direct Plan - Dividend</t>
        </is>
      </c>
      <c r="C4401" t="inlineStr">
        <is>
          <t xml:space="preserve">INF109KA1MM2</t>
        </is>
      </c>
    </row>
    <row r="4402">
      <c r="A4402" t="inlineStr">
        <is>
          <t xml:space="preserve">ICICI Prudential Mutual Fund</t>
        </is>
      </c>
      <c r="B4402" t="inlineStr">
        <is>
          <t xml:space="preserve">ICICI Prudential Capital Protection Oriented Fund V - PLAN C - 1825 Days - Dividend</t>
        </is>
      </c>
      <c r="C4402" t="inlineStr">
        <is>
          <t xml:space="preserve">INF109KA1MO8</t>
        </is>
      </c>
    </row>
    <row r="4403">
      <c r="A4403" t="inlineStr">
        <is>
          <t xml:space="preserve">ICICI Prudential Mutual Fund</t>
        </is>
      </c>
      <c r="B4403" t="inlineStr">
        <is>
          <t xml:space="preserve">ICICI Prudential Capital Protection Oriented Fund V - PLAN D - 1100 Days - Cumulative</t>
        </is>
      </c>
      <c r="C4403" t="inlineStr">
        <is>
          <t xml:space="preserve">INF109KA1QF7</t>
        </is>
      </c>
    </row>
    <row r="4404">
      <c r="A4404" t="inlineStr">
        <is>
          <t xml:space="preserve">ICICI Prudential Mutual Fund</t>
        </is>
      </c>
      <c r="B4404" t="inlineStr">
        <is>
          <t xml:space="preserve">ICICI Prudential Capital Protection Oriented Fund V - PLAN D - 1100 Days - Direct Plan - Cumulative</t>
        </is>
      </c>
      <c r="C4404" t="inlineStr">
        <is>
          <t xml:space="preserve">INF109KA1QH3</t>
        </is>
      </c>
    </row>
    <row r="4405">
      <c r="A4405" t="inlineStr">
        <is>
          <t xml:space="preserve">ICICI Prudential Mutual Fund</t>
        </is>
      </c>
      <c r="B4405" t="inlineStr">
        <is>
          <t xml:space="preserve">ICICI Prudential Capital Protection Oriented Fund V - PLAN D - 1100 Days - Direct Plan - Dividend</t>
        </is>
      </c>
      <c r="C4405" t="inlineStr">
        <is>
          <t xml:space="preserve">INF109KA1QI1</t>
        </is>
      </c>
    </row>
    <row r="4406">
      <c r="A4406" t="inlineStr">
        <is>
          <t xml:space="preserve">ICICI Prudential Mutual Fund</t>
        </is>
      </c>
      <c r="B4406" t="inlineStr">
        <is>
          <t xml:space="preserve">ICICI Prudential Capital Protection Oriented Fund V - PLAN D - 1100 Days - Dividend</t>
        </is>
      </c>
      <c r="C4406" t="inlineStr">
        <is>
          <t xml:space="preserve">INF109KA1QG5</t>
        </is>
      </c>
    </row>
    <row r="4407">
      <c r="A4407" t="inlineStr">
        <is>
          <t xml:space="preserve">ICICI Prudential Mutual Fund</t>
        </is>
      </c>
      <c r="B4407" t="inlineStr">
        <is>
          <t xml:space="preserve">ICICI Prudential Capital Protection Oriented Fund V - PLAN E- 1100 Days - Cumulative</t>
        </is>
      </c>
      <c r="C4407" t="inlineStr">
        <is>
          <t xml:space="preserve">INF109KA1SJ5</t>
        </is>
      </c>
    </row>
    <row r="4408">
      <c r="A4408" t="inlineStr">
        <is>
          <t xml:space="preserve">ICICI Prudential Mutual Fund</t>
        </is>
      </c>
      <c r="B4408" t="inlineStr">
        <is>
          <t xml:space="preserve">ICICI Prudential Capital Protection Oriented Fund V - PLAN E- 1100 Days - Direct Plan - Cumulative</t>
        </is>
      </c>
      <c r="C4408" t="inlineStr">
        <is>
          <t xml:space="preserve">INF109KA1SL1</t>
        </is>
      </c>
    </row>
    <row r="4409">
      <c r="A4409" t="inlineStr">
        <is>
          <t xml:space="preserve">ICICI Prudential Mutual Fund</t>
        </is>
      </c>
      <c r="B4409" t="inlineStr">
        <is>
          <t xml:space="preserve">ICICI Prudential Capital Protection Oriented Fund V - PLAN E- 1100 Days - Dividend</t>
        </is>
      </c>
      <c r="C4409" t="inlineStr">
        <is>
          <t xml:space="preserve">INF109KA1SK3</t>
        </is>
      </c>
    </row>
    <row r="4410">
      <c r="A4410" t="inlineStr">
        <is>
          <t xml:space="preserve">ICICI Prudential Mutual Fund</t>
        </is>
      </c>
      <c r="B4410" t="inlineStr">
        <is>
          <t xml:space="preserve">ICICI Prudential Capital Protection Oriented Fund V -Plan F -1100 Days Direct Plan Cumulative Option</t>
        </is>
      </c>
      <c r="C4410" t="inlineStr">
        <is>
          <t xml:space="preserve">INF109KA1VL5</t>
        </is>
      </c>
    </row>
    <row r="4411">
      <c r="A4411" t="inlineStr">
        <is>
          <t xml:space="preserve">ICICI Prudential Mutual Fund</t>
        </is>
      </c>
      <c r="B4411" t="inlineStr">
        <is>
          <t xml:space="preserve">ICICI Prudential Capital Protection Oriented Fund V- Plan F - 1100 Days -Dividend Option</t>
        </is>
      </c>
      <c r="C4411" t="inlineStr">
        <is>
          <t xml:space="preserve">INF109KA1VK7</t>
        </is>
      </c>
    </row>
    <row r="4412">
      <c r="A4412" t="inlineStr">
        <is>
          <t xml:space="preserve">ICICI Prudential Mutual Fund</t>
        </is>
      </c>
      <c r="B4412" t="inlineStr">
        <is>
          <t xml:space="preserve">ICICI Prudential Capital Protection Oriented Fund V- Plan F -1100 Days Direct Plan Dividend Option</t>
        </is>
      </c>
      <c r="C4412" t="inlineStr">
        <is>
          <t xml:space="preserve">INF109KA1VM3</t>
        </is>
      </c>
    </row>
    <row r="4413">
      <c r="A4413" t="inlineStr">
        <is>
          <t xml:space="preserve">ICICI Prudential Mutual Fund</t>
        </is>
      </c>
      <c r="B4413" t="inlineStr">
        <is>
          <t xml:space="preserve">ICICI Prudential Capital Protection Oriented Fund V- Plan F- 1100 Days -Cumulative Option</t>
        </is>
      </c>
      <c r="C4413" t="inlineStr">
        <is>
          <t xml:space="preserve">INF109KA1VJ9</t>
        </is>
      </c>
    </row>
    <row r="4414">
      <c r="A4414" t="inlineStr">
        <is>
          <t xml:space="preserve">ICICI Prudential Mutual Fund</t>
        </is>
      </c>
      <c r="B4414" t="inlineStr">
        <is>
          <t xml:space="preserve">ICICI Prudential Child Care Plan Study - Cumulative</t>
        </is>
      </c>
      <c r="C4414" t="inlineStr">
        <is>
          <t xml:space="preserve">INF109K01597</t>
        </is>
      </c>
    </row>
    <row r="4415">
      <c r="A4415" t="inlineStr">
        <is>
          <t xml:space="preserve">ICICI Prudential Mutual Fund</t>
        </is>
      </c>
      <c r="B4415" t="inlineStr">
        <is>
          <t xml:space="preserve">ICICI Prudential Child Care Plan Study - Direct Plan- Cumulative</t>
        </is>
      </c>
      <c r="C4415" t="inlineStr">
        <is>
          <t xml:space="preserve">INF109K01Y56</t>
        </is>
      </c>
    </row>
    <row r="4416">
      <c r="A4416" t="inlineStr">
        <is>
          <t xml:space="preserve">ICICI Prudential Mutual Fund</t>
        </is>
      </c>
      <c r="B4416" t="inlineStr">
        <is>
          <t xml:space="preserve">ICICI Prudential Children's Fund - Direct Plan</t>
        </is>
      </c>
      <c r="C4416" t="inlineStr">
        <is>
          <t xml:space="preserve">INF109K01Y49</t>
        </is>
      </c>
    </row>
    <row r="4417">
      <c r="A4417" t="inlineStr">
        <is>
          <t xml:space="preserve">ICICI Prudential Mutual Fund</t>
        </is>
      </c>
      <c r="B4417" t="inlineStr">
        <is>
          <t xml:space="preserve">ICICI Prudential Children's Fund - Regular Plan</t>
        </is>
      </c>
      <c r="C4417" t="inlineStr">
        <is>
          <t xml:space="preserve">INF109K01605</t>
        </is>
      </c>
    </row>
    <row r="4418">
      <c r="A4418" t="inlineStr">
        <is>
          <t xml:space="preserve">ICICI Prudential Mutual Fund</t>
        </is>
      </c>
      <c r="B4418" t="inlineStr">
        <is>
          <t xml:space="preserve">ICICI Prudential Commodities Fund - Direct Plan - Growth Option</t>
        </is>
      </c>
      <c r="C4418" t="inlineStr">
        <is>
          <t xml:space="preserve">INF109KC1F91</t>
        </is>
      </c>
    </row>
    <row r="4419">
      <c r="A4419" t="inlineStr">
        <is>
          <t xml:space="preserve">ICICI Prudential Mutual Fund</t>
        </is>
      </c>
      <c r="B4419" t="inlineStr">
        <is>
          <t xml:space="preserve">ICICI Prudential Commodities Fund - Direct Plan - IDCW Option</t>
        </is>
      </c>
      <c r="C4419" t="inlineStr">
        <is>
          <t xml:space="preserve">INF109KC1G09</t>
        </is>
      </c>
    </row>
    <row r="4420">
      <c r="A4420" t="inlineStr">
        <is>
          <t xml:space="preserve">ICICI Prudential Mutual Fund</t>
        </is>
      </c>
      <c r="B4420" t="inlineStr">
        <is>
          <t xml:space="preserve">ICICI Prudential Commodities Fund - Growth Option</t>
        </is>
      </c>
      <c r="C4420" t="inlineStr">
        <is>
          <t xml:space="preserve">INF109KC1F67</t>
        </is>
      </c>
    </row>
    <row r="4421">
      <c r="A4421" t="inlineStr">
        <is>
          <t xml:space="preserve">ICICI Prudential Mutual Fund</t>
        </is>
      </c>
      <c r="B4421" t="inlineStr">
        <is>
          <t xml:space="preserve">ICICI Prudential Commodities Fund - IDCW Option</t>
        </is>
      </c>
      <c r="C4421" t="inlineStr">
        <is>
          <t xml:space="preserve">INF109KC1F75</t>
        </is>
      </c>
    </row>
    <row r="4422">
      <c r="A4422" t="inlineStr">
        <is>
          <t xml:space="preserve">ICICI Prudential Mutual Fund</t>
        </is>
      </c>
      <c r="B4422" t="inlineStr">
        <is>
          <t xml:space="preserve">ICICI Prudential Conglomerate Fund - Direct Plan - Growth</t>
        </is>
      </c>
      <c r="C4422" t="inlineStr">
        <is>
          <t xml:space="preserve">INF109K1A427</t>
        </is>
      </c>
    </row>
    <row r="4423">
      <c r="A4423" t="inlineStr">
        <is>
          <t xml:space="preserve">ICICI Prudential Mutual Fund</t>
        </is>
      </c>
      <c r="B4423" t="inlineStr">
        <is>
          <t xml:space="preserve">ICICI Prudential Conglomerate Fund - Direct Plan - IDCW</t>
        </is>
      </c>
      <c r="C4423" t="inlineStr">
        <is>
          <t xml:space="preserve">INF109K1A443</t>
        </is>
      </c>
    </row>
    <row r="4424">
      <c r="A4424" t="inlineStr">
        <is>
          <t xml:space="preserve">ICICI Prudential Mutual Fund</t>
        </is>
      </c>
      <c r="B4424" t="inlineStr">
        <is>
          <t xml:space="preserve">ICICI Prudential Conglomerate Fund - Growth</t>
        </is>
      </c>
      <c r="C4424" t="inlineStr">
        <is>
          <t xml:space="preserve">INF109K1A393</t>
        </is>
      </c>
    </row>
    <row r="4425">
      <c r="A4425" t="inlineStr">
        <is>
          <t xml:space="preserve">ICICI Prudential Mutual Fund</t>
        </is>
      </c>
      <c r="B4425" t="inlineStr">
        <is>
          <t xml:space="preserve">ICICI Prudential Conglomerate Fund - IDCW</t>
        </is>
      </c>
      <c r="C4425" t="inlineStr">
        <is>
          <t xml:space="preserve">INF109K1A419</t>
        </is>
      </c>
    </row>
    <row r="4426">
      <c r="A4426" t="inlineStr">
        <is>
          <t xml:space="preserve">ICICI Prudential Mutual Fund</t>
        </is>
      </c>
      <c r="B4426" t="inlineStr">
        <is>
          <t xml:space="preserve">ICICI Prudential Constant Maturity Gilt Fund - Annual IDCW</t>
        </is>
      </c>
      <c r="C4426" t="inlineStr">
        <is>
          <t xml:space="preserve">INF109KA1N87</t>
        </is>
      </c>
    </row>
    <row r="4427">
      <c r="A4427" t="inlineStr">
        <is>
          <t xml:space="preserve">ICICI Prudential Mutual Fund</t>
        </is>
      </c>
      <c r="B4427" t="inlineStr">
        <is>
          <t xml:space="preserve">ICICI Prudential Constant Maturity Gilt Fund - Direct Plan - Annual IDCW</t>
        </is>
      </c>
      <c r="C4427" t="inlineStr">
        <is>
          <t xml:space="preserve">INF109KA1O78</t>
        </is>
      </c>
    </row>
    <row r="4428">
      <c r="A4428" t="inlineStr">
        <is>
          <t xml:space="preserve">ICICI Prudential Mutual Fund</t>
        </is>
      </c>
      <c r="B4428" t="inlineStr">
        <is>
          <t xml:space="preserve">ICICI Prudential Constant Maturity Gilt Fund - Direct Plan - Growth</t>
        </is>
      </c>
      <c r="C4428" t="inlineStr">
        <is>
          <t xml:space="preserve">INF109KA1O37</t>
        </is>
      </c>
    </row>
    <row r="4429">
      <c r="A4429" t="inlineStr">
        <is>
          <t xml:space="preserve">ICICI Prudential Mutual Fund</t>
        </is>
      </c>
      <c r="B4429" t="inlineStr">
        <is>
          <t xml:space="preserve">ICICI Prudential Constant Maturity Gilt Fund - Direct Plan - Half Yearly IDCW</t>
        </is>
      </c>
      <c r="C4429" t="inlineStr">
        <is>
          <t xml:space="preserve">INF109KA1O60</t>
        </is>
      </c>
    </row>
    <row r="4430">
      <c r="A4430" t="inlineStr">
        <is>
          <t xml:space="preserve">ICICI Prudential Mutual Fund</t>
        </is>
      </c>
      <c r="B4430" t="inlineStr">
        <is>
          <t xml:space="preserve">ICICI Prudential Constant Maturity Gilt Fund - Direct Plan - Monthly IDCW</t>
        </is>
      </c>
      <c r="C4430" t="inlineStr">
        <is>
          <t xml:space="preserve">INF109KA1O45</t>
        </is>
      </c>
    </row>
    <row r="4431">
      <c r="A4431" t="inlineStr">
        <is>
          <t xml:space="preserve">ICICI Prudential Mutual Fund</t>
        </is>
      </c>
      <c r="B4431" t="inlineStr">
        <is>
          <t xml:space="preserve">ICICI Prudential Constant Maturity Gilt Fund - Direct Plan - Quarterly IDCW</t>
        </is>
      </c>
      <c r="C4431" t="inlineStr">
        <is>
          <t xml:space="preserve">INF109KA1O52</t>
        </is>
      </c>
    </row>
    <row r="4432">
      <c r="A4432" t="inlineStr">
        <is>
          <t xml:space="preserve">ICICI Prudential Mutual Fund</t>
        </is>
      </c>
      <c r="B4432" t="inlineStr">
        <is>
          <t xml:space="preserve">ICICI Prudential Constant Maturity Gilt Fund - Growth</t>
        </is>
      </c>
      <c r="C4432" t="inlineStr">
        <is>
          <t xml:space="preserve">INF109KA1N46</t>
        </is>
      </c>
    </row>
    <row r="4433">
      <c r="A4433" t="inlineStr">
        <is>
          <t xml:space="preserve">ICICI Prudential Mutual Fund</t>
        </is>
      </c>
      <c r="B4433" t="inlineStr">
        <is>
          <t xml:space="preserve">ICICI Prudential Constant Maturity Gilt Fund - Half Yearly IDCW</t>
        </is>
      </c>
      <c r="C4433" t="inlineStr">
        <is>
          <t xml:space="preserve">INF109KA1N79</t>
        </is>
      </c>
    </row>
    <row r="4434">
      <c r="A4434" t="inlineStr">
        <is>
          <t xml:space="preserve">ICICI Prudential Mutual Fund</t>
        </is>
      </c>
      <c r="B4434" t="inlineStr">
        <is>
          <t xml:space="preserve">ICICI Prudential Constant Maturity Gilt Fund - Monthly IDCW</t>
        </is>
      </c>
      <c r="C4434" t="inlineStr">
        <is>
          <t xml:space="preserve">INF109KA1N53</t>
        </is>
      </c>
    </row>
    <row r="4435">
      <c r="A4435" t="inlineStr">
        <is>
          <t xml:space="preserve">ICICI Prudential Mutual Fund</t>
        </is>
      </c>
      <c r="B4435" t="inlineStr">
        <is>
          <t xml:space="preserve">ICICI Prudential Constant Maturity Gilt Fund - quarterly IDCW</t>
        </is>
      </c>
      <c r="C4435" t="inlineStr">
        <is>
          <t xml:space="preserve">INF109KA1N61</t>
        </is>
      </c>
    </row>
    <row r="4436">
      <c r="A4436" t="inlineStr">
        <is>
          <t xml:space="preserve">ICICI Prudential Mutual Fund</t>
        </is>
      </c>
      <c r="B4436" t="inlineStr">
        <is>
          <t xml:space="preserve">ICICI Prudential Corporate Bond Fund - Bonus</t>
        </is>
      </c>
      <c r="C4436" t="inlineStr">
        <is>
          <t xml:space="preserve">INF109KA1I84</t>
        </is>
      </c>
    </row>
    <row r="4437">
      <c r="A4437" t="inlineStr">
        <is>
          <t xml:space="preserve">ICICI Prudential Mutual Fund</t>
        </is>
      </c>
      <c r="B4437" t="inlineStr">
        <is>
          <t xml:space="preserve">ICICI Prudential Corporate Bond Fund - Daily IDCW</t>
        </is>
      </c>
      <c r="C4437" t="inlineStr">
        <is>
          <t xml:space="preserve">INF109K01CR9</t>
        </is>
      </c>
    </row>
    <row r="4438">
      <c r="A4438" t="inlineStr">
        <is>
          <t xml:space="preserve">ICICI Prudential Mutual Fund</t>
        </is>
      </c>
      <c r="B4438" t="inlineStr">
        <is>
          <t xml:space="preserve">ICICI Prudential Corporate Bond Fund - Direct Plan - Daily IDCW</t>
        </is>
      </c>
      <c r="C4438" t="inlineStr">
        <is>
          <t xml:space="preserve">INF109K013B8</t>
        </is>
      </c>
    </row>
    <row r="4439">
      <c r="A4439" t="inlineStr">
        <is>
          <t xml:space="preserve">ICICI Prudential Mutual Fund</t>
        </is>
      </c>
      <c r="B4439" t="inlineStr">
        <is>
          <t xml:space="preserve">ICICI Prudential Corporate Bond Fund - Direct Plan - Fortnightly IDCW</t>
        </is>
      </c>
      <c r="C4439" t="inlineStr">
        <is>
          <t xml:space="preserve">INF109K014B6</t>
        </is>
      </c>
    </row>
    <row r="4440">
      <c r="A4440" t="inlineStr">
        <is>
          <t xml:space="preserve">ICICI Prudential Mutual Fund</t>
        </is>
      </c>
      <c r="B4440" t="inlineStr">
        <is>
          <t xml:space="preserve">ICICI Prudential Corporate Bond Fund - Direct Plan - Growth</t>
        </is>
      </c>
      <c r="C4440" t="inlineStr">
        <is>
          <t xml:space="preserve">INF109K016B1</t>
        </is>
      </c>
    </row>
    <row r="4441">
      <c r="A4441" t="inlineStr">
        <is>
          <t xml:space="preserve">ICICI Prudential Mutual Fund</t>
        </is>
      </c>
      <c r="B4441" t="inlineStr">
        <is>
          <t xml:space="preserve">ICICI Prudential Corporate Bond Fund - Direct Plan - Half Yearly IDCW Option</t>
        </is>
      </c>
      <c r="C4441" t="inlineStr">
        <is>
          <t xml:space="preserve">INF109KA1N38</t>
        </is>
      </c>
    </row>
    <row r="4442">
      <c r="A4442" t="inlineStr">
        <is>
          <t xml:space="preserve">ICICI Prudential Mutual Fund</t>
        </is>
      </c>
      <c r="B4442" t="inlineStr">
        <is>
          <t xml:space="preserve">ICICI Prudential Corporate Bond Fund - Direct Plan - Monthly IDCW</t>
        </is>
      </c>
      <c r="C4442" t="inlineStr">
        <is>
          <t xml:space="preserve">INF109K017B9</t>
        </is>
      </c>
    </row>
    <row r="4443">
      <c r="A4443" t="inlineStr">
        <is>
          <t xml:space="preserve">ICICI Prudential Mutual Fund</t>
        </is>
      </c>
      <c r="B4443" t="inlineStr">
        <is>
          <t xml:space="preserve">ICICI Prudential Corporate Bond Fund - Direct Plan - Quarterly IDCW</t>
        </is>
      </c>
      <c r="C4443" t="inlineStr">
        <is>
          <t xml:space="preserve">INF109K019B5</t>
        </is>
      </c>
    </row>
    <row r="4444">
      <c r="A4444" t="inlineStr">
        <is>
          <t xml:space="preserve">ICICI Prudential Mutual Fund</t>
        </is>
      </c>
      <c r="B4444" t="inlineStr">
        <is>
          <t xml:space="preserve">ICICI Prudential Corporate Bond Fund - Direct Plan - Weekly IDCW</t>
        </is>
      </c>
      <c r="C4444" t="inlineStr">
        <is>
          <t xml:space="preserve">INF109K010C2</t>
        </is>
      </c>
    </row>
    <row r="4445">
      <c r="A4445" t="inlineStr">
        <is>
          <t xml:space="preserve">ICICI Prudential Mutual Fund</t>
        </is>
      </c>
      <c r="B4445" t="inlineStr">
        <is>
          <t xml:space="preserve">ICICI Prudential Corporate Bond Fund - Fortnightly IDCW</t>
        </is>
      </c>
      <c r="C4445" t="inlineStr">
        <is>
          <t xml:space="preserve">INF109K01SJ2</t>
        </is>
      </c>
    </row>
    <row r="4446">
      <c r="A4446" t="inlineStr">
        <is>
          <t xml:space="preserve">ICICI Prudential Mutual Fund</t>
        </is>
      </c>
      <c r="B4446" t="inlineStr">
        <is>
          <t xml:space="preserve">ICICI Prudential Corporate Bond Fund - Growth</t>
        </is>
      </c>
      <c r="C4446" t="inlineStr">
        <is>
          <t xml:space="preserve">INF109K01CQ1</t>
        </is>
      </c>
    </row>
    <row r="4447">
      <c r="A4447" t="inlineStr">
        <is>
          <t xml:space="preserve">ICICI Prudential Mutual Fund</t>
        </is>
      </c>
      <c r="B4447" t="inlineStr">
        <is>
          <t xml:space="preserve">ICICI Prudential Corporate Bond Fund - Half Yearly IDCW Option</t>
        </is>
      </c>
      <c r="C4447" t="inlineStr">
        <is>
          <t xml:space="preserve">INF109KA1N12</t>
        </is>
      </c>
    </row>
    <row r="4448">
      <c r="A4448" t="inlineStr">
        <is>
          <t xml:space="preserve">ICICI Prudential Mutual Fund</t>
        </is>
      </c>
      <c r="B4448" t="inlineStr">
        <is>
          <t xml:space="preserve">ICICI Prudential Corporate Bond Fund - Monthly IDCW</t>
        </is>
      </c>
      <c r="C4448" t="inlineStr">
        <is>
          <t xml:space="preserve">INF109K01SK0</t>
        </is>
      </c>
    </row>
    <row r="4449">
      <c r="A4449" t="inlineStr">
        <is>
          <t xml:space="preserve">ICICI Prudential Mutual Fund</t>
        </is>
      </c>
      <c r="B4449" t="inlineStr">
        <is>
          <t xml:space="preserve">ICICI Prudential Corporate Bond Fund - Premium Daily Dividend</t>
        </is>
      </c>
      <c r="C4449" t="inlineStr">
        <is>
          <t xml:space="preserve">INF109K01CL2</t>
        </is>
      </c>
    </row>
    <row r="4450">
      <c r="A4450" t="inlineStr">
        <is>
          <t xml:space="preserve">ICICI Prudential Mutual Fund</t>
        </is>
      </c>
      <c r="B4450" t="inlineStr">
        <is>
          <t xml:space="preserve">ICICI Prudential Corporate Bond Fund - Premium Monthly Dividend</t>
        </is>
      </c>
      <c r="C4450" t="inlineStr">
        <is>
          <t xml:space="preserve">INF109K01CO6</t>
        </is>
      </c>
    </row>
    <row r="4451">
      <c r="A4451" t="inlineStr">
        <is>
          <t xml:space="preserve">ICICI Prudential Mutual Fund</t>
        </is>
      </c>
      <c r="B4451" t="inlineStr">
        <is>
          <t xml:space="preserve">ICICI Prudential Corporate Bond Fund - Weekly IDCW</t>
        </is>
      </c>
      <c r="C4451" t="inlineStr">
        <is>
          <t xml:space="preserve">INF109K01SL8</t>
        </is>
      </c>
    </row>
    <row r="4452">
      <c r="A4452" t="inlineStr">
        <is>
          <t xml:space="preserve">ICICI Prudential Mutual Fund</t>
        </is>
      </c>
      <c r="B4452" t="inlineStr">
        <is>
          <t xml:space="preserve">ICICI Prudential Corporate Bond Fund -Quarterly IDCW</t>
        </is>
      </c>
      <c r="C4452" t="inlineStr">
        <is>
          <t xml:space="preserve">INF109K01SN4</t>
        </is>
      </c>
    </row>
    <row r="4453">
      <c r="A4453" t="inlineStr">
        <is>
          <t xml:space="preserve">ICICI Prudential Mutual Fund</t>
        </is>
      </c>
      <c r="B4453" t="inlineStr">
        <is>
          <t xml:space="preserve">ICICI Prudential Corporate Bond Fund Retail Daily Dividend</t>
        </is>
      </c>
      <c r="C4453" t="inlineStr">
        <is>
          <t xml:space="preserve">INF109K01CF4</t>
        </is>
      </c>
    </row>
    <row r="4454">
      <c r="A4454" t="inlineStr">
        <is>
          <t xml:space="preserve">ICICI Prudential Mutual Fund</t>
        </is>
      </c>
      <c r="B4454" t="inlineStr">
        <is>
          <t xml:space="preserve">ICICI Prudential Corporate Bond Fund Retail Fort Nightly Dividend</t>
        </is>
      </c>
      <c r="C4454" t="inlineStr">
        <is>
          <t xml:space="preserve">INF109K01SF0</t>
        </is>
      </c>
    </row>
    <row r="4455">
      <c r="A4455" t="inlineStr">
        <is>
          <t xml:space="preserve">ICICI Prudential Mutual Fund</t>
        </is>
      </c>
      <c r="B4455" t="inlineStr">
        <is>
          <t xml:space="preserve">ICICI Prudential Corporate Bond Fund Retail Growth</t>
        </is>
      </c>
      <c r="C4455" t="inlineStr">
        <is>
          <t xml:space="preserve">INF109K01CE7</t>
        </is>
      </c>
    </row>
    <row r="4456">
      <c r="A4456" t="inlineStr">
        <is>
          <t xml:space="preserve">ICICI Prudential Mutual Fund</t>
        </is>
      </c>
      <c r="B4456" t="inlineStr">
        <is>
          <t xml:space="preserve">ICICI Prudential Corporate Bond Fund Retail Monthly Dividend</t>
        </is>
      </c>
      <c r="C4456" t="inlineStr">
        <is>
          <t xml:space="preserve">INF109K01QM0</t>
        </is>
      </c>
    </row>
    <row r="4457">
      <c r="A4457" t="inlineStr">
        <is>
          <t xml:space="preserve">ICICI Prudential Mutual Fund</t>
        </is>
      </c>
      <c r="B4457" t="inlineStr">
        <is>
          <t xml:space="preserve">ICICI Prudential Corporate Bond Fund Retail Quarterly Dividend</t>
        </is>
      </c>
      <c r="C4457" t="inlineStr">
        <is>
          <t xml:space="preserve">INF109K01FQ4</t>
        </is>
      </c>
    </row>
    <row r="4458">
      <c r="A4458" t="inlineStr">
        <is>
          <t xml:space="preserve">ICICI Prudential Mutual Fund</t>
        </is>
      </c>
      <c r="B4458" t="inlineStr">
        <is>
          <t xml:space="preserve">ICICI Prudential Corporate Bond Fund Retail Weekly Dividend</t>
        </is>
      </c>
      <c r="C4458" t="inlineStr">
        <is>
          <t xml:space="preserve">INF109K01SE3</t>
        </is>
      </c>
    </row>
    <row r="4459">
      <c r="A4459" t="inlineStr">
        <is>
          <t xml:space="preserve">ICICI Prudential Mutual Fund</t>
        </is>
      </c>
      <c r="B4459" t="inlineStr">
        <is>
          <t xml:space="preserve">ICICI Prudential Credit Risk Fund - Annual IDCW</t>
        </is>
      </c>
      <c r="C4459" t="inlineStr">
        <is>
          <t xml:space="preserve">INF109KB1AF0</t>
        </is>
      </c>
    </row>
    <row r="4460">
      <c r="A4460" t="inlineStr">
        <is>
          <t xml:space="preserve">ICICI Prudential Mutual Fund</t>
        </is>
      </c>
      <c r="B4460" t="inlineStr">
        <is>
          <t xml:space="preserve">ICICI Prudential Credit Risk Fund - Bonus</t>
        </is>
      </c>
      <c r="C4460" t="inlineStr">
        <is>
          <t xml:space="preserve">INF109KA1I27</t>
        </is>
      </c>
    </row>
    <row r="4461">
      <c r="A4461" t="inlineStr">
        <is>
          <t xml:space="preserve">ICICI Prudential Mutual Fund</t>
        </is>
      </c>
      <c r="B4461" t="inlineStr">
        <is>
          <t xml:space="preserve">ICICI Prudential Credit Risk Fund - Direct Plan - Annual IDCW</t>
        </is>
      </c>
      <c r="C4461" t="inlineStr">
        <is>
          <t xml:space="preserve">INF109KB1AD5</t>
        </is>
      </c>
    </row>
    <row r="4462">
      <c r="A4462" t="inlineStr">
        <is>
          <t xml:space="preserve">ICICI Prudential Mutual Fund</t>
        </is>
      </c>
      <c r="B4462" t="inlineStr">
        <is>
          <t xml:space="preserve">ICICI Prudential Credit Risk Fund - Direct Plan - Growth</t>
        </is>
      </c>
      <c r="C4462" t="inlineStr">
        <is>
          <t xml:space="preserve">INF109K01V00</t>
        </is>
      </c>
    </row>
    <row r="4463">
      <c r="A4463" t="inlineStr">
        <is>
          <t xml:space="preserve">ICICI Prudential Mutual Fund</t>
        </is>
      </c>
      <c r="B4463" t="inlineStr">
        <is>
          <t xml:space="preserve">ICICI Prudential Credit Risk Fund - Direct Plan - Half Yearly IDCW</t>
        </is>
      </c>
      <c r="C4463" t="inlineStr">
        <is>
          <t xml:space="preserve">INF109K01V18</t>
        </is>
      </c>
    </row>
    <row r="4464">
      <c r="A4464" t="inlineStr">
        <is>
          <t xml:space="preserve">ICICI Prudential Mutual Fund</t>
        </is>
      </c>
      <c r="B4464" t="inlineStr">
        <is>
          <t xml:space="preserve">ICICI Prudential Credit Risk Fund - Direct Plan - Quarterly IDCW</t>
        </is>
      </c>
      <c r="C4464" t="inlineStr">
        <is>
          <t xml:space="preserve">INF109K01V34</t>
        </is>
      </c>
    </row>
    <row r="4465">
      <c r="A4465" t="inlineStr">
        <is>
          <t xml:space="preserve">ICICI Prudential Mutual Fund</t>
        </is>
      </c>
      <c r="B4465" t="inlineStr">
        <is>
          <t xml:space="preserve">ICICI Prudential Credit Risk Fund - Direct Plan Bonus</t>
        </is>
      </c>
      <c r="C4465" t="inlineStr">
        <is>
          <t xml:space="preserve">INF109KA1I19</t>
        </is>
      </c>
    </row>
    <row r="4466">
      <c r="A4466" t="inlineStr">
        <is>
          <t xml:space="preserve">ICICI Prudential Mutual Fund</t>
        </is>
      </c>
      <c r="B4466" t="inlineStr">
        <is>
          <t xml:space="preserve">ICICI Prudential Credit Risk Fund - Growth</t>
        </is>
      </c>
      <c r="C4466" t="inlineStr">
        <is>
          <t xml:space="preserve">INF109K01GU4</t>
        </is>
      </c>
    </row>
    <row r="4467">
      <c r="A4467" t="inlineStr">
        <is>
          <t xml:space="preserve">ICICI Prudential Mutual Fund</t>
        </is>
      </c>
      <c r="B4467" t="inlineStr">
        <is>
          <t xml:space="preserve">ICICI Prudential Credit Risk Fund - Half Yearly IDCW</t>
        </is>
      </c>
      <c r="C4467" t="inlineStr">
        <is>
          <t xml:space="preserve">INF109K01GX8</t>
        </is>
      </c>
    </row>
    <row r="4468">
      <c r="A4468" t="inlineStr">
        <is>
          <t xml:space="preserve">ICICI Prudential Mutual Fund</t>
        </is>
      </c>
      <c r="B4468" t="inlineStr">
        <is>
          <t xml:space="preserve">ICICI Prudential Credit Risk Fund - Quarterly IDCW</t>
        </is>
      </c>
      <c r="C4468" t="inlineStr">
        <is>
          <t xml:space="preserve">INF109K01GV2</t>
        </is>
      </c>
    </row>
    <row r="4469">
      <c r="A4469" t="inlineStr">
        <is>
          <t xml:space="preserve">ICICI Prudential Mutual Fund</t>
        </is>
      </c>
      <c r="B4469" t="inlineStr">
        <is>
          <t xml:space="preserve">ICICI Prudential CRISIL-IBX AAA Bond Financial Services Index -Dec 2026 Fund - Annual IDCW</t>
        </is>
      </c>
      <c r="C4469" t="inlineStr">
        <is>
          <t xml:space="preserve">INF109KC19Z4</t>
        </is>
      </c>
    </row>
    <row r="4470">
      <c r="A4470" t="inlineStr">
        <is>
          <t xml:space="preserve">ICICI Prudential Mutual Fund</t>
        </is>
      </c>
      <c r="B4470" t="inlineStr">
        <is>
          <t xml:space="preserve">ICICI Prudential CRISIL-IBX AAA Bond Financial Services Index -Dec 2026 Fund - Growth</t>
        </is>
      </c>
      <c r="C4470" t="inlineStr">
        <is>
          <t xml:space="preserve">INF109KC18Z6</t>
        </is>
      </c>
    </row>
    <row r="4471">
      <c r="A4471" t="inlineStr">
        <is>
          <t xml:space="preserve">ICICI Prudential Mutual Fund</t>
        </is>
      </c>
      <c r="B4471" t="inlineStr">
        <is>
          <t xml:space="preserve">ICICI Prudential CRISIL-IBX AAA Bond Financial Services Index -Dec 2026 Fund- Direct Plan - Annual IDCW</t>
        </is>
      </c>
      <c r="C4471" t="inlineStr">
        <is>
          <t xml:space="preserve">INF109KC16Z0</t>
        </is>
      </c>
    </row>
    <row r="4472">
      <c r="A4472" t="inlineStr">
        <is>
          <t xml:space="preserve">ICICI Prudential Mutual Fund</t>
        </is>
      </c>
      <c r="B4472" t="inlineStr">
        <is>
          <t xml:space="preserve">ICICI Prudential CRISIL-IBX AAA Bond Financial Services Index -Dec 2026 Fund- Direct Plan - Growth</t>
        </is>
      </c>
      <c r="C4472" t="inlineStr">
        <is>
          <t xml:space="preserve">INF109KC15Z2</t>
        </is>
      </c>
    </row>
    <row r="4473">
      <c r="A4473" t="inlineStr">
        <is>
          <t xml:space="preserve">ICICI Prudential Mutual Fund</t>
        </is>
      </c>
      <c r="B4473" t="inlineStr">
        <is>
          <t xml:space="preserve">ICICI Prudential CRISIL-IBX Financial Services 3-6 Months Debt Index Fund - Annual IDCW</t>
        </is>
      </c>
      <c r="C4473" t="inlineStr">
        <is>
          <t xml:space="preserve">INF109K1A054</t>
        </is>
      </c>
    </row>
    <row r="4474">
      <c r="A4474" t="inlineStr">
        <is>
          <t xml:space="preserve">ICICI Prudential Mutual Fund</t>
        </is>
      </c>
      <c r="B4474" t="inlineStr">
        <is>
          <t xml:space="preserve">ICICI Prudential CRISIL-IBX Financial Services 3-6 Months Debt Index Fund - Direct Plan - Annual IDCW</t>
        </is>
      </c>
      <c r="C4474" t="inlineStr">
        <is>
          <t xml:space="preserve">INF109K1A070</t>
        </is>
      </c>
    </row>
    <row r="4475">
      <c r="A4475" t="inlineStr">
        <is>
          <t xml:space="preserve">ICICI Prudential Mutual Fund</t>
        </is>
      </c>
      <c r="B4475" t="inlineStr">
        <is>
          <t xml:space="preserve">ICICI Prudential CRISIL-IBX Financial Services 3-6 Months Debt Index Fund - Direct Plan - Growth</t>
        </is>
      </c>
      <c r="C4475" t="inlineStr">
        <is>
          <t xml:space="preserve">INF109K1A062</t>
        </is>
      </c>
    </row>
    <row r="4476">
      <c r="A4476" t="inlineStr">
        <is>
          <t xml:space="preserve">ICICI Prudential Mutual Fund</t>
        </is>
      </c>
      <c r="B4476" t="inlineStr">
        <is>
          <t xml:space="preserve">ICICI Prudential CRISIL-IBX Financial Services 3-6 Months Debt Index Fund - Growth</t>
        </is>
      </c>
      <c r="C4476" t="inlineStr">
        <is>
          <t xml:space="preserve">INF109K1A039</t>
        </is>
      </c>
    </row>
    <row r="4477">
      <c r="A4477" t="inlineStr">
        <is>
          <t xml:space="preserve">ICICI Prudential Mutual Fund</t>
        </is>
      </c>
      <c r="B4477" t="inlineStr">
        <is>
          <t xml:space="preserve">ICICI Prudential Diversified Debt Strategy Active FOF  - Direct Plan - Growth</t>
        </is>
      </c>
      <c r="C4477" t="inlineStr">
        <is>
          <t xml:space="preserve">INF109K01X73</t>
        </is>
      </c>
    </row>
    <row r="4478">
      <c r="A4478" t="inlineStr">
        <is>
          <t xml:space="preserve">ICICI Prudential Mutual Fund</t>
        </is>
      </c>
      <c r="B4478" t="inlineStr">
        <is>
          <t xml:space="preserve">ICICI Prudential Diversified Debt Strategy Active FOF - Direct Plan -  IDCW</t>
        </is>
      </c>
      <c r="C4478" t="inlineStr">
        <is>
          <t xml:space="preserve">INF109K01X57</t>
        </is>
      </c>
    </row>
    <row r="4479">
      <c r="A4479" t="inlineStr">
        <is>
          <t xml:space="preserve">ICICI Prudential Mutual Fund</t>
        </is>
      </c>
      <c r="B4479" t="inlineStr">
        <is>
          <t xml:space="preserve">ICICI Prudential Diversified Debt Strategy Active FOF - Growth</t>
        </is>
      </c>
      <c r="C4479" t="inlineStr">
        <is>
          <t xml:space="preserve">INF109K01878</t>
        </is>
      </c>
    </row>
    <row r="4480">
      <c r="A4480" t="inlineStr">
        <is>
          <t xml:space="preserve">ICICI Prudential Mutual Fund</t>
        </is>
      </c>
      <c r="B4480" t="inlineStr">
        <is>
          <t xml:space="preserve">ICICI Prudential Diversified Debt Strategy Active FOF - IDCW</t>
        </is>
      </c>
      <c r="C4480" t="inlineStr">
        <is>
          <t xml:space="preserve">INF109K01FS0</t>
        </is>
      </c>
    </row>
    <row r="4481">
      <c r="A4481" t="inlineStr">
        <is>
          <t xml:space="preserve">ICICI Prudential Mutual Fund</t>
        </is>
      </c>
      <c r="B4481" t="inlineStr">
        <is>
          <t xml:space="preserve">ICICI Prudential Diversified Equity All Cap Active FOF - Direct Plan - Growth</t>
        </is>
      </c>
      <c r="C4481" t="inlineStr">
        <is>
          <t xml:space="preserve">INF109K1A468</t>
        </is>
      </c>
    </row>
    <row r="4482">
      <c r="A4482" t="inlineStr">
        <is>
          <t xml:space="preserve">ICICI Prudential Mutual Fund</t>
        </is>
      </c>
      <c r="B4482" t="inlineStr">
        <is>
          <t xml:space="preserve">ICICI Prudential Diversified Equity All Cap Active FOF - Growth</t>
        </is>
      </c>
      <c r="C4482" t="inlineStr">
        <is>
          <t xml:space="preserve">INF109K1A450</t>
        </is>
      </c>
    </row>
    <row r="4483">
      <c r="A4483" t="inlineStr">
        <is>
          <t xml:space="preserve">ICICI Prudential Mutual Fund</t>
        </is>
      </c>
      <c r="B4483" t="inlineStr">
        <is>
          <t xml:space="preserve">ICICI Prudential Diversified Equity All Cap Omni FOF - Direct Plan - Growth</t>
        </is>
      </c>
      <c r="C4483" t="inlineStr">
        <is>
          <t xml:space="preserve">INF109KC1I49</t>
        </is>
      </c>
    </row>
    <row r="4484">
      <c r="A4484" t="inlineStr">
        <is>
          <t xml:space="preserve">ICICI Prudential Mutual Fund</t>
        </is>
      </c>
      <c r="B4484" t="inlineStr">
        <is>
          <t xml:space="preserve">ICICI Prudential Diversified Equity All Cap Omni FOF - Direct Plan - IDCW</t>
        </is>
      </c>
      <c r="C4484" t="inlineStr">
        <is>
          <t xml:space="preserve">INF109KC1I64</t>
        </is>
      </c>
    </row>
    <row r="4485">
      <c r="A4485" t="inlineStr">
        <is>
          <t xml:space="preserve">ICICI Prudential Mutual Fund</t>
        </is>
      </c>
      <c r="B4485" t="inlineStr">
        <is>
          <t xml:space="preserve">ICICI Prudential Diversified Equity All Cap Omni FOF - Growth</t>
        </is>
      </c>
      <c r="C4485" t="inlineStr">
        <is>
          <t xml:space="preserve">INF109KC1I15</t>
        </is>
      </c>
    </row>
    <row r="4486">
      <c r="A4486" t="inlineStr">
        <is>
          <t xml:space="preserve">ICICI Prudential Mutual Fund</t>
        </is>
      </c>
      <c r="B4486" t="inlineStr">
        <is>
          <t xml:space="preserve">ICICI Prudential Diversified Equity All Cap Omni FOF - IDCW</t>
        </is>
      </c>
      <c r="C4486" t="inlineStr">
        <is>
          <t xml:space="preserve">INF109KC1I31</t>
        </is>
      </c>
    </row>
    <row r="4487">
      <c r="A4487" t="inlineStr">
        <is>
          <t xml:space="preserve">ICICI Prudential Mutual Fund</t>
        </is>
      </c>
      <c r="B4487" t="inlineStr">
        <is>
          <t xml:space="preserve">ICICI Prudential Dividend Yield Equity Fund Direct Plan Growth Option</t>
        </is>
      </c>
      <c r="C4487" t="inlineStr">
        <is>
          <t xml:space="preserve">INF109KA1UA0</t>
        </is>
      </c>
    </row>
    <row r="4488">
      <c r="A4488" t="inlineStr">
        <is>
          <t xml:space="preserve">ICICI Prudential Mutual Fund</t>
        </is>
      </c>
      <c r="B4488" t="inlineStr">
        <is>
          <t xml:space="preserve">ICICI Prudential Dividend Yield Equity Fund Direct Plan IDCW Option</t>
        </is>
      </c>
      <c r="C4488" t="inlineStr">
        <is>
          <t xml:space="preserve">INF109KA1UB8</t>
        </is>
      </c>
    </row>
    <row r="4489">
      <c r="A4489" t="inlineStr">
        <is>
          <t xml:space="preserve">ICICI Prudential Mutual Fund</t>
        </is>
      </c>
      <c r="B4489" t="inlineStr">
        <is>
          <t xml:space="preserve">ICICI Prudential Dividend Yield Equity Fund Growth Option</t>
        </is>
      </c>
      <c r="C4489" t="inlineStr">
        <is>
          <t xml:space="preserve">INF109KA1TX4</t>
        </is>
      </c>
    </row>
    <row r="4490">
      <c r="A4490" t="inlineStr">
        <is>
          <t xml:space="preserve">ICICI Prudential Mutual Fund</t>
        </is>
      </c>
      <c r="B4490" t="inlineStr">
        <is>
          <t xml:space="preserve">ICICI Prudential Dividend Yield Equity Fund IDCW Option</t>
        </is>
      </c>
      <c r="C4490" t="inlineStr">
        <is>
          <t xml:space="preserve">INF109KA1TY2</t>
        </is>
      </c>
    </row>
    <row r="4491">
      <c r="A4491" t="inlineStr">
        <is>
          <t xml:space="preserve">ICICI Prudential Mutual Fund</t>
        </is>
      </c>
      <c r="B4491" t="inlineStr">
        <is>
          <t xml:space="preserve">ICICI Prudential Dynamic Asset Allocation Active FOF - Direct Plan - Growth</t>
        </is>
      </c>
      <c r="C4491" t="inlineStr">
        <is>
          <t xml:space="preserve">INF109K01X16</t>
        </is>
      </c>
    </row>
    <row r="4492">
      <c r="A4492" t="inlineStr">
        <is>
          <t xml:space="preserve">ICICI Prudential Mutual Fund</t>
        </is>
      </c>
      <c r="B4492" t="inlineStr">
        <is>
          <t xml:space="preserve">ICICI Prudential Dynamic Asset Allocation Active FOF - Direct Plan - IDCW</t>
        </is>
      </c>
      <c r="C4492" t="inlineStr">
        <is>
          <t xml:space="preserve">INF109K01W90</t>
        </is>
      </c>
    </row>
    <row r="4493">
      <c r="A4493" t="inlineStr">
        <is>
          <t xml:space="preserve">ICICI Prudential Mutual Fund</t>
        </is>
      </c>
      <c r="B4493" t="inlineStr">
        <is>
          <t xml:space="preserve">ICICI Prudential Dynamic Asset Allocation Active FOF - Growth</t>
        </is>
      </c>
      <c r="C4493" t="inlineStr">
        <is>
          <t xml:space="preserve">INF109K01837</t>
        </is>
      </c>
    </row>
    <row r="4494">
      <c r="A4494" t="inlineStr">
        <is>
          <t xml:space="preserve">ICICI Prudential Mutual Fund</t>
        </is>
      </c>
      <c r="B4494" t="inlineStr">
        <is>
          <t xml:space="preserve">ICICI Prudential Dynamic Asset Allocation Active FOF - IDCW</t>
        </is>
      </c>
      <c r="C4494" t="inlineStr">
        <is>
          <t xml:space="preserve">INF109K01FJ9</t>
        </is>
      </c>
    </row>
    <row r="4495">
      <c r="A4495" t="inlineStr">
        <is>
          <t xml:space="preserve">ICICI Prudential Mutual Fund</t>
        </is>
      </c>
      <c r="B4495" t="inlineStr">
        <is>
          <t xml:space="preserve">ICICI Prudential Dynamic Bond Fund - Annual Dividend</t>
        </is>
      </c>
      <c r="C4495" t="inlineStr">
        <is>
          <t xml:space="preserve">INF109KA15C5</t>
        </is>
      </c>
    </row>
    <row r="4496">
      <c r="A4496" t="inlineStr">
        <is>
          <t xml:space="preserve">ICICI Prudential Mutual Fund</t>
        </is>
      </c>
      <c r="B4496" t="inlineStr">
        <is>
          <t xml:space="preserve">ICICI Prudential Dynamic Bond Fund - Bonus</t>
        </is>
      </c>
      <c r="C4496" t="inlineStr">
        <is>
          <t xml:space="preserve">INF109KA1350</t>
        </is>
      </c>
    </row>
    <row r="4497">
      <c r="A4497" t="inlineStr">
        <is>
          <t xml:space="preserve">ICICI Prudential Mutual Fund</t>
        </is>
      </c>
      <c r="B4497" t="inlineStr">
        <is>
          <t xml:space="preserve">ICICI Prudential Dynamic Bond Fund - Daily Dividend</t>
        </is>
      </c>
      <c r="C4497" t="inlineStr">
        <is>
          <t xml:space="preserve">INF109K01PJ8</t>
        </is>
      </c>
    </row>
    <row r="4498">
      <c r="A4498" t="inlineStr">
        <is>
          <t xml:space="preserve">ICICI Prudential Mutual Fund</t>
        </is>
      </c>
      <c r="B4498" t="inlineStr">
        <is>
          <t xml:space="preserve">ICICI Prudential Dynamic Bond Fund - Direct Plan -  Daily Dividend</t>
        </is>
      </c>
      <c r="C4498" t="inlineStr">
        <is>
          <t xml:space="preserve">INF109K016K2</t>
        </is>
      </c>
    </row>
    <row r="4499">
      <c r="A4499" t="inlineStr">
        <is>
          <t xml:space="preserve">ICICI Prudential Mutual Fund</t>
        </is>
      </c>
      <c r="B4499" t="inlineStr">
        <is>
          <t xml:space="preserve">ICICI Prudential Dynamic Bond Fund - Direct Plan -  Growth</t>
        </is>
      </c>
      <c r="C4499" t="inlineStr">
        <is>
          <t xml:space="preserve">INF109K017K0</t>
        </is>
      </c>
    </row>
    <row r="4500">
      <c r="A4500" t="inlineStr">
        <is>
          <t xml:space="preserve">ICICI Prudential Mutual Fund</t>
        </is>
      </c>
      <c r="B4500" t="inlineStr">
        <is>
          <t xml:space="preserve">ICICI Prudential Dynamic Bond Fund - Direct Plan -  Half Yearly Dividend</t>
        </is>
      </c>
      <c r="C4500" t="inlineStr">
        <is>
          <t xml:space="preserve">INF109K018K8</t>
        </is>
      </c>
    </row>
    <row r="4501">
      <c r="A4501" t="inlineStr">
        <is>
          <t xml:space="preserve">ICICI Prudential Mutual Fund</t>
        </is>
      </c>
      <c r="B4501" t="inlineStr">
        <is>
          <t xml:space="preserve">ICICI Prudential Dynamic Bond Fund - Direct Plan -  Monthly Dividend</t>
        </is>
      </c>
      <c r="C4501" t="inlineStr">
        <is>
          <t xml:space="preserve">INF109K010L3</t>
        </is>
      </c>
    </row>
    <row r="4502">
      <c r="A4502" t="inlineStr">
        <is>
          <t xml:space="preserve">ICICI Prudential Mutual Fund</t>
        </is>
      </c>
      <c r="B4502" t="inlineStr">
        <is>
          <t xml:space="preserve">ICICI Prudential Dynamic Bond Fund - Direct Plan - Annual Dividend</t>
        </is>
      </c>
      <c r="C4502" t="inlineStr">
        <is>
          <t xml:space="preserve">INF109KA17C1</t>
        </is>
      </c>
    </row>
    <row r="4503">
      <c r="A4503" t="inlineStr">
        <is>
          <t xml:space="preserve">ICICI Prudential Mutual Fund</t>
        </is>
      </c>
      <c r="B4503" t="inlineStr">
        <is>
          <t xml:space="preserve">ICICI Prudential Dynamic Bond Fund - Direct Plan - Bonus Option</t>
        </is>
      </c>
      <c r="C4503" t="inlineStr">
        <is>
          <t xml:space="preserve">INF109KA1343</t>
        </is>
      </c>
    </row>
    <row r="4504">
      <c r="A4504" t="inlineStr">
        <is>
          <t xml:space="preserve">ICICI Prudential Mutual Fund</t>
        </is>
      </c>
      <c r="B4504" t="inlineStr">
        <is>
          <t xml:space="preserve">ICICI Prudential Dynamic Bond Fund - Direct Plan - Quarterly Dividend</t>
        </is>
      </c>
      <c r="C4504" t="inlineStr">
        <is>
          <t xml:space="preserve">INF109K012L9</t>
        </is>
      </c>
    </row>
    <row r="4505">
      <c r="A4505" t="inlineStr">
        <is>
          <t xml:space="preserve">ICICI Prudential Mutual Fund</t>
        </is>
      </c>
      <c r="B4505" t="inlineStr">
        <is>
          <t xml:space="preserve">ICICI Prudential Dynamic Bond Fund - Growth</t>
        </is>
      </c>
      <c r="C4505" t="inlineStr">
        <is>
          <t xml:space="preserve">INF109K01CB3</t>
        </is>
      </c>
    </row>
    <row r="4506">
      <c r="A4506" t="inlineStr">
        <is>
          <t xml:space="preserve">ICICI Prudential Mutual Fund</t>
        </is>
      </c>
      <c r="B4506" t="inlineStr">
        <is>
          <t xml:space="preserve">ICICI Prudential Dynamic Bond Fund - Half Yearly Dividend</t>
        </is>
      </c>
      <c r="C4506" t="inlineStr">
        <is>
          <t xml:space="preserve">INF109K01PK6</t>
        </is>
      </c>
    </row>
    <row r="4507">
      <c r="A4507" t="inlineStr">
        <is>
          <t xml:space="preserve">ICICI Prudential Mutual Fund</t>
        </is>
      </c>
      <c r="B4507" t="inlineStr">
        <is>
          <t xml:space="preserve">ICICI Prudential Dynamic Bond Fund - Monthly Dividend</t>
        </is>
      </c>
      <c r="C4507" t="inlineStr">
        <is>
          <t xml:space="preserve">INF109K01FE0</t>
        </is>
      </c>
    </row>
    <row r="4508">
      <c r="A4508" t="inlineStr">
        <is>
          <t xml:space="preserve">ICICI Prudential Mutual Fund</t>
        </is>
      </c>
      <c r="B4508" t="inlineStr">
        <is>
          <t xml:space="preserve">ICICI Prudential Dynamic Bond Fund - Premium Plus Growth</t>
        </is>
      </c>
      <c r="C4508" t="inlineStr">
        <is>
          <t xml:space="preserve">INF109K01RW7</t>
        </is>
      </c>
    </row>
    <row r="4509">
      <c r="A4509" t="inlineStr">
        <is>
          <t xml:space="preserve">ICICI Prudential Mutual Fund</t>
        </is>
      </c>
      <c r="B4509" t="inlineStr">
        <is>
          <t xml:space="preserve">ICICI Prudential Dynamic Bond Fund - Quarterly Dividend</t>
        </is>
      </c>
      <c r="C4509" t="inlineStr">
        <is>
          <t xml:space="preserve">INF109K01FF7</t>
        </is>
      </c>
    </row>
    <row r="4510">
      <c r="A4510" t="inlineStr">
        <is>
          <t xml:space="preserve">ICICI Prudential Mutual Fund</t>
        </is>
      </c>
      <c r="B4510" t="inlineStr">
        <is>
          <t xml:space="preserve">ICICI Prudential ELSS Tax Saver Fund - Direct Plan - Growth</t>
        </is>
      </c>
      <c r="C4510" t="inlineStr">
        <is>
          <t xml:space="preserve">INF109K01Y31</t>
        </is>
      </c>
    </row>
    <row r="4511">
      <c r="A4511" t="inlineStr">
        <is>
          <t xml:space="preserve">ICICI Prudential Mutual Fund</t>
        </is>
      </c>
      <c r="B4511" t="inlineStr">
        <is>
          <t xml:space="preserve">ICICI Prudential ELSS Tax Saver Fund - Direct Plan - IDCW</t>
        </is>
      </c>
      <c r="C4511" t="inlineStr">
        <is>
          <t xml:space="preserve">INF109K01Y15</t>
        </is>
      </c>
    </row>
    <row r="4512">
      <c r="A4512" t="inlineStr">
        <is>
          <t xml:space="preserve">ICICI Prudential Mutual Fund</t>
        </is>
      </c>
      <c r="B4512" t="inlineStr">
        <is>
          <t xml:space="preserve">ICICI Prudential ELSS Tax Saver Fund - Growth</t>
        </is>
      </c>
      <c r="C4512" t="inlineStr">
        <is>
          <t xml:space="preserve">INF109K01464</t>
        </is>
      </c>
    </row>
    <row r="4513">
      <c r="A4513" t="inlineStr">
        <is>
          <t xml:space="preserve">ICICI Prudential Mutual Fund</t>
        </is>
      </c>
      <c r="B4513" t="inlineStr">
        <is>
          <t xml:space="preserve">ICICI Prudential ELSS Tax Saver Fund - IDCW</t>
        </is>
      </c>
      <c r="C4513" t="inlineStr">
        <is>
          <t xml:space="preserve">INF109K01FN1</t>
        </is>
      </c>
    </row>
    <row r="4514">
      <c r="A4514" t="inlineStr">
        <is>
          <t xml:space="preserve">ICICI Prudential Mutual Fund</t>
        </is>
      </c>
      <c r="B4514" t="inlineStr">
        <is>
          <t xml:space="preserve">ICICI PRUDENTIAL ENERGY OPPORTUNITIES FUND - Direct Plan - Growth</t>
        </is>
      </c>
      <c r="C4514" t="inlineStr">
        <is>
          <t xml:space="preserve">INF109KC12W6</t>
        </is>
      </c>
    </row>
    <row r="4515">
      <c r="A4515" t="inlineStr">
        <is>
          <t xml:space="preserve">ICICI Prudential Mutual Fund</t>
        </is>
      </c>
      <c r="B4515" t="inlineStr">
        <is>
          <t xml:space="preserve">ICICI PRUDENTIAL ENERGY OPPORTUNITIES FUND - Direct Plan - IDCW</t>
        </is>
      </c>
      <c r="C4515" t="inlineStr">
        <is>
          <t xml:space="preserve">INF109KC13W4</t>
        </is>
      </c>
    </row>
    <row r="4516">
      <c r="A4516" t="inlineStr">
        <is>
          <t xml:space="preserve">ICICI Prudential Mutual Fund</t>
        </is>
      </c>
      <c r="B4516" t="inlineStr">
        <is>
          <t xml:space="preserve">ICICI PRUDENTIAL ENERGY OPPORTUNITIES FUND - Growth</t>
        </is>
      </c>
      <c r="C4516" t="inlineStr">
        <is>
          <t xml:space="preserve">INF109KC15W9</t>
        </is>
      </c>
    </row>
    <row r="4517">
      <c r="A4517" t="inlineStr">
        <is>
          <t xml:space="preserve">ICICI Prudential Mutual Fund</t>
        </is>
      </c>
      <c r="B4517" t="inlineStr">
        <is>
          <t xml:space="preserve">ICICI PRUDENTIAL ENERGY OPPORTUNITIES FUND - IDCW</t>
        </is>
      </c>
      <c r="C4517" t="inlineStr">
        <is>
          <t xml:space="preserve">INF109KC16W7</t>
        </is>
      </c>
    </row>
    <row r="4518">
      <c r="A4518" t="inlineStr">
        <is>
          <t xml:space="preserve">ICICI Prudential Mutual Fund</t>
        </is>
      </c>
      <c r="B4518" t="inlineStr">
        <is>
          <t xml:space="preserve">ICICI Prudential Equity &amp; Debt Fund - Annual IDCW</t>
        </is>
      </c>
      <c r="C4518" t="inlineStr">
        <is>
          <t xml:space="preserve">INF109KB1QK6</t>
        </is>
      </c>
    </row>
    <row r="4519">
      <c r="A4519" t="inlineStr">
        <is>
          <t xml:space="preserve">ICICI Prudential Mutual Fund</t>
        </is>
      </c>
      <c r="B4519" t="inlineStr">
        <is>
          <t xml:space="preserve">ICICI Prudential Equity &amp; Debt Fund - Direct Plan - Annual IDCW</t>
        </is>
      </c>
      <c r="C4519" t="inlineStr">
        <is>
          <t xml:space="preserve">INF109KB1QM2</t>
        </is>
      </c>
    </row>
    <row r="4520">
      <c r="A4520" t="inlineStr">
        <is>
          <t xml:space="preserve">ICICI Prudential Mutual Fund</t>
        </is>
      </c>
      <c r="B4520" t="inlineStr">
        <is>
          <t xml:space="preserve">ICICI Prudential Equity &amp; Debt Fund - Direct Plan - Growth</t>
        </is>
      </c>
      <c r="C4520" t="inlineStr">
        <is>
          <t xml:space="preserve">INF109K01Y07</t>
        </is>
      </c>
    </row>
    <row r="4521">
      <c r="A4521" t="inlineStr">
        <is>
          <t xml:space="preserve">ICICI Prudential Mutual Fund</t>
        </is>
      </c>
      <c r="B4521" t="inlineStr">
        <is>
          <t xml:space="preserve">ICICI Prudential Equity &amp; Debt Fund - Direct Plan - Half Yearly IDCW</t>
        </is>
      </c>
      <c r="C4521" t="inlineStr">
        <is>
          <t xml:space="preserve">INF109KA1Y19</t>
        </is>
      </c>
    </row>
    <row r="4522">
      <c r="A4522" t="inlineStr">
        <is>
          <t xml:space="preserve">ICICI Prudential Mutual Fund</t>
        </is>
      </c>
      <c r="B4522" t="inlineStr">
        <is>
          <t xml:space="preserve">ICICI Prudential Equity &amp; Debt Fund - Direct Plan - Monthly IDCW</t>
        </is>
      </c>
      <c r="C4522" t="inlineStr">
        <is>
          <t xml:space="preserve">INF109K01X81</t>
        </is>
      </c>
    </row>
    <row r="4523">
      <c r="A4523" t="inlineStr">
        <is>
          <t xml:space="preserve">ICICI Prudential Mutual Fund</t>
        </is>
      </c>
      <c r="B4523" t="inlineStr">
        <is>
          <t xml:space="preserve">ICICI Prudential Equity &amp; Debt Fund - Growth</t>
        </is>
      </c>
      <c r="C4523" t="inlineStr">
        <is>
          <t xml:space="preserve">INF109K01480</t>
        </is>
      </c>
    </row>
    <row r="4524">
      <c r="A4524" t="inlineStr">
        <is>
          <t xml:space="preserve">ICICI Prudential Mutual Fund</t>
        </is>
      </c>
      <c r="B4524" t="inlineStr">
        <is>
          <t xml:space="preserve">ICICI Prudential Equity &amp; Debt Fund - Half Yearly IDCW</t>
        </is>
      </c>
      <c r="C4524" t="inlineStr">
        <is>
          <t xml:space="preserve">INF109KA1X93</t>
        </is>
      </c>
    </row>
    <row r="4525">
      <c r="A4525" t="inlineStr">
        <is>
          <t xml:space="preserve">ICICI Prudential Mutual Fund</t>
        </is>
      </c>
      <c r="B4525" t="inlineStr">
        <is>
          <t xml:space="preserve">ICICI Prudential Equity &amp; Debt Fund - Monthly IDCW</t>
        </is>
      </c>
      <c r="C4525" t="inlineStr">
        <is>
          <t xml:space="preserve">INF109K01DX5</t>
        </is>
      </c>
    </row>
    <row r="4526">
      <c r="A4526" t="inlineStr">
        <is>
          <t xml:space="preserve">ICICI Prudential Mutual Fund</t>
        </is>
      </c>
      <c r="B4526" t="inlineStr">
        <is>
          <t xml:space="preserve">ICICI Prudential Equity - Arbitrage Fund-Institutional Growth Option</t>
        </is>
      </c>
      <c r="C4526" t="inlineStr">
        <is>
          <t xml:space="preserve">INF109K01BD1</t>
        </is>
      </c>
    </row>
    <row r="4527">
      <c r="A4527" t="inlineStr">
        <is>
          <t xml:space="preserve">ICICI Prudential Mutual Fund</t>
        </is>
      </c>
      <c r="B4527" t="inlineStr">
        <is>
          <t xml:space="preserve">ICICI Prudential Equity Arbitrage Fund - Bonus</t>
        </is>
      </c>
      <c r="C4527" t="inlineStr">
        <is>
          <t xml:space="preserve">INF109KA1C15</t>
        </is>
      </c>
    </row>
    <row r="4528">
      <c r="A4528" t="inlineStr">
        <is>
          <t xml:space="preserve">ICICI Prudential Mutual Fund</t>
        </is>
      </c>
      <c r="B4528" t="inlineStr">
        <is>
          <t xml:space="preserve">ICICI Prudential Equity Arbitrage Fund - Direct Plan Bonus</t>
        </is>
      </c>
      <c r="C4528" t="inlineStr">
        <is>
          <t xml:space="preserve">INF109KA1C07</t>
        </is>
      </c>
    </row>
    <row r="4529">
      <c r="A4529" t="inlineStr">
        <is>
          <t xml:space="preserve">ICICI Prudential Mutual Fund</t>
        </is>
      </c>
      <c r="B4529" t="inlineStr">
        <is>
          <t xml:space="preserve">ICICI Prudential Equity Minimum Variance Fund - Direct Plan - Growth</t>
        </is>
      </c>
      <c r="C4529" t="inlineStr">
        <is>
          <t xml:space="preserve">INF109KC10Y6</t>
        </is>
      </c>
    </row>
    <row r="4530">
      <c r="A4530" t="inlineStr">
        <is>
          <t xml:space="preserve">ICICI Prudential Mutual Fund</t>
        </is>
      </c>
      <c r="B4530" t="inlineStr">
        <is>
          <t xml:space="preserve">ICICI Prudential Equity Minimum Variance Fund - Direct Plan - IDCW</t>
        </is>
      </c>
      <c r="C4530" t="inlineStr">
        <is>
          <t xml:space="preserve">INF109KC12Y2</t>
        </is>
      </c>
    </row>
    <row r="4531">
      <c r="A4531" t="inlineStr">
        <is>
          <t xml:space="preserve">ICICI Prudential Mutual Fund</t>
        </is>
      </c>
      <c r="B4531" t="inlineStr">
        <is>
          <t xml:space="preserve">ICICI Prudential Equity Minimum Variance Fund - Growth</t>
        </is>
      </c>
      <c r="C4531" t="inlineStr">
        <is>
          <t xml:space="preserve">INF109KC17X3</t>
        </is>
      </c>
    </row>
    <row r="4532">
      <c r="A4532" t="inlineStr">
        <is>
          <t xml:space="preserve">ICICI Prudential Mutual Fund</t>
        </is>
      </c>
      <c r="B4532" t="inlineStr">
        <is>
          <t xml:space="preserve">ICICI Prudential Equity Minimum Variance Fund - IDCW</t>
        </is>
      </c>
      <c r="C4532" t="inlineStr">
        <is>
          <t xml:space="preserve">INF109KC19X9</t>
        </is>
      </c>
    </row>
    <row r="4533">
      <c r="A4533" t="inlineStr">
        <is>
          <t xml:space="preserve">ICICI Prudential Mutual Fund</t>
        </is>
      </c>
      <c r="B4533" t="inlineStr">
        <is>
          <t xml:space="preserve">ICICI Prudential Equity Savings Fund - Cumulative option</t>
        </is>
      </c>
      <c r="C4533" t="inlineStr">
        <is>
          <t xml:space="preserve">INF109KA14I5</t>
        </is>
      </c>
    </row>
    <row r="4534">
      <c r="A4534" t="inlineStr">
        <is>
          <t xml:space="preserve">ICICI Prudential Mutual Fund</t>
        </is>
      </c>
      <c r="B4534" t="inlineStr">
        <is>
          <t xml:space="preserve">ICICI Prudential Equity Savings Fund - Direct Plan - Cumulative option</t>
        </is>
      </c>
      <c r="C4534" t="inlineStr">
        <is>
          <t xml:space="preserve">INF109KA11J9</t>
        </is>
      </c>
    </row>
    <row r="4535">
      <c r="A4535" t="inlineStr">
        <is>
          <t xml:space="preserve">ICICI Prudential Mutual Fund</t>
        </is>
      </c>
      <c r="B4535" t="inlineStr">
        <is>
          <t xml:space="preserve">ICICI Prudential Equity Savings Fund - Direct Plan - Half Yearly IDCW</t>
        </is>
      </c>
      <c r="C4535" t="inlineStr">
        <is>
          <t xml:space="preserve">INF109KA14J3</t>
        </is>
      </c>
    </row>
    <row r="4536">
      <c r="A4536" t="inlineStr">
        <is>
          <t xml:space="preserve">ICICI Prudential Mutual Fund</t>
        </is>
      </c>
      <c r="B4536" t="inlineStr">
        <is>
          <t xml:space="preserve">ICICI Prudential Equity Savings Fund - Direct Plan - Monthly IDCW</t>
        </is>
      </c>
      <c r="C4536" t="inlineStr">
        <is>
          <t xml:space="preserve">INF109KA12J7</t>
        </is>
      </c>
    </row>
    <row r="4537">
      <c r="A4537" t="inlineStr">
        <is>
          <t xml:space="preserve">ICICI Prudential Mutual Fund</t>
        </is>
      </c>
      <c r="B4537" t="inlineStr">
        <is>
          <t xml:space="preserve">ICICI Prudential Equity Savings Fund - Direct Plan - Quarterly IDCW</t>
        </is>
      </c>
      <c r="C4537" t="inlineStr">
        <is>
          <t xml:space="preserve">INF109KA13J5</t>
        </is>
      </c>
    </row>
    <row r="4538">
      <c r="A4538" t="inlineStr">
        <is>
          <t xml:space="preserve">ICICI Prudential Mutual Fund</t>
        </is>
      </c>
      <c r="B4538" t="inlineStr">
        <is>
          <t xml:space="preserve">ICICI Prudential Equity Savings Fund - Half Yearly IDCW</t>
        </is>
      </c>
      <c r="C4538" t="inlineStr">
        <is>
          <t xml:space="preserve">INF109KA17I8</t>
        </is>
      </c>
    </row>
    <row r="4539">
      <c r="A4539" t="inlineStr">
        <is>
          <t xml:space="preserve">ICICI Prudential Mutual Fund</t>
        </is>
      </c>
      <c r="B4539" t="inlineStr">
        <is>
          <t xml:space="preserve">ICICI Prudential Equity Savings Fund - Monthly IDCW</t>
        </is>
      </c>
      <c r="C4539" t="inlineStr">
        <is>
          <t xml:space="preserve">INF109KA15I2</t>
        </is>
      </c>
    </row>
    <row r="4540">
      <c r="A4540" t="inlineStr">
        <is>
          <t xml:space="preserve">ICICI Prudential Mutual Fund</t>
        </is>
      </c>
      <c r="B4540" t="inlineStr">
        <is>
          <t xml:space="preserve">ICICI Prudential Equity Savings Fund - Quarterly IDCW</t>
        </is>
      </c>
      <c r="C4540" t="inlineStr">
        <is>
          <t xml:space="preserve">INF109KA16I0</t>
        </is>
      </c>
    </row>
    <row r="4541">
      <c r="A4541" t="inlineStr">
        <is>
          <t xml:space="preserve">ICICI Prudential Mutual Fund</t>
        </is>
      </c>
      <c r="B4541" t="inlineStr">
        <is>
          <t xml:space="preserve">ICICI Prudential Equity Savings Fund - Series 1  - Dividend</t>
        </is>
      </c>
      <c r="C4541" t="inlineStr">
        <is>
          <t xml:space="preserve">INF109KA1LK8</t>
        </is>
      </c>
    </row>
    <row r="4542">
      <c r="A4542" t="inlineStr">
        <is>
          <t xml:space="preserve">ICICI Prudential Mutual Fund</t>
        </is>
      </c>
      <c r="B4542" t="inlineStr">
        <is>
          <t xml:space="preserve">ICICI Prudential Equity Savings Fund - Series 1 - Cumulative</t>
        </is>
      </c>
      <c r="C4542" t="inlineStr">
        <is>
          <t xml:space="preserve">INF109KA1LJ0</t>
        </is>
      </c>
    </row>
    <row r="4543">
      <c r="A4543" t="inlineStr">
        <is>
          <t xml:space="preserve">ICICI Prudential Mutual Fund</t>
        </is>
      </c>
      <c r="B4543" t="inlineStr">
        <is>
          <t xml:space="preserve">ICICI Prudential Equity Savings Fund - Series 1 Direct Plan - Cumulative</t>
        </is>
      </c>
      <c r="C4543" t="inlineStr">
        <is>
          <t xml:space="preserve">INF109KA1LL6</t>
        </is>
      </c>
    </row>
    <row r="4544">
      <c r="A4544" t="inlineStr">
        <is>
          <t xml:space="preserve">ICICI Prudential Mutual Fund</t>
        </is>
      </c>
      <c r="B4544" t="inlineStr">
        <is>
          <t xml:space="preserve">ICICI Prudential Equity Savings Fund - Series 1 Direct Plan - Dividend</t>
        </is>
      </c>
      <c r="C4544" t="inlineStr">
        <is>
          <t xml:space="preserve">INF109KA1LM4</t>
        </is>
      </c>
    </row>
    <row r="4545">
      <c r="A4545" t="inlineStr">
        <is>
          <t xml:space="preserve">ICICI Prudential Mutual Fund</t>
        </is>
      </c>
      <c r="B4545" t="inlineStr">
        <is>
          <t xml:space="preserve">ICICI Prudential ESG Exclusionary Strategy Fund - Direct Plan - Growth</t>
        </is>
      </c>
      <c r="C4545" t="inlineStr">
        <is>
          <t xml:space="preserve">INF109KC1O09</t>
        </is>
      </c>
    </row>
    <row r="4546">
      <c r="A4546" t="inlineStr">
        <is>
          <t xml:space="preserve">ICICI Prudential Mutual Fund</t>
        </is>
      </c>
      <c r="B4546" t="inlineStr">
        <is>
          <t xml:space="preserve">ICICI Prudential ESG Exclusionary Strategy Fund - Direct Plan - IDCW</t>
        </is>
      </c>
      <c r="C4546" t="inlineStr">
        <is>
          <t xml:space="preserve">INF109KC1O25</t>
        </is>
      </c>
    </row>
    <row r="4547">
      <c r="A4547" t="inlineStr">
        <is>
          <t xml:space="preserve">ICICI Prudential Mutual Fund</t>
        </is>
      </c>
      <c r="B4547" t="inlineStr">
        <is>
          <t xml:space="preserve">ICICI Prudential ESG Exclusionary Strategy Fund - Growth</t>
        </is>
      </c>
      <c r="C4547" t="inlineStr">
        <is>
          <t xml:space="preserve">INF109KC1N75</t>
        </is>
      </c>
    </row>
    <row r="4548">
      <c r="A4548" t="inlineStr">
        <is>
          <t xml:space="preserve">ICICI Prudential Mutual Fund</t>
        </is>
      </c>
      <c r="B4548" t="inlineStr">
        <is>
          <t xml:space="preserve">ICICI Prudential ESG Exclusionary Strategy Fund - IDCW</t>
        </is>
      </c>
      <c r="C4548" t="inlineStr">
        <is>
          <t xml:space="preserve">INF109KC1N91</t>
        </is>
      </c>
    </row>
    <row r="4549">
      <c r="A4549" t="inlineStr">
        <is>
          <t xml:space="preserve">ICICI Prudential Mutual Fund</t>
        </is>
      </c>
      <c r="B4549" t="inlineStr">
        <is>
          <t xml:space="preserve">ICICI Prudential Exports &amp; Services Fund - Direct Plan - Growth</t>
        </is>
      </c>
      <c r="C4549" t="inlineStr">
        <is>
          <t xml:space="preserve">INF109K01W25</t>
        </is>
      </c>
    </row>
    <row r="4550">
      <c r="A4550" t="inlineStr">
        <is>
          <t xml:space="preserve">ICICI Prudential Mutual Fund</t>
        </is>
      </c>
      <c r="B4550" t="inlineStr">
        <is>
          <t xml:space="preserve">ICICI Prudential Exports &amp; Services Fund - Direct Plan - IDCW</t>
        </is>
      </c>
      <c r="C4550" t="inlineStr">
        <is>
          <t xml:space="preserve">INF109K01W09</t>
        </is>
      </c>
    </row>
    <row r="4551">
      <c r="A4551" t="inlineStr">
        <is>
          <t xml:space="preserve">ICICI Prudential Mutual Fund</t>
        </is>
      </c>
      <c r="B4551" t="inlineStr">
        <is>
          <t xml:space="preserve">ICICI Prudential Exports &amp; Services Fund - Growth</t>
        </is>
      </c>
      <c r="C4551" t="inlineStr">
        <is>
          <t xml:space="preserve">INF109K01BB5</t>
        </is>
      </c>
    </row>
    <row r="4552">
      <c r="A4552" t="inlineStr">
        <is>
          <t xml:space="preserve">ICICI Prudential Mutual Fund</t>
        </is>
      </c>
      <c r="B4552" t="inlineStr">
        <is>
          <t xml:space="preserve">ICICI Prudential Exports &amp; Services Fund - IDCW</t>
        </is>
      </c>
      <c r="C4552" t="inlineStr">
        <is>
          <t xml:space="preserve">INF109K01FL5</t>
        </is>
      </c>
    </row>
    <row r="4553">
      <c r="A4553" t="inlineStr">
        <is>
          <t xml:space="preserve">ICICI Prudential Mutual Fund</t>
        </is>
      </c>
      <c r="B4553" t="inlineStr">
        <is>
          <t xml:space="preserve">ICICI Prudential Fixed Maturity Plan - Corporate Bond Series B - 1100 Days - Cumulative Option</t>
        </is>
      </c>
      <c r="C4553" t="inlineStr">
        <is>
          <t xml:space="preserve">INF109KA1ZU7</t>
        </is>
      </c>
    </row>
    <row r="4554">
      <c r="A4554" t="inlineStr">
        <is>
          <t xml:space="preserve">ICICI Prudential Mutual Fund</t>
        </is>
      </c>
      <c r="B4554" t="inlineStr">
        <is>
          <t xml:space="preserve">ICICI Prudential Fixed Maturity Plan - Corporate Bond Series B - 1100 Days - Direct Plan - Cumulative Option</t>
        </is>
      </c>
      <c r="C4554" t="inlineStr">
        <is>
          <t xml:space="preserve">INF109KA1ZW3</t>
        </is>
      </c>
    </row>
    <row r="4555">
      <c r="A4555" t="inlineStr">
        <is>
          <t xml:space="preserve">ICICI Prudential Mutual Fund</t>
        </is>
      </c>
      <c r="B4555" t="inlineStr">
        <is>
          <t xml:space="preserve">ICICI Prudential Fixed Maturity Plan - Corporate Bond Series B - 1100 Days - Direct Plan - Dividend Option</t>
        </is>
      </c>
      <c r="C4555" t="inlineStr">
        <is>
          <t xml:space="preserve">INF109KA1ZX1</t>
        </is>
      </c>
    </row>
    <row r="4556">
      <c r="A4556" t="inlineStr">
        <is>
          <t xml:space="preserve">ICICI Prudential Mutual Fund</t>
        </is>
      </c>
      <c r="B4556" t="inlineStr">
        <is>
          <t xml:space="preserve">ICICI Prudential Fixed Maturity Plan - Corporate Bond Series B - 1100 Days - Dividend Option</t>
        </is>
      </c>
      <c r="C4556" t="inlineStr">
        <is>
          <t xml:space="preserve">INF109KA1ZV5</t>
        </is>
      </c>
    </row>
    <row r="4557">
      <c r="A4557" t="inlineStr">
        <is>
          <t xml:space="preserve">ICICI Prudential Mutual Fund</t>
        </is>
      </c>
      <c r="B4557" t="inlineStr">
        <is>
          <t xml:space="preserve">ICICI Prudential Fixed Maturity Plan - Seires 79 - 1106 Days Plan M Cumulative Option</t>
        </is>
      </c>
      <c r="C4557" t="inlineStr">
        <is>
          <t xml:space="preserve">INF109KB1ZI1</t>
        </is>
      </c>
    </row>
    <row r="4558">
      <c r="A4558" t="inlineStr">
        <is>
          <t xml:space="preserve">ICICI Prudential Mutual Fund</t>
        </is>
      </c>
      <c r="B4558" t="inlineStr">
        <is>
          <t xml:space="preserve">ICICI Prudential Fixed Maturity Plan - Series - 74 -367 days Plan Z Cumulative Option</t>
        </is>
      </c>
      <c r="C4558" t="inlineStr">
        <is>
          <t xml:space="preserve">INF109KB1JF1</t>
        </is>
      </c>
    </row>
    <row r="4559">
      <c r="A4559" t="inlineStr">
        <is>
          <t xml:space="preserve">ICICI Prudential Mutual Fund</t>
        </is>
      </c>
      <c r="B4559" t="inlineStr">
        <is>
          <t xml:space="preserve">ICICI Prudential Fixed Maturity Plan - Series -74 - 367 Days Plan Z Direct Plan Dividend Option</t>
        </is>
      </c>
      <c r="C4559" t="inlineStr">
        <is>
          <t xml:space="preserve">INF109KB1JI5</t>
        </is>
      </c>
    </row>
    <row r="4560">
      <c r="A4560" t="inlineStr">
        <is>
          <t xml:space="preserve">ICICI Prudential Mutual Fund</t>
        </is>
      </c>
      <c r="B4560" t="inlineStr">
        <is>
          <t xml:space="preserve">ICICI Prudential Fixed Maturity Plan - Series -74 - 367 Days Plan Z Dividend Option</t>
        </is>
      </c>
      <c r="C4560" t="inlineStr">
        <is>
          <t xml:space="preserve">INF109KB1JG9</t>
        </is>
      </c>
    </row>
    <row r="4561">
      <c r="A4561" t="inlineStr">
        <is>
          <t xml:space="preserve">ICICI Prudential Mutual Fund</t>
        </is>
      </c>
      <c r="B4561" t="inlineStr">
        <is>
          <t xml:space="preserve">ICICI Prudential Fixed Maturity Plan - Series 74 - 1092 Days Plan P - Cumulative Option</t>
        </is>
      </c>
      <c r="C4561" t="inlineStr">
        <is>
          <t xml:space="preserve">INF109KA1VB6</t>
        </is>
      </c>
    </row>
    <row r="4562">
      <c r="A4562" t="inlineStr">
        <is>
          <t xml:space="preserve">ICICI Prudential Mutual Fund</t>
        </is>
      </c>
      <c r="B4562" t="inlineStr">
        <is>
          <t xml:space="preserve">ICICI Prudential Fixed Maturity Plan - Series 74 - 1092 Days Plan P - Dividend Option</t>
        </is>
      </c>
      <c r="C4562" t="inlineStr">
        <is>
          <t xml:space="preserve">INF109KA1VC4</t>
        </is>
      </c>
    </row>
    <row r="4563">
      <c r="A4563" t="inlineStr">
        <is>
          <t xml:space="preserve">ICICI Prudential Mutual Fund</t>
        </is>
      </c>
      <c r="B4563" t="inlineStr">
        <is>
          <t xml:space="preserve">ICICI Prudential Fixed Maturity Plan - Series 74 - 1092 Days Plan P Direct Plan Dividend Option</t>
        </is>
      </c>
      <c r="C4563" t="inlineStr">
        <is>
          <t xml:space="preserve">INF109KA1VE0</t>
        </is>
      </c>
    </row>
    <row r="4564">
      <c r="A4564" t="inlineStr">
        <is>
          <t xml:space="preserve">ICICI Prudential Mutual Fund</t>
        </is>
      </c>
      <c r="B4564" t="inlineStr">
        <is>
          <t xml:space="preserve">ICICI Prudential Fixed Maturity Plan - Series 74 - 1092 Days Plan P Direct Plan-Cumulative Option</t>
        </is>
      </c>
      <c r="C4564" t="inlineStr">
        <is>
          <t xml:space="preserve">INF109KA1VD2</t>
        </is>
      </c>
    </row>
    <row r="4565">
      <c r="A4565" t="inlineStr">
        <is>
          <t xml:space="preserve">ICICI Prudential Mutual Fund</t>
        </is>
      </c>
      <c r="B4565" t="inlineStr">
        <is>
          <t xml:space="preserve">ICICI Prudential Fixed Maturity Plan - Series 74 - 367 Days Plan N  Cumulative Option</t>
        </is>
      </c>
      <c r="C4565" t="inlineStr">
        <is>
          <t xml:space="preserve">INF109KB1FU8</t>
        </is>
      </c>
    </row>
    <row r="4566">
      <c r="A4566" t="inlineStr">
        <is>
          <t xml:space="preserve">ICICI Prudential Mutual Fund</t>
        </is>
      </c>
      <c r="B4566" t="inlineStr">
        <is>
          <t xml:space="preserve">ICICI Prudential Fixed Maturity Plan - Series 74 - 367 Days Plan N Direct Plan Cumulative Option</t>
        </is>
      </c>
      <c r="C4566" t="inlineStr">
        <is>
          <t xml:space="preserve">INF109KB1FS2</t>
        </is>
      </c>
    </row>
    <row r="4567">
      <c r="A4567" t="inlineStr">
        <is>
          <t xml:space="preserve">ICICI Prudential Mutual Fund</t>
        </is>
      </c>
      <c r="B4567" t="inlineStr">
        <is>
          <t xml:space="preserve">ICICI Prudential Fixed Maturity Plan - Series 74 - 367 Days Plan N Dividend Option</t>
        </is>
      </c>
      <c r="C4567" t="inlineStr">
        <is>
          <t xml:space="preserve">INF109KB1FT0</t>
        </is>
      </c>
    </row>
    <row r="4568">
      <c r="A4568" t="inlineStr">
        <is>
          <t xml:space="preserve">ICICI Prudential Mutual Fund</t>
        </is>
      </c>
      <c r="B4568" t="inlineStr">
        <is>
          <t xml:space="preserve">ICICI Prudential Fixed Maturity Plan - Series 74 - 367 Days Plan Z Direct Plan Cumulative Option</t>
        </is>
      </c>
      <c r="C4568" t="inlineStr">
        <is>
          <t xml:space="preserve">INF109KB1JH7</t>
        </is>
      </c>
    </row>
    <row r="4569">
      <c r="A4569" t="inlineStr">
        <is>
          <t xml:space="preserve">ICICI Prudential Mutual Fund</t>
        </is>
      </c>
      <c r="B4569" t="inlineStr">
        <is>
          <t xml:space="preserve">ICICI Prudential Fixed Maturity Plan - Series 74 - 368 Days Plan Y Cumulative Option</t>
        </is>
      </c>
      <c r="C4569" t="inlineStr">
        <is>
          <t xml:space="preserve">INF109KB1JB0</t>
        </is>
      </c>
    </row>
    <row r="4570">
      <c r="A4570" t="inlineStr">
        <is>
          <t xml:space="preserve">ICICI Prudential Mutual Fund</t>
        </is>
      </c>
      <c r="B4570" t="inlineStr">
        <is>
          <t xml:space="preserve">ICICI Prudential Fixed Maturity Plan - Series 74 - 368 Days Plan Y Direct Plan Cumulative Option</t>
        </is>
      </c>
      <c r="C4570" t="inlineStr">
        <is>
          <t xml:space="preserve">INF109KB1JD6</t>
        </is>
      </c>
    </row>
    <row r="4571">
      <c r="A4571" t="inlineStr">
        <is>
          <t xml:space="preserve">ICICI Prudential Mutual Fund</t>
        </is>
      </c>
      <c r="B4571" t="inlineStr">
        <is>
          <t xml:space="preserve">ICICI Prudential Fixed Maturity Plan - Series 74 - 368 Days Plan Y Dividend Option</t>
        </is>
      </c>
      <c r="C4571" t="inlineStr">
        <is>
          <t xml:space="preserve">INF109KB1JC8</t>
        </is>
      </c>
    </row>
    <row r="4572">
      <c r="A4572" t="inlineStr">
        <is>
          <t xml:space="preserve">ICICI Prudential Mutual Fund</t>
        </is>
      </c>
      <c r="B4572" t="inlineStr">
        <is>
          <t xml:space="preserve">ICICI Prudential Fixed Maturity Plan - Series 74 - 369 Days Plan K - Cumulative Option</t>
        </is>
      </c>
      <c r="C4572" t="inlineStr">
        <is>
          <t xml:space="preserve">INF109KB1FM5</t>
        </is>
      </c>
    </row>
    <row r="4573">
      <c r="A4573" t="inlineStr">
        <is>
          <t xml:space="preserve">ICICI Prudential Mutual Fund</t>
        </is>
      </c>
      <c r="B4573" t="inlineStr">
        <is>
          <t xml:space="preserve">ICICI Prudential Fixed Maturity Plan - Series 74 - 369 Days Plan K Direct Plan Dividend Option</t>
        </is>
      </c>
      <c r="C4573" t="inlineStr">
        <is>
          <t xml:space="preserve">INF109KB1FJ1</t>
        </is>
      </c>
    </row>
    <row r="4574">
      <c r="A4574" t="inlineStr">
        <is>
          <t xml:space="preserve">ICICI Prudential Mutual Fund</t>
        </is>
      </c>
      <c r="B4574" t="inlineStr">
        <is>
          <t xml:space="preserve">ICICI Prudential Fixed Maturity Plan - Series 74 - 370 Days Plan Q Cumulative Option</t>
        </is>
      </c>
      <c r="C4574" t="inlineStr">
        <is>
          <t xml:space="preserve">INF109KB1GJ9</t>
        </is>
      </c>
    </row>
    <row r="4575">
      <c r="A4575" t="inlineStr">
        <is>
          <t xml:space="preserve">ICICI Prudential Mutual Fund</t>
        </is>
      </c>
      <c r="B4575" t="inlineStr">
        <is>
          <t xml:space="preserve">ICICI Prudential Fixed Maturity Plan - Series 74 - 370 Days Plan V - Cumulative Option</t>
        </is>
      </c>
      <c r="C4575" t="inlineStr">
        <is>
          <t xml:space="preserve">INF109KB1IH9</t>
        </is>
      </c>
    </row>
    <row r="4576">
      <c r="A4576" t="inlineStr">
        <is>
          <t xml:space="preserve">ICICI Prudential Mutual Fund</t>
        </is>
      </c>
      <c r="B4576" t="inlineStr">
        <is>
          <t xml:space="preserve">ICICI Prudential Fixed Maturity Plan - Series 74 - 370 Days Plan V - Dividend Option</t>
        </is>
      </c>
      <c r="C4576" t="inlineStr">
        <is>
          <t xml:space="preserve">INF109KB1II7</t>
        </is>
      </c>
    </row>
    <row r="4577">
      <c r="A4577" t="inlineStr">
        <is>
          <t xml:space="preserve">ICICI Prudential Mutual Fund</t>
        </is>
      </c>
      <c r="B4577" t="inlineStr">
        <is>
          <t xml:space="preserve">ICICI Prudential Fixed Maturity Plan - Series 74 - 370 Days Plan V Direct Plan Cumulative Option</t>
        </is>
      </c>
      <c r="C4577" t="inlineStr">
        <is>
          <t xml:space="preserve">INF109KB1IJ5</t>
        </is>
      </c>
    </row>
    <row r="4578">
      <c r="A4578" t="inlineStr">
        <is>
          <t xml:space="preserve">ICICI Prudential Mutual Fund</t>
        </is>
      </c>
      <c r="B4578" t="inlineStr">
        <is>
          <t xml:space="preserve">ICICI Prudential Fixed Maturity Plan - Series 74 - 370 Days Plan V Direct Plan Dividend Option</t>
        </is>
      </c>
      <c r="C4578" t="inlineStr">
        <is>
          <t xml:space="preserve">INF109KB1IK3</t>
        </is>
      </c>
    </row>
    <row r="4579">
      <c r="A4579" t="inlineStr">
        <is>
          <t xml:space="preserve">ICICI Prudential Mutual Fund</t>
        </is>
      </c>
      <c r="B4579" t="inlineStr">
        <is>
          <t xml:space="preserve">ICICI Prudential Fixed Maturity Plan - Series 74 - 370 Days Plan X Cumulative Option</t>
        </is>
      </c>
      <c r="C4579" t="inlineStr">
        <is>
          <t xml:space="preserve">INF109KB1JJ3</t>
        </is>
      </c>
    </row>
    <row r="4580">
      <c r="A4580" t="inlineStr">
        <is>
          <t xml:space="preserve">ICICI Prudential Mutual Fund</t>
        </is>
      </c>
      <c r="B4580" t="inlineStr">
        <is>
          <t xml:space="preserve">ICICI Prudential Fixed Maturity Plan - Series 74 - 370 Days Plan X Direct Plan Cumulative Option</t>
        </is>
      </c>
      <c r="C4580" t="inlineStr">
        <is>
          <t xml:space="preserve">INF109KB1JL9</t>
        </is>
      </c>
    </row>
    <row r="4581">
      <c r="A4581" t="inlineStr">
        <is>
          <t xml:space="preserve">ICICI Prudential Mutual Fund</t>
        </is>
      </c>
      <c r="B4581" t="inlineStr">
        <is>
          <t xml:space="preserve">ICICI Prudential Fixed Maturity Plan - Series 74 - 370 Days Plan X Direct Plan Dividend Option</t>
        </is>
      </c>
      <c r="C4581" t="inlineStr">
        <is>
          <t xml:space="preserve">INF109KB1JM7</t>
        </is>
      </c>
    </row>
    <row r="4582">
      <c r="A4582" t="inlineStr">
        <is>
          <t xml:space="preserve">ICICI Prudential Mutual Fund</t>
        </is>
      </c>
      <c r="B4582" t="inlineStr">
        <is>
          <t xml:space="preserve">ICICI Prudential Fixed Maturity Plan - Series 74 - 370 Days Plan X Dividend Option</t>
        </is>
      </c>
      <c r="C4582" t="inlineStr">
        <is>
          <t xml:space="preserve">INF109KB1JK1</t>
        </is>
      </c>
    </row>
    <row r="4583">
      <c r="A4583" t="inlineStr">
        <is>
          <t xml:space="preserve">ICICI Prudential Mutual Fund</t>
        </is>
      </c>
      <c r="B4583" t="inlineStr">
        <is>
          <t xml:space="preserve">ICICI Prudential Fixed Maturity Plan - Series 74 - 780 Days Plan E Cumulative Option</t>
        </is>
      </c>
      <c r="C4583" t="inlineStr">
        <is>
          <t xml:space="preserve">INF109KB1XL0</t>
        </is>
      </c>
    </row>
    <row r="4584">
      <c r="A4584" t="inlineStr">
        <is>
          <t xml:space="preserve">ICICI Prudential Mutual Fund</t>
        </is>
      </c>
      <c r="B4584" t="inlineStr">
        <is>
          <t xml:space="preserve">ICICI Prudential Fixed Maturity Plan - Series 74 - 780 Days Plan E Direct Plan Cumulative Option</t>
        </is>
      </c>
      <c r="C4584" t="inlineStr">
        <is>
          <t xml:space="preserve">INF109KB1XN6</t>
        </is>
      </c>
    </row>
    <row r="4585">
      <c r="A4585" t="inlineStr">
        <is>
          <t xml:space="preserve">ICICI Prudential Mutual Fund</t>
        </is>
      </c>
      <c r="B4585" t="inlineStr">
        <is>
          <t xml:space="preserve">ICICI Prudential Fixed Maturity Plan - Series 74 - 780 Days Plan E Direct Plan Dividend Option</t>
        </is>
      </c>
      <c r="C4585" t="inlineStr">
        <is>
          <t xml:space="preserve">INF109KB1XO4</t>
        </is>
      </c>
    </row>
    <row r="4586">
      <c r="A4586" t="inlineStr">
        <is>
          <t xml:space="preserve">ICICI Prudential Mutual Fund</t>
        </is>
      </c>
      <c r="B4586" t="inlineStr">
        <is>
          <t xml:space="preserve">ICICI Prudential Fixed Maturity Plan - Series 74 - 780 Days Plan E Dividend Option</t>
        </is>
      </c>
      <c r="C4586" t="inlineStr">
        <is>
          <t xml:space="preserve">INF109KB1XM8</t>
        </is>
      </c>
    </row>
    <row r="4587">
      <c r="A4587" t="inlineStr">
        <is>
          <t xml:space="preserve">ICICI Prudential Mutual Fund</t>
        </is>
      </c>
      <c r="B4587" t="inlineStr">
        <is>
          <t xml:space="preserve">ICICI Prudential Fixed Maturity Plan - Series 74 - 9 Years Plan U Direct Plan IDCW Option</t>
        </is>
      </c>
      <c r="C4587" t="inlineStr">
        <is>
          <t xml:space="preserve">INF109KA1WP4</t>
        </is>
      </c>
    </row>
    <row r="4588">
      <c r="A4588" t="inlineStr">
        <is>
          <t xml:space="preserve">ICICI Prudential Mutual Fund</t>
        </is>
      </c>
      <c r="B4588" t="inlineStr">
        <is>
          <t xml:space="preserve">ICICI Prudential Fixed Maturity Plan - Series 74 -369 Days Plan T Direct Plan Cumulative Option</t>
        </is>
      </c>
      <c r="C4588" t="inlineStr">
        <is>
          <t xml:space="preserve">INF109KB1GL5</t>
        </is>
      </c>
    </row>
    <row r="4589">
      <c r="A4589" t="inlineStr">
        <is>
          <t xml:space="preserve">ICICI Prudential Mutual Fund</t>
        </is>
      </c>
      <c r="B4589" t="inlineStr">
        <is>
          <t xml:space="preserve">ICICI Prudential Fixed Maturity Plan - Series 74 -370 Days Plan Q Direct Plan Cumulative Option</t>
        </is>
      </c>
      <c r="C4589" t="inlineStr">
        <is>
          <t xml:space="preserve">INF109KB1GH3</t>
        </is>
      </c>
    </row>
    <row r="4590">
      <c r="A4590" t="inlineStr">
        <is>
          <t xml:space="preserve">ICICI Prudential Mutual Fund</t>
        </is>
      </c>
      <c r="B4590" t="inlineStr">
        <is>
          <t xml:space="preserve">ICICI Prudential Fixed Maturity Plan - Series 74 -9 Years Plan U Direct Plan Cumulative Option</t>
        </is>
      </c>
      <c r="C4590" t="inlineStr">
        <is>
          <t xml:space="preserve">INF109KA1WO7</t>
        </is>
      </c>
    </row>
    <row r="4591">
      <c r="A4591" t="inlineStr">
        <is>
          <t xml:space="preserve">ICICI Prudential Mutual Fund</t>
        </is>
      </c>
      <c r="B4591" t="inlineStr">
        <is>
          <t xml:space="preserve">ICICI Prudential Fixed Maturity Plan - Series 75 - 1100 Days Plan F Cumulative Option</t>
        </is>
      </c>
      <c r="C4591" t="inlineStr">
        <is>
          <t xml:space="preserve">INF109KA1K23</t>
        </is>
      </c>
    </row>
    <row r="4592">
      <c r="A4592" t="inlineStr">
        <is>
          <t xml:space="preserve">ICICI Prudential Mutual Fund</t>
        </is>
      </c>
      <c r="B4592" t="inlineStr">
        <is>
          <t xml:space="preserve">ICICI Prudential Fixed Maturity Plan - Series 75 - 1100 Days Plan F Direct Plan Cumulative Option</t>
        </is>
      </c>
      <c r="C4592" t="inlineStr">
        <is>
          <t xml:space="preserve">INF109KA1K49</t>
        </is>
      </c>
    </row>
    <row r="4593">
      <c r="A4593" t="inlineStr">
        <is>
          <t xml:space="preserve">ICICI Prudential Mutual Fund</t>
        </is>
      </c>
      <c r="B4593" t="inlineStr">
        <is>
          <t xml:space="preserve">ICICI Prudential Fixed Maturity Plan - Series 75 - 1100 Days Plan F Dividend Option</t>
        </is>
      </c>
      <c r="C4593" t="inlineStr">
        <is>
          <t xml:space="preserve">INF109KA1K31</t>
        </is>
      </c>
    </row>
    <row r="4594">
      <c r="A4594" t="inlineStr">
        <is>
          <t xml:space="preserve">ICICI Prudential Mutual Fund</t>
        </is>
      </c>
      <c r="B4594" t="inlineStr">
        <is>
          <t xml:space="preserve">ICICI Prudential Fixed Maturity Plan - Series 75 - 1100 Days Plan G Cumulative Option</t>
        </is>
      </c>
      <c r="C4594" t="inlineStr">
        <is>
          <t xml:space="preserve">INF109KA1K64</t>
        </is>
      </c>
    </row>
    <row r="4595">
      <c r="A4595" t="inlineStr">
        <is>
          <t xml:space="preserve">ICICI Prudential Mutual Fund</t>
        </is>
      </c>
      <c r="B4595" t="inlineStr">
        <is>
          <t xml:space="preserve">ICICI Prudential Fixed Maturity Plan - Series 75 - 1100 Days Plan G Direct Plan Cumulative Option</t>
        </is>
      </c>
      <c r="C4595" t="inlineStr">
        <is>
          <t xml:space="preserve">INF109KA1K80</t>
        </is>
      </c>
    </row>
    <row r="4596">
      <c r="A4596" t="inlineStr">
        <is>
          <t xml:space="preserve">ICICI Prudential Mutual Fund</t>
        </is>
      </c>
      <c r="B4596" t="inlineStr">
        <is>
          <t xml:space="preserve">ICICI Prudential Fixed Maturity Plan - Series 75 - 1100 Days Plan G Direct Plan Dividend Option</t>
        </is>
      </c>
      <c r="C4596" t="inlineStr">
        <is>
          <t xml:space="preserve">INF109KA1K98</t>
        </is>
      </c>
    </row>
    <row r="4597">
      <c r="A4597" t="inlineStr">
        <is>
          <t xml:space="preserve">ICICI Prudential Mutual Fund</t>
        </is>
      </c>
      <c r="B4597" t="inlineStr">
        <is>
          <t xml:space="preserve">ICICI Prudential Fixed Maturity Plan - Series 75 - 1100 Days Plan G Dividend Option</t>
        </is>
      </c>
      <c r="C4597" t="inlineStr">
        <is>
          <t xml:space="preserve">INF109KA1K72</t>
        </is>
      </c>
    </row>
    <row r="4598">
      <c r="A4598" t="inlineStr">
        <is>
          <t xml:space="preserve">ICICI Prudential Mutual Fund</t>
        </is>
      </c>
      <c r="B4598" t="inlineStr">
        <is>
          <t xml:space="preserve">ICICI Prudential Fixed Maturity Plan - Series 75 - 1100 Days Plan H Cumulative Option</t>
        </is>
      </c>
      <c r="C4598" t="inlineStr">
        <is>
          <t xml:space="preserve">INF109KA1P69</t>
        </is>
      </c>
    </row>
    <row r="4599">
      <c r="A4599" t="inlineStr">
        <is>
          <t xml:space="preserve">ICICI Prudential Mutual Fund</t>
        </is>
      </c>
      <c r="B4599" t="inlineStr">
        <is>
          <t xml:space="preserve">ICICI Prudential Fixed Maturity Plan - Series 75 - 1100 Days Plan H Direct Plan Cumulative Option</t>
        </is>
      </c>
      <c r="C4599" t="inlineStr">
        <is>
          <t xml:space="preserve">INF109KA1P85</t>
        </is>
      </c>
    </row>
    <row r="4600">
      <c r="A4600" t="inlineStr">
        <is>
          <t xml:space="preserve">ICICI Prudential Mutual Fund</t>
        </is>
      </c>
      <c r="B4600" t="inlineStr">
        <is>
          <t xml:space="preserve">ICICI Prudential Fixed Maturity Plan - Series 75 - 1100 Days Plan H Direct Plan Dividend Option</t>
        </is>
      </c>
      <c r="C4600" t="inlineStr">
        <is>
          <t xml:space="preserve">INF109KA1P93</t>
        </is>
      </c>
    </row>
    <row r="4601">
      <c r="A4601" t="inlineStr">
        <is>
          <t xml:space="preserve">ICICI Prudential Mutual Fund</t>
        </is>
      </c>
      <c r="B4601" t="inlineStr">
        <is>
          <t xml:space="preserve">ICICI Prudential Fixed Maturity Plan - Series 75 - 1100 Days Plan H Dividend Option</t>
        </is>
      </c>
      <c r="C4601" t="inlineStr">
        <is>
          <t xml:space="preserve">INF109KA1P77</t>
        </is>
      </c>
    </row>
    <row r="4602">
      <c r="A4602" t="inlineStr">
        <is>
          <t xml:space="preserve">ICICI Prudential Mutual Fund</t>
        </is>
      </c>
      <c r="B4602" t="inlineStr">
        <is>
          <t xml:space="preserve">ICICI Prudential Fixed Maturity Plan - Series 75 - 1100 Days Plan I Cumulative Option</t>
        </is>
      </c>
      <c r="C4602" t="inlineStr">
        <is>
          <t xml:space="preserve">INF109KA1R26</t>
        </is>
      </c>
    </row>
    <row r="4603">
      <c r="A4603" t="inlineStr">
        <is>
          <t xml:space="preserve">ICICI Prudential Mutual Fund</t>
        </is>
      </c>
      <c r="B4603" t="inlineStr">
        <is>
          <t xml:space="preserve">ICICI Prudential Fixed Maturity Plan - Series 75 - 1100 Days Plan I Direct Plan Cumulative Option</t>
        </is>
      </c>
      <c r="C4603" t="inlineStr">
        <is>
          <t xml:space="preserve">INF109KA1R42</t>
        </is>
      </c>
    </row>
    <row r="4604">
      <c r="A4604" t="inlineStr">
        <is>
          <t xml:space="preserve">ICICI Prudential Mutual Fund</t>
        </is>
      </c>
      <c r="B4604" t="inlineStr">
        <is>
          <t xml:space="preserve">ICICI Prudential Fixed Maturity Plan - Series 75 - 1100 Days Plan I Direct Plan Dividend Option</t>
        </is>
      </c>
      <c r="C4604" t="inlineStr">
        <is>
          <t xml:space="preserve">INF109KA1R59</t>
        </is>
      </c>
    </row>
    <row r="4605">
      <c r="A4605" t="inlineStr">
        <is>
          <t xml:space="preserve">ICICI Prudential Mutual Fund</t>
        </is>
      </c>
      <c r="B4605" t="inlineStr">
        <is>
          <t xml:space="preserve">ICICI Prudential Fixed Maturity Plan - Series 75 - 1100 Days Plan I Dividend Option</t>
        </is>
      </c>
      <c r="C4605" t="inlineStr">
        <is>
          <t xml:space="preserve">INF109KA1R34</t>
        </is>
      </c>
    </row>
    <row r="4606">
      <c r="A4606" t="inlineStr">
        <is>
          <t xml:space="preserve">ICICI Prudential Mutual Fund</t>
        </is>
      </c>
      <c r="B4606" t="inlineStr">
        <is>
          <t xml:space="preserve">ICICI Prudential Fixed Maturity Plan - Series 75 - 1100 Days Plan J Cumulative Option</t>
        </is>
      </c>
      <c r="C4606" t="inlineStr">
        <is>
          <t xml:space="preserve">INF109KA1T40</t>
        </is>
      </c>
    </row>
    <row r="4607">
      <c r="A4607" t="inlineStr">
        <is>
          <t xml:space="preserve">ICICI Prudential Mutual Fund</t>
        </is>
      </c>
      <c r="B4607" t="inlineStr">
        <is>
          <t xml:space="preserve">ICICI Prudential Fixed Maturity Plan - Series 75 - 1100 Days Plan J Direct Plan Cumulative Option</t>
        </is>
      </c>
      <c r="C4607" t="inlineStr">
        <is>
          <t xml:space="preserve">INF109KA1T65</t>
        </is>
      </c>
    </row>
    <row r="4608">
      <c r="A4608" t="inlineStr">
        <is>
          <t xml:space="preserve">ICICI Prudential Mutual Fund</t>
        </is>
      </c>
      <c r="B4608" t="inlineStr">
        <is>
          <t xml:space="preserve">ICICI Prudential Fixed Maturity Plan - Series 75 - 1100 Days Plan J Direct Plan Dividend Option</t>
        </is>
      </c>
      <c r="C4608" t="inlineStr">
        <is>
          <t xml:space="preserve">INF109KA1T73</t>
        </is>
      </c>
    </row>
    <row r="4609">
      <c r="A4609" t="inlineStr">
        <is>
          <t xml:space="preserve">ICICI Prudential Mutual Fund</t>
        </is>
      </c>
      <c r="B4609" t="inlineStr">
        <is>
          <t xml:space="preserve">ICICI Prudential Fixed Maturity Plan - Series 75 - 1100 Days Plan J Dividend Option</t>
        </is>
      </c>
      <c r="C4609" t="inlineStr">
        <is>
          <t xml:space="preserve">INF109KA1T57</t>
        </is>
      </c>
    </row>
    <row r="4610">
      <c r="A4610" t="inlineStr">
        <is>
          <t xml:space="preserve">ICICI Prudential Mutual Fund</t>
        </is>
      </c>
      <c r="B4610" t="inlineStr">
        <is>
          <t xml:space="preserve">ICICI Prudential Fixed Maturity Plan - Series 75 - 1100 Days Plan N Cumulative Option</t>
        </is>
      </c>
      <c r="C4610" t="inlineStr">
        <is>
          <t xml:space="preserve">INF109KA18A3</t>
        </is>
      </c>
    </row>
    <row r="4611">
      <c r="A4611" t="inlineStr">
        <is>
          <t xml:space="preserve">ICICI Prudential Mutual Fund</t>
        </is>
      </c>
      <c r="B4611" t="inlineStr">
        <is>
          <t xml:space="preserve">ICICI Prudential Fixed Maturity Plan - Series 75 - 1100 Days Plan N Direct Plan Cumulative Option</t>
        </is>
      </c>
      <c r="C4611" t="inlineStr">
        <is>
          <t xml:space="preserve">INF109KA10B8</t>
        </is>
      </c>
    </row>
    <row r="4612">
      <c r="A4612" t="inlineStr">
        <is>
          <t xml:space="preserve">ICICI Prudential Mutual Fund</t>
        </is>
      </c>
      <c r="B4612" t="inlineStr">
        <is>
          <t xml:space="preserve">ICICI Prudential Fixed Maturity Plan - Series 75 - 1100 Days Plan N Dividend Option</t>
        </is>
      </c>
      <c r="C4612" t="inlineStr">
        <is>
          <t xml:space="preserve">INF109KA19A1</t>
        </is>
      </c>
    </row>
    <row r="4613">
      <c r="A4613" t="inlineStr">
        <is>
          <t xml:space="preserve">ICICI Prudential Mutual Fund</t>
        </is>
      </c>
      <c r="B4613" t="inlineStr">
        <is>
          <t xml:space="preserve">ICICI Prudential Fixed Maturity Plan - Series 75 - 1100 Days Plan O Cumulative Option</t>
        </is>
      </c>
      <c r="C4613" t="inlineStr">
        <is>
          <t xml:space="preserve">INF109KA12B4</t>
        </is>
      </c>
    </row>
    <row r="4614">
      <c r="A4614" t="inlineStr">
        <is>
          <t xml:space="preserve">ICICI Prudential Mutual Fund</t>
        </is>
      </c>
      <c r="B4614" t="inlineStr">
        <is>
          <t xml:space="preserve">ICICI Prudential Fixed Maturity Plan - Series 75 - 1100 Days Plan O Direct Plan Cumulative Option</t>
        </is>
      </c>
      <c r="C4614" t="inlineStr">
        <is>
          <t xml:space="preserve">INF109KA14B0</t>
        </is>
      </c>
    </row>
    <row r="4615">
      <c r="A4615" t="inlineStr">
        <is>
          <t xml:space="preserve">ICICI Prudential Mutual Fund</t>
        </is>
      </c>
      <c r="B4615" t="inlineStr">
        <is>
          <t xml:space="preserve">ICICI Prudential Fixed Maturity Plan - Series 75 - 1100 Days Plan O Dividend Option</t>
        </is>
      </c>
      <c r="C4615" t="inlineStr">
        <is>
          <t xml:space="preserve">INF109KA13B2</t>
        </is>
      </c>
    </row>
    <row r="4616">
      <c r="A4616" t="inlineStr">
        <is>
          <t xml:space="preserve">ICICI Prudential Mutual Fund</t>
        </is>
      </c>
      <c r="B4616" t="inlineStr">
        <is>
          <t xml:space="preserve">ICICI Prudential Fixed Maturity Plan - Series 75 - 1100 Days Plan Q Cumulative Option</t>
        </is>
      </c>
      <c r="C4616" t="inlineStr">
        <is>
          <t xml:space="preserve">INF109KA10E2</t>
        </is>
      </c>
    </row>
    <row r="4617">
      <c r="A4617" t="inlineStr">
        <is>
          <t xml:space="preserve">ICICI Prudential Mutual Fund</t>
        </is>
      </c>
      <c r="B4617" t="inlineStr">
        <is>
          <t xml:space="preserve">ICICI Prudential Fixed Maturity Plan - Series 75 - 1100 Days Plan Q Direct Plan Cumulative Option</t>
        </is>
      </c>
      <c r="C4617" t="inlineStr">
        <is>
          <t xml:space="preserve">INF109KA12E8</t>
        </is>
      </c>
    </row>
    <row r="4618">
      <c r="A4618" t="inlineStr">
        <is>
          <t xml:space="preserve">ICICI Prudential Mutual Fund</t>
        </is>
      </c>
      <c r="B4618" t="inlineStr">
        <is>
          <t xml:space="preserve">ICICI Prudential Fixed Maturity Plan - Series 75 - 1100 Days Plan Q Direct Plan Dividend Option</t>
        </is>
      </c>
      <c r="C4618" t="inlineStr">
        <is>
          <t xml:space="preserve">INF109KA13E6</t>
        </is>
      </c>
    </row>
    <row r="4619">
      <c r="A4619" t="inlineStr">
        <is>
          <t xml:space="preserve">ICICI Prudential Mutual Fund</t>
        </is>
      </c>
      <c r="B4619" t="inlineStr">
        <is>
          <t xml:space="preserve">ICICI Prudential Fixed Maturity Plan - Series 75 - 1100 Days Plan Q Dividend Option</t>
        </is>
      </c>
      <c r="C4619" t="inlineStr">
        <is>
          <t xml:space="preserve">INF109KA11E0</t>
        </is>
      </c>
    </row>
    <row r="4620">
      <c r="A4620" t="inlineStr">
        <is>
          <t xml:space="preserve">ICICI Prudential Mutual Fund</t>
        </is>
      </c>
      <c r="B4620" t="inlineStr">
        <is>
          <t xml:space="preserve">ICICI Prudential Fixed Maturity Plan - Series 75 - 1100 Days Plan R Cumulative Option</t>
        </is>
      </c>
      <c r="C4620" t="inlineStr">
        <is>
          <t xml:space="preserve">INF109KA18E5</t>
        </is>
      </c>
    </row>
    <row r="4621">
      <c r="A4621" t="inlineStr">
        <is>
          <t xml:space="preserve">ICICI Prudential Mutual Fund</t>
        </is>
      </c>
      <c r="B4621" t="inlineStr">
        <is>
          <t xml:space="preserve">ICICI Prudential Fixed Maturity Plan - Series 75 - 1100 Days Plan R Direct Plan Cumulative Option</t>
        </is>
      </c>
      <c r="C4621" t="inlineStr">
        <is>
          <t xml:space="preserve">INF109KA10F9</t>
        </is>
      </c>
    </row>
    <row r="4622">
      <c r="A4622" t="inlineStr">
        <is>
          <t xml:space="preserve">ICICI Prudential Mutual Fund</t>
        </is>
      </c>
      <c r="B4622" t="inlineStr">
        <is>
          <t xml:space="preserve">ICICI Prudential Fixed Maturity Plan - Series 75 - 1100 Days Plan R Dividend Option</t>
        </is>
      </c>
      <c r="C4622" t="inlineStr">
        <is>
          <t xml:space="preserve">INF109KA19E3</t>
        </is>
      </c>
    </row>
    <row r="4623">
      <c r="A4623" t="inlineStr">
        <is>
          <t xml:space="preserve">ICICI Prudential Mutual Fund</t>
        </is>
      </c>
      <c r="B4623" t="inlineStr">
        <is>
          <t xml:space="preserve">ICICI Prudential Fixed Maturity Plan - Series 75 - 1100 Days Plan T Cumulative Option</t>
        </is>
      </c>
      <c r="C4623" t="inlineStr">
        <is>
          <t xml:space="preserve">INF109KA14F1</t>
        </is>
      </c>
    </row>
    <row r="4624">
      <c r="A4624" t="inlineStr">
        <is>
          <t xml:space="preserve">ICICI Prudential Mutual Fund</t>
        </is>
      </c>
      <c r="B4624" t="inlineStr">
        <is>
          <t xml:space="preserve">ICICI Prudential Fixed Maturity Plan - Series 75 - 1100 Days Plan T Direct Plan Cumulative Option</t>
        </is>
      </c>
      <c r="C4624" t="inlineStr">
        <is>
          <t xml:space="preserve">INF109KA12F5</t>
        </is>
      </c>
    </row>
    <row r="4625">
      <c r="A4625" t="inlineStr">
        <is>
          <t xml:space="preserve">ICICI Prudential Mutual Fund</t>
        </is>
      </c>
      <c r="B4625" t="inlineStr">
        <is>
          <t xml:space="preserve">ICICI Prudential Fixed Maturity Plan - Series 75 - 1100 Days Plan T Dividend Option</t>
        </is>
      </c>
      <c r="C4625" t="inlineStr">
        <is>
          <t xml:space="preserve">INF109KA15F8</t>
        </is>
      </c>
    </row>
    <row r="4626">
      <c r="A4626" t="inlineStr">
        <is>
          <t xml:space="preserve">ICICI Prudential Mutual Fund</t>
        </is>
      </c>
      <c r="B4626" t="inlineStr">
        <is>
          <t xml:space="preserve">ICICI Prudential Fixed Maturity Plan - Series 75 - 1103 Days Plan L Cumulative Option</t>
        </is>
      </c>
      <c r="C4626" t="inlineStr">
        <is>
          <t xml:space="preserve">INF109KA1V87</t>
        </is>
      </c>
    </row>
    <row r="4627">
      <c r="A4627" t="inlineStr">
        <is>
          <t xml:space="preserve">ICICI Prudential Mutual Fund</t>
        </is>
      </c>
      <c r="B4627" t="inlineStr">
        <is>
          <t xml:space="preserve">ICICI Prudential Fixed Maturity Plan - Series 75 - 1103 Days Plan L Direct Plan Cumulative Option</t>
        </is>
      </c>
      <c r="C4627" t="inlineStr">
        <is>
          <t xml:space="preserve">INF109KA1W03</t>
        </is>
      </c>
    </row>
    <row r="4628">
      <c r="A4628" t="inlineStr">
        <is>
          <t xml:space="preserve">ICICI Prudential Mutual Fund</t>
        </is>
      </c>
      <c r="B4628" t="inlineStr">
        <is>
          <t xml:space="preserve">ICICI Prudential Fixed Maturity Plan - Series 75 - 1103 Days Plan L Direct Plan Dividend Option</t>
        </is>
      </c>
      <c r="C4628" t="inlineStr">
        <is>
          <t xml:space="preserve">INF109KA1W11</t>
        </is>
      </c>
    </row>
    <row r="4629">
      <c r="A4629" t="inlineStr">
        <is>
          <t xml:space="preserve">ICICI Prudential Mutual Fund</t>
        </is>
      </c>
      <c r="B4629" t="inlineStr">
        <is>
          <t xml:space="preserve">ICICI Prudential Fixed Maturity Plan - Series 75 - 1103 Days Plan L Dividend Option</t>
        </is>
      </c>
      <c r="C4629" t="inlineStr">
        <is>
          <t xml:space="preserve">INF109KA1V95</t>
        </is>
      </c>
    </row>
    <row r="4630">
      <c r="A4630" t="inlineStr">
        <is>
          <t xml:space="preserve">ICICI Prudential Mutual Fund</t>
        </is>
      </c>
      <c r="B4630" t="inlineStr">
        <is>
          <t xml:space="preserve">ICICI Prudential Fixed Maturity Plan - Series 75 - 1103 Days Plan P Cumulative Option</t>
        </is>
      </c>
      <c r="C4630" t="inlineStr">
        <is>
          <t xml:space="preserve">INF109KA16D1</t>
        </is>
      </c>
    </row>
    <row r="4631">
      <c r="A4631" t="inlineStr">
        <is>
          <t xml:space="preserve">ICICI Prudential Mutual Fund</t>
        </is>
      </c>
      <c r="B4631" t="inlineStr">
        <is>
          <t xml:space="preserve">ICICI Prudential Fixed Maturity Plan - Series 75 - 1103 Days Plan P Direct Plan Cumulative Option</t>
        </is>
      </c>
      <c r="C4631" t="inlineStr">
        <is>
          <t xml:space="preserve">INF109KA18D7</t>
        </is>
      </c>
    </row>
    <row r="4632">
      <c r="A4632" t="inlineStr">
        <is>
          <t xml:space="preserve">ICICI Prudential Mutual Fund</t>
        </is>
      </c>
      <c r="B4632" t="inlineStr">
        <is>
          <t xml:space="preserve">ICICI Prudential Fixed Maturity Plan - Series 75 - 1103 Days Plan P Direct Plan Dividend Option</t>
        </is>
      </c>
      <c r="C4632" t="inlineStr">
        <is>
          <t xml:space="preserve">INF109KA19D5</t>
        </is>
      </c>
    </row>
    <row r="4633">
      <c r="A4633" t="inlineStr">
        <is>
          <t xml:space="preserve">ICICI Prudential Mutual Fund</t>
        </is>
      </c>
      <c r="B4633" t="inlineStr">
        <is>
          <t xml:space="preserve">ICICI Prudential Fixed Maturity Plan - Series 75 - 1103 Days Plan P Dividend Option</t>
        </is>
      </c>
      <c r="C4633" t="inlineStr">
        <is>
          <t xml:space="preserve">INF109KA17D9</t>
        </is>
      </c>
    </row>
    <row r="4634">
      <c r="A4634" t="inlineStr">
        <is>
          <t xml:space="preserve">ICICI Prudential Mutual Fund</t>
        </is>
      </c>
      <c r="B4634" t="inlineStr">
        <is>
          <t xml:space="preserve">ICICI Prudential Fixed Maturity Plan - Series 75 - 1246 Days Plan U Cumulative Option</t>
        </is>
      </c>
      <c r="C4634" t="inlineStr">
        <is>
          <t xml:space="preserve">INF109KA12H1</t>
        </is>
      </c>
    </row>
    <row r="4635">
      <c r="A4635" t="inlineStr">
        <is>
          <t xml:space="preserve">ICICI Prudential Mutual Fund</t>
        </is>
      </c>
      <c r="B4635" t="inlineStr">
        <is>
          <t xml:space="preserve">ICICI Prudential Fixed Maturity Plan - Series 75 - 1246 Days Plan U Direct Plan Cumulative Option</t>
        </is>
      </c>
      <c r="C4635" t="inlineStr">
        <is>
          <t xml:space="preserve">INF109KA14H7</t>
        </is>
      </c>
    </row>
    <row r="4636">
      <c r="A4636" t="inlineStr">
        <is>
          <t xml:space="preserve">ICICI Prudential Mutual Fund</t>
        </is>
      </c>
      <c r="B4636" t="inlineStr">
        <is>
          <t xml:space="preserve">ICICI Prudential Fixed Maturity Plan - Series 75 - 1246 Days Plan U Direct Plan Dividend Option</t>
        </is>
      </c>
      <c r="C4636" t="inlineStr">
        <is>
          <t xml:space="preserve">INF109KA15H4</t>
        </is>
      </c>
    </row>
    <row r="4637">
      <c r="A4637" t="inlineStr">
        <is>
          <t xml:space="preserve">ICICI Prudential Mutual Fund</t>
        </is>
      </c>
      <c r="B4637" t="inlineStr">
        <is>
          <t xml:space="preserve">ICICI Prudential Fixed Maturity Plan - Series 75 - 1246 Days Plan U Dividend Option</t>
        </is>
      </c>
      <c r="C4637" t="inlineStr">
        <is>
          <t xml:space="preserve">INF109KA13H9</t>
        </is>
      </c>
    </row>
    <row r="4638">
      <c r="A4638" t="inlineStr">
        <is>
          <t xml:space="preserve">ICICI Prudential Mutual Fund</t>
        </is>
      </c>
      <c r="B4638" t="inlineStr">
        <is>
          <t xml:space="preserve">ICICI Prudential Fixed Maturity Plan - Series 75 - 1352 Days Plan E Cumulative Option</t>
        </is>
      </c>
      <c r="C4638" t="inlineStr">
        <is>
          <t xml:space="preserve">INF109KA1ZQ5</t>
        </is>
      </c>
    </row>
    <row r="4639">
      <c r="A4639" t="inlineStr">
        <is>
          <t xml:space="preserve">ICICI Prudential Mutual Fund</t>
        </is>
      </c>
      <c r="B4639" t="inlineStr">
        <is>
          <t xml:space="preserve">ICICI Prudential Fixed Maturity Plan - Series 75 - 1352 Days Plan E Direct Plan Cumulative Option</t>
        </is>
      </c>
      <c r="C4639" t="inlineStr">
        <is>
          <t xml:space="preserve">INF109KA1ZS1</t>
        </is>
      </c>
    </row>
    <row r="4640">
      <c r="A4640" t="inlineStr">
        <is>
          <t xml:space="preserve">ICICI Prudential Mutual Fund</t>
        </is>
      </c>
      <c r="B4640" t="inlineStr">
        <is>
          <t xml:space="preserve">ICICI Prudential Fixed Maturity Plan - Series 75 - 1352 Days Plan E Direct Plan Dividend Option</t>
        </is>
      </c>
      <c r="C4640" t="inlineStr">
        <is>
          <t xml:space="preserve">INF109KA1ZT9</t>
        </is>
      </c>
    </row>
    <row r="4641">
      <c r="A4641" t="inlineStr">
        <is>
          <t xml:space="preserve">ICICI Prudential Mutual Fund</t>
        </is>
      </c>
      <c r="B4641" t="inlineStr">
        <is>
          <t xml:space="preserve">ICICI Prudential Fixed Maturity Plan - Series 75 - 1352 Days Plan E Dividend Option</t>
        </is>
      </c>
      <c r="C4641" t="inlineStr">
        <is>
          <t xml:space="preserve">INF109KA1ZR3</t>
        </is>
      </c>
    </row>
    <row r="4642">
      <c r="A4642" t="inlineStr">
        <is>
          <t xml:space="preserve">ICICI Prudential Mutual Fund</t>
        </is>
      </c>
      <c r="B4642" t="inlineStr">
        <is>
          <t xml:space="preserve">ICICI Prudential Fixed Maturity Plan - Series 76 - 1100 Days Plan D Cumulative Option</t>
        </is>
      </c>
      <c r="C4642" t="inlineStr">
        <is>
          <t xml:space="preserve">INF109KA12N9</t>
        </is>
      </c>
    </row>
    <row r="4643">
      <c r="A4643" t="inlineStr">
        <is>
          <t xml:space="preserve">ICICI Prudential Mutual Fund</t>
        </is>
      </c>
      <c r="B4643" t="inlineStr">
        <is>
          <t xml:space="preserve">ICICI Prudential Fixed Maturity Plan - Series 76 - 1100 Days Plan D Direct Plan Cumulative Option</t>
        </is>
      </c>
      <c r="C4643" t="inlineStr">
        <is>
          <t xml:space="preserve">INF109KA14N5</t>
        </is>
      </c>
    </row>
    <row r="4644">
      <c r="A4644" t="inlineStr">
        <is>
          <t xml:space="preserve">ICICI Prudential Mutual Fund</t>
        </is>
      </c>
      <c r="B4644" t="inlineStr">
        <is>
          <t xml:space="preserve">ICICI Prudential Fixed Maturity Plan - Series 76 - 1100 Days Plan D Direct Plan Dividend Option</t>
        </is>
      </c>
      <c r="C4644" t="inlineStr">
        <is>
          <t xml:space="preserve">INF109KA15N2</t>
        </is>
      </c>
    </row>
    <row r="4645">
      <c r="A4645" t="inlineStr">
        <is>
          <t xml:space="preserve">ICICI Prudential Mutual Fund</t>
        </is>
      </c>
      <c r="B4645" t="inlineStr">
        <is>
          <t xml:space="preserve">ICICI Prudential Fixed Maturity Plan - Series 76 - 1100 Days Plan D Dividend Option</t>
        </is>
      </c>
      <c r="C4645" t="inlineStr">
        <is>
          <t xml:space="preserve">INF109KA13N7</t>
        </is>
      </c>
    </row>
    <row r="4646">
      <c r="A4646" t="inlineStr">
        <is>
          <t xml:space="preserve">ICICI Prudential Mutual Fund</t>
        </is>
      </c>
      <c r="B4646" t="inlineStr">
        <is>
          <t xml:space="preserve">ICICI Prudential Fixed Maturity Plan - Series 76 - 1100 Days Plan G Cumulative Option</t>
        </is>
      </c>
      <c r="C4646" t="inlineStr">
        <is>
          <t xml:space="preserve">INF109KA16R1</t>
        </is>
      </c>
    </row>
    <row r="4647">
      <c r="A4647" t="inlineStr">
        <is>
          <t xml:space="preserve">ICICI Prudential Mutual Fund</t>
        </is>
      </c>
      <c r="B4647" t="inlineStr">
        <is>
          <t xml:space="preserve">ICICI Prudential Fixed Maturity Plan - Series 76 - 1100 Days Plan G Direct Plan Cumulative Option</t>
        </is>
      </c>
      <c r="C4647" t="inlineStr">
        <is>
          <t xml:space="preserve">INF109KA15S1</t>
        </is>
      </c>
    </row>
    <row r="4648">
      <c r="A4648" t="inlineStr">
        <is>
          <t xml:space="preserve">ICICI Prudential Mutual Fund</t>
        </is>
      </c>
      <c r="B4648" t="inlineStr">
        <is>
          <t xml:space="preserve">ICICI Prudential Fixed Maturity Plan - Series 76 - 1100 Days Plan G Dividend Option</t>
        </is>
      </c>
      <c r="C4648" t="inlineStr">
        <is>
          <t xml:space="preserve">INF109KA17R9</t>
        </is>
      </c>
    </row>
    <row r="4649">
      <c r="A4649" t="inlineStr">
        <is>
          <t xml:space="preserve">ICICI Prudential Mutual Fund</t>
        </is>
      </c>
      <c r="B4649" t="inlineStr">
        <is>
          <t xml:space="preserve">ICICI Prudential Fixed Maturity Plan - Series 76 - 1100 Days Plan T Cumulative Option</t>
        </is>
      </c>
      <c r="C4649" t="inlineStr">
        <is>
          <t xml:space="preserve">INF109KB1359</t>
        </is>
      </c>
    </row>
    <row r="4650">
      <c r="A4650" t="inlineStr">
        <is>
          <t xml:space="preserve">ICICI Prudential Mutual Fund</t>
        </is>
      </c>
      <c r="B4650" t="inlineStr">
        <is>
          <t xml:space="preserve">ICICI Prudential Fixed Maturity Plan - Series 76 - 1100 Days Plan T Direct Plan Cumulative Option</t>
        </is>
      </c>
      <c r="C4650" t="inlineStr">
        <is>
          <t xml:space="preserve">INF109KB1375</t>
        </is>
      </c>
    </row>
    <row r="4651">
      <c r="A4651" t="inlineStr">
        <is>
          <t xml:space="preserve">ICICI Prudential Mutual Fund</t>
        </is>
      </c>
      <c r="B4651" t="inlineStr">
        <is>
          <t xml:space="preserve">ICICI Prudential Fixed Maturity Plan - Series 76 - 1100 Days Plan T Dividend Option</t>
        </is>
      </c>
      <c r="C4651" t="inlineStr">
        <is>
          <t xml:space="preserve">INF109KB1367</t>
        </is>
      </c>
    </row>
    <row r="4652">
      <c r="A4652" t="inlineStr">
        <is>
          <t xml:space="preserve">ICICI Prudential Mutual Fund</t>
        </is>
      </c>
      <c r="B4652" t="inlineStr">
        <is>
          <t xml:space="preserve">ICICI Prudential Fixed Maturity Plan - Series 76 - 1103 Days Plan F Cumulative option</t>
        </is>
      </c>
      <c r="C4652" t="inlineStr">
        <is>
          <t xml:space="preserve">INF109KA14Q8</t>
        </is>
      </c>
    </row>
    <row r="4653">
      <c r="A4653" t="inlineStr">
        <is>
          <t xml:space="preserve">ICICI Prudential Mutual Fund</t>
        </is>
      </c>
      <c r="B4653" t="inlineStr">
        <is>
          <t xml:space="preserve">ICICI Prudential Fixed Maturity Plan - Series 76 - 1103 Days Plan F Direct Plan Cumulative Option</t>
        </is>
      </c>
      <c r="C4653" t="inlineStr">
        <is>
          <t xml:space="preserve">INF109KA16Q3</t>
        </is>
      </c>
    </row>
    <row r="4654">
      <c r="A4654" t="inlineStr">
        <is>
          <t xml:space="preserve">ICICI Prudential Mutual Fund</t>
        </is>
      </c>
      <c r="B4654" t="inlineStr">
        <is>
          <t xml:space="preserve">ICICI Prudential Fixed Maturity Plan - Series 76 - 1103 Days Plan F Direct Plan Dividend Option</t>
        </is>
      </c>
      <c r="C4654" t="inlineStr">
        <is>
          <t xml:space="preserve">INF109KA17Q1</t>
        </is>
      </c>
    </row>
    <row r="4655">
      <c r="A4655" t="inlineStr">
        <is>
          <t xml:space="preserve">ICICI Prudential Mutual Fund</t>
        </is>
      </c>
      <c r="B4655" t="inlineStr">
        <is>
          <t xml:space="preserve">ICICI Prudential Fixed Maturity Plan - Series 76 - 1103 Days Plan F Dividend Option</t>
        </is>
      </c>
      <c r="C4655" t="inlineStr">
        <is>
          <t xml:space="preserve">INF109KA15Q5</t>
        </is>
      </c>
    </row>
    <row r="4656">
      <c r="A4656" t="inlineStr">
        <is>
          <t xml:space="preserve">ICICI Prudential Mutual Fund</t>
        </is>
      </c>
      <c r="B4656" t="inlineStr">
        <is>
          <t xml:space="preserve">ICICI Prudential Fixed Maturity Plan - Series 76 - 1108 Days Plan V Cumulative Option</t>
        </is>
      </c>
      <c r="C4656" t="inlineStr">
        <is>
          <t xml:space="preserve">INF109KB1672</t>
        </is>
      </c>
    </row>
    <row r="4657">
      <c r="A4657" t="inlineStr">
        <is>
          <t xml:space="preserve">ICICI Prudential Mutual Fund</t>
        </is>
      </c>
      <c r="B4657" t="inlineStr">
        <is>
          <t xml:space="preserve">ICICI Prudential Fixed Maturity Plan - Series 76 - 1108 Days Plan V Direct Plan Cumulative Option</t>
        </is>
      </c>
      <c r="C4657" t="inlineStr">
        <is>
          <t xml:space="preserve">INF109KB1698</t>
        </is>
      </c>
    </row>
    <row r="4658">
      <c r="A4658" t="inlineStr">
        <is>
          <t xml:space="preserve">ICICI Prudential Mutual Fund</t>
        </is>
      </c>
      <c r="B4658" t="inlineStr">
        <is>
          <t xml:space="preserve">ICICI Prudential Fixed Maturity Plan - Series 76 - 1108 Days Plan V Dividend Option</t>
        </is>
      </c>
      <c r="C4658" t="inlineStr">
        <is>
          <t xml:space="preserve">INF109KB1680</t>
        </is>
      </c>
    </row>
    <row r="4659">
      <c r="A4659" t="inlineStr">
        <is>
          <t xml:space="preserve">ICICI Prudential Mutual Fund</t>
        </is>
      </c>
      <c r="B4659" t="inlineStr">
        <is>
          <t xml:space="preserve">ICICI Prudential Fixed Maturity Plan - Series 76 - 1120 Days Plan U Cumulative Option</t>
        </is>
      </c>
      <c r="C4659" t="inlineStr">
        <is>
          <t xml:space="preserve">INF109KB1391</t>
        </is>
      </c>
    </row>
    <row r="4660">
      <c r="A4660" t="inlineStr">
        <is>
          <t xml:space="preserve">ICICI Prudential Mutual Fund</t>
        </is>
      </c>
      <c r="B4660" t="inlineStr">
        <is>
          <t xml:space="preserve">ICICI Prudential Fixed Maturity Plan - Series 76 - 1120 Days Plan U Direct Plan Cumulative Option</t>
        </is>
      </c>
      <c r="C4660" t="inlineStr">
        <is>
          <t xml:space="preserve">INF109KB1417</t>
        </is>
      </c>
    </row>
    <row r="4661">
      <c r="A4661" t="inlineStr">
        <is>
          <t xml:space="preserve">ICICI Prudential Mutual Fund</t>
        </is>
      </c>
      <c r="B4661" t="inlineStr">
        <is>
          <t xml:space="preserve">ICICI Prudential Fixed Maturity Plan - Series 76 - 1120 Days Plan U Dividend Option</t>
        </is>
      </c>
      <c r="C4661" t="inlineStr">
        <is>
          <t xml:space="preserve">INF109KB1409</t>
        </is>
      </c>
    </row>
    <row r="4662">
      <c r="A4662" t="inlineStr">
        <is>
          <t xml:space="preserve">ICICI Prudential Mutual Fund</t>
        </is>
      </c>
      <c r="B4662" t="inlineStr">
        <is>
          <t xml:space="preserve">ICICI Prudential Fixed Maturity Plan - Series 76 - 1127 Days Plan W Cumulative Option</t>
        </is>
      </c>
      <c r="C4662" t="inlineStr">
        <is>
          <t xml:space="preserve">INF109KB1953</t>
        </is>
      </c>
    </row>
    <row r="4663">
      <c r="A4663" t="inlineStr">
        <is>
          <t xml:space="preserve">ICICI Prudential Mutual Fund</t>
        </is>
      </c>
      <c r="B4663" t="inlineStr">
        <is>
          <t xml:space="preserve">ICICI Prudential Fixed Maturity Plan - Series 76 - 1127 Days Plan W Direct Plan Cumulative Option</t>
        </is>
      </c>
      <c r="C4663" t="inlineStr">
        <is>
          <t xml:space="preserve">INF109KB1979</t>
        </is>
      </c>
    </row>
    <row r="4664">
      <c r="A4664" t="inlineStr">
        <is>
          <t xml:space="preserve">ICICI Prudential Mutual Fund</t>
        </is>
      </c>
      <c r="B4664" t="inlineStr">
        <is>
          <t xml:space="preserve">ICICI Prudential Fixed Maturity Plan - Series 76 - 1127 Days Plan W Direct Plan Dividend Option</t>
        </is>
      </c>
      <c r="C4664" t="inlineStr">
        <is>
          <t xml:space="preserve">INF109KB1987</t>
        </is>
      </c>
    </row>
    <row r="4665">
      <c r="A4665" t="inlineStr">
        <is>
          <t xml:space="preserve">ICICI Prudential Mutual Fund</t>
        </is>
      </c>
      <c r="B4665" t="inlineStr">
        <is>
          <t xml:space="preserve">ICICI Prudential Fixed Maturity Plan - Series 76 - 1127 Days Plan W Dividend Option</t>
        </is>
      </c>
      <c r="C4665" t="inlineStr">
        <is>
          <t xml:space="preserve">INF109KB1961</t>
        </is>
      </c>
    </row>
    <row r="4666">
      <c r="A4666" t="inlineStr">
        <is>
          <t xml:space="preserve">ICICI Prudential Mutual Fund</t>
        </is>
      </c>
      <c r="B4666" t="inlineStr">
        <is>
          <t xml:space="preserve">ICICI Prudential Fixed Maturity Plan - Series 76 - 1132 Days Plan P Cumulative Option</t>
        </is>
      </c>
      <c r="C4666" t="inlineStr">
        <is>
          <t xml:space="preserve">INF109KB1219</t>
        </is>
      </c>
    </row>
    <row r="4667">
      <c r="A4667" t="inlineStr">
        <is>
          <t xml:space="preserve">ICICI Prudential Mutual Fund</t>
        </is>
      </c>
      <c r="B4667" t="inlineStr">
        <is>
          <t xml:space="preserve">ICICI Prudential Fixed Maturity Plan - Series 76 - 1132 Days Plan P Direct Plan Cumulative Option</t>
        </is>
      </c>
      <c r="C4667" t="inlineStr">
        <is>
          <t xml:space="preserve">INF109KB1235</t>
        </is>
      </c>
    </row>
    <row r="4668">
      <c r="A4668" t="inlineStr">
        <is>
          <t xml:space="preserve">ICICI Prudential Mutual Fund</t>
        </is>
      </c>
      <c r="B4668" t="inlineStr">
        <is>
          <t xml:space="preserve">ICICI Prudential Fixed Maturity Plan - Series 76 - 1134 Days Plan Y Cumulative Option</t>
        </is>
      </c>
      <c r="C4668" t="inlineStr">
        <is>
          <t xml:space="preserve">INF109KB1BF8</t>
        </is>
      </c>
    </row>
    <row r="4669">
      <c r="A4669" t="inlineStr">
        <is>
          <t xml:space="preserve">ICICI Prudential Mutual Fund</t>
        </is>
      </c>
      <c r="B4669" t="inlineStr">
        <is>
          <t xml:space="preserve">ICICI Prudential Fixed Maturity Plan - Series 76 - 1134 Days Plan Y Direct Plan Cumulative Option</t>
        </is>
      </c>
      <c r="C4669" t="inlineStr">
        <is>
          <t xml:space="preserve">INF109KB1BH4</t>
        </is>
      </c>
    </row>
    <row r="4670">
      <c r="A4670" t="inlineStr">
        <is>
          <t xml:space="preserve">ICICI Prudential Mutual Fund</t>
        </is>
      </c>
      <c r="B4670" t="inlineStr">
        <is>
          <t xml:space="preserve">ICICI Prudential Fixed Maturity Plan - Series 76 - 1134 Days Plan Y Dividend Option</t>
        </is>
      </c>
      <c r="C4670" t="inlineStr">
        <is>
          <t xml:space="preserve">INF109KB1BG6</t>
        </is>
      </c>
    </row>
    <row r="4671">
      <c r="A4671" t="inlineStr">
        <is>
          <t xml:space="preserve">ICICI Prudential Mutual Fund</t>
        </is>
      </c>
      <c r="B4671" t="inlineStr">
        <is>
          <t xml:space="preserve">ICICI Prudential Fixed Maturity Plan - Series 76 - 1135 Days Plan Z Cumulative Option</t>
        </is>
      </c>
      <c r="C4671" t="inlineStr">
        <is>
          <t xml:space="preserve">INF109KB1BB7</t>
        </is>
      </c>
    </row>
    <row r="4672">
      <c r="A4672" t="inlineStr">
        <is>
          <t xml:space="preserve">ICICI Prudential Mutual Fund</t>
        </is>
      </c>
      <c r="B4672" t="inlineStr">
        <is>
          <t xml:space="preserve">ICICI Prudential Fixed Maturity Plan - Series 76 - 1135 Days Plan Z Direct Plan Cumulative Option</t>
        </is>
      </c>
      <c r="C4672" t="inlineStr">
        <is>
          <t xml:space="preserve">INF109KB1BD3</t>
        </is>
      </c>
    </row>
    <row r="4673">
      <c r="A4673" t="inlineStr">
        <is>
          <t xml:space="preserve">ICICI Prudential Mutual Fund</t>
        </is>
      </c>
      <c r="B4673" t="inlineStr">
        <is>
          <t xml:space="preserve">ICICI Prudential Fixed Maturity Plan - Series 76 - 1135 Days Plan Z Direct Plan Dividend Option</t>
        </is>
      </c>
      <c r="C4673" t="inlineStr">
        <is>
          <t xml:space="preserve">INF109KB1BE1</t>
        </is>
      </c>
    </row>
    <row r="4674">
      <c r="A4674" t="inlineStr">
        <is>
          <t xml:space="preserve">ICICI Prudential Mutual Fund</t>
        </is>
      </c>
      <c r="B4674" t="inlineStr">
        <is>
          <t xml:space="preserve">ICICI Prudential Fixed Maturity Plan - Series 76 - 1135 Days Plan Z Dividend Option</t>
        </is>
      </c>
      <c r="C4674" t="inlineStr">
        <is>
          <t xml:space="preserve">INF109KB1BC5</t>
        </is>
      </c>
    </row>
    <row r="4675">
      <c r="A4675" t="inlineStr">
        <is>
          <t xml:space="preserve">ICICI Prudential Mutual Fund</t>
        </is>
      </c>
      <c r="B4675" t="inlineStr">
        <is>
          <t xml:space="preserve">ICICI Prudential Fixed Maturity Plan - Series 76 - 1142 Days Plan M Cumulative Option</t>
        </is>
      </c>
      <c r="C4675" t="inlineStr">
        <is>
          <t xml:space="preserve">INF109KA16Y7</t>
        </is>
      </c>
    </row>
    <row r="4676">
      <c r="A4676" t="inlineStr">
        <is>
          <t xml:space="preserve">ICICI Prudential Mutual Fund</t>
        </is>
      </c>
      <c r="B4676" t="inlineStr">
        <is>
          <t xml:space="preserve">ICICI Prudential Fixed Maturity Plan - Series 76 - 1142 Days Plan M Direct Plan Cumulative Option</t>
        </is>
      </c>
      <c r="C4676" t="inlineStr">
        <is>
          <t xml:space="preserve">INF109KA18Y3</t>
        </is>
      </c>
    </row>
    <row r="4677">
      <c r="A4677" t="inlineStr">
        <is>
          <t xml:space="preserve">ICICI Prudential Mutual Fund</t>
        </is>
      </c>
      <c r="B4677" t="inlineStr">
        <is>
          <t xml:space="preserve">ICICI Prudential Fixed Maturity Plan - Series 76 - 1142 Days Plan M Direct Plan Dividend Option</t>
        </is>
      </c>
      <c r="C4677" t="inlineStr">
        <is>
          <t xml:space="preserve">INF109KA19Y1</t>
        </is>
      </c>
    </row>
    <row r="4678">
      <c r="A4678" t="inlineStr">
        <is>
          <t xml:space="preserve">ICICI Prudential Mutual Fund</t>
        </is>
      </c>
      <c r="B4678" t="inlineStr">
        <is>
          <t xml:space="preserve">ICICI Prudential Fixed Maturity Plan - Series 76 - 1142 Days Plan M Dividend Option</t>
        </is>
      </c>
      <c r="C4678" t="inlineStr">
        <is>
          <t xml:space="preserve">INF109KA17Y5</t>
        </is>
      </c>
    </row>
    <row r="4679">
      <c r="A4679" t="inlineStr">
        <is>
          <t xml:space="preserve">ICICI Prudential Mutual Fund</t>
        </is>
      </c>
      <c r="B4679" t="inlineStr">
        <is>
          <t xml:space="preserve">ICICI Prudential Fixed Maturity Plan - Series 76 - 1155 Days Plan K Cumulative Option</t>
        </is>
      </c>
      <c r="C4679" t="inlineStr">
        <is>
          <t xml:space="preserve">INF109KA14V8</t>
        </is>
      </c>
    </row>
    <row r="4680">
      <c r="A4680" t="inlineStr">
        <is>
          <t xml:space="preserve">ICICI Prudential Mutual Fund</t>
        </is>
      </c>
      <c r="B4680" t="inlineStr">
        <is>
          <t xml:space="preserve">ICICI Prudential Fixed Maturity Plan - Series 76 - 1155 Days Plan K Direct Plan Cumulative Option</t>
        </is>
      </c>
      <c r="C4680" t="inlineStr">
        <is>
          <t xml:space="preserve">INF109KA16V3</t>
        </is>
      </c>
    </row>
    <row r="4681">
      <c r="A4681" t="inlineStr">
        <is>
          <t xml:space="preserve">ICICI Prudential Mutual Fund</t>
        </is>
      </c>
      <c r="B4681" t="inlineStr">
        <is>
          <t xml:space="preserve">ICICI Prudential Fixed Maturity Plan - Series 76 - 1155 Days Plan K Dividend Option</t>
        </is>
      </c>
      <c r="C4681" t="inlineStr">
        <is>
          <t xml:space="preserve">INF109KA15V5</t>
        </is>
      </c>
    </row>
    <row r="4682">
      <c r="A4682" t="inlineStr">
        <is>
          <t xml:space="preserve">ICICI Prudential Mutual Fund</t>
        </is>
      </c>
      <c r="B4682" t="inlineStr">
        <is>
          <t xml:space="preserve">ICICI Prudential Fixed Maturity Plan - Series 77 - 1100 Days Plan L Cumulative Option</t>
        </is>
      </c>
      <c r="C4682" t="inlineStr">
        <is>
          <t xml:space="preserve">INF109KB1IT4</t>
        </is>
      </c>
    </row>
    <row r="4683">
      <c r="A4683" t="inlineStr">
        <is>
          <t xml:space="preserve">ICICI Prudential Mutual Fund</t>
        </is>
      </c>
      <c r="B4683" t="inlineStr">
        <is>
          <t xml:space="preserve">ICICI Prudential Fixed Maturity Plan - Series 77 - 1100 Days Plan L Direct Plan Cumulative Option</t>
        </is>
      </c>
      <c r="C4683" t="inlineStr">
        <is>
          <t xml:space="preserve">INF109KB1IV0</t>
        </is>
      </c>
    </row>
    <row r="4684">
      <c r="A4684" t="inlineStr">
        <is>
          <t xml:space="preserve">ICICI Prudential Mutual Fund</t>
        </is>
      </c>
      <c r="B4684" t="inlineStr">
        <is>
          <t xml:space="preserve">ICICI Prudential Fixed Maturity Plan - Series 77 - 1100 Days Plan L Direct Plan Dividend Option</t>
        </is>
      </c>
      <c r="C4684" t="inlineStr">
        <is>
          <t xml:space="preserve">INF109KB1IW8</t>
        </is>
      </c>
    </row>
    <row r="4685">
      <c r="A4685" t="inlineStr">
        <is>
          <t xml:space="preserve">ICICI Prudential Mutual Fund</t>
        </is>
      </c>
      <c r="B4685" t="inlineStr">
        <is>
          <t xml:space="preserve">ICICI Prudential Fixed Maturity Plan - Series 77 - 1100 Days Plan L Dividend Option</t>
        </is>
      </c>
      <c r="C4685" t="inlineStr">
        <is>
          <t xml:space="preserve">INF109KB1IU2</t>
        </is>
      </c>
    </row>
    <row r="4686">
      <c r="A4686" t="inlineStr">
        <is>
          <t xml:space="preserve">ICICI Prudential Mutual Fund</t>
        </is>
      </c>
      <c r="B4686" t="inlineStr">
        <is>
          <t xml:space="preserve">ICICI Prudential Fixed Maturity Plan - Series 77 - 1100 Days Plan M Cumulative Option</t>
        </is>
      </c>
      <c r="C4686" t="inlineStr">
        <is>
          <t xml:space="preserve">INF109KB1IP2</t>
        </is>
      </c>
    </row>
    <row r="4687">
      <c r="A4687" t="inlineStr">
        <is>
          <t xml:space="preserve">ICICI Prudential Mutual Fund</t>
        </is>
      </c>
      <c r="B4687" t="inlineStr">
        <is>
          <t xml:space="preserve">ICICI Prudential Fixed Maturity Plan - Series 77 - 1100 Days Plan M Direct Plan Cumulative Option</t>
        </is>
      </c>
      <c r="C4687" t="inlineStr">
        <is>
          <t xml:space="preserve">INF109KB1IR8</t>
        </is>
      </c>
    </row>
    <row r="4688">
      <c r="A4688" t="inlineStr">
        <is>
          <t xml:space="preserve">ICICI Prudential Mutual Fund</t>
        </is>
      </c>
      <c r="B4688" t="inlineStr">
        <is>
          <t xml:space="preserve">ICICI Prudential Fixed Maturity Plan - Series 77 - 1100 Days Plan M Direct Plan Dividend Option</t>
        </is>
      </c>
      <c r="C4688" t="inlineStr">
        <is>
          <t xml:space="preserve">INF109KB1IS6</t>
        </is>
      </c>
    </row>
    <row r="4689">
      <c r="A4689" t="inlineStr">
        <is>
          <t xml:space="preserve">ICICI Prudential Mutual Fund</t>
        </is>
      </c>
      <c r="B4689" t="inlineStr">
        <is>
          <t xml:space="preserve">ICICI Prudential Fixed Maturity Plan - Series 77 - 1100 Days Plan M Dividend Option</t>
        </is>
      </c>
      <c r="C4689" t="inlineStr">
        <is>
          <t xml:space="preserve">INF109KB1IQ0</t>
        </is>
      </c>
    </row>
    <row r="4690">
      <c r="A4690" t="inlineStr">
        <is>
          <t xml:space="preserve">ICICI Prudential Mutual Fund</t>
        </is>
      </c>
      <c r="B4690" t="inlineStr">
        <is>
          <t xml:space="preserve">ICICI Prudential Fixed Maturity Plan - Series 77 - 1105 Days Plan N - Cumulative Option</t>
        </is>
      </c>
      <c r="C4690" t="inlineStr">
        <is>
          <t xml:space="preserve">INF109KB1JV8</t>
        </is>
      </c>
    </row>
    <row r="4691">
      <c r="A4691" t="inlineStr">
        <is>
          <t xml:space="preserve">ICICI Prudential Mutual Fund</t>
        </is>
      </c>
      <c r="B4691" t="inlineStr">
        <is>
          <t xml:space="preserve">ICICI Prudential Fixed Maturity Plan - Series 77 - 1105 Days Plan N - Direct Plan - Cumulative Option</t>
        </is>
      </c>
      <c r="C4691" t="inlineStr">
        <is>
          <t xml:space="preserve">INF109KB1JX4</t>
        </is>
      </c>
    </row>
    <row r="4692">
      <c r="A4692" t="inlineStr">
        <is>
          <t xml:space="preserve">ICICI Prudential Mutual Fund</t>
        </is>
      </c>
      <c r="B4692" t="inlineStr">
        <is>
          <t xml:space="preserve">ICICI Prudential Fixed Maturity Plan - Series 77 - 1105 Days Plan N - Dividend Option</t>
        </is>
      </c>
      <c r="C4692" t="inlineStr">
        <is>
          <t xml:space="preserve">INF109KB1JW6</t>
        </is>
      </c>
    </row>
    <row r="4693">
      <c r="A4693" t="inlineStr">
        <is>
          <t xml:space="preserve">ICICI Prudential Mutual Fund</t>
        </is>
      </c>
      <c r="B4693" t="inlineStr">
        <is>
          <t xml:space="preserve">ICICI Prudential Fixed Maturity Plan - Series 77 - 1129 Days Plan W Cumulative Option</t>
        </is>
      </c>
      <c r="C4693" t="inlineStr">
        <is>
          <t xml:space="preserve">INF109KB1MR0</t>
        </is>
      </c>
    </row>
    <row r="4694">
      <c r="A4694" t="inlineStr">
        <is>
          <t xml:space="preserve">ICICI Prudential Mutual Fund</t>
        </is>
      </c>
      <c r="B4694" t="inlineStr">
        <is>
          <t xml:space="preserve">ICICI Prudential Fixed Maturity Plan - Series 77 - 1129 Days Plan W Direct Plan Cumulative Option</t>
        </is>
      </c>
      <c r="C4694" t="inlineStr">
        <is>
          <t xml:space="preserve">INF109KB1MT6</t>
        </is>
      </c>
    </row>
    <row r="4695">
      <c r="A4695" t="inlineStr">
        <is>
          <t xml:space="preserve">ICICI Prudential Mutual Fund</t>
        </is>
      </c>
      <c r="B4695" t="inlineStr">
        <is>
          <t xml:space="preserve">ICICI Prudential Fixed Maturity Plan - Series 77 - 1129 Days Plan W Dividend Option</t>
        </is>
      </c>
      <c r="C4695" t="inlineStr">
        <is>
          <t xml:space="preserve">INF109KB1MS8</t>
        </is>
      </c>
    </row>
    <row r="4696">
      <c r="A4696" t="inlineStr">
        <is>
          <t xml:space="preserve">ICICI Prudential Mutual Fund</t>
        </is>
      </c>
      <c r="B4696" t="inlineStr">
        <is>
          <t xml:space="preserve">ICICI Prudential Fixed Maturity Plan - Series 77 - 1130 Days Plan D Cumulative Option</t>
        </is>
      </c>
      <c r="C4696" t="inlineStr">
        <is>
          <t xml:space="preserve">INF109KB1EL0</t>
        </is>
      </c>
    </row>
    <row r="4697">
      <c r="A4697" t="inlineStr">
        <is>
          <t xml:space="preserve">ICICI Prudential Mutual Fund</t>
        </is>
      </c>
      <c r="B4697" t="inlineStr">
        <is>
          <t xml:space="preserve">ICICI Prudential Fixed Maturity Plan - Series 77 - 1130 Days Plan D Direct Plan Cumulative Option</t>
        </is>
      </c>
      <c r="C4697" t="inlineStr">
        <is>
          <t xml:space="preserve">INF109KB1EN6</t>
        </is>
      </c>
    </row>
    <row r="4698">
      <c r="A4698" t="inlineStr">
        <is>
          <t xml:space="preserve">ICICI Prudential Mutual Fund</t>
        </is>
      </c>
      <c r="B4698" t="inlineStr">
        <is>
          <t xml:space="preserve">ICICI Prudential Fixed Maturity Plan - Series 77 - 1130 Days Plan D Dividend Option</t>
        </is>
      </c>
      <c r="C4698" t="inlineStr">
        <is>
          <t xml:space="preserve">INF109KB1EM8</t>
        </is>
      </c>
    </row>
    <row r="4699">
      <c r="A4699" t="inlineStr">
        <is>
          <t xml:space="preserve">ICICI Prudential Mutual Fund</t>
        </is>
      </c>
      <c r="B4699" t="inlineStr">
        <is>
          <t xml:space="preserve">ICICI Prudential Fixed Maturity Plan - Series 77 - 1132 Days Plan A Cumulative Option</t>
        </is>
      </c>
      <c r="C4699" t="inlineStr">
        <is>
          <t xml:space="preserve">INF109KB1DF4</t>
        </is>
      </c>
    </row>
    <row r="4700">
      <c r="A4700" t="inlineStr">
        <is>
          <t xml:space="preserve">ICICI Prudential Mutual Fund</t>
        </is>
      </c>
      <c r="B4700" t="inlineStr">
        <is>
          <t xml:space="preserve">ICICI Prudential Fixed Maturity Plan - Series 77 - 1132 Days Plan A Direct Plan Cumulative Option</t>
        </is>
      </c>
      <c r="C4700" t="inlineStr">
        <is>
          <t xml:space="preserve">INF109KB1DH0</t>
        </is>
      </c>
    </row>
    <row r="4701">
      <c r="A4701" t="inlineStr">
        <is>
          <t xml:space="preserve">ICICI Prudential Mutual Fund</t>
        </is>
      </c>
      <c r="B4701" t="inlineStr">
        <is>
          <t xml:space="preserve">ICICI Prudential Fixed Maturity Plan - Series 77 - 1132 Days Plan A Direct Plan Dividend Option</t>
        </is>
      </c>
      <c r="C4701" t="inlineStr">
        <is>
          <t xml:space="preserve">INF109KB1DI8</t>
        </is>
      </c>
    </row>
    <row r="4702">
      <c r="A4702" t="inlineStr">
        <is>
          <t xml:space="preserve">ICICI Prudential Mutual Fund</t>
        </is>
      </c>
      <c r="B4702" t="inlineStr">
        <is>
          <t xml:space="preserve">ICICI Prudential Fixed Maturity Plan - Series 77 - 1132 Days Plan A Dividend Option</t>
        </is>
      </c>
      <c r="C4702" t="inlineStr">
        <is>
          <t xml:space="preserve">INF109KB1DG2</t>
        </is>
      </c>
    </row>
    <row r="4703">
      <c r="A4703" t="inlineStr">
        <is>
          <t xml:space="preserve">ICICI Prudential Mutual Fund</t>
        </is>
      </c>
      <c r="B4703" t="inlineStr">
        <is>
          <t xml:space="preserve">ICICI Prudential Fixed Maturity Plan - Series 77 - 1134 Plan H Cumulative Option</t>
        </is>
      </c>
      <c r="C4703" t="inlineStr">
        <is>
          <t xml:space="preserve">INF109KB1HB4</t>
        </is>
      </c>
    </row>
    <row r="4704">
      <c r="A4704" t="inlineStr">
        <is>
          <t xml:space="preserve">ICICI Prudential Mutual Fund</t>
        </is>
      </c>
      <c r="B4704" t="inlineStr">
        <is>
          <t xml:space="preserve">ICICI Prudential Fixed Maturity Plan - Series 77 - 1134 Plan H Direct Plan Cumulative Option</t>
        </is>
      </c>
      <c r="C4704" t="inlineStr">
        <is>
          <t xml:space="preserve">INF109KB1HD0</t>
        </is>
      </c>
    </row>
    <row r="4705">
      <c r="A4705" t="inlineStr">
        <is>
          <t xml:space="preserve">ICICI Prudential Mutual Fund</t>
        </is>
      </c>
      <c r="B4705" t="inlineStr">
        <is>
          <t xml:space="preserve">ICICI Prudential Fixed Maturity Plan - Series 77 - 1134 Plan H Direct Plan Dividend Option</t>
        </is>
      </c>
      <c r="C4705" t="inlineStr">
        <is>
          <t xml:space="preserve">INF109KB1HE8</t>
        </is>
      </c>
    </row>
    <row r="4706">
      <c r="A4706" t="inlineStr">
        <is>
          <t xml:space="preserve">ICICI Prudential Mutual Fund</t>
        </is>
      </c>
      <c r="B4706" t="inlineStr">
        <is>
          <t xml:space="preserve">ICICI Prudential Fixed Maturity Plan - Series 77 - 1144 Days Plan T Cumulative Option</t>
        </is>
      </c>
      <c r="C4706" t="inlineStr">
        <is>
          <t xml:space="preserve">INF109KB1MF5</t>
        </is>
      </c>
    </row>
    <row r="4707">
      <c r="A4707" t="inlineStr">
        <is>
          <t xml:space="preserve">ICICI Prudential Mutual Fund</t>
        </is>
      </c>
      <c r="B4707" t="inlineStr">
        <is>
          <t xml:space="preserve">ICICI Prudential Fixed Maturity Plan - Series 77 - 1144 Days Plan T Direct Plan Cumulative Option</t>
        </is>
      </c>
      <c r="C4707" t="inlineStr">
        <is>
          <t xml:space="preserve">INF109KB1MH1</t>
        </is>
      </c>
    </row>
    <row r="4708">
      <c r="A4708" t="inlineStr">
        <is>
          <t xml:space="preserve">ICICI Prudential Mutual Fund</t>
        </is>
      </c>
      <c r="B4708" t="inlineStr">
        <is>
          <t xml:space="preserve">ICICI Prudential Fixed Maturity Plan - Series 77 - 1144 Days Plan T Dividend Option</t>
        </is>
      </c>
      <c r="C4708" t="inlineStr">
        <is>
          <t xml:space="preserve">INF109KB1MG3</t>
        </is>
      </c>
    </row>
    <row r="4709">
      <c r="A4709" t="inlineStr">
        <is>
          <t xml:space="preserve">ICICI Prudential Mutual Fund</t>
        </is>
      </c>
      <c r="B4709" t="inlineStr">
        <is>
          <t xml:space="preserve">ICICI Prudential Fixed Maturity Plan - Series 77 - 1151 Days Plan S Cumulative Option</t>
        </is>
      </c>
      <c r="C4709" t="inlineStr">
        <is>
          <t xml:space="preserve">INF109KB1LZ5</t>
        </is>
      </c>
    </row>
    <row r="4710">
      <c r="A4710" t="inlineStr">
        <is>
          <t xml:space="preserve">ICICI Prudential Mutual Fund</t>
        </is>
      </c>
      <c r="B4710" t="inlineStr">
        <is>
          <t xml:space="preserve">ICICI Prudential Fixed Maturity Plan - Series 77 - 1151 Days Plan S Direct Plan Cumulative Option</t>
        </is>
      </c>
      <c r="C4710" t="inlineStr">
        <is>
          <t xml:space="preserve">INF109KB1MB4</t>
        </is>
      </c>
    </row>
    <row r="4711">
      <c r="A4711" t="inlineStr">
        <is>
          <t xml:space="preserve">ICICI Prudential Mutual Fund</t>
        </is>
      </c>
      <c r="B4711" t="inlineStr">
        <is>
          <t xml:space="preserve">ICICI Prudential Fixed Maturity Plan - Series 77 - 1151 Days Plan S Direct Plan Dividend Option</t>
        </is>
      </c>
      <c r="C4711" t="inlineStr">
        <is>
          <t xml:space="preserve">INF109KB1MC2</t>
        </is>
      </c>
    </row>
    <row r="4712">
      <c r="A4712" t="inlineStr">
        <is>
          <t xml:space="preserve">ICICI Prudential Mutual Fund</t>
        </is>
      </c>
      <c r="B4712" t="inlineStr">
        <is>
          <t xml:space="preserve">ICICI Prudential Fixed Maturity Plan - Series 77 - 1151 Days Plan S Dividend Option</t>
        </is>
      </c>
      <c r="C4712" t="inlineStr">
        <is>
          <t xml:space="preserve">INF109KB1MA6</t>
        </is>
      </c>
    </row>
    <row r="4713">
      <c r="A4713" t="inlineStr">
        <is>
          <t xml:space="preserve">ICICI Prudential Mutual Fund</t>
        </is>
      </c>
      <c r="B4713" t="inlineStr">
        <is>
          <t xml:space="preserve">ICICI Prudential Fixed Maturity Plan - Series 77 - 1473 Days Plan C Cumulative Option</t>
        </is>
      </c>
      <c r="C4713" t="inlineStr">
        <is>
          <t xml:space="preserve">INF109KB1DN8</t>
        </is>
      </c>
    </row>
    <row r="4714">
      <c r="A4714" t="inlineStr">
        <is>
          <t xml:space="preserve">ICICI Prudential Mutual Fund</t>
        </is>
      </c>
      <c r="B4714" t="inlineStr">
        <is>
          <t xml:space="preserve">ICICI Prudential Fixed Maturity Plan - Series 77 - 1473 Days Plan C Direct Plan Cumulative Option</t>
        </is>
      </c>
      <c r="C4714" t="inlineStr">
        <is>
          <t xml:space="preserve">INF109KB1DP3</t>
        </is>
      </c>
    </row>
    <row r="4715">
      <c r="A4715" t="inlineStr">
        <is>
          <t xml:space="preserve">ICICI Prudential Mutual Fund</t>
        </is>
      </c>
      <c r="B4715" t="inlineStr">
        <is>
          <t xml:space="preserve">ICICI Prudential Fixed Maturity Plan - Series 77 - 1473 Days Plan C Direct Plan Dividend Option</t>
        </is>
      </c>
      <c r="C4715" t="inlineStr">
        <is>
          <t xml:space="preserve">INF109KB1DQ1</t>
        </is>
      </c>
    </row>
    <row r="4716">
      <c r="A4716" t="inlineStr">
        <is>
          <t xml:space="preserve">ICICI Prudential Mutual Fund</t>
        </is>
      </c>
      <c r="B4716" t="inlineStr">
        <is>
          <t xml:space="preserve">ICICI Prudential Fixed Maturity Plan - Series 77 - 1473 Days Plan C Dividend Option</t>
        </is>
      </c>
      <c r="C4716" t="inlineStr">
        <is>
          <t xml:space="preserve">INF109KB1DO6</t>
        </is>
      </c>
    </row>
    <row r="4717">
      <c r="A4717" t="inlineStr">
        <is>
          <t xml:space="preserve">ICICI Prudential Mutual Fund</t>
        </is>
      </c>
      <c r="B4717" t="inlineStr">
        <is>
          <t xml:space="preserve">ICICI Prudential Fixed Maturity Plan - Series 78 - 1102 Days Plan Z Cumulative Option</t>
        </is>
      </c>
      <c r="C4717" t="inlineStr">
        <is>
          <t xml:space="preserve">INF109KB1UN2</t>
        </is>
      </c>
    </row>
    <row r="4718">
      <c r="A4718" t="inlineStr">
        <is>
          <t xml:space="preserve">ICICI Prudential Mutual Fund</t>
        </is>
      </c>
      <c r="B4718" t="inlineStr">
        <is>
          <t xml:space="preserve">ICICI Prudential Fixed Maturity Plan - Series 78 - 1102 Days Plan Z Direct Plan Cumulative Option</t>
        </is>
      </c>
      <c r="C4718" t="inlineStr">
        <is>
          <t xml:space="preserve">INF109KB1UP7</t>
        </is>
      </c>
    </row>
    <row r="4719">
      <c r="A4719" t="inlineStr">
        <is>
          <t xml:space="preserve">ICICI Prudential Mutual Fund</t>
        </is>
      </c>
      <c r="B4719" t="inlineStr">
        <is>
          <t xml:space="preserve">ICICI Prudential Fixed Maturity Plan - Series 78 - 1102 Days Plan Z Direct Plan Dividend Option</t>
        </is>
      </c>
      <c r="C4719" t="inlineStr">
        <is>
          <t xml:space="preserve">INF109KB1UQ5</t>
        </is>
      </c>
    </row>
    <row r="4720">
      <c r="A4720" t="inlineStr">
        <is>
          <t xml:space="preserve">ICICI Prudential Mutual Fund</t>
        </is>
      </c>
      <c r="B4720" t="inlineStr">
        <is>
          <t xml:space="preserve">ICICI Prudential Fixed Maturity Plan - Series 78 - 1102 Days Plan Z Dividend Option</t>
        </is>
      </c>
      <c r="C4720" t="inlineStr">
        <is>
          <t xml:space="preserve">INF109KB1UO0</t>
        </is>
      </c>
    </row>
    <row r="4721">
      <c r="A4721" t="inlineStr">
        <is>
          <t xml:space="preserve">ICICI Prudential Mutual Fund</t>
        </is>
      </c>
      <c r="B4721" t="inlineStr">
        <is>
          <t xml:space="preserve">ICICI Prudential Fixed Maturity Plan - Series 78 - 1115 Days Plan X Cumulative Option</t>
        </is>
      </c>
      <c r="C4721" t="inlineStr">
        <is>
          <t xml:space="preserve">INF109KB1TX3</t>
        </is>
      </c>
    </row>
    <row r="4722">
      <c r="A4722" t="inlineStr">
        <is>
          <t xml:space="preserve">ICICI Prudential Mutual Fund</t>
        </is>
      </c>
      <c r="B4722" t="inlineStr">
        <is>
          <t xml:space="preserve">ICICI Prudential Fixed Maturity Plan - Series 78 - 1115 Days Plan X Direct Plan Cumulative Option</t>
        </is>
      </c>
      <c r="C4722" t="inlineStr">
        <is>
          <t xml:space="preserve">INF109KB1TZ8</t>
        </is>
      </c>
    </row>
    <row r="4723">
      <c r="A4723" t="inlineStr">
        <is>
          <t xml:space="preserve">ICICI Prudential Mutual Fund</t>
        </is>
      </c>
      <c r="B4723" t="inlineStr">
        <is>
          <t xml:space="preserve">ICICI Prudential Fixed Maturity Plan - Series 78 - 1115 Days Plan X Direct Plan Dividend Option</t>
        </is>
      </c>
      <c r="C4723" t="inlineStr">
        <is>
          <t xml:space="preserve">INF109KB1UA9</t>
        </is>
      </c>
    </row>
    <row r="4724">
      <c r="A4724" t="inlineStr">
        <is>
          <t xml:space="preserve">ICICI Prudential Mutual Fund</t>
        </is>
      </c>
      <c r="B4724" t="inlineStr">
        <is>
          <t xml:space="preserve">ICICI Prudential Fixed Maturity Plan - Series 78 - 1127 Days Plan R Cumulative Option</t>
        </is>
      </c>
      <c r="C4724" t="inlineStr">
        <is>
          <t xml:space="preserve">INF109KB1SZ0</t>
        </is>
      </c>
    </row>
    <row r="4725">
      <c r="A4725" t="inlineStr">
        <is>
          <t xml:space="preserve">ICICI Prudential Mutual Fund</t>
        </is>
      </c>
      <c r="B4725" t="inlineStr">
        <is>
          <t xml:space="preserve">ICICI Prudential Fixed Maturity Plan - Series 78 - 1127 Days Plan R Direct Plan Cumulative Option</t>
        </is>
      </c>
      <c r="C4725" t="inlineStr">
        <is>
          <t xml:space="preserve">INF109KB1TB9</t>
        </is>
      </c>
    </row>
    <row r="4726">
      <c r="A4726" t="inlineStr">
        <is>
          <t xml:space="preserve">ICICI Prudential Mutual Fund</t>
        </is>
      </c>
      <c r="B4726" t="inlineStr">
        <is>
          <t xml:space="preserve">ICICI Prudential Fixed Maturity Plan - Series 78 - 1127 Days Plan R Direct Plan Dividend Option</t>
        </is>
      </c>
      <c r="C4726" t="inlineStr">
        <is>
          <t xml:space="preserve">INF109KB1TC7</t>
        </is>
      </c>
    </row>
    <row r="4727">
      <c r="A4727" t="inlineStr">
        <is>
          <t xml:space="preserve">ICICI Prudential Mutual Fund</t>
        </is>
      </c>
      <c r="B4727" t="inlineStr">
        <is>
          <t xml:space="preserve">ICICI Prudential Fixed Maturity Plan - Series 78 - 1127 Days Plan R Dividend Option</t>
        </is>
      </c>
      <c r="C4727" t="inlineStr">
        <is>
          <t xml:space="preserve">INF109KB1TA1</t>
        </is>
      </c>
    </row>
    <row r="4728">
      <c r="A4728" t="inlineStr">
        <is>
          <t xml:space="preserve">ICICI Prudential Mutual Fund</t>
        </is>
      </c>
      <c r="B4728" t="inlineStr">
        <is>
          <t xml:space="preserve">ICICI Prudential Fixed Maturity Plan - Series 78 - 1130 Days Plan T Cumulative Option</t>
        </is>
      </c>
      <c r="C4728" t="inlineStr">
        <is>
          <t xml:space="preserve">INF109KB1TD5</t>
        </is>
      </c>
    </row>
    <row r="4729">
      <c r="A4729" t="inlineStr">
        <is>
          <t xml:space="preserve">ICICI Prudential Mutual Fund</t>
        </is>
      </c>
      <c r="B4729" t="inlineStr">
        <is>
          <t xml:space="preserve">ICICI Prudential Fixed Maturity Plan - Series 78 - 1130 Days Plan T Direct Plan Cumulative Option</t>
        </is>
      </c>
      <c r="C4729" t="inlineStr">
        <is>
          <t xml:space="preserve">INF109KB1TF0</t>
        </is>
      </c>
    </row>
    <row r="4730">
      <c r="A4730" t="inlineStr">
        <is>
          <t xml:space="preserve">ICICI Prudential Mutual Fund</t>
        </is>
      </c>
      <c r="B4730" t="inlineStr">
        <is>
          <t xml:space="preserve">ICICI Prudential Fixed Maturity Plan - Series 78 - 1130 Days Plan T Direct Plan Dividend Option</t>
        </is>
      </c>
      <c r="C4730" t="inlineStr">
        <is>
          <t xml:space="preserve">INF109KB1TG8</t>
        </is>
      </c>
    </row>
    <row r="4731">
      <c r="A4731" t="inlineStr">
        <is>
          <t xml:space="preserve">ICICI Prudential Mutual Fund</t>
        </is>
      </c>
      <c r="B4731" t="inlineStr">
        <is>
          <t xml:space="preserve">ICICI Prudential Fixed Maturity Plan - Series 78 - 1135 Days Plan W Cumulative Option</t>
        </is>
      </c>
      <c r="C4731" t="inlineStr">
        <is>
          <t xml:space="preserve">INF109KB1TP9</t>
        </is>
      </c>
    </row>
    <row r="4732">
      <c r="A4732" t="inlineStr">
        <is>
          <t xml:space="preserve">ICICI Prudential Mutual Fund</t>
        </is>
      </c>
      <c r="B4732" t="inlineStr">
        <is>
          <t xml:space="preserve">ICICI Prudential Fixed Maturity Plan - Series 78 - 1135 Days Plan W Direct Plan Cumulative Option</t>
        </is>
      </c>
      <c r="C4732" t="inlineStr">
        <is>
          <t xml:space="preserve">INF109KB1TR5</t>
        </is>
      </c>
    </row>
    <row r="4733">
      <c r="A4733" t="inlineStr">
        <is>
          <t xml:space="preserve">ICICI Prudential Mutual Fund</t>
        </is>
      </c>
      <c r="B4733" t="inlineStr">
        <is>
          <t xml:space="preserve">ICICI Prudential Fixed Maturity Plan - Series 78 - 1156 Days Plan U Cumulative Option</t>
        </is>
      </c>
      <c r="C4733" t="inlineStr">
        <is>
          <t xml:space="preserve">INF109KB1TL8</t>
        </is>
      </c>
    </row>
    <row r="4734">
      <c r="A4734" t="inlineStr">
        <is>
          <t xml:space="preserve">ICICI Prudential Mutual Fund</t>
        </is>
      </c>
      <c r="B4734" t="inlineStr">
        <is>
          <t xml:space="preserve">ICICI Prudential Fixed Maturity Plan - Series 78 - 1156 Days Plan U Direct Plan Cumulative Option</t>
        </is>
      </c>
      <c r="C4734" t="inlineStr">
        <is>
          <t xml:space="preserve">INF109KB1TN4</t>
        </is>
      </c>
    </row>
    <row r="4735">
      <c r="A4735" t="inlineStr">
        <is>
          <t xml:space="preserve">ICICI Prudential Mutual Fund</t>
        </is>
      </c>
      <c r="B4735" t="inlineStr">
        <is>
          <t xml:space="preserve">ICICI Prudential Fixed Maturity Plan - Series 78 - 1156 Days Plan U Dividend Option</t>
        </is>
      </c>
      <c r="C4735" t="inlineStr">
        <is>
          <t xml:space="preserve">INF109KB1TM6</t>
        </is>
      </c>
    </row>
    <row r="4736">
      <c r="A4736" t="inlineStr">
        <is>
          <t xml:space="preserve">ICICI Prudential Mutual Fund</t>
        </is>
      </c>
      <c r="B4736" t="inlineStr">
        <is>
          <t xml:space="preserve">ICICI Prudential Fixed Maturity Plan - Series 78 - 1168 Days Plan J Cumulative Option</t>
        </is>
      </c>
      <c r="C4736" t="inlineStr">
        <is>
          <t xml:space="preserve">INF109KB1RP3</t>
        </is>
      </c>
    </row>
    <row r="4737">
      <c r="A4737" t="inlineStr">
        <is>
          <t xml:space="preserve">ICICI Prudential Mutual Fund</t>
        </is>
      </c>
      <c r="B4737" t="inlineStr">
        <is>
          <t xml:space="preserve">ICICI Prudential Fixed Maturity Plan - Series 78 - 1168 Days Plan J Direct Plan Cumulative Option</t>
        </is>
      </c>
      <c r="C4737" t="inlineStr">
        <is>
          <t xml:space="preserve">INF109KB1RR9</t>
        </is>
      </c>
    </row>
    <row r="4738">
      <c r="A4738" t="inlineStr">
        <is>
          <t xml:space="preserve">ICICI Prudential Mutual Fund</t>
        </is>
      </c>
      <c r="B4738" t="inlineStr">
        <is>
          <t xml:space="preserve">ICICI Prudential Fixed Maturity Plan - Series 78 - 1168 Days Plan J Direct Plan Dividend Option</t>
        </is>
      </c>
      <c r="C4738" t="inlineStr">
        <is>
          <t xml:space="preserve">INF109KB1RS7</t>
        </is>
      </c>
    </row>
    <row r="4739">
      <c r="A4739" t="inlineStr">
        <is>
          <t xml:space="preserve">ICICI Prudential Mutual Fund</t>
        </is>
      </c>
      <c r="B4739" t="inlineStr">
        <is>
          <t xml:space="preserve">ICICI Prudential Fixed Maturity Plan - Series 78 - 1168 Days Plan J Dividend Option</t>
        </is>
      </c>
      <c r="C4739" t="inlineStr">
        <is>
          <t xml:space="preserve">INF109KB1RQ1</t>
        </is>
      </c>
    </row>
    <row r="4740">
      <c r="A4740" t="inlineStr">
        <is>
          <t xml:space="preserve">ICICI Prudential Mutual Fund</t>
        </is>
      </c>
      <c r="B4740" t="inlineStr">
        <is>
          <t xml:space="preserve">ICICI Prudential Fixed Maturity Plan - Series 78 - 1170 Days Plan I Cumulative Option</t>
        </is>
      </c>
      <c r="C4740" t="inlineStr">
        <is>
          <t xml:space="preserve">INF109KB1RD9</t>
        </is>
      </c>
    </row>
    <row r="4741">
      <c r="A4741" t="inlineStr">
        <is>
          <t xml:space="preserve">ICICI Prudential Mutual Fund</t>
        </is>
      </c>
      <c r="B4741" t="inlineStr">
        <is>
          <t xml:space="preserve">ICICI Prudential Fixed Maturity Plan - Series 78 - 1170 Days Plan I Direct Plan Cumulative Option</t>
        </is>
      </c>
      <c r="C4741" t="inlineStr">
        <is>
          <t xml:space="preserve">INF109KB1RF4</t>
        </is>
      </c>
    </row>
    <row r="4742">
      <c r="A4742" t="inlineStr">
        <is>
          <t xml:space="preserve">ICICI Prudential Mutual Fund</t>
        </is>
      </c>
      <c r="B4742" t="inlineStr">
        <is>
          <t xml:space="preserve">ICICI Prudential Fixed Maturity Plan - Series 78 - 1170 Days Plan I Direct Plan Dividend Option</t>
        </is>
      </c>
      <c r="C4742" t="inlineStr">
        <is>
          <t xml:space="preserve">INF109KB1RG2</t>
        </is>
      </c>
    </row>
    <row r="4743">
      <c r="A4743" t="inlineStr">
        <is>
          <t xml:space="preserve">ICICI Prudential Mutual Fund</t>
        </is>
      </c>
      <c r="B4743" t="inlineStr">
        <is>
          <t xml:space="preserve">ICICI Prudential Fixed Maturity Plan - Series 78 - 1170 Days Plan I Dividend Option</t>
        </is>
      </c>
      <c r="C4743" t="inlineStr">
        <is>
          <t xml:space="preserve">INF109KB1RE7</t>
        </is>
      </c>
    </row>
    <row r="4744">
      <c r="A4744" t="inlineStr">
        <is>
          <t xml:space="preserve">ICICI Prudential Mutual Fund</t>
        </is>
      </c>
      <c r="B4744" t="inlineStr">
        <is>
          <t xml:space="preserve">ICICI Prudential Fixed Maturity Plan - Series 78 - 1185 Days Plan F Cumulative Option</t>
        </is>
      </c>
      <c r="C4744" t="inlineStr">
        <is>
          <t xml:space="preserve">INF109KB1QB5</t>
        </is>
      </c>
    </row>
    <row r="4745">
      <c r="A4745" t="inlineStr">
        <is>
          <t xml:space="preserve">ICICI Prudential Mutual Fund</t>
        </is>
      </c>
      <c r="B4745" t="inlineStr">
        <is>
          <t xml:space="preserve">ICICI Prudential Fixed Maturity Plan - Series 78 - 1185 Days Plan F Direct Plan Cumulative Option</t>
        </is>
      </c>
      <c r="C4745" t="inlineStr">
        <is>
          <t xml:space="preserve">INF109KB1QD1</t>
        </is>
      </c>
    </row>
    <row r="4746">
      <c r="A4746" t="inlineStr">
        <is>
          <t xml:space="preserve">ICICI Prudential Mutual Fund</t>
        </is>
      </c>
      <c r="B4746" t="inlineStr">
        <is>
          <t xml:space="preserve">ICICI Prudential Fixed Maturity Plan - Series 78 - 1185 Days Plan F Direct Plan Dividend Option</t>
        </is>
      </c>
      <c r="C4746" t="inlineStr">
        <is>
          <t xml:space="preserve">INF109KB1QE9</t>
        </is>
      </c>
    </row>
    <row r="4747">
      <c r="A4747" t="inlineStr">
        <is>
          <t xml:space="preserve">ICICI Prudential Mutual Fund</t>
        </is>
      </c>
      <c r="B4747" t="inlineStr">
        <is>
          <t xml:space="preserve">ICICI Prudential Fixed Maturity Plan - Series 78 - 1185 Days Plan F Dividend Option</t>
        </is>
      </c>
      <c r="C4747" t="inlineStr">
        <is>
          <t xml:space="preserve">INF109KB1QC3</t>
        </is>
      </c>
    </row>
    <row r="4748">
      <c r="A4748" t="inlineStr">
        <is>
          <t xml:space="preserve">ICICI Prudential Mutual Fund</t>
        </is>
      </c>
      <c r="B4748" t="inlineStr">
        <is>
          <t xml:space="preserve">ICICI Prudential Fixed Maturity Plan - Series 78 - 1190 Days Plan C Cumulative Option</t>
        </is>
      </c>
      <c r="C4748" t="inlineStr">
        <is>
          <t xml:space="preserve">INF109KB1PH4</t>
        </is>
      </c>
    </row>
    <row r="4749">
      <c r="A4749" t="inlineStr">
        <is>
          <t xml:space="preserve">ICICI Prudential Mutual Fund</t>
        </is>
      </c>
      <c r="B4749" t="inlineStr">
        <is>
          <t xml:space="preserve">ICICI Prudential Fixed Maturity Plan - Series 78 - 1190 Days Plan C Direct Plan Cumulative Option</t>
        </is>
      </c>
      <c r="C4749" t="inlineStr">
        <is>
          <t xml:space="preserve">INF109KB1PJ0</t>
        </is>
      </c>
    </row>
    <row r="4750">
      <c r="A4750" t="inlineStr">
        <is>
          <t xml:space="preserve">ICICI Prudential Mutual Fund</t>
        </is>
      </c>
      <c r="B4750" t="inlineStr">
        <is>
          <t xml:space="preserve">ICICI Prudential Fixed Maturity Plan - Series 78 - 1190 Days Plan C Direct Plan Dividend Option</t>
        </is>
      </c>
      <c r="C4750" t="inlineStr">
        <is>
          <t xml:space="preserve">INF109KB1PK8</t>
        </is>
      </c>
    </row>
    <row r="4751">
      <c r="A4751" t="inlineStr">
        <is>
          <t xml:space="preserve">ICICI Prudential Mutual Fund</t>
        </is>
      </c>
      <c r="B4751" t="inlineStr">
        <is>
          <t xml:space="preserve">ICICI Prudential Fixed Maturity Plan - Series 78 - 1190 Days Plan C Dividend Option</t>
        </is>
      </c>
      <c r="C4751" t="inlineStr">
        <is>
          <t xml:space="preserve">INF109KB1PI2</t>
        </is>
      </c>
    </row>
    <row r="4752">
      <c r="A4752" t="inlineStr">
        <is>
          <t xml:space="preserve">ICICI Prudential Mutual Fund</t>
        </is>
      </c>
      <c r="B4752" t="inlineStr">
        <is>
          <t xml:space="preserve">ICICI Prudential Fixed Maturity Plan - Series 78 - 1190 Days Plan E Cumulative Option</t>
        </is>
      </c>
      <c r="C4752" t="inlineStr">
        <is>
          <t xml:space="preserve">INF109KB1PT9</t>
        </is>
      </c>
    </row>
    <row r="4753">
      <c r="A4753" t="inlineStr">
        <is>
          <t xml:space="preserve">ICICI Prudential Mutual Fund</t>
        </is>
      </c>
      <c r="B4753" t="inlineStr">
        <is>
          <t xml:space="preserve">ICICI Prudential Fixed Maturity Plan - Series 78 - 1190 Days Plan E Direct Plan Cumulative Option</t>
        </is>
      </c>
      <c r="C4753" t="inlineStr">
        <is>
          <t xml:space="preserve">INF109KB1PV5</t>
        </is>
      </c>
    </row>
    <row r="4754">
      <c r="A4754" t="inlineStr">
        <is>
          <t xml:space="preserve">ICICI Prudential Mutual Fund</t>
        </is>
      </c>
      <c r="B4754" t="inlineStr">
        <is>
          <t xml:space="preserve">ICICI Prudential Fixed Maturity Plan - Series 78 - 1190 Days Plan E Direct Plan Dividend Option</t>
        </is>
      </c>
      <c r="C4754" t="inlineStr">
        <is>
          <t xml:space="preserve">INF109KB1PW3</t>
        </is>
      </c>
    </row>
    <row r="4755">
      <c r="A4755" t="inlineStr">
        <is>
          <t xml:space="preserve">ICICI Prudential Mutual Fund</t>
        </is>
      </c>
      <c r="B4755" t="inlineStr">
        <is>
          <t xml:space="preserve">ICICI Prudential Fixed Maturity Plan - Series 78 - 1190 Days Plan E Dividend Option</t>
        </is>
      </c>
      <c r="C4755" t="inlineStr">
        <is>
          <t xml:space="preserve">INF109KB1PU7</t>
        </is>
      </c>
    </row>
    <row r="4756">
      <c r="A4756" t="inlineStr">
        <is>
          <t xml:space="preserve">ICICI Prudential Mutual Fund</t>
        </is>
      </c>
      <c r="B4756" t="inlineStr">
        <is>
          <t xml:space="preserve">ICICI Prudential Fixed Maturity Plan - Series 78 - 1212 Days Plan A Cumulative Option</t>
        </is>
      </c>
      <c r="C4756" t="inlineStr">
        <is>
          <t xml:space="preserve">INF109KB1OR6</t>
        </is>
      </c>
    </row>
    <row r="4757">
      <c r="A4757" t="inlineStr">
        <is>
          <t xml:space="preserve">ICICI Prudential Mutual Fund</t>
        </is>
      </c>
      <c r="B4757" t="inlineStr">
        <is>
          <t xml:space="preserve">ICICI Prudential Fixed Maturity Plan - Series 78 - 1212 Days Plan A Direct Plan Cumulative Option</t>
        </is>
      </c>
      <c r="C4757" t="inlineStr">
        <is>
          <t xml:space="preserve">INF109KB1OT2</t>
        </is>
      </c>
    </row>
    <row r="4758">
      <c r="A4758" t="inlineStr">
        <is>
          <t xml:space="preserve">ICICI Prudential Mutual Fund</t>
        </is>
      </c>
      <c r="B4758" t="inlineStr">
        <is>
          <t xml:space="preserve">ICICI Prudential Fixed Maturity Plan - Series 78 - 1212 Days Plan A Direct Plan Dividend Option</t>
        </is>
      </c>
      <c r="C4758" t="inlineStr">
        <is>
          <t xml:space="preserve">INF109KB1OU0</t>
        </is>
      </c>
    </row>
    <row r="4759">
      <c r="A4759" t="inlineStr">
        <is>
          <t xml:space="preserve">ICICI Prudential Mutual Fund</t>
        </is>
      </c>
      <c r="B4759" t="inlineStr">
        <is>
          <t xml:space="preserve">ICICI Prudential Fixed Maturity Plan - Series 78 - 1212 Days Plan A Dividend Option</t>
        </is>
      </c>
      <c r="C4759" t="inlineStr">
        <is>
          <t xml:space="preserve">INF109KB1OS4</t>
        </is>
      </c>
    </row>
    <row r="4760">
      <c r="A4760" t="inlineStr">
        <is>
          <t xml:space="preserve">ICICI Prudential Mutual Fund</t>
        </is>
      </c>
      <c r="B4760" t="inlineStr">
        <is>
          <t xml:space="preserve">ICICI Prudential Fixed Maturity Plan - Series 78 - 1281 Days Plan V Cumulative Option</t>
        </is>
      </c>
      <c r="C4760" t="inlineStr">
        <is>
          <t xml:space="preserve">INF109KB1TT1</t>
        </is>
      </c>
    </row>
    <row r="4761">
      <c r="A4761" t="inlineStr">
        <is>
          <t xml:space="preserve">ICICI Prudential Mutual Fund</t>
        </is>
      </c>
      <c r="B4761" t="inlineStr">
        <is>
          <t xml:space="preserve">ICICI Prudential Fixed Maturity Plan - Series 78 - 1281 Days Plan V Direct Plan Cumulative Option</t>
        </is>
      </c>
      <c r="C4761" t="inlineStr">
        <is>
          <t xml:space="preserve">INF109KB1TV7</t>
        </is>
      </c>
    </row>
    <row r="4762">
      <c r="A4762" t="inlineStr">
        <is>
          <t xml:space="preserve">ICICI Prudential Mutual Fund</t>
        </is>
      </c>
      <c r="B4762" t="inlineStr">
        <is>
          <t xml:space="preserve">ICICI Prudential Fixed Maturity Plan - Series 78 - 1281 Days Plan V Direct Plan Dividend Option</t>
        </is>
      </c>
      <c r="C4762" t="inlineStr">
        <is>
          <t xml:space="preserve">INF109KB1TW5</t>
        </is>
      </c>
    </row>
    <row r="4763">
      <c r="A4763" t="inlineStr">
        <is>
          <t xml:space="preserve">ICICI Prudential Mutual Fund</t>
        </is>
      </c>
      <c r="B4763" t="inlineStr">
        <is>
          <t xml:space="preserve">ICICI Prudential Fixed Maturity Plan - Series 78 - 1281 Days Plan V Dividend Option</t>
        </is>
      </c>
      <c r="C4763" t="inlineStr">
        <is>
          <t xml:space="preserve">INF109KB1TU9</t>
        </is>
      </c>
    </row>
    <row r="4764">
      <c r="A4764" t="inlineStr">
        <is>
          <t xml:space="preserve">ICICI Prudential Mutual Fund</t>
        </is>
      </c>
      <c r="B4764" t="inlineStr">
        <is>
          <t xml:space="preserve">ICICI Prudential Fixed Maturity Plan - Series 78 - 188 Days Plan L Cumulative Option</t>
        </is>
      </c>
      <c r="C4764" t="inlineStr">
        <is>
          <t xml:space="preserve">INF109KB1RT5</t>
        </is>
      </c>
    </row>
    <row r="4765">
      <c r="A4765" t="inlineStr">
        <is>
          <t xml:space="preserve">ICICI Prudential Mutual Fund</t>
        </is>
      </c>
      <c r="B4765" t="inlineStr">
        <is>
          <t xml:space="preserve">ICICI Prudential Fixed Maturity Plan - Series 78 - 188 Days Plan L Direct Plan Cumulative Option</t>
        </is>
      </c>
      <c r="C4765" t="inlineStr">
        <is>
          <t xml:space="preserve">INF109KB1RV1</t>
        </is>
      </c>
    </row>
    <row r="4766">
      <c r="A4766" t="inlineStr">
        <is>
          <t xml:space="preserve">ICICI Prudential Mutual Fund</t>
        </is>
      </c>
      <c r="B4766" t="inlineStr">
        <is>
          <t xml:space="preserve">ICICI Prudential Fixed Maturity Plan - Series 78 - 188 Days Plan L Direct Plan Dividend Option</t>
        </is>
      </c>
      <c r="C4766" t="inlineStr">
        <is>
          <t xml:space="preserve">INF109KB1RW9</t>
        </is>
      </c>
    </row>
    <row r="4767">
      <c r="A4767" t="inlineStr">
        <is>
          <t xml:space="preserve">ICICI Prudential Mutual Fund</t>
        </is>
      </c>
      <c r="B4767" t="inlineStr">
        <is>
          <t xml:space="preserve">ICICI Prudential Fixed Maturity Plan - Series 78 - 188 Days Plan L Dividend Option</t>
        </is>
      </c>
      <c r="C4767" t="inlineStr">
        <is>
          <t xml:space="preserve">INF109KB1RU3</t>
        </is>
      </c>
    </row>
    <row r="4768">
      <c r="A4768" t="inlineStr">
        <is>
          <t xml:space="preserve">ICICI Prudential Mutual Fund</t>
        </is>
      </c>
      <c r="B4768" t="inlineStr">
        <is>
          <t xml:space="preserve">ICICI Prudential Fixed Maturity Plan - Series 78 - 95 Days Plan K Cumulative Option</t>
        </is>
      </c>
      <c r="C4768" t="inlineStr">
        <is>
          <t xml:space="preserve">INF109KB1VT7</t>
        </is>
      </c>
    </row>
    <row r="4769">
      <c r="A4769" t="inlineStr">
        <is>
          <t xml:space="preserve">ICICI Prudential Mutual Fund</t>
        </is>
      </c>
      <c r="B4769" t="inlineStr">
        <is>
          <t xml:space="preserve">ICICI Prudential Fixed Maturity Plan - Series 78 - 95 Days Plan K Direct Plan Cumulative Option</t>
        </is>
      </c>
      <c r="C4769" t="inlineStr">
        <is>
          <t xml:space="preserve">INF109KB1VV3</t>
        </is>
      </c>
    </row>
    <row r="4770">
      <c r="A4770" t="inlineStr">
        <is>
          <t xml:space="preserve">ICICI Prudential Mutual Fund</t>
        </is>
      </c>
      <c r="B4770" t="inlineStr">
        <is>
          <t xml:space="preserve">ICICI Prudential Fixed Maturity Plan - Series 78 - 95 Days Plan K Direct Plan Dividend Option</t>
        </is>
      </c>
      <c r="C4770" t="inlineStr">
        <is>
          <t xml:space="preserve">INF109KB1VW1</t>
        </is>
      </c>
    </row>
    <row r="4771">
      <c r="A4771" t="inlineStr">
        <is>
          <t xml:space="preserve">ICICI Prudential Mutual Fund</t>
        </is>
      </c>
      <c r="B4771" t="inlineStr">
        <is>
          <t xml:space="preserve">ICICI Prudential Fixed Maturity Plan - Series 78 - 95 Days Plan K Dividend Option</t>
        </is>
      </c>
      <c r="C4771" t="inlineStr">
        <is>
          <t xml:space="preserve">INF109KB1VU5</t>
        </is>
      </c>
    </row>
    <row r="4772">
      <c r="A4772" t="inlineStr">
        <is>
          <t xml:space="preserve">ICICI Prudential Mutual Fund</t>
        </is>
      </c>
      <c r="B4772" t="inlineStr">
        <is>
          <t xml:space="preserve">ICICI Prudential Fixed Maturity Plan - Series 78 - 95 Days Plan M Direct Plan Dividend Option</t>
        </is>
      </c>
      <c r="C4772" t="inlineStr">
        <is>
          <t xml:space="preserve">INF109KB1SA3</t>
        </is>
      </c>
    </row>
    <row r="4773">
      <c r="A4773" t="inlineStr">
        <is>
          <t xml:space="preserve">ICICI Prudential Mutual Fund</t>
        </is>
      </c>
      <c r="B4773" t="inlineStr">
        <is>
          <t xml:space="preserve">ICICI Prudential Fixed Maturity Plan - Series 78 - 95 Days Plan M Dividend Option</t>
        </is>
      </c>
      <c r="C4773" t="inlineStr">
        <is>
          <t xml:space="preserve">INF109KB1RY5</t>
        </is>
      </c>
    </row>
    <row r="4774">
      <c r="A4774" t="inlineStr">
        <is>
          <t xml:space="preserve">ICICI Prudential Mutual Fund</t>
        </is>
      </c>
      <c r="B4774" t="inlineStr">
        <is>
          <t xml:space="preserve">ICICI Prudential Fixed Maturity Plan - Series 78 -1150 Days Plan N Cumulative Option</t>
        </is>
      </c>
      <c r="C4774" t="inlineStr">
        <is>
          <t xml:space="preserve">INF109KB1SB1</t>
        </is>
      </c>
    </row>
    <row r="4775">
      <c r="A4775" t="inlineStr">
        <is>
          <t xml:space="preserve">ICICI Prudential Mutual Fund</t>
        </is>
      </c>
      <c r="B4775" t="inlineStr">
        <is>
          <t xml:space="preserve">ICICI Prudential Fixed Maturity Plan - Series 78 -1150 Days Plan N Direct Plan Cumulative Option</t>
        </is>
      </c>
      <c r="C4775" t="inlineStr">
        <is>
          <t xml:space="preserve">INF109KB1SD7</t>
        </is>
      </c>
    </row>
    <row r="4776">
      <c r="A4776" t="inlineStr">
        <is>
          <t xml:space="preserve">ICICI Prudential Mutual Fund</t>
        </is>
      </c>
      <c r="B4776" t="inlineStr">
        <is>
          <t xml:space="preserve">ICICI Prudential Fixed Maturity Plan - Series 78 -1150 Days Plan N Direct Plan Dividend Option</t>
        </is>
      </c>
      <c r="C4776" t="inlineStr">
        <is>
          <t xml:space="preserve">INF109KB1SE5</t>
        </is>
      </c>
    </row>
    <row r="4777">
      <c r="A4777" t="inlineStr">
        <is>
          <t xml:space="preserve">ICICI Prudential Mutual Fund</t>
        </is>
      </c>
      <c r="B4777" t="inlineStr">
        <is>
          <t xml:space="preserve">ICICI Prudential Fixed Maturity Plan - Series 78 -1150 Days Plan N Dividend Option</t>
        </is>
      </c>
      <c r="C4777" t="inlineStr">
        <is>
          <t xml:space="preserve">INF109KB1SC9</t>
        </is>
      </c>
    </row>
    <row r="4778">
      <c r="A4778" t="inlineStr">
        <is>
          <t xml:space="preserve">ICICI Prudential Mutual Fund</t>
        </is>
      </c>
      <c r="B4778" t="inlineStr">
        <is>
          <t xml:space="preserve">ICICI Prudential Fixed Maturity Plan - Series 78 -95 Days Plan M Cumulative Option</t>
        </is>
      </c>
      <c r="C4778" t="inlineStr">
        <is>
          <t xml:space="preserve">INF109KB1RX7</t>
        </is>
      </c>
    </row>
    <row r="4779">
      <c r="A4779" t="inlineStr">
        <is>
          <t xml:space="preserve">ICICI Prudential Mutual Fund</t>
        </is>
      </c>
      <c r="B4779" t="inlineStr">
        <is>
          <t xml:space="preserve">ICICI Prudential Fixed Maturity Plan - Series 78 -95 Days Plan M Direct Plan Cumulative Option</t>
        </is>
      </c>
      <c r="C4779" t="inlineStr">
        <is>
          <t xml:space="preserve">INF109KB1RZ2</t>
        </is>
      </c>
    </row>
    <row r="4780">
      <c r="A4780" t="inlineStr">
        <is>
          <t xml:space="preserve">ICICI Prudential Mutual Fund</t>
        </is>
      </c>
      <c r="B4780" t="inlineStr">
        <is>
          <t xml:space="preserve">ICICI Prudential Fixed Maturity Plan - Series 79 - 1104 Days Plan O Cumulative Option</t>
        </is>
      </c>
      <c r="C4780" t="inlineStr">
        <is>
          <t xml:space="preserve">INF109KB1ZQ4</t>
        </is>
      </c>
    </row>
    <row r="4781">
      <c r="A4781" t="inlineStr">
        <is>
          <t xml:space="preserve">ICICI Prudential Mutual Fund</t>
        </is>
      </c>
      <c r="B4781" t="inlineStr">
        <is>
          <t xml:space="preserve">ICICI Prudential Fixed Maturity Plan - Series 79 - 1104 Days Plan O Direct Plan Cumulative Option</t>
        </is>
      </c>
      <c r="C4781" t="inlineStr">
        <is>
          <t xml:space="preserve">INF109KB1ZS0</t>
        </is>
      </c>
    </row>
    <row r="4782">
      <c r="A4782" t="inlineStr">
        <is>
          <t xml:space="preserve">ICICI Prudential Mutual Fund</t>
        </is>
      </c>
      <c r="B4782" t="inlineStr">
        <is>
          <t xml:space="preserve">ICICI Prudential Fixed Maturity Plan - Series 79 - 1104 Days Plan O Direct Plan Dividend Option</t>
        </is>
      </c>
      <c r="C4782" t="inlineStr">
        <is>
          <t xml:space="preserve">INF109KB1ZT8</t>
        </is>
      </c>
    </row>
    <row r="4783">
      <c r="A4783" t="inlineStr">
        <is>
          <t xml:space="preserve">ICICI Prudential Mutual Fund</t>
        </is>
      </c>
      <c r="B4783" t="inlineStr">
        <is>
          <t xml:space="preserve">ICICI Prudential Fixed Maturity Plan - Series 79 - 1104 Days Plan O Dividend Option</t>
        </is>
      </c>
      <c r="C4783" t="inlineStr">
        <is>
          <t xml:space="preserve">INF109KB1ZR2</t>
        </is>
      </c>
    </row>
    <row r="4784">
      <c r="A4784" t="inlineStr">
        <is>
          <t xml:space="preserve">ICICI Prudential Mutual Fund</t>
        </is>
      </c>
      <c r="B4784" t="inlineStr">
        <is>
          <t xml:space="preserve">ICICI Prudential Fixed Maturity Plan - Series 79 - 1104 Days Plan P Cumulative Option</t>
        </is>
      </c>
      <c r="C4784" t="inlineStr">
        <is>
          <t xml:space="preserve">INF109KB1B48</t>
        </is>
      </c>
    </row>
    <row r="4785">
      <c r="A4785" t="inlineStr">
        <is>
          <t xml:space="preserve">ICICI Prudential Mutual Fund</t>
        </is>
      </c>
      <c r="B4785" t="inlineStr">
        <is>
          <t xml:space="preserve">ICICI Prudential Fixed Maturity Plan - Series 79 - 1104 Days Plan P Direct Plan Cumulative Option</t>
        </is>
      </c>
      <c r="C4785" t="inlineStr">
        <is>
          <t xml:space="preserve">INF109KB1B63</t>
        </is>
      </c>
    </row>
    <row r="4786">
      <c r="A4786" t="inlineStr">
        <is>
          <t xml:space="preserve">ICICI Prudential Mutual Fund</t>
        </is>
      </c>
      <c r="B4786" t="inlineStr">
        <is>
          <t xml:space="preserve">ICICI Prudential Fixed Maturity Plan - Series 79 - 1104 Days Plan P Direct Plan Dividend Option</t>
        </is>
      </c>
      <c r="C4786" t="inlineStr">
        <is>
          <t xml:space="preserve">INF109KB1B71</t>
        </is>
      </c>
    </row>
    <row r="4787">
      <c r="A4787" t="inlineStr">
        <is>
          <t xml:space="preserve">ICICI Prudential Mutual Fund</t>
        </is>
      </c>
      <c r="B4787" t="inlineStr">
        <is>
          <t xml:space="preserve">ICICI Prudential Fixed Maturity Plan - Series 79 - 1104 Days Plan P Dividend Option</t>
        </is>
      </c>
      <c r="C4787" t="inlineStr">
        <is>
          <t xml:space="preserve">INF109KB1B55</t>
        </is>
      </c>
    </row>
    <row r="4788">
      <c r="A4788" t="inlineStr">
        <is>
          <t xml:space="preserve">ICICI Prudential Mutual Fund</t>
        </is>
      </c>
      <c r="B4788" t="inlineStr">
        <is>
          <t xml:space="preserve">ICICI Prudential Fixed Maturity Plan - Series 79 - 1105 Days Plan B Cumulative Option</t>
        </is>
      </c>
      <c r="C4788" t="inlineStr">
        <is>
          <t xml:space="preserve">INF109KB1VL4</t>
        </is>
      </c>
    </row>
    <row r="4789">
      <c r="A4789" t="inlineStr">
        <is>
          <t xml:space="preserve">ICICI Prudential Mutual Fund</t>
        </is>
      </c>
      <c r="B4789" t="inlineStr">
        <is>
          <t xml:space="preserve">ICICI Prudential Fixed Maturity Plan - Series 79 - 1105 Days Plan B Direct Plan Cumulative Option</t>
        </is>
      </c>
      <c r="C4789" t="inlineStr">
        <is>
          <t xml:space="preserve">INF109KB1VN0</t>
        </is>
      </c>
    </row>
    <row r="4790">
      <c r="A4790" t="inlineStr">
        <is>
          <t xml:space="preserve">ICICI Prudential Mutual Fund</t>
        </is>
      </c>
      <c r="B4790" t="inlineStr">
        <is>
          <t xml:space="preserve">ICICI Prudential Fixed Maturity Plan - Series 79 - 1105 Days Plan B Direct Plan Dividend Option</t>
        </is>
      </c>
      <c r="C4790" t="inlineStr">
        <is>
          <t xml:space="preserve">INF109KB1VO8</t>
        </is>
      </c>
    </row>
    <row r="4791">
      <c r="A4791" t="inlineStr">
        <is>
          <t xml:space="preserve">ICICI Prudential Mutual Fund</t>
        </is>
      </c>
      <c r="B4791" t="inlineStr">
        <is>
          <t xml:space="preserve">ICICI Prudential Fixed Maturity Plan - Series 79 - 1105 Days Plan B Dividend Option</t>
        </is>
      </c>
      <c r="C4791" t="inlineStr">
        <is>
          <t xml:space="preserve">INF109KB1VM2</t>
        </is>
      </c>
    </row>
    <row r="4792">
      <c r="A4792" t="inlineStr">
        <is>
          <t xml:space="preserve">ICICI Prudential Mutual Fund</t>
        </is>
      </c>
      <c r="B4792" t="inlineStr">
        <is>
          <t xml:space="preserve">ICICI Prudential Fixed Maturity Plan - Series 79 - 1106 Days Plan M  Dividend Option</t>
        </is>
      </c>
      <c r="C4792" t="inlineStr">
        <is>
          <t xml:space="preserve">INF109KB1ZJ9</t>
        </is>
      </c>
    </row>
    <row r="4793">
      <c r="A4793" t="inlineStr">
        <is>
          <t xml:space="preserve">ICICI Prudential Mutual Fund</t>
        </is>
      </c>
      <c r="B4793" t="inlineStr">
        <is>
          <t xml:space="preserve">ICICI Prudential Fixed Maturity Plan - Series 79 - 1106 Days Plan M Direct Plan Cumulative Option</t>
        </is>
      </c>
      <c r="C4793" t="inlineStr">
        <is>
          <t xml:space="preserve">INF109KB1ZK7</t>
        </is>
      </c>
    </row>
    <row r="4794">
      <c r="A4794" t="inlineStr">
        <is>
          <t xml:space="preserve">ICICI Prudential Mutual Fund</t>
        </is>
      </c>
      <c r="B4794" t="inlineStr">
        <is>
          <t xml:space="preserve">ICICI Prudential Fixed Maturity Plan - Series 79 - 1106 Days Plan M Direct Plan Dividend Option</t>
        </is>
      </c>
      <c r="C4794" t="inlineStr">
        <is>
          <t xml:space="preserve">INF109KB1ZL5</t>
        </is>
      </c>
    </row>
    <row r="4795">
      <c r="A4795" t="inlineStr">
        <is>
          <t xml:space="preserve">ICICI Prudential Mutual Fund</t>
        </is>
      </c>
      <c r="B4795" t="inlineStr">
        <is>
          <t xml:space="preserve">ICICI Prudential Fixed Maturity Plan - Series 79 - 1118 Days Plan K Cumulative Option</t>
        </is>
      </c>
      <c r="C4795" t="inlineStr">
        <is>
          <t xml:space="preserve">INF109KB1YS3</t>
        </is>
      </c>
    </row>
    <row r="4796">
      <c r="A4796" t="inlineStr">
        <is>
          <t xml:space="preserve">ICICI Prudential Mutual Fund</t>
        </is>
      </c>
      <c r="B4796" t="inlineStr">
        <is>
          <t xml:space="preserve">ICICI Prudential Fixed Maturity Plan - Series 79 - 1118 Days Plan K Direct Plan Cumulative Option</t>
        </is>
      </c>
      <c r="C4796" t="inlineStr">
        <is>
          <t xml:space="preserve">INF109KB1YU9</t>
        </is>
      </c>
    </row>
    <row r="4797">
      <c r="A4797" t="inlineStr">
        <is>
          <t xml:space="preserve">ICICI Prudential Mutual Fund</t>
        </is>
      </c>
      <c r="B4797" t="inlineStr">
        <is>
          <t xml:space="preserve">ICICI Prudential Fixed Maturity Plan - Series 79 - 1118 Days Plan K Direct Plan Dividend Option</t>
        </is>
      </c>
      <c r="C4797" t="inlineStr">
        <is>
          <t xml:space="preserve">INF109KB1YV7</t>
        </is>
      </c>
    </row>
    <row r="4798">
      <c r="A4798" t="inlineStr">
        <is>
          <t xml:space="preserve">ICICI Prudential Mutual Fund</t>
        </is>
      </c>
      <c r="B4798" t="inlineStr">
        <is>
          <t xml:space="preserve">ICICI Prudential Fixed Maturity Plan - Series 79 - 1118 Days Plan K Dividend Option</t>
        </is>
      </c>
      <c r="C4798" t="inlineStr">
        <is>
          <t xml:space="preserve">INF109KB1YT1</t>
        </is>
      </c>
    </row>
    <row r="4799">
      <c r="A4799" t="inlineStr">
        <is>
          <t xml:space="preserve">ICICI Prudential Mutual Fund</t>
        </is>
      </c>
      <c r="B4799" t="inlineStr">
        <is>
          <t xml:space="preserve">ICICI Prudential Fixed Maturity Plan - Series 79 - 1120 Days Plan J Cumulative Option</t>
        </is>
      </c>
      <c r="C4799" t="inlineStr">
        <is>
          <t xml:space="preserve">INF109KB1YO2</t>
        </is>
      </c>
    </row>
    <row r="4800">
      <c r="A4800" t="inlineStr">
        <is>
          <t xml:space="preserve">ICICI Prudential Mutual Fund</t>
        </is>
      </c>
      <c r="B4800" t="inlineStr">
        <is>
          <t xml:space="preserve">ICICI Prudential Fixed Maturity Plan - Series 79 - 1120 Days Plan J Direct Plan Cumulative Option</t>
        </is>
      </c>
      <c r="C4800" t="inlineStr">
        <is>
          <t xml:space="preserve">INF109KB1YQ7</t>
        </is>
      </c>
    </row>
    <row r="4801">
      <c r="A4801" t="inlineStr">
        <is>
          <t xml:space="preserve">ICICI Prudential Mutual Fund</t>
        </is>
      </c>
      <c r="B4801" t="inlineStr">
        <is>
          <t xml:space="preserve">ICICI Prudential Fixed Maturity Plan - Series 79 - 1120 Days Plan J Dividend Option</t>
        </is>
      </c>
      <c r="C4801" t="inlineStr">
        <is>
          <t xml:space="preserve">INF109KB1YP9</t>
        </is>
      </c>
    </row>
    <row r="4802">
      <c r="A4802" t="inlineStr">
        <is>
          <t xml:space="preserve">ICICI Prudential Mutual Fund</t>
        </is>
      </c>
      <c r="B4802" t="inlineStr">
        <is>
          <t xml:space="preserve">ICICI Prudential Fixed Maturity Plan - Series 79 - 1130 Days Plan E  Cumulative Option</t>
        </is>
      </c>
      <c r="C4802" t="inlineStr">
        <is>
          <t xml:space="preserve">INF109KB1XH8</t>
        </is>
      </c>
    </row>
    <row r="4803">
      <c r="A4803" t="inlineStr">
        <is>
          <t xml:space="preserve">ICICI Prudential Mutual Fund</t>
        </is>
      </c>
      <c r="B4803" t="inlineStr">
        <is>
          <t xml:space="preserve">ICICI Prudential Fixed Maturity Plan - Series 79 - 1130 Days Plan E  Direct Plan Cumulative Option</t>
        </is>
      </c>
      <c r="C4803" t="inlineStr">
        <is>
          <t xml:space="preserve">INF109KB1XJ4</t>
        </is>
      </c>
    </row>
    <row r="4804">
      <c r="A4804" t="inlineStr">
        <is>
          <t xml:space="preserve">ICICI Prudential Mutual Fund</t>
        </is>
      </c>
      <c r="B4804" t="inlineStr">
        <is>
          <t xml:space="preserve">ICICI Prudential Fixed Maturity Plan - Series 79 - 1130 Days Plan E  Direct Plan Dividend Option</t>
        </is>
      </c>
      <c r="C4804" t="inlineStr">
        <is>
          <t xml:space="preserve">INF109KB1XK2</t>
        </is>
      </c>
    </row>
    <row r="4805">
      <c r="A4805" t="inlineStr">
        <is>
          <t xml:space="preserve">ICICI Prudential Mutual Fund</t>
        </is>
      </c>
      <c r="B4805" t="inlineStr">
        <is>
          <t xml:space="preserve">ICICI Prudential Fixed Maturity Plan - Series 79 - 1130 Days Plan E  Dividend Option</t>
        </is>
      </c>
      <c r="C4805" t="inlineStr">
        <is>
          <t xml:space="preserve">INF109KB1XI6</t>
        </is>
      </c>
    </row>
    <row r="4806">
      <c r="A4806" t="inlineStr">
        <is>
          <t xml:space="preserve">ICICI Prudential Mutual Fund</t>
        </is>
      </c>
      <c r="B4806" t="inlineStr">
        <is>
          <t xml:space="preserve">ICICI Prudential Fixed Maturity Plan - Series 79 - 1140 Days Plan D  Cumulative Option</t>
        </is>
      </c>
      <c r="C4806" t="inlineStr">
        <is>
          <t xml:space="preserve">INF109KB1XD7</t>
        </is>
      </c>
    </row>
    <row r="4807">
      <c r="A4807" t="inlineStr">
        <is>
          <t xml:space="preserve">ICICI Prudential Mutual Fund</t>
        </is>
      </c>
      <c r="B4807" t="inlineStr">
        <is>
          <t xml:space="preserve">ICICI Prudential Fixed Maturity Plan - Series 79 - 1140 Days Plan D  Direct Plan Cumulative Option</t>
        </is>
      </c>
      <c r="C4807" t="inlineStr">
        <is>
          <t xml:space="preserve">INF109KB1XF2</t>
        </is>
      </c>
    </row>
    <row r="4808">
      <c r="A4808" t="inlineStr">
        <is>
          <t xml:space="preserve">ICICI Prudential Mutual Fund</t>
        </is>
      </c>
      <c r="B4808" t="inlineStr">
        <is>
          <t xml:space="preserve">ICICI Prudential Fixed Maturity Plan - Series 79 - 1140 Days Plan D  Direct Plan Dividend Option</t>
        </is>
      </c>
      <c r="C4808" t="inlineStr">
        <is>
          <t xml:space="preserve">INF109KB1XG0</t>
        </is>
      </c>
    </row>
    <row r="4809">
      <c r="A4809" t="inlineStr">
        <is>
          <t xml:space="preserve">ICICI Prudential Mutual Fund</t>
        </is>
      </c>
      <c r="B4809" t="inlineStr">
        <is>
          <t xml:space="preserve">ICICI Prudential Fixed Maturity Plan - Series 79 - 1140 Days Plan D  Dividend Option</t>
        </is>
      </c>
      <c r="C4809" t="inlineStr">
        <is>
          <t xml:space="preserve">INF109KB1XE5</t>
        </is>
      </c>
    </row>
    <row r="4810">
      <c r="A4810" t="inlineStr">
        <is>
          <t xml:space="preserve">ICICI Prudential Mutual Fund</t>
        </is>
      </c>
      <c r="B4810" t="inlineStr">
        <is>
          <t xml:space="preserve">ICICI Prudential Fixed Maturity Plan - Series 79 - 1218 Days Plan A Cumulative Option</t>
        </is>
      </c>
      <c r="C4810" t="inlineStr">
        <is>
          <t xml:space="preserve">INF109KB1UZ6</t>
        </is>
      </c>
    </row>
    <row r="4811">
      <c r="A4811" t="inlineStr">
        <is>
          <t xml:space="preserve">ICICI Prudential Mutual Fund</t>
        </is>
      </c>
      <c r="B4811" t="inlineStr">
        <is>
          <t xml:space="preserve">ICICI Prudential Fixed Maturity Plan - Series 79 - 1218 Days Plan A Direct Plan Cumulative Option</t>
        </is>
      </c>
      <c r="C4811" t="inlineStr">
        <is>
          <t xml:space="preserve">INF109KB1VB5</t>
        </is>
      </c>
    </row>
    <row r="4812">
      <c r="A4812" t="inlineStr">
        <is>
          <t xml:space="preserve">ICICI Prudential Mutual Fund</t>
        </is>
      </c>
      <c r="B4812" t="inlineStr">
        <is>
          <t xml:space="preserve">ICICI Prudential Fixed Maturity Plan - Series 79 - 1218 Days Plan A Direct Plan Dividend Option</t>
        </is>
      </c>
      <c r="C4812" t="inlineStr">
        <is>
          <t xml:space="preserve">INF109KB1VC3</t>
        </is>
      </c>
    </row>
    <row r="4813">
      <c r="A4813" t="inlineStr">
        <is>
          <t xml:space="preserve">ICICI Prudential Mutual Fund</t>
        </is>
      </c>
      <c r="B4813" t="inlineStr">
        <is>
          <t xml:space="preserve">ICICI Prudential Fixed Maturity Plan - Series 79 - 1218 Days Plan A Dividend Option</t>
        </is>
      </c>
      <c r="C4813" t="inlineStr">
        <is>
          <t xml:space="preserve">INF109KB1VA7</t>
        </is>
      </c>
    </row>
    <row r="4814">
      <c r="A4814" t="inlineStr">
        <is>
          <t xml:space="preserve">ICICI Prudential Mutual Fund</t>
        </is>
      </c>
      <c r="B4814" t="inlineStr">
        <is>
          <t xml:space="preserve">ICICI Prudential Fixed Maturity Plan - Series 79 - 1404 Days Plan T Cumulative Option</t>
        </is>
      </c>
      <c r="C4814" t="inlineStr">
        <is>
          <t xml:space="preserve">INF109KB1C62</t>
        </is>
      </c>
    </row>
    <row r="4815">
      <c r="A4815" t="inlineStr">
        <is>
          <t xml:space="preserve">ICICI Prudential Mutual Fund</t>
        </is>
      </c>
      <c r="B4815" t="inlineStr">
        <is>
          <t xml:space="preserve">ICICI Prudential Fixed Maturity Plan - Series 79 - 1404 Days Plan T Direct Plan Cumulative Option</t>
        </is>
      </c>
      <c r="C4815" t="inlineStr">
        <is>
          <t xml:space="preserve">INF109KB1C88</t>
        </is>
      </c>
    </row>
    <row r="4816">
      <c r="A4816" t="inlineStr">
        <is>
          <t xml:space="preserve">ICICI Prudential Mutual Fund</t>
        </is>
      </c>
      <c r="B4816" t="inlineStr">
        <is>
          <t xml:space="preserve">ICICI Prudential Fixed Maturity Plan - Series 79 - 1404 Days Plan T Dividend Option</t>
        </is>
      </c>
      <c r="C4816" t="inlineStr">
        <is>
          <t xml:space="preserve">INF109KB1C70</t>
        </is>
      </c>
    </row>
    <row r="4817">
      <c r="A4817" t="inlineStr">
        <is>
          <t xml:space="preserve">ICICI Prudential Mutual Fund</t>
        </is>
      </c>
      <c r="B4817" t="inlineStr">
        <is>
          <t xml:space="preserve">ICICI Prudential Fixed Maturity Plan - Series 80 - 1100 Days Plan A Cumulative Option</t>
        </is>
      </c>
      <c r="C4817" t="inlineStr">
        <is>
          <t xml:space="preserve">INF109KB1H42</t>
        </is>
      </c>
    </row>
    <row r="4818">
      <c r="A4818" t="inlineStr">
        <is>
          <t xml:space="preserve">ICICI Prudential Mutual Fund</t>
        </is>
      </c>
      <c r="B4818" t="inlineStr">
        <is>
          <t xml:space="preserve">ICICI Prudential Fixed Maturity Plan - Series 80 - 1100 Days Plan A Direct Plan Cumulative Option</t>
        </is>
      </c>
      <c r="C4818" t="inlineStr">
        <is>
          <t xml:space="preserve">INF109KB1H67</t>
        </is>
      </c>
    </row>
    <row r="4819">
      <c r="A4819" t="inlineStr">
        <is>
          <t xml:space="preserve">ICICI Prudential Mutual Fund</t>
        </is>
      </c>
      <c r="B4819" t="inlineStr">
        <is>
          <t xml:space="preserve">ICICI Prudential Fixed Maturity Plan - Series 80 - 1100 Days Plan A Direct Plan Dividend Option</t>
        </is>
      </c>
      <c r="C4819" t="inlineStr">
        <is>
          <t xml:space="preserve">INF109KB1H75</t>
        </is>
      </c>
    </row>
    <row r="4820">
      <c r="A4820" t="inlineStr">
        <is>
          <t xml:space="preserve">ICICI Prudential Mutual Fund</t>
        </is>
      </c>
      <c r="B4820" t="inlineStr">
        <is>
          <t xml:space="preserve">ICICI Prudential Fixed Maturity Plan - Series 80 - 1100 Days Plan A Dividend Option</t>
        </is>
      </c>
      <c r="C4820" t="inlineStr">
        <is>
          <t xml:space="preserve">INF109KB1H59</t>
        </is>
      </c>
    </row>
    <row r="4821">
      <c r="A4821" t="inlineStr">
        <is>
          <t xml:space="preserve">ICICI Prudential Mutual Fund</t>
        </is>
      </c>
      <c r="B4821" t="inlineStr">
        <is>
          <t xml:space="preserve">ICICI Prudential Fixed Maturity Plan - Series 80 - 1125 Days Plan S - Cumulative Option</t>
        </is>
      </c>
      <c r="C4821" t="inlineStr">
        <is>
          <t xml:space="preserve">INF109KB1Y09</t>
        </is>
      </c>
    </row>
    <row r="4822">
      <c r="A4822" t="inlineStr">
        <is>
          <t xml:space="preserve">ICICI Prudential Mutual Fund</t>
        </is>
      </c>
      <c r="B4822" t="inlineStr">
        <is>
          <t xml:space="preserve">ICICI Prudential Fixed Maturity Plan - Series 80 - 1125 Days Plan S - Direct Plan - Cumulative Option</t>
        </is>
      </c>
      <c r="C4822" t="inlineStr">
        <is>
          <t xml:space="preserve">INF109KB1Y25</t>
        </is>
      </c>
    </row>
    <row r="4823">
      <c r="A4823" t="inlineStr">
        <is>
          <t xml:space="preserve">ICICI Prudential Mutual Fund</t>
        </is>
      </c>
      <c r="B4823" t="inlineStr">
        <is>
          <t xml:space="preserve">ICICI Prudential Fixed Maturity Plan - Series 80 - 1125 Days Plan S - Direct Plan - Dividend Option</t>
        </is>
      </c>
      <c r="C4823" t="inlineStr">
        <is>
          <t xml:space="preserve">INF109KB1Y33</t>
        </is>
      </c>
    </row>
    <row r="4824">
      <c r="A4824" t="inlineStr">
        <is>
          <t xml:space="preserve">ICICI Prudential Mutual Fund</t>
        </is>
      </c>
      <c r="B4824" t="inlineStr">
        <is>
          <t xml:space="preserve">ICICI Prudential Fixed Maturity Plan - Series 80 - 1125 Days Plan S - Dividend Option</t>
        </is>
      </c>
      <c r="C4824" t="inlineStr">
        <is>
          <t xml:space="preserve">INF109KB1Y17</t>
        </is>
      </c>
    </row>
    <row r="4825">
      <c r="A4825" t="inlineStr">
        <is>
          <t xml:space="preserve">ICICI Prudential Mutual Fund</t>
        </is>
      </c>
      <c r="B4825" t="inlineStr">
        <is>
          <t xml:space="preserve">ICICI Prudential Fixed Maturity Plan - Series 80 - 1138 Days Plan R - Cumulative Option</t>
        </is>
      </c>
      <c r="C4825" t="inlineStr">
        <is>
          <t xml:space="preserve">INF109KB1V85</t>
        </is>
      </c>
    </row>
    <row r="4826">
      <c r="A4826" t="inlineStr">
        <is>
          <t xml:space="preserve">ICICI Prudential Mutual Fund</t>
        </is>
      </c>
      <c r="B4826" t="inlineStr">
        <is>
          <t xml:space="preserve">ICICI Prudential Fixed Maturity Plan - Series 80 - 1138 Days Plan R - Direct Plan - Cumulative Option</t>
        </is>
      </c>
      <c r="C4826" t="inlineStr">
        <is>
          <t xml:space="preserve">INF109KB1W01</t>
        </is>
      </c>
    </row>
    <row r="4827">
      <c r="A4827" t="inlineStr">
        <is>
          <t xml:space="preserve">ICICI Prudential Mutual Fund</t>
        </is>
      </c>
      <c r="B4827" t="inlineStr">
        <is>
          <t xml:space="preserve">ICICI Prudential Fixed Maturity Plan - Series 80 - 1138 Days Plan R - Direct Plan - Dividend Option</t>
        </is>
      </c>
      <c r="C4827" t="inlineStr">
        <is>
          <t xml:space="preserve">INF109KB1W19</t>
        </is>
      </c>
    </row>
    <row r="4828">
      <c r="A4828" t="inlineStr">
        <is>
          <t xml:space="preserve">ICICI Prudential Mutual Fund</t>
        </is>
      </c>
      <c r="B4828" t="inlineStr">
        <is>
          <t xml:space="preserve">ICICI Prudential Fixed Maturity Plan - Series 80 - 1138 Days Plan R - Dividend Option</t>
        </is>
      </c>
      <c r="C4828" t="inlineStr">
        <is>
          <t xml:space="preserve">INF109KB1V93</t>
        </is>
      </c>
    </row>
    <row r="4829">
      <c r="A4829" t="inlineStr">
        <is>
          <t xml:space="preserve">ICICI Prudential Mutual Fund</t>
        </is>
      </c>
      <c r="B4829" t="inlineStr">
        <is>
          <t xml:space="preserve">ICICI Prudential Fixed Maturity Plan - Series 80 - 1150 Days Plan N - Cumulative Option</t>
        </is>
      </c>
      <c r="C4829" t="inlineStr">
        <is>
          <t xml:space="preserve">INF109KB1T89</t>
        </is>
      </c>
    </row>
    <row r="4830">
      <c r="A4830" t="inlineStr">
        <is>
          <t xml:space="preserve">ICICI Prudential Mutual Fund</t>
        </is>
      </c>
      <c r="B4830" t="inlineStr">
        <is>
          <t xml:space="preserve">ICICI Prudential Fixed Maturity Plan - Series 80 - 1150 Days Plan N - Direct Plan - Dividend Option</t>
        </is>
      </c>
      <c r="C4830" t="inlineStr">
        <is>
          <t xml:space="preserve">INF109KB1U11</t>
        </is>
      </c>
    </row>
    <row r="4831">
      <c r="A4831" t="inlineStr">
        <is>
          <t xml:space="preserve">ICICI Prudential Mutual Fund</t>
        </is>
      </c>
      <c r="B4831" t="inlineStr">
        <is>
          <t xml:space="preserve">ICICI Prudential Fixed Maturity Plan - Series 80 - 1150 Days Plan N - Dividend Option</t>
        </is>
      </c>
      <c r="C4831" t="inlineStr">
        <is>
          <t xml:space="preserve">INF109KB1T97</t>
        </is>
      </c>
    </row>
    <row r="4832">
      <c r="A4832" t="inlineStr">
        <is>
          <t xml:space="preserve">ICICI Prudential Mutual Fund</t>
        </is>
      </c>
      <c r="B4832" t="inlineStr">
        <is>
          <t xml:space="preserve">ICICI Prudential Fixed Maturity Plan - Series 80 - 1150 Days Plan N -Direct Plan - Cumulative Option</t>
        </is>
      </c>
      <c r="C4832" t="inlineStr">
        <is>
          <t xml:space="preserve">INF109KB1U03</t>
        </is>
      </c>
    </row>
    <row r="4833">
      <c r="A4833" t="inlineStr">
        <is>
          <t xml:space="preserve">ICICI Prudential Mutual Fund</t>
        </is>
      </c>
      <c r="B4833" t="inlineStr">
        <is>
          <t xml:space="preserve">ICICI Prudential Fixed Maturity Plan - Series 80 - 1170 Days Plan I - Cumulative Option</t>
        </is>
      </c>
      <c r="C4833" t="inlineStr">
        <is>
          <t xml:space="preserve">INF109KB1P83</t>
        </is>
      </c>
    </row>
    <row r="4834">
      <c r="A4834" t="inlineStr">
        <is>
          <t xml:space="preserve">ICICI Prudential Mutual Fund</t>
        </is>
      </c>
      <c r="B4834" t="inlineStr">
        <is>
          <t xml:space="preserve">ICICI Prudential Fixed Maturity Plan - Series 80 - 1170 Days Plan I - Direct Plan - Cumulative Option</t>
        </is>
      </c>
      <c r="C4834" t="inlineStr">
        <is>
          <t xml:space="preserve">INF109KB1Q09</t>
        </is>
      </c>
    </row>
    <row r="4835">
      <c r="A4835" t="inlineStr">
        <is>
          <t xml:space="preserve">ICICI Prudential Mutual Fund</t>
        </is>
      </c>
      <c r="B4835" t="inlineStr">
        <is>
          <t xml:space="preserve">ICICI Prudential Fixed Maturity Plan - Series 80 - 1170 Days Plan I - Direct Plan - Dividend Option</t>
        </is>
      </c>
      <c r="C4835" t="inlineStr">
        <is>
          <t xml:space="preserve">INF109KB1Q17</t>
        </is>
      </c>
    </row>
    <row r="4836">
      <c r="A4836" t="inlineStr">
        <is>
          <t xml:space="preserve">ICICI Prudential Mutual Fund</t>
        </is>
      </c>
      <c r="B4836" t="inlineStr">
        <is>
          <t xml:space="preserve">ICICI Prudential Fixed Maturity Plan - Series 80 - 1170 Days Plan I - Dividend Option</t>
        </is>
      </c>
      <c r="C4836" t="inlineStr">
        <is>
          <t xml:space="preserve">INF109KB1P91</t>
        </is>
      </c>
    </row>
    <row r="4837">
      <c r="A4837" t="inlineStr">
        <is>
          <t xml:space="preserve">ICICI Prudential Mutual Fund</t>
        </is>
      </c>
      <c r="B4837" t="inlineStr">
        <is>
          <t xml:space="preserve">ICICI Prudential Fixed Maturity Plan - Series 80 - 1187 Days Plan G - Cumulative Option</t>
        </is>
      </c>
      <c r="C4837" t="inlineStr">
        <is>
          <t xml:space="preserve">INF109KB1O27</t>
        </is>
      </c>
    </row>
    <row r="4838">
      <c r="A4838" t="inlineStr">
        <is>
          <t xml:space="preserve">ICICI Prudential Mutual Fund</t>
        </is>
      </c>
      <c r="B4838" t="inlineStr">
        <is>
          <t xml:space="preserve">ICICI Prudential Fixed Maturity Plan - Series 80 - 1187 Days Plan G - Direct Plan - Cumulative Option</t>
        </is>
      </c>
      <c r="C4838" t="inlineStr">
        <is>
          <t xml:space="preserve">INF109KB1O35</t>
        </is>
      </c>
    </row>
    <row r="4839">
      <c r="A4839" t="inlineStr">
        <is>
          <t xml:space="preserve">ICICI Prudential Mutual Fund</t>
        </is>
      </c>
      <c r="B4839" t="inlineStr">
        <is>
          <t xml:space="preserve">ICICI Prudential Fixed Maturity Plan - Series 80 - 1187 Days Plan G - Direct Plan - Dividend Option</t>
        </is>
      </c>
      <c r="C4839" t="inlineStr">
        <is>
          <t xml:space="preserve">INF109KB1O43</t>
        </is>
      </c>
    </row>
    <row r="4840">
      <c r="A4840" t="inlineStr">
        <is>
          <t xml:space="preserve">ICICI Prudential Mutual Fund</t>
        </is>
      </c>
      <c r="B4840" t="inlineStr">
        <is>
          <t xml:space="preserve">ICICI Prudential Fixed Maturity Plan - Series 80 - 1187 Days Plan G - Dividend Option</t>
        </is>
      </c>
      <c r="C4840" t="inlineStr">
        <is>
          <t xml:space="preserve">INF109KB1O50</t>
        </is>
      </c>
    </row>
    <row r="4841">
      <c r="A4841" t="inlineStr">
        <is>
          <t xml:space="preserve">ICICI Prudential Mutual Fund</t>
        </is>
      </c>
      <c r="B4841" t="inlineStr">
        <is>
          <t xml:space="preserve">ICICI Prudential Fixed Maturity Plan - Series 80 - 1194 Days Plan F - Cumulative Option</t>
        </is>
      </c>
      <c r="C4841" t="inlineStr">
        <is>
          <t xml:space="preserve">INF109KB1N85</t>
        </is>
      </c>
    </row>
    <row r="4842">
      <c r="A4842" t="inlineStr">
        <is>
          <t xml:space="preserve">ICICI Prudential Mutual Fund</t>
        </is>
      </c>
      <c r="B4842" t="inlineStr">
        <is>
          <t xml:space="preserve">ICICI Prudential Fixed Maturity Plan - Series 80 - 1194 Days Plan F - Direct Plan - Cumulative Option</t>
        </is>
      </c>
      <c r="C4842" t="inlineStr">
        <is>
          <t xml:space="preserve">INF109KB1O01</t>
        </is>
      </c>
    </row>
    <row r="4843">
      <c r="A4843" t="inlineStr">
        <is>
          <t xml:space="preserve">ICICI Prudential Mutual Fund</t>
        </is>
      </c>
      <c r="B4843" t="inlineStr">
        <is>
          <t xml:space="preserve">ICICI Prudential Fixed Maturity Plan - Series 80 - 1194 Days Plan F - Direct Plan - Dividend Option</t>
        </is>
      </c>
      <c r="C4843" t="inlineStr">
        <is>
          <t xml:space="preserve">INF109KB1O19</t>
        </is>
      </c>
    </row>
    <row r="4844">
      <c r="A4844" t="inlineStr">
        <is>
          <t xml:space="preserve">ICICI Prudential Mutual Fund</t>
        </is>
      </c>
      <c r="B4844" t="inlineStr">
        <is>
          <t xml:space="preserve">ICICI Prudential Fixed Maturity Plan - Series 80 - 1194 Days Plan F - Dividend Option</t>
        </is>
      </c>
      <c r="C4844" t="inlineStr">
        <is>
          <t xml:space="preserve">INF109KB1N93</t>
        </is>
      </c>
    </row>
    <row r="4845">
      <c r="A4845" t="inlineStr">
        <is>
          <t xml:space="preserve">ICICI Prudential Mutual Fund</t>
        </is>
      </c>
      <c r="B4845" t="inlineStr">
        <is>
          <t xml:space="preserve">ICICI Prudential Fixed Maturity Plan - Series 80 - 1216 Days Plan U - Cumulative Option</t>
        </is>
      </c>
      <c r="C4845" t="inlineStr">
        <is>
          <t xml:space="preserve">INF109KB10A8</t>
        </is>
      </c>
    </row>
    <row r="4846">
      <c r="A4846" t="inlineStr">
        <is>
          <t xml:space="preserve">ICICI Prudential Mutual Fund</t>
        </is>
      </c>
      <c r="B4846" t="inlineStr">
        <is>
          <t xml:space="preserve">ICICI Prudential Fixed Maturity Plan - Series 80 - 1216 Days Plan U - Direct Plan - Cumulative Option</t>
        </is>
      </c>
      <c r="C4846" t="inlineStr">
        <is>
          <t xml:space="preserve">INF109KB12A4</t>
        </is>
      </c>
    </row>
    <row r="4847">
      <c r="A4847" t="inlineStr">
        <is>
          <t xml:space="preserve">ICICI Prudential Mutual Fund</t>
        </is>
      </c>
      <c r="B4847" t="inlineStr">
        <is>
          <t xml:space="preserve">ICICI Prudential Fixed Maturity Plan - Series 80 - 1216 Days Plan U - Direct Plan - Dividend Option</t>
        </is>
      </c>
      <c r="C4847" t="inlineStr">
        <is>
          <t xml:space="preserve">INF109KB13A2</t>
        </is>
      </c>
    </row>
    <row r="4848">
      <c r="A4848" t="inlineStr">
        <is>
          <t xml:space="preserve">ICICI Prudential Mutual Fund</t>
        </is>
      </c>
      <c r="B4848" t="inlineStr">
        <is>
          <t xml:space="preserve">ICICI Prudential Fixed Maturity Plan - Series 80 - 1216 Days Plan U - Dividend Option</t>
        </is>
      </c>
      <c r="C4848" t="inlineStr">
        <is>
          <t xml:space="preserve">INF109KB11A6</t>
        </is>
      </c>
    </row>
    <row r="4849">
      <c r="A4849" t="inlineStr">
        <is>
          <t xml:space="preserve">ICICI Prudential Mutual Fund</t>
        </is>
      </c>
      <c r="B4849" t="inlineStr">
        <is>
          <t xml:space="preserve">ICICI Prudential Fixed Maturity Plan - Series 80 - 1225 Days Plan T - Cumulative Option</t>
        </is>
      </c>
      <c r="C4849" t="inlineStr">
        <is>
          <t xml:space="preserve">INF109KB1Z65</t>
        </is>
      </c>
    </row>
    <row r="4850">
      <c r="A4850" t="inlineStr">
        <is>
          <t xml:space="preserve">ICICI Prudential Mutual Fund</t>
        </is>
      </c>
      <c r="B4850" t="inlineStr">
        <is>
          <t xml:space="preserve">ICICI Prudential Fixed Maturity Plan - Series 80 - 1225 Days Plan T - Direct Plan - Cumulative Option</t>
        </is>
      </c>
      <c r="C4850" t="inlineStr">
        <is>
          <t xml:space="preserve">INF109KB1Z81</t>
        </is>
      </c>
    </row>
    <row r="4851">
      <c r="A4851" t="inlineStr">
        <is>
          <t xml:space="preserve">ICICI Prudential Mutual Fund</t>
        </is>
      </c>
      <c r="B4851" t="inlineStr">
        <is>
          <t xml:space="preserve">ICICI Prudential Fixed Maturity Plan - Series 80 - 1225 Days Plan T - Direct Plan - Dividend Option</t>
        </is>
      </c>
      <c r="C4851" t="inlineStr">
        <is>
          <t xml:space="preserve">INF109KB1Z99</t>
        </is>
      </c>
    </row>
    <row r="4852">
      <c r="A4852" t="inlineStr">
        <is>
          <t xml:space="preserve">ICICI Prudential Mutual Fund</t>
        </is>
      </c>
      <c r="B4852" t="inlineStr">
        <is>
          <t xml:space="preserve">ICICI Prudential Fixed Maturity Plan - Series 80 - 1225 Days Plan T - Dividend Option</t>
        </is>
      </c>
      <c r="C4852" t="inlineStr">
        <is>
          <t xml:space="preserve">INF109KB1Z73</t>
        </is>
      </c>
    </row>
    <row r="4853">
      <c r="A4853" t="inlineStr">
        <is>
          <t xml:space="preserve">ICICI Prudential Mutual Fund</t>
        </is>
      </c>
      <c r="B4853" t="inlineStr">
        <is>
          <t xml:space="preserve">ICICI Prudential Fixed Maturity Plan - Series 80 - 1227 Days Plan Q - Cumulative Option</t>
        </is>
      </c>
      <c r="C4853" t="inlineStr">
        <is>
          <t xml:space="preserve">INF109KB1W68</t>
        </is>
      </c>
    </row>
    <row r="4854">
      <c r="A4854" t="inlineStr">
        <is>
          <t xml:space="preserve">ICICI Prudential Mutual Fund</t>
        </is>
      </c>
      <c r="B4854" t="inlineStr">
        <is>
          <t xml:space="preserve">ICICI Prudential Fixed Maturity Plan - Series 80 - 1227 Days Plan Q - Direct Plan Cumulative Option</t>
        </is>
      </c>
      <c r="C4854" t="inlineStr">
        <is>
          <t xml:space="preserve">INF109KB1W84</t>
        </is>
      </c>
    </row>
    <row r="4855">
      <c r="A4855" t="inlineStr">
        <is>
          <t xml:space="preserve">ICICI Prudential Mutual Fund</t>
        </is>
      </c>
      <c r="B4855" t="inlineStr">
        <is>
          <t xml:space="preserve">ICICI Prudential Fixed Maturity Plan - Series 80 - 1227 Days Plan Q - Direct Plan Dividend Option</t>
        </is>
      </c>
      <c r="C4855" t="inlineStr">
        <is>
          <t xml:space="preserve">INF109KB1W92</t>
        </is>
      </c>
    </row>
    <row r="4856">
      <c r="A4856" t="inlineStr">
        <is>
          <t xml:space="preserve">ICICI Prudential Mutual Fund</t>
        </is>
      </c>
      <c r="B4856" t="inlineStr">
        <is>
          <t xml:space="preserve">ICICI Prudential Fixed Maturity Plan - Series 80 - 1231 Days Plan P - Cumulative Option</t>
        </is>
      </c>
      <c r="C4856" t="inlineStr">
        <is>
          <t xml:space="preserve">INF109KB1V44</t>
        </is>
      </c>
    </row>
    <row r="4857">
      <c r="A4857" t="inlineStr">
        <is>
          <t xml:space="preserve">ICICI Prudential Mutual Fund</t>
        </is>
      </c>
      <c r="B4857" t="inlineStr">
        <is>
          <t xml:space="preserve">ICICI Prudential Fixed Maturity Plan - Series 80 - 1231 Days Plan P - Direct Plan - Cumulative Option</t>
        </is>
      </c>
      <c r="C4857" t="inlineStr">
        <is>
          <t xml:space="preserve">INF109KB1V69</t>
        </is>
      </c>
    </row>
    <row r="4858">
      <c r="A4858" t="inlineStr">
        <is>
          <t xml:space="preserve">ICICI Prudential Mutual Fund</t>
        </is>
      </c>
      <c r="B4858" t="inlineStr">
        <is>
          <t xml:space="preserve">ICICI Prudential Fixed Maturity Plan - Series 80 - 1231 Days Plan P - Direct Plan - Dividend Option</t>
        </is>
      </c>
      <c r="C4858" t="inlineStr">
        <is>
          <t xml:space="preserve">INF109KB1V77</t>
        </is>
      </c>
    </row>
    <row r="4859">
      <c r="A4859" t="inlineStr">
        <is>
          <t xml:space="preserve">ICICI Prudential Mutual Fund</t>
        </is>
      </c>
      <c r="B4859" t="inlineStr">
        <is>
          <t xml:space="preserve">ICICI Prudential Fixed Maturity Plan - Series 80 - 1233 Days Plan O - Cumulative Option</t>
        </is>
      </c>
      <c r="C4859" t="inlineStr">
        <is>
          <t xml:space="preserve">INF109KB1V02</t>
        </is>
      </c>
    </row>
    <row r="4860">
      <c r="A4860" t="inlineStr">
        <is>
          <t xml:space="preserve">ICICI Prudential Mutual Fund</t>
        </is>
      </c>
      <c r="B4860" t="inlineStr">
        <is>
          <t xml:space="preserve">ICICI Prudential Fixed Maturity Plan - Series 80 - 1233 Days Plan O - Direct Plan - Cumulative Option</t>
        </is>
      </c>
      <c r="C4860" t="inlineStr">
        <is>
          <t xml:space="preserve">INF109KB1V28</t>
        </is>
      </c>
    </row>
    <row r="4861">
      <c r="A4861" t="inlineStr">
        <is>
          <t xml:space="preserve">ICICI Prudential Mutual Fund</t>
        </is>
      </c>
      <c r="B4861" t="inlineStr">
        <is>
          <t xml:space="preserve">ICICI Prudential Fixed Maturity Plan - Series 80 - 1233 Days Plan O - Direct Plan - Dividend Option</t>
        </is>
      </c>
      <c r="C4861" t="inlineStr">
        <is>
          <t xml:space="preserve">INF109KB1V36</t>
        </is>
      </c>
    </row>
    <row r="4862">
      <c r="A4862" t="inlineStr">
        <is>
          <t xml:space="preserve">ICICI Prudential Mutual Fund</t>
        </is>
      </c>
      <c r="B4862" t="inlineStr">
        <is>
          <t xml:space="preserve">ICICI Prudential Fixed Maturity Plan - Series 80 - 1245 Days Plan L - Cumulative Option</t>
        </is>
      </c>
      <c r="C4862" t="inlineStr">
        <is>
          <t xml:space="preserve">INF109KB1T06</t>
        </is>
      </c>
    </row>
    <row r="4863">
      <c r="A4863" t="inlineStr">
        <is>
          <t xml:space="preserve">ICICI Prudential Mutual Fund</t>
        </is>
      </c>
      <c r="B4863" t="inlineStr">
        <is>
          <t xml:space="preserve">ICICI Prudential Fixed Maturity Plan - Series 80 - 1245 Days Plan L - Direct Plan - Cumulative Option</t>
        </is>
      </c>
      <c r="C4863" t="inlineStr">
        <is>
          <t xml:space="preserve">INF109KB1T22</t>
        </is>
      </c>
    </row>
    <row r="4864">
      <c r="A4864" t="inlineStr">
        <is>
          <t xml:space="preserve">ICICI Prudential Mutual Fund</t>
        </is>
      </c>
      <c r="B4864" t="inlineStr">
        <is>
          <t xml:space="preserve">ICICI Prudential Fixed Maturity Plan - Series 80 - 1245 Days Plan L - Direct Plan - Dividend Option</t>
        </is>
      </c>
      <c r="C4864" t="inlineStr">
        <is>
          <t xml:space="preserve">INF109KB1T30</t>
        </is>
      </c>
    </row>
    <row r="4865">
      <c r="A4865" t="inlineStr">
        <is>
          <t xml:space="preserve">ICICI Prudential Mutual Fund</t>
        </is>
      </c>
      <c r="B4865" t="inlineStr">
        <is>
          <t xml:space="preserve">ICICI Prudential Fixed Maturity Plan - Series 80 - 1245 Days Plan L - Dividend Option</t>
        </is>
      </c>
      <c r="C4865" t="inlineStr">
        <is>
          <t xml:space="preserve">INF109KB1T14</t>
        </is>
      </c>
    </row>
    <row r="4866">
      <c r="A4866" t="inlineStr">
        <is>
          <t xml:space="preserve">ICICI Prudential Mutual Fund</t>
        </is>
      </c>
      <c r="B4866" t="inlineStr">
        <is>
          <t xml:space="preserve">ICICI Prudential Fixed Maturity Plan - Series 80 - 1248 Days Plan D - Cumulative Option</t>
        </is>
      </c>
      <c r="C4866" t="inlineStr">
        <is>
          <t xml:space="preserve">INF109KB1K05</t>
        </is>
      </c>
    </row>
    <row r="4867">
      <c r="A4867" t="inlineStr">
        <is>
          <t xml:space="preserve">ICICI Prudential Mutual Fund</t>
        </is>
      </c>
      <c r="B4867" t="inlineStr">
        <is>
          <t xml:space="preserve">ICICI Prudential Fixed Maturity Plan - Series 80 - 1248 Days Plan D - Direct Plan - Cumulative Option</t>
        </is>
      </c>
      <c r="C4867" t="inlineStr">
        <is>
          <t xml:space="preserve">INF109KB1K21</t>
        </is>
      </c>
    </row>
    <row r="4868">
      <c r="A4868" t="inlineStr">
        <is>
          <t xml:space="preserve">ICICI Prudential Mutual Fund</t>
        </is>
      </c>
      <c r="B4868" t="inlineStr">
        <is>
          <t xml:space="preserve">ICICI Prudential Fixed Maturity Plan - Series 80 - 1248 Days Plan D - Dividend Option</t>
        </is>
      </c>
      <c r="C4868" t="inlineStr">
        <is>
          <t xml:space="preserve">INF109KB1K13</t>
        </is>
      </c>
    </row>
    <row r="4869">
      <c r="A4869" t="inlineStr">
        <is>
          <t xml:space="preserve">ICICI Prudential Mutual Fund</t>
        </is>
      </c>
      <c r="B4869" t="inlineStr">
        <is>
          <t xml:space="preserve">ICICI Prudential Fixed Maturity Plan - Series 80 - 1253 Days Plan J - Cumulative Option</t>
        </is>
      </c>
      <c r="C4869" t="inlineStr">
        <is>
          <t xml:space="preserve">INF109KB1R40</t>
        </is>
      </c>
    </row>
    <row r="4870">
      <c r="A4870" t="inlineStr">
        <is>
          <t xml:space="preserve">ICICI Prudential Mutual Fund</t>
        </is>
      </c>
      <c r="B4870" t="inlineStr">
        <is>
          <t xml:space="preserve">ICICI Prudential Fixed Maturity Plan - Series 80 - 1253 Days Plan J - Direct Plan - Cumulative Option</t>
        </is>
      </c>
      <c r="C4870" t="inlineStr">
        <is>
          <t xml:space="preserve">INF109KB1R65</t>
        </is>
      </c>
    </row>
    <row r="4871">
      <c r="A4871" t="inlineStr">
        <is>
          <t xml:space="preserve">ICICI Prudential Mutual Fund</t>
        </is>
      </c>
      <c r="B4871" t="inlineStr">
        <is>
          <t xml:space="preserve">ICICI Prudential Fixed Maturity Plan - Series 80 - 1253 Days Plan J - Dividend Option</t>
        </is>
      </c>
      <c r="C4871" t="inlineStr">
        <is>
          <t xml:space="preserve">INF109KB1R57</t>
        </is>
      </c>
    </row>
    <row r="4872">
      <c r="A4872" t="inlineStr">
        <is>
          <t xml:space="preserve">ICICI Prudential Mutual Fund</t>
        </is>
      </c>
      <c r="B4872" t="inlineStr">
        <is>
          <t xml:space="preserve">ICICI Prudential Fixed Maturity Plan - Series 81 - 1100 Days Plan O - Cumulative Option</t>
        </is>
      </c>
      <c r="C4872" t="inlineStr">
        <is>
          <t xml:space="preserve">INF109KB14S2</t>
        </is>
      </c>
    </row>
    <row r="4873">
      <c r="A4873" t="inlineStr">
        <is>
          <t xml:space="preserve">ICICI Prudential Mutual Fund</t>
        </is>
      </c>
      <c r="B4873" t="inlineStr">
        <is>
          <t xml:space="preserve">ICICI Prudential Fixed Maturity Plan - Series 81 - 1100 Days Plan O - Direct Plan - Cumulative Option</t>
        </is>
      </c>
      <c r="C4873" t="inlineStr">
        <is>
          <t xml:space="preserve">INF109KB12S6</t>
        </is>
      </c>
    </row>
    <row r="4874">
      <c r="A4874" t="inlineStr">
        <is>
          <t xml:space="preserve">ICICI Prudential Mutual Fund</t>
        </is>
      </c>
      <c r="B4874" t="inlineStr">
        <is>
          <t xml:space="preserve">ICICI Prudential Fixed Maturity Plan - Series 81 - 1100 Days Plan O - Direct Plan - Dividend Option</t>
        </is>
      </c>
      <c r="C4874" t="inlineStr">
        <is>
          <t xml:space="preserve">INF109KB13S4</t>
        </is>
      </c>
    </row>
    <row r="4875">
      <c r="A4875" t="inlineStr">
        <is>
          <t xml:space="preserve">ICICI Prudential Mutual Fund</t>
        </is>
      </c>
      <c r="B4875" t="inlineStr">
        <is>
          <t xml:space="preserve">ICICI Prudential Fixed Maturity Plan - Series 81 - 1100 Days Plan O - Dividend Option</t>
        </is>
      </c>
      <c r="C4875" t="inlineStr">
        <is>
          <t xml:space="preserve">INF109KB15S9</t>
        </is>
      </c>
    </row>
    <row r="4876">
      <c r="A4876" t="inlineStr">
        <is>
          <t xml:space="preserve">ICICI Prudential Mutual Fund</t>
        </is>
      </c>
      <c r="B4876" t="inlineStr">
        <is>
          <t xml:space="preserve">ICICI Prudential Fixed Maturity Plan - Series 81 - 1100 Days Plan R - Cumulative option</t>
        </is>
      </c>
      <c r="C4876" t="inlineStr">
        <is>
          <t xml:space="preserve">INF109KB11U4</t>
        </is>
      </c>
    </row>
    <row r="4877">
      <c r="A4877" t="inlineStr">
        <is>
          <t xml:space="preserve">ICICI Prudential Mutual Fund</t>
        </is>
      </c>
      <c r="B4877" t="inlineStr">
        <is>
          <t xml:space="preserve">ICICI Prudential Fixed Maturity Plan - Series 81 - 1100 Days Plan R - Direct Plan - Cumulative option</t>
        </is>
      </c>
      <c r="C4877" t="inlineStr">
        <is>
          <t xml:space="preserve">INF109KB19T9</t>
        </is>
      </c>
    </row>
    <row r="4878">
      <c r="A4878" t="inlineStr">
        <is>
          <t xml:space="preserve">ICICI Prudential Mutual Fund</t>
        </is>
      </c>
      <c r="B4878" t="inlineStr">
        <is>
          <t xml:space="preserve">ICICI Prudential Fixed Maturity Plan - Series 81 - 1100 Days Plan R - Direct Plan - Dividend option</t>
        </is>
      </c>
      <c r="C4878" t="inlineStr">
        <is>
          <t xml:space="preserve">INF109KB10U6</t>
        </is>
      </c>
    </row>
    <row r="4879">
      <c r="A4879" t="inlineStr">
        <is>
          <t xml:space="preserve">ICICI Prudential Mutual Fund</t>
        </is>
      </c>
      <c r="B4879" t="inlineStr">
        <is>
          <t xml:space="preserve">ICICI Prudential Fixed Maturity Plan - Series 81 - 1100 Days Plan R - Dividend option</t>
        </is>
      </c>
      <c r="C4879" t="inlineStr">
        <is>
          <t xml:space="preserve">INF109KB12U2</t>
        </is>
      </c>
    </row>
    <row r="4880">
      <c r="A4880" t="inlineStr">
        <is>
          <t xml:space="preserve">ICICI Prudential Mutual Fund</t>
        </is>
      </c>
      <c r="B4880" t="inlineStr">
        <is>
          <t xml:space="preserve">ICICI Prudential Fixed Maturity Plan - Series 81 - 1100 Days Plan W - Cumulative Option</t>
        </is>
      </c>
      <c r="C4880" t="inlineStr">
        <is>
          <t xml:space="preserve">INF109KB17X5</t>
        </is>
      </c>
    </row>
    <row r="4881">
      <c r="A4881" t="inlineStr">
        <is>
          <t xml:space="preserve">ICICI Prudential Mutual Fund</t>
        </is>
      </c>
      <c r="B4881" t="inlineStr">
        <is>
          <t xml:space="preserve">ICICI Prudential Fixed Maturity Plan - Series 81 - 1100 Days Plan W - Direct Plan Cumulative Option</t>
        </is>
      </c>
      <c r="C4881" t="inlineStr">
        <is>
          <t xml:space="preserve">INF109KB19X1</t>
        </is>
      </c>
    </row>
    <row r="4882">
      <c r="A4882" t="inlineStr">
        <is>
          <t xml:space="preserve">ICICI Prudential Mutual Fund</t>
        </is>
      </c>
      <c r="B4882" t="inlineStr">
        <is>
          <t xml:space="preserve">ICICI Prudential Fixed Maturity Plan - Series 81 - 1100 Days Plan W - Direct Plan Dividend Option</t>
        </is>
      </c>
      <c r="C4882" t="inlineStr">
        <is>
          <t xml:space="preserve">INF109KB10Y8</t>
        </is>
      </c>
    </row>
    <row r="4883">
      <c r="A4883" t="inlineStr">
        <is>
          <t xml:space="preserve">ICICI Prudential Mutual Fund</t>
        </is>
      </c>
      <c r="B4883" t="inlineStr">
        <is>
          <t xml:space="preserve">ICICI Prudential Fixed Maturity Plan - Series 81 - 1100 Days Plan W - Dividend Option</t>
        </is>
      </c>
      <c r="C4883" t="inlineStr">
        <is>
          <t xml:space="preserve">INF109KB18X3</t>
        </is>
      </c>
    </row>
    <row r="4884">
      <c r="A4884" t="inlineStr">
        <is>
          <t xml:space="preserve">ICICI Prudential Mutual Fund</t>
        </is>
      </c>
      <c r="B4884" t="inlineStr">
        <is>
          <t xml:space="preserve">ICICI Prudential Fixed Maturity Plan - Series 81 - 1101 Days Plan C - Cumulative Option</t>
        </is>
      </c>
      <c r="C4884" t="inlineStr">
        <is>
          <t xml:space="preserve">INF109KB16B3</t>
        </is>
      </c>
    </row>
    <row r="4885">
      <c r="A4885" t="inlineStr">
        <is>
          <t xml:space="preserve">ICICI Prudential Mutual Fund</t>
        </is>
      </c>
      <c r="B4885" t="inlineStr">
        <is>
          <t xml:space="preserve">ICICI Prudential Fixed Maturity Plan - Series 81 - 1101 Days Plan C - Direct Plan - Cumulative Option</t>
        </is>
      </c>
      <c r="C4885" t="inlineStr">
        <is>
          <t xml:space="preserve">INF109KB18B9</t>
        </is>
      </c>
    </row>
    <row r="4886">
      <c r="A4886" t="inlineStr">
        <is>
          <t xml:space="preserve">ICICI Prudential Mutual Fund</t>
        </is>
      </c>
      <c r="B4886" t="inlineStr">
        <is>
          <t xml:space="preserve">ICICI Prudential Fixed Maturity Plan - Series 81 - 1101 Days Plan C - Direct Plan - Dividend Option</t>
        </is>
      </c>
      <c r="C4886" t="inlineStr">
        <is>
          <t xml:space="preserve">INF109KB19B7</t>
        </is>
      </c>
    </row>
    <row r="4887">
      <c r="A4887" t="inlineStr">
        <is>
          <t xml:space="preserve">ICICI Prudential Mutual Fund</t>
        </is>
      </c>
      <c r="B4887" t="inlineStr">
        <is>
          <t xml:space="preserve">ICICI Prudential Fixed Maturity Plan - Series 81 - 1101 Days Plan C - Dividend Option</t>
        </is>
      </c>
      <c r="C4887" t="inlineStr">
        <is>
          <t xml:space="preserve">INF109KB17B1</t>
        </is>
      </c>
    </row>
    <row r="4888">
      <c r="A4888" t="inlineStr">
        <is>
          <t xml:space="preserve">ICICI Prudential Mutual Fund</t>
        </is>
      </c>
      <c r="B4888" t="inlineStr">
        <is>
          <t xml:space="preserve">ICICI Prudential Fixed Maturity Plan - Series 81 - 1101 Days Plan E - Cumulative Option</t>
        </is>
      </c>
      <c r="C4888" t="inlineStr">
        <is>
          <t xml:space="preserve">INF109KB12D8</t>
        </is>
      </c>
    </row>
    <row r="4889">
      <c r="A4889" t="inlineStr">
        <is>
          <t xml:space="preserve">ICICI Prudential Mutual Fund</t>
        </is>
      </c>
      <c r="B4889" t="inlineStr">
        <is>
          <t xml:space="preserve">ICICI Prudential Fixed Maturity Plan - Series 81 - 1101 Days Plan E - Direct Plan - Cumulative Option</t>
        </is>
      </c>
      <c r="C4889" t="inlineStr">
        <is>
          <t xml:space="preserve">INF109KB14D4</t>
        </is>
      </c>
    </row>
    <row r="4890">
      <c r="A4890" t="inlineStr">
        <is>
          <t xml:space="preserve">ICICI Prudential Mutual Fund</t>
        </is>
      </c>
      <c r="B4890" t="inlineStr">
        <is>
          <t xml:space="preserve">ICICI Prudential Fixed Maturity Plan - Series 81 - 1101 Days Plan E - Direct Plan - Dividend Option</t>
        </is>
      </c>
      <c r="C4890" t="inlineStr">
        <is>
          <t xml:space="preserve">INF109KB15D1</t>
        </is>
      </c>
    </row>
    <row r="4891">
      <c r="A4891" t="inlineStr">
        <is>
          <t xml:space="preserve">ICICI Prudential Mutual Fund</t>
        </is>
      </c>
      <c r="B4891" t="inlineStr">
        <is>
          <t xml:space="preserve">ICICI Prudential Fixed Maturity Plan - Series 81 - 1101 Days Plan E - Dividend Option</t>
        </is>
      </c>
      <c r="C4891" t="inlineStr">
        <is>
          <t xml:space="preserve">INF109KB13D6</t>
        </is>
      </c>
    </row>
    <row r="4892">
      <c r="A4892" t="inlineStr">
        <is>
          <t xml:space="preserve">ICICI Prudential Mutual Fund</t>
        </is>
      </c>
      <c r="B4892" t="inlineStr">
        <is>
          <t xml:space="preserve">ICICI Prudential Fixed Maturity Plan - Series 81 - 1116 Days Plan I - Cumulative Option</t>
        </is>
      </c>
      <c r="C4892" t="inlineStr">
        <is>
          <t xml:space="preserve">INF109KB12G1</t>
        </is>
      </c>
    </row>
    <row r="4893">
      <c r="A4893" t="inlineStr">
        <is>
          <t xml:space="preserve">ICICI Prudential Mutual Fund</t>
        </is>
      </c>
      <c r="B4893" t="inlineStr">
        <is>
          <t xml:space="preserve">ICICI Prudential Fixed Maturity Plan - Series 81 - 1116 Days Plan I - Direct Plan - Cumulative Option</t>
        </is>
      </c>
      <c r="C4893" t="inlineStr">
        <is>
          <t xml:space="preserve">INF109KB10G5</t>
        </is>
      </c>
    </row>
    <row r="4894">
      <c r="A4894" t="inlineStr">
        <is>
          <t xml:space="preserve">ICICI Prudential Mutual Fund</t>
        </is>
      </c>
      <c r="B4894" t="inlineStr">
        <is>
          <t xml:space="preserve">ICICI Prudential Fixed Maturity Plan - Series 81 - 1116 Days Plan I - Direct Plan - Dividend Option</t>
        </is>
      </c>
      <c r="C4894" t="inlineStr">
        <is>
          <t xml:space="preserve">INF109KB11G3</t>
        </is>
      </c>
    </row>
    <row r="4895">
      <c r="A4895" t="inlineStr">
        <is>
          <t xml:space="preserve">ICICI Prudential Mutual Fund</t>
        </is>
      </c>
      <c r="B4895" t="inlineStr">
        <is>
          <t xml:space="preserve">ICICI Prudential Fixed Maturity Plan - Series 81 - 1150 Days Plan K - Cumulative Option</t>
        </is>
      </c>
      <c r="C4895" t="inlineStr">
        <is>
          <t xml:space="preserve">INF109KB18P9</t>
        </is>
      </c>
    </row>
    <row r="4896">
      <c r="A4896" t="inlineStr">
        <is>
          <t xml:space="preserve">ICICI Prudential Mutual Fund</t>
        </is>
      </c>
      <c r="B4896" t="inlineStr">
        <is>
          <t xml:space="preserve">ICICI Prudential Fixed Maturity Plan - Series 81 - 1150 Days Plan K - Direct Plan - Cumulative Option</t>
        </is>
      </c>
      <c r="C4896" t="inlineStr">
        <is>
          <t xml:space="preserve">INF109KB16P3</t>
        </is>
      </c>
    </row>
    <row r="4897">
      <c r="A4897" t="inlineStr">
        <is>
          <t xml:space="preserve">ICICI Prudential Mutual Fund</t>
        </is>
      </c>
      <c r="B4897" t="inlineStr">
        <is>
          <t xml:space="preserve">ICICI Prudential Fixed Maturity Plan - Series 81 - 1150 Days Plan K - Direct Plan - Dividend Option</t>
        </is>
      </c>
      <c r="C4897" t="inlineStr">
        <is>
          <t xml:space="preserve">INF109KB17P1</t>
        </is>
      </c>
    </row>
    <row r="4898">
      <c r="A4898" t="inlineStr">
        <is>
          <t xml:space="preserve">ICICI Prudential Mutual Fund</t>
        </is>
      </c>
      <c r="B4898" t="inlineStr">
        <is>
          <t xml:space="preserve">ICICI Prudential Fixed Maturity Plan - Series 81 - 1150 Days Plan K - Dividend Option</t>
        </is>
      </c>
      <c r="C4898" t="inlineStr">
        <is>
          <t xml:space="preserve">INF109KB19P7</t>
        </is>
      </c>
    </row>
    <row r="4899">
      <c r="A4899" t="inlineStr">
        <is>
          <t xml:space="preserve">ICICI Prudential Mutual Fund</t>
        </is>
      </c>
      <c r="B4899" t="inlineStr">
        <is>
          <t xml:space="preserve">ICICI Prudential Fixed Maturity Plan - Series 81 - 1154 Days Plan J - Direct Plan - Cumulative Option</t>
        </is>
      </c>
      <c r="C4899" t="inlineStr">
        <is>
          <t xml:space="preserve">INF109KB10K7</t>
        </is>
      </c>
    </row>
    <row r="4900">
      <c r="A4900" t="inlineStr">
        <is>
          <t xml:space="preserve">ICICI Prudential Mutual Fund</t>
        </is>
      </c>
      <c r="B4900" t="inlineStr">
        <is>
          <t xml:space="preserve">ICICI Prudential Fixed Maturity Plan - Series 81 - 1154 Days Plan J - Direct Plan - Dividend Option</t>
        </is>
      </c>
      <c r="C4900" t="inlineStr">
        <is>
          <t xml:space="preserve">INF109KB11K5</t>
        </is>
      </c>
    </row>
    <row r="4901">
      <c r="A4901" t="inlineStr">
        <is>
          <t xml:space="preserve">ICICI Prudential Mutual Fund</t>
        </is>
      </c>
      <c r="B4901" t="inlineStr">
        <is>
          <t xml:space="preserve">ICICI Prudential Fixed Maturity Plan - Series 81 - 1154 Days Plan J Cumulative Option</t>
        </is>
      </c>
      <c r="C4901" t="inlineStr">
        <is>
          <t xml:space="preserve">INF109KB12K3</t>
        </is>
      </c>
    </row>
    <row r="4902">
      <c r="A4902" t="inlineStr">
        <is>
          <t xml:space="preserve">ICICI Prudential Mutual Fund</t>
        </is>
      </c>
      <c r="B4902" t="inlineStr">
        <is>
          <t xml:space="preserve">ICICI Prudential Fixed Maturity Plan - Series 81 - 1154 Days Plan J Dividend Option</t>
        </is>
      </c>
      <c r="C4902" t="inlineStr">
        <is>
          <t xml:space="preserve">INF109KB13K1</t>
        </is>
      </c>
    </row>
    <row r="4903">
      <c r="A4903" t="inlineStr">
        <is>
          <t xml:space="preserve">ICICI Prudential Mutual Fund</t>
        </is>
      </c>
      <c r="B4903" t="inlineStr">
        <is>
          <t xml:space="preserve">ICICI Prudential Fixed Maturity Plan - Series 81 - 1162 Days Plan P - Cumulative Option</t>
        </is>
      </c>
      <c r="C4903" t="inlineStr">
        <is>
          <t xml:space="preserve">INF109KB13T2</t>
        </is>
      </c>
    </row>
    <row r="4904">
      <c r="A4904" t="inlineStr">
        <is>
          <t xml:space="preserve">ICICI Prudential Mutual Fund</t>
        </is>
      </c>
      <c r="B4904" t="inlineStr">
        <is>
          <t xml:space="preserve">ICICI Prudential Fixed Maturity Plan - Series 81 - 1162 Days Plan P - Direct Plan - Cumulative Option</t>
        </is>
      </c>
      <c r="C4904" t="inlineStr">
        <is>
          <t xml:space="preserve">INF109KB11T6</t>
        </is>
      </c>
    </row>
    <row r="4905">
      <c r="A4905" t="inlineStr">
        <is>
          <t xml:space="preserve">ICICI Prudential Mutual Fund</t>
        </is>
      </c>
      <c r="B4905" t="inlineStr">
        <is>
          <t xml:space="preserve">ICICI Prudential Fixed Maturity Plan - Series 81 - 1162 Days Plan P - Direct Plan - Dividend Option</t>
        </is>
      </c>
      <c r="C4905" t="inlineStr">
        <is>
          <t xml:space="preserve">INF109KB12T4</t>
        </is>
      </c>
    </row>
    <row r="4906">
      <c r="A4906" t="inlineStr">
        <is>
          <t xml:space="preserve">ICICI Prudential Mutual Fund</t>
        </is>
      </c>
      <c r="B4906" t="inlineStr">
        <is>
          <t xml:space="preserve">ICICI Prudential Fixed Maturity Plan - Series 81 - 1162 Days Plan P - Dividend Option</t>
        </is>
      </c>
      <c r="C4906" t="inlineStr">
        <is>
          <t xml:space="preserve">INF109KB14T0</t>
        </is>
      </c>
    </row>
    <row r="4907">
      <c r="A4907" t="inlineStr">
        <is>
          <t xml:space="preserve">ICICI Prudential Mutual Fund</t>
        </is>
      </c>
      <c r="B4907" t="inlineStr">
        <is>
          <t xml:space="preserve">ICICI Prudential Fixed Maturity Plan - Series 81 - 1163 Days Plan Q - Cumulative Option</t>
        </is>
      </c>
      <c r="C4907" t="inlineStr">
        <is>
          <t xml:space="preserve">INF109KB15U5</t>
        </is>
      </c>
    </row>
    <row r="4908">
      <c r="A4908" t="inlineStr">
        <is>
          <t xml:space="preserve">ICICI Prudential Mutual Fund</t>
        </is>
      </c>
      <c r="B4908" t="inlineStr">
        <is>
          <t xml:space="preserve">ICICI Prudential Fixed Maturity Plan - Series 81 - 1163 Days Plan Q - Direct Plan - Cumulative Option</t>
        </is>
      </c>
      <c r="C4908" t="inlineStr">
        <is>
          <t xml:space="preserve">INF109KB13U0</t>
        </is>
      </c>
    </row>
    <row r="4909">
      <c r="A4909" t="inlineStr">
        <is>
          <t xml:space="preserve">ICICI Prudential Mutual Fund</t>
        </is>
      </c>
      <c r="B4909" t="inlineStr">
        <is>
          <t xml:space="preserve">ICICI Prudential Fixed Maturity Plan - Series 81 - 1163 Days Plan Q - Direct Plan - Dividend Option</t>
        </is>
      </c>
      <c r="C4909" t="inlineStr">
        <is>
          <t xml:space="preserve">INF109KB14U8</t>
        </is>
      </c>
    </row>
    <row r="4910">
      <c r="A4910" t="inlineStr">
        <is>
          <t xml:space="preserve">ICICI Prudential Mutual Fund</t>
        </is>
      </c>
      <c r="B4910" t="inlineStr">
        <is>
          <t xml:space="preserve">ICICI Prudential Fixed Maturity Plan - Series 81 - 1163 Days Plan Q - Dividend Option</t>
        </is>
      </c>
      <c r="C4910" t="inlineStr">
        <is>
          <t xml:space="preserve">INF109KB16U3</t>
        </is>
      </c>
    </row>
    <row r="4911">
      <c r="A4911" t="inlineStr">
        <is>
          <t xml:space="preserve">ICICI Prudential Mutual Fund</t>
        </is>
      </c>
      <c r="B4911" t="inlineStr">
        <is>
          <t xml:space="preserve">ICICI Prudential Fixed Maturity Plan - Series 81 - 1178 Days Plan H - Cumulative Option</t>
        </is>
      </c>
      <c r="C4911" t="inlineStr">
        <is>
          <t xml:space="preserve">INF109KB16G2</t>
        </is>
      </c>
    </row>
    <row r="4912">
      <c r="A4912" t="inlineStr">
        <is>
          <t xml:space="preserve">ICICI Prudential Mutual Fund</t>
        </is>
      </c>
      <c r="B4912" t="inlineStr">
        <is>
          <t xml:space="preserve">ICICI Prudential Fixed Maturity Plan - Series 81 - 1178 Days Plan H - Direct Plan - Cumulative Option</t>
        </is>
      </c>
      <c r="C4912" t="inlineStr">
        <is>
          <t xml:space="preserve">INF109KB14G7</t>
        </is>
      </c>
    </row>
    <row r="4913">
      <c r="A4913" t="inlineStr">
        <is>
          <t xml:space="preserve">ICICI Prudential Mutual Fund</t>
        </is>
      </c>
      <c r="B4913" t="inlineStr">
        <is>
          <t xml:space="preserve">ICICI Prudential Fixed Maturity Plan - Series 81 - 1178 Days Plan H - Direct Plan - Dividend Option</t>
        </is>
      </c>
      <c r="C4913" t="inlineStr">
        <is>
          <t xml:space="preserve">INF109KB15G4</t>
        </is>
      </c>
    </row>
    <row r="4914">
      <c r="A4914" t="inlineStr">
        <is>
          <t xml:space="preserve">ICICI Prudential Mutual Fund</t>
        </is>
      </c>
      <c r="B4914" t="inlineStr">
        <is>
          <t xml:space="preserve">ICICI Prudential Fixed Maturity Plan - Series 81 - 1178 Days Plan H - Dividend Option</t>
        </is>
      </c>
      <c r="C4914" t="inlineStr">
        <is>
          <t xml:space="preserve">INF109KB17G0</t>
        </is>
      </c>
    </row>
    <row r="4915">
      <c r="A4915" t="inlineStr">
        <is>
          <t xml:space="preserve">ICICI Prudential Mutual Fund</t>
        </is>
      </c>
      <c r="B4915" t="inlineStr">
        <is>
          <t xml:space="preserve">ICICI Prudential Fixed Maturity Plan - Series 81 - 1185 Days Plan G - Cumulative Option</t>
        </is>
      </c>
      <c r="C4915" t="inlineStr">
        <is>
          <t xml:space="preserve">INF109KB10H3</t>
        </is>
      </c>
    </row>
    <row r="4916">
      <c r="A4916" t="inlineStr">
        <is>
          <t xml:space="preserve">ICICI Prudential Mutual Fund</t>
        </is>
      </c>
      <c r="B4916" t="inlineStr">
        <is>
          <t xml:space="preserve">ICICI Prudential Fixed Maturity Plan - Series 81 - 1185 Days Plan G - Direct Plan - Cumulative Option</t>
        </is>
      </c>
      <c r="C4916" t="inlineStr">
        <is>
          <t xml:space="preserve">INF109KB18G8</t>
        </is>
      </c>
    </row>
    <row r="4917">
      <c r="A4917" t="inlineStr">
        <is>
          <t xml:space="preserve">ICICI Prudential Mutual Fund</t>
        </is>
      </c>
      <c r="B4917" t="inlineStr">
        <is>
          <t xml:space="preserve">ICICI Prudential Fixed Maturity Plan - Series 81 - 1185 Days Plan G - Dividend Option</t>
        </is>
      </c>
      <c r="C4917" t="inlineStr">
        <is>
          <t xml:space="preserve">INF109KB11H1</t>
        </is>
      </c>
    </row>
    <row r="4918">
      <c r="A4918" t="inlineStr">
        <is>
          <t xml:space="preserve">ICICI Prudential Mutual Fund</t>
        </is>
      </c>
      <c r="B4918" t="inlineStr">
        <is>
          <t xml:space="preserve">ICICI Prudential Fixed Maturity Plan - Series 81 - 1190 Days Plan F - Cumulative Option</t>
        </is>
      </c>
      <c r="C4918" t="inlineStr">
        <is>
          <t xml:space="preserve">INF109KB18F0</t>
        </is>
      </c>
    </row>
    <row r="4919">
      <c r="A4919" t="inlineStr">
        <is>
          <t xml:space="preserve">ICICI Prudential Mutual Fund</t>
        </is>
      </c>
      <c r="B4919" t="inlineStr">
        <is>
          <t xml:space="preserve">ICICI Prudential Fixed Maturity Plan - Series 81 - 1190 Days Plan F - Direct Plan - Cumulative Option</t>
        </is>
      </c>
      <c r="C4919" t="inlineStr">
        <is>
          <t xml:space="preserve">INF109KB16F4</t>
        </is>
      </c>
    </row>
    <row r="4920">
      <c r="A4920" t="inlineStr">
        <is>
          <t xml:space="preserve">ICICI Prudential Mutual Fund</t>
        </is>
      </c>
      <c r="B4920" t="inlineStr">
        <is>
          <t xml:space="preserve">ICICI Prudential Fixed Maturity Plan - Series 81 - 1190 Days Plan F - Dividend Option</t>
        </is>
      </c>
      <c r="C4920" t="inlineStr">
        <is>
          <t xml:space="preserve">INF109KB19F8</t>
        </is>
      </c>
    </row>
    <row r="4921">
      <c r="A4921" t="inlineStr">
        <is>
          <t xml:space="preserve">ICICI Prudential Mutual Fund</t>
        </is>
      </c>
      <c r="B4921" t="inlineStr">
        <is>
          <t xml:space="preserve">ICICI Prudential Fixed Maturity Plan - Series 81 - 1195 Days Plan D - Cumulative Option</t>
        </is>
      </c>
      <c r="C4921" t="inlineStr">
        <is>
          <t xml:space="preserve">INF109KB14C6</t>
        </is>
      </c>
    </row>
    <row r="4922">
      <c r="A4922" t="inlineStr">
        <is>
          <t xml:space="preserve">ICICI Prudential Mutual Fund</t>
        </is>
      </c>
      <c r="B4922" t="inlineStr">
        <is>
          <t xml:space="preserve">ICICI Prudential Fixed Maturity Plan - Series 81 - 1195 Days Plan D - Direct Plan - Cumulative Option</t>
        </is>
      </c>
      <c r="C4922" t="inlineStr">
        <is>
          <t xml:space="preserve">INF109KB16C1</t>
        </is>
      </c>
    </row>
    <row r="4923">
      <c r="A4923" t="inlineStr">
        <is>
          <t xml:space="preserve">ICICI Prudential Mutual Fund</t>
        </is>
      </c>
      <c r="B4923" t="inlineStr">
        <is>
          <t xml:space="preserve">ICICI Prudential Fixed Maturity Plan - Series 81 - 1195 Days Plan D - Dividend Option</t>
        </is>
      </c>
      <c r="C4923" t="inlineStr">
        <is>
          <t xml:space="preserve">INF109KB15C3</t>
        </is>
      </c>
    </row>
    <row r="4924">
      <c r="A4924" t="inlineStr">
        <is>
          <t xml:space="preserve">ICICI Prudential Mutual Fund</t>
        </is>
      </c>
      <c r="B4924" t="inlineStr">
        <is>
          <t xml:space="preserve">ICICI Prudential Fixed Maturity Plan - Series 81 - 1205 Days Plan B - Cumulative Option</t>
        </is>
      </c>
      <c r="C4924" t="inlineStr">
        <is>
          <t xml:space="preserve">INF109KB12B2</t>
        </is>
      </c>
    </row>
    <row r="4925">
      <c r="A4925" t="inlineStr">
        <is>
          <t xml:space="preserve">ICICI Prudential Mutual Fund</t>
        </is>
      </c>
      <c r="B4925" t="inlineStr">
        <is>
          <t xml:space="preserve">ICICI Prudential Fixed Maturity Plan - Series 81 - 1205 Days Plan B - Direct Plan - Cumulative Option</t>
        </is>
      </c>
      <c r="C4925" t="inlineStr">
        <is>
          <t xml:space="preserve">INF109KB14B8</t>
        </is>
      </c>
    </row>
    <row r="4926">
      <c r="A4926" t="inlineStr">
        <is>
          <t xml:space="preserve">ICICI Prudential Mutual Fund</t>
        </is>
      </c>
      <c r="B4926" t="inlineStr">
        <is>
          <t xml:space="preserve">ICICI Prudential Fixed Maturity Plan - Series 81 - 1205 Days Plan B - Direct Plan - Dividend Option</t>
        </is>
      </c>
      <c r="C4926" t="inlineStr">
        <is>
          <t xml:space="preserve">INF109KB15B5</t>
        </is>
      </c>
    </row>
    <row r="4927">
      <c r="A4927" t="inlineStr">
        <is>
          <t xml:space="preserve">ICICI Prudential Mutual Fund</t>
        </is>
      </c>
      <c r="B4927" t="inlineStr">
        <is>
          <t xml:space="preserve">ICICI Prudential Fixed Maturity Plan - Series 81 - 1205 Days Plan B - Dividend Option</t>
        </is>
      </c>
      <c r="C4927" t="inlineStr">
        <is>
          <t xml:space="preserve">INF109KB13B0</t>
        </is>
      </c>
    </row>
    <row r="4928">
      <c r="A4928" t="inlineStr">
        <is>
          <t xml:space="preserve">ICICI Prudential Mutual Fund</t>
        </is>
      </c>
      <c r="B4928" t="inlineStr">
        <is>
          <t xml:space="preserve">ICICI Prudential Fixed Maturity Plan - Series 81 - 1211 Days Plan A - Cumulative Option</t>
        </is>
      </c>
      <c r="C4928" t="inlineStr">
        <is>
          <t xml:space="preserve">INF109KB18A1</t>
        </is>
      </c>
    </row>
    <row r="4929">
      <c r="A4929" t="inlineStr">
        <is>
          <t xml:space="preserve">ICICI Prudential Mutual Fund</t>
        </is>
      </c>
      <c r="B4929" t="inlineStr">
        <is>
          <t xml:space="preserve">ICICI Prudential Fixed Maturity Plan - Series 81 - 1211 Days Plan A - Direct Plan - Cumulative Option</t>
        </is>
      </c>
      <c r="C4929" t="inlineStr">
        <is>
          <t xml:space="preserve">INF109KB10B6</t>
        </is>
      </c>
    </row>
    <row r="4930">
      <c r="A4930" t="inlineStr">
        <is>
          <t xml:space="preserve">ICICI Prudential Mutual Fund</t>
        </is>
      </c>
      <c r="B4930" t="inlineStr">
        <is>
          <t xml:space="preserve">ICICI Prudential Fixed Maturity Plan - Series 81 - 1211 Days Plan A - Direct Plan - Dividend Option</t>
        </is>
      </c>
      <c r="C4930" t="inlineStr">
        <is>
          <t xml:space="preserve">INF109KB11B4</t>
        </is>
      </c>
    </row>
    <row r="4931">
      <c r="A4931" t="inlineStr">
        <is>
          <t xml:space="preserve">ICICI Prudential Mutual Fund</t>
        </is>
      </c>
      <c r="B4931" t="inlineStr">
        <is>
          <t xml:space="preserve">ICICI Prudential Fixed Maturity Plan - Series 81 - 1211 Days Plan A - Dividend Option</t>
        </is>
      </c>
      <c r="C4931" t="inlineStr">
        <is>
          <t xml:space="preserve">INF109KB19A9</t>
        </is>
      </c>
    </row>
    <row r="4932">
      <c r="A4932" t="inlineStr">
        <is>
          <t xml:space="preserve">ICICI Prudential Mutual Fund</t>
        </is>
      </c>
      <c r="B4932" t="inlineStr">
        <is>
          <t xml:space="preserve">ICICI Prudential Fixed Maturity Plan - Series 82 - 103 Days Plan O - Cumulative Option</t>
        </is>
      </c>
      <c r="C4932" t="inlineStr">
        <is>
          <t xml:space="preserve">INF109KC1AF9</t>
        </is>
      </c>
    </row>
    <row r="4933">
      <c r="A4933" t="inlineStr">
        <is>
          <t xml:space="preserve">ICICI Prudential Mutual Fund</t>
        </is>
      </c>
      <c r="B4933" t="inlineStr">
        <is>
          <t xml:space="preserve">ICICI Prudential Fixed Maturity Plan - Series 82 - 103 Days Plan O - Direct Plan Cumulative Option</t>
        </is>
      </c>
      <c r="C4933" t="inlineStr">
        <is>
          <t xml:space="preserve">INF109KC1AH5</t>
        </is>
      </c>
    </row>
    <row r="4934">
      <c r="A4934" t="inlineStr">
        <is>
          <t xml:space="preserve">ICICI Prudential Mutual Fund</t>
        </is>
      </c>
      <c r="B4934" t="inlineStr">
        <is>
          <t xml:space="preserve">ICICI Prudential Fixed Maturity Plan - series 82 - 103 Days Plan O - Direct Plan Dividend Option</t>
        </is>
      </c>
      <c r="C4934" t="inlineStr">
        <is>
          <t xml:space="preserve">INF109KC1AI3</t>
        </is>
      </c>
    </row>
    <row r="4935">
      <c r="A4935" t="inlineStr">
        <is>
          <t xml:space="preserve">ICICI Prudential Mutual Fund</t>
        </is>
      </c>
      <c r="B4935" t="inlineStr">
        <is>
          <t xml:space="preserve">ICICI Prudential Fixed Maturity Plan - series 82 - 103 Days Plan O - Dividend Option</t>
        </is>
      </c>
      <c r="C4935" t="inlineStr">
        <is>
          <t xml:space="preserve">INF109KC1AG7</t>
        </is>
      </c>
    </row>
    <row r="4936">
      <c r="A4936" t="inlineStr">
        <is>
          <t xml:space="preserve">ICICI Prudential Mutual Fund</t>
        </is>
      </c>
      <c r="B4936" t="inlineStr">
        <is>
          <t xml:space="preserve">ICICI Prudential Fixed Maturity Plan - Series 82 - 1119 Days Plan X - Cumulative Option</t>
        </is>
      </c>
      <c r="C4936" t="inlineStr">
        <is>
          <t xml:space="preserve">INF109KC1CH1</t>
        </is>
      </c>
    </row>
    <row r="4937">
      <c r="A4937" t="inlineStr">
        <is>
          <t xml:space="preserve">ICICI Prudential Mutual Fund</t>
        </is>
      </c>
      <c r="B4937" t="inlineStr">
        <is>
          <t xml:space="preserve">ICICI Prudential Fixed Maturity Plan - Series 82 - 1119 Days Plan X - Direct Plan Cumulative Option</t>
        </is>
      </c>
      <c r="C4937" t="inlineStr">
        <is>
          <t xml:space="preserve">INF109KC1CK5</t>
        </is>
      </c>
    </row>
    <row r="4938">
      <c r="A4938" t="inlineStr">
        <is>
          <t xml:space="preserve">ICICI Prudential Mutual Fund</t>
        </is>
      </c>
      <c r="B4938" t="inlineStr">
        <is>
          <t xml:space="preserve">ICICI Prudential Fixed Maturity Plan - Series 82 - 1119 Days Plan X - Direct Plan Quarterly IDCW Option</t>
        </is>
      </c>
      <c r="C4938" t="inlineStr">
        <is>
          <t xml:space="preserve">INF109KC1CM1</t>
        </is>
      </c>
    </row>
    <row r="4939">
      <c r="A4939" t="inlineStr">
        <is>
          <t xml:space="preserve">ICICI Prudential Mutual Fund</t>
        </is>
      </c>
      <c r="B4939" t="inlineStr">
        <is>
          <t xml:space="preserve">ICICI Prudential Fixed Maturity Plan - Series 82 - 1119 Days Plan X - Half Yearly IDCW Option</t>
        </is>
      </c>
      <c r="C4939" t="inlineStr">
        <is>
          <t xml:space="preserve">INF109KC1CI9</t>
        </is>
      </c>
    </row>
    <row r="4940">
      <c r="A4940" t="inlineStr">
        <is>
          <t xml:space="preserve">ICICI Prudential Mutual Fund</t>
        </is>
      </c>
      <c r="B4940" t="inlineStr">
        <is>
          <t xml:space="preserve">ICICI Prudential Fixed Maturity Plan - Series 82 - 1119 Days Plan X - Quarterly IDCW Option</t>
        </is>
      </c>
      <c r="C4940" t="inlineStr">
        <is>
          <t xml:space="preserve">INF109KC1CJ7</t>
        </is>
      </c>
    </row>
    <row r="4941">
      <c r="A4941" t="inlineStr">
        <is>
          <t xml:space="preserve">ICICI Prudential Mutual Fund</t>
        </is>
      </c>
      <c r="B4941" t="inlineStr">
        <is>
          <t xml:space="preserve">ICICI Prudential Fixed Maturity Plan - Series 82 - 1135 Days Plan S - Cumulative Option</t>
        </is>
      </c>
      <c r="C4941" t="inlineStr">
        <is>
          <t xml:space="preserve">INF109KC1BB6</t>
        </is>
      </c>
    </row>
    <row r="4942">
      <c r="A4942" t="inlineStr">
        <is>
          <t xml:space="preserve">ICICI Prudential Mutual Fund</t>
        </is>
      </c>
      <c r="B4942" t="inlineStr">
        <is>
          <t xml:space="preserve">ICICI Prudential Fixed Maturity Plan - Series 82 - 1135 Days Plan S - Direct Plan Cumulative Option</t>
        </is>
      </c>
      <c r="C4942" t="inlineStr">
        <is>
          <t xml:space="preserve">INF109KC1BE0</t>
        </is>
      </c>
    </row>
    <row r="4943">
      <c r="A4943" t="inlineStr">
        <is>
          <t xml:space="preserve">ICICI Prudential Mutual Fund</t>
        </is>
      </c>
      <c r="B4943" t="inlineStr">
        <is>
          <t xml:space="preserve">ICICI Prudential Fixed Maturity Plan - Series 82 - 1135 Days Plan S - Direct Plan Half Yearly IDCW Option</t>
        </is>
      </c>
      <c r="C4943" t="inlineStr">
        <is>
          <t xml:space="preserve">INF109KC1BF7</t>
        </is>
      </c>
    </row>
    <row r="4944">
      <c r="A4944" t="inlineStr">
        <is>
          <t xml:space="preserve">ICICI Prudential Mutual Fund</t>
        </is>
      </c>
      <c r="B4944" t="inlineStr">
        <is>
          <t xml:space="preserve">ICICI Prudential Fixed Maturity Plan - Series 82 - 1135 Days Plan S - Direct Plan Quarterly IDCW Option</t>
        </is>
      </c>
      <c r="C4944" t="inlineStr">
        <is>
          <t xml:space="preserve">INF109KC1BG5</t>
        </is>
      </c>
    </row>
    <row r="4945">
      <c r="A4945" t="inlineStr">
        <is>
          <t xml:space="preserve">ICICI Prudential Mutual Fund</t>
        </is>
      </c>
      <c r="B4945" t="inlineStr">
        <is>
          <t xml:space="preserve">ICICI Prudential Fixed Maturity Plan - Series 82 - 1135 Days Plan S - Half Yearly IDCW Option</t>
        </is>
      </c>
      <c r="C4945" t="inlineStr">
        <is>
          <t xml:space="preserve">INF109KC1BC4</t>
        </is>
      </c>
    </row>
    <row r="4946">
      <c r="A4946" t="inlineStr">
        <is>
          <t xml:space="preserve">ICICI Prudential Mutual Fund</t>
        </is>
      </c>
      <c r="B4946" t="inlineStr">
        <is>
          <t xml:space="preserve">ICICI Prudential Fixed Maturity Plan - Series 82 - 1135 Days Plan S - Quarterly IDCW Option</t>
        </is>
      </c>
      <c r="C4946" t="inlineStr">
        <is>
          <t xml:space="preserve">INF109KC1BD2</t>
        </is>
      </c>
    </row>
    <row r="4947">
      <c r="A4947" t="inlineStr">
        <is>
          <t xml:space="preserve">ICICI Prudential Mutual Fund</t>
        </is>
      </c>
      <c r="B4947" t="inlineStr">
        <is>
          <t xml:space="preserve">ICICI Prudential Fixed Maturity Plan - Series 82 - 1135 Days Plan U - Cumulative Option</t>
        </is>
      </c>
      <c r="C4947" t="inlineStr">
        <is>
          <t xml:space="preserve">INF109KC1BP6</t>
        </is>
      </c>
    </row>
    <row r="4948">
      <c r="A4948" t="inlineStr">
        <is>
          <t xml:space="preserve">ICICI Prudential Mutual Fund</t>
        </is>
      </c>
      <c r="B4948" t="inlineStr">
        <is>
          <t xml:space="preserve">ICICI Prudential Fixed Maturity Plan - Series 82 - 1135 Days Plan U - Direct Plan Cumulative Option</t>
        </is>
      </c>
      <c r="C4948" t="inlineStr">
        <is>
          <t xml:space="preserve">INF109KC1BS0</t>
        </is>
      </c>
    </row>
    <row r="4949">
      <c r="A4949" t="inlineStr">
        <is>
          <t xml:space="preserve">ICICI Prudential Mutual Fund</t>
        </is>
      </c>
      <c r="B4949" t="inlineStr">
        <is>
          <t xml:space="preserve">ICICI Prudential Fixed Maturity Plan - Series 82 - 1135 Days Plan U - Direct Plan Half Yearly IDCW Option</t>
        </is>
      </c>
      <c r="C4949" t="inlineStr">
        <is>
          <t xml:space="preserve">INF109KC1BT8</t>
        </is>
      </c>
    </row>
    <row r="4950">
      <c r="A4950" t="inlineStr">
        <is>
          <t xml:space="preserve">ICICI Prudential Mutual Fund</t>
        </is>
      </c>
      <c r="B4950" t="inlineStr">
        <is>
          <t xml:space="preserve">ICICI Prudential Fixed Maturity Plan - Series 82 - 1135 Days Plan U - Quarterly IDCW Option</t>
        </is>
      </c>
      <c r="C4950" t="inlineStr">
        <is>
          <t xml:space="preserve">INF109KC1BR2</t>
        </is>
      </c>
    </row>
    <row r="4951">
      <c r="A4951" t="inlineStr">
        <is>
          <t xml:space="preserve">ICICI Prudential Mutual Fund</t>
        </is>
      </c>
      <c r="B4951" t="inlineStr">
        <is>
          <t xml:space="preserve">ICICI Prudential Fixed Maturity Plan - Series 82 - 1135 Days Plan V - Cumulative Option</t>
        </is>
      </c>
      <c r="C4951" t="inlineStr">
        <is>
          <t xml:space="preserve">INF109KC1BV4</t>
        </is>
      </c>
    </row>
    <row r="4952">
      <c r="A4952" t="inlineStr">
        <is>
          <t xml:space="preserve">ICICI Prudential Mutual Fund</t>
        </is>
      </c>
      <c r="B4952" t="inlineStr">
        <is>
          <t xml:space="preserve">ICICI Prudential Fixed Maturity Plan - Series 82 - 1135 Days Plan V - Direct Plan Cumulative Option</t>
        </is>
      </c>
      <c r="C4952" t="inlineStr">
        <is>
          <t xml:space="preserve">INF109KC1BY8</t>
        </is>
      </c>
    </row>
    <row r="4953">
      <c r="A4953" t="inlineStr">
        <is>
          <t xml:space="preserve">ICICI Prudential Mutual Fund</t>
        </is>
      </c>
      <c r="B4953" t="inlineStr">
        <is>
          <t xml:space="preserve">ICICI Prudential Fixed Maturity Plan - Series 82 - 1135 Days Plan V - Direct Plan Quarterly IDCW Option</t>
        </is>
      </c>
      <c r="C4953" t="inlineStr">
        <is>
          <t xml:space="preserve">INF109KC1CA6</t>
        </is>
      </c>
    </row>
    <row r="4954">
      <c r="A4954" t="inlineStr">
        <is>
          <t xml:space="preserve">ICICI Prudential Mutual Fund</t>
        </is>
      </c>
      <c r="B4954" t="inlineStr">
        <is>
          <t xml:space="preserve">ICICI Prudential Fixed Maturity Plan - Series 82 - 1135 Days Plan V - Half Yearly IDCW Option</t>
        </is>
      </c>
      <c r="C4954" t="inlineStr">
        <is>
          <t xml:space="preserve">INF109KC1BW2</t>
        </is>
      </c>
    </row>
    <row r="4955">
      <c r="A4955" t="inlineStr">
        <is>
          <t xml:space="preserve">ICICI Prudential Mutual Fund</t>
        </is>
      </c>
      <c r="B4955" t="inlineStr">
        <is>
          <t xml:space="preserve">ICICI Prudential Fixed Maturity Plan - Series 82 - 1135 Days Plan V - Quarterly IDCW Option</t>
        </is>
      </c>
      <c r="C4955" t="inlineStr">
        <is>
          <t xml:space="preserve">INF109KC1BX0</t>
        </is>
      </c>
    </row>
    <row r="4956">
      <c r="A4956" t="inlineStr">
        <is>
          <t xml:space="preserve">ICICI Prudential Mutual Fund</t>
        </is>
      </c>
      <c r="B4956" t="inlineStr">
        <is>
          <t xml:space="preserve">ICICI Prudential Fixed Maturity Plan - Series 82 - 1136 Days Plan P - Cumulative Option</t>
        </is>
      </c>
      <c r="C4956" t="inlineStr">
        <is>
          <t xml:space="preserve">INF109KC1AJ1</t>
        </is>
      </c>
    </row>
    <row r="4957">
      <c r="A4957" t="inlineStr">
        <is>
          <t xml:space="preserve">ICICI Prudential Mutual Fund</t>
        </is>
      </c>
      <c r="B4957" t="inlineStr">
        <is>
          <t xml:space="preserve">ICICI Prudential Fixed Maturity Plan - Series 82 - 1136 Days Plan P - Direct Plan Cumulative Option</t>
        </is>
      </c>
      <c r="C4957" t="inlineStr">
        <is>
          <t xml:space="preserve">INF109KC1AM5</t>
        </is>
      </c>
    </row>
    <row r="4958">
      <c r="A4958" t="inlineStr">
        <is>
          <t xml:space="preserve">ICICI Prudential Mutual Fund</t>
        </is>
      </c>
      <c r="B4958" t="inlineStr">
        <is>
          <t xml:space="preserve">ICICI Prudential Fixed Maturity Plan - Series 82 - 1136 Days Plan P - Direct Plan Half Yearly IDCW Option</t>
        </is>
      </c>
      <c r="C4958" t="inlineStr">
        <is>
          <t xml:space="preserve">INF109KC1AN3</t>
        </is>
      </c>
    </row>
    <row r="4959">
      <c r="A4959" t="inlineStr">
        <is>
          <t xml:space="preserve">ICICI Prudential Mutual Fund</t>
        </is>
      </c>
      <c r="B4959" t="inlineStr">
        <is>
          <t xml:space="preserve">ICICI Prudential Fixed Maturity Plan - Series 82 - 1136 Days Plan P - Direct Plan Quarterly IDCW Option</t>
        </is>
      </c>
      <c r="C4959" t="inlineStr">
        <is>
          <t xml:space="preserve">INF109KC1AO1</t>
        </is>
      </c>
    </row>
    <row r="4960">
      <c r="A4960" t="inlineStr">
        <is>
          <t xml:space="preserve">ICICI Prudential Mutual Fund</t>
        </is>
      </c>
      <c r="B4960" t="inlineStr">
        <is>
          <t xml:space="preserve">ICICI Prudential Fixed Maturity Plan - Series 82 - 1136 Days Plan P - Half Yearly IDCW Option</t>
        </is>
      </c>
      <c r="C4960" t="inlineStr">
        <is>
          <t xml:space="preserve">INF109KC1AK9</t>
        </is>
      </c>
    </row>
    <row r="4961">
      <c r="A4961" t="inlineStr">
        <is>
          <t xml:space="preserve">ICICI Prudential Mutual Fund</t>
        </is>
      </c>
      <c r="B4961" t="inlineStr">
        <is>
          <t xml:space="preserve">ICICI Prudential Fixed Maturity Plan - Series 82 - 1136 Days Plan P - Quarterly IDCW Option</t>
        </is>
      </c>
      <c r="C4961" t="inlineStr">
        <is>
          <t xml:space="preserve">INF109KC1AL7</t>
        </is>
      </c>
    </row>
    <row r="4962">
      <c r="A4962" t="inlineStr">
        <is>
          <t xml:space="preserve">ICICI Prudential Mutual Fund</t>
        </is>
      </c>
      <c r="B4962" t="inlineStr">
        <is>
          <t xml:space="preserve">ICICI Prudential Fixed Maturity Plan - Series 82 - 1141 Days Plan Y - Cumulative Option</t>
        </is>
      </c>
      <c r="C4962" t="inlineStr">
        <is>
          <t xml:space="preserve">INF109KC1CP4</t>
        </is>
      </c>
    </row>
    <row r="4963">
      <c r="A4963" t="inlineStr">
        <is>
          <t xml:space="preserve">ICICI Prudential Mutual Fund</t>
        </is>
      </c>
      <c r="B4963" t="inlineStr">
        <is>
          <t xml:space="preserve">ICICI Prudential Fixed Maturity Plan - Series 82 - 1141 Days Plan Y - Direct Plan Cumulative Option</t>
        </is>
      </c>
      <c r="C4963" t="inlineStr">
        <is>
          <t xml:space="preserve">INF109KC1CS8</t>
        </is>
      </c>
    </row>
    <row r="4964">
      <c r="A4964" t="inlineStr">
        <is>
          <t xml:space="preserve">ICICI Prudential Mutual Fund</t>
        </is>
      </c>
      <c r="B4964" t="inlineStr">
        <is>
          <t xml:space="preserve">ICICI Prudential Fixed Maturity Plan - Series 82 - 1141 Days Plan Y - Direct Plan Half Yearly IDCW Option</t>
        </is>
      </c>
      <c r="C4964" t="inlineStr">
        <is>
          <t xml:space="preserve">INF109KC1CT6</t>
        </is>
      </c>
    </row>
    <row r="4965">
      <c r="A4965" t="inlineStr">
        <is>
          <t xml:space="preserve">ICICI Prudential Mutual Fund</t>
        </is>
      </c>
      <c r="B4965" t="inlineStr">
        <is>
          <t xml:space="preserve">ICICI Prudential Fixed Maturity Plan - Series 82 - 1141 Days Plan Y - Half Yearly IDCW Option</t>
        </is>
      </c>
      <c r="C4965" t="inlineStr">
        <is>
          <t xml:space="preserve">INF109KC1CQ2</t>
        </is>
      </c>
    </row>
    <row r="4966">
      <c r="A4966" t="inlineStr">
        <is>
          <t xml:space="preserve">ICICI Prudential Mutual Fund</t>
        </is>
      </c>
      <c r="B4966" t="inlineStr">
        <is>
          <t xml:space="preserve">ICICI Prudential Fixed Maturity Plan - Series 82 - 1141 Days Plan Y - Quarterly IDCW Option</t>
        </is>
      </c>
      <c r="C4966" t="inlineStr">
        <is>
          <t xml:space="preserve">INF109KC1CR0</t>
        </is>
      </c>
    </row>
    <row r="4967">
      <c r="A4967" t="inlineStr">
        <is>
          <t xml:space="preserve">ICICI Prudential Mutual Fund</t>
        </is>
      </c>
      <c r="B4967" t="inlineStr">
        <is>
          <t xml:space="preserve">ICICI Prudential Fixed Maturity Plan - Series 82 - 1157 Days Plan J - Cumulative Option</t>
        </is>
      </c>
      <c r="C4967" t="inlineStr">
        <is>
          <t xml:space="preserve">INF109KC1739</t>
        </is>
      </c>
    </row>
    <row r="4968">
      <c r="A4968" t="inlineStr">
        <is>
          <t xml:space="preserve">ICICI Prudential Mutual Fund</t>
        </is>
      </c>
      <c r="B4968" t="inlineStr">
        <is>
          <t xml:space="preserve">ICICI Prudential Fixed Maturity Plan - Series 82 - 1157 Days Plan J - Direct Plan Cumulative Option</t>
        </is>
      </c>
      <c r="C4968" t="inlineStr">
        <is>
          <t xml:space="preserve">INF109KC1762</t>
        </is>
      </c>
    </row>
    <row r="4969">
      <c r="A4969" t="inlineStr">
        <is>
          <t xml:space="preserve">ICICI Prudential Mutual Fund</t>
        </is>
      </c>
      <c r="B4969" t="inlineStr">
        <is>
          <t xml:space="preserve">ICICI Prudential Fixed Maturity Plan - Series 82 - 1157 Days Plan J - Direct Plan Half Yearly IDCW Option</t>
        </is>
      </c>
      <c r="C4969" t="inlineStr">
        <is>
          <t xml:space="preserve">INF109KC1770</t>
        </is>
      </c>
    </row>
    <row r="4970">
      <c r="A4970" t="inlineStr">
        <is>
          <t xml:space="preserve">ICICI Prudential Mutual Fund</t>
        </is>
      </c>
      <c r="B4970" t="inlineStr">
        <is>
          <t xml:space="preserve">ICICI Prudential Fixed Maturity Plan - Series 82 - 1157 Days Plan J - Direct Plan Quarterly IDCW Option</t>
        </is>
      </c>
      <c r="C4970" t="inlineStr">
        <is>
          <t xml:space="preserve">INF109KC1788</t>
        </is>
      </c>
    </row>
    <row r="4971">
      <c r="A4971" t="inlineStr">
        <is>
          <t xml:space="preserve">ICICI Prudential Mutual Fund</t>
        </is>
      </c>
      <c r="B4971" t="inlineStr">
        <is>
          <t xml:space="preserve">ICICI Prudential Fixed Maturity Plan - Series 82 - 1157 Days Plan J - Half Yearly IDCW Option</t>
        </is>
      </c>
      <c r="C4971" t="inlineStr">
        <is>
          <t xml:space="preserve">INF109KC1747</t>
        </is>
      </c>
    </row>
    <row r="4972">
      <c r="A4972" t="inlineStr">
        <is>
          <t xml:space="preserve">ICICI Prudential Mutual Fund</t>
        </is>
      </c>
      <c r="B4972" t="inlineStr">
        <is>
          <t xml:space="preserve">ICICI Prudential Fixed Maturity Plan - Series 82 - 1157 Days Plan J - Quarterly IDCW Option</t>
        </is>
      </c>
      <c r="C4972" t="inlineStr">
        <is>
          <t xml:space="preserve">INF109KC1754</t>
        </is>
      </c>
    </row>
    <row r="4973">
      <c r="A4973" t="inlineStr">
        <is>
          <t xml:space="preserve">ICICI Prudential Mutual Fund</t>
        </is>
      </c>
      <c r="B4973" t="inlineStr">
        <is>
          <t xml:space="preserve">ICICI Prudential Fixed Maturity Plan - Series 82 - 1170 Days Plan R - Cumulative Option</t>
        </is>
      </c>
      <c r="C4973" t="inlineStr">
        <is>
          <t xml:space="preserve">INF109KC1AV6</t>
        </is>
      </c>
    </row>
    <row r="4974">
      <c r="A4974" t="inlineStr">
        <is>
          <t xml:space="preserve">ICICI Prudential Mutual Fund</t>
        </is>
      </c>
      <c r="B4974" t="inlineStr">
        <is>
          <t xml:space="preserve">ICICI Prudential Fixed Maturity Plan - Series 82 - 1170 Days Plan R - Direct Plan Cumulative Option</t>
        </is>
      </c>
      <c r="C4974" t="inlineStr">
        <is>
          <t xml:space="preserve">INF109KC1AY0</t>
        </is>
      </c>
    </row>
    <row r="4975">
      <c r="A4975" t="inlineStr">
        <is>
          <t xml:space="preserve">ICICI Prudential Mutual Fund</t>
        </is>
      </c>
      <c r="B4975" t="inlineStr">
        <is>
          <t xml:space="preserve">ICICI Prudential Fixed Maturity Plan - Series 82 - 1170 Days Plan R - Direct Plan Quarterly IDCW Option</t>
        </is>
      </c>
      <c r="C4975" t="inlineStr">
        <is>
          <t xml:space="preserve">INF109KC1BA8</t>
        </is>
      </c>
    </row>
    <row r="4976">
      <c r="A4976" t="inlineStr">
        <is>
          <t xml:space="preserve">ICICI Prudential Mutual Fund</t>
        </is>
      </c>
      <c r="B4976" t="inlineStr">
        <is>
          <t xml:space="preserve">ICICI Prudential Fixed Maturity Plan - Series 82 - 1170 Days Plan R - Half Yearly IDCW Option</t>
        </is>
      </c>
      <c r="C4976" t="inlineStr">
        <is>
          <t xml:space="preserve">INF109KC1AW4</t>
        </is>
      </c>
    </row>
    <row r="4977">
      <c r="A4977" t="inlineStr">
        <is>
          <t xml:space="preserve">ICICI Prudential Mutual Fund</t>
        </is>
      </c>
      <c r="B4977" t="inlineStr">
        <is>
          <t xml:space="preserve">ICICI Prudential Fixed Maturity Plan - Series 82 - 1170 Days Plan R - Quarterly IDCW Option</t>
        </is>
      </c>
      <c r="C4977" t="inlineStr">
        <is>
          <t xml:space="preserve">INF109KC1AX2</t>
        </is>
      </c>
    </row>
    <row r="4978">
      <c r="A4978" t="inlineStr">
        <is>
          <t xml:space="preserve">ICICI Prudential Mutual Fund</t>
        </is>
      </c>
      <c r="B4978" t="inlineStr">
        <is>
          <t xml:space="preserve">ICICI Prudential Fixed Maturity Plan - Series 82 - 1175 Days Plan Q - Cumulative Option</t>
        </is>
      </c>
      <c r="C4978" t="inlineStr">
        <is>
          <t xml:space="preserve">INF109KC1AP8</t>
        </is>
      </c>
    </row>
    <row r="4979">
      <c r="A4979" t="inlineStr">
        <is>
          <t xml:space="preserve">ICICI Prudential Mutual Fund</t>
        </is>
      </c>
      <c r="B4979" t="inlineStr">
        <is>
          <t xml:space="preserve">ICICI Prudential Fixed Maturity Plan - Series 82 - 1175 Days Plan Q - Direct Plan Cumulative Option</t>
        </is>
      </c>
      <c r="C4979" t="inlineStr">
        <is>
          <t xml:space="preserve">INF109KC1AS2</t>
        </is>
      </c>
    </row>
    <row r="4980">
      <c r="A4980" t="inlineStr">
        <is>
          <t xml:space="preserve">ICICI Prudential Mutual Fund</t>
        </is>
      </c>
      <c r="B4980" t="inlineStr">
        <is>
          <t xml:space="preserve">ICICI Prudential Fixed Maturity Plan - Series 82 - 1175 Days Plan Q - Direct Plan Half yearly IDCW Option</t>
        </is>
      </c>
      <c r="C4980" t="inlineStr">
        <is>
          <t xml:space="preserve">INF109KC1AT0</t>
        </is>
      </c>
    </row>
    <row r="4981">
      <c r="A4981" t="inlineStr">
        <is>
          <t xml:space="preserve">ICICI Prudential Mutual Fund</t>
        </is>
      </c>
      <c r="B4981" t="inlineStr">
        <is>
          <t xml:space="preserve">ICICI Prudential Fixed Maturity Plan - Series 82 - 1175 Days Plan Q - Direct Plan Quarterly IDCW Option</t>
        </is>
      </c>
      <c r="C4981" t="inlineStr">
        <is>
          <t xml:space="preserve">INF109KC1AU8</t>
        </is>
      </c>
    </row>
    <row r="4982">
      <c r="A4982" t="inlineStr">
        <is>
          <t xml:space="preserve">ICICI Prudential Mutual Fund</t>
        </is>
      </c>
      <c r="B4982" t="inlineStr">
        <is>
          <t xml:space="preserve">ICICI Prudential Fixed Maturity Plan - Series 82 - 1175 Days Plan Q - Half Yearly IDCW Option</t>
        </is>
      </c>
      <c r="C4982" t="inlineStr">
        <is>
          <t xml:space="preserve">INF109KC1AQ6</t>
        </is>
      </c>
    </row>
    <row r="4983">
      <c r="A4983" t="inlineStr">
        <is>
          <t xml:space="preserve">ICICI Prudential Mutual Fund</t>
        </is>
      </c>
      <c r="B4983" t="inlineStr">
        <is>
          <t xml:space="preserve">ICICI Prudential Fixed Maturity Plan - Series 82 - 1175 Days Plan Q - Quarterly IDCW Option</t>
        </is>
      </c>
      <c r="C4983" t="inlineStr">
        <is>
          <t xml:space="preserve">INF109KC1AR4</t>
        </is>
      </c>
    </row>
    <row r="4984">
      <c r="A4984" t="inlineStr">
        <is>
          <t xml:space="preserve">ICICI Prudential Mutual Fund</t>
        </is>
      </c>
      <c r="B4984" t="inlineStr">
        <is>
          <t xml:space="preserve">ICICI Prudential Fixed Maturity Plan - Series 82 - 1185 Days Plan I - Cumulative Option</t>
        </is>
      </c>
      <c r="C4984" t="inlineStr">
        <is>
          <t xml:space="preserve">INF109KC1671</t>
        </is>
      </c>
    </row>
    <row r="4985">
      <c r="A4985" t="inlineStr">
        <is>
          <t xml:space="preserve">ICICI Prudential Mutual Fund</t>
        </is>
      </c>
      <c r="B4985" t="inlineStr">
        <is>
          <t xml:space="preserve">ICICI Prudential Fixed Maturity Plan - Series 82 - 1185 Days Plan I - Direct Plan Cumulative Option</t>
        </is>
      </c>
      <c r="C4985" t="inlineStr">
        <is>
          <t xml:space="preserve">INF109KC1705</t>
        </is>
      </c>
    </row>
    <row r="4986">
      <c r="A4986" t="inlineStr">
        <is>
          <t xml:space="preserve">ICICI Prudential Mutual Fund</t>
        </is>
      </c>
      <c r="B4986" t="inlineStr">
        <is>
          <t xml:space="preserve">ICICI Prudential Fixed Maturity Plan - Series 82 - 1185 Days Plan M - Cumulative Option</t>
        </is>
      </c>
      <c r="C4986" t="inlineStr">
        <is>
          <t xml:space="preserve">INF109KC1937</t>
        </is>
      </c>
    </row>
    <row r="4987">
      <c r="A4987" t="inlineStr">
        <is>
          <t xml:space="preserve">ICICI Prudential Mutual Fund</t>
        </is>
      </c>
      <c r="B4987" t="inlineStr">
        <is>
          <t xml:space="preserve">ICICI Prudential Fixed Maturity Plan - Series 82 - 1185 Days Plan M - Direct Plan Cumulative Option</t>
        </is>
      </c>
      <c r="C4987" t="inlineStr">
        <is>
          <t xml:space="preserve">INF109KC1960</t>
        </is>
      </c>
    </row>
    <row r="4988">
      <c r="A4988" t="inlineStr">
        <is>
          <t xml:space="preserve">ICICI Prudential Mutual Fund</t>
        </is>
      </c>
      <c r="B4988" t="inlineStr">
        <is>
          <t xml:space="preserve">ICICI Prudential Fixed Maturity Plan - Series 82 - 1185 Days Plan M - Direct Plan Half Yearly IDCW Option</t>
        </is>
      </c>
      <c r="C4988" t="inlineStr">
        <is>
          <t xml:space="preserve">INF109KC1978</t>
        </is>
      </c>
    </row>
    <row r="4989">
      <c r="A4989" t="inlineStr">
        <is>
          <t xml:space="preserve">ICICI Prudential Mutual Fund</t>
        </is>
      </c>
      <c r="B4989" t="inlineStr">
        <is>
          <t xml:space="preserve">ICICI Prudential Fixed Maturity Plan - Series 82 - 1185 Days Plan M - Direct Plan Quarterly IDCW Option</t>
        </is>
      </c>
      <c r="C4989" t="inlineStr">
        <is>
          <t xml:space="preserve">INF109KC1986</t>
        </is>
      </c>
    </row>
    <row r="4990">
      <c r="A4990" t="inlineStr">
        <is>
          <t xml:space="preserve">ICICI Prudential Mutual Fund</t>
        </is>
      </c>
      <c r="B4990" t="inlineStr">
        <is>
          <t xml:space="preserve">ICICI Prudential Fixed Maturity Plan - Series 82 - 1185 Days Plan M - Quarterly IDCW Option</t>
        </is>
      </c>
      <c r="C4990" t="inlineStr">
        <is>
          <t xml:space="preserve">INF109KC1952</t>
        </is>
      </c>
    </row>
    <row r="4991">
      <c r="A4991" t="inlineStr">
        <is>
          <t xml:space="preserve">ICICI Prudential Mutual Fund</t>
        </is>
      </c>
      <c r="B4991" t="inlineStr">
        <is>
          <t xml:space="preserve">ICICI Prudential Fixed Maturity Plan - Series 82 - 1185 Days Plan N - Cumulative Option</t>
        </is>
      </c>
      <c r="C4991" t="inlineStr">
        <is>
          <t xml:space="preserve">INF109KC1994</t>
        </is>
      </c>
    </row>
    <row r="4992">
      <c r="A4992" t="inlineStr">
        <is>
          <t xml:space="preserve">ICICI Prudential Mutual Fund</t>
        </is>
      </c>
      <c r="B4992" t="inlineStr">
        <is>
          <t xml:space="preserve">ICICI Prudential Fixed Maturity Plan - Series 82 - 1185 Days Plan N - Direct Plan Cumulative Option</t>
        </is>
      </c>
      <c r="C4992" t="inlineStr">
        <is>
          <t xml:space="preserve">INF109KC1AC6</t>
        </is>
      </c>
    </row>
    <row r="4993">
      <c r="A4993" t="inlineStr">
        <is>
          <t xml:space="preserve">ICICI Prudential Mutual Fund</t>
        </is>
      </c>
      <c r="B4993" t="inlineStr">
        <is>
          <t xml:space="preserve">ICICI Prudential Fixed Maturity Plan - Series 82 - 1185 Days Plan N - Direct Plan Half Yearly IDCW Option</t>
        </is>
      </c>
      <c r="C4993" t="inlineStr">
        <is>
          <t xml:space="preserve">INF109KC1AD4</t>
        </is>
      </c>
    </row>
    <row r="4994">
      <c r="A4994" t="inlineStr">
        <is>
          <t xml:space="preserve">ICICI Prudential Mutual Fund</t>
        </is>
      </c>
      <c r="B4994" t="inlineStr">
        <is>
          <t xml:space="preserve">ICICI Prudential Fixed Maturity Plan - Series 82 - 1185 Days Plan N - Direct Plan Quarterly IDCW Option</t>
        </is>
      </c>
      <c r="C4994" t="inlineStr">
        <is>
          <t xml:space="preserve">INF109KC1AE2</t>
        </is>
      </c>
    </row>
    <row r="4995">
      <c r="A4995" t="inlineStr">
        <is>
          <t xml:space="preserve">ICICI Prudential Mutual Fund</t>
        </is>
      </c>
      <c r="B4995" t="inlineStr">
        <is>
          <t xml:space="preserve">ICICI Prudential Fixed Maturity Plan - Series 82 - 1185 Days Plan N - Half Yearly IDCW Option</t>
        </is>
      </c>
      <c r="C4995" t="inlineStr">
        <is>
          <t xml:space="preserve">INF109KC1AA0</t>
        </is>
      </c>
    </row>
    <row r="4996">
      <c r="A4996" t="inlineStr">
        <is>
          <t xml:space="preserve">ICICI Prudential Mutual Fund</t>
        </is>
      </c>
      <c r="B4996" t="inlineStr">
        <is>
          <t xml:space="preserve">ICICI Prudential Fixed Maturity Plan - Series 82 - 1185 Days Plan N - Quarterly IDCW Option</t>
        </is>
      </c>
      <c r="C4996" t="inlineStr">
        <is>
          <t xml:space="preserve">INF109KC1AB8</t>
        </is>
      </c>
    </row>
    <row r="4997">
      <c r="A4997" t="inlineStr">
        <is>
          <t xml:space="preserve">ICICI Prudential Mutual Fund</t>
        </is>
      </c>
      <c r="B4997" t="inlineStr">
        <is>
          <t xml:space="preserve">ICICI Prudential Fixed Maturity Plan - Series 82 - 1187 Days Plan F - Cumulative Option</t>
        </is>
      </c>
      <c r="C4997" t="inlineStr">
        <is>
          <t xml:space="preserve">INF109KC1374</t>
        </is>
      </c>
    </row>
    <row r="4998">
      <c r="A4998" t="inlineStr">
        <is>
          <t xml:space="preserve">ICICI Prudential Mutual Fund</t>
        </is>
      </c>
      <c r="B4998" t="inlineStr">
        <is>
          <t xml:space="preserve">ICICI Prudential Fixed Maturity Plan - Series 82 - 1187 Days Plan F - Direct Plan Cumulative Option</t>
        </is>
      </c>
      <c r="C4998" t="inlineStr">
        <is>
          <t xml:space="preserve">INF109KC1408</t>
        </is>
      </c>
    </row>
    <row r="4999">
      <c r="A4999" t="inlineStr">
        <is>
          <t xml:space="preserve">ICICI Prudential Mutual Fund</t>
        </is>
      </c>
      <c r="B4999" t="inlineStr">
        <is>
          <t xml:space="preserve">ICICI Prudential Fixed Maturity Plan - Series 82 - 1187 Days Plan F - Direct Plan Quarterly IDCW Option</t>
        </is>
      </c>
      <c r="C4999" t="inlineStr">
        <is>
          <t xml:space="preserve">INF109KC1424</t>
        </is>
      </c>
    </row>
    <row r="5000">
      <c r="A5000" t="inlineStr">
        <is>
          <t xml:space="preserve">ICICI Prudential Mutual Fund</t>
        </is>
      </c>
      <c r="B5000" t="inlineStr">
        <is>
          <t xml:space="preserve">ICICI Prudential Fixed Maturity Plan - Series 82 - 1187 Days Plan F - Half Yearly IDCW Option</t>
        </is>
      </c>
      <c r="C5000" t="inlineStr">
        <is>
          <t xml:space="preserve">INF109KC1382</t>
        </is>
      </c>
    </row>
    <row r="5001">
      <c r="A5001" t="inlineStr">
        <is>
          <t xml:space="preserve">ICICI Prudential Mutual Fund</t>
        </is>
      </c>
      <c r="B5001" t="inlineStr">
        <is>
          <t xml:space="preserve">ICICI Prudential Fixed Maturity Plan - Series 82 - 1187 Days Plan F - Quarterly IDCW Option</t>
        </is>
      </c>
      <c r="C5001" t="inlineStr">
        <is>
          <t xml:space="preserve">INF109KC1390</t>
        </is>
      </c>
    </row>
    <row r="5002">
      <c r="A5002" t="inlineStr">
        <is>
          <t xml:space="preserve">ICICI Prudential Mutual Fund</t>
        </is>
      </c>
      <c r="B5002" t="inlineStr">
        <is>
          <t xml:space="preserve">ICICI Prudential Fixed Maturity Plan - Series 82 - 1199 Days Plan L - Cumulative Option</t>
        </is>
      </c>
      <c r="C5002" t="inlineStr">
        <is>
          <t xml:space="preserve">INF109KC1879</t>
        </is>
      </c>
    </row>
    <row r="5003">
      <c r="A5003" t="inlineStr">
        <is>
          <t xml:space="preserve">ICICI Prudential Mutual Fund</t>
        </is>
      </c>
      <c r="B5003" t="inlineStr">
        <is>
          <t xml:space="preserve">ICICI Prudential Fixed Maturity Plan - Series 82 - 1199 Days Plan L - Direct Plan Cumulative Option</t>
        </is>
      </c>
      <c r="C5003" t="inlineStr">
        <is>
          <t xml:space="preserve">INF109KC1903</t>
        </is>
      </c>
    </row>
    <row r="5004">
      <c r="A5004" t="inlineStr">
        <is>
          <t xml:space="preserve">ICICI Prudential Mutual Fund</t>
        </is>
      </c>
      <c r="B5004" t="inlineStr">
        <is>
          <t xml:space="preserve">ICICI Prudential Fixed Maturity Plan - Series 82 - 1199 Days Plan L - Direct Plan Half Yearly IDCW Option</t>
        </is>
      </c>
      <c r="C5004" t="inlineStr">
        <is>
          <t xml:space="preserve">INF109KC1911</t>
        </is>
      </c>
    </row>
    <row r="5005">
      <c r="A5005" t="inlineStr">
        <is>
          <t xml:space="preserve">ICICI Prudential Mutual Fund</t>
        </is>
      </c>
      <c r="B5005" t="inlineStr">
        <is>
          <t xml:space="preserve">ICICI Prudential Fixed Maturity Plan - Series 82 - 1199 Days Plan L - Half Yearly IDCW Option</t>
        </is>
      </c>
      <c r="C5005" t="inlineStr">
        <is>
          <t xml:space="preserve">INF109KC1887</t>
        </is>
      </c>
    </row>
    <row r="5006">
      <c r="A5006" t="inlineStr">
        <is>
          <t xml:space="preserve">ICICI Prudential Mutual Fund</t>
        </is>
      </c>
      <c r="B5006" t="inlineStr">
        <is>
          <t xml:space="preserve">ICICI Prudential Fixed Maturity Plan - Series 82 - 1203 Days Plan K - Cumulative Option</t>
        </is>
      </c>
      <c r="C5006" t="inlineStr">
        <is>
          <t xml:space="preserve">INF109KC1812</t>
        </is>
      </c>
    </row>
    <row r="5007">
      <c r="A5007" t="inlineStr">
        <is>
          <t xml:space="preserve">ICICI Prudential Mutual Fund</t>
        </is>
      </c>
      <c r="B5007" t="inlineStr">
        <is>
          <t xml:space="preserve">ICICI Prudential Fixed Maturity Plan - Series 82 - 1203 Days Plan K - Direct Plan Cumulative Option</t>
        </is>
      </c>
      <c r="C5007" t="inlineStr">
        <is>
          <t xml:space="preserve">INF109KC1846</t>
        </is>
      </c>
    </row>
    <row r="5008">
      <c r="A5008" t="inlineStr">
        <is>
          <t xml:space="preserve">ICICI Prudential Mutual Fund</t>
        </is>
      </c>
      <c r="B5008" t="inlineStr">
        <is>
          <t xml:space="preserve">ICICI Prudential Fixed Maturity Plan - Series 82 - 1203 Days Plan K - Direct Plan Quarterly IDCW Option</t>
        </is>
      </c>
      <c r="C5008" t="inlineStr">
        <is>
          <t xml:space="preserve">INF109KC1861</t>
        </is>
      </c>
    </row>
    <row r="5009">
      <c r="A5009" t="inlineStr">
        <is>
          <t xml:space="preserve">ICICI Prudential Mutual Fund</t>
        </is>
      </c>
      <c r="B5009" t="inlineStr">
        <is>
          <t xml:space="preserve">ICICI Prudential Fixed Maturity Plan - Series 82 - 1203 Days Plan K - Half Yearly IDCW Option</t>
        </is>
      </c>
      <c r="C5009" t="inlineStr">
        <is>
          <t xml:space="preserve">INF109KC1820</t>
        </is>
      </c>
    </row>
    <row r="5010">
      <c r="A5010" t="inlineStr">
        <is>
          <t xml:space="preserve">ICICI Prudential Mutual Fund</t>
        </is>
      </c>
      <c r="B5010" t="inlineStr">
        <is>
          <t xml:space="preserve">ICICI Prudential Fixed Maturity Plan - Series 82 - 1203 Days Plan K - Quarterly IDCW Option</t>
        </is>
      </c>
      <c r="C5010" t="inlineStr">
        <is>
          <t xml:space="preserve">INF109KC1838</t>
        </is>
      </c>
    </row>
    <row r="5011">
      <c r="A5011" t="inlineStr">
        <is>
          <t xml:space="preserve">ICICI Prudential Mutual Fund</t>
        </is>
      </c>
      <c r="B5011" t="inlineStr">
        <is>
          <t xml:space="preserve">ICICI Prudential Fixed Maturity Plan - Series 82 - 1215 Days Plan H - Cumulative Option</t>
        </is>
      </c>
      <c r="C5011" t="inlineStr">
        <is>
          <t xml:space="preserve">INF109KC1499</t>
        </is>
      </c>
    </row>
    <row r="5012">
      <c r="A5012" t="inlineStr">
        <is>
          <t xml:space="preserve">ICICI Prudential Mutual Fund</t>
        </is>
      </c>
      <c r="B5012" t="inlineStr">
        <is>
          <t xml:space="preserve">ICICI Prudential Fixed Maturity Plan - Series 82 - 1215 Days Plan H - Direct Plan Cumulative Option</t>
        </is>
      </c>
      <c r="C5012" t="inlineStr">
        <is>
          <t xml:space="preserve">INF109KC1523</t>
        </is>
      </c>
    </row>
    <row r="5013">
      <c r="A5013" t="inlineStr">
        <is>
          <t xml:space="preserve">ICICI Prudential Mutual Fund</t>
        </is>
      </c>
      <c r="B5013" t="inlineStr">
        <is>
          <t xml:space="preserve">ICICI Prudential Fixed Maturity Plan - Series 82 - 1215 Days Plan H - Direct Plan Half Yearly IDCW Option</t>
        </is>
      </c>
      <c r="C5013" t="inlineStr">
        <is>
          <t xml:space="preserve">INF109KC1531</t>
        </is>
      </c>
    </row>
    <row r="5014">
      <c r="A5014" t="inlineStr">
        <is>
          <t xml:space="preserve">ICICI Prudential Mutual Fund</t>
        </is>
      </c>
      <c r="B5014" t="inlineStr">
        <is>
          <t xml:space="preserve">ICICI Prudential Fixed Maturity Plan - Series 82 - 1215 Days Plan H - Direct Plan Quarterly IDCW Option</t>
        </is>
      </c>
      <c r="C5014" t="inlineStr">
        <is>
          <t xml:space="preserve">INF109KC1549</t>
        </is>
      </c>
    </row>
    <row r="5015">
      <c r="A5015" t="inlineStr">
        <is>
          <t xml:space="preserve">ICICI Prudential Mutual Fund</t>
        </is>
      </c>
      <c r="B5015" t="inlineStr">
        <is>
          <t xml:space="preserve">ICICI Prudential Fixed Maturity Plan - Series 82 - 1215 Days Plan H - Half Yearly IDCW Option</t>
        </is>
      </c>
      <c r="C5015" t="inlineStr">
        <is>
          <t xml:space="preserve">INF109KC1507</t>
        </is>
      </c>
    </row>
    <row r="5016">
      <c r="A5016" t="inlineStr">
        <is>
          <t xml:space="preserve">ICICI Prudential Mutual Fund</t>
        </is>
      </c>
      <c r="B5016" t="inlineStr">
        <is>
          <t xml:space="preserve">ICICI Prudential Fixed Maturity Plan - Series 82 - 1215 Days Plan H - Quarterly IDCW Option</t>
        </is>
      </c>
      <c r="C5016" t="inlineStr">
        <is>
          <t xml:space="preserve">INF109KC1515</t>
        </is>
      </c>
    </row>
    <row r="5017">
      <c r="A5017" t="inlineStr">
        <is>
          <t xml:space="preserve">ICICI Prudential Mutual Fund</t>
        </is>
      </c>
      <c r="B5017" t="inlineStr">
        <is>
          <t xml:space="preserve">ICICI Prudential Fixed Maturity Plan - Series 82 - 1217 Days Plan C - Cumulative Option</t>
        </is>
      </c>
      <c r="C5017" t="inlineStr">
        <is>
          <t xml:space="preserve">INF109KC1119</t>
        </is>
      </c>
    </row>
    <row r="5018">
      <c r="A5018" t="inlineStr">
        <is>
          <t xml:space="preserve">ICICI Prudential Mutual Fund</t>
        </is>
      </c>
      <c r="B5018" t="inlineStr">
        <is>
          <t xml:space="preserve">ICICI Prudential Fixed Maturity Plan - Series 82 - 1217 Days Plan C - Direct Plan Cumulative Option</t>
        </is>
      </c>
      <c r="C5018" t="inlineStr">
        <is>
          <t xml:space="preserve">INF109KC1143</t>
        </is>
      </c>
    </row>
    <row r="5019">
      <c r="A5019" t="inlineStr">
        <is>
          <t xml:space="preserve">ICICI Prudential Mutual Fund</t>
        </is>
      </c>
      <c r="B5019" t="inlineStr">
        <is>
          <t xml:space="preserve">ICICI Prudential Fixed Maturity Plan - Series 82 - 1217 Days Plan C - Direct Plan Half Yearly IDCW Option</t>
        </is>
      </c>
      <c r="C5019" t="inlineStr">
        <is>
          <t xml:space="preserve">INF109KC1150</t>
        </is>
      </c>
    </row>
    <row r="5020">
      <c r="A5020" t="inlineStr">
        <is>
          <t xml:space="preserve">ICICI Prudential Mutual Fund</t>
        </is>
      </c>
      <c r="B5020" t="inlineStr">
        <is>
          <t xml:space="preserve">ICICI Prudential Fixed Maturity Plan - Series 82 - 1217 Days Plan C - Direct Plan Quarterly IDCW Option</t>
        </is>
      </c>
      <c r="C5020" t="inlineStr">
        <is>
          <t xml:space="preserve">INF109KC1168</t>
        </is>
      </c>
    </row>
    <row r="5021">
      <c r="A5021" t="inlineStr">
        <is>
          <t xml:space="preserve">ICICI Prudential Mutual Fund</t>
        </is>
      </c>
      <c r="B5021" t="inlineStr">
        <is>
          <t xml:space="preserve">ICICI Prudential Fixed Maturity Plan - Series 82 - 1217 Days Plan C - Half Yearly IDCW Option</t>
        </is>
      </c>
      <c r="C5021" t="inlineStr">
        <is>
          <t xml:space="preserve">INF109KC1127</t>
        </is>
      </c>
    </row>
    <row r="5022">
      <c r="A5022" t="inlineStr">
        <is>
          <t xml:space="preserve">ICICI Prudential Mutual Fund</t>
        </is>
      </c>
      <c r="B5022" t="inlineStr">
        <is>
          <t xml:space="preserve">ICICI Prudential Fixed Maturity Plan - Series 82 - 1217 Days Plan C - Quarterly IDCW Option</t>
        </is>
      </c>
      <c r="C5022" t="inlineStr">
        <is>
          <t xml:space="preserve">INF109KC1135</t>
        </is>
      </c>
    </row>
    <row r="5023">
      <c r="A5023" t="inlineStr">
        <is>
          <t xml:space="preserve">ICICI Prudential Mutual Fund</t>
        </is>
      </c>
      <c r="B5023" t="inlineStr">
        <is>
          <t xml:space="preserve">ICICI Prudential Fixed Maturity Plan - Series 82 - 1219 Days Plan D - Cumulative Option</t>
        </is>
      </c>
      <c r="C5023" t="inlineStr">
        <is>
          <t xml:space="preserve">INF109KC1176</t>
        </is>
      </c>
    </row>
    <row r="5024">
      <c r="A5024" t="inlineStr">
        <is>
          <t xml:space="preserve">ICICI Prudential Mutual Fund</t>
        </is>
      </c>
      <c r="B5024" t="inlineStr">
        <is>
          <t xml:space="preserve">ICICI Prudential Fixed Maturity Plan - Series 82 - 1219 Days Plan D - Direct Plan Cumulative Option</t>
        </is>
      </c>
      <c r="C5024" t="inlineStr">
        <is>
          <t xml:space="preserve">INF109KC1200</t>
        </is>
      </c>
    </row>
    <row r="5025">
      <c r="A5025" t="inlineStr">
        <is>
          <t xml:space="preserve">ICICI Prudential Mutual Fund</t>
        </is>
      </c>
      <c r="B5025" t="inlineStr">
        <is>
          <t xml:space="preserve">ICICI Prudential Fixed Maturity Plan - Series 82 - 1219 Days Plan D - Direct Plan Quarterly IDCW Option</t>
        </is>
      </c>
      <c r="C5025" t="inlineStr">
        <is>
          <t xml:space="preserve">INF109KC1226</t>
        </is>
      </c>
    </row>
    <row r="5026">
      <c r="A5026" t="inlineStr">
        <is>
          <t xml:space="preserve">ICICI Prudential Mutual Fund</t>
        </is>
      </c>
      <c r="B5026" t="inlineStr">
        <is>
          <t xml:space="preserve">ICICI Prudential Fixed Maturity Plan - Series 82 - 1219 Days Plan D - Half Yearly IDCW Option</t>
        </is>
      </c>
      <c r="C5026" t="inlineStr">
        <is>
          <t xml:space="preserve">INF109KC1184</t>
        </is>
      </c>
    </row>
    <row r="5027">
      <c r="A5027" t="inlineStr">
        <is>
          <t xml:space="preserve">ICICI Prudential Mutual Fund</t>
        </is>
      </c>
      <c r="B5027" t="inlineStr">
        <is>
          <t xml:space="preserve">ICICI Prudential Fixed Maturity Plan - Series 82 - 1219 Days Plan D - Quarterly IDCW Option</t>
        </is>
      </c>
      <c r="C5027" t="inlineStr">
        <is>
          <t xml:space="preserve">INF109KC1192</t>
        </is>
      </c>
    </row>
    <row r="5028">
      <c r="A5028" t="inlineStr">
        <is>
          <t xml:space="preserve">ICICI Prudential Mutual Fund</t>
        </is>
      </c>
      <c r="B5028" t="inlineStr">
        <is>
          <t xml:space="preserve">ICICI Prudential Fixed Maturity Plan - Series 82 - 1223 Days Plan E - Cumulative Option</t>
        </is>
      </c>
      <c r="C5028" t="inlineStr">
        <is>
          <t xml:space="preserve">INF109KC1275</t>
        </is>
      </c>
    </row>
    <row r="5029">
      <c r="A5029" t="inlineStr">
        <is>
          <t xml:space="preserve">ICICI Prudential Mutual Fund</t>
        </is>
      </c>
      <c r="B5029" t="inlineStr">
        <is>
          <t xml:space="preserve">ICICI Prudential Fixed Maturity Plan - Series 82 - 1223 Days Plan E - Direct Plan Cumulative Option</t>
        </is>
      </c>
      <c r="C5029" t="inlineStr">
        <is>
          <t xml:space="preserve">INF109KC1309</t>
        </is>
      </c>
    </row>
    <row r="5030">
      <c r="A5030" t="inlineStr">
        <is>
          <t xml:space="preserve">ICICI Prudential Mutual Fund</t>
        </is>
      </c>
      <c r="B5030" t="inlineStr">
        <is>
          <t xml:space="preserve">ICICI Prudential Fixed Maturity Plan - Series 82 - 1223 Days Plan E - Direct Plan Half Yearly IDCW Option</t>
        </is>
      </c>
      <c r="C5030" t="inlineStr">
        <is>
          <t xml:space="preserve">INF109KC1317</t>
        </is>
      </c>
    </row>
    <row r="5031">
      <c r="A5031" t="inlineStr">
        <is>
          <t xml:space="preserve">ICICI Prudential Mutual Fund</t>
        </is>
      </c>
      <c r="B5031" t="inlineStr">
        <is>
          <t xml:space="preserve">ICICI Prudential Fixed Maturity Plan - Series 82 - 1223 Days Plan E - Direct Plan Quarterly IDCW Option</t>
        </is>
      </c>
      <c r="C5031" t="inlineStr">
        <is>
          <t xml:space="preserve">INF109KC1325</t>
        </is>
      </c>
    </row>
    <row r="5032">
      <c r="A5032" t="inlineStr">
        <is>
          <t xml:space="preserve">ICICI Prudential Mutual Fund</t>
        </is>
      </c>
      <c r="B5032" t="inlineStr">
        <is>
          <t xml:space="preserve">ICICI Prudential Fixed Maturity Plan - Series 82 - 1223 Days Plan E - Half Yearly IDCW Option</t>
        </is>
      </c>
      <c r="C5032" t="inlineStr">
        <is>
          <t xml:space="preserve">INF109KC1283</t>
        </is>
      </c>
    </row>
    <row r="5033">
      <c r="A5033" t="inlineStr">
        <is>
          <t xml:space="preserve">ICICI Prudential Mutual Fund</t>
        </is>
      </c>
      <c r="B5033" t="inlineStr">
        <is>
          <t xml:space="preserve">ICICI Prudential Fixed Maturity Plan - Series 82 - 1223 Days Plan E - Quarterly IDCW Option</t>
        </is>
      </c>
      <c r="C5033" t="inlineStr">
        <is>
          <t xml:space="preserve">INF109KC1291</t>
        </is>
      </c>
    </row>
    <row r="5034">
      <c r="A5034" t="inlineStr">
        <is>
          <t xml:space="preserve">ICICI Prudential Mutual Fund</t>
        </is>
      </c>
      <c r="B5034" t="inlineStr">
        <is>
          <t xml:space="preserve">ICICI Prudential Fixed Maturity Plan - Series 82 - 1223 Days Plan G - Cumulative Option</t>
        </is>
      </c>
      <c r="C5034" t="inlineStr">
        <is>
          <t xml:space="preserve">INF109KC1432</t>
        </is>
      </c>
    </row>
    <row r="5035">
      <c r="A5035" t="inlineStr">
        <is>
          <t xml:space="preserve">ICICI Prudential Mutual Fund</t>
        </is>
      </c>
      <c r="B5035" t="inlineStr">
        <is>
          <t xml:space="preserve">ICICI Prudential Fixed Maturity Plan - Series 82 - 1223 Days Plan G - Direct Plan Cumulative Option</t>
        </is>
      </c>
      <c r="C5035" t="inlineStr">
        <is>
          <t xml:space="preserve">INF109KC1465</t>
        </is>
      </c>
    </row>
    <row r="5036">
      <c r="A5036" t="inlineStr">
        <is>
          <t xml:space="preserve">ICICI Prudential Mutual Fund</t>
        </is>
      </c>
      <c r="B5036" t="inlineStr">
        <is>
          <t xml:space="preserve">ICICI Prudential Fixed Maturity Plan - Series 82 - 1223 Days Plan G - Direct Plan Half Yearly IDCW Option</t>
        </is>
      </c>
      <c r="C5036" t="inlineStr">
        <is>
          <t xml:space="preserve">INF109KC1473</t>
        </is>
      </c>
    </row>
    <row r="5037">
      <c r="A5037" t="inlineStr">
        <is>
          <t xml:space="preserve">ICICI Prudential Mutual Fund</t>
        </is>
      </c>
      <c r="B5037" t="inlineStr">
        <is>
          <t xml:space="preserve">ICICI Prudential Fixed Maturity Plan - Series 82 - 1223 Days Plan G - Half Yearly IDCW Option</t>
        </is>
      </c>
      <c r="C5037" t="inlineStr">
        <is>
          <t xml:space="preserve">INF109KC1440</t>
        </is>
      </c>
    </row>
    <row r="5038">
      <c r="A5038" t="inlineStr">
        <is>
          <t xml:space="preserve">ICICI Prudential Mutual Fund</t>
        </is>
      </c>
      <c r="B5038" t="inlineStr">
        <is>
          <t xml:space="preserve">ICICI Prudential Fixed Maturity Plan - Series 82 - 1223 Days Plan G - Quarterly IDCW Option</t>
        </is>
      </c>
      <c r="C5038" t="inlineStr">
        <is>
          <t xml:space="preserve">INF109KC1457</t>
        </is>
      </c>
    </row>
    <row r="5039">
      <c r="A5039" t="inlineStr">
        <is>
          <t xml:space="preserve">ICICI Prudential Mutual Fund</t>
        </is>
      </c>
      <c r="B5039" t="inlineStr">
        <is>
          <t xml:space="preserve">ICICI Prudential Fixed Maturity Plan - Series 82 - 1225 Days Plan B - Cumulative Option</t>
        </is>
      </c>
      <c r="C5039" t="inlineStr">
        <is>
          <t xml:space="preserve">INF109KC1010</t>
        </is>
      </c>
    </row>
    <row r="5040">
      <c r="A5040" t="inlineStr">
        <is>
          <t xml:space="preserve">ICICI Prudential Mutual Fund</t>
        </is>
      </c>
      <c r="B5040" t="inlineStr">
        <is>
          <t xml:space="preserve">ICICI Prudential Fixed Maturity Plan - Series 82 - 1225 Days Plan B - Direct Plan Cumulative Option</t>
        </is>
      </c>
      <c r="C5040" t="inlineStr">
        <is>
          <t xml:space="preserve">INF109KC1044</t>
        </is>
      </c>
    </row>
    <row r="5041">
      <c r="A5041" t="inlineStr">
        <is>
          <t xml:space="preserve">ICICI Prudential Mutual Fund</t>
        </is>
      </c>
      <c r="B5041" t="inlineStr">
        <is>
          <t xml:space="preserve">ICICI Prudential Fixed Maturity Plan - Series 82 - 1225 Days Plan B - Direct Plan Half Yearly IDCW Option</t>
        </is>
      </c>
      <c r="C5041" t="inlineStr">
        <is>
          <t xml:space="preserve">INF109KC1069</t>
        </is>
      </c>
    </row>
    <row r="5042">
      <c r="A5042" t="inlineStr">
        <is>
          <t xml:space="preserve">ICICI Prudential Mutual Fund</t>
        </is>
      </c>
      <c r="B5042" t="inlineStr">
        <is>
          <t xml:space="preserve">ICICI Prudential Fixed Maturity Plan - Series 82 - 1225 Days Plan B - Direct Plan Quarterly IDCW Option</t>
        </is>
      </c>
      <c r="C5042" t="inlineStr">
        <is>
          <t xml:space="preserve">INF109KC1051</t>
        </is>
      </c>
    </row>
    <row r="5043">
      <c r="A5043" t="inlineStr">
        <is>
          <t xml:space="preserve">ICICI Prudential Mutual Fund</t>
        </is>
      </c>
      <c r="B5043" t="inlineStr">
        <is>
          <t xml:space="preserve">ICICI Prudential Fixed Maturity Plan - Series 82 - 1225 Days Plan B - Half Yearly IDCW Option</t>
        </is>
      </c>
      <c r="C5043" t="inlineStr">
        <is>
          <t xml:space="preserve">INF109KC1036</t>
        </is>
      </c>
    </row>
    <row r="5044">
      <c r="A5044" t="inlineStr">
        <is>
          <t xml:space="preserve">ICICI Prudential Mutual Fund</t>
        </is>
      </c>
      <c r="B5044" t="inlineStr">
        <is>
          <t xml:space="preserve">ICICI Prudential Fixed Maturity Plan - Series 82 - 1225 Days Plan B - Quarterly IDCW Option</t>
        </is>
      </c>
      <c r="C5044" t="inlineStr">
        <is>
          <t xml:space="preserve">INF109KC1028</t>
        </is>
      </c>
    </row>
    <row r="5045">
      <c r="A5045" t="inlineStr">
        <is>
          <t xml:space="preserve">ICICI Prudential Mutual Fund</t>
        </is>
      </c>
      <c r="B5045" t="inlineStr">
        <is>
          <t xml:space="preserve">ICICI Prudential Fixed Maturity Plan - Series 82 - 1236 Days Plan A - Cumulative Option</t>
        </is>
      </c>
      <c r="C5045" t="inlineStr">
        <is>
          <t xml:space="preserve">INF109KB10Z5</t>
        </is>
      </c>
    </row>
    <row r="5046">
      <c r="A5046" t="inlineStr">
        <is>
          <t xml:space="preserve">ICICI Prudential Mutual Fund</t>
        </is>
      </c>
      <c r="B5046" t="inlineStr">
        <is>
          <t xml:space="preserve">ICICI Prudential Fixed Maturity Plan - Series 82 - 1236 Days Plan A - Direct Plan Cumulative Option</t>
        </is>
      </c>
      <c r="C5046" t="inlineStr">
        <is>
          <t xml:space="preserve">INF109KB13Z9</t>
        </is>
      </c>
    </row>
    <row r="5047">
      <c r="A5047" t="inlineStr">
        <is>
          <t xml:space="preserve">ICICI Prudential Mutual Fund</t>
        </is>
      </c>
      <c r="B5047" t="inlineStr">
        <is>
          <t xml:space="preserve">ICICI Prudential Fixed Maturity Plan - Series 82 - 1236 Days Plan A - Direct Plan Half Yearly IDCW Option</t>
        </is>
      </c>
      <c r="C5047" t="inlineStr">
        <is>
          <t xml:space="preserve">INF109KB14Z7</t>
        </is>
      </c>
    </row>
    <row r="5048">
      <c r="A5048" t="inlineStr">
        <is>
          <t xml:space="preserve">ICICI Prudential Mutual Fund</t>
        </is>
      </c>
      <c r="B5048" t="inlineStr">
        <is>
          <t xml:space="preserve">ICICI Prudential Fixed Maturity Plan - Series 82 - 1236 Days Plan A - Direct Plan Quarterly IDCW Option</t>
        </is>
      </c>
      <c r="C5048" t="inlineStr">
        <is>
          <t xml:space="preserve">INF109KB15Z4</t>
        </is>
      </c>
    </row>
    <row r="5049">
      <c r="A5049" t="inlineStr">
        <is>
          <t xml:space="preserve">ICICI Prudential Mutual Fund</t>
        </is>
      </c>
      <c r="B5049" t="inlineStr">
        <is>
          <t xml:space="preserve">ICICI Prudential Fixed Maturity Plan - Series 82 - 1236 Days Plan A - Half Yearly IDCW Option</t>
        </is>
      </c>
      <c r="C5049" t="inlineStr">
        <is>
          <t xml:space="preserve">INF109KB11Z3</t>
        </is>
      </c>
    </row>
    <row r="5050">
      <c r="A5050" t="inlineStr">
        <is>
          <t xml:space="preserve">ICICI Prudential Mutual Fund</t>
        </is>
      </c>
      <c r="B5050" t="inlineStr">
        <is>
          <t xml:space="preserve">ICICI Prudential Fixed Maturity Plan - Series 82 - 1236 Days Plan A - Quarterly IDCW Option</t>
        </is>
      </c>
      <c r="C5050" t="inlineStr">
        <is>
          <t xml:space="preserve">INF109KB12Z1</t>
        </is>
      </c>
    </row>
    <row r="5051">
      <c r="A5051" t="inlineStr">
        <is>
          <t xml:space="preserve">ICICI Prudential Mutual Fund</t>
        </is>
      </c>
      <c r="B5051" t="inlineStr">
        <is>
          <t xml:space="preserve">ICICI Prudential Fixed Maturity Plan - Series 82 - 91 Days Plan Z - Cumulative Option</t>
        </is>
      </c>
      <c r="C5051" t="inlineStr">
        <is>
          <t xml:space="preserve">INF109KC1DM9</t>
        </is>
      </c>
    </row>
    <row r="5052">
      <c r="A5052" t="inlineStr">
        <is>
          <t xml:space="preserve">ICICI Prudential Mutual Fund</t>
        </is>
      </c>
      <c r="B5052" t="inlineStr">
        <is>
          <t xml:space="preserve">ICICI Prudential Fixed Maturity Plan - Series 82 - 91 Days Plan Z - Direct Plan Cumulative Option</t>
        </is>
      </c>
      <c r="C5052" t="inlineStr">
        <is>
          <t xml:space="preserve">INF109KC1DO5</t>
        </is>
      </c>
    </row>
    <row r="5053">
      <c r="A5053" t="inlineStr">
        <is>
          <t xml:space="preserve">ICICI Prudential Mutual Fund</t>
        </is>
      </c>
      <c r="B5053" t="inlineStr">
        <is>
          <t xml:space="preserve">ICICI Prudential Fixed Maturity Plan - Series 82 - 91 Days Plan Z - Direct Plan Dividend Option</t>
        </is>
      </c>
      <c r="C5053" t="inlineStr">
        <is>
          <t xml:space="preserve">INF109KC1DP2</t>
        </is>
      </c>
    </row>
    <row r="5054">
      <c r="A5054" t="inlineStr">
        <is>
          <t xml:space="preserve">ICICI Prudential Mutual Fund</t>
        </is>
      </c>
      <c r="B5054" t="inlineStr">
        <is>
          <t xml:space="preserve">ICICI Prudential Fixed Maturity Plan - Series 82 - 91 Days Plan Z - Dividend Option</t>
        </is>
      </c>
      <c r="C5054" t="inlineStr">
        <is>
          <t xml:space="preserve">INF109KC1DN7</t>
        </is>
      </c>
    </row>
    <row r="5055">
      <c r="A5055" t="inlineStr">
        <is>
          <t xml:space="preserve">ICICI Prudential Mutual Fund</t>
        </is>
      </c>
      <c r="B5055" t="inlineStr">
        <is>
          <t xml:space="preserve">ICICI Prudential Fixed Maturity Plan - Series 83 - 1100 Days Plan O - Cumulative Option</t>
        </is>
      </c>
      <c r="C5055" t="inlineStr">
        <is>
          <t xml:space="preserve">INF109KC1HG2</t>
        </is>
      </c>
    </row>
    <row r="5056">
      <c r="A5056" t="inlineStr">
        <is>
          <t xml:space="preserve">ICICI Prudential Mutual Fund</t>
        </is>
      </c>
      <c r="B5056" t="inlineStr">
        <is>
          <t xml:space="preserve">ICICI Prudential Fixed Maturity Plan - Series 83 - 1100 Days Plan O - Direct Plan Cumulative Option</t>
        </is>
      </c>
      <c r="C5056" t="inlineStr">
        <is>
          <t xml:space="preserve">INF109KC1HJ6</t>
        </is>
      </c>
    </row>
    <row r="5057">
      <c r="A5057" t="inlineStr">
        <is>
          <t xml:space="preserve">ICICI Prudential Mutual Fund</t>
        </is>
      </c>
      <c r="B5057" t="inlineStr">
        <is>
          <t xml:space="preserve">ICICI Prudential Fixed Maturity Plan - Series 83 - 1100 Days Plan R - Cumulative Option</t>
        </is>
      </c>
      <c r="C5057" t="inlineStr">
        <is>
          <t xml:space="preserve">INF109KC1HU3</t>
        </is>
      </c>
    </row>
    <row r="5058">
      <c r="A5058" t="inlineStr">
        <is>
          <t xml:space="preserve">ICICI Prudential Mutual Fund</t>
        </is>
      </c>
      <c r="B5058" t="inlineStr">
        <is>
          <t xml:space="preserve">ICICI Prudential Fixed Maturity Plan - Series 83 - 1100 Days Plan R - Direct Plan Cumulative Option</t>
        </is>
      </c>
      <c r="C5058" t="inlineStr">
        <is>
          <t xml:space="preserve">INF109KC1HX7</t>
        </is>
      </c>
    </row>
    <row r="5059">
      <c r="A5059" t="inlineStr">
        <is>
          <t xml:space="preserve">ICICI Prudential Mutual Fund</t>
        </is>
      </c>
      <c r="B5059" t="inlineStr">
        <is>
          <t xml:space="preserve">ICICI Prudential Fixed Maturity Plan - Series 83 - 1100 Days Plan R - Quarterly IDCW Option</t>
        </is>
      </c>
      <c r="C5059" t="inlineStr">
        <is>
          <t xml:space="preserve">INF109KC1HV1</t>
        </is>
      </c>
    </row>
    <row r="5060">
      <c r="A5060" t="inlineStr">
        <is>
          <t xml:space="preserve">ICICI Prudential Mutual Fund</t>
        </is>
      </c>
      <c r="B5060" t="inlineStr">
        <is>
          <t xml:space="preserve">ICICI Prudential Fixed Maturity Plan - Series 83 - 1100 Days Plan S - Cumulative Option</t>
        </is>
      </c>
      <c r="C5060" t="inlineStr">
        <is>
          <t xml:space="preserve">INF109KC1IA3</t>
        </is>
      </c>
    </row>
    <row r="5061">
      <c r="A5061" t="inlineStr">
        <is>
          <t xml:space="preserve">ICICI Prudential Mutual Fund</t>
        </is>
      </c>
      <c r="B5061" t="inlineStr">
        <is>
          <t xml:space="preserve">ICICI Prudential Fixed Maturity Plan - Series 83 - 1100 Days Plan S - Direct Plan Cumulative Option</t>
        </is>
      </c>
      <c r="C5061" t="inlineStr">
        <is>
          <t xml:space="preserve">INF109KC1ID7</t>
        </is>
      </c>
    </row>
    <row r="5062">
      <c r="A5062" t="inlineStr">
        <is>
          <t xml:space="preserve">ICICI Prudential Mutual Fund</t>
        </is>
      </c>
      <c r="B5062" t="inlineStr">
        <is>
          <t xml:space="preserve">ICICI Prudential Fixed Maturity Plan - Series 83 - 1100 Days Plan S - Direct Plan Quarterly IDCW Option</t>
        </is>
      </c>
      <c r="C5062" t="inlineStr">
        <is>
          <t xml:space="preserve">INF109KC1IE5</t>
        </is>
      </c>
    </row>
    <row r="5063">
      <c r="A5063" t="inlineStr">
        <is>
          <t xml:space="preserve">ICICI Prudential Mutual Fund</t>
        </is>
      </c>
      <c r="B5063" t="inlineStr">
        <is>
          <t xml:space="preserve">ICICI Prudential Fixed Maturity Plan - Series 83 - 1100 Days Plan S - Half Yearly IDCW Option</t>
        </is>
      </c>
      <c r="C5063" t="inlineStr">
        <is>
          <t xml:space="preserve">INF109KC1IC9</t>
        </is>
      </c>
    </row>
    <row r="5064">
      <c r="A5064" t="inlineStr">
        <is>
          <t xml:space="preserve">ICICI Prudential Mutual Fund</t>
        </is>
      </c>
      <c r="B5064" t="inlineStr">
        <is>
          <t xml:space="preserve">ICICI Prudential Fixed Maturity Plan - Series 83 - 1100 Days Plan S - Quarterly IDCW Option</t>
        </is>
      </c>
      <c r="C5064" t="inlineStr">
        <is>
          <t xml:space="preserve">INF109KC1IB1</t>
        </is>
      </c>
    </row>
    <row r="5065">
      <c r="A5065" t="inlineStr">
        <is>
          <t xml:space="preserve">ICICI Prudential Mutual Fund</t>
        </is>
      </c>
      <c r="B5065" t="inlineStr">
        <is>
          <t xml:space="preserve">ICICI Prudential Fixed Maturity Plan - Series 83 - 1100 Days Plan X - Cumulative Option</t>
        </is>
      </c>
      <c r="C5065" t="inlineStr">
        <is>
          <t xml:space="preserve">INF109KC1JL8</t>
        </is>
      </c>
    </row>
    <row r="5066">
      <c r="A5066" t="inlineStr">
        <is>
          <t xml:space="preserve">ICICI Prudential Mutual Fund</t>
        </is>
      </c>
      <c r="B5066" t="inlineStr">
        <is>
          <t xml:space="preserve">ICICI Prudential Fixed Maturity Plan - Series 83 - 1100 Days Plan X - Direct Plan Cumulative Option</t>
        </is>
      </c>
      <c r="C5066" t="inlineStr">
        <is>
          <t xml:space="preserve">INF109KC1JO2</t>
        </is>
      </c>
    </row>
    <row r="5067">
      <c r="A5067" t="inlineStr">
        <is>
          <t xml:space="preserve">ICICI Prudential Mutual Fund</t>
        </is>
      </c>
      <c r="B5067" t="inlineStr">
        <is>
          <t xml:space="preserve">ICICI Prudential Fixed Maturity Plan - Series 83 - 1100 Days Plan X - Direct Plan Half Yearly IDCW Option</t>
        </is>
      </c>
      <c r="C5067" t="inlineStr">
        <is>
          <t xml:space="preserve">INF109KC1JQ7</t>
        </is>
      </c>
    </row>
    <row r="5068">
      <c r="A5068" t="inlineStr">
        <is>
          <t xml:space="preserve">ICICI Prudential Mutual Fund</t>
        </is>
      </c>
      <c r="B5068" t="inlineStr">
        <is>
          <t xml:space="preserve">ICICI Prudential Fixed Maturity Plan - Series 83 - 1100 Days Plan X - Direct Plan Quarterly IDCW Option</t>
        </is>
      </c>
      <c r="C5068" t="inlineStr">
        <is>
          <t xml:space="preserve">INF109KC1JP9</t>
        </is>
      </c>
    </row>
    <row r="5069">
      <c r="A5069" t="inlineStr">
        <is>
          <t xml:space="preserve">ICICI Prudential Mutual Fund</t>
        </is>
      </c>
      <c r="B5069" t="inlineStr">
        <is>
          <t xml:space="preserve">ICICI Prudential Fixed Maturity Plan - Series 83 - 1100 Days Plan X - Half Yearly IDCW Option</t>
        </is>
      </c>
      <c r="C5069" t="inlineStr">
        <is>
          <t xml:space="preserve">INF109KC1JN4</t>
        </is>
      </c>
    </row>
    <row r="5070">
      <c r="A5070" t="inlineStr">
        <is>
          <t xml:space="preserve">ICICI Prudential Mutual Fund</t>
        </is>
      </c>
      <c r="B5070" t="inlineStr">
        <is>
          <t xml:space="preserve">ICICI Prudential Fixed Maturity Plan - Series 83 - 1100 Days Plan X - Quarterly IDCW Option</t>
        </is>
      </c>
      <c r="C5070" t="inlineStr">
        <is>
          <t xml:space="preserve">INF109KC1JM6</t>
        </is>
      </c>
    </row>
    <row r="5071">
      <c r="A5071" t="inlineStr">
        <is>
          <t xml:space="preserve">ICICI Prudential Mutual Fund</t>
        </is>
      </c>
      <c r="B5071" t="inlineStr">
        <is>
          <t xml:space="preserve">ICICI Prudential Fixed Maturity Plan - Series 83 - 1101 Days Plan Z - Cumulative Option</t>
        </is>
      </c>
      <c r="C5071" t="inlineStr">
        <is>
          <t xml:space="preserve">INF109KC1JX3</t>
        </is>
      </c>
    </row>
    <row r="5072">
      <c r="A5072" t="inlineStr">
        <is>
          <t xml:space="preserve">ICICI Prudential Mutual Fund</t>
        </is>
      </c>
      <c r="B5072" t="inlineStr">
        <is>
          <t xml:space="preserve">ICICI Prudential Fixed Maturity Plan - Series 83 - 1101 Days Plan Z - Direct Plan Cumulative Option</t>
        </is>
      </c>
      <c r="C5072" t="inlineStr">
        <is>
          <t xml:space="preserve">INF109KC1KA9</t>
        </is>
      </c>
    </row>
    <row r="5073">
      <c r="A5073" t="inlineStr">
        <is>
          <t xml:space="preserve">ICICI Prudential Mutual Fund</t>
        </is>
      </c>
      <c r="B5073" t="inlineStr">
        <is>
          <t xml:space="preserve">ICICI Prudential Fixed Maturity Plan - Series 83 - 1101 Days Plan Z - Direct Plan Half Yearly IDCW Option</t>
        </is>
      </c>
      <c r="C5073" t="inlineStr">
        <is>
          <t xml:space="preserve">INF109KC1KC5</t>
        </is>
      </c>
    </row>
    <row r="5074">
      <c r="A5074" t="inlineStr">
        <is>
          <t xml:space="preserve">ICICI Prudential Mutual Fund</t>
        </is>
      </c>
      <c r="B5074" t="inlineStr">
        <is>
          <t xml:space="preserve">ICICI Prudential Fixed Maturity Plan - Series 83 - 1101 Days Plan Z - Direct Plan Quarterly IDCW Option</t>
        </is>
      </c>
      <c r="C5074" t="inlineStr">
        <is>
          <t xml:space="preserve">INF109KC1KB7</t>
        </is>
      </c>
    </row>
    <row r="5075">
      <c r="A5075" t="inlineStr">
        <is>
          <t xml:space="preserve">ICICI Prudential Mutual Fund</t>
        </is>
      </c>
      <c r="B5075" t="inlineStr">
        <is>
          <t xml:space="preserve">ICICI Prudential Fixed Maturity Plan - Series 83 - 1101 Days Plan Z - Half Yearly IDCW Option</t>
        </is>
      </c>
      <c r="C5075" t="inlineStr">
        <is>
          <t xml:space="preserve">INF109KC1JZ8</t>
        </is>
      </c>
    </row>
    <row r="5076">
      <c r="A5076" t="inlineStr">
        <is>
          <t xml:space="preserve">ICICI Prudential Mutual Fund</t>
        </is>
      </c>
      <c r="B5076" t="inlineStr">
        <is>
          <t xml:space="preserve">ICICI Prudential Fixed Maturity Plan - Series 83 - 1101 Days Plan Z - Quarterly IDCW Option</t>
        </is>
      </c>
      <c r="C5076" t="inlineStr">
        <is>
          <t xml:space="preserve">INF109KC1JY1</t>
        </is>
      </c>
    </row>
    <row r="5077">
      <c r="A5077" t="inlineStr">
        <is>
          <t xml:space="preserve">ICICI Prudential Mutual Fund</t>
        </is>
      </c>
      <c r="B5077" t="inlineStr">
        <is>
          <t xml:space="preserve">ICICI Prudential Fixed Maturity Plan - Series 83 - 1103 Days Plan L - Cumulative Option</t>
        </is>
      </c>
      <c r="C5077" t="inlineStr">
        <is>
          <t xml:space="preserve">INF109KC1FY9</t>
        </is>
      </c>
    </row>
    <row r="5078">
      <c r="A5078" t="inlineStr">
        <is>
          <t xml:space="preserve">ICICI Prudential Mutual Fund</t>
        </is>
      </c>
      <c r="B5078" t="inlineStr">
        <is>
          <t xml:space="preserve">ICICI Prudential Fixed Maturity Plan - Series 83 - 1103 Days Plan L - Direct Plan Cumulative Option</t>
        </is>
      </c>
      <c r="C5078" t="inlineStr">
        <is>
          <t xml:space="preserve">INF109KC1GB5</t>
        </is>
      </c>
    </row>
    <row r="5079">
      <c r="A5079" t="inlineStr">
        <is>
          <t xml:space="preserve">ICICI Prudential Mutual Fund</t>
        </is>
      </c>
      <c r="B5079" t="inlineStr">
        <is>
          <t xml:space="preserve">ICICI Prudential Fixed Maturity Plan - Series 83 - 1105 Days Plan A - Cumulative Option</t>
        </is>
      </c>
      <c r="C5079" t="inlineStr">
        <is>
          <t xml:space="preserve">INF109KC1DA4</t>
        </is>
      </c>
    </row>
    <row r="5080">
      <c r="A5080" t="inlineStr">
        <is>
          <t xml:space="preserve">ICICI Prudential Mutual Fund</t>
        </is>
      </c>
      <c r="B5080" t="inlineStr">
        <is>
          <t xml:space="preserve">ICICI Prudential Fixed Maturity Plan - Series 83 - 1105 Days Plan A - Direct Plan Cumulative Option</t>
        </is>
      </c>
      <c r="C5080" t="inlineStr">
        <is>
          <t xml:space="preserve">INF109KC1DD8</t>
        </is>
      </c>
    </row>
    <row r="5081">
      <c r="A5081" t="inlineStr">
        <is>
          <t xml:space="preserve">ICICI Prudential Mutual Fund</t>
        </is>
      </c>
      <c r="B5081" t="inlineStr">
        <is>
          <t xml:space="preserve">ICICI Prudential Fixed Maturity Plan - Series 83 - 1105 Days Plan A - Direct Plan Half Yearly IDCW Option</t>
        </is>
      </c>
      <c r="C5081" t="inlineStr">
        <is>
          <t xml:space="preserve">INF109KC1DF3</t>
        </is>
      </c>
    </row>
    <row r="5082">
      <c r="A5082" t="inlineStr">
        <is>
          <t xml:space="preserve">ICICI Prudential Mutual Fund</t>
        </is>
      </c>
      <c r="B5082" t="inlineStr">
        <is>
          <t xml:space="preserve">ICICI Prudential Fixed Maturity Plan - Series 83 - 1105 Days Plan A - Direct Plan Quarterly IDCW Option</t>
        </is>
      </c>
      <c r="C5082" t="inlineStr">
        <is>
          <t xml:space="preserve">INF109KC1DE6</t>
        </is>
      </c>
    </row>
    <row r="5083">
      <c r="A5083" t="inlineStr">
        <is>
          <t xml:space="preserve">ICICI Prudential Mutual Fund</t>
        </is>
      </c>
      <c r="B5083" t="inlineStr">
        <is>
          <t xml:space="preserve">ICICI Prudential Fixed Maturity Plan - Series 83 - 1105 Days Plan A - Half Yearly IDCW Option</t>
        </is>
      </c>
      <c r="C5083" t="inlineStr">
        <is>
          <t xml:space="preserve">INF109KC1DC0</t>
        </is>
      </c>
    </row>
    <row r="5084">
      <c r="A5084" t="inlineStr">
        <is>
          <t xml:space="preserve">ICICI Prudential Mutual Fund</t>
        </is>
      </c>
      <c r="B5084" t="inlineStr">
        <is>
          <t xml:space="preserve">ICICI Prudential Fixed Maturity Plan - Series 83 - 1105 Days Plan A - Quarterly IDCW Option</t>
        </is>
      </c>
      <c r="C5084" t="inlineStr">
        <is>
          <t xml:space="preserve">INF109KC1DB2</t>
        </is>
      </c>
    </row>
    <row r="5085">
      <c r="A5085" t="inlineStr">
        <is>
          <t xml:space="preserve">ICICI Prudential Mutual Fund</t>
        </is>
      </c>
      <c r="B5085" t="inlineStr">
        <is>
          <t xml:space="preserve">ICICI Prudential Fixed Maturity Plan - Series 83 - 1105 Days Plan F - Cumulative Option</t>
        </is>
      </c>
      <c r="C5085" t="inlineStr">
        <is>
          <t xml:space="preserve">INF109KC1EO3</t>
        </is>
      </c>
    </row>
    <row r="5086">
      <c r="A5086" t="inlineStr">
        <is>
          <t xml:space="preserve">ICICI Prudential Mutual Fund</t>
        </is>
      </c>
      <c r="B5086" t="inlineStr">
        <is>
          <t xml:space="preserve">ICICI Prudential Fixed Maturity Plan - Series 83 - 1105 Days Plan F - Direct Plan Cumulative Option</t>
        </is>
      </c>
      <c r="C5086" t="inlineStr">
        <is>
          <t xml:space="preserve">INF109KC1ER6</t>
        </is>
      </c>
    </row>
    <row r="5087">
      <c r="A5087" t="inlineStr">
        <is>
          <t xml:space="preserve">ICICI Prudential Mutual Fund</t>
        </is>
      </c>
      <c r="B5087" t="inlineStr">
        <is>
          <t xml:space="preserve">ICICI Prudential Fixed Maturity Plan - Series 83 - 1105 Days Plan F - Direct Plan Half Yearly IDCW Option</t>
        </is>
      </c>
      <c r="C5087" t="inlineStr">
        <is>
          <t xml:space="preserve">INF109KC1ET2</t>
        </is>
      </c>
    </row>
    <row r="5088">
      <c r="A5088" t="inlineStr">
        <is>
          <t xml:space="preserve">ICICI Prudential Mutual Fund</t>
        </is>
      </c>
      <c r="B5088" t="inlineStr">
        <is>
          <t xml:space="preserve">ICICI Prudential Fixed Maturity Plan - Series 83 - 1105 Days Plan F - Half Yearly IDCW Option</t>
        </is>
      </c>
      <c r="C5088" t="inlineStr">
        <is>
          <t xml:space="preserve">INF109KC1EQ8</t>
        </is>
      </c>
    </row>
    <row r="5089">
      <c r="A5089" t="inlineStr">
        <is>
          <t xml:space="preserve">ICICI Prudential Mutual Fund</t>
        </is>
      </c>
      <c r="B5089" t="inlineStr">
        <is>
          <t xml:space="preserve">ICICI Prudential Fixed Maturity Plan - Series 83 - 1105 Days Plan F - Quarterly IDCW Option</t>
        </is>
      </c>
      <c r="C5089" t="inlineStr">
        <is>
          <t xml:space="preserve">INF109KC1EP0</t>
        </is>
      </c>
    </row>
    <row r="5090">
      <c r="A5090" t="inlineStr">
        <is>
          <t xml:space="preserve">ICICI Prudential Mutual Fund</t>
        </is>
      </c>
      <c r="B5090" t="inlineStr">
        <is>
          <t xml:space="preserve">ICICI Prudential Fixed Maturity Plan - Series 83 - 1105 Days Plan M - Cumulative Option</t>
        </is>
      </c>
      <c r="C5090" t="inlineStr">
        <is>
          <t xml:space="preserve">INF109KC1GK6</t>
        </is>
      </c>
    </row>
    <row r="5091">
      <c r="A5091" t="inlineStr">
        <is>
          <t xml:space="preserve">ICICI Prudential Mutual Fund</t>
        </is>
      </c>
      <c r="B5091" t="inlineStr">
        <is>
          <t xml:space="preserve">ICICI Prudential Fixed Maturity Plan - Series 83 - 1105 Days Plan M - Direct Plan Cumulative Option</t>
        </is>
      </c>
      <c r="C5091" t="inlineStr">
        <is>
          <t xml:space="preserve">INF109KC1GN0</t>
        </is>
      </c>
    </row>
    <row r="5092">
      <c r="A5092" t="inlineStr">
        <is>
          <t xml:space="preserve">ICICI Prudential Mutual Fund</t>
        </is>
      </c>
      <c r="B5092" t="inlineStr">
        <is>
          <t xml:space="preserve">ICICI Prudential Fixed Maturity Plan - Series 83 - 1105 Days Plan M - Half Yearly IDCW Option</t>
        </is>
      </c>
      <c r="C5092" t="inlineStr">
        <is>
          <t xml:space="preserve">INF109KC1GM2</t>
        </is>
      </c>
    </row>
    <row r="5093">
      <c r="A5093" t="inlineStr">
        <is>
          <t xml:space="preserve">ICICI Prudential Mutual Fund</t>
        </is>
      </c>
      <c r="B5093" t="inlineStr">
        <is>
          <t xml:space="preserve">ICICI Prudential Fixed Maturity Plan - Series 83 - 1105 Days Plan M - Quarterly IDCW Option</t>
        </is>
      </c>
      <c r="C5093" t="inlineStr">
        <is>
          <t xml:space="preserve">INF109KC1GL4</t>
        </is>
      </c>
    </row>
    <row r="5094">
      <c r="A5094" t="inlineStr">
        <is>
          <t xml:space="preserve">ICICI Prudential Mutual Fund</t>
        </is>
      </c>
      <c r="B5094" t="inlineStr">
        <is>
          <t xml:space="preserve">ICICI Prudential Fixed Maturity Plan - Series 83 - 1107 Days Plan Q - Cumulative Option</t>
        </is>
      </c>
      <c r="C5094" t="inlineStr">
        <is>
          <t xml:space="preserve">INF109KC1HM0</t>
        </is>
      </c>
    </row>
    <row r="5095">
      <c r="A5095" t="inlineStr">
        <is>
          <t xml:space="preserve">ICICI Prudential Mutual Fund</t>
        </is>
      </c>
      <c r="B5095" t="inlineStr">
        <is>
          <t xml:space="preserve">ICICI Prudential Fixed Maturity Plan - Series 83 - 1107 Days Plan Q - Direct Plan Cumulative Option</t>
        </is>
      </c>
      <c r="C5095" t="inlineStr">
        <is>
          <t xml:space="preserve">INF109KC1HP3</t>
        </is>
      </c>
    </row>
    <row r="5096">
      <c r="A5096" t="inlineStr">
        <is>
          <t xml:space="preserve">ICICI Prudential Mutual Fund</t>
        </is>
      </c>
      <c r="B5096" t="inlineStr">
        <is>
          <t xml:space="preserve">ICICI Prudential Fixed Maturity Plan - Series 83 - 1108 Days Plan H - Cumulative Option</t>
        </is>
      </c>
      <c r="C5096" t="inlineStr">
        <is>
          <t xml:space="preserve">INF109KC1FM4</t>
        </is>
      </c>
    </row>
    <row r="5097">
      <c r="A5097" t="inlineStr">
        <is>
          <t xml:space="preserve">ICICI Prudential Mutual Fund</t>
        </is>
      </c>
      <c r="B5097" t="inlineStr">
        <is>
          <t xml:space="preserve">ICICI Prudential Fixed Maturity Plan - Series 83 - 1108 Days Plan H - Direct Plan Cumulative Option</t>
        </is>
      </c>
      <c r="C5097" t="inlineStr">
        <is>
          <t xml:space="preserve">INF109KC1FP7</t>
        </is>
      </c>
    </row>
    <row r="5098">
      <c r="A5098" t="inlineStr">
        <is>
          <t xml:space="preserve">ICICI Prudential Mutual Fund</t>
        </is>
      </c>
      <c r="B5098" t="inlineStr">
        <is>
          <t xml:space="preserve">ICICI Prudential Fixed Maturity Plan - Series 83 - 1108 Days Plan H - Direct Plan Half Yearly IDCW Option</t>
        </is>
      </c>
      <c r="C5098" t="inlineStr">
        <is>
          <t xml:space="preserve">INF109KC1FR3</t>
        </is>
      </c>
    </row>
    <row r="5099">
      <c r="A5099" t="inlineStr">
        <is>
          <t xml:space="preserve">ICICI Prudential Mutual Fund</t>
        </is>
      </c>
      <c r="B5099" t="inlineStr">
        <is>
          <t xml:space="preserve">ICICI Prudential Fixed Maturity Plan - Series 83 - 1108 Days Plan H - Direct Plan Quarterly IDCW Option</t>
        </is>
      </c>
      <c r="C5099" t="inlineStr">
        <is>
          <t xml:space="preserve">INF109KC1FQ5</t>
        </is>
      </c>
    </row>
    <row r="5100">
      <c r="A5100" t="inlineStr">
        <is>
          <t xml:space="preserve">ICICI Prudential Mutual Fund</t>
        </is>
      </c>
      <c r="B5100" t="inlineStr">
        <is>
          <t xml:space="preserve">ICICI Prudential Fixed Maturity Plan - Series 83 - 1108 Days Plan H - Half Yearly IDCW Option</t>
        </is>
      </c>
      <c r="C5100" t="inlineStr">
        <is>
          <t xml:space="preserve">INF109KC1FO0</t>
        </is>
      </c>
    </row>
    <row r="5101">
      <c r="A5101" t="inlineStr">
        <is>
          <t xml:space="preserve">ICICI Prudential Mutual Fund</t>
        </is>
      </c>
      <c r="B5101" t="inlineStr">
        <is>
          <t xml:space="preserve">ICICI Prudential Fixed Maturity Plan - Series 83 - 1110 Days Plan T - Cumulative Option</t>
        </is>
      </c>
      <c r="C5101" t="inlineStr">
        <is>
          <t xml:space="preserve">INF109KC1II6</t>
        </is>
      </c>
    </row>
    <row r="5102">
      <c r="A5102" t="inlineStr">
        <is>
          <t xml:space="preserve">ICICI Prudential Mutual Fund</t>
        </is>
      </c>
      <c r="B5102" t="inlineStr">
        <is>
          <t xml:space="preserve">ICICI Prudential Fixed Maturity Plan - Series 83 - 1110 Days Plan T - Direct Plan Cumulative Option</t>
        </is>
      </c>
      <c r="C5102" t="inlineStr">
        <is>
          <t xml:space="preserve">INF109KC1IL0</t>
        </is>
      </c>
    </row>
    <row r="5103">
      <c r="A5103" t="inlineStr">
        <is>
          <t xml:space="preserve">ICICI Prudential Mutual Fund</t>
        </is>
      </c>
      <c r="B5103" t="inlineStr">
        <is>
          <t xml:space="preserve">ICICI Prudential Fixed Maturity Plan - Series 83 - 1110 Days Plan T - Quarterly IDCW Option</t>
        </is>
      </c>
      <c r="C5103" t="inlineStr">
        <is>
          <t xml:space="preserve">INF109KC1IJ4</t>
        </is>
      </c>
    </row>
    <row r="5104">
      <c r="A5104" t="inlineStr">
        <is>
          <t xml:space="preserve">ICICI Prudential Mutual Fund</t>
        </is>
      </c>
      <c r="B5104" t="inlineStr">
        <is>
          <t xml:space="preserve">ICICI Prudential Fixed Maturity Plan - Series 83 - 1111 Days Plan Y - Cumulative Option</t>
        </is>
      </c>
      <c r="C5104" t="inlineStr">
        <is>
          <t xml:space="preserve">INF109KC1JR5</t>
        </is>
      </c>
    </row>
    <row r="5105">
      <c r="A5105" t="inlineStr">
        <is>
          <t xml:space="preserve">ICICI Prudential Mutual Fund</t>
        </is>
      </c>
      <c r="B5105" t="inlineStr">
        <is>
          <t xml:space="preserve">ICICI Prudential Fixed Maturity Plan - Series 83 - 1111 Days Plan Y - Direct Plan Cumulative Option</t>
        </is>
      </c>
      <c r="C5105" t="inlineStr">
        <is>
          <t xml:space="preserve">INF109KC1JU9</t>
        </is>
      </c>
    </row>
    <row r="5106">
      <c r="A5106" t="inlineStr">
        <is>
          <t xml:space="preserve">ICICI Prudential Mutual Fund</t>
        </is>
      </c>
      <c r="B5106" t="inlineStr">
        <is>
          <t xml:space="preserve">ICICI Prudential Fixed Maturity Plan - Series 83 - 1111 Days Plan Y - Half Yearly IDCW Option</t>
        </is>
      </c>
      <c r="C5106" t="inlineStr">
        <is>
          <t xml:space="preserve">INF109KC1JT1</t>
        </is>
      </c>
    </row>
    <row r="5107">
      <c r="A5107" t="inlineStr">
        <is>
          <t xml:space="preserve">ICICI Prudential Mutual Fund</t>
        </is>
      </c>
      <c r="B5107" t="inlineStr">
        <is>
          <t xml:space="preserve">ICICI Prudential Fixed Maturity Plan - Series 83 - 1111 Days Plan Y - Quarterly IDCW Option</t>
        </is>
      </c>
      <c r="C5107" t="inlineStr">
        <is>
          <t xml:space="preserve">INF109KC1JS3</t>
        </is>
      </c>
    </row>
    <row r="5108">
      <c r="A5108" t="inlineStr">
        <is>
          <t xml:space="preserve">ICICI Prudential Mutual Fund</t>
        </is>
      </c>
      <c r="B5108" t="inlineStr">
        <is>
          <t xml:space="preserve">ICICI Prudential Fixed Maturity Plan - Series 83 - 1113 Days Plan E - Cumulative Option</t>
        </is>
      </c>
      <c r="C5108" t="inlineStr">
        <is>
          <t xml:space="preserve">INF109KC1EI5</t>
        </is>
      </c>
    </row>
    <row r="5109">
      <c r="A5109" t="inlineStr">
        <is>
          <t xml:space="preserve">ICICI Prudential Mutual Fund</t>
        </is>
      </c>
      <c r="B5109" t="inlineStr">
        <is>
          <t xml:space="preserve">ICICI Prudential Fixed Maturity Plan - Series 83 - 1113 Days Plan E - Direct Plan Cumulative Option</t>
        </is>
      </c>
      <c r="C5109" t="inlineStr">
        <is>
          <t xml:space="preserve">INF109KC1EL9</t>
        </is>
      </c>
    </row>
    <row r="5110">
      <c r="A5110" t="inlineStr">
        <is>
          <t xml:space="preserve">ICICI Prudential Mutual Fund</t>
        </is>
      </c>
      <c r="B5110" t="inlineStr">
        <is>
          <t xml:space="preserve">ICICI Prudential Fixed Maturity Plan - Series 83 - 1113 Days Plan E - Direct Plan Half Yearly IDCW Option</t>
        </is>
      </c>
      <c r="C5110" t="inlineStr">
        <is>
          <t xml:space="preserve">INF109KC1EN5</t>
        </is>
      </c>
    </row>
    <row r="5111">
      <c r="A5111" t="inlineStr">
        <is>
          <t xml:space="preserve">ICICI Prudential Mutual Fund</t>
        </is>
      </c>
      <c r="B5111" t="inlineStr">
        <is>
          <t xml:space="preserve">ICICI Prudential Fixed Maturity Plan - Series 83 - 1113 Days Plan E - Direct Plan Quarterly IDCW Option</t>
        </is>
      </c>
      <c r="C5111" t="inlineStr">
        <is>
          <t xml:space="preserve">INF109KC1EM7</t>
        </is>
      </c>
    </row>
    <row r="5112">
      <c r="A5112" t="inlineStr">
        <is>
          <t xml:space="preserve">ICICI Prudential Mutual Fund</t>
        </is>
      </c>
      <c r="B5112" t="inlineStr">
        <is>
          <t xml:space="preserve">ICICI Prudential Fixed Maturity Plan - Series 83 - 1113 Days Plan E - Half Yearly IDCW Option</t>
        </is>
      </c>
      <c r="C5112" t="inlineStr">
        <is>
          <t xml:space="preserve">INF109KC1EK1</t>
        </is>
      </c>
    </row>
    <row r="5113">
      <c r="A5113" t="inlineStr">
        <is>
          <t xml:space="preserve">ICICI Prudential Mutual Fund</t>
        </is>
      </c>
      <c r="B5113" t="inlineStr">
        <is>
          <t xml:space="preserve">ICICI Prudential Fixed Maturity Plan - Series 83 - 1113 Days Plan E - Quarterly IDCW Option</t>
        </is>
      </c>
      <c r="C5113" t="inlineStr">
        <is>
          <t xml:space="preserve">INF109KC1EJ3</t>
        </is>
      </c>
    </row>
    <row r="5114">
      <c r="A5114" t="inlineStr">
        <is>
          <t xml:space="preserve">ICICI Prudential Mutual Fund</t>
        </is>
      </c>
      <c r="B5114" t="inlineStr">
        <is>
          <t xml:space="preserve">ICICI Prudential Fixed Maturity Plan - Series 83 - 1392 Days Plan J - Cumulative Option</t>
        </is>
      </c>
      <c r="C5114" t="inlineStr">
        <is>
          <t xml:space="preserve">INF109KC1FG6</t>
        </is>
      </c>
    </row>
    <row r="5115">
      <c r="A5115" t="inlineStr">
        <is>
          <t xml:space="preserve">ICICI Prudential Mutual Fund</t>
        </is>
      </c>
      <c r="B5115" t="inlineStr">
        <is>
          <t xml:space="preserve">ICICI Prudential Fixed Maturity Plan - Series 83 - 1392 Days Plan J - Direct Plan Cumulative Option</t>
        </is>
      </c>
      <c r="C5115" t="inlineStr">
        <is>
          <t xml:space="preserve">INF109KC1FJ0</t>
        </is>
      </c>
    </row>
    <row r="5116">
      <c r="A5116" t="inlineStr">
        <is>
          <t xml:space="preserve">ICICI Prudential Mutual Fund</t>
        </is>
      </c>
      <c r="B5116" t="inlineStr">
        <is>
          <t xml:space="preserve">ICICI Prudential Fixed Maturity Plan - Series 83 - 1392 Days Plan J - Direct Plan Half Yearly IDCW Option</t>
        </is>
      </c>
      <c r="C5116" t="inlineStr">
        <is>
          <t xml:space="preserve">INF109KC1FL6</t>
        </is>
      </c>
    </row>
    <row r="5117">
      <c r="A5117" t="inlineStr">
        <is>
          <t xml:space="preserve">ICICI Prudential Mutual Fund</t>
        </is>
      </c>
      <c r="B5117" t="inlineStr">
        <is>
          <t xml:space="preserve">ICICI Prudential Fixed Maturity Plan - Series 83 - 1392 Days Plan J - Direct Plan Quarterly IDCW Option</t>
        </is>
      </c>
      <c r="C5117" t="inlineStr">
        <is>
          <t xml:space="preserve">INF109KC1FK8</t>
        </is>
      </c>
    </row>
    <row r="5118">
      <c r="A5118" t="inlineStr">
        <is>
          <t xml:space="preserve">ICICI Prudential Mutual Fund</t>
        </is>
      </c>
      <c r="B5118" t="inlineStr">
        <is>
          <t xml:space="preserve">ICICI Prudential Fixed Maturity Plan - Series 83 - 1392 Days Plan J - Half Yearly IDCW Option</t>
        </is>
      </c>
      <c r="C5118" t="inlineStr">
        <is>
          <t xml:space="preserve">INF109KC1FI2</t>
        </is>
      </c>
    </row>
    <row r="5119">
      <c r="A5119" t="inlineStr">
        <is>
          <t xml:space="preserve">ICICI Prudential Mutual Fund</t>
        </is>
      </c>
      <c r="B5119" t="inlineStr">
        <is>
          <t xml:space="preserve">ICICI Prudential Fixed Maturity Plan - Series 83 - 1392 Days Plan J - Quarterly IDCW Option</t>
        </is>
      </c>
      <c r="C5119" t="inlineStr">
        <is>
          <t xml:space="preserve">INF109KC1FH4</t>
        </is>
      </c>
    </row>
    <row r="5120">
      <c r="A5120" t="inlineStr">
        <is>
          <t xml:space="preserve">ICICI Prudential Mutual Fund</t>
        </is>
      </c>
      <c r="B5120" t="inlineStr">
        <is>
          <t xml:space="preserve">ICICI Prudential Fixed Maturity Plan - Series 83 - 1406 Days Plan D - Cumulative Option</t>
        </is>
      </c>
      <c r="C5120" t="inlineStr">
        <is>
          <t xml:space="preserve">INF109KC1DU2</t>
        </is>
      </c>
    </row>
    <row r="5121">
      <c r="A5121" t="inlineStr">
        <is>
          <t xml:space="preserve">ICICI Prudential Mutual Fund</t>
        </is>
      </c>
      <c r="B5121" t="inlineStr">
        <is>
          <t xml:space="preserve">ICICI Prudential Fixed Maturity Plan - Series 83 - 1406 Days Plan D - Direct Plan Cumulative Option</t>
        </is>
      </c>
      <c r="C5121" t="inlineStr">
        <is>
          <t xml:space="preserve">INF109KC1DX6</t>
        </is>
      </c>
    </row>
    <row r="5122">
      <c r="A5122" t="inlineStr">
        <is>
          <t xml:space="preserve">ICICI Prudential Mutual Fund</t>
        </is>
      </c>
      <c r="B5122" t="inlineStr">
        <is>
          <t xml:space="preserve">ICICI Prudential Fixed Maturity Plan - Series 83 - 1406 Days Plan D - Half Yearly IDCW Option</t>
        </is>
      </c>
      <c r="C5122" t="inlineStr">
        <is>
          <t xml:space="preserve">INF109KC1DV0</t>
        </is>
      </c>
    </row>
    <row r="5123">
      <c r="A5123" t="inlineStr">
        <is>
          <t xml:space="preserve">ICICI Prudential Mutual Fund</t>
        </is>
      </c>
      <c r="B5123" t="inlineStr">
        <is>
          <t xml:space="preserve">ICICI Prudential Fixed Maturity Plan - Series 83 - 1406 Days Plan D - Quarterly IDCW Option</t>
        </is>
      </c>
      <c r="C5123" t="inlineStr">
        <is>
          <t xml:space="preserve">INF109KC1DW8</t>
        </is>
      </c>
    </row>
    <row r="5124">
      <c r="A5124" t="inlineStr">
        <is>
          <t xml:space="preserve">ICICI Prudential Mutual Fund</t>
        </is>
      </c>
      <c r="B5124" t="inlineStr">
        <is>
          <t xml:space="preserve">ICICI Prudential Fixed Maturity Plan - Series 83 - 1412 Days Plan B - Cumulative Option</t>
        </is>
      </c>
      <c r="C5124" t="inlineStr">
        <is>
          <t xml:space="preserve">INF109KC1DG1</t>
        </is>
      </c>
    </row>
    <row r="5125">
      <c r="A5125" t="inlineStr">
        <is>
          <t xml:space="preserve">ICICI Prudential Mutual Fund</t>
        </is>
      </c>
      <c r="B5125" t="inlineStr">
        <is>
          <t xml:space="preserve">ICICI Prudential Fixed Maturity Plan - Series 83 - 1412 Days Plan B - Direct Plan Cumulative Option</t>
        </is>
      </c>
      <c r="C5125" t="inlineStr">
        <is>
          <t xml:space="preserve">INF109KC1DJ5</t>
        </is>
      </c>
    </row>
    <row r="5126">
      <c r="A5126" t="inlineStr">
        <is>
          <t xml:space="preserve">ICICI Prudential Mutual Fund</t>
        </is>
      </c>
      <c r="B5126" t="inlineStr">
        <is>
          <t xml:space="preserve">ICICI Prudential Fixed Maturity Plan - Series 83 - 1412 Days Plan B - Direct Plan Half Yearly IDCW Option</t>
        </is>
      </c>
      <c r="C5126" t="inlineStr">
        <is>
          <t xml:space="preserve">INF109KC1DL1</t>
        </is>
      </c>
    </row>
    <row r="5127">
      <c r="A5127" t="inlineStr">
        <is>
          <t xml:space="preserve">ICICI Prudential Mutual Fund</t>
        </is>
      </c>
      <c r="B5127" t="inlineStr">
        <is>
          <t xml:space="preserve">ICICI Prudential Fixed Maturity Plan - Series 83 - 1412 Days Plan B - Direct Plan Quarterly IDCW Option</t>
        </is>
      </c>
      <c r="C5127" t="inlineStr">
        <is>
          <t xml:space="preserve">INF109KC1DK3</t>
        </is>
      </c>
    </row>
    <row r="5128">
      <c r="A5128" t="inlineStr">
        <is>
          <t xml:space="preserve">ICICI Prudential Mutual Fund</t>
        </is>
      </c>
      <c r="B5128" t="inlineStr">
        <is>
          <t xml:space="preserve">ICICI Prudential Fixed Maturity Plan - Series 83 - 1412 Days Plan B - Quarterly IDCW Option</t>
        </is>
      </c>
      <c r="C5128" t="inlineStr">
        <is>
          <t xml:space="preserve">INF109KC1DH9</t>
        </is>
      </c>
    </row>
    <row r="5129">
      <c r="A5129" t="inlineStr">
        <is>
          <t xml:space="preserve">ICICI Prudential Mutual Fund</t>
        </is>
      </c>
      <c r="B5129" t="inlineStr">
        <is>
          <t xml:space="preserve">ICICI Prudential Fixed Maturity Plan - Series 83 - 1735 Days Plan P - Cumulative Option</t>
        </is>
      </c>
      <c r="C5129" t="inlineStr">
        <is>
          <t xml:space="preserve">INF109KC1HA5</t>
        </is>
      </c>
    </row>
    <row r="5130">
      <c r="A5130" t="inlineStr">
        <is>
          <t xml:space="preserve">ICICI Prudential Mutual Fund</t>
        </is>
      </c>
      <c r="B5130" t="inlineStr">
        <is>
          <t xml:space="preserve">ICICI Prudential Fixed Maturity Plan - Series 83 - 1735 Days Plan P - Direct Plan Cumulative Option</t>
        </is>
      </c>
      <c r="C5130" t="inlineStr">
        <is>
          <t xml:space="preserve">INF109KC1HD9</t>
        </is>
      </c>
    </row>
    <row r="5131">
      <c r="A5131" t="inlineStr">
        <is>
          <t xml:space="preserve">ICICI Prudential Mutual Fund</t>
        </is>
      </c>
      <c r="B5131" t="inlineStr">
        <is>
          <t xml:space="preserve">ICICI Prudential Fixed Maturity Plan - Series 83 - 1735 Days Plan P - Direct Plan Quarterly IDCW Option</t>
        </is>
      </c>
      <c r="C5131" t="inlineStr">
        <is>
          <t xml:space="preserve">INF109KC1HE7</t>
        </is>
      </c>
    </row>
    <row r="5132">
      <c r="A5132" t="inlineStr">
        <is>
          <t xml:space="preserve">ICICI Prudential Mutual Fund</t>
        </is>
      </c>
      <c r="B5132" t="inlineStr">
        <is>
          <t xml:space="preserve">ICICI Prudential Fixed Maturity Plan - Series 83 - 1735 Days Plan P - Half Yearly IDCW Option</t>
        </is>
      </c>
      <c r="C5132" t="inlineStr">
        <is>
          <t xml:space="preserve">INF109KC1HC1</t>
        </is>
      </c>
    </row>
    <row r="5133">
      <c r="A5133" t="inlineStr">
        <is>
          <t xml:space="preserve">ICICI Prudential Mutual Fund</t>
        </is>
      </c>
      <c r="B5133" t="inlineStr">
        <is>
          <t xml:space="preserve">ICICI Prudential Fixed Maturity Plan - Series 83 - 1735 Days Plan P - Quarterly IDCW Option</t>
        </is>
      </c>
      <c r="C5133" t="inlineStr">
        <is>
          <t xml:space="preserve">INF109KC1HB3</t>
        </is>
      </c>
    </row>
    <row r="5134">
      <c r="A5134" t="inlineStr">
        <is>
          <t xml:space="preserve">ICICI Prudential Mutual Fund</t>
        </is>
      </c>
      <c r="B5134" t="inlineStr">
        <is>
          <t xml:space="preserve">ICICI Prudential Fixed Maturity Plan - Series 83 - 193 Days Plan G - Cumulative Option</t>
        </is>
      </c>
      <c r="C5134" t="inlineStr">
        <is>
          <t xml:space="preserve">INF109KC1EY2</t>
        </is>
      </c>
    </row>
    <row r="5135">
      <c r="A5135" t="inlineStr">
        <is>
          <t xml:space="preserve">ICICI Prudential Mutual Fund</t>
        </is>
      </c>
      <c r="B5135" t="inlineStr">
        <is>
          <t xml:space="preserve">ICICI Prudential Fixed Maturity Plan - Series 83 - 193 Days Plan G - Direct Plan Cumulative Option</t>
        </is>
      </c>
      <c r="C5135" t="inlineStr">
        <is>
          <t xml:space="preserve">INF109KC1FA9</t>
        </is>
      </c>
    </row>
    <row r="5136">
      <c r="A5136" t="inlineStr">
        <is>
          <t xml:space="preserve">ICICI Prudential Mutual Fund</t>
        </is>
      </c>
      <c r="B5136" t="inlineStr">
        <is>
          <t xml:space="preserve">ICICI Prudential Fixed Maturity Plan - Series 83 - 193 Days Plan G - Direct Plan Dividend Option</t>
        </is>
      </c>
      <c r="C5136" t="inlineStr">
        <is>
          <t xml:space="preserve">INF109KC1FB7</t>
        </is>
      </c>
    </row>
    <row r="5137">
      <c r="A5137" t="inlineStr">
        <is>
          <t xml:space="preserve">ICICI Prudential Mutual Fund</t>
        </is>
      </c>
      <c r="B5137" t="inlineStr">
        <is>
          <t xml:space="preserve">ICICI Prudential Fixed Maturity Plan - Series 83 - 91 Days Plan C - Cumulative Option</t>
        </is>
      </c>
      <c r="C5137" t="inlineStr">
        <is>
          <t xml:space="preserve">INF109KC1DQ0</t>
        </is>
      </c>
    </row>
    <row r="5138">
      <c r="A5138" t="inlineStr">
        <is>
          <t xml:space="preserve">ICICI Prudential Mutual Fund</t>
        </is>
      </c>
      <c r="B5138" t="inlineStr">
        <is>
          <t xml:space="preserve">ICICI Prudential Fixed Maturity Plan - Series 83 - 91 Days Plan C - Direct Plan Cumulative Option</t>
        </is>
      </c>
      <c r="C5138" t="inlineStr">
        <is>
          <t xml:space="preserve">INF109KC1DS6</t>
        </is>
      </c>
    </row>
    <row r="5139">
      <c r="A5139" t="inlineStr">
        <is>
          <t xml:space="preserve">ICICI Prudential Mutual Fund</t>
        </is>
      </c>
      <c r="B5139" t="inlineStr">
        <is>
          <t xml:space="preserve">ICICI Prudential Fixed Maturity Plan - Series 83 - 91 Days Plan C - Direct Plan Dividend Option</t>
        </is>
      </c>
      <c r="C5139" t="inlineStr">
        <is>
          <t xml:space="preserve">INF109KC1DT4</t>
        </is>
      </c>
    </row>
    <row r="5140">
      <c r="A5140" t="inlineStr">
        <is>
          <t xml:space="preserve">ICICI Prudential Mutual Fund</t>
        </is>
      </c>
      <c r="B5140" t="inlineStr">
        <is>
          <t xml:space="preserve">ICICI Prudential Fixed Maturity Plan - Series 83 - 91 Days Plan C - Dividend Option</t>
        </is>
      </c>
      <c r="C5140" t="inlineStr">
        <is>
          <t xml:space="preserve">INF109KC1DR8</t>
        </is>
      </c>
    </row>
    <row r="5141">
      <c r="A5141" t="inlineStr">
        <is>
          <t xml:space="preserve">ICICI Prudential Mutual Fund</t>
        </is>
      </c>
      <c r="B5141" t="inlineStr">
        <is>
          <t xml:space="preserve">ICICI Prudential Fixed Maturity Plan - Series 84 - 1101 Days Plan A - Cumulative Option</t>
        </is>
      </c>
      <c r="C5141" t="inlineStr">
        <is>
          <t xml:space="preserve">INF109KC1KD3</t>
        </is>
      </c>
    </row>
    <row r="5142">
      <c r="A5142" t="inlineStr">
        <is>
          <t xml:space="preserve">ICICI Prudential Mutual Fund</t>
        </is>
      </c>
      <c r="B5142" t="inlineStr">
        <is>
          <t xml:space="preserve">ICICI Prudential Fixed Maturity Plan - Series 84 - 1101 Days Plan A - Direct Plan Cumulative Option</t>
        </is>
      </c>
      <c r="C5142" t="inlineStr">
        <is>
          <t xml:space="preserve">INF109KC1KG6</t>
        </is>
      </c>
    </row>
    <row r="5143">
      <c r="A5143" t="inlineStr">
        <is>
          <t xml:space="preserve">ICICI Prudential Mutual Fund</t>
        </is>
      </c>
      <c r="B5143" t="inlineStr">
        <is>
          <t xml:space="preserve">ICICI Prudential Fixed Maturity Plan - Series 84 - 1101 Days Plan A - Direct Plan Half Yearly IDCW Option</t>
        </is>
      </c>
      <c r="C5143" t="inlineStr">
        <is>
          <t xml:space="preserve">INF109KC1KI2</t>
        </is>
      </c>
    </row>
    <row r="5144">
      <c r="A5144" t="inlineStr">
        <is>
          <t xml:space="preserve">ICICI Prudential Mutual Fund</t>
        </is>
      </c>
      <c r="B5144" t="inlineStr">
        <is>
          <t xml:space="preserve">ICICI Prudential Fixed Maturity Plan - Series 84 - 1101 Days Plan A - Direct Plan Quarterly IDCW Option</t>
        </is>
      </c>
      <c r="C5144" t="inlineStr">
        <is>
          <t xml:space="preserve">INF109KC1KH4</t>
        </is>
      </c>
    </row>
    <row r="5145">
      <c r="A5145" t="inlineStr">
        <is>
          <t xml:space="preserve">ICICI Prudential Mutual Fund</t>
        </is>
      </c>
      <c r="B5145" t="inlineStr">
        <is>
          <t xml:space="preserve">ICICI Prudential Fixed Maturity Plan - Series 84 - 1101 Days Plan A - Quarterly IDCW Option</t>
        </is>
      </c>
      <c r="C5145" t="inlineStr">
        <is>
          <t xml:space="preserve">INF109KC1KE1</t>
        </is>
      </c>
    </row>
    <row r="5146">
      <c r="A5146" t="inlineStr">
        <is>
          <t xml:space="preserve">ICICI Prudential Mutual Fund</t>
        </is>
      </c>
      <c r="B5146" t="inlineStr">
        <is>
          <t xml:space="preserve">ICICI Prudential Fixed Maturity Plan - Series 84 - 1103 Days Plan C - Cumulative Option</t>
        </is>
      </c>
      <c r="C5146" t="inlineStr">
        <is>
          <t xml:space="preserve">INF109KC1KN2</t>
        </is>
      </c>
    </row>
    <row r="5147">
      <c r="A5147" t="inlineStr">
        <is>
          <t xml:space="preserve">ICICI Prudential Mutual Fund</t>
        </is>
      </c>
      <c r="B5147" t="inlineStr">
        <is>
          <t xml:space="preserve">ICICI Prudential Fixed Maturity Plan - Series 84 - 1103 Days Plan C - Direct Plan Cumulative Option</t>
        </is>
      </c>
      <c r="C5147" t="inlineStr">
        <is>
          <t xml:space="preserve">INF109KC1KQ5</t>
        </is>
      </c>
    </row>
    <row r="5148">
      <c r="A5148" t="inlineStr">
        <is>
          <t xml:space="preserve">ICICI Prudential Mutual Fund</t>
        </is>
      </c>
      <c r="B5148" t="inlineStr">
        <is>
          <t xml:space="preserve">ICICI Prudential Fixed Maturity Plan - Series 84 - 1103 Days Plan C - Direct Plan Quarterly IDCW Option</t>
        </is>
      </c>
      <c r="C5148" t="inlineStr">
        <is>
          <t xml:space="preserve">INF109KC1KS1</t>
        </is>
      </c>
    </row>
    <row r="5149">
      <c r="A5149" t="inlineStr">
        <is>
          <t xml:space="preserve">ICICI Prudential Mutual Fund</t>
        </is>
      </c>
      <c r="B5149" t="inlineStr">
        <is>
          <t xml:space="preserve">ICICI Prudential Fixed Maturity Plan - Series 84 - 1103 Days Plan C - Half Yearly IDCW Option</t>
        </is>
      </c>
      <c r="C5149" t="inlineStr">
        <is>
          <t xml:space="preserve">INF109KC1KO0</t>
        </is>
      </c>
    </row>
    <row r="5150">
      <c r="A5150" t="inlineStr">
        <is>
          <t xml:space="preserve">ICICI Prudential Mutual Fund</t>
        </is>
      </c>
      <c r="B5150" t="inlineStr">
        <is>
          <t xml:space="preserve">ICICI Prudential Fixed Maturity Plan - Series 84 - 1103 Days Plan C - Quarterly IDCW Option</t>
        </is>
      </c>
      <c r="C5150" t="inlineStr">
        <is>
          <t xml:space="preserve">INF109KC1KP7</t>
        </is>
      </c>
    </row>
    <row r="5151">
      <c r="A5151" t="inlineStr">
        <is>
          <t xml:space="preserve">ICICI Prudential Mutual Fund</t>
        </is>
      </c>
      <c r="B5151" t="inlineStr">
        <is>
          <t xml:space="preserve">ICICI Prudential Fixed Maturity Plan - Series 84 - 1188 Days Plan Z - Cumulative Option</t>
        </is>
      </c>
      <c r="C5151" t="inlineStr">
        <is>
          <t xml:space="preserve">INF109KC1SC8</t>
        </is>
      </c>
    </row>
    <row r="5152">
      <c r="A5152" t="inlineStr">
        <is>
          <t xml:space="preserve">ICICI Prudential Mutual Fund</t>
        </is>
      </c>
      <c r="B5152" t="inlineStr">
        <is>
          <t xml:space="preserve">ICICI Prudential Fixed Maturity Plan - Series 84 - 1188 Days Plan Z - Direct Plan Cumulative Option</t>
        </is>
      </c>
      <c r="C5152" t="inlineStr">
        <is>
          <t xml:space="preserve">INF109KC1SH7</t>
        </is>
      </c>
    </row>
    <row r="5153">
      <c r="A5153" t="inlineStr">
        <is>
          <t xml:space="preserve">ICICI Prudential Mutual Fund</t>
        </is>
      </c>
      <c r="B5153" t="inlineStr">
        <is>
          <t xml:space="preserve">ICICI Prudential Fixed Maturity Plan - Series 84 - 1188 Days Plan Z - Half Yearly IDCW Option</t>
        </is>
      </c>
      <c r="C5153" t="inlineStr">
        <is>
          <t xml:space="preserve">INF109KC1SE4</t>
        </is>
      </c>
    </row>
    <row r="5154">
      <c r="A5154" t="inlineStr">
        <is>
          <t xml:space="preserve">ICICI Prudential Mutual Fund</t>
        </is>
      </c>
      <c r="B5154" t="inlineStr">
        <is>
          <t xml:space="preserve">ICICI Prudential Fixed Maturity Plan - Series 84 - 1188 Days Plan Z - Quarterly IDCW Option</t>
        </is>
      </c>
      <c r="C5154" t="inlineStr">
        <is>
          <t xml:space="preserve">INF109KC1SD6</t>
        </is>
      </c>
    </row>
    <row r="5155">
      <c r="A5155" t="inlineStr">
        <is>
          <t xml:space="preserve">ICICI Prudential Mutual Fund</t>
        </is>
      </c>
      <c r="B5155" t="inlineStr">
        <is>
          <t xml:space="preserve">ICICI Prudential Fixed Maturity Plan - Series 84 - 1204 Days Plan Y - Cumulative Option</t>
        </is>
      </c>
      <c r="C5155" t="inlineStr">
        <is>
          <t xml:space="preserve">INF109KC1RW8</t>
        </is>
      </c>
    </row>
    <row r="5156">
      <c r="A5156" t="inlineStr">
        <is>
          <t xml:space="preserve">ICICI Prudential Mutual Fund</t>
        </is>
      </c>
      <c r="B5156" t="inlineStr">
        <is>
          <t xml:space="preserve">ICICI Prudential Fixed Maturity Plan - Series 84 - 1204 Days Plan Y - Direct Plan Cumulative Option</t>
        </is>
      </c>
      <c r="C5156" t="inlineStr">
        <is>
          <t xml:space="preserve">INF109KC1SB0</t>
        </is>
      </c>
    </row>
    <row r="5157">
      <c r="A5157" t="inlineStr">
        <is>
          <t xml:space="preserve">ICICI Prudential Mutual Fund</t>
        </is>
      </c>
      <c r="B5157" t="inlineStr">
        <is>
          <t xml:space="preserve">ICICI Prudential Fixed Maturity Plan - Series 84 - 1204 Days Plan Y - Half Yearly IDCW Option</t>
        </is>
      </c>
      <c r="C5157" t="inlineStr">
        <is>
          <t xml:space="preserve">INF109KC1RY4</t>
        </is>
      </c>
    </row>
    <row r="5158">
      <c r="A5158" t="inlineStr">
        <is>
          <t xml:space="preserve">ICICI Prudential Mutual Fund</t>
        </is>
      </c>
      <c r="B5158" t="inlineStr">
        <is>
          <t xml:space="preserve">ICICI Prudential Fixed Maturity Plan - Series 84 - 1204 Days Plan Y - Quarterly IDCW Option</t>
        </is>
      </c>
      <c r="C5158" t="inlineStr">
        <is>
          <t xml:space="preserve">INF109KC1RX6</t>
        </is>
      </c>
    </row>
    <row r="5159">
      <c r="A5159" t="inlineStr">
        <is>
          <t xml:space="preserve">ICICI Prudential Mutual Fund</t>
        </is>
      </c>
      <c r="B5159" t="inlineStr">
        <is>
          <t xml:space="preserve">ICICI Prudential Fixed Maturity Plan - Series 84 - 1224 Days Plan S - Cumulative Option</t>
        </is>
      </c>
      <c r="C5159" t="inlineStr">
        <is>
          <t xml:space="preserve">INF109KC1PY8</t>
        </is>
      </c>
    </row>
    <row r="5160">
      <c r="A5160" t="inlineStr">
        <is>
          <t xml:space="preserve">ICICI Prudential Mutual Fund</t>
        </is>
      </c>
      <c r="B5160" t="inlineStr">
        <is>
          <t xml:space="preserve">ICICI Prudential Fixed Maturity Plan - Series 84 - 1224 Days Plan S - Direct Plan Cumulative Option</t>
        </is>
      </c>
      <c r="C5160" t="inlineStr">
        <is>
          <t xml:space="preserve">INF109KC1QB4</t>
        </is>
      </c>
    </row>
    <row r="5161">
      <c r="A5161" t="inlineStr">
        <is>
          <t xml:space="preserve">ICICI Prudential Mutual Fund</t>
        </is>
      </c>
      <c r="B5161" t="inlineStr">
        <is>
          <t xml:space="preserve">ICICI Prudential Fixed Maturity Plan - Series 84 - 1224 Days Plan S - Half Yearly IDCW Option</t>
        </is>
      </c>
      <c r="C5161" t="inlineStr">
        <is>
          <t xml:space="preserve">INF109KC1QA6</t>
        </is>
      </c>
    </row>
    <row r="5162">
      <c r="A5162" t="inlineStr">
        <is>
          <t xml:space="preserve">ICICI Prudential Mutual Fund</t>
        </is>
      </c>
      <c r="B5162" t="inlineStr">
        <is>
          <t xml:space="preserve">ICICI Prudential Fixed Maturity Plan - Series 84 - 1224 Days Plan S - Quarterly IDCW Option</t>
        </is>
      </c>
      <c r="C5162" t="inlineStr">
        <is>
          <t xml:space="preserve">INF109KC1PZ5</t>
        </is>
      </c>
    </row>
    <row r="5163">
      <c r="A5163" t="inlineStr">
        <is>
          <t xml:space="preserve">ICICI Prudential Mutual Fund</t>
        </is>
      </c>
      <c r="B5163" t="inlineStr">
        <is>
          <t xml:space="preserve">ICICI Prudential Fixed Maturity Plan - Series 84 - 1235 Days Plan R - Cumulative Option</t>
        </is>
      </c>
      <c r="C5163" t="inlineStr">
        <is>
          <t xml:space="preserve">INF109KC1QE8</t>
        </is>
      </c>
    </row>
    <row r="5164">
      <c r="A5164" t="inlineStr">
        <is>
          <t xml:space="preserve">ICICI Prudential Mutual Fund</t>
        </is>
      </c>
      <c r="B5164" t="inlineStr">
        <is>
          <t xml:space="preserve">ICICI Prudential Fixed Maturity Plan - Series 84 - 1235 Days Plan R - Direct Plan Cumulative Option</t>
        </is>
      </c>
      <c r="C5164" t="inlineStr">
        <is>
          <t xml:space="preserve">INF109KC1QH1</t>
        </is>
      </c>
    </row>
    <row r="5165">
      <c r="A5165" t="inlineStr">
        <is>
          <t xml:space="preserve">ICICI Prudential Mutual Fund</t>
        </is>
      </c>
      <c r="B5165" t="inlineStr">
        <is>
          <t xml:space="preserve">ICICI Prudential Fixed Maturity Plan - Series 84 - 1235 Days Plan R - Direct Plan Half Yearly IDCW Option</t>
        </is>
      </c>
      <c r="C5165" t="inlineStr">
        <is>
          <t xml:space="preserve">INF109KC1QJ7</t>
        </is>
      </c>
    </row>
    <row r="5166">
      <c r="A5166" t="inlineStr">
        <is>
          <t xml:space="preserve">ICICI Prudential Mutual Fund</t>
        </is>
      </c>
      <c r="B5166" t="inlineStr">
        <is>
          <t xml:space="preserve">ICICI Prudential Fixed Maturity Plan - Series 84 - 1235 Days Plan R - Direct Plan Quarterly IDCW Option</t>
        </is>
      </c>
      <c r="C5166" t="inlineStr">
        <is>
          <t xml:space="preserve">INF109KC1QI9</t>
        </is>
      </c>
    </row>
    <row r="5167">
      <c r="A5167" t="inlineStr">
        <is>
          <t xml:space="preserve">ICICI Prudential Mutual Fund</t>
        </is>
      </c>
      <c r="B5167" t="inlineStr">
        <is>
          <t xml:space="preserve">ICICI Prudential Fixed Maturity Plan - Series 84 - 1235 Days Plan R - Half Yearly IDCW Option</t>
        </is>
      </c>
      <c r="C5167" t="inlineStr">
        <is>
          <t xml:space="preserve">INF109KC1QG3</t>
        </is>
      </c>
    </row>
    <row r="5168">
      <c r="A5168" t="inlineStr">
        <is>
          <t xml:space="preserve">ICICI Prudential Mutual Fund</t>
        </is>
      </c>
      <c r="B5168" t="inlineStr">
        <is>
          <t xml:space="preserve">ICICI Prudential Fixed Maturity Plan - Series 84 - 1235 Days Plan R - Quarterly IDCW Option</t>
        </is>
      </c>
      <c r="C5168" t="inlineStr">
        <is>
          <t xml:space="preserve">INF109KC1QF5</t>
        </is>
      </c>
    </row>
    <row r="5169">
      <c r="A5169" t="inlineStr">
        <is>
          <t xml:space="preserve">ICICI Prudential Mutual Fund</t>
        </is>
      </c>
      <c r="B5169" t="inlineStr">
        <is>
          <t xml:space="preserve">ICICI Prudential Fixed Maturity Plan - Series 84 - 1245 Days Plan N - Cumulative Option</t>
        </is>
      </c>
      <c r="C5169" t="inlineStr">
        <is>
          <t xml:space="preserve">INF109KC1NU1</t>
        </is>
      </c>
    </row>
    <row r="5170">
      <c r="A5170" t="inlineStr">
        <is>
          <t xml:space="preserve">ICICI Prudential Mutual Fund</t>
        </is>
      </c>
      <c r="B5170" t="inlineStr">
        <is>
          <t xml:space="preserve">ICICI Prudential Fixed Maturity Plan - Series 84 - 1245 Days Plan N - Direct Plan Cumulative Option</t>
        </is>
      </c>
      <c r="C5170" t="inlineStr">
        <is>
          <t xml:space="preserve">INF109KC1NX5</t>
        </is>
      </c>
    </row>
    <row r="5171">
      <c r="A5171" t="inlineStr">
        <is>
          <t xml:space="preserve">ICICI Prudential Mutual Fund</t>
        </is>
      </c>
      <c r="B5171" t="inlineStr">
        <is>
          <t xml:space="preserve">ICICI Prudential Fixed Maturity Plan - Series 84 - 1245 Days Plan N - Direct Plan Quarterly IDCW Option</t>
        </is>
      </c>
      <c r="C5171" t="inlineStr">
        <is>
          <t xml:space="preserve">INF109KC1NY3</t>
        </is>
      </c>
    </row>
    <row r="5172">
      <c r="A5172" t="inlineStr">
        <is>
          <t xml:space="preserve">ICICI Prudential Mutual Fund</t>
        </is>
      </c>
      <c r="B5172" t="inlineStr">
        <is>
          <t xml:space="preserve">ICICI Prudential Fixed Maturity Plan - Series 84 - 1245 Days Plan N - Quarterly IDCW Option</t>
        </is>
      </c>
      <c r="C5172" t="inlineStr">
        <is>
          <t xml:space="preserve">INF109KC1NV9</t>
        </is>
      </c>
    </row>
    <row r="5173">
      <c r="A5173" t="inlineStr">
        <is>
          <t xml:space="preserve">ICICI Prudential Mutual Fund</t>
        </is>
      </c>
      <c r="B5173" t="inlineStr">
        <is>
          <t xml:space="preserve">ICICI Prudential Fixed Maturity Plan - Series 84 - 1247 Days Plan M - Cumulative Option</t>
        </is>
      </c>
      <c r="C5173" t="inlineStr">
        <is>
          <t xml:space="preserve">INF109KC1NI6</t>
        </is>
      </c>
    </row>
    <row r="5174">
      <c r="A5174" t="inlineStr">
        <is>
          <t xml:space="preserve">ICICI Prudential Mutual Fund</t>
        </is>
      </c>
      <c r="B5174" t="inlineStr">
        <is>
          <t xml:space="preserve">ICICI Prudential Fixed Maturity Plan - Series 84 - 1247 Days Plan M - Direct Plan Cumulative Option</t>
        </is>
      </c>
      <c r="C5174" t="inlineStr">
        <is>
          <t xml:space="preserve">INF109KC1NL0</t>
        </is>
      </c>
    </row>
    <row r="5175">
      <c r="A5175" t="inlineStr">
        <is>
          <t xml:space="preserve">ICICI Prudential Mutual Fund</t>
        </is>
      </c>
      <c r="B5175" t="inlineStr">
        <is>
          <t xml:space="preserve">ICICI Prudential Fixed Maturity Plan - Series 84 - 1247 Days Plan M - Half Yearly IDCW Option</t>
        </is>
      </c>
      <c r="C5175" t="inlineStr">
        <is>
          <t xml:space="preserve">INF109KC1NK2</t>
        </is>
      </c>
    </row>
    <row r="5176">
      <c r="A5176" t="inlineStr">
        <is>
          <t xml:space="preserve">ICICI Prudential Mutual Fund</t>
        </is>
      </c>
      <c r="B5176" t="inlineStr">
        <is>
          <t xml:space="preserve">ICICI Prudential Fixed Maturity Plan - Series 84 - 1247 Days Plan M - Quarterly IDCW Option</t>
        </is>
      </c>
      <c r="C5176" t="inlineStr">
        <is>
          <t xml:space="preserve">INF109KC1NJ4</t>
        </is>
      </c>
    </row>
    <row r="5177">
      <c r="A5177" t="inlineStr">
        <is>
          <t xml:space="preserve">ICICI Prudential Mutual Fund</t>
        </is>
      </c>
      <c r="B5177" t="inlineStr">
        <is>
          <t xml:space="preserve">ICICI Prudential Fixed Maturity Plan - Series 84 - 1247 Days Plan W - Cumulative Option</t>
        </is>
      </c>
      <c r="C5177" t="inlineStr">
        <is>
          <t xml:space="preserve">INF109KC1RK3</t>
        </is>
      </c>
    </row>
    <row r="5178">
      <c r="A5178" t="inlineStr">
        <is>
          <t xml:space="preserve">ICICI Prudential Mutual Fund</t>
        </is>
      </c>
      <c r="B5178" t="inlineStr">
        <is>
          <t xml:space="preserve">ICICI Prudential Fixed Maturity Plan - Series 84 - 1247 Days Plan W - Direct Plan Cumulative Option</t>
        </is>
      </c>
      <c r="C5178" t="inlineStr">
        <is>
          <t xml:space="preserve">INF109KC1RP2</t>
        </is>
      </c>
    </row>
    <row r="5179">
      <c r="A5179" t="inlineStr">
        <is>
          <t xml:space="preserve">ICICI Prudential Mutual Fund</t>
        </is>
      </c>
      <c r="B5179" t="inlineStr">
        <is>
          <t xml:space="preserve">ICICI Prudential Fixed Maturity Plan - Series 84 - 1247 Days Plan W - Direct Plan Half Yearly IDCW Option</t>
        </is>
      </c>
      <c r="C5179" t="inlineStr">
        <is>
          <t xml:space="preserve">INF109KC1RO5</t>
        </is>
      </c>
    </row>
    <row r="5180">
      <c r="A5180" t="inlineStr">
        <is>
          <t xml:space="preserve">ICICI Prudential Mutual Fund</t>
        </is>
      </c>
      <c r="B5180" t="inlineStr">
        <is>
          <t xml:space="preserve">ICICI Prudential Fixed Maturity Plan - Series 84 - 1247 Days Plan W - Direct Plan Quarterly IDCW Option</t>
        </is>
      </c>
      <c r="C5180" t="inlineStr">
        <is>
          <t xml:space="preserve">INF109KC1RN7</t>
        </is>
      </c>
    </row>
    <row r="5181">
      <c r="A5181" t="inlineStr">
        <is>
          <t xml:space="preserve">ICICI Prudential Mutual Fund</t>
        </is>
      </c>
      <c r="B5181" t="inlineStr">
        <is>
          <t xml:space="preserve">ICICI Prudential Fixed Maturity Plan - Series 84 - 1247 Days Plan W - Half Yearly IDCW Option</t>
        </is>
      </c>
      <c r="C5181" t="inlineStr">
        <is>
          <t xml:space="preserve">INF109KC1RM9</t>
        </is>
      </c>
    </row>
    <row r="5182">
      <c r="A5182" t="inlineStr">
        <is>
          <t xml:space="preserve">ICICI Prudential Mutual Fund</t>
        </is>
      </c>
      <c r="B5182" t="inlineStr">
        <is>
          <t xml:space="preserve">ICICI Prudential Fixed Maturity Plan - Series 84 - 1247 Days Plan W - Quarterly IDCW Option</t>
        </is>
      </c>
      <c r="C5182" t="inlineStr">
        <is>
          <t xml:space="preserve">INF109KC1RL1</t>
        </is>
      </c>
    </row>
    <row r="5183">
      <c r="A5183" t="inlineStr">
        <is>
          <t xml:space="preserve">ICICI Prudential Mutual Fund</t>
        </is>
      </c>
      <c r="B5183" t="inlineStr">
        <is>
          <t xml:space="preserve">ICICI Prudential Fixed Maturity Plan - Series 84 - 1254 Days Plan U - Cumulative Option</t>
        </is>
      </c>
      <c r="C5183" t="inlineStr">
        <is>
          <t xml:space="preserve">INF109KC1QU4</t>
        </is>
      </c>
    </row>
    <row r="5184">
      <c r="A5184" t="inlineStr">
        <is>
          <t xml:space="preserve">ICICI Prudential Mutual Fund</t>
        </is>
      </c>
      <c r="B5184" t="inlineStr">
        <is>
          <t xml:space="preserve">ICICI Prudential Fixed Maturity Plan - Series 84 - 1254 Days Plan U - Direct Plan Cumulative Option</t>
        </is>
      </c>
      <c r="C5184" t="inlineStr">
        <is>
          <t xml:space="preserve">INF109KC1QZ3</t>
        </is>
      </c>
    </row>
    <row r="5185">
      <c r="A5185" t="inlineStr">
        <is>
          <t xml:space="preserve">ICICI Prudential Mutual Fund</t>
        </is>
      </c>
      <c r="B5185" t="inlineStr">
        <is>
          <t xml:space="preserve">ICICI Prudential Fixed Maturity Plan - Series 84 - 1254 Days Plan U - Direct Plan Half Yearly IDCW Option</t>
        </is>
      </c>
      <c r="C5185" t="inlineStr">
        <is>
          <t xml:space="preserve">INF109KC1QY6</t>
        </is>
      </c>
    </row>
    <row r="5186">
      <c r="A5186" t="inlineStr">
        <is>
          <t xml:space="preserve">ICICI Prudential Mutual Fund</t>
        </is>
      </c>
      <c r="B5186" t="inlineStr">
        <is>
          <t xml:space="preserve">ICICI Prudential Fixed Maturity Plan - Series 84 - 1254 Days Plan U - Half Yearly IDCW Option</t>
        </is>
      </c>
      <c r="C5186" t="inlineStr">
        <is>
          <t xml:space="preserve">INF109KC1QW0</t>
        </is>
      </c>
    </row>
    <row r="5187">
      <c r="A5187" t="inlineStr">
        <is>
          <t xml:space="preserve">ICICI Prudential Mutual Fund</t>
        </is>
      </c>
      <c r="B5187" t="inlineStr">
        <is>
          <t xml:space="preserve">ICICI Prudential Fixed Maturity Plan - Series 84 - 1254 Days Plan U - Quarterly IDCW Option</t>
        </is>
      </c>
      <c r="C5187" t="inlineStr">
        <is>
          <t xml:space="preserve">INF109KC1QV2</t>
        </is>
      </c>
    </row>
    <row r="5188">
      <c r="A5188" t="inlineStr">
        <is>
          <t xml:space="preserve">ICICI Prudential Mutual Fund</t>
        </is>
      </c>
      <c r="B5188" t="inlineStr">
        <is>
          <t xml:space="preserve">ICICI Prudential Fixed Maturity Plan - Series 84 - 1272 Days Plan Q - Cumulative Option</t>
        </is>
      </c>
      <c r="C5188" t="inlineStr">
        <is>
          <t xml:space="preserve">INF109KC1PS0</t>
        </is>
      </c>
    </row>
    <row r="5189">
      <c r="A5189" t="inlineStr">
        <is>
          <t xml:space="preserve">ICICI Prudential Mutual Fund</t>
        </is>
      </c>
      <c r="B5189" t="inlineStr">
        <is>
          <t xml:space="preserve">ICICI Prudential Fixed Maturity Plan - Series 84 - 1272 Days Plan Q - Direct Plan Cumulative Option</t>
        </is>
      </c>
      <c r="C5189" t="inlineStr">
        <is>
          <t xml:space="preserve">INF109KC1PV4</t>
        </is>
      </c>
    </row>
    <row r="5190">
      <c r="A5190" t="inlineStr">
        <is>
          <t xml:space="preserve">ICICI Prudential Mutual Fund</t>
        </is>
      </c>
      <c r="B5190" t="inlineStr">
        <is>
          <t xml:space="preserve">ICICI Prudential Fixed Maturity Plan - Series 84 - 1272 Days Plan Q - Half Yearly IDCW Option</t>
        </is>
      </c>
      <c r="C5190" t="inlineStr">
        <is>
          <t xml:space="preserve">INF109KC1PU6</t>
        </is>
      </c>
    </row>
    <row r="5191">
      <c r="A5191" t="inlineStr">
        <is>
          <t xml:space="preserve">ICICI Prudential Mutual Fund</t>
        </is>
      </c>
      <c r="B5191" t="inlineStr">
        <is>
          <t xml:space="preserve">ICICI Prudential Fixed Maturity Plan - Series 84 - 1272 Days Plan Q - Quarterly IDCW Option</t>
        </is>
      </c>
      <c r="C5191" t="inlineStr">
        <is>
          <t xml:space="preserve">INF109KC1PT8</t>
        </is>
      </c>
    </row>
    <row r="5192">
      <c r="A5192" t="inlineStr">
        <is>
          <t xml:space="preserve">ICICI Prudential Mutual Fund</t>
        </is>
      </c>
      <c r="B5192" t="inlineStr">
        <is>
          <t xml:space="preserve">ICICI Prudential Fixed Maturity Plan - Series 84 - 1275 Days Plan K - Cumulative Option</t>
        </is>
      </c>
      <c r="C5192" t="inlineStr">
        <is>
          <t xml:space="preserve">INF109KC1MO6</t>
        </is>
      </c>
    </row>
    <row r="5193">
      <c r="A5193" t="inlineStr">
        <is>
          <t xml:space="preserve">ICICI Prudential Mutual Fund</t>
        </is>
      </c>
      <c r="B5193" t="inlineStr">
        <is>
          <t xml:space="preserve">ICICI Prudential Fixed Maturity Plan - Series 84 - 1275 Days Plan K - Direct Plan Cumulative Option</t>
        </is>
      </c>
      <c r="C5193" t="inlineStr">
        <is>
          <t xml:space="preserve">INF109KC1MR9</t>
        </is>
      </c>
    </row>
    <row r="5194">
      <c r="A5194" t="inlineStr">
        <is>
          <t xml:space="preserve">ICICI Prudential Mutual Fund</t>
        </is>
      </c>
      <c r="B5194" t="inlineStr">
        <is>
          <t xml:space="preserve">ICICI Prudential Fixed Maturity Plan - Series 84 - 1275 Days Plan K - Direct Plan Half Yearly IDCW Option</t>
        </is>
      </c>
      <c r="C5194" t="inlineStr">
        <is>
          <t xml:space="preserve">INF109KC1MT5</t>
        </is>
      </c>
    </row>
    <row r="5195">
      <c r="A5195" t="inlineStr">
        <is>
          <t xml:space="preserve">ICICI Prudential Mutual Fund</t>
        </is>
      </c>
      <c r="B5195" t="inlineStr">
        <is>
          <t xml:space="preserve">ICICI Prudential Fixed Maturity Plan - Series 84 - 1275 Days Plan K - Half Yearly IDCW Option</t>
        </is>
      </c>
      <c r="C5195" t="inlineStr">
        <is>
          <t xml:space="preserve">INF109KC1MQ1</t>
        </is>
      </c>
    </row>
    <row r="5196">
      <c r="A5196" t="inlineStr">
        <is>
          <t xml:space="preserve">ICICI Prudential Mutual Fund</t>
        </is>
      </c>
      <c r="B5196" t="inlineStr">
        <is>
          <t xml:space="preserve">ICICI Prudential Fixed Maturity Plan - Series 84 - 1275 Days Plan K - Quarterly IDCW Option</t>
        </is>
      </c>
      <c r="C5196" t="inlineStr">
        <is>
          <t xml:space="preserve">INF109KC1MP3</t>
        </is>
      </c>
    </row>
    <row r="5197">
      <c r="A5197" t="inlineStr">
        <is>
          <t xml:space="preserve">ICICI Prudential Mutual Fund</t>
        </is>
      </c>
      <c r="B5197" t="inlineStr">
        <is>
          <t xml:space="preserve">ICICI Prudential Fixed Maturity Plan - Series 84 - 1279 Days Plan P - Cumulative Option</t>
        </is>
      </c>
      <c r="C5197" t="inlineStr">
        <is>
          <t xml:space="preserve">INF109KC1PM3</t>
        </is>
      </c>
    </row>
    <row r="5198">
      <c r="A5198" t="inlineStr">
        <is>
          <t xml:space="preserve">ICICI Prudential Mutual Fund</t>
        </is>
      </c>
      <c r="B5198" t="inlineStr">
        <is>
          <t xml:space="preserve">ICICI Prudential Fixed Maturity Plan - Series 84 - 1279 Days Plan P - Direct Plan Cumulative Option</t>
        </is>
      </c>
      <c r="C5198" t="inlineStr">
        <is>
          <t xml:space="preserve">INF109KC1PP6</t>
        </is>
      </c>
    </row>
    <row r="5199">
      <c r="A5199" t="inlineStr">
        <is>
          <t xml:space="preserve">ICICI Prudential Mutual Fund</t>
        </is>
      </c>
      <c r="B5199" t="inlineStr">
        <is>
          <t xml:space="preserve">ICICI Prudential Fixed Maturity Plan - Series 84 - 1279 Days Plan P - Half Yearly IDCW Option</t>
        </is>
      </c>
      <c r="C5199" t="inlineStr">
        <is>
          <t xml:space="preserve">INF109KC1PO9</t>
        </is>
      </c>
    </row>
    <row r="5200">
      <c r="A5200" t="inlineStr">
        <is>
          <t xml:space="preserve">ICICI Prudential Mutual Fund</t>
        </is>
      </c>
      <c r="B5200" t="inlineStr">
        <is>
          <t xml:space="preserve">ICICI Prudential Fixed Maturity Plan - Series 84 - 1279 Days Plan P - Quarterly IDCW Option</t>
        </is>
      </c>
      <c r="C5200" t="inlineStr">
        <is>
          <t xml:space="preserve">INF109KC1PN1</t>
        </is>
      </c>
    </row>
    <row r="5201">
      <c r="A5201" t="inlineStr">
        <is>
          <t xml:space="preserve">ICICI Prudential Mutual Fund</t>
        </is>
      </c>
      <c r="B5201" t="inlineStr">
        <is>
          <t xml:space="preserve">ICICI Prudential Fixed Maturity Plan - Series 84 - 1286 Days Plan F - Cumulative Option</t>
        </is>
      </c>
      <c r="C5201" t="inlineStr">
        <is>
          <t xml:space="preserve">INF109KC1LM2</t>
        </is>
      </c>
    </row>
    <row r="5202">
      <c r="A5202" t="inlineStr">
        <is>
          <t xml:space="preserve">ICICI Prudential Mutual Fund</t>
        </is>
      </c>
      <c r="B5202" t="inlineStr">
        <is>
          <t xml:space="preserve">ICICI Prudential Fixed Maturity Plan - Series 84 - 1286 Days Plan F - Direct Plan Cumulative Option</t>
        </is>
      </c>
      <c r="C5202" t="inlineStr">
        <is>
          <t xml:space="preserve">INF109KC1LP5</t>
        </is>
      </c>
    </row>
    <row r="5203">
      <c r="A5203" t="inlineStr">
        <is>
          <t xml:space="preserve">ICICI Prudential Mutual Fund</t>
        </is>
      </c>
      <c r="B5203" t="inlineStr">
        <is>
          <t xml:space="preserve">ICICI Prudential Fixed Maturity Plan - Series 84 - 1286 Days Plan F - Direct Plan Quarterly IDCW Option</t>
        </is>
      </c>
      <c r="C5203" t="inlineStr">
        <is>
          <t xml:space="preserve">INF109KC1LQ3</t>
        </is>
      </c>
    </row>
    <row r="5204">
      <c r="A5204" t="inlineStr">
        <is>
          <t xml:space="preserve">ICICI Prudential Mutual Fund</t>
        </is>
      </c>
      <c r="B5204" t="inlineStr">
        <is>
          <t xml:space="preserve">ICICI Prudential Fixed Maturity Plan - Series 84 - 1286 Days Plan F - Quarterly IDCW Option</t>
        </is>
      </c>
      <c r="C5204" t="inlineStr">
        <is>
          <t xml:space="preserve">INF109KC1LN0</t>
        </is>
      </c>
    </row>
    <row r="5205">
      <c r="A5205" t="inlineStr">
        <is>
          <t xml:space="preserve">ICICI Prudential Mutual Fund</t>
        </is>
      </c>
      <c r="B5205" t="inlineStr">
        <is>
          <t xml:space="preserve">ICICI Prudential Fixed Maturity Plan - Series 84 - 1287 Days Plan I - Cumulative Option</t>
        </is>
      </c>
      <c r="C5205" t="inlineStr">
        <is>
          <t xml:space="preserve">INF109KC1MI8</t>
        </is>
      </c>
    </row>
    <row r="5206">
      <c r="A5206" t="inlineStr">
        <is>
          <t xml:space="preserve">ICICI Prudential Mutual Fund</t>
        </is>
      </c>
      <c r="B5206" t="inlineStr">
        <is>
          <t xml:space="preserve">ICICI Prudential Fixed Maturity Plan - Series 84 - 1287 Days Plan I - Direct Plan Cumulative Option</t>
        </is>
      </c>
      <c r="C5206" t="inlineStr">
        <is>
          <t xml:space="preserve">INF109KC1ML2</t>
        </is>
      </c>
    </row>
    <row r="5207">
      <c r="A5207" t="inlineStr">
        <is>
          <t xml:space="preserve">ICICI Prudential Mutual Fund</t>
        </is>
      </c>
      <c r="B5207" t="inlineStr">
        <is>
          <t xml:space="preserve">ICICI Prudential Fixed Maturity Plan - Series 84 - 1287 Days Plan I - Half Yearly IDCW Option</t>
        </is>
      </c>
      <c r="C5207" t="inlineStr">
        <is>
          <t xml:space="preserve">INF109KC1MK4</t>
        </is>
      </c>
    </row>
    <row r="5208">
      <c r="A5208" t="inlineStr">
        <is>
          <t xml:space="preserve">ICICI Prudential Mutual Fund</t>
        </is>
      </c>
      <c r="B5208" t="inlineStr">
        <is>
          <t xml:space="preserve">ICICI Prudential Fixed Maturity Plan - Series 84 - 1287 Days Plan I - Quarterly IDCW Option</t>
        </is>
      </c>
      <c r="C5208" t="inlineStr">
        <is>
          <t xml:space="preserve">INF109KC1MJ6</t>
        </is>
      </c>
    </row>
    <row r="5209">
      <c r="A5209" t="inlineStr">
        <is>
          <t xml:space="preserve">ICICI Prudential Mutual Fund</t>
        </is>
      </c>
      <c r="B5209" t="inlineStr">
        <is>
          <t xml:space="preserve">ICICI Prudential Fixed Maturity Plan - Series 84 - 1288 Days Plan E - Cumulative Option</t>
        </is>
      </c>
      <c r="C5209" t="inlineStr">
        <is>
          <t xml:space="preserve">INF109KC1LA7</t>
        </is>
      </c>
    </row>
    <row r="5210">
      <c r="A5210" t="inlineStr">
        <is>
          <t xml:space="preserve">ICICI Prudential Mutual Fund</t>
        </is>
      </c>
      <c r="B5210" t="inlineStr">
        <is>
          <t xml:space="preserve">ICICI Prudential Fixed Maturity Plan - Series 84 - 1288 Days Plan E - Direct Plan Cumulative Option</t>
        </is>
      </c>
      <c r="C5210" t="inlineStr">
        <is>
          <t xml:space="preserve">INF109KC1LD1</t>
        </is>
      </c>
    </row>
    <row r="5211">
      <c r="A5211" t="inlineStr">
        <is>
          <t xml:space="preserve">ICICI Prudential Mutual Fund</t>
        </is>
      </c>
      <c r="B5211" t="inlineStr">
        <is>
          <t xml:space="preserve">ICICI Prudential Fixed Maturity Plan - Series 84 - 1288 Days Plan E - Half Yearly IDCW Option</t>
        </is>
      </c>
      <c r="C5211" t="inlineStr">
        <is>
          <t xml:space="preserve">INF109KC1LC3</t>
        </is>
      </c>
    </row>
    <row r="5212">
      <c r="A5212" t="inlineStr">
        <is>
          <t xml:space="preserve">ICICI Prudential Mutual Fund</t>
        </is>
      </c>
      <c r="B5212" t="inlineStr">
        <is>
          <t xml:space="preserve">ICICI Prudential Fixed Maturity Plan - Series 84 - 1288 Days Plan E - Quarterly IDCW Option</t>
        </is>
      </c>
      <c r="C5212" t="inlineStr">
        <is>
          <t xml:space="preserve">INF109KC1LB5</t>
        </is>
      </c>
    </row>
    <row r="5213">
      <c r="A5213" t="inlineStr">
        <is>
          <t xml:space="preserve">ICICI Prudential Mutual Fund</t>
        </is>
      </c>
      <c r="B5213" t="inlineStr">
        <is>
          <t xml:space="preserve">ICICI Prudential Fixed Maturity Plan - Series 84 - 1288 Days Plan O - Cumulative Option</t>
        </is>
      </c>
      <c r="C5213" t="inlineStr">
        <is>
          <t xml:space="preserve">INF109KC1PG5</t>
        </is>
      </c>
    </row>
    <row r="5214">
      <c r="A5214" t="inlineStr">
        <is>
          <t xml:space="preserve">ICICI Prudential Mutual Fund</t>
        </is>
      </c>
      <c r="B5214" t="inlineStr">
        <is>
          <t xml:space="preserve">ICICI Prudential Fixed Maturity Plan - Series 84 - 1288 Days Plan O - Direct Plan Cumulative Option</t>
        </is>
      </c>
      <c r="C5214" t="inlineStr">
        <is>
          <t xml:space="preserve">INF109KC1PJ9</t>
        </is>
      </c>
    </row>
    <row r="5215">
      <c r="A5215" t="inlineStr">
        <is>
          <t xml:space="preserve">ICICI Prudential Mutual Fund</t>
        </is>
      </c>
      <c r="B5215" t="inlineStr">
        <is>
          <t xml:space="preserve">ICICI Prudential Fixed Maturity Plan - Series 84 - 1288 Days Plan O - Direct Plan Quarterly IDCW Option</t>
        </is>
      </c>
      <c r="C5215" t="inlineStr">
        <is>
          <t xml:space="preserve">INF109KC1PK7</t>
        </is>
      </c>
    </row>
    <row r="5216">
      <c r="A5216" t="inlineStr">
        <is>
          <t xml:space="preserve">ICICI Prudential Mutual Fund</t>
        </is>
      </c>
      <c r="B5216" t="inlineStr">
        <is>
          <t xml:space="preserve">ICICI Prudential Fixed Maturity Plan - Series 84 - 1293 Days Plan D - Cumulative Option</t>
        </is>
      </c>
      <c r="C5216" t="inlineStr">
        <is>
          <t xml:space="preserve">INF109KC1KU7</t>
        </is>
      </c>
    </row>
    <row r="5217">
      <c r="A5217" t="inlineStr">
        <is>
          <t xml:space="preserve">ICICI Prudential Mutual Fund</t>
        </is>
      </c>
      <c r="B5217" t="inlineStr">
        <is>
          <t xml:space="preserve">ICICI Prudential Fixed Maturity Plan - Series 84 - 1293 Days Plan D - Direct Plan Cumulative Option</t>
        </is>
      </c>
      <c r="C5217" t="inlineStr">
        <is>
          <t xml:space="preserve">INF109KC1KX1</t>
        </is>
      </c>
    </row>
    <row r="5218">
      <c r="A5218" t="inlineStr">
        <is>
          <t xml:space="preserve">ICICI Prudential Mutual Fund</t>
        </is>
      </c>
      <c r="B5218" t="inlineStr">
        <is>
          <t xml:space="preserve">ICICI Prudential Fixed Maturity Plan - Series 84 - 1293 Days Plan D - Half Yearly IDCW Option</t>
        </is>
      </c>
      <c r="C5218" t="inlineStr">
        <is>
          <t xml:space="preserve">INF109KC1KW3</t>
        </is>
      </c>
    </row>
    <row r="5219">
      <c r="A5219" t="inlineStr">
        <is>
          <t xml:space="preserve">ICICI Prudential Mutual Fund</t>
        </is>
      </c>
      <c r="B5219" t="inlineStr">
        <is>
          <t xml:space="preserve">ICICI Prudential Fixed Maturity Plan - Series 84 - 1293 Days Plan D - Quarterly IDCW Option</t>
        </is>
      </c>
      <c r="C5219" t="inlineStr">
        <is>
          <t xml:space="preserve">INF109KC1KV5</t>
        </is>
      </c>
    </row>
    <row r="5220">
      <c r="A5220" t="inlineStr">
        <is>
          <t xml:space="preserve">ICICI Prudential Mutual Fund</t>
        </is>
      </c>
      <c r="B5220" t="inlineStr">
        <is>
          <t xml:space="preserve">ICICI Prudential Fixed Maturity Plan - Series 84 - 168 Days Plan G - Cumulative Option</t>
        </is>
      </c>
      <c r="C5220" t="inlineStr">
        <is>
          <t xml:space="preserve">INF109KC1LS9</t>
        </is>
      </c>
    </row>
    <row r="5221">
      <c r="A5221" t="inlineStr">
        <is>
          <t xml:space="preserve">ICICI Prudential Mutual Fund</t>
        </is>
      </c>
      <c r="B5221" t="inlineStr">
        <is>
          <t xml:space="preserve">ICICI Prudential Fixed Maturity Plan - Series 84 - 168 Days Plan G - Direct Plan Cumulative Option</t>
        </is>
      </c>
      <c r="C5221" t="inlineStr">
        <is>
          <t xml:space="preserve">INF109KC1LU5</t>
        </is>
      </c>
    </row>
    <row r="5222">
      <c r="A5222" t="inlineStr">
        <is>
          <t xml:space="preserve">ICICI Prudential Mutual Fund</t>
        </is>
      </c>
      <c r="B5222" t="inlineStr">
        <is>
          <t xml:space="preserve">ICICI Prudential Fixed Maturity Plan - Series 84 - 168 Days Plan G - Dividend Option</t>
        </is>
      </c>
      <c r="C5222" t="inlineStr">
        <is>
          <t xml:space="preserve">INF109KC1LT7</t>
        </is>
      </c>
    </row>
    <row r="5223">
      <c r="A5223" t="inlineStr">
        <is>
          <t xml:space="preserve">ICICI Prudential Mutual Fund</t>
        </is>
      </c>
      <c r="B5223" t="inlineStr">
        <is>
          <t xml:space="preserve">ICICI Prudential Fixed Maturity Plan - Series 85 - 10 Years Plan I - Cumulative Option</t>
        </is>
      </c>
      <c r="C5223" t="inlineStr">
        <is>
          <t xml:space="preserve">INF109KC1VQ2</t>
        </is>
      </c>
    </row>
    <row r="5224">
      <c r="A5224" t="inlineStr">
        <is>
          <t xml:space="preserve">ICICI Prudential Mutual Fund</t>
        </is>
      </c>
      <c r="B5224" t="inlineStr">
        <is>
          <t xml:space="preserve">ICICI Prudential Fixed Maturity Plan - Series 85 - 10 Years Plan I - Direct Plan Cumulative Option</t>
        </is>
      </c>
      <c r="C5224" t="inlineStr">
        <is>
          <t xml:space="preserve">INF109KC1VT6</t>
        </is>
      </c>
    </row>
    <row r="5225">
      <c r="A5225" t="inlineStr">
        <is>
          <t xml:space="preserve">ICICI Prudential Mutual Fund</t>
        </is>
      </c>
      <c r="B5225" t="inlineStr">
        <is>
          <t xml:space="preserve">ICICI Prudential Fixed Maturity Plan - Series 85 - 10 Years Plan I - Quarterly IDCW Option</t>
        </is>
      </c>
      <c r="C5225" t="inlineStr">
        <is>
          <t xml:space="preserve">INF109KC1VR0</t>
        </is>
      </c>
    </row>
    <row r="5226">
      <c r="A5226" t="inlineStr">
        <is>
          <t xml:space="preserve">ICICI Prudential Mutual Fund</t>
        </is>
      </c>
      <c r="B5226" t="inlineStr">
        <is>
          <t xml:space="preserve">ICICI Prudential Fixed Maturity Plan - Series 85 - 1127 Days Plan O - Cumulative Option</t>
        </is>
      </c>
      <c r="C5226" t="inlineStr">
        <is>
          <t xml:space="preserve">INF109KC1WY4</t>
        </is>
      </c>
    </row>
    <row r="5227">
      <c r="A5227" t="inlineStr">
        <is>
          <t xml:space="preserve">ICICI Prudential Mutual Fund</t>
        </is>
      </c>
      <c r="B5227" t="inlineStr">
        <is>
          <t xml:space="preserve">ICICI Prudential Fixed Maturity Plan - Series 85 - 1127 Days Plan O - Direct Plan Cumulative Option</t>
        </is>
      </c>
      <c r="C5227" t="inlineStr">
        <is>
          <t xml:space="preserve">INF109KC1XB0</t>
        </is>
      </c>
    </row>
    <row r="5228">
      <c r="A5228" t="inlineStr">
        <is>
          <t xml:space="preserve">ICICI Prudential Mutual Fund</t>
        </is>
      </c>
      <c r="B5228" t="inlineStr">
        <is>
          <t xml:space="preserve">ICICI Prudential Fixed Maturity Plan - Series 85 - 1127 Days Plan O - Half Yearly IDCW Option</t>
        </is>
      </c>
      <c r="C5228" t="inlineStr">
        <is>
          <t xml:space="preserve">INF109KC1XA2</t>
        </is>
      </c>
    </row>
    <row r="5229">
      <c r="A5229" t="inlineStr">
        <is>
          <t xml:space="preserve">ICICI Prudential Mutual Fund</t>
        </is>
      </c>
      <c r="B5229" t="inlineStr">
        <is>
          <t xml:space="preserve">ICICI Prudential Fixed Maturity Plan - Series 85 - 1127 Days Plan Q - Cumulative Option</t>
        </is>
      </c>
      <c r="C5229" t="inlineStr">
        <is>
          <t xml:space="preserve">INF109KC1XO3</t>
        </is>
      </c>
    </row>
    <row r="5230">
      <c r="A5230" t="inlineStr">
        <is>
          <t xml:space="preserve">ICICI Prudential Mutual Fund</t>
        </is>
      </c>
      <c r="B5230" t="inlineStr">
        <is>
          <t xml:space="preserve">ICICI Prudential Fixed Maturity Plan - Series 85 - 1127 Days Plan Q - Direct Plan Cumulative Option</t>
        </is>
      </c>
      <c r="C5230" t="inlineStr">
        <is>
          <t xml:space="preserve">INF109KC1XR6</t>
        </is>
      </c>
    </row>
    <row r="5231">
      <c r="A5231" t="inlineStr">
        <is>
          <t xml:space="preserve">ICICI Prudential Mutual Fund</t>
        </is>
      </c>
      <c r="B5231" t="inlineStr">
        <is>
          <t xml:space="preserve">ICICI Prudential Fixed Maturity Plan - Series 85 - 1127 Days Plan Q - Half Yearly IDCW Option</t>
        </is>
      </c>
      <c r="C5231" t="inlineStr">
        <is>
          <t xml:space="preserve">INF109KC1XQ8</t>
        </is>
      </c>
    </row>
    <row r="5232">
      <c r="A5232" t="inlineStr">
        <is>
          <t xml:space="preserve">ICICI Prudential Mutual Fund</t>
        </is>
      </c>
      <c r="B5232" t="inlineStr">
        <is>
          <t xml:space="preserve">ICICI Prudential Fixed Maturity Plan - Series 85 - 1127 Days Plan Q - Quarterly IDCW Option</t>
        </is>
      </c>
      <c r="C5232" t="inlineStr">
        <is>
          <t xml:space="preserve">INF109KC1XP0</t>
        </is>
      </c>
    </row>
    <row r="5233">
      <c r="A5233" t="inlineStr">
        <is>
          <t xml:space="preserve">ICICI Prudential Mutual Fund</t>
        </is>
      </c>
      <c r="B5233" t="inlineStr">
        <is>
          <t xml:space="preserve">ICICI Prudential Fixed Maturity Plan - Series 85 - 1129 Days Plan P - Cumulative Option</t>
        </is>
      </c>
      <c r="C5233" t="inlineStr">
        <is>
          <t xml:space="preserve">INF109KC1XI5</t>
        </is>
      </c>
    </row>
    <row r="5234">
      <c r="A5234" t="inlineStr">
        <is>
          <t xml:space="preserve">ICICI Prudential Mutual Fund</t>
        </is>
      </c>
      <c r="B5234" t="inlineStr">
        <is>
          <t xml:space="preserve">ICICI Prudential Fixed Maturity Plan - Series 85 - 1129 Days Plan P - Direct Plan Cumulative Option</t>
        </is>
      </c>
      <c r="C5234" t="inlineStr">
        <is>
          <t xml:space="preserve">INF109KC1XL9</t>
        </is>
      </c>
    </row>
    <row r="5235">
      <c r="A5235" t="inlineStr">
        <is>
          <t xml:space="preserve">ICICI Prudential Mutual Fund</t>
        </is>
      </c>
      <c r="B5235" t="inlineStr">
        <is>
          <t xml:space="preserve">ICICI Prudential Fixed Maturity Plan - Series 85 - 1129 Days Plan P - Quarterly IDCW Option</t>
        </is>
      </c>
      <c r="C5235" t="inlineStr">
        <is>
          <t xml:space="preserve">INF109KC1XJ3</t>
        </is>
      </c>
    </row>
    <row r="5236">
      <c r="A5236" t="inlineStr">
        <is>
          <t xml:space="preserve">ICICI Prudential Mutual Fund</t>
        </is>
      </c>
      <c r="B5236" t="inlineStr">
        <is>
          <t xml:space="preserve">ICICI Prudential Fixed Maturity Plan - Series 85 - 1140 Days Plan R - Cumulative Option</t>
        </is>
      </c>
      <c r="C5236" t="inlineStr">
        <is>
          <t xml:space="preserve">INF109KC1XU0</t>
        </is>
      </c>
    </row>
    <row r="5237">
      <c r="A5237" t="inlineStr">
        <is>
          <t xml:space="preserve">ICICI Prudential Mutual Fund</t>
        </is>
      </c>
      <c r="B5237" t="inlineStr">
        <is>
          <t xml:space="preserve">ICICI Prudential Fixed Maturity Plan - Series 85 - 1140 Days Plan R - Direct Plan Cumulative Option</t>
        </is>
      </c>
      <c r="C5237" t="inlineStr">
        <is>
          <t xml:space="preserve">INF109KC1XX4</t>
        </is>
      </c>
    </row>
    <row r="5238">
      <c r="A5238" t="inlineStr">
        <is>
          <t xml:space="preserve">ICICI Prudential Mutual Fund</t>
        </is>
      </c>
      <c r="B5238" t="inlineStr">
        <is>
          <t xml:space="preserve">ICICI Prudential Fixed Maturity Plan - Series 85 - 1140 Days Plan R - Quarterly IDCW Option</t>
        </is>
      </c>
      <c r="C5238" t="inlineStr">
        <is>
          <t xml:space="preserve">INF109KC1XV8</t>
        </is>
      </c>
    </row>
    <row r="5239">
      <c r="A5239" t="inlineStr">
        <is>
          <t xml:space="preserve">ICICI Prudential Mutual Fund</t>
        </is>
      </c>
      <c r="B5239" t="inlineStr">
        <is>
          <t xml:space="preserve">ICICI Prudential Fixed Maturity Plan - Series 85 - 1143 Days Plan J - Cumulative Option</t>
        </is>
      </c>
      <c r="C5239" t="inlineStr">
        <is>
          <t xml:space="preserve">INF109KC1VK5</t>
        </is>
      </c>
    </row>
    <row r="5240">
      <c r="A5240" t="inlineStr">
        <is>
          <t xml:space="preserve">ICICI Prudential Mutual Fund</t>
        </is>
      </c>
      <c r="B5240" t="inlineStr">
        <is>
          <t xml:space="preserve">ICICI Prudential Fixed Maturity Plan - Series 85 - 1143 Days Plan J - Direct Plan Cumulative Option</t>
        </is>
      </c>
      <c r="C5240" t="inlineStr">
        <is>
          <t xml:space="preserve">INF109KC1VN9</t>
        </is>
      </c>
    </row>
    <row r="5241">
      <c r="A5241" t="inlineStr">
        <is>
          <t xml:space="preserve">ICICI Prudential Mutual Fund</t>
        </is>
      </c>
      <c r="B5241" t="inlineStr">
        <is>
          <t xml:space="preserve">ICICI Prudential Fixed Maturity Plan - Series 85 - 1143 Days Plan J - Direct Plan Quarterly IDCW Option</t>
        </is>
      </c>
      <c r="C5241" t="inlineStr">
        <is>
          <t xml:space="preserve">INF109KC1VO7</t>
        </is>
      </c>
    </row>
    <row r="5242">
      <c r="A5242" t="inlineStr">
        <is>
          <t xml:space="preserve">ICICI Prudential Mutual Fund</t>
        </is>
      </c>
      <c r="B5242" t="inlineStr">
        <is>
          <t xml:space="preserve">ICICI Prudential Fixed Maturity Plan - Series 85 - 1143 Days Plan J - Half Yearly IDCW Option</t>
        </is>
      </c>
      <c r="C5242" t="inlineStr">
        <is>
          <t xml:space="preserve">INF109KC1VM1</t>
        </is>
      </c>
    </row>
    <row r="5243">
      <c r="A5243" t="inlineStr">
        <is>
          <t xml:space="preserve">ICICI Prudential Mutual Fund</t>
        </is>
      </c>
      <c r="B5243" t="inlineStr">
        <is>
          <t xml:space="preserve">ICICI Prudential Fixed Maturity Plan - Series 85 - 1156 Days Plan F - Cumulative Option</t>
        </is>
      </c>
      <c r="C5243" t="inlineStr">
        <is>
          <t xml:space="preserve">INF109KC1UK7</t>
        </is>
      </c>
    </row>
    <row r="5244">
      <c r="A5244" t="inlineStr">
        <is>
          <t xml:space="preserve">ICICI Prudential Mutual Fund</t>
        </is>
      </c>
      <c r="B5244" t="inlineStr">
        <is>
          <t xml:space="preserve">ICICI Prudential Fixed Maturity Plan - Series 85 - 1156 Days Plan F - Direct Plan Cumulative Option</t>
        </is>
      </c>
      <c r="C5244" t="inlineStr">
        <is>
          <t xml:space="preserve">INF109KC1UN1</t>
        </is>
      </c>
    </row>
    <row r="5245">
      <c r="A5245" t="inlineStr">
        <is>
          <t xml:space="preserve">ICICI Prudential Mutual Fund</t>
        </is>
      </c>
      <c r="B5245" t="inlineStr">
        <is>
          <t xml:space="preserve">ICICI Prudential Fixed Maturity Plan - Series 85 - 1156 Days Plan F - Direct Plan Half Yearly IDCW Option</t>
        </is>
      </c>
      <c r="C5245" t="inlineStr">
        <is>
          <t xml:space="preserve">INF109KC1UP6</t>
        </is>
      </c>
    </row>
    <row r="5246">
      <c r="A5246" t="inlineStr">
        <is>
          <t xml:space="preserve">ICICI Prudential Mutual Fund</t>
        </is>
      </c>
      <c r="B5246" t="inlineStr">
        <is>
          <t xml:space="preserve">ICICI Prudential Fixed Maturity Plan - Series 85 - 1156 Days Plan F - Half Yearly IDCW Option</t>
        </is>
      </c>
      <c r="C5246" t="inlineStr">
        <is>
          <t xml:space="preserve">INF109KC1UM3</t>
        </is>
      </c>
    </row>
    <row r="5247">
      <c r="A5247" t="inlineStr">
        <is>
          <t xml:space="preserve">ICICI Prudential Mutual Fund</t>
        </is>
      </c>
      <c r="B5247" t="inlineStr">
        <is>
          <t xml:space="preserve">ICICI Prudential Fixed Maturity Plan - Series 85 - 1156 Days Plan F - Quarterly IDCW Option</t>
        </is>
      </c>
      <c r="C5247" t="inlineStr">
        <is>
          <t xml:space="preserve">INF109KC1UL5</t>
        </is>
      </c>
    </row>
    <row r="5248">
      <c r="A5248" t="inlineStr">
        <is>
          <t xml:space="preserve">ICICI Prudential Mutual Fund</t>
        </is>
      </c>
      <c r="B5248" t="inlineStr">
        <is>
          <t xml:space="preserve">ICICI Prudential Fixed Maturity Plan - Series 85 - 1156 Days Plan G - Cumulative Option</t>
        </is>
      </c>
      <c r="C5248" t="inlineStr">
        <is>
          <t xml:space="preserve">INF109KC1UQ4</t>
        </is>
      </c>
    </row>
    <row r="5249">
      <c r="A5249" t="inlineStr">
        <is>
          <t xml:space="preserve">ICICI Prudential Mutual Fund</t>
        </is>
      </c>
      <c r="B5249" t="inlineStr">
        <is>
          <t xml:space="preserve">ICICI Prudential Fixed Maturity Plan - Series 85 - 1156 Days Plan G - Direct Plan Cumulative Option</t>
        </is>
      </c>
      <c r="C5249" t="inlineStr">
        <is>
          <t xml:space="preserve">INF109KC1UT8</t>
        </is>
      </c>
    </row>
    <row r="5250">
      <c r="A5250" t="inlineStr">
        <is>
          <t xml:space="preserve">ICICI Prudential Mutual Fund</t>
        </is>
      </c>
      <c r="B5250" t="inlineStr">
        <is>
          <t xml:space="preserve">ICICI Prudential Fixed Maturity Plan - Series 85 - 1156 Days Plan G - Half Yearly IDCW Option</t>
        </is>
      </c>
      <c r="C5250" t="inlineStr">
        <is>
          <t xml:space="preserve">INF109KC1US0</t>
        </is>
      </c>
    </row>
    <row r="5251">
      <c r="A5251" t="inlineStr">
        <is>
          <t xml:space="preserve">ICICI Prudential Mutual Fund</t>
        </is>
      </c>
      <c r="B5251" t="inlineStr">
        <is>
          <t xml:space="preserve">ICICI Prudential Fixed Maturity Plan - Series 85 - 1156 Days Plan G - Quarterly IDCW Option</t>
        </is>
      </c>
      <c r="C5251" t="inlineStr">
        <is>
          <t xml:space="preserve">INF109KC1UR2</t>
        </is>
      </c>
    </row>
    <row r="5252">
      <c r="A5252" t="inlineStr">
        <is>
          <t xml:space="preserve">ICICI Prudential Mutual Fund</t>
        </is>
      </c>
      <c r="B5252" t="inlineStr">
        <is>
          <t xml:space="preserve">ICICI Prudential Fixed Maturity Plan - Series 85 - 1168 Days Plan E - Cumulative Option</t>
        </is>
      </c>
      <c r="C5252" t="inlineStr">
        <is>
          <t xml:space="preserve">INF109KC1TK9</t>
        </is>
      </c>
    </row>
    <row r="5253">
      <c r="A5253" t="inlineStr">
        <is>
          <t xml:space="preserve">ICICI Prudential Mutual Fund</t>
        </is>
      </c>
      <c r="B5253" t="inlineStr">
        <is>
          <t xml:space="preserve">ICICI Prudential Fixed Maturity Plan - Series 85 - 1168 Days Plan E - Direct Plan Cumulative Option</t>
        </is>
      </c>
      <c r="C5253" t="inlineStr">
        <is>
          <t xml:space="preserve">INF109KC1TN3</t>
        </is>
      </c>
    </row>
    <row r="5254">
      <c r="A5254" t="inlineStr">
        <is>
          <t xml:space="preserve">ICICI Prudential Mutual Fund</t>
        </is>
      </c>
      <c r="B5254" t="inlineStr">
        <is>
          <t xml:space="preserve">ICICI Prudential Fixed Maturity Plan - Series 85 - 1168 Days Plan E - Direct Plan Quarterly IDCW Option</t>
        </is>
      </c>
      <c r="C5254" t="inlineStr">
        <is>
          <t xml:space="preserve">INF109KC1TO1</t>
        </is>
      </c>
    </row>
    <row r="5255">
      <c r="A5255" t="inlineStr">
        <is>
          <t xml:space="preserve">ICICI Prudential Mutual Fund</t>
        </is>
      </c>
      <c r="B5255" t="inlineStr">
        <is>
          <t xml:space="preserve">ICICI Prudential Fixed Maturity Plan - Series 85 - 1168 Days Plan E - Quarterly IDCW Option</t>
        </is>
      </c>
      <c r="C5255" t="inlineStr">
        <is>
          <t xml:space="preserve">INF109KC1TL7</t>
        </is>
      </c>
    </row>
    <row r="5256">
      <c r="A5256" t="inlineStr">
        <is>
          <t xml:space="preserve">ICICI Prudential Mutual Fund</t>
        </is>
      </c>
      <c r="B5256" t="inlineStr">
        <is>
          <t xml:space="preserve">ICICI Prudential Fixed Maturity Plan - Series 85 - 1175 Days Plan D - Cumulative Option</t>
        </is>
      </c>
      <c r="C5256" t="inlineStr">
        <is>
          <t xml:space="preserve">INF109KC1TA0</t>
        </is>
      </c>
    </row>
    <row r="5257">
      <c r="A5257" t="inlineStr">
        <is>
          <t xml:space="preserve">ICICI Prudential Mutual Fund</t>
        </is>
      </c>
      <c r="B5257" t="inlineStr">
        <is>
          <t xml:space="preserve">ICICI Prudential Fixed Maturity Plan - Series 85 - 1175 Days Plan D - Direct Plan Cumulative Option</t>
        </is>
      </c>
      <c r="C5257" t="inlineStr">
        <is>
          <t xml:space="preserve">INF109KC1TD4</t>
        </is>
      </c>
    </row>
    <row r="5258">
      <c r="A5258" t="inlineStr">
        <is>
          <t xml:space="preserve">ICICI Prudential Mutual Fund</t>
        </is>
      </c>
      <c r="B5258" t="inlineStr">
        <is>
          <t xml:space="preserve">ICICI Prudential Fixed Maturity Plan - Series 85 - 1175 Days Plan D - Direct Plan Quarterly IDCW Option</t>
        </is>
      </c>
      <c r="C5258" t="inlineStr">
        <is>
          <t xml:space="preserve">INF109KC1TE2</t>
        </is>
      </c>
    </row>
    <row r="5259">
      <c r="A5259" t="inlineStr">
        <is>
          <t xml:space="preserve">ICICI Prudential Mutual Fund</t>
        </is>
      </c>
      <c r="B5259" t="inlineStr">
        <is>
          <t xml:space="preserve">ICICI Prudential Fixed Maturity Plan - Series 85 - 1175 Days Plan D - Half Yearly IDCW Option</t>
        </is>
      </c>
      <c r="C5259" t="inlineStr">
        <is>
          <t xml:space="preserve">INF109KC1TC6</t>
        </is>
      </c>
    </row>
    <row r="5260">
      <c r="A5260" t="inlineStr">
        <is>
          <t xml:space="preserve">ICICI Prudential Mutual Fund</t>
        </is>
      </c>
      <c r="B5260" t="inlineStr">
        <is>
          <t xml:space="preserve">ICICI Prudential Fixed Maturity Plan - Series 85 - 1175 Days Plan D - Quarterly IDCW Option</t>
        </is>
      </c>
      <c r="C5260" t="inlineStr">
        <is>
          <t xml:space="preserve">INF109KC1TB8</t>
        </is>
      </c>
    </row>
    <row r="5261">
      <c r="A5261" t="inlineStr">
        <is>
          <t xml:space="preserve">ICICI Prudential Mutual Fund</t>
        </is>
      </c>
      <c r="B5261" t="inlineStr">
        <is>
          <t xml:space="preserve">ICICI Prudential Fixed Maturity Plan - Series 85 - 1178 Days Plan B - Cumulative Option</t>
        </is>
      </c>
      <c r="C5261" t="inlineStr">
        <is>
          <t xml:space="preserve">INF109KC1SO3</t>
        </is>
      </c>
    </row>
    <row r="5262">
      <c r="A5262" t="inlineStr">
        <is>
          <t xml:space="preserve">ICICI Prudential Mutual Fund</t>
        </is>
      </c>
      <c r="B5262" t="inlineStr">
        <is>
          <t xml:space="preserve">ICICI Prudential Fixed Maturity Plan - Series 85 - 1178 Days Plan B - Direct Plan Cumulative Option</t>
        </is>
      </c>
      <c r="C5262" t="inlineStr">
        <is>
          <t xml:space="preserve">INF109KC1SR6</t>
        </is>
      </c>
    </row>
    <row r="5263">
      <c r="A5263" t="inlineStr">
        <is>
          <t xml:space="preserve">ICICI Prudential Mutual Fund</t>
        </is>
      </c>
      <c r="B5263" t="inlineStr">
        <is>
          <t xml:space="preserve">ICICI Prudential Fixed Maturity Plan - Series 85 - 1178 Days Plan B - Direct Plan Half Yearly IDCW Option</t>
        </is>
      </c>
      <c r="C5263" t="inlineStr">
        <is>
          <t xml:space="preserve">INF109KC1ST2</t>
        </is>
      </c>
    </row>
    <row r="5264">
      <c r="A5264" t="inlineStr">
        <is>
          <t xml:space="preserve">ICICI Prudential Mutual Fund</t>
        </is>
      </c>
      <c r="B5264" t="inlineStr">
        <is>
          <t xml:space="preserve">ICICI Prudential Fixed Maturity Plan - Series 85 - 1178 Days Plan B - Direct Plan Quarterly IDCW Option</t>
        </is>
      </c>
      <c r="C5264" t="inlineStr">
        <is>
          <t xml:space="preserve">INF109KC1SS4</t>
        </is>
      </c>
    </row>
    <row r="5265">
      <c r="A5265" t="inlineStr">
        <is>
          <t xml:space="preserve">ICICI Prudential Mutual Fund</t>
        </is>
      </c>
      <c r="B5265" t="inlineStr">
        <is>
          <t xml:space="preserve">ICICI Prudential Fixed Maturity Plan - Series 85 - 1178 Days Plan B - Half Yearly IDCW Option</t>
        </is>
      </c>
      <c r="C5265" t="inlineStr">
        <is>
          <t xml:space="preserve">INF109KC1SQ8</t>
        </is>
      </c>
    </row>
    <row r="5266">
      <c r="A5266" t="inlineStr">
        <is>
          <t xml:space="preserve">ICICI Prudential Mutual Fund</t>
        </is>
      </c>
      <c r="B5266" t="inlineStr">
        <is>
          <t xml:space="preserve">ICICI Prudential Fixed Maturity Plan - Series 85 - 1178 Days Plan B - Quarterly IDCW Option</t>
        </is>
      </c>
      <c r="C5266" t="inlineStr">
        <is>
          <t xml:space="preserve">INF109KC1SP0</t>
        </is>
      </c>
    </row>
    <row r="5267">
      <c r="A5267" t="inlineStr">
        <is>
          <t xml:space="preserve">ICICI Prudential Mutual Fund</t>
        </is>
      </c>
      <c r="B5267" t="inlineStr">
        <is>
          <t xml:space="preserve">ICICI Prudential Fixed Maturity Plan - Series 85 - 1185 Days Plan C - Cumulative Option</t>
        </is>
      </c>
      <c r="C5267" t="inlineStr">
        <is>
          <t xml:space="preserve">INF109KC1SU0</t>
        </is>
      </c>
    </row>
    <row r="5268">
      <c r="A5268" t="inlineStr">
        <is>
          <t xml:space="preserve">ICICI Prudential Mutual Fund</t>
        </is>
      </c>
      <c r="B5268" t="inlineStr">
        <is>
          <t xml:space="preserve">ICICI Prudential Fixed Maturity Plan - Series 85 - 1185 Days Plan C - Direct Plan Cumulative Option</t>
        </is>
      </c>
      <c r="C5268" t="inlineStr">
        <is>
          <t xml:space="preserve">INF109KC1SX4</t>
        </is>
      </c>
    </row>
    <row r="5269">
      <c r="A5269" t="inlineStr">
        <is>
          <t xml:space="preserve">ICICI Prudential Mutual Fund</t>
        </is>
      </c>
      <c r="B5269" t="inlineStr">
        <is>
          <t xml:space="preserve">ICICI Prudential Fixed Maturity Plan - Series 85 - 1185 Days Plan C - Direct Plan Half Yearly IDCW Option</t>
        </is>
      </c>
      <c r="C5269" t="inlineStr">
        <is>
          <t xml:space="preserve">INF109KC1SZ9</t>
        </is>
      </c>
    </row>
    <row r="5270">
      <c r="A5270" t="inlineStr">
        <is>
          <t xml:space="preserve">ICICI Prudential Mutual Fund</t>
        </is>
      </c>
      <c r="B5270" t="inlineStr">
        <is>
          <t xml:space="preserve">ICICI Prudential Fixed Maturity Plan - Series 85 - 1185 Days Plan C - Half Yearly IDCW Option</t>
        </is>
      </c>
      <c r="C5270" t="inlineStr">
        <is>
          <t xml:space="preserve">INF109KC1SW6</t>
        </is>
      </c>
    </row>
    <row r="5271">
      <c r="A5271" t="inlineStr">
        <is>
          <t xml:space="preserve">ICICI Prudential Mutual Fund</t>
        </is>
      </c>
      <c r="B5271" t="inlineStr">
        <is>
          <t xml:space="preserve">ICICI Prudential Fixed Maturity Plan - Series 85 - 1185 Days Plan C - Quarterly IDCW Option</t>
        </is>
      </c>
      <c r="C5271" t="inlineStr">
        <is>
          <t xml:space="preserve">INF109KC1SV8</t>
        </is>
      </c>
    </row>
    <row r="5272">
      <c r="A5272" t="inlineStr">
        <is>
          <t xml:space="preserve">ICICI Prudential Mutual Fund</t>
        </is>
      </c>
      <c r="B5272" t="inlineStr">
        <is>
          <t xml:space="preserve">ICICI Prudential Fixed Maturity Plan - Series 85 - 1197 Days Plan A - Cumulative Option</t>
        </is>
      </c>
      <c r="C5272" t="inlineStr">
        <is>
          <t xml:space="preserve">INF109KC1SI5</t>
        </is>
      </c>
    </row>
    <row r="5273">
      <c r="A5273" t="inlineStr">
        <is>
          <t xml:space="preserve">ICICI Prudential Mutual Fund</t>
        </is>
      </c>
      <c r="B5273" t="inlineStr">
        <is>
          <t xml:space="preserve">ICICI Prudential Fixed Maturity Plan - Series 85 - 1197 Days Plan A - Direct Plan Cumulative Option</t>
        </is>
      </c>
      <c r="C5273" t="inlineStr">
        <is>
          <t xml:space="preserve">INF109KC1SL9</t>
        </is>
      </c>
    </row>
    <row r="5274">
      <c r="A5274" t="inlineStr">
        <is>
          <t xml:space="preserve">ICICI Prudential Mutual Fund</t>
        </is>
      </c>
      <c r="B5274" t="inlineStr">
        <is>
          <t xml:space="preserve">ICICI Prudential Fixed Maturity Plan - Series 85 - 1197 Days Plan A - Direct Plan Quarterly IDCW Option</t>
        </is>
      </c>
      <c r="C5274" t="inlineStr">
        <is>
          <t xml:space="preserve">INF109KC1SM7</t>
        </is>
      </c>
    </row>
    <row r="5275">
      <c r="A5275" t="inlineStr">
        <is>
          <t xml:space="preserve">ICICI Prudential Mutual Fund</t>
        </is>
      </c>
      <c r="B5275" t="inlineStr">
        <is>
          <t xml:space="preserve">ICICI Prudential Fixed Maturity Plan - Series 85 - 1197 Days Plan A - Half Yearly IDCW Option</t>
        </is>
      </c>
      <c r="C5275" t="inlineStr">
        <is>
          <t xml:space="preserve">INF109KC1SK1</t>
        </is>
      </c>
    </row>
    <row r="5276">
      <c r="A5276" t="inlineStr">
        <is>
          <t xml:space="preserve">ICICI Prudential Mutual Fund</t>
        </is>
      </c>
      <c r="B5276" t="inlineStr">
        <is>
          <t xml:space="preserve">ICICI Prudential Fixed Maturity Plan - Series 85 - 1197 Days Plan A - Quarterly IDCW Option</t>
        </is>
      </c>
      <c r="C5276" t="inlineStr">
        <is>
          <t xml:space="preserve">INF109KC1SJ3</t>
        </is>
      </c>
    </row>
    <row r="5277">
      <c r="A5277" t="inlineStr">
        <is>
          <t xml:space="preserve">ICICI Prudential Mutual Fund</t>
        </is>
      </c>
      <c r="B5277" t="inlineStr">
        <is>
          <t xml:space="preserve">ICICI Prudential Fixed Maturity Plan - Series 86 - 1099 Days Plan A - Cumulative Option</t>
        </is>
      </c>
      <c r="C5277" t="inlineStr">
        <is>
          <t xml:space="preserve">INF109KC1A21</t>
        </is>
      </c>
    </row>
    <row r="5278">
      <c r="A5278" t="inlineStr">
        <is>
          <t xml:space="preserve">ICICI Prudential Mutual Fund</t>
        </is>
      </c>
      <c r="B5278" t="inlineStr">
        <is>
          <t xml:space="preserve">ICICI Prudential Fixed Maturity Plan - Series 86 - 1099 Days Plan A - Direct Plan Cumulative Option</t>
        </is>
      </c>
      <c r="C5278" t="inlineStr">
        <is>
          <t xml:space="preserve">INF109KC1A54</t>
        </is>
      </c>
    </row>
    <row r="5279">
      <c r="A5279" t="inlineStr">
        <is>
          <t xml:space="preserve">ICICI Prudential Mutual Fund</t>
        </is>
      </c>
      <c r="B5279" t="inlineStr">
        <is>
          <t xml:space="preserve">ICICI Prudential Fixed Maturity Plan - Series 86 - 1099 Days Plan A - Direct Plan Half Yearly IDCW Option</t>
        </is>
      </c>
      <c r="C5279" t="inlineStr">
        <is>
          <t xml:space="preserve">INF109KC1A70</t>
        </is>
      </c>
    </row>
    <row r="5280">
      <c r="A5280" t="inlineStr">
        <is>
          <t xml:space="preserve">ICICI Prudential Mutual Fund</t>
        </is>
      </c>
      <c r="B5280" t="inlineStr">
        <is>
          <t xml:space="preserve">ICICI Prudential Fixed Maturity Plan - Series 86 - 1099 Days Plan A - Half Yearly IDCW Option</t>
        </is>
      </c>
      <c r="C5280" t="inlineStr">
        <is>
          <t xml:space="preserve">INF109KC1A47</t>
        </is>
      </c>
    </row>
    <row r="5281">
      <c r="A5281" t="inlineStr">
        <is>
          <t xml:space="preserve">ICICI Prudential Mutual Fund</t>
        </is>
      </c>
      <c r="B5281" t="inlineStr">
        <is>
          <t xml:space="preserve">ICICI Prudential Fixed Maturity Plan - Series 86 - 1099 Days Plan A - Quarterly IDCW Option</t>
        </is>
      </c>
      <c r="C5281" t="inlineStr">
        <is>
          <t xml:space="preserve">INF109KC1A39</t>
        </is>
      </c>
    </row>
    <row r="5282">
      <c r="A5282" t="inlineStr">
        <is>
          <t xml:space="preserve">ICICI Prudential Mutual Fund</t>
        </is>
      </c>
      <c r="B5282" t="inlineStr">
        <is>
          <t xml:space="preserve">ICICI Prudential Fixed Maturity Plan - Series 87 - 1141 Days Plan G - Cumulative Option</t>
        </is>
      </c>
      <c r="C5282" t="inlineStr">
        <is>
          <t xml:space="preserve">INF109KC1K52</t>
        </is>
      </c>
    </row>
    <row r="5283">
      <c r="A5283" t="inlineStr">
        <is>
          <t xml:space="preserve">ICICI Prudential Mutual Fund</t>
        </is>
      </c>
      <c r="B5283" t="inlineStr">
        <is>
          <t xml:space="preserve">ICICI Prudential Fixed Maturity Plan - Series 87 - 1141 Days Plan G - Direct Plan Cumulative Option</t>
        </is>
      </c>
      <c r="C5283" t="inlineStr">
        <is>
          <t xml:space="preserve">INF109KC1K86</t>
        </is>
      </c>
    </row>
    <row r="5284">
      <c r="A5284" t="inlineStr">
        <is>
          <t xml:space="preserve">ICICI Prudential Mutual Fund</t>
        </is>
      </c>
      <c r="B5284" t="inlineStr">
        <is>
          <t xml:space="preserve">ICICI Prudential Fixed Maturity Plan - Series 87 - 1141 Days Plan G - Half Yearly IDCW Option</t>
        </is>
      </c>
      <c r="C5284" t="inlineStr">
        <is>
          <t xml:space="preserve">INF109KC1K78</t>
        </is>
      </c>
    </row>
    <row r="5285">
      <c r="A5285" t="inlineStr">
        <is>
          <t xml:space="preserve">ICICI Prudential Mutual Fund</t>
        </is>
      </c>
      <c r="B5285" t="inlineStr">
        <is>
          <t xml:space="preserve">ICICI Prudential Fixed Maturity Plan - Series 87 - 1141 Days Plan G - Quarterly IDCW Option</t>
        </is>
      </c>
      <c r="C5285" t="inlineStr">
        <is>
          <t xml:space="preserve">INF109KC1K60</t>
        </is>
      </c>
    </row>
    <row r="5286">
      <c r="A5286" t="inlineStr">
        <is>
          <t xml:space="preserve">ICICI Prudential Mutual Fund</t>
        </is>
      </c>
      <c r="B5286" t="inlineStr">
        <is>
          <t xml:space="preserve">ICICI Prudential Fixed Maturity Plan - Series 87 - 1174 Days Plan B - Cumulative Option</t>
        </is>
      </c>
      <c r="C5286" t="inlineStr">
        <is>
          <t xml:space="preserve">INF109KC1G90</t>
        </is>
      </c>
    </row>
    <row r="5287">
      <c r="A5287" t="inlineStr">
        <is>
          <t xml:space="preserve">ICICI Prudential Mutual Fund</t>
        </is>
      </c>
      <c r="B5287" t="inlineStr">
        <is>
          <t xml:space="preserve">ICICI Prudential Fixed Maturity Plan - Series 87 - 1174 Days Plan B - Direct Plan Cumulative Option</t>
        </is>
      </c>
      <c r="C5287" t="inlineStr">
        <is>
          <t xml:space="preserve">INF109KC1H24</t>
        </is>
      </c>
    </row>
    <row r="5288">
      <c r="A5288" t="inlineStr">
        <is>
          <t xml:space="preserve">ICICI Prudential Mutual Fund</t>
        </is>
      </c>
      <c r="B5288" t="inlineStr">
        <is>
          <t xml:space="preserve">ICICI Prudential Fixed Maturity Plan - Series 87 - 1174 Days Plan B - Direct Plan Half Yearly IDCW Option</t>
        </is>
      </c>
      <c r="C5288" t="inlineStr">
        <is>
          <t xml:space="preserve">INF109KC1H40</t>
        </is>
      </c>
    </row>
    <row r="5289">
      <c r="A5289" t="inlineStr">
        <is>
          <t xml:space="preserve">ICICI Prudential Mutual Fund</t>
        </is>
      </c>
      <c r="B5289" t="inlineStr">
        <is>
          <t xml:space="preserve">ICICI Prudential Fixed Maturity Plan - Series 87 - 1174 Days Plan B - Direct Plan Quarterly IDCW Option</t>
        </is>
      </c>
      <c r="C5289" t="inlineStr">
        <is>
          <t xml:space="preserve">INF109KC1H32</t>
        </is>
      </c>
    </row>
    <row r="5290">
      <c r="A5290" t="inlineStr">
        <is>
          <t xml:space="preserve">ICICI Prudential Mutual Fund</t>
        </is>
      </c>
      <c r="B5290" t="inlineStr">
        <is>
          <t xml:space="preserve">ICICI Prudential Fixed Maturity Plan - Series 87 - 1174 Days Plan B - Half Yearly IDCW Option</t>
        </is>
      </c>
      <c r="C5290" t="inlineStr">
        <is>
          <t xml:space="preserve">INF109KC1H16</t>
        </is>
      </c>
    </row>
    <row r="5291">
      <c r="A5291" t="inlineStr">
        <is>
          <t xml:space="preserve">ICICI Prudential Mutual Fund</t>
        </is>
      </c>
      <c r="B5291" t="inlineStr">
        <is>
          <t xml:space="preserve">ICICI Prudential Fixed Maturity Plan - Series 87 - 1174 Days Plan B - Quarterly IDCW Option</t>
        </is>
      </c>
      <c r="C5291" t="inlineStr">
        <is>
          <t xml:space="preserve">INF109KC1H08</t>
        </is>
      </c>
    </row>
    <row r="5292">
      <c r="A5292" t="inlineStr">
        <is>
          <t xml:space="preserve">ICICI Prudential Mutual Fund</t>
        </is>
      </c>
      <c r="B5292" t="inlineStr">
        <is>
          <t xml:space="preserve">ICICI Prudential Fixed Maturity Plan - Series 87 - 1214 Days Plan A - Cumulative Option</t>
        </is>
      </c>
      <c r="C5292" t="inlineStr">
        <is>
          <t xml:space="preserve">INF109KC1G25</t>
        </is>
      </c>
    </row>
    <row r="5293">
      <c r="A5293" t="inlineStr">
        <is>
          <t xml:space="preserve">ICICI Prudential Mutual Fund</t>
        </is>
      </c>
      <c r="B5293" t="inlineStr">
        <is>
          <t xml:space="preserve">ICICI Prudential Fixed Maturity Plan - Series 87 - 1214 Days Plan A - Direct Plan Cumulative Option</t>
        </is>
      </c>
      <c r="C5293" t="inlineStr">
        <is>
          <t xml:space="preserve">INF109KC1G58</t>
        </is>
      </c>
    </row>
    <row r="5294">
      <c r="A5294" t="inlineStr">
        <is>
          <t xml:space="preserve">ICICI Prudential Mutual Fund</t>
        </is>
      </c>
      <c r="B5294" t="inlineStr">
        <is>
          <t xml:space="preserve">ICICI Prudential Fixed Maturity Plan - Series 87 - 1214 Days Plan A - Direct Plan Half Yearly IDCW Option</t>
        </is>
      </c>
      <c r="C5294" t="inlineStr">
        <is>
          <t xml:space="preserve">INF109KC1G74</t>
        </is>
      </c>
    </row>
    <row r="5295">
      <c r="A5295" t="inlineStr">
        <is>
          <t xml:space="preserve">ICICI Prudential Mutual Fund</t>
        </is>
      </c>
      <c r="B5295" t="inlineStr">
        <is>
          <t xml:space="preserve">ICICI Prudential Fixed Maturity Plan - Series 87 - 1214 Days Plan A - Direct Plan Quarterly IDCW Option</t>
        </is>
      </c>
      <c r="C5295" t="inlineStr">
        <is>
          <t xml:space="preserve">INF109KC1G66</t>
        </is>
      </c>
    </row>
    <row r="5296">
      <c r="A5296" t="inlineStr">
        <is>
          <t xml:space="preserve">ICICI Prudential Mutual Fund</t>
        </is>
      </c>
      <c r="B5296" t="inlineStr">
        <is>
          <t xml:space="preserve">ICICI Prudential Fixed Maturity Plan - Series 87 - 1214 Days Plan A - Half Yearly IDCW Option</t>
        </is>
      </c>
      <c r="C5296" t="inlineStr">
        <is>
          <t xml:space="preserve">INF109KC1G41</t>
        </is>
      </c>
    </row>
    <row r="5297">
      <c r="A5297" t="inlineStr">
        <is>
          <t xml:space="preserve">ICICI Prudential Mutual Fund</t>
        </is>
      </c>
      <c r="B5297" t="inlineStr">
        <is>
          <t xml:space="preserve">ICICI Prudential Fixed Maturity Plan - Series 87 - 1214 Days Plan A - Quarterly IDCW Option</t>
        </is>
      </c>
      <c r="C5297" t="inlineStr">
        <is>
          <t xml:space="preserve">INF109KC1G33</t>
        </is>
      </c>
    </row>
    <row r="5298">
      <c r="A5298" t="inlineStr">
        <is>
          <t xml:space="preserve">ICICI Prudential Mutual Fund</t>
        </is>
      </c>
      <c r="B5298" t="inlineStr">
        <is>
          <t xml:space="preserve">ICICI Prudential Fixed Maturity Plan - Series 88 - 1226 Days Plan F - Direct Plan - Growth</t>
        </is>
      </c>
      <c r="C5298" t="inlineStr">
        <is>
          <t xml:space="preserve">INF109KC17M6</t>
        </is>
      </c>
    </row>
    <row r="5299">
      <c r="A5299" t="inlineStr">
        <is>
          <t xml:space="preserve">ICICI Prudential Mutual Fund</t>
        </is>
      </c>
      <c r="B5299" t="inlineStr">
        <is>
          <t xml:space="preserve">ICICI Prudential Fixed Maturity Plan - Series 88 - 1226 Days Plan F - Direct Plan - Half Yearly IDCW</t>
        </is>
      </c>
      <c r="C5299" t="inlineStr">
        <is>
          <t xml:space="preserve">INF109KC19M2</t>
        </is>
      </c>
    </row>
    <row r="5300">
      <c r="A5300" t="inlineStr">
        <is>
          <t xml:space="preserve">ICICI Prudential Mutual Fund</t>
        </is>
      </c>
      <c r="B5300" t="inlineStr">
        <is>
          <t xml:space="preserve">ICICI Prudential Fixed Maturity Plan - Series 88 - 1226 Days Plan F - Direct Plan - Quarterly IDCW</t>
        </is>
      </c>
      <c r="C5300" t="inlineStr">
        <is>
          <t xml:space="preserve">INF109KC18M4</t>
        </is>
      </c>
    </row>
    <row r="5301">
      <c r="A5301" t="inlineStr">
        <is>
          <t xml:space="preserve">ICICI Prudential Mutual Fund</t>
        </is>
      </c>
      <c r="B5301" t="inlineStr">
        <is>
          <t xml:space="preserve">ICICI Prudential Fixed Maturity Plan - Series 88 - 1226 Days Plan F - Growth</t>
        </is>
      </c>
      <c r="C5301" t="inlineStr">
        <is>
          <t xml:space="preserve">INF109KC14M3</t>
        </is>
      </c>
    </row>
    <row r="5302">
      <c r="A5302" t="inlineStr">
        <is>
          <t xml:space="preserve">ICICI Prudential Mutual Fund</t>
        </is>
      </c>
      <c r="B5302" t="inlineStr">
        <is>
          <t xml:space="preserve">ICICI Prudential Fixed Maturity Plan - Series 88 - 1226 Days Plan F - Half Yearly IDCW</t>
        </is>
      </c>
      <c r="C5302" t="inlineStr">
        <is>
          <t xml:space="preserve">INF109KC16M8</t>
        </is>
      </c>
    </row>
    <row r="5303">
      <c r="A5303" t="inlineStr">
        <is>
          <t xml:space="preserve">ICICI Prudential Mutual Fund</t>
        </is>
      </c>
      <c r="B5303" t="inlineStr">
        <is>
          <t xml:space="preserve">ICICI Prudential Fixed Maturity Plan - Series 88 - 1226 Days Plan F - Quarterly IDCW</t>
        </is>
      </c>
      <c r="C5303" t="inlineStr">
        <is>
          <t xml:space="preserve">INF109KC15M0</t>
        </is>
      </c>
    </row>
    <row r="5304">
      <c r="A5304" t="inlineStr">
        <is>
          <t xml:space="preserve">ICICI Prudential Mutual Fund</t>
        </is>
      </c>
      <c r="B5304" t="inlineStr">
        <is>
          <t xml:space="preserve">ICICI Prudential Fixed Maturity Plan - Series 88 - 1303 Days Plan S - Direct Plan - Growth</t>
        </is>
      </c>
      <c r="C5304" t="inlineStr">
        <is>
          <t xml:space="preserve">INF109KC14R2</t>
        </is>
      </c>
    </row>
    <row r="5305">
      <c r="A5305" t="inlineStr">
        <is>
          <t xml:space="preserve">ICICI Prudential Mutual Fund</t>
        </is>
      </c>
      <c r="B5305" t="inlineStr">
        <is>
          <t xml:space="preserve">ICICI Prudential Fixed Maturity Plan - Series 88 - 1303 Days Plan S - Direct Plan - IDCW</t>
        </is>
      </c>
      <c r="C5305" t="inlineStr">
        <is>
          <t xml:space="preserve">INF109KC15R9</t>
        </is>
      </c>
    </row>
    <row r="5306">
      <c r="A5306" t="inlineStr">
        <is>
          <t xml:space="preserve">ICICI Prudential Mutual Fund</t>
        </is>
      </c>
      <c r="B5306" t="inlineStr">
        <is>
          <t xml:space="preserve">ICICI Prudential Fixed Maturity Plan - Series 88 - 1303 Days Plan S - Growth</t>
        </is>
      </c>
      <c r="C5306" t="inlineStr">
        <is>
          <t xml:space="preserve">INF109KC12R6</t>
        </is>
      </c>
    </row>
    <row r="5307">
      <c r="A5307" t="inlineStr">
        <is>
          <t xml:space="preserve">ICICI Prudential Mutual Fund</t>
        </is>
      </c>
      <c r="B5307" t="inlineStr">
        <is>
          <t xml:space="preserve">ICICI Prudential Fixed Maturity Plan - Series 88 - 1303 Days Plan S - IDCW</t>
        </is>
      </c>
      <c r="C5307" t="inlineStr">
        <is>
          <t xml:space="preserve">INF109KC13R4</t>
        </is>
      </c>
    </row>
    <row r="5308">
      <c r="A5308" t="inlineStr">
        <is>
          <t xml:space="preserve">ICICI Prudential Mutual Fund</t>
        </is>
      </c>
      <c r="B5308" t="inlineStr">
        <is>
          <t xml:space="preserve">ICICI Prudential Fixed Maturity Plan - Series 88 - 226 Days Plan E - Direct Plan - Growth</t>
        </is>
      </c>
      <c r="C5308" t="inlineStr">
        <is>
          <t xml:space="preserve">INF109KC17D5</t>
        </is>
      </c>
    </row>
    <row r="5309">
      <c r="A5309" t="inlineStr">
        <is>
          <t xml:space="preserve">ICICI Prudential Mutual Fund</t>
        </is>
      </c>
      <c r="B5309" t="inlineStr">
        <is>
          <t xml:space="preserve">ICICI Prudential Fixed Maturity Plan - Series 88 - 226 Days Plan E - Direct Plan - Half Yearly IDCW</t>
        </is>
      </c>
      <c r="C5309" t="inlineStr">
        <is>
          <t xml:space="preserve">INF109KC19D1</t>
        </is>
      </c>
    </row>
    <row r="5310">
      <c r="A5310" t="inlineStr">
        <is>
          <t xml:space="preserve">ICICI Prudential Mutual Fund</t>
        </is>
      </c>
      <c r="B5310" t="inlineStr">
        <is>
          <t xml:space="preserve">ICICI Prudential Fixed Maturity Plan - Series 88 - 226 Days Plan E - Direct Plan - Quarterly IDCW</t>
        </is>
      </c>
      <c r="C5310" t="inlineStr">
        <is>
          <t xml:space="preserve">INF109KC18D3</t>
        </is>
      </c>
    </row>
    <row r="5311">
      <c r="A5311" t="inlineStr">
        <is>
          <t xml:space="preserve">ICICI Prudential Mutual Fund</t>
        </is>
      </c>
      <c r="B5311" t="inlineStr">
        <is>
          <t xml:space="preserve">ICICI Prudential Fixed Maturity Plan - Series 88 - 226 Days Plan E - Growth</t>
        </is>
      </c>
      <c r="C5311" t="inlineStr">
        <is>
          <t xml:space="preserve">INF109KC14D2</t>
        </is>
      </c>
    </row>
    <row r="5312">
      <c r="A5312" t="inlineStr">
        <is>
          <t xml:space="preserve">ICICI Prudential Mutual Fund</t>
        </is>
      </c>
      <c r="B5312" t="inlineStr">
        <is>
          <t xml:space="preserve">ICICI Prudential Fixed Maturity Plan - Series 88 - 226 Days Plan E - Quarterly IDCW</t>
        </is>
      </c>
      <c r="C5312" t="inlineStr">
        <is>
          <t xml:space="preserve">INF109KC15D9</t>
        </is>
      </c>
    </row>
    <row r="5313">
      <c r="A5313" t="inlineStr">
        <is>
          <t xml:space="preserve">ICICI Prudential Mutual Fund</t>
        </is>
      </c>
      <c r="B5313" t="inlineStr">
        <is>
          <t xml:space="preserve">ICICI Prudential Fixed Maturity Plan - Series 88 - 91 Days Plan G - Direct Plan - Growth</t>
        </is>
      </c>
      <c r="C5313" t="inlineStr">
        <is>
          <t xml:space="preserve">INF109KC12N5</t>
        </is>
      </c>
    </row>
    <row r="5314">
      <c r="A5314" t="inlineStr">
        <is>
          <t xml:space="preserve">ICICI Prudential Mutual Fund</t>
        </is>
      </c>
      <c r="B5314" t="inlineStr">
        <is>
          <t xml:space="preserve">ICICI Prudential Fixed Maturity Plan - Series 88 - 91 Days Plan G - Direct Plan - Quarterly IDCW</t>
        </is>
      </c>
      <c r="C5314" t="inlineStr">
        <is>
          <t xml:space="preserve">INF109KC13N3</t>
        </is>
      </c>
    </row>
    <row r="5315">
      <c r="A5315" t="inlineStr">
        <is>
          <t xml:space="preserve">ICICI Prudential Mutual Fund</t>
        </is>
      </c>
      <c r="B5315" t="inlineStr">
        <is>
          <t xml:space="preserve">ICICI Prudential Fixed Maturity Plan - Series 88 - 91 Days Plan G - Quarterly IDCW</t>
        </is>
      </c>
      <c r="C5315" t="inlineStr">
        <is>
          <t xml:space="preserve">INF109KC11N7</t>
        </is>
      </c>
    </row>
    <row r="5316">
      <c r="A5316" t="inlineStr">
        <is>
          <t xml:space="preserve">ICICI Prudential Mutual Fund</t>
        </is>
      </c>
      <c r="B5316" t="inlineStr">
        <is>
          <t xml:space="preserve">ICICI Prudential Fixed Maturity Plan - Series 88 - Plan U - Direct Plan - Growth</t>
        </is>
      </c>
      <c r="C5316" t="inlineStr">
        <is>
          <t xml:space="preserve">INF109KC13S2</t>
        </is>
      </c>
    </row>
    <row r="5317">
      <c r="A5317" t="inlineStr">
        <is>
          <t xml:space="preserve">ICICI Prudential Mutual Fund</t>
        </is>
      </c>
      <c r="B5317" t="inlineStr">
        <is>
          <t xml:space="preserve">ICICI Prudential Fixed Maturity Plan - Series 88 - Plan U - Direct Plan - IDCW</t>
        </is>
      </c>
      <c r="C5317" t="inlineStr">
        <is>
          <t xml:space="preserve">INF109KC14S0</t>
        </is>
      </c>
    </row>
    <row r="5318">
      <c r="A5318" t="inlineStr">
        <is>
          <t xml:space="preserve">ICICI Prudential Mutual Fund</t>
        </is>
      </c>
      <c r="B5318" t="inlineStr">
        <is>
          <t xml:space="preserve">ICICI Prudential Fixed Maturity Plan - Series 88 - Plan U - Growth</t>
        </is>
      </c>
      <c r="C5318" t="inlineStr">
        <is>
          <t xml:space="preserve">INF109KC11S6</t>
        </is>
      </c>
    </row>
    <row r="5319">
      <c r="A5319" t="inlineStr">
        <is>
          <t xml:space="preserve">ICICI Prudential Mutual Fund</t>
        </is>
      </c>
      <c r="B5319" t="inlineStr">
        <is>
          <t xml:space="preserve">ICICI Prudential Fixed Maturity Plan - Series 88 - Plan U - IDCW</t>
        </is>
      </c>
      <c r="C5319" t="inlineStr">
        <is>
          <t xml:space="preserve">INF109KC12S4</t>
        </is>
      </c>
    </row>
    <row r="5320">
      <c r="A5320" t="inlineStr">
        <is>
          <t xml:space="preserve">ICICI Prudential Mutual Fund</t>
        </is>
      </c>
      <c r="B5320" t="inlineStr">
        <is>
          <t xml:space="preserve">ICICI Prudential Fixed Maturity Plan -- Series 88 - 91 Days Plan G - Growth</t>
        </is>
      </c>
      <c r="C5320" t="inlineStr">
        <is>
          <t xml:space="preserve">INF109KC10N9</t>
        </is>
      </c>
    </row>
    <row r="5321">
      <c r="A5321" t="inlineStr">
        <is>
          <t xml:space="preserve">ICICI Prudential Mutual Fund</t>
        </is>
      </c>
      <c r="B5321" t="inlineStr">
        <is>
          <t xml:space="preserve">ICICI Prudential Fixed Maturity Plan -Series 74 - 369 Days Plan K - Dividend Option</t>
        </is>
      </c>
      <c r="C5321" t="inlineStr">
        <is>
          <t xml:space="preserve">INF109KB1FL7</t>
        </is>
      </c>
    </row>
    <row r="5322">
      <c r="A5322" t="inlineStr">
        <is>
          <t xml:space="preserve">ICICI Prudential Mutual Fund</t>
        </is>
      </c>
      <c r="B5322" t="inlineStr">
        <is>
          <t xml:space="preserve">ICICI Prudential Fixed Maturity Plan -Series 74 -367 Days Plan N Direct Plan Dividend Option</t>
        </is>
      </c>
      <c r="C5322" t="inlineStr">
        <is>
          <t xml:space="preserve">INF109KB1FR4</t>
        </is>
      </c>
    </row>
    <row r="5323">
      <c r="A5323" t="inlineStr">
        <is>
          <t xml:space="preserve">ICICI Prudential Mutual Fund</t>
        </is>
      </c>
      <c r="B5323" t="inlineStr">
        <is>
          <t xml:space="preserve">ICICI Prudential Fixed Maturity Plan -Series 74 -368 Days Plan J Cumulative Option</t>
        </is>
      </c>
      <c r="C5323" t="inlineStr">
        <is>
          <t xml:space="preserve">INF109KB1EX5</t>
        </is>
      </c>
    </row>
    <row r="5324">
      <c r="A5324" t="inlineStr">
        <is>
          <t xml:space="preserve">ICICI Prudential Mutual Fund</t>
        </is>
      </c>
      <c r="B5324" t="inlineStr">
        <is>
          <t xml:space="preserve">ICICI Prudential Fixed Maturity Plan -Series 74 -368 Days Plan J Direct Plan Dividend Option</t>
        </is>
      </c>
      <c r="C5324" t="inlineStr">
        <is>
          <t xml:space="preserve">INF109KB1FA0</t>
        </is>
      </c>
    </row>
    <row r="5325">
      <c r="A5325" t="inlineStr">
        <is>
          <t xml:space="preserve">ICICI Prudential Mutual Fund</t>
        </is>
      </c>
      <c r="B5325" t="inlineStr">
        <is>
          <t xml:space="preserve">ICICI Prudential Fixed Maturity Plan -Series 74 -368 Days Plan J Direct Plan-Cumulative Option</t>
        </is>
      </c>
      <c r="C5325" t="inlineStr">
        <is>
          <t xml:space="preserve">INF109KB1EZ0</t>
        </is>
      </c>
    </row>
    <row r="5326">
      <c r="A5326" t="inlineStr">
        <is>
          <t xml:space="preserve">ICICI Prudential Mutual Fund</t>
        </is>
      </c>
      <c r="B5326" t="inlineStr">
        <is>
          <t xml:space="preserve">ICICI Prudential Fixed Maturity Plan -Series 74 -368 Days Plan J Dividend Option</t>
        </is>
      </c>
      <c r="C5326" t="inlineStr">
        <is>
          <t xml:space="preserve">INF109KB1EY3</t>
        </is>
      </c>
    </row>
    <row r="5327">
      <c r="A5327" t="inlineStr">
        <is>
          <t xml:space="preserve">ICICI Prudential Mutual Fund</t>
        </is>
      </c>
      <c r="B5327" t="inlineStr">
        <is>
          <t xml:space="preserve">ICICI Prudential Fixed Maturity Plan -Series 74 -368 Days Plan R Cumulative Option</t>
        </is>
      </c>
      <c r="C5327" t="inlineStr">
        <is>
          <t xml:space="preserve">INF109KB1GV4</t>
        </is>
      </c>
    </row>
    <row r="5328">
      <c r="A5328" t="inlineStr">
        <is>
          <t xml:space="preserve">ICICI Prudential Mutual Fund</t>
        </is>
      </c>
      <c r="B5328" t="inlineStr">
        <is>
          <t xml:space="preserve">ICICI Prudential Fixed Maturity Plan -Series 74 -368 Days Plan R Direct Plan Cumulative Option</t>
        </is>
      </c>
      <c r="C5328" t="inlineStr">
        <is>
          <t xml:space="preserve">INF109KB1GT8</t>
        </is>
      </c>
    </row>
    <row r="5329">
      <c r="A5329" t="inlineStr">
        <is>
          <t xml:space="preserve">ICICI Prudential Mutual Fund</t>
        </is>
      </c>
      <c r="B5329" t="inlineStr">
        <is>
          <t xml:space="preserve">ICICI Prudential Fixed Maturity Plan -Series 74 -368 Days Plan R Direct Plan Dividend Option</t>
        </is>
      </c>
      <c r="C5329" t="inlineStr">
        <is>
          <t xml:space="preserve">INF109KB1GU6</t>
        </is>
      </c>
    </row>
    <row r="5330">
      <c r="A5330" t="inlineStr">
        <is>
          <t xml:space="preserve">ICICI Prudential Mutual Fund</t>
        </is>
      </c>
      <c r="B5330" t="inlineStr">
        <is>
          <t xml:space="preserve">ICICI Prudential Fixed Maturity Plan -Series 74 -369 Days Plan I - Cumulative Option</t>
        </is>
      </c>
      <c r="C5330" t="inlineStr">
        <is>
          <t xml:space="preserve">INF109KB1FB8</t>
        </is>
      </c>
    </row>
    <row r="5331">
      <c r="A5331" t="inlineStr">
        <is>
          <t xml:space="preserve">ICICI Prudential Mutual Fund</t>
        </is>
      </c>
      <c r="B5331" t="inlineStr">
        <is>
          <t xml:space="preserve">ICICI Prudential Fixed Maturity Plan -Series 74 -369 Days Plan I - Dividend Option</t>
        </is>
      </c>
      <c r="C5331" t="inlineStr">
        <is>
          <t xml:space="preserve">INF109KB1FC6</t>
        </is>
      </c>
    </row>
    <row r="5332">
      <c r="A5332" t="inlineStr">
        <is>
          <t xml:space="preserve">ICICI Prudential Mutual Fund</t>
        </is>
      </c>
      <c r="B5332" t="inlineStr">
        <is>
          <t xml:space="preserve">ICICI Prudential Fixed Maturity Plan -Series 74 -369 Days Plan I Direct Plan Dividend Option</t>
        </is>
      </c>
      <c r="C5332" t="inlineStr">
        <is>
          <t xml:space="preserve">INF109KB1FE2</t>
        </is>
      </c>
    </row>
    <row r="5333">
      <c r="A5333" t="inlineStr">
        <is>
          <t xml:space="preserve">ICICI Prudential Mutual Fund</t>
        </is>
      </c>
      <c r="B5333" t="inlineStr">
        <is>
          <t xml:space="preserve">ICICI Prudential Fixed Maturity Plan -Series 74 -369 Days Plan K Direct Plan Cumulative Option</t>
        </is>
      </c>
      <c r="C5333" t="inlineStr">
        <is>
          <t xml:space="preserve">INF109KB1FK9</t>
        </is>
      </c>
    </row>
    <row r="5334">
      <c r="A5334" t="inlineStr">
        <is>
          <t xml:space="preserve">ICICI Prudential Mutual Fund</t>
        </is>
      </c>
      <c r="B5334" t="inlineStr">
        <is>
          <t xml:space="preserve">ICICI Prudential Fixed Maturity Plan -Series 74 -369 Days Plan L - Cumulative Option</t>
        </is>
      </c>
      <c r="C5334" t="inlineStr">
        <is>
          <t xml:space="preserve">INF109KB1GR2</t>
        </is>
      </c>
    </row>
    <row r="5335">
      <c r="A5335" t="inlineStr">
        <is>
          <t xml:space="preserve">ICICI Prudential Mutual Fund</t>
        </is>
      </c>
      <c r="B5335" t="inlineStr">
        <is>
          <t xml:space="preserve">ICICI Prudential Fixed Maturity Plan -Series 74 -369 Days Plan L - Dividend Option</t>
        </is>
      </c>
      <c r="C5335" t="inlineStr">
        <is>
          <t xml:space="preserve">INF109KB1GS0</t>
        </is>
      </c>
    </row>
    <row r="5336">
      <c r="A5336" t="inlineStr">
        <is>
          <t xml:space="preserve">ICICI Prudential Mutual Fund</t>
        </is>
      </c>
      <c r="B5336" t="inlineStr">
        <is>
          <t xml:space="preserve">ICICI Prudential Fixed Maturity Plan -Series 74 -369 Days Plan L Direct Plan Cumulative Option</t>
        </is>
      </c>
      <c r="C5336" t="inlineStr">
        <is>
          <t xml:space="preserve">INF109KB1GP6</t>
        </is>
      </c>
    </row>
    <row r="5337">
      <c r="A5337" t="inlineStr">
        <is>
          <t xml:space="preserve">ICICI Prudential Mutual Fund</t>
        </is>
      </c>
      <c r="B5337" t="inlineStr">
        <is>
          <t xml:space="preserve">ICICI Prudential Fixed Maturity Plan -Series 74 -369 Days Plan T - Cumulative Option</t>
        </is>
      </c>
      <c r="C5337" t="inlineStr">
        <is>
          <t xml:space="preserve">INF109KB1GN1</t>
        </is>
      </c>
    </row>
    <row r="5338">
      <c r="A5338" t="inlineStr">
        <is>
          <t xml:space="preserve">ICICI Prudential Mutual Fund</t>
        </is>
      </c>
      <c r="B5338" t="inlineStr">
        <is>
          <t xml:space="preserve">ICICI Prudential Fixed Maturity Plan -Series 74 -369 Days Plan T - Dividend Option</t>
        </is>
      </c>
      <c r="C5338" t="inlineStr">
        <is>
          <t xml:space="preserve">INF109KB1GO9</t>
        </is>
      </c>
    </row>
    <row r="5339">
      <c r="A5339" t="inlineStr">
        <is>
          <t xml:space="preserve">ICICI Prudential Mutual Fund</t>
        </is>
      </c>
      <c r="B5339" t="inlineStr">
        <is>
          <t xml:space="preserve">ICICI Prudential Fixed Maturity Plan -Series 74 -369 Days Plan T Direct Plan Dividend Option</t>
        </is>
      </c>
      <c r="C5339" t="inlineStr">
        <is>
          <t xml:space="preserve">INF109KB1GM3</t>
        </is>
      </c>
    </row>
    <row r="5340">
      <c r="A5340" t="inlineStr">
        <is>
          <t xml:space="preserve">ICICI Prudential Mutual Fund</t>
        </is>
      </c>
      <c r="B5340" t="inlineStr">
        <is>
          <t xml:space="preserve">ICICI Prudential Fixed Maturity Plan -Series 74 -370 Days Plan Q Direct Plan Dividend Option</t>
        </is>
      </c>
      <c r="C5340" t="inlineStr">
        <is>
          <t xml:space="preserve">INF109KB1GI1</t>
        </is>
      </c>
    </row>
    <row r="5341">
      <c r="A5341" t="inlineStr">
        <is>
          <t xml:space="preserve">ICICI Prudential Mutual Fund</t>
        </is>
      </c>
      <c r="B5341" t="inlineStr">
        <is>
          <t xml:space="preserve">ICICI Prudential Fixed Maturity Plan -Series 74 -370 Days Plan Q Dividend Option</t>
        </is>
      </c>
      <c r="C5341" t="inlineStr">
        <is>
          <t xml:space="preserve">INF109KB1GK7</t>
        </is>
      </c>
    </row>
    <row r="5342">
      <c r="A5342" t="inlineStr">
        <is>
          <t xml:space="preserve">ICICI Prudential Mutual Fund</t>
        </is>
      </c>
      <c r="B5342" t="inlineStr">
        <is>
          <t xml:space="preserve">ICICI Prudential Fixed Maturity Plan -Series 74 -370 Days Plan S  Cumulative Option</t>
        </is>
      </c>
      <c r="C5342" t="inlineStr">
        <is>
          <t xml:space="preserve">INF109KB1HV2</t>
        </is>
      </c>
    </row>
    <row r="5343">
      <c r="A5343" t="inlineStr">
        <is>
          <t xml:space="preserve">ICICI Prudential Mutual Fund</t>
        </is>
      </c>
      <c r="B5343" t="inlineStr">
        <is>
          <t xml:space="preserve">ICICI Prudential Fixed Maturity Plan -Series 74 -370 Days Plan S Direct Plan Cumulative Option</t>
        </is>
      </c>
      <c r="C5343" t="inlineStr">
        <is>
          <t xml:space="preserve">INF109KB1HX8</t>
        </is>
      </c>
    </row>
    <row r="5344">
      <c r="A5344" t="inlineStr">
        <is>
          <t xml:space="preserve">ICICI Prudential Mutual Fund</t>
        </is>
      </c>
      <c r="B5344" t="inlineStr">
        <is>
          <t xml:space="preserve">ICICI Prudential Fixed Maturity Plan -Series 74 -370 Days Plan S Direct Plan Dividend Option</t>
        </is>
      </c>
      <c r="C5344" t="inlineStr">
        <is>
          <t xml:space="preserve">INF109KB1HY6</t>
        </is>
      </c>
    </row>
    <row r="5345">
      <c r="A5345" t="inlineStr">
        <is>
          <t xml:space="preserve">ICICI Prudential Mutual Fund</t>
        </is>
      </c>
      <c r="B5345" t="inlineStr">
        <is>
          <t xml:space="preserve">ICICI Prudential Fixed Maturity Plan -Series 74 -370 Days Plan S Dividend Option</t>
        </is>
      </c>
      <c r="C5345" t="inlineStr">
        <is>
          <t xml:space="preserve">INF109KB1HW0</t>
        </is>
      </c>
    </row>
    <row r="5346">
      <c r="A5346" t="inlineStr">
        <is>
          <t xml:space="preserve">ICICI Prudential Mutual Fund</t>
        </is>
      </c>
      <c r="B5346" t="inlineStr">
        <is>
          <t xml:space="preserve">ICICI Prudential Fixed Maturity Plan -Series 74 -9 Years Plan U Cumulative Option</t>
        </is>
      </c>
      <c r="C5346" t="inlineStr">
        <is>
          <t xml:space="preserve">INF109KA1WM1</t>
        </is>
      </c>
    </row>
    <row r="5347">
      <c r="A5347" t="inlineStr">
        <is>
          <t xml:space="preserve">ICICI Prudential Mutual Fund</t>
        </is>
      </c>
      <c r="B5347" t="inlineStr">
        <is>
          <t xml:space="preserve">ICICI Prudential Fixed Maturity Plan -Series 74 -9 Years Plan U IDCW Option</t>
        </is>
      </c>
      <c r="C5347" t="inlineStr">
        <is>
          <t xml:space="preserve">INF109KA1WN9</t>
        </is>
      </c>
    </row>
    <row r="5348">
      <c r="A5348" t="inlineStr">
        <is>
          <t xml:space="preserve">ICICI Prudential Mutual Fund</t>
        </is>
      </c>
      <c r="B5348" t="inlineStr">
        <is>
          <t xml:space="preserve">ICICI Prudential Fixed Maturity Plan -Series 74-369 Days Plan I Direct Plan Cumulative Option</t>
        </is>
      </c>
      <c r="C5348" t="inlineStr">
        <is>
          <t xml:space="preserve">INF109KB1FD4</t>
        </is>
      </c>
    </row>
    <row r="5349">
      <c r="A5349" t="inlineStr">
        <is>
          <t xml:space="preserve">ICICI Prudential Mutual Fund</t>
        </is>
      </c>
      <c r="B5349" t="inlineStr">
        <is>
          <t xml:space="preserve">ICICI Prudential Fixed Maturity Plan Series 74 368 Days Plan H Cumulative Option</t>
        </is>
      </c>
      <c r="C5349" t="inlineStr">
        <is>
          <t xml:space="preserve">INF109KB1DV1</t>
        </is>
      </c>
    </row>
    <row r="5350">
      <c r="A5350" t="inlineStr">
        <is>
          <t xml:space="preserve">ICICI Prudential Mutual Fund</t>
        </is>
      </c>
      <c r="B5350" t="inlineStr">
        <is>
          <t xml:space="preserve">ICICI Prudential Fixed Maturity Plan Series 74 368 Days Plan H Direct Plan Cumulative Option</t>
        </is>
      </c>
      <c r="C5350" t="inlineStr">
        <is>
          <t xml:space="preserve">INF109KB1DW9</t>
        </is>
      </c>
    </row>
    <row r="5351">
      <c r="A5351" t="inlineStr">
        <is>
          <t xml:space="preserve">ICICI Prudential Mutual Fund</t>
        </is>
      </c>
      <c r="B5351" t="inlineStr">
        <is>
          <t xml:space="preserve">ICICI Prudential Fixed Maturity Plan Series 74 368 Days Plan H Dividend Option</t>
        </is>
      </c>
      <c r="C5351" t="inlineStr">
        <is>
          <t xml:space="preserve">INF109KB1EJ4</t>
        </is>
      </c>
    </row>
    <row r="5352">
      <c r="A5352" t="inlineStr">
        <is>
          <t xml:space="preserve">ICICI Prudential Mutual Fund</t>
        </is>
      </c>
      <c r="B5352" t="inlineStr">
        <is>
          <t xml:space="preserve">ICICI Prudential Fixed Maturity Plan-Corporate Bond Series A-750 Days - Cumulative Option</t>
        </is>
      </c>
      <c r="C5352" t="inlineStr">
        <is>
          <t xml:space="preserve">INF109KA1SF3</t>
        </is>
      </c>
    </row>
    <row r="5353">
      <c r="A5353" t="inlineStr">
        <is>
          <t xml:space="preserve">ICICI Prudential Mutual Fund</t>
        </is>
      </c>
      <c r="B5353" t="inlineStr">
        <is>
          <t xml:space="preserve">ICICI Prudential Fixed Maturity Plan-Corporate Bond Series A-750 Days - Direct Plan-Cumulative Option</t>
        </is>
      </c>
      <c r="C5353" t="inlineStr">
        <is>
          <t xml:space="preserve">INF109KA1SH9</t>
        </is>
      </c>
    </row>
    <row r="5354">
      <c r="A5354" t="inlineStr">
        <is>
          <t xml:space="preserve">ICICI Prudential Mutual Fund</t>
        </is>
      </c>
      <c r="B5354" t="inlineStr">
        <is>
          <t xml:space="preserve">ICICI Prudential Fixed Maturity Plan-Series 63-3 Year Plan K Cumulative</t>
        </is>
      </c>
      <c r="C5354" t="inlineStr">
        <is>
          <t xml:space="preserve">INF109K01D10</t>
        </is>
      </c>
    </row>
    <row r="5355">
      <c r="A5355" t="inlineStr">
        <is>
          <t xml:space="preserve">ICICI Prudential Mutual Fund</t>
        </is>
      </c>
      <c r="B5355" t="inlineStr">
        <is>
          <t xml:space="preserve">ICICI Prudential Fixed Maturity Plan-Series 63-3 Year Plan K Dividend</t>
        </is>
      </c>
      <c r="C5355" t="inlineStr">
        <is>
          <t xml:space="preserve">INF109K01D28</t>
        </is>
      </c>
    </row>
    <row r="5356">
      <c r="A5356" t="inlineStr">
        <is>
          <t xml:space="preserve">ICICI Prudential Mutual Fund</t>
        </is>
      </c>
      <c r="B5356" t="inlineStr">
        <is>
          <t xml:space="preserve">ICICI Prudential Fixed Maturity Plan-Series 63-3 Year Plan L Cumulative</t>
        </is>
      </c>
      <c r="C5356" t="inlineStr">
        <is>
          <t xml:space="preserve">INF109K01E68</t>
        </is>
      </c>
    </row>
    <row r="5357">
      <c r="A5357" t="inlineStr">
        <is>
          <t xml:space="preserve">ICICI Prudential Mutual Fund</t>
        </is>
      </c>
      <c r="B5357" t="inlineStr">
        <is>
          <t xml:space="preserve">ICICI Prudential Fixed Maturity Plan-Series 63-3 Year Plan L Dividend</t>
        </is>
      </c>
      <c r="C5357" t="inlineStr">
        <is>
          <t xml:space="preserve">INF109K01E76</t>
        </is>
      </c>
    </row>
    <row r="5358">
      <c r="A5358" t="inlineStr">
        <is>
          <t xml:space="preserve">ICICI Prudential Mutual Fund</t>
        </is>
      </c>
      <c r="B5358" t="inlineStr">
        <is>
          <t xml:space="preserve">ICICI Prudential Fixed Maturity Plan-Series 63-3 Year Plan M Cumulative</t>
        </is>
      </c>
      <c r="C5358" t="inlineStr">
        <is>
          <t xml:space="preserve">INF109K01F00</t>
        </is>
      </c>
    </row>
    <row r="5359">
      <c r="A5359" t="inlineStr">
        <is>
          <t xml:space="preserve">ICICI Prudential Mutual Fund</t>
        </is>
      </c>
      <c r="B5359" t="inlineStr">
        <is>
          <t xml:space="preserve">ICICI Prudential Fixed Maturity Plan-Series 63-3 Year Plan M Dividend</t>
        </is>
      </c>
      <c r="C5359" t="inlineStr">
        <is>
          <t xml:space="preserve">INF109K01F18</t>
        </is>
      </c>
    </row>
    <row r="5360">
      <c r="A5360" t="inlineStr">
        <is>
          <t xml:space="preserve">ICICI Prudential Mutual Fund</t>
        </is>
      </c>
      <c r="B5360" t="inlineStr">
        <is>
          <t xml:space="preserve">ICICI Prudential Fixed Maturity Plan-Series 64-3 Year Plan H Cumulative</t>
        </is>
      </c>
      <c r="C5360" t="inlineStr">
        <is>
          <t xml:space="preserve">INF109K01F26</t>
        </is>
      </c>
    </row>
    <row r="5361">
      <c r="A5361" t="inlineStr">
        <is>
          <t xml:space="preserve">ICICI Prudential Mutual Fund</t>
        </is>
      </c>
      <c r="B5361" t="inlineStr">
        <is>
          <t xml:space="preserve">ICICI Prudential Fixed Maturity Plan-Series 64-3 Year Plan H Dividend</t>
        </is>
      </c>
      <c r="C5361" t="inlineStr">
        <is>
          <t xml:space="preserve">INF109K01F34</t>
        </is>
      </c>
    </row>
    <row r="5362">
      <c r="A5362" t="inlineStr">
        <is>
          <t xml:space="preserve">ICICI Prudential Mutual Fund</t>
        </is>
      </c>
      <c r="B5362" t="inlineStr">
        <is>
          <t xml:space="preserve">ICICI Prudential Fixed Maturity Plan-Series 64-3 Year Plan I Cumulative</t>
        </is>
      </c>
      <c r="C5362" t="inlineStr">
        <is>
          <t xml:space="preserve">INF109K01F67</t>
        </is>
      </c>
    </row>
    <row r="5363">
      <c r="A5363" t="inlineStr">
        <is>
          <t xml:space="preserve">ICICI Prudential Mutual Fund</t>
        </is>
      </c>
      <c r="B5363" t="inlineStr">
        <is>
          <t xml:space="preserve">ICICI Prudential Fixed Maturity Plan-Series 64-3 Year Plan I Dividend</t>
        </is>
      </c>
      <c r="C5363" t="inlineStr">
        <is>
          <t xml:space="preserve">INF109K01F75</t>
        </is>
      </c>
    </row>
    <row r="5364">
      <c r="A5364" t="inlineStr">
        <is>
          <t xml:space="preserve">ICICI Prudential Mutual Fund</t>
        </is>
      </c>
      <c r="B5364" t="inlineStr">
        <is>
          <t xml:space="preserve">ICICI Prudential Fixed Maturity Plan-Series 64-3 Year Plan K Cumulative</t>
        </is>
      </c>
      <c r="C5364" t="inlineStr">
        <is>
          <t xml:space="preserve">INF109K01F83</t>
        </is>
      </c>
    </row>
    <row r="5365">
      <c r="A5365" t="inlineStr">
        <is>
          <t xml:space="preserve">ICICI Prudential Mutual Fund</t>
        </is>
      </c>
      <c r="B5365" t="inlineStr">
        <is>
          <t xml:space="preserve">ICICI Prudential Fixed Maturity Plan-Series 64-3 Year Plan K Dividend</t>
        </is>
      </c>
      <c r="C5365" t="inlineStr">
        <is>
          <t xml:space="preserve">INF109K01F91</t>
        </is>
      </c>
    </row>
    <row r="5366">
      <c r="A5366" t="inlineStr">
        <is>
          <t xml:space="preserve">ICICI Prudential Mutual Fund</t>
        </is>
      </c>
      <c r="B5366" t="inlineStr">
        <is>
          <t xml:space="preserve">ICICI Prudential Fixed Maturity Plan-Series 65-3 Year Plan A Cumulative</t>
        </is>
      </c>
      <c r="C5366" t="inlineStr">
        <is>
          <t xml:space="preserve">INF109K01G25</t>
        </is>
      </c>
    </row>
    <row r="5367">
      <c r="A5367" t="inlineStr">
        <is>
          <t xml:space="preserve">ICICI Prudential Mutual Fund</t>
        </is>
      </c>
      <c r="B5367" t="inlineStr">
        <is>
          <t xml:space="preserve">ICICI Prudential Fixed Maturity Plan-Series 65-3 Year Plan A Dividend</t>
        </is>
      </c>
      <c r="C5367" t="inlineStr">
        <is>
          <t xml:space="preserve">INF109K01G33</t>
        </is>
      </c>
    </row>
    <row r="5368">
      <c r="A5368" t="inlineStr">
        <is>
          <t xml:space="preserve">ICICI Prudential Mutual Fund</t>
        </is>
      </c>
      <c r="B5368" t="inlineStr">
        <is>
          <t xml:space="preserve">ICICI Prudential Fixed Maturity Plan-Series 67-3 Year Plan F - Cumulative</t>
        </is>
      </c>
      <c r="C5368" t="inlineStr">
        <is>
          <t xml:space="preserve">INF109K019U5</t>
        </is>
      </c>
    </row>
    <row r="5369">
      <c r="A5369" t="inlineStr">
        <is>
          <t xml:space="preserve">ICICI Prudential Mutual Fund</t>
        </is>
      </c>
      <c r="B5369" t="inlineStr">
        <is>
          <t xml:space="preserve">ICICI Prudential Fixed Maturity Plan-Series 67-3 Year Plan F - Direct Plan - Cumulative</t>
        </is>
      </c>
      <c r="C5369" t="inlineStr">
        <is>
          <t xml:space="preserve">INF109K011V0</t>
        </is>
      </c>
    </row>
    <row r="5370">
      <c r="A5370" t="inlineStr">
        <is>
          <t xml:space="preserve">ICICI Prudential Mutual Fund</t>
        </is>
      </c>
      <c r="B5370" t="inlineStr">
        <is>
          <t xml:space="preserve">ICICI Prudential Fixed Maturity Plan-Series 67-3 Year Plan F - Direct Plan - Dividend</t>
        </is>
      </c>
      <c r="C5370" t="inlineStr">
        <is>
          <t xml:space="preserve">INF109K012V8</t>
        </is>
      </c>
    </row>
    <row r="5371">
      <c r="A5371" t="inlineStr">
        <is>
          <t xml:space="preserve">ICICI Prudential Mutual Fund</t>
        </is>
      </c>
      <c r="B5371" t="inlineStr">
        <is>
          <t xml:space="preserve">ICICI Prudential Fixed Maturity Plan-Series 67-3 Year Plan F - Dividend</t>
        </is>
      </c>
      <c r="C5371" t="inlineStr">
        <is>
          <t xml:space="preserve">INF109K010V2</t>
        </is>
      </c>
    </row>
    <row r="5372">
      <c r="A5372" t="inlineStr">
        <is>
          <t xml:space="preserve">ICICI Prudential Mutual Fund</t>
        </is>
      </c>
      <c r="B5372" t="inlineStr">
        <is>
          <t xml:space="preserve">ICICI Prudential Fixed Maturity Plan-Series 67-740 Days Plan H - Cumulative</t>
        </is>
      </c>
      <c r="C5372" t="inlineStr">
        <is>
          <t xml:space="preserve">INF109K017V7</t>
        </is>
      </c>
    </row>
    <row r="5373">
      <c r="A5373" t="inlineStr">
        <is>
          <t xml:space="preserve">ICICI Prudential Mutual Fund</t>
        </is>
      </c>
      <c r="B5373" t="inlineStr">
        <is>
          <t xml:space="preserve">ICICI Prudential Fixed Maturity Plan-Series 67-740 Days Plan H - Direct Plan - Cumulative</t>
        </is>
      </c>
      <c r="C5373" t="inlineStr">
        <is>
          <t xml:space="preserve">INF109K019V3</t>
        </is>
      </c>
    </row>
    <row r="5374">
      <c r="A5374" t="inlineStr">
        <is>
          <t xml:space="preserve">ICICI Prudential Mutual Fund</t>
        </is>
      </c>
      <c r="B5374" t="inlineStr">
        <is>
          <t xml:space="preserve">ICICI Prudential Fixed Maturity Plan-Series 67-740 Days Plan H - Direct Plan - Dividend</t>
        </is>
      </c>
      <c r="C5374" t="inlineStr">
        <is>
          <t xml:space="preserve">INF109K010W0</t>
        </is>
      </c>
    </row>
    <row r="5375">
      <c r="A5375" t="inlineStr">
        <is>
          <t xml:space="preserve">ICICI Prudential Mutual Fund</t>
        </is>
      </c>
      <c r="B5375" t="inlineStr">
        <is>
          <t xml:space="preserve">ICICI Prudential Fixed Maturity Plan-Series 67-740 Days Plan H - Dividend</t>
        </is>
      </c>
      <c r="C5375" t="inlineStr">
        <is>
          <t xml:space="preserve">INF109K018V5</t>
        </is>
      </c>
    </row>
    <row r="5376">
      <c r="A5376" t="inlineStr">
        <is>
          <t xml:space="preserve">ICICI Prudential Mutual Fund</t>
        </is>
      </c>
      <c r="B5376" t="inlineStr">
        <is>
          <t xml:space="preserve">ICICI Prudential Fixed Maturity Plan-Series 67-745 Days Plan K - Cumulative</t>
        </is>
      </c>
      <c r="C5376" t="inlineStr">
        <is>
          <t xml:space="preserve">INF109KB1FQ6</t>
        </is>
      </c>
    </row>
    <row r="5377">
      <c r="A5377" t="inlineStr">
        <is>
          <t xml:space="preserve">ICICI Prudential Mutual Fund</t>
        </is>
      </c>
      <c r="B5377" t="inlineStr">
        <is>
          <t xml:space="preserve">ICICI Prudential Fixed Maturity Plan-Series 67-745 Days Plan K - Direct Plan - Cumulative</t>
        </is>
      </c>
      <c r="C5377" t="inlineStr">
        <is>
          <t xml:space="preserve">INF109KB1FO1</t>
        </is>
      </c>
    </row>
    <row r="5378">
      <c r="A5378" t="inlineStr">
        <is>
          <t xml:space="preserve">ICICI Prudential Mutual Fund</t>
        </is>
      </c>
      <c r="B5378" t="inlineStr">
        <is>
          <t xml:space="preserve">ICICI Prudential Fixed Maturity Plan-Series 67-745 Days Plan K - Direct Plan - Dividend</t>
        </is>
      </c>
      <c r="C5378" t="inlineStr">
        <is>
          <t xml:space="preserve">INF109KB1FN3</t>
        </is>
      </c>
    </row>
    <row r="5379">
      <c r="A5379" t="inlineStr">
        <is>
          <t xml:space="preserve">ICICI Prudential Mutual Fund</t>
        </is>
      </c>
      <c r="B5379" t="inlineStr">
        <is>
          <t xml:space="preserve">ICICI Prudential Fixed Maturity Plan-Series 67-745 Days Plan K - Dividend</t>
        </is>
      </c>
      <c r="C5379" t="inlineStr">
        <is>
          <t xml:space="preserve">INF109KB1FP8</t>
        </is>
      </c>
    </row>
    <row r="5380">
      <c r="A5380" t="inlineStr">
        <is>
          <t xml:space="preserve">ICICI Prudential Mutual Fund</t>
        </is>
      </c>
      <c r="B5380" t="inlineStr">
        <is>
          <t xml:space="preserve">ICICI Prudential Fixed Maturity Plan-Series 68-368 Days Plan G - Cumulative</t>
        </is>
      </c>
      <c r="C5380" t="inlineStr">
        <is>
          <t xml:space="preserve">INF109KA1ZJ0</t>
        </is>
      </c>
    </row>
    <row r="5381">
      <c r="A5381" t="inlineStr">
        <is>
          <t xml:space="preserve">ICICI Prudential Mutual Fund</t>
        </is>
      </c>
      <c r="B5381" t="inlineStr">
        <is>
          <t xml:space="preserve">ICICI Prudential Fixed Maturity Plan-Series 68-368 Days Plan G - Direct Plan - Cumulative</t>
        </is>
      </c>
      <c r="C5381" t="inlineStr">
        <is>
          <t xml:space="preserve">INF109KA1ZH4</t>
        </is>
      </c>
    </row>
    <row r="5382">
      <c r="A5382" t="inlineStr">
        <is>
          <t xml:space="preserve">ICICI Prudential Mutual Fund</t>
        </is>
      </c>
      <c r="B5382" t="inlineStr">
        <is>
          <t xml:space="preserve">ICICI Prudential Fixed Maturity Plan-Series 68-369 Days Plan I - Cumulative</t>
        </is>
      </c>
      <c r="C5382" t="inlineStr">
        <is>
          <t xml:space="preserve">INF109KA1ZO0</t>
        </is>
      </c>
    </row>
    <row r="5383">
      <c r="A5383" t="inlineStr">
        <is>
          <t xml:space="preserve">ICICI Prudential Mutual Fund</t>
        </is>
      </c>
      <c r="B5383" t="inlineStr">
        <is>
          <t xml:space="preserve">ICICI Prudential Fixed Maturity Plan-Series 68-369 Days Plan I - Direct Plan - Cumulative</t>
        </is>
      </c>
      <c r="C5383" t="inlineStr">
        <is>
          <t xml:space="preserve">INF109KA1ZM4</t>
        </is>
      </c>
    </row>
    <row r="5384">
      <c r="A5384" t="inlineStr">
        <is>
          <t xml:space="preserve">ICICI Prudential Mutual Fund</t>
        </is>
      </c>
      <c r="B5384" t="inlineStr">
        <is>
          <t xml:space="preserve">ICICI Prudential Fixed Maturity Plan-Series 68-369 Days Plan I - Dividend</t>
        </is>
      </c>
      <c r="C5384" t="inlineStr">
        <is>
          <t xml:space="preserve">INF109KA1ZP7</t>
        </is>
      </c>
    </row>
    <row r="5385">
      <c r="A5385" t="inlineStr">
        <is>
          <t xml:space="preserve">ICICI Prudential Mutual Fund</t>
        </is>
      </c>
      <c r="B5385" t="inlineStr">
        <is>
          <t xml:space="preserve">ICICI Prudential Fixed Maturity Plan-Series 68-369 Days Plan K - Cumulative</t>
        </is>
      </c>
      <c r="C5385" t="inlineStr">
        <is>
          <t xml:space="preserve">INF109KA1A09</t>
        </is>
      </c>
    </row>
    <row r="5386">
      <c r="A5386" t="inlineStr">
        <is>
          <t xml:space="preserve">ICICI Prudential Mutual Fund</t>
        </is>
      </c>
      <c r="B5386" t="inlineStr">
        <is>
          <t xml:space="preserve">ICICI Prudential Fixed Maturity Plan-Series 68-369 Days Plan K - Direct Plan - Cumulative</t>
        </is>
      </c>
      <c r="C5386" t="inlineStr">
        <is>
          <t xml:space="preserve">INF109KA1ZY9</t>
        </is>
      </c>
    </row>
    <row r="5387">
      <c r="A5387" t="inlineStr">
        <is>
          <t xml:space="preserve">ICICI Prudential Mutual Fund</t>
        </is>
      </c>
      <c r="B5387" t="inlineStr">
        <is>
          <t xml:space="preserve">ICICI Prudential Fixed Maturity Plan-Series 68-704 Days Plan L - Cumulative</t>
        </is>
      </c>
      <c r="C5387" t="inlineStr">
        <is>
          <t xml:space="preserve">INF109KB1JR6</t>
        </is>
      </c>
    </row>
    <row r="5388">
      <c r="A5388" t="inlineStr">
        <is>
          <t xml:space="preserve">ICICI Prudential Mutual Fund</t>
        </is>
      </c>
      <c r="B5388" t="inlineStr">
        <is>
          <t xml:space="preserve">ICICI Prudential Fixed Maturity Plan-Series 68-704 Days Plan L - Direct Plan - Cumulative</t>
        </is>
      </c>
      <c r="C5388" t="inlineStr">
        <is>
          <t xml:space="preserve">INF109KB1JT2</t>
        </is>
      </c>
    </row>
    <row r="5389">
      <c r="A5389" t="inlineStr">
        <is>
          <t xml:space="preserve">ICICI Prudential Mutual Fund</t>
        </is>
      </c>
      <c r="B5389" t="inlineStr">
        <is>
          <t xml:space="preserve">ICICI Prudential Fixed Maturity Plan-Series 68-704 Days Plan L - Direct Plan - Dividend</t>
        </is>
      </c>
      <c r="C5389" t="inlineStr">
        <is>
          <t xml:space="preserve">INF109KB1JU0</t>
        </is>
      </c>
    </row>
    <row r="5390">
      <c r="A5390" t="inlineStr">
        <is>
          <t xml:space="preserve">ICICI Prudential Mutual Fund</t>
        </is>
      </c>
      <c r="B5390" t="inlineStr">
        <is>
          <t xml:space="preserve">ICICI Prudential Fixed Maturity Plan-Series 68-704 Days Plan L - Dividend</t>
        </is>
      </c>
      <c r="C5390" t="inlineStr">
        <is>
          <t xml:space="preserve">INF109KB1JS4</t>
        </is>
      </c>
    </row>
    <row r="5391">
      <c r="A5391" t="inlineStr">
        <is>
          <t xml:space="preserve">ICICI Prudential Mutual Fund</t>
        </is>
      </c>
      <c r="B5391" t="inlineStr">
        <is>
          <t xml:space="preserve">ICICI Prudential Fixed Maturity Plan-Series 68-745 Days Plan C - Cumulative</t>
        </is>
      </c>
      <c r="C5391" t="inlineStr">
        <is>
          <t xml:space="preserve">INF109KB1IL1</t>
        </is>
      </c>
    </row>
    <row r="5392">
      <c r="A5392" t="inlineStr">
        <is>
          <t xml:space="preserve">ICICI Prudential Mutual Fund</t>
        </is>
      </c>
      <c r="B5392" t="inlineStr">
        <is>
          <t xml:space="preserve">ICICI Prudential Fixed Maturity Plan-Series 68-745 Days Plan C - Direct Plan - Cumulative</t>
        </is>
      </c>
      <c r="C5392" t="inlineStr">
        <is>
          <t xml:space="preserve">INF109KB1IN7</t>
        </is>
      </c>
    </row>
    <row r="5393">
      <c r="A5393" t="inlineStr">
        <is>
          <t xml:space="preserve">ICICI Prudential Mutual Fund</t>
        </is>
      </c>
      <c r="B5393" t="inlineStr">
        <is>
          <t xml:space="preserve">ICICI Prudential Fixed Maturity Plan-Series 68-745 Days Plan C - Direct Plan - Dividend</t>
        </is>
      </c>
      <c r="C5393" t="inlineStr">
        <is>
          <t xml:space="preserve">INF109KB1IO5</t>
        </is>
      </c>
    </row>
    <row r="5394">
      <c r="A5394" t="inlineStr">
        <is>
          <t xml:space="preserve">ICICI Prudential Mutual Fund</t>
        </is>
      </c>
      <c r="B5394" t="inlineStr">
        <is>
          <t xml:space="preserve">ICICI Prudential Fixed Maturity Plan-Series 68-745 Days Plan C - Dividend</t>
        </is>
      </c>
      <c r="C5394" t="inlineStr">
        <is>
          <t xml:space="preserve">INF109KB1IM9</t>
        </is>
      </c>
    </row>
    <row r="5395">
      <c r="A5395" t="inlineStr">
        <is>
          <t xml:space="preserve">ICICI Prudential Mutual Fund</t>
        </is>
      </c>
      <c r="B5395" t="inlineStr">
        <is>
          <t xml:space="preserve">ICICI Prudential Fixed Maturity Plan-Series 68-745 Days Plan F - Cumulative</t>
        </is>
      </c>
      <c r="C5395" t="inlineStr">
        <is>
          <t xml:space="preserve">INF109KB1KF9</t>
        </is>
      </c>
    </row>
    <row r="5396">
      <c r="A5396" t="inlineStr">
        <is>
          <t xml:space="preserve">ICICI Prudential Mutual Fund</t>
        </is>
      </c>
      <c r="B5396" t="inlineStr">
        <is>
          <t xml:space="preserve">ICICI Prudential Fixed Maturity Plan-Series 68-745 Days Plan F - Direct Plan - Cumulative</t>
        </is>
      </c>
      <c r="C5396" t="inlineStr">
        <is>
          <t xml:space="preserve">INF109KB1KH5</t>
        </is>
      </c>
    </row>
    <row r="5397">
      <c r="A5397" t="inlineStr">
        <is>
          <t xml:space="preserve">ICICI Prudential Mutual Fund</t>
        </is>
      </c>
      <c r="B5397" t="inlineStr">
        <is>
          <t xml:space="preserve">ICICI Prudential Fixed Maturity Plan-Series 68-745 Days Plan F - Direct Plan - Dividend</t>
        </is>
      </c>
      <c r="C5397" t="inlineStr">
        <is>
          <t xml:space="preserve">INF109KB1KI3</t>
        </is>
      </c>
    </row>
    <row r="5398">
      <c r="A5398" t="inlineStr">
        <is>
          <t xml:space="preserve">ICICI Prudential Mutual Fund</t>
        </is>
      </c>
      <c r="B5398" t="inlineStr">
        <is>
          <t xml:space="preserve">ICICI Prudential Fixed Maturity Plan-Series 68-745 Days Plan F - Dividend</t>
        </is>
      </c>
      <c r="C5398" t="inlineStr">
        <is>
          <t xml:space="preserve">INF109KB1KG7</t>
        </is>
      </c>
    </row>
    <row r="5399">
      <c r="A5399" t="inlineStr">
        <is>
          <t xml:space="preserve">ICICI Prudential Mutual Fund</t>
        </is>
      </c>
      <c r="B5399" t="inlineStr">
        <is>
          <t xml:space="preserve">ICICI Prudential Fixed Maturity Plan-Series 68-745 Days Plan H - Cumulative</t>
        </is>
      </c>
      <c r="C5399" t="inlineStr">
        <is>
          <t xml:space="preserve">INF109KB1LD2</t>
        </is>
      </c>
    </row>
    <row r="5400">
      <c r="A5400" t="inlineStr">
        <is>
          <t xml:space="preserve">ICICI Prudential Mutual Fund</t>
        </is>
      </c>
      <c r="B5400" t="inlineStr">
        <is>
          <t xml:space="preserve">ICICI Prudential Fixed Maturity Plan-Series 68-745 Days Plan H - Direct Plan - Cumulative</t>
        </is>
      </c>
      <c r="C5400" t="inlineStr">
        <is>
          <t xml:space="preserve">INF109KB1LF7</t>
        </is>
      </c>
    </row>
    <row r="5401">
      <c r="A5401" t="inlineStr">
        <is>
          <t xml:space="preserve">ICICI Prudential Mutual Fund</t>
        </is>
      </c>
      <c r="B5401" t="inlineStr">
        <is>
          <t xml:space="preserve">ICICI Prudential Fixed Maturity Plan-Series 68-745 Days Plan J - Cumulative</t>
        </is>
      </c>
      <c r="C5401" t="inlineStr">
        <is>
          <t xml:space="preserve">INF109KB1LH3</t>
        </is>
      </c>
    </row>
    <row r="5402">
      <c r="A5402" t="inlineStr">
        <is>
          <t xml:space="preserve">ICICI Prudential Mutual Fund</t>
        </is>
      </c>
      <c r="B5402" t="inlineStr">
        <is>
          <t xml:space="preserve">ICICI Prudential Fixed Maturity Plan-Series 68-745 Days Plan J - Direct Plan - Cumulative</t>
        </is>
      </c>
      <c r="C5402" t="inlineStr">
        <is>
          <t xml:space="preserve">INF109KB1LJ9</t>
        </is>
      </c>
    </row>
    <row r="5403">
      <c r="A5403" t="inlineStr">
        <is>
          <t xml:space="preserve">ICICI Prudential Mutual Fund</t>
        </is>
      </c>
      <c r="B5403" t="inlineStr">
        <is>
          <t xml:space="preserve">ICICI Prudential Fixed Maturity Plan-Series 68-745 Days Plan J - Dividend</t>
        </is>
      </c>
      <c r="C5403" t="inlineStr">
        <is>
          <t xml:space="preserve">INF109KB1LI1</t>
        </is>
      </c>
    </row>
    <row r="5404">
      <c r="A5404" t="inlineStr">
        <is>
          <t xml:space="preserve">ICICI Prudential Mutual Fund</t>
        </is>
      </c>
      <c r="B5404" t="inlineStr">
        <is>
          <t xml:space="preserve">ICICI Prudential Fixed Maturity Plan-Series 69-1092 Days Plan L - Cumulative</t>
        </is>
      </c>
      <c r="C5404" t="inlineStr">
        <is>
          <t xml:space="preserve">INF109KA1CZ5</t>
        </is>
      </c>
    </row>
    <row r="5405">
      <c r="A5405" t="inlineStr">
        <is>
          <t xml:space="preserve">ICICI Prudential Mutual Fund</t>
        </is>
      </c>
      <c r="B5405" t="inlineStr">
        <is>
          <t xml:space="preserve">ICICI Prudential Fixed Maturity Plan-Series 69-1092 Days Plan L - Direct Plan - Cumulative</t>
        </is>
      </c>
      <c r="C5405" t="inlineStr">
        <is>
          <t xml:space="preserve">INF109KA1CX0</t>
        </is>
      </c>
    </row>
    <row r="5406">
      <c r="A5406" t="inlineStr">
        <is>
          <t xml:space="preserve">ICICI Prudential Mutual Fund</t>
        </is>
      </c>
      <c r="B5406" t="inlineStr">
        <is>
          <t xml:space="preserve">ICICI Prudential Fixed Maturity Plan-Series 69-1092 Days Plan L - Direct Plan - Dividend</t>
        </is>
      </c>
      <c r="C5406" t="inlineStr">
        <is>
          <t xml:space="preserve">INF109KA1CY8</t>
        </is>
      </c>
    </row>
    <row r="5407">
      <c r="A5407" t="inlineStr">
        <is>
          <t xml:space="preserve">ICICI Prudential Mutual Fund</t>
        </is>
      </c>
      <c r="B5407" t="inlineStr">
        <is>
          <t xml:space="preserve">ICICI Prudential Fixed Maturity Plan-Series 69-1092 Days Plan L - Dividend</t>
        </is>
      </c>
      <c r="C5407" t="inlineStr">
        <is>
          <t xml:space="preserve">INF109KA1DA6</t>
        </is>
      </c>
    </row>
    <row r="5408">
      <c r="A5408" t="inlineStr">
        <is>
          <t xml:space="preserve">ICICI Prudential Mutual Fund</t>
        </is>
      </c>
      <c r="B5408" t="inlineStr">
        <is>
          <t xml:space="preserve">ICICI Prudential Fixed Maturity Plan-Series 69-1093 Days Plan F - Cumulative</t>
        </is>
      </c>
      <c r="C5408" t="inlineStr">
        <is>
          <t xml:space="preserve">INF109KA1AP0</t>
        </is>
      </c>
    </row>
    <row r="5409">
      <c r="A5409" t="inlineStr">
        <is>
          <t xml:space="preserve">ICICI Prudential Mutual Fund</t>
        </is>
      </c>
      <c r="B5409" t="inlineStr">
        <is>
          <t xml:space="preserve">ICICI Prudential Fixed Maturity Plan-Series 69-1093 Days Plan F - Direct Plan - Cumulative</t>
        </is>
      </c>
      <c r="C5409" t="inlineStr">
        <is>
          <t xml:space="preserve">INF109KA1AN5</t>
        </is>
      </c>
    </row>
    <row r="5410">
      <c r="A5410" t="inlineStr">
        <is>
          <t xml:space="preserve">ICICI Prudential Mutual Fund</t>
        </is>
      </c>
      <c r="B5410" t="inlineStr">
        <is>
          <t xml:space="preserve">ICICI Prudential Fixed Maturity Plan-Series 69-1093 Days Plan F - Dividend</t>
        </is>
      </c>
      <c r="C5410" t="inlineStr">
        <is>
          <t xml:space="preserve">INF109KA1AQ8</t>
        </is>
      </c>
    </row>
    <row r="5411">
      <c r="A5411" t="inlineStr">
        <is>
          <t xml:space="preserve">ICICI Prudential Mutual Fund</t>
        </is>
      </c>
      <c r="B5411" t="inlineStr">
        <is>
          <t xml:space="preserve">ICICI Prudential Fixed Maturity Plan-Series 69-1821 Days Plan H - Cumulative</t>
        </is>
      </c>
      <c r="C5411" t="inlineStr">
        <is>
          <t xml:space="preserve">INF109KA1BN3</t>
        </is>
      </c>
    </row>
    <row r="5412">
      <c r="A5412" t="inlineStr">
        <is>
          <t xml:space="preserve">ICICI Prudential Mutual Fund</t>
        </is>
      </c>
      <c r="B5412" t="inlineStr">
        <is>
          <t xml:space="preserve">ICICI Prudential Fixed Maturity Plan-Series 69-1821 Days Plan H - Direct Plan - Cumulative</t>
        </is>
      </c>
      <c r="C5412" t="inlineStr">
        <is>
          <t xml:space="preserve">INF109KA1BL7</t>
        </is>
      </c>
    </row>
    <row r="5413">
      <c r="A5413" t="inlineStr">
        <is>
          <t xml:space="preserve">ICICI Prudential Mutual Fund</t>
        </is>
      </c>
      <c r="B5413" t="inlineStr">
        <is>
          <t xml:space="preserve">ICICI Prudential Fixed Maturity Plan-Series 69-1821 Days Plan H - Dividend</t>
        </is>
      </c>
      <c r="C5413" t="inlineStr">
        <is>
          <t xml:space="preserve">INF109KA1BO1</t>
        </is>
      </c>
    </row>
    <row r="5414">
      <c r="A5414" t="inlineStr">
        <is>
          <t xml:space="preserve">ICICI Prudential Mutual Fund</t>
        </is>
      </c>
      <c r="B5414" t="inlineStr">
        <is>
          <t xml:space="preserve">ICICI Prudential Fixed Maturity Plan-Series 69-1821 Days Plan I - Cumulative</t>
        </is>
      </c>
      <c r="C5414" t="inlineStr">
        <is>
          <t xml:space="preserve">INF109KA1BV6</t>
        </is>
      </c>
    </row>
    <row r="5415">
      <c r="A5415" t="inlineStr">
        <is>
          <t xml:space="preserve">ICICI Prudential Mutual Fund</t>
        </is>
      </c>
      <c r="B5415" t="inlineStr">
        <is>
          <t xml:space="preserve">ICICI Prudential Fixed Maturity Plan-Series 69-1821 Days Plan I - Direct Plan - Cumulative</t>
        </is>
      </c>
      <c r="C5415" t="inlineStr">
        <is>
          <t xml:space="preserve">INF109KA1BT0</t>
        </is>
      </c>
    </row>
    <row r="5416">
      <c r="A5416" t="inlineStr">
        <is>
          <t xml:space="preserve">ICICI Prudential Mutual Fund</t>
        </is>
      </c>
      <c r="B5416" t="inlineStr">
        <is>
          <t xml:space="preserve">ICICI Prudential Fixed Maturity Plan-Series 69-1821 Days Plan I - Direct Plan - Dividend</t>
        </is>
      </c>
      <c r="C5416" t="inlineStr">
        <is>
          <t xml:space="preserve">INF109KA1BU8</t>
        </is>
      </c>
    </row>
    <row r="5417">
      <c r="A5417" t="inlineStr">
        <is>
          <t xml:space="preserve">ICICI Prudential Mutual Fund</t>
        </is>
      </c>
      <c r="B5417" t="inlineStr">
        <is>
          <t xml:space="preserve">ICICI Prudential Fixed Maturity Plan-Series 69-1821 Days Plan I - Dividend</t>
        </is>
      </c>
      <c r="C5417" t="inlineStr">
        <is>
          <t xml:space="preserve">INF109KA1BW4</t>
        </is>
      </c>
    </row>
    <row r="5418">
      <c r="A5418" t="inlineStr">
        <is>
          <t xml:space="preserve">ICICI Prudential Mutual Fund</t>
        </is>
      </c>
      <c r="B5418" t="inlineStr">
        <is>
          <t xml:space="preserve">ICICI Prudential Fixed Maturity Plan-Series 69-366 Days Plan A - Cumulative</t>
        </is>
      </c>
      <c r="C5418" t="inlineStr">
        <is>
          <t xml:space="preserve">INF109KA1A41</t>
        </is>
      </c>
    </row>
    <row r="5419">
      <c r="A5419" t="inlineStr">
        <is>
          <t xml:space="preserve">ICICI Prudential Mutual Fund</t>
        </is>
      </c>
      <c r="B5419" t="inlineStr">
        <is>
          <t xml:space="preserve">ICICI Prudential Fixed Maturity Plan-Series 69-366 Days Plan A - Direct Plan - Cumulative</t>
        </is>
      </c>
      <c r="C5419" t="inlineStr">
        <is>
          <t xml:space="preserve">INF109KA1A25</t>
        </is>
      </c>
    </row>
    <row r="5420">
      <c r="A5420" t="inlineStr">
        <is>
          <t xml:space="preserve">ICICI Prudential Mutual Fund</t>
        </is>
      </c>
      <c r="B5420" t="inlineStr">
        <is>
          <t xml:space="preserve">ICICI Prudential Fixed Maturity Plan-Series 69-366 Days Plan G - Cumulative</t>
        </is>
      </c>
      <c r="C5420" t="inlineStr">
        <is>
          <t xml:space="preserve">INF109KA1J67</t>
        </is>
      </c>
    </row>
    <row r="5421">
      <c r="A5421" t="inlineStr">
        <is>
          <t xml:space="preserve">ICICI Prudential Mutual Fund</t>
        </is>
      </c>
      <c r="B5421" t="inlineStr">
        <is>
          <t xml:space="preserve">ICICI Prudential Fixed Maturity Plan-Series 69-366 Days Plan G - Direct Plan - Cumulative</t>
        </is>
      </c>
      <c r="C5421" t="inlineStr">
        <is>
          <t xml:space="preserve">INF109KA1J42</t>
        </is>
      </c>
    </row>
    <row r="5422">
      <c r="A5422" t="inlineStr">
        <is>
          <t xml:space="preserve">ICICI Prudential Mutual Fund</t>
        </is>
      </c>
      <c r="B5422" t="inlineStr">
        <is>
          <t xml:space="preserve">ICICI Prudential Fixed Maturity Plan-Series 69-366 Days Plan G - Dividend</t>
        </is>
      </c>
      <c r="C5422" t="inlineStr">
        <is>
          <t xml:space="preserve">INF109KA1J75</t>
        </is>
      </c>
    </row>
    <row r="5423">
      <c r="A5423" t="inlineStr">
        <is>
          <t xml:space="preserve">ICICI Prudential Mutual Fund</t>
        </is>
      </c>
      <c r="B5423" t="inlineStr">
        <is>
          <t xml:space="preserve">ICICI Prudential Fixed Maturity Plan-Series 69-369 Days Plan J - Cumulative</t>
        </is>
      </c>
      <c r="C5423" t="inlineStr">
        <is>
          <t xml:space="preserve">INF109KA1P44</t>
        </is>
      </c>
    </row>
    <row r="5424">
      <c r="A5424" t="inlineStr">
        <is>
          <t xml:space="preserve">ICICI Prudential Mutual Fund</t>
        </is>
      </c>
      <c r="B5424" t="inlineStr">
        <is>
          <t xml:space="preserve">ICICI Prudential Fixed Maturity Plan-Series 69-369 Days Plan J - Direct Plan - Cumulative</t>
        </is>
      </c>
      <c r="C5424" t="inlineStr">
        <is>
          <t xml:space="preserve">INF109KA1P28</t>
        </is>
      </c>
    </row>
    <row r="5425">
      <c r="A5425" t="inlineStr">
        <is>
          <t xml:space="preserve">ICICI Prudential Mutual Fund</t>
        </is>
      </c>
      <c r="B5425" t="inlineStr">
        <is>
          <t xml:space="preserve">ICICI Prudential Fixed Maturity Plan-Series 69-369 Days Plan J - Dividend</t>
        </is>
      </c>
      <c r="C5425" t="inlineStr">
        <is>
          <t xml:space="preserve">INF109KA1P51</t>
        </is>
      </c>
    </row>
    <row r="5426">
      <c r="A5426" t="inlineStr">
        <is>
          <t xml:space="preserve">ICICI Prudential Mutual Fund</t>
        </is>
      </c>
      <c r="B5426" t="inlineStr">
        <is>
          <t xml:space="preserve">ICICI Prudential Fixed Maturity Plan-Series 69-372 Days Plan K - Cumulative</t>
        </is>
      </c>
      <c r="C5426" t="inlineStr">
        <is>
          <t xml:space="preserve">INF109KA1Q68</t>
        </is>
      </c>
    </row>
    <row r="5427">
      <c r="A5427" t="inlineStr">
        <is>
          <t xml:space="preserve">ICICI Prudential Mutual Fund</t>
        </is>
      </c>
      <c r="B5427" t="inlineStr">
        <is>
          <t xml:space="preserve">ICICI Prudential Fixed Maturity Plan-Series 69-372 Days Plan K - Direct Plan - Cumulative</t>
        </is>
      </c>
      <c r="C5427" t="inlineStr">
        <is>
          <t xml:space="preserve">INF109KA1Q43</t>
        </is>
      </c>
    </row>
    <row r="5428">
      <c r="A5428" t="inlineStr">
        <is>
          <t xml:space="preserve">ICICI Prudential Mutual Fund</t>
        </is>
      </c>
      <c r="B5428" t="inlineStr">
        <is>
          <t xml:space="preserve">ICICI Prudential Fixed Maturity Plan-Series 69-372 Days Plan K - Dividend</t>
        </is>
      </c>
      <c r="C5428" t="inlineStr">
        <is>
          <t xml:space="preserve">INF109KA1Q76</t>
        </is>
      </c>
    </row>
    <row r="5429">
      <c r="A5429" t="inlineStr">
        <is>
          <t xml:space="preserve">ICICI Prudential Mutual Fund</t>
        </is>
      </c>
      <c r="B5429" t="inlineStr">
        <is>
          <t xml:space="preserve">ICICI Prudential Fixed Maturity Plan-Series 69-433 Days Plan E - Cumulative</t>
        </is>
      </c>
      <c r="C5429" t="inlineStr">
        <is>
          <t xml:space="preserve">INF109KA10D4</t>
        </is>
      </c>
    </row>
    <row r="5430">
      <c r="A5430" t="inlineStr">
        <is>
          <t xml:space="preserve">ICICI Prudential Mutual Fund</t>
        </is>
      </c>
      <c r="B5430" t="inlineStr">
        <is>
          <t xml:space="preserve">ICICI Prudential Fixed Maturity Plan-Series 69-433 Days Plan E - Direct Plan - Cumulative</t>
        </is>
      </c>
      <c r="C5430" t="inlineStr">
        <is>
          <t xml:space="preserve">INF109KA18C9</t>
        </is>
      </c>
    </row>
    <row r="5431">
      <c r="A5431" t="inlineStr">
        <is>
          <t xml:space="preserve">ICICI Prudential Mutual Fund</t>
        </is>
      </c>
      <c r="B5431" t="inlineStr">
        <is>
          <t xml:space="preserve">ICICI Prudential Fixed Maturity Plan-Series 69-433 Days Plan E - Dividend</t>
        </is>
      </c>
      <c r="C5431" t="inlineStr">
        <is>
          <t xml:space="preserve">INF109KA11D2</t>
        </is>
      </c>
    </row>
    <row r="5432">
      <c r="A5432" t="inlineStr">
        <is>
          <t xml:space="preserve">ICICI Prudential Mutual Fund</t>
        </is>
      </c>
      <c r="B5432" t="inlineStr">
        <is>
          <t xml:space="preserve">ICICI Prudential Fixed Maturity Plan-Series 69-693 Days Plan D - Cumulative</t>
        </is>
      </c>
      <c r="C5432" t="inlineStr">
        <is>
          <t xml:space="preserve">INF109KB1KB8</t>
        </is>
      </c>
    </row>
    <row r="5433">
      <c r="A5433" t="inlineStr">
        <is>
          <t xml:space="preserve">ICICI Prudential Mutual Fund</t>
        </is>
      </c>
      <c r="B5433" t="inlineStr">
        <is>
          <t xml:space="preserve">ICICI Prudential Fixed Maturity Plan-Series 69-693 Days Plan D - Direct Plan - Cumulative</t>
        </is>
      </c>
      <c r="C5433" t="inlineStr">
        <is>
          <t xml:space="preserve">INF109KB1KD4</t>
        </is>
      </c>
    </row>
    <row r="5434">
      <c r="A5434" t="inlineStr">
        <is>
          <t xml:space="preserve">ICICI Prudential Mutual Fund</t>
        </is>
      </c>
      <c r="B5434" t="inlineStr">
        <is>
          <t xml:space="preserve">ICICI Prudential Fixed Maturity Plan-Series 69-693 Days Plan D - Direct Plan - Dividend</t>
        </is>
      </c>
      <c r="C5434" t="inlineStr">
        <is>
          <t xml:space="preserve">INF109KB1KE2</t>
        </is>
      </c>
    </row>
    <row r="5435">
      <c r="A5435" t="inlineStr">
        <is>
          <t xml:space="preserve">ICICI Prudential Mutual Fund</t>
        </is>
      </c>
      <c r="B5435" t="inlineStr">
        <is>
          <t xml:space="preserve">ICICI Prudential Fixed Maturity Plan-Series 69-693 Days Plan D - Dividend</t>
        </is>
      </c>
      <c r="C5435" t="inlineStr">
        <is>
          <t xml:space="preserve">INF109KB1KC6</t>
        </is>
      </c>
    </row>
    <row r="5436">
      <c r="A5436" t="inlineStr">
        <is>
          <t xml:space="preserve">ICICI Prudential Mutual Fund</t>
        </is>
      </c>
      <c r="B5436" t="inlineStr">
        <is>
          <t xml:space="preserve">ICICI Prudential Fixed Maturity Plan-Series 69-698 Days Plan B - Cumulative</t>
        </is>
      </c>
      <c r="C5436" t="inlineStr">
        <is>
          <t xml:space="preserve">INF109KB1JN5</t>
        </is>
      </c>
    </row>
    <row r="5437">
      <c r="A5437" t="inlineStr">
        <is>
          <t xml:space="preserve">ICICI Prudential Mutual Fund</t>
        </is>
      </c>
      <c r="B5437" t="inlineStr">
        <is>
          <t xml:space="preserve">ICICI Prudential Fixed Maturity Plan-Series 69-698 Days Plan B - Direct Plan - Cumulative</t>
        </is>
      </c>
      <c r="C5437" t="inlineStr">
        <is>
          <t xml:space="preserve">INF109KB1JP0</t>
        </is>
      </c>
    </row>
    <row r="5438">
      <c r="A5438" t="inlineStr">
        <is>
          <t xml:space="preserve">ICICI Prudential Mutual Fund</t>
        </is>
      </c>
      <c r="B5438" t="inlineStr">
        <is>
          <t xml:space="preserve">ICICI Prudential Fixed Maturity Plan-Series 69-698 Days Plan B - Dividend</t>
        </is>
      </c>
      <c r="C5438" t="inlineStr">
        <is>
          <t xml:space="preserve">INF109KB1JO3</t>
        </is>
      </c>
    </row>
    <row r="5439">
      <c r="A5439" t="inlineStr">
        <is>
          <t xml:space="preserve">ICICI Prudential Mutual Fund</t>
        </is>
      </c>
      <c r="B5439" t="inlineStr">
        <is>
          <t xml:space="preserve">ICICI Prudential Fixed Maturity Plan-Series 70-1095 Days Plan H - Cumulative</t>
        </is>
      </c>
      <c r="C5439" t="inlineStr">
        <is>
          <t xml:space="preserve">INF109KA1DX8</t>
        </is>
      </c>
    </row>
    <row r="5440">
      <c r="A5440" t="inlineStr">
        <is>
          <t xml:space="preserve">ICICI Prudential Mutual Fund</t>
        </is>
      </c>
      <c r="B5440" t="inlineStr">
        <is>
          <t xml:space="preserve">ICICI Prudential Fixed Maturity Plan-Series 70-1095 Days Plan H - Direct Plan - Cumulative</t>
        </is>
      </c>
      <c r="C5440" t="inlineStr">
        <is>
          <t xml:space="preserve">INF109KA1DV2</t>
        </is>
      </c>
    </row>
    <row r="5441">
      <c r="A5441" t="inlineStr">
        <is>
          <t xml:space="preserve">ICICI Prudential Mutual Fund</t>
        </is>
      </c>
      <c r="B5441" t="inlineStr">
        <is>
          <t xml:space="preserve">ICICI Prudential Fixed Maturity Plan-Series 70-1095 Days Plan H - Direct Plan - Dividend</t>
        </is>
      </c>
      <c r="C5441" t="inlineStr">
        <is>
          <t xml:space="preserve">INF109KA1DW0</t>
        </is>
      </c>
    </row>
    <row r="5442">
      <c r="A5442" t="inlineStr">
        <is>
          <t xml:space="preserve">ICICI Prudential Mutual Fund</t>
        </is>
      </c>
      <c r="B5442" t="inlineStr">
        <is>
          <t xml:space="preserve">ICICI Prudential Fixed Maturity Plan-Series 70-1095 Days Plan H - Dividend</t>
        </is>
      </c>
      <c r="C5442" t="inlineStr">
        <is>
          <t xml:space="preserve">INF109KA1DY6</t>
        </is>
      </c>
    </row>
    <row r="5443">
      <c r="A5443" t="inlineStr">
        <is>
          <t xml:space="preserve">ICICI Prudential Mutual Fund</t>
        </is>
      </c>
      <c r="B5443" t="inlineStr">
        <is>
          <t xml:space="preserve">ICICI Prudential Fixed Maturity Plan-Series 70-1285 Days Plan T - Cumulative</t>
        </is>
      </c>
      <c r="C5443" t="inlineStr">
        <is>
          <t xml:space="preserve">INF109KA1GH4</t>
        </is>
      </c>
    </row>
    <row r="5444">
      <c r="A5444" t="inlineStr">
        <is>
          <t xml:space="preserve">ICICI Prudential Mutual Fund</t>
        </is>
      </c>
      <c r="B5444" t="inlineStr">
        <is>
          <t xml:space="preserve">ICICI Prudential Fixed Maturity Plan-Series 70-1285 Days Plan T - Direct Plan - Cumulative</t>
        </is>
      </c>
      <c r="C5444" t="inlineStr">
        <is>
          <t xml:space="preserve">INF109KA1GF8</t>
        </is>
      </c>
    </row>
    <row r="5445">
      <c r="A5445" t="inlineStr">
        <is>
          <t xml:space="preserve">ICICI Prudential Mutual Fund</t>
        </is>
      </c>
      <c r="B5445" t="inlineStr">
        <is>
          <t xml:space="preserve">ICICI Prudential Fixed Maturity Plan-Series 70-1285 Days Plan T - Direct Plan - Dividend</t>
        </is>
      </c>
      <c r="C5445" t="inlineStr">
        <is>
          <t xml:space="preserve">INF109KA1GG6</t>
        </is>
      </c>
    </row>
    <row r="5446">
      <c r="A5446" t="inlineStr">
        <is>
          <t xml:space="preserve">ICICI Prudential Mutual Fund</t>
        </is>
      </c>
      <c r="B5446" t="inlineStr">
        <is>
          <t xml:space="preserve">ICICI Prudential Fixed Maturity Plan-Series 70-1285 Days Plan T - Dividend</t>
        </is>
      </c>
      <c r="C5446" t="inlineStr">
        <is>
          <t xml:space="preserve">INF109KA1GI2</t>
        </is>
      </c>
    </row>
    <row r="5447">
      <c r="A5447" t="inlineStr">
        <is>
          <t xml:space="preserve">ICICI Prudential Mutual Fund</t>
        </is>
      </c>
      <c r="B5447" t="inlineStr">
        <is>
          <t xml:space="preserve">ICICI Prudential Fixed Maturity Plan-Series 70-366 Days Plan B - Cumulative</t>
        </is>
      </c>
      <c r="C5447" t="inlineStr">
        <is>
          <t xml:space="preserve">INF109KA1R00</t>
        </is>
      </c>
    </row>
    <row r="5448">
      <c r="A5448" t="inlineStr">
        <is>
          <t xml:space="preserve">ICICI Prudential Mutual Fund</t>
        </is>
      </c>
      <c r="B5448" t="inlineStr">
        <is>
          <t xml:space="preserve">ICICI Prudential Fixed Maturity Plan-Series 70-366 Days Plan B - Direct Plan - Cumulative</t>
        </is>
      </c>
      <c r="C5448" t="inlineStr">
        <is>
          <t xml:space="preserve">INF109KA1Q84</t>
        </is>
      </c>
    </row>
    <row r="5449">
      <c r="A5449" t="inlineStr">
        <is>
          <t xml:space="preserve">ICICI Prudential Mutual Fund</t>
        </is>
      </c>
      <c r="B5449" t="inlineStr">
        <is>
          <t xml:space="preserve">ICICI Prudential Fixed Maturity Plan-Series 70-366 Days Plan B - Dividend</t>
        </is>
      </c>
      <c r="C5449" t="inlineStr">
        <is>
          <t xml:space="preserve">INF109KA1R18</t>
        </is>
      </c>
    </row>
    <row r="5450">
      <c r="A5450" t="inlineStr">
        <is>
          <t xml:space="preserve">ICICI Prudential Mutual Fund</t>
        </is>
      </c>
      <c r="B5450" t="inlineStr">
        <is>
          <t xml:space="preserve">ICICI Prudential Fixed Maturity Plan-Series 70-366 Days Plan I - Cumulative</t>
        </is>
      </c>
      <c r="C5450" t="inlineStr">
        <is>
          <t xml:space="preserve">INF109KA1U88</t>
        </is>
      </c>
    </row>
    <row r="5451">
      <c r="A5451" t="inlineStr">
        <is>
          <t xml:space="preserve">ICICI Prudential Mutual Fund</t>
        </is>
      </c>
      <c r="B5451" t="inlineStr">
        <is>
          <t xml:space="preserve">ICICI Prudential Fixed Maturity Plan-Series 70-366 Days Plan I - Direct Plan - Cumulative</t>
        </is>
      </c>
      <c r="C5451" t="inlineStr">
        <is>
          <t xml:space="preserve">INF109KA1U62</t>
        </is>
      </c>
    </row>
    <row r="5452">
      <c r="A5452" t="inlineStr">
        <is>
          <t xml:space="preserve">ICICI Prudential Mutual Fund</t>
        </is>
      </c>
      <c r="B5452" t="inlineStr">
        <is>
          <t xml:space="preserve">ICICI Prudential Fixed Maturity Plan-Series 70-366 Days Plan I - Direct Plan - Dividend</t>
        </is>
      </c>
      <c r="C5452" t="inlineStr">
        <is>
          <t xml:space="preserve">INF109KA1U70</t>
        </is>
      </c>
    </row>
    <row r="5453">
      <c r="A5453" t="inlineStr">
        <is>
          <t xml:space="preserve">ICICI Prudential Mutual Fund</t>
        </is>
      </c>
      <c r="B5453" t="inlineStr">
        <is>
          <t xml:space="preserve">ICICI Prudential Fixed Maturity Plan-Series 70-367 Days Plan C - Cumulative</t>
        </is>
      </c>
      <c r="C5453" t="inlineStr">
        <is>
          <t xml:space="preserve">INF109KA1T24</t>
        </is>
      </c>
    </row>
    <row r="5454">
      <c r="A5454" t="inlineStr">
        <is>
          <t xml:space="preserve">ICICI Prudential Mutual Fund</t>
        </is>
      </c>
      <c r="B5454" t="inlineStr">
        <is>
          <t xml:space="preserve">ICICI Prudential Fixed Maturity Plan-Series 70-367 Days Plan C - Direct Plan - Cumulative</t>
        </is>
      </c>
      <c r="C5454" t="inlineStr">
        <is>
          <t xml:space="preserve">INF109KA1T08</t>
        </is>
      </c>
    </row>
    <row r="5455">
      <c r="A5455" t="inlineStr">
        <is>
          <t xml:space="preserve">ICICI Prudential Mutual Fund</t>
        </is>
      </c>
      <c r="B5455" t="inlineStr">
        <is>
          <t xml:space="preserve">ICICI Prudential Fixed Maturity Plan-Series 70-367 Days Plan C - Direct Plan - Dividend</t>
        </is>
      </c>
      <c r="C5455" t="inlineStr">
        <is>
          <t xml:space="preserve">INF109KA1T16</t>
        </is>
      </c>
    </row>
    <row r="5456">
      <c r="A5456" t="inlineStr">
        <is>
          <t xml:space="preserve">ICICI Prudential Mutual Fund</t>
        </is>
      </c>
      <c r="B5456" t="inlineStr">
        <is>
          <t xml:space="preserve">ICICI Prudential Fixed Maturity Plan-Series 70-367 Days Plan C - Dividend</t>
        </is>
      </c>
      <c r="C5456" t="inlineStr">
        <is>
          <t xml:space="preserve">INF109KA1T32</t>
        </is>
      </c>
    </row>
    <row r="5457">
      <c r="A5457" t="inlineStr">
        <is>
          <t xml:space="preserve">ICICI Prudential Mutual Fund</t>
        </is>
      </c>
      <c r="B5457" t="inlineStr">
        <is>
          <t xml:space="preserve">ICICI Prudential Fixed Maturity Plan-Series 70-367 Days Plan N - Cumulative</t>
        </is>
      </c>
      <c r="C5457" t="inlineStr">
        <is>
          <t xml:space="preserve">INF109KA1Z91</t>
        </is>
      </c>
    </row>
    <row r="5458">
      <c r="A5458" t="inlineStr">
        <is>
          <t xml:space="preserve">ICICI Prudential Mutual Fund</t>
        </is>
      </c>
      <c r="B5458" t="inlineStr">
        <is>
          <t xml:space="preserve">ICICI Prudential Fixed Maturity Plan-Series 70-367 Days Plan N - Direct Plan - Cumulative</t>
        </is>
      </c>
      <c r="C5458" t="inlineStr">
        <is>
          <t xml:space="preserve">INF109KA1Y84</t>
        </is>
      </c>
    </row>
    <row r="5459">
      <c r="A5459" t="inlineStr">
        <is>
          <t xml:space="preserve">ICICI Prudential Mutual Fund</t>
        </is>
      </c>
      <c r="B5459" t="inlineStr">
        <is>
          <t xml:space="preserve">ICICI Prudential Fixed Maturity Plan-Series 70-368 Days Plan J - Cumulative</t>
        </is>
      </c>
      <c r="C5459" t="inlineStr">
        <is>
          <t xml:space="preserve">INF109KA1U47</t>
        </is>
      </c>
    </row>
    <row r="5460">
      <c r="A5460" t="inlineStr">
        <is>
          <t xml:space="preserve">ICICI Prudential Mutual Fund</t>
        </is>
      </c>
      <c r="B5460" t="inlineStr">
        <is>
          <t xml:space="preserve">ICICI Prudential Fixed Maturity Plan-Series 70-368 Days Plan J - Direct Plan - Cumulative</t>
        </is>
      </c>
      <c r="C5460" t="inlineStr">
        <is>
          <t xml:space="preserve">INF109KA1U21</t>
        </is>
      </c>
    </row>
    <row r="5461">
      <c r="A5461" t="inlineStr">
        <is>
          <t xml:space="preserve">ICICI Prudential Mutual Fund</t>
        </is>
      </c>
      <c r="B5461" t="inlineStr">
        <is>
          <t xml:space="preserve">ICICI Prudential Fixed Maturity Plan-Series 70-368 Days Plan K - Cumulative</t>
        </is>
      </c>
      <c r="C5461" t="inlineStr">
        <is>
          <t xml:space="preserve">INF109KA1V20</t>
        </is>
      </c>
    </row>
    <row r="5462">
      <c r="A5462" t="inlineStr">
        <is>
          <t xml:space="preserve">ICICI Prudential Mutual Fund</t>
        </is>
      </c>
      <c r="B5462" t="inlineStr">
        <is>
          <t xml:space="preserve">ICICI Prudential Fixed Maturity Plan-Series 70-368 Days Plan K - Direct Plan - Cumulative</t>
        </is>
      </c>
      <c r="C5462" t="inlineStr">
        <is>
          <t xml:space="preserve">INF109KA1V04</t>
        </is>
      </c>
    </row>
    <row r="5463">
      <c r="A5463" t="inlineStr">
        <is>
          <t xml:space="preserve">ICICI Prudential Mutual Fund</t>
        </is>
      </c>
      <c r="B5463" t="inlineStr">
        <is>
          <t xml:space="preserve">ICICI Prudential Fixed Maturity Plan-Series 70-368 Days Plan M - Cumulative</t>
        </is>
      </c>
      <c r="C5463" t="inlineStr">
        <is>
          <t xml:space="preserve">INF109KA1Z34</t>
        </is>
      </c>
    </row>
    <row r="5464">
      <c r="A5464" t="inlineStr">
        <is>
          <t xml:space="preserve">ICICI Prudential Mutual Fund</t>
        </is>
      </c>
      <c r="B5464" t="inlineStr">
        <is>
          <t xml:space="preserve">ICICI Prudential Fixed Maturity Plan-Series 70-368 Days Plan M - Direct Plan - Cumulative</t>
        </is>
      </c>
      <c r="C5464" t="inlineStr">
        <is>
          <t xml:space="preserve">INF109KA1Z18</t>
        </is>
      </c>
    </row>
    <row r="5465">
      <c r="A5465" t="inlineStr">
        <is>
          <t xml:space="preserve">ICICI Prudential Mutual Fund</t>
        </is>
      </c>
      <c r="B5465" t="inlineStr">
        <is>
          <t xml:space="preserve">ICICI Prudential Fixed Maturity Plan-Series 70-368 Days Plan M - Dividend</t>
        </is>
      </c>
      <c r="C5465" t="inlineStr">
        <is>
          <t xml:space="preserve">INF109KA1Z42</t>
        </is>
      </c>
    </row>
    <row r="5466">
      <c r="A5466" t="inlineStr">
        <is>
          <t xml:space="preserve">ICICI Prudential Mutual Fund</t>
        </is>
      </c>
      <c r="B5466" t="inlineStr">
        <is>
          <t xml:space="preserve">ICICI Prudential Fixed Maturity Plan-Series 70-369 Days Plan E - Cumulative</t>
        </is>
      </c>
      <c r="C5466" t="inlineStr">
        <is>
          <t xml:space="preserve">INF109KA1S82</t>
        </is>
      </c>
    </row>
    <row r="5467">
      <c r="A5467" t="inlineStr">
        <is>
          <t xml:space="preserve">ICICI Prudential Mutual Fund</t>
        </is>
      </c>
      <c r="B5467" t="inlineStr">
        <is>
          <t xml:space="preserve">ICICI Prudential Fixed Maturity Plan-Series 70-369 Days Plan E - Direct Plan - Cumulative</t>
        </is>
      </c>
      <c r="C5467" t="inlineStr">
        <is>
          <t xml:space="preserve">INF109KA1S66</t>
        </is>
      </c>
    </row>
    <row r="5468">
      <c r="A5468" t="inlineStr">
        <is>
          <t xml:space="preserve">ICICI Prudential Mutual Fund</t>
        </is>
      </c>
      <c r="B5468" t="inlineStr">
        <is>
          <t xml:space="preserve">ICICI Prudential Fixed Maturity Plan-Series 70-369 Days Plan E - Dividend</t>
        </is>
      </c>
      <c r="C5468" t="inlineStr">
        <is>
          <t xml:space="preserve">INF109KA1S90</t>
        </is>
      </c>
    </row>
    <row r="5469">
      <c r="A5469" t="inlineStr">
        <is>
          <t xml:space="preserve">ICICI Prudential Mutual Fund</t>
        </is>
      </c>
      <c r="B5469" t="inlineStr">
        <is>
          <t xml:space="preserve">ICICI Prudential Fixed Maturity Plan-Series 70-372 Days Plan L - Cumulative</t>
        </is>
      </c>
      <c r="C5469" t="inlineStr">
        <is>
          <t xml:space="preserve">INF109KA1Z75</t>
        </is>
      </c>
    </row>
    <row r="5470">
      <c r="A5470" t="inlineStr">
        <is>
          <t xml:space="preserve">ICICI Prudential Mutual Fund</t>
        </is>
      </c>
      <c r="B5470" t="inlineStr">
        <is>
          <t xml:space="preserve">ICICI Prudential Fixed Maturity Plan-Series 70-372 Days Plan L - Direct Plan - Cumulative</t>
        </is>
      </c>
      <c r="C5470" t="inlineStr">
        <is>
          <t xml:space="preserve">INF109KA1Z59</t>
        </is>
      </c>
    </row>
    <row r="5471">
      <c r="A5471" t="inlineStr">
        <is>
          <t xml:space="preserve">ICICI Prudential Mutual Fund</t>
        </is>
      </c>
      <c r="B5471" t="inlineStr">
        <is>
          <t xml:space="preserve">ICICI Prudential Fixed Maturity Plan-Series 70-372 Days Plan L - Dividend</t>
        </is>
      </c>
      <c r="C5471" t="inlineStr">
        <is>
          <t xml:space="preserve">INF109KA1Z83</t>
        </is>
      </c>
    </row>
    <row r="5472">
      <c r="A5472" t="inlineStr">
        <is>
          <t xml:space="preserve">ICICI Prudential Mutual Fund</t>
        </is>
      </c>
      <c r="B5472" t="inlineStr">
        <is>
          <t xml:space="preserve">ICICI Prudential Fixed Maturity Plan-Series 70-540 Days Plan S - Cumulative</t>
        </is>
      </c>
      <c r="C5472" t="inlineStr">
        <is>
          <t xml:space="preserve">INF109KB1BZ6</t>
        </is>
      </c>
    </row>
    <row r="5473">
      <c r="A5473" t="inlineStr">
        <is>
          <t xml:space="preserve">ICICI Prudential Mutual Fund</t>
        </is>
      </c>
      <c r="B5473" t="inlineStr">
        <is>
          <t xml:space="preserve">ICICI Prudential Fixed Maturity Plan-Series 70-540 Days Plan S - Direct Plan - Cumulative</t>
        </is>
      </c>
      <c r="C5473" t="inlineStr">
        <is>
          <t xml:space="preserve">INF109KB1CB5</t>
        </is>
      </c>
    </row>
    <row r="5474">
      <c r="A5474" t="inlineStr">
        <is>
          <t xml:space="preserve">ICICI Prudential Mutual Fund</t>
        </is>
      </c>
      <c r="B5474" t="inlineStr">
        <is>
          <t xml:space="preserve">ICICI Prudential Fixed Maturity Plan-Series 70-742 Days Plan D - Cumulative</t>
        </is>
      </c>
      <c r="C5474" t="inlineStr">
        <is>
          <t xml:space="preserve">INF109KA1DT6</t>
        </is>
      </c>
    </row>
    <row r="5475">
      <c r="A5475" t="inlineStr">
        <is>
          <t xml:space="preserve">ICICI Prudential Mutual Fund</t>
        </is>
      </c>
      <c r="B5475" t="inlineStr">
        <is>
          <t xml:space="preserve">ICICI Prudential Fixed Maturity Plan-Series 70-742 Days Plan D - Direct Plan - Cumulative</t>
        </is>
      </c>
      <c r="C5475" t="inlineStr">
        <is>
          <t xml:space="preserve">INF109KA1DR0</t>
        </is>
      </c>
    </row>
    <row r="5476">
      <c r="A5476" t="inlineStr">
        <is>
          <t xml:space="preserve">ICICI Prudential Mutual Fund</t>
        </is>
      </c>
      <c r="B5476" t="inlineStr">
        <is>
          <t xml:space="preserve">ICICI Prudential Fixed Maturity Plan-Series 70-742 Days Plan D - Direct Plan - Dividend</t>
        </is>
      </c>
      <c r="C5476" t="inlineStr">
        <is>
          <t xml:space="preserve">INF109KA1DS8</t>
        </is>
      </c>
    </row>
    <row r="5477">
      <c r="A5477" t="inlineStr">
        <is>
          <t xml:space="preserve">ICICI Prudential Mutual Fund</t>
        </is>
      </c>
      <c r="B5477" t="inlineStr">
        <is>
          <t xml:space="preserve">ICICI Prudential Fixed Maturity Plan-Series 70-742 Days Plan D - Dividend</t>
        </is>
      </c>
      <c r="C5477" t="inlineStr">
        <is>
          <t xml:space="preserve">INF109KA1DU4</t>
        </is>
      </c>
    </row>
    <row r="5478">
      <c r="A5478" t="inlineStr">
        <is>
          <t xml:space="preserve">ICICI Prudential Mutual Fund</t>
        </is>
      </c>
      <c r="B5478" t="inlineStr">
        <is>
          <t xml:space="preserve">ICICI Prudential Fixed Maturity Plan-Series 70-745 Days Plan A - Cumulative</t>
        </is>
      </c>
      <c r="C5478" t="inlineStr">
        <is>
          <t xml:space="preserve">INF109KB1NH9</t>
        </is>
      </c>
    </row>
    <row r="5479">
      <c r="A5479" t="inlineStr">
        <is>
          <t xml:space="preserve">ICICI Prudential Mutual Fund</t>
        </is>
      </c>
      <c r="B5479" t="inlineStr">
        <is>
          <t xml:space="preserve">ICICI Prudential Fixed Maturity Plan-Series 70-745 Days Plan A - Direct Plan - Cumulative</t>
        </is>
      </c>
      <c r="C5479" t="inlineStr">
        <is>
          <t xml:space="preserve">INF109KB1NJ5</t>
        </is>
      </c>
    </row>
    <row r="5480">
      <c r="A5480" t="inlineStr">
        <is>
          <t xml:space="preserve">ICICI Prudential Mutual Fund</t>
        </is>
      </c>
      <c r="B5480" t="inlineStr">
        <is>
          <t xml:space="preserve">ICICI Prudential Fixed Maturity Plan-Series 70-745 Days Plan A - Dividend</t>
        </is>
      </c>
      <c r="C5480" t="inlineStr">
        <is>
          <t xml:space="preserve">INF109KB1NI7</t>
        </is>
      </c>
    </row>
    <row r="5481">
      <c r="A5481" t="inlineStr">
        <is>
          <t xml:space="preserve">ICICI Prudential Mutual Fund</t>
        </is>
      </c>
      <c r="B5481" t="inlineStr">
        <is>
          <t xml:space="preserve">ICICI Prudential Fixed Maturity Plan-Series 70-745 Days Plan G - Cumulative</t>
        </is>
      </c>
      <c r="C5481" t="inlineStr">
        <is>
          <t xml:space="preserve">INF109KA1EJ5</t>
        </is>
      </c>
    </row>
    <row r="5482">
      <c r="A5482" t="inlineStr">
        <is>
          <t xml:space="preserve">ICICI Prudential Mutual Fund</t>
        </is>
      </c>
      <c r="B5482" t="inlineStr">
        <is>
          <t xml:space="preserve">ICICI Prudential Fixed Maturity Plan-Series 70-745 Days Plan G - Direct Plan - Cumulative</t>
        </is>
      </c>
      <c r="C5482" t="inlineStr">
        <is>
          <t xml:space="preserve">INF109KA1EH9</t>
        </is>
      </c>
    </row>
    <row r="5483">
      <c r="A5483" t="inlineStr">
        <is>
          <t xml:space="preserve">ICICI Prudential Mutual Fund</t>
        </is>
      </c>
      <c r="B5483" t="inlineStr">
        <is>
          <t xml:space="preserve">ICICI Prudential Fixed Maturity Plan-Series 70-745 Days Plan G - Direct Plan - Dividend</t>
        </is>
      </c>
      <c r="C5483" t="inlineStr">
        <is>
          <t xml:space="preserve">INF109KA1EI7</t>
        </is>
      </c>
    </row>
    <row r="5484">
      <c r="A5484" t="inlineStr">
        <is>
          <t xml:space="preserve">ICICI Prudential Mutual Fund</t>
        </is>
      </c>
      <c r="B5484" t="inlineStr">
        <is>
          <t xml:space="preserve">ICICI Prudential Fixed Maturity Plan-Series 70-745 Days Plan G - Dividend</t>
        </is>
      </c>
      <c r="C5484" t="inlineStr">
        <is>
          <t xml:space="preserve">INF109KA1EK3</t>
        </is>
      </c>
    </row>
    <row r="5485">
      <c r="A5485" t="inlineStr">
        <is>
          <t xml:space="preserve">ICICI Prudential Mutual Fund</t>
        </is>
      </c>
      <c r="B5485" t="inlineStr">
        <is>
          <t xml:space="preserve">ICICI Prudential Fixed Maturity Plan-Series 70-745 Days Plan P - Cumulative</t>
        </is>
      </c>
      <c r="C5485" t="inlineStr">
        <is>
          <t xml:space="preserve">INF109KB1OJ3</t>
        </is>
      </c>
    </row>
    <row r="5486">
      <c r="A5486" t="inlineStr">
        <is>
          <t xml:space="preserve">ICICI Prudential Mutual Fund</t>
        </is>
      </c>
      <c r="B5486" t="inlineStr">
        <is>
          <t xml:space="preserve">ICICI Prudential Fixed Maturity Plan-Series 70-745 Days Plan P - Direct Plan - Cumulative</t>
        </is>
      </c>
      <c r="C5486" t="inlineStr">
        <is>
          <t xml:space="preserve">INF109KB1OL9</t>
        </is>
      </c>
    </row>
    <row r="5487">
      <c r="A5487" t="inlineStr">
        <is>
          <t xml:space="preserve">ICICI Prudential Mutual Fund</t>
        </is>
      </c>
      <c r="B5487" t="inlineStr">
        <is>
          <t xml:space="preserve">ICICI Prudential Fixed Maturity Plan-Series 70-745 Days Plan P - Dividend</t>
        </is>
      </c>
      <c r="C5487" t="inlineStr">
        <is>
          <t xml:space="preserve">INF109KB1OK1</t>
        </is>
      </c>
    </row>
    <row r="5488">
      <c r="A5488" t="inlineStr">
        <is>
          <t xml:space="preserve">ICICI Prudential Mutual Fund</t>
        </is>
      </c>
      <c r="B5488" t="inlineStr">
        <is>
          <t xml:space="preserve">ICICI Prudential Fixed Maturity Plan-Series 71-1095 Days Plan O - Cumulative</t>
        </is>
      </c>
      <c r="C5488" t="inlineStr">
        <is>
          <t xml:space="preserve">INF109KA1IL2</t>
        </is>
      </c>
    </row>
    <row r="5489">
      <c r="A5489" t="inlineStr">
        <is>
          <t xml:space="preserve">ICICI Prudential Mutual Fund</t>
        </is>
      </c>
      <c r="B5489" t="inlineStr">
        <is>
          <t xml:space="preserve">ICICI Prudential Fixed Maturity Plan-Series 71-1095 Days Plan O - Direct Plan - Cumulative</t>
        </is>
      </c>
      <c r="C5489" t="inlineStr">
        <is>
          <t xml:space="preserve">INF109KA1IN8</t>
        </is>
      </c>
    </row>
    <row r="5490">
      <c r="A5490" t="inlineStr">
        <is>
          <t xml:space="preserve">ICICI Prudential Mutual Fund</t>
        </is>
      </c>
      <c r="B5490" t="inlineStr">
        <is>
          <t xml:space="preserve">ICICI Prudential Fixed Maturity Plan-Series 71-1095 Days Plan O - Direct Plan - Dividend</t>
        </is>
      </c>
      <c r="C5490" t="inlineStr">
        <is>
          <t xml:space="preserve">INF109KA1IO6</t>
        </is>
      </c>
    </row>
    <row r="5491">
      <c r="A5491" t="inlineStr">
        <is>
          <t xml:space="preserve">ICICI Prudential Mutual Fund</t>
        </is>
      </c>
      <c r="B5491" t="inlineStr">
        <is>
          <t xml:space="preserve">ICICI Prudential Fixed Maturity Plan-Series 71-1095 Days Plan O - Dividend</t>
        </is>
      </c>
      <c r="C5491" t="inlineStr">
        <is>
          <t xml:space="preserve">INF109KA1IM0</t>
        </is>
      </c>
    </row>
    <row r="5492">
      <c r="A5492" t="inlineStr">
        <is>
          <t xml:space="preserve">ICICI Prudential Mutual Fund</t>
        </is>
      </c>
      <c r="B5492" t="inlineStr">
        <is>
          <t xml:space="preserve">ICICI Prudential Fixed Maturity Plan-Series 71-366 Days Plan C - Cumulative</t>
        </is>
      </c>
      <c r="C5492" t="inlineStr">
        <is>
          <t xml:space="preserve">INF109KA10H5</t>
        </is>
      </c>
    </row>
    <row r="5493">
      <c r="A5493" t="inlineStr">
        <is>
          <t xml:space="preserve">ICICI Prudential Mutual Fund</t>
        </is>
      </c>
      <c r="B5493" t="inlineStr">
        <is>
          <t xml:space="preserve">ICICI Prudential Fixed Maturity Plan-Series 71-366 Days Plan C - Direct Plan - Cumulative</t>
        </is>
      </c>
      <c r="C5493" t="inlineStr">
        <is>
          <t xml:space="preserve">INF109KA18G0</t>
        </is>
      </c>
    </row>
    <row r="5494">
      <c r="A5494" t="inlineStr">
        <is>
          <t xml:space="preserve">ICICI Prudential Mutual Fund</t>
        </is>
      </c>
      <c r="B5494" t="inlineStr">
        <is>
          <t xml:space="preserve">ICICI Prudential Fixed Maturity Plan-Series 71-366 Days Plan C - Dividend</t>
        </is>
      </c>
      <c r="C5494" t="inlineStr">
        <is>
          <t xml:space="preserve">INF109KA11H3</t>
        </is>
      </c>
    </row>
    <row r="5495">
      <c r="A5495" t="inlineStr">
        <is>
          <t xml:space="preserve">ICICI Prudential Mutual Fund</t>
        </is>
      </c>
      <c r="B5495" t="inlineStr">
        <is>
          <t xml:space="preserve">ICICI Prudential Fixed Maturity Plan-Series 71-369 Days Plan E - Cumulative</t>
        </is>
      </c>
      <c r="C5495" t="inlineStr">
        <is>
          <t xml:space="preserve">INF109KA18K2</t>
        </is>
      </c>
    </row>
    <row r="5496">
      <c r="A5496" t="inlineStr">
        <is>
          <t xml:space="preserve">ICICI Prudential Mutual Fund</t>
        </is>
      </c>
      <c r="B5496" t="inlineStr">
        <is>
          <t xml:space="preserve">ICICI Prudential Fixed Maturity Plan-Series 71-369 Days Plan E - Direct Plan - Cumulative</t>
        </is>
      </c>
      <c r="C5496" t="inlineStr">
        <is>
          <t xml:space="preserve">INF109KA10L7</t>
        </is>
      </c>
    </row>
    <row r="5497">
      <c r="A5497" t="inlineStr">
        <is>
          <t xml:space="preserve">ICICI Prudential Mutual Fund</t>
        </is>
      </c>
      <c r="B5497" t="inlineStr">
        <is>
          <t xml:space="preserve">ICICI Prudential Fixed Maturity Plan-Series 71-369 Days Plan E - Direct Plan - Dividend</t>
        </is>
      </c>
      <c r="C5497" t="inlineStr">
        <is>
          <t xml:space="preserve">INF109KA11L5</t>
        </is>
      </c>
    </row>
    <row r="5498">
      <c r="A5498" t="inlineStr">
        <is>
          <t xml:space="preserve">ICICI Prudential Mutual Fund</t>
        </is>
      </c>
      <c r="B5498" t="inlineStr">
        <is>
          <t xml:space="preserve">ICICI Prudential Fixed Maturity Plan-Series 71-369 Days Plan E - Dividend</t>
        </is>
      </c>
      <c r="C5498" t="inlineStr">
        <is>
          <t xml:space="preserve">INF109KA19K0</t>
        </is>
      </c>
    </row>
    <row r="5499">
      <c r="A5499" t="inlineStr">
        <is>
          <t xml:space="preserve">ICICI Prudential Mutual Fund</t>
        </is>
      </c>
      <c r="B5499" t="inlineStr">
        <is>
          <t xml:space="preserve">ICICI Prudential Fixed Maturity Plan-Series 71-480 Days Plan L - Cumulative</t>
        </is>
      </c>
      <c r="C5499" t="inlineStr">
        <is>
          <t xml:space="preserve">INF109KB1CD1</t>
        </is>
      </c>
    </row>
    <row r="5500">
      <c r="A5500" t="inlineStr">
        <is>
          <t xml:space="preserve">ICICI Prudential Mutual Fund</t>
        </is>
      </c>
      <c r="B5500" t="inlineStr">
        <is>
          <t xml:space="preserve">ICICI Prudential Fixed Maturity Plan-Series 71-480 Days Plan L - Direct Plan - Cumulative</t>
        </is>
      </c>
      <c r="C5500" t="inlineStr">
        <is>
          <t xml:space="preserve">INF109KB1CF6</t>
        </is>
      </c>
    </row>
    <row r="5501">
      <c r="A5501" t="inlineStr">
        <is>
          <t xml:space="preserve">ICICI Prudential Mutual Fund</t>
        </is>
      </c>
      <c r="B5501" t="inlineStr">
        <is>
          <t xml:space="preserve">ICICI Prudential Fixed Maturity Plan-Series 71-480 Days Plan L - Dividend</t>
        </is>
      </c>
      <c r="C5501" t="inlineStr">
        <is>
          <t xml:space="preserve">INF109KB1CE9</t>
        </is>
      </c>
    </row>
    <row r="5502">
      <c r="A5502" t="inlineStr">
        <is>
          <t xml:space="preserve">ICICI Prudential Mutual Fund</t>
        </is>
      </c>
      <c r="B5502" t="inlineStr">
        <is>
          <t xml:space="preserve">ICICI Prudential Fixed Maturity Plan-Series 71-505 Days Plan H - Cumulative</t>
        </is>
      </c>
      <c r="C5502" t="inlineStr">
        <is>
          <t xml:space="preserve">INF109KB1EB1</t>
        </is>
      </c>
    </row>
    <row r="5503">
      <c r="A5503" t="inlineStr">
        <is>
          <t xml:space="preserve">ICICI Prudential Mutual Fund</t>
        </is>
      </c>
      <c r="B5503" t="inlineStr">
        <is>
          <t xml:space="preserve">ICICI Prudential Fixed Maturity Plan-Series 71-505 Days Plan H - Direct Plan - Cumulative</t>
        </is>
      </c>
      <c r="C5503" t="inlineStr">
        <is>
          <t xml:space="preserve">INF109KB1ED7</t>
        </is>
      </c>
    </row>
    <row r="5504">
      <c r="A5504" t="inlineStr">
        <is>
          <t xml:space="preserve">ICICI Prudential Mutual Fund</t>
        </is>
      </c>
      <c r="B5504" t="inlineStr">
        <is>
          <t xml:space="preserve">ICICI Prudential Fixed Maturity Plan-Series 71-505 Days Plan H - Direct Plan - Dividend</t>
        </is>
      </c>
      <c r="C5504" t="inlineStr">
        <is>
          <t xml:space="preserve">INF109KB1EE5</t>
        </is>
      </c>
    </row>
    <row r="5505">
      <c r="A5505" t="inlineStr">
        <is>
          <t xml:space="preserve">ICICI Prudential Mutual Fund</t>
        </is>
      </c>
      <c r="B5505" t="inlineStr">
        <is>
          <t xml:space="preserve">ICICI Prudential Fixed Maturity Plan-Series 71-525 Days Plan D - Cumulative</t>
        </is>
      </c>
      <c r="C5505" t="inlineStr">
        <is>
          <t xml:space="preserve">INF109KB1EF2</t>
        </is>
      </c>
    </row>
    <row r="5506">
      <c r="A5506" t="inlineStr">
        <is>
          <t xml:space="preserve">ICICI Prudential Mutual Fund</t>
        </is>
      </c>
      <c r="B5506" t="inlineStr">
        <is>
          <t xml:space="preserve">ICICI Prudential Fixed Maturity Plan-Series 71-525 Days Plan D - Direct Plan - Cumulative</t>
        </is>
      </c>
      <c r="C5506" t="inlineStr">
        <is>
          <t xml:space="preserve">INF109KB1EH8</t>
        </is>
      </c>
    </row>
    <row r="5507">
      <c r="A5507" t="inlineStr">
        <is>
          <t xml:space="preserve">ICICI Prudential Mutual Fund</t>
        </is>
      </c>
      <c r="B5507" t="inlineStr">
        <is>
          <t xml:space="preserve">ICICI Prudential Fixed Maturity Plan-Series 71-525 Days Plan D - Dividend</t>
        </is>
      </c>
      <c r="C5507" t="inlineStr">
        <is>
          <t xml:space="preserve">INF109KB1EG0</t>
        </is>
      </c>
    </row>
    <row r="5508">
      <c r="A5508" t="inlineStr">
        <is>
          <t xml:space="preserve">ICICI Prudential Mutual Fund</t>
        </is>
      </c>
      <c r="B5508" t="inlineStr">
        <is>
          <t xml:space="preserve">ICICI Prudential Fixed Maturity Plan-Series 71-547 Days Plan B - Cumulative</t>
        </is>
      </c>
      <c r="C5508" t="inlineStr">
        <is>
          <t xml:space="preserve">INF109KB1FF9</t>
        </is>
      </c>
    </row>
    <row r="5509">
      <c r="A5509" t="inlineStr">
        <is>
          <t xml:space="preserve">ICICI Prudential Mutual Fund</t>
        </is>
      </c>
      <c r="B5509" t="inlineStr">
        <is>
          <t xml:space="preserve">ICICI Prudential Fixed Maturity Plan-Series 71-547 Days Plan B - Direct Plan - Cumulative</t>
        </is>
      </c>
      <c r="C5509" t="inlineStr">
        <is>
          <t xml:space="preserve">INF109KB1FH5</t>
        </is>
      </c>
    </row>
    <row r="5510">
      <c r="A5510" t="inlineStr">
        <is>
          <t xml:space="preserve">ICICI Prudential Mutual Fund</t>
        </is>
      </c>
      <c r="B5510" t="inlineStr">
        <is>
          <t xml:space="preserve">ICICI Prudential Fixed Maturity Plan-Series 71-547 Days Plan B - Direct Plan - Dividend</t>
        </is>
      </c>
      <c r="C5510" t="inlineStr">
        <is>
          <t xml:space="preserve">INF109KB1FI3</t>
        </is>
      </c>
    </row>
    <row r="5511">
      <c r="A5511" t="inlineStr">
        <is>
          <t xml:space="preserve">ICICI Prudential Mutual Fund</t>
        </is>
      </c>
      <c r="B5511" t="inlineStr">
        <is>
          <t xml:space="preserve">ICICI Prudential Fixed Maturity Plan-Series 71-547 Days Plan B - Dividend</t>
        </is>
      </c>
      <c r="C5511" t="inlineStr">
        <is>
          <t xml:space="preserve">INF109KB1FG7</t>
        </is>
      </c>
    </row>
    <row r="5512">
      <c r="A5512" t="inlineStr">
        <is>
          <t xml:space="preserve">ICICI Prudential Mutual Fund</t>
        </is>
      </c>
      <c r="B5512" t="inlineStr">
        <is>
          <t xml:space="preserve">ICICI Prudential Fixed Maturity Plan-Series 72-1075 Days Plan Q - Cumulative</t>
        </is>
      </c>
      <c r="C5512" t="inlineStr">
        <is>
          <t xml:space="preserve">INF109KA1NN8</t>
        </is>
      </c>
    </row>
    <row r="5513">
      <c r="A5513" t="inlineStr">
        <is>
          <t xml:space="preserve">ICICI Prudential Mutual Fund</t>
        </is>
      </c>
      <c r="B5513" t="inlineStr">
        <is>
          <t xml:space="preserve">ICICI Prudential Fixed Maturity Plan-Series 72-1075 Days Plan Q - Direct Plan - Cumulative</t>
        </is>
      </c>
      <c r="C5513" t="inlineStr">
        <is>
          <t xml:space="preserve">INF109KA1NP3</t>
        </is>
      </c>
    </row>
    <row r="5514">
      <c r="A5514" t="inlineStr">
        <is>
          <t xml:space="preserve">ICICI Prudential Mutual Fund</t>
        </is>
      </c>
      <c r="B5514" t="inlineStr">
        <is>
          <t xml:space="preserve">ICICI Prudential Fixed Maturity Plan-Series 72-1075 Days Plan Q - Direct Plan - Dividend</t>
        </is>
      </c>
      <c r="C5514" t="inlineStr">
        <is>
          <t xml:space="preserve">INF109KA1NQ1</t>
        </is>
      </c>
    </row>
    <row r="5515">
      <c r="A5515" t="inlineStr">
        <is>
          <t xml:space="preserve">ICICI Prudential Mutual Fund</t>
        </is>
      </c>
      <c r="B5515" t="inlineStr">
        <is>
          <t xml:space="preserve">ICICI Prudential Fixed Maturity Plan-Series 72-1075 Days Plan Q - Dividend</t>
        </is>
      </c>
      <c r="C5515" t="inlineStr">
        <is>
          <t xml:space="preserve">INF109KA1NO6</t>
        </is>
      </c>
    </row>
    <row r="5516">
      <c r="A5516" t="inlineStr">
        <is>
          <t xml:space="preserve">ICICI Prudential Mutual Fund</t>
        </is>
      </c>
      <c r="B5516" t="inlineStr">
        <is>
          <t xml:space="preserve">ICICI Prudential Fixed Maturity Plan-Series 72-1092 Days Plan F - Cumulative</t>
        </is>
      </c>
      <c r="C5516" t="inlineStr">
        <is>
          <t xml:space="preserve">INF109KA1LB7</t>
        </is>
      </c>
    </row>
    <row r="5517">
      <c r="A5517" t="inlineStr">
        <is>
          <t xml:space="preserve">ICICI Prudential Mutual Fund</t>
        </is>
      </c>
      <c r="B5517" t="inlineStr">
        <is>
          <t xml:space="preserve">ICICI Prudential Fixed Maturity Plan-Series 72-1092 Days Plan F - Direct Plan - Cumulative</t>
        </is>
      </c>
      <c r="C5517" t="inlineStr">
        <is>
          <t xml:space="preserve">INF109KA1LD3</t>
        </is>
      </c>
    </row>
    <row r="5518">
      <c r="A5518" t="inlineStr">
        <is>
          <t xml:space="preserve">ICICI Prudential Mutual Fund</t>
        </is>
      </c>
      <c r="B5518" t="inlineStr">
        <is>
          <t xml:space="preserve">ICICI Prudential Fixed Maturity Plan-Series 72-1092 Days Plan F - Direct Plan - Dividend</t>
        </is>
      </c>
      <c r="C5518" t="inlineStr">
        <is>
          <t xml:space="preserve">INF109KA1LE1</t>
        </is>
      </c>
    </row>
    <row r="5519">
      <c r="A5519" t="inlineStr">
        <is>
          <t xml:space="preserve">ICICI Prudential Mutual Fund</t>
        </is>
      </c>
      <c r="B5519" t="inlineStr">
        <is>
          <t xml:space="preserve">ICICI Prudential Fixed Maturity Plan-Series 72-1092 Days Plan F - Dividend</t>
        </is>
      </c>
      <c r="C5519" t="inlineStr">
        <is>
          <t xml:space="preserve">INF109KA1LC5</t>
        </is>
      </c>
    </row>
    <row r="5520">
      <c r="A5520" t="inlineStr">
        <is>
          <t xml:space="preserve">ICICI Prudential Mutual Fund</t>
        </is>
      </c>
      <c r="B5520" t="inlineStr">
        <is>
          <t xml:space="preserve">ICICI Prudential Fixed Maturity Plan-Series 72-366 Days Plan C - Cumulative</t>
        </is>
      </c>
      <c r="C5520" t="inlineStr">
        <is>
          <t xml:space="preserve">INF109KA12R0</t>
        </is>
      </c>
    </row>
    <row r="5521">
      <c r="A5521" t="inlineStr">
        <is>
          <t xml:space="preserve">ICICI Prudential Mutual Fund</t>
        </is>
      </c>
      <c r="B5521" t="inlineStr">
        <is>
          <t xml:space="preserve">ICICI Prudential Fixed Maturity Plan-Series 72-366 Days Plan C - Direct Plan - Cumulative</t>
        </is>
      </c>
      <c r="C5521" t="inlineStr">
        <is>
          <t xml:space="preserve">INF109KA14R6</t>
        </is>
      </c>
    </row>
    <row r="5522">
      <c r="A5522" t="inlineStr">
        <is>
          <t xml:space="preserve">ICICI Prudential Mutual Fund</t>
        </is>
      </c>
      <c r="B5522" t="inlineStr">
        <is>
          <t xml:space="preserve">ICICI Prudential Fixed Maturity Plan-Series 72-366 Days Plan C - Dividend</t>
        </is>
      </c>
      <c r="C5522" t="inlineStr">
        <is>
          <t xml:space="preserve">INF109KA13R8</t>
        </is>
      </c>
    </row>
    <row r="5523">
      <c r="A5523" t="inlineStr">
        <is>
          <t xml:space="preserve">ICICI Prudential Mutual Fund</t>
        </is>
      </c>
      <c r="B5523" t="inlineStr">
        <is>
          <t xml:space="preserve">ICICI Prudential Fixed Maturity Plan-Series 72-366 Days Plan K - Cumulative</t>
        </is>
      </c>
      <c r="C5523" t="inlineStr">
        <is>
          <t xml:space="preserve">INF109KA18V9</t>
        </is>
      </c>
    </row>
    <row r="5524">
      <c r="A5524" t="inlineStr">
        <is>
          <t xml:space="preserve">ICICI Prudential Mutual Fund</t>
        </is>
      </c>
      <c r="B5524" t="inlineStr">
        <is>
          <t xml:space="preserve">ICICI Prudential Fixed Maturity Plan-Series 72-366 Days Plan K - Direct Plan - Cumulative</t>
        </is>
      </c>
      <c r="C5524" t="inlineStr">
        <is>
          <t xml:space="preserve">INF109KA10W4</t>
        </is>
      </c>
    </row>
    <row r="5525">
      <c r="A5525" t="inlineStr">
        <is>
          <t xml:space="preserve">ICICI Prudential Mutual Fund</t>
        </is>
      </c>
      <c r="B5525" t="inlineStr">
        <is>
          <t xml:space="preserve">ICICI Prudential Fixed Maturity Plan-Series 72-366 Days Plan K - Direct Plan - Dividend</t>
        </is>
      </c>
      <c r="C5525" t="inlineStr">
        <is>
          <t xml:space="preserve">INF109KA11W2</t>
        </is>
      </c>
    </row>
    <row r="5526">
      <c r="A5526" t="inlineStr">
        <is>
          <t xml:space="preserve">ICICI Prudential Mutual Fund</t>
        </is>
      </c>
      <c r="B5526" t="inlineStr">
        <is>
          <t xml:space="preserve">ICICI Prudential Fixed Maturity Plan-Series 72-366 Days Plan M - Cumulative</t>
        </is>
      </c>
      <c r="C5526" t="inlineStr">
        <is>
          <t xml:space="preserve">INF109KA12W0</t>
        </is>
      </c>
    </row>
    <row r="5527">
      <c r="A5527" t="inlineStr">
        <is>
          <t xml:space="preserve">ICICI Prudential Mutual Fund</t>
        </is>
      </c>
      <c r="B5527" t="inlineStr">
        <is>
          <t xml:space="preserve">ICICI Prudential Fixed Maturity Plan-Series 72-366 Days Plan M - Direct Plan - Cumulative</t>
        </is>
      </c>
      <c r="C5527" t="inlineStr">
        <is>
          <t xml:space="preserve">INF109KA14W6</t>
        </is>
      </c>
    </row>
    <row r="5528">
      <c r="A5528" t="inlineStr">
        <is>
          <t xml:space="preserve">ICICI Prudential Mutual Fund</t>
        </is>
      </c>
      <c r="B5528" t="inlineStr">
        <is>
          <t xml:space="preserve">ICICI Prudential Fixed Maturity Plan-Series 72-366 Days Plan M - Direct Plan - Dividend</t>
        </is>
      </c>
      <c r="C5528" t="inlineStr">
        <is>
          <t xml:space="preserve">INF109KA15W3</t>
        </is>
      </c>
    </row>
    <row r="5529">
      <c r="A5529" t="inlineStr">
        <is>
          <t xml:space="preserve">ICICI Prudential Mutual Fund</t>
        </is>
      </c>
      <c r="B5529" t="inlineStr">
        <is>
          <t xml:space="preserve">ICICI Prudential Fixed Maturity Plan-Series 72-366 Days Plan T - Cumulative</t>
        </is>
      </c>
      <c r="C5529" t="inlineStr">
        <is>
          <t xml:space="preserve">INF109KA18X5</t>
        </is>
      </c>
    </row>
    <row r="5530">
      <c r="A5530" t="inlineStr">
        <is>
          <t xml:space="preserve">ICICI Prudential Mutual Fund</t>
        </is>
      </c>
      <c r="B5530" t="inlineStr">
        <is>
          <t xml:space="preserve">ICICI Prudential Fixed Maturity Plan-Series 72-366 Days Plan T - Direct Plan - Cumulative</t>
        </is>
      </c>
      <c r="C5530" t="inlineStr">
        <is>
          <t xml:space="preserve">INF109KA10Y0</t>
        </is>
      </c>
    </row>
    <row r="5531">
      <c r="A5531" t="inlineStr">
        <is>
          <t xml:space="preserve">ICICI Prudential Mutual Fund</t>
        </is>
      </c>
      <c r="B5531" t="inlineStr">
        <is>
          <t xml:space="preserve">ICICI Prudential Fixed Maturity Plan-Series 72-366 Days Plan T - Direct Plan - Dividend</t>
        </is>
      </c>
      <c r="C5531" t="inlineStr">
        <is>
          <t xml:space="preserve">INF109KA11Y8</t>
        </is>
      </c>
    </row>
    <row r="5532">
      <c r="A5532" t="inlineStr">
        <is>
          <t xml:space="preserve">ICICI Prudential Mutual Fund</t>
        </is>
      </c>
      <c r="B5532" t="inlineStr">
        <is>
          <t xml:space="preserve">ICICI Prudential Fixed Maturity Plan-Series 72-367 Days Plan R - Cumulative</t>
        </is>
      </c>
      <c r="C5532" t="inlineStr">
        <is>
          <t xml:space="preserve">INF109KA16W1</t>
        </is>
      </c>
    </row>
    <row r="5533">
      <c r="A5533" t="inlineStr">
        <is>
          <t xml:space="preserve">ICICI Prudential Mutual Fund</t>
        </is>
      </c>
      <c r="B5533" t="inlineStr">
        <is>
          <t xml:space="preserve">ICICI Prudential Fixed Maturity Plan-Series 72-367 Days Plan R - Direct Plan - Cumulative</t>
        </is>
      </c>
      <c r="C5533" t="inlineStr">
        <is>
          <t xml:space="preserve">INF109KA18W7</t>
        </is>
      </c>
    </row>
    <row r="5534">
      <c r="A5534" t="inlineStr">
        <is>
          <t xml:space="preserve">ICICI Prudential Mutual Fund</t>
        </is>
      </c>
      <c r="B5534" t="inlineStr">
        <is>
          <t xml:space="preserve">ICICI Prudential Fixed Maturity Plan-Series 72-368 Days Plan A - Cumulative</t>
        </is>
      </c>
      <c r="C5534" t="inlineStr">
        <is>
          <t xml:space="preserve">INF109KA10Q6</t>
        </is>
      </c>
    </row>
    <row r="5535">
      <c r="A5535" t="inlineStr">
        <is>
          <t xml:space="preserve">ICICI Prudential Mutual Fund</t>
        </is>
      </c>
      <c r="B5535" t="inlineStr">
        <is>
          <t xml:space="preserve">ICICI Prudential Fixed Maturity Plan-Series 72-368 Days Plan A - Direct Plan - Cumulative</t>
        </is>
      </c>
      <c r="C5535" t="inlineStr">
        <is>
          <t xml:space="preserve">INF109KA12Q2</t>
        </is>
      </c>
    </row>
    <row r="5536">
      <c r="A5536" t="inlineStr">
        <is>
          <t xml:space="preserve">ICICI Prudential Mutual Fund</t>
        </is>
      </c>
      <c r="B5536" t="inlineStr">
        <is>
          <t xml:space="preserve">ICICI Prudential Fixed Maturity Plan-Series 72-368 Days Plan A - Direct Plan - Dividend</t>
        </is>
      </c>
      <c r="C5536" t="inlineStr">
        <is>
          <t xml:space="preserve">INF109KA13Q0</t>
        </is>
      </c>
    </row>
    <row r="5537">
      <c r="A5537" t="inlineStr">
        <is>
          <t xml:space="preserve">ICICI Prudential Mutual Fund</t>
        </is>
      </c>
      <c r="B5537" t="inlineStr">
        <is>
          <t xml:space="preserve">ICICI Prudential Fixed Maturity Plan-Series 72-368 Days Plan A - Dividend</t>
        </is>
      </c>
      <c r="C5537" t="inlineStr">
        <is>
          <t xml:space="preserve">INF109KA11Q4</t>
        </is>
      </c>
    </row>
    <row r="5538">
      <c r="A5538" t="inlineStr">
        <is>
          <t xml:space="preserve">ICICI Prudential Mutual Fund</t>
        </is>
      </c>
      <c r="B5538" t="inlineStr">
        <is>
          <t xml:space="preserve">ICICI Prudential Fixed Maturity Plan-Series 72-368 Days Plan D - Cumulative</t>
        </is>
      </c>
      <c r="C5538" t="inlineStr">
        <is>
          <t xml:space="preserve">INF109KA11S0</t>
        </is>
      </c>
    </row>
    <row r="5539">
      <c r="A5539" t="inlineStr">
        <is>
          <t xml:space="preserve">ICICI Prudential Mutual Fund</t>
        </is>
      </c>
      <c r="B5539" t="inlineStr">
        <is>
          <t xml:space="preserve">ICICI Prudential Fixed Maturity Plan-Series 72-368 Days Plan D - Direct Plan - Cumulative</t>
        </is>
      </c>
      <c r="C5539" t="inlineStr">
        <is>
          <t xml:space="preserve">INF109KA13S6</t>
        </is>
      </c>
    </row>
    <row r="5540">
      <c r="A5540" t="inlineStr">
        <is>
          <t xml:space="preserve">ICICI Prudential Mutual Fund</t>
        </is>
      </c>
      <c r="B5540" t="inlineStr">
        <is>
          <t xml:space="preserve">ICICI Prudential Fixed Maturity Plan-Series 72-368 Days Plan D - Dividend</t>
        </is>
      </c>
      <c r="C5540" t="inlineStr">
        <is>
          <t xml:space="preserve">INF109KA12S8</t>
        </is>
      </c>
    </row>
    <row r="5541">
      <c r="A5541" t="inlineStr">
        <is>
          <t xml:space="preserve">ICICI Prudential Mutual Fund</t>
        </is>
      </c>
      <c r="B5541" t="inlineStr">
        <is>
          <t xml:space="preserve">ICICI Prudential Fixed Maturity Plan-Series 72-368 Days Plan P - Cumulative</t>
        </is>
      </c>
      <c r="C5541" t="inlineStr">
        <is>
          <t xml:space="preserve">INF109KA12Y6</t>
        </is>
      </c>
    </row>
    <row r="5542">
      <c r="A5542" t="inlineStr">
        <is>
          <t xml:space="preserve">ICICI Prudential Mutual Fund</t>
        </is>
      </c>
      <c r="B5542" t="inlineStr">
        <is>
          <t xml:space="preserve">ICICI Prudential Fixed Maturity Plan-Series 72-368 Days Plan P - Direct Plan - Cumulative</t>
        </is>
      </c>
      <c r="C5542" t="inlineStr">
        <is>
          <t xml:space="preserve">INF109KA14Y2</t>
        </is>
      </c>
    </row>
    <row r="5543">
      <c r="A5543" t="inlineStr">
        <is>
          <t xml:space="preserve">ICICI Prudential Mutual Fund</t>
        </is>
      </c>
      <c r="B5543" t="inlineStr">
        <is>
          <t xml:space="preserve">ICICI Prudential Fixed Maturity Plan-Series 72-368 Days Plan P - Direct Plan - Dividend</t>
        </is>
      </c>
      <c r="C5543" t="inlineStr">
        <is>
          <t xml:space="preserve">INF109KA15Y9</t>
        </is>
      </c>
    </row>
    <row r="5544">
      <c r="A5544" t="inlineStr">
        <is>
          <t xml:space="preserve">ICICI Prudential Mutual Fund</t>
        </is>
      </c>
      <c r="B5544" t="inlineStr">
        <is>
          <t xml:space="preserve">ICICI Prudential Fixed Maturity Plan-Series 72-368 Days Plan P - Dividend</t>
        </is>
      </c>
      <c r="C5544" t="inlineStr">
        <is>
          <t xml:space="preserve">INF109KA13Y4</t>
        </is>
      </c>
    </row>
    <row r="5545">
      <c r="A5545" t="inlineStr">
        <is>
          <t xml:space="preserve">ICICI Prudential Mutual Fund</t>
        </is>
      </c>
      <c r="B5545" t="inlineStr">
        <is>
          <t xml:space="preserve">ICICI Prudential Fixed Maturity Plan-Series 72-370 Days Plan G - Cumulative</t>
        </is>
      </c>
      <c r="C5545" t="inlineStr">
        <is>
          <t xml:space="preserve">INF109KA16U5</t>
        </is>
      </c>
    </row>
    <row r="5546">
      <c r="A5546" t="inlineStr">
        <is>
          <t xml:space="preserve">ICICI Prudential Mutual Fund</t>
        </is>
      </c>
      <c r="B5546" t="inlineStr">
        <is>
          <t xml:space="preserve">ICICI Prudential Fixed Maturity Plan-Series 72-370 Days Plan G - Direct Plan - Cumulative</t>
        </is>
      </c>
      <c r="C5546" t="inlineStr">
        <is>
          <t xml:space="preserve">INF109KA18U1</t>
        </is>
      </c>
    </row>
    <row r="5547">
      <c r="A5547" t="inlineStr">
        <is>
          <t xml:space="preserve">ICICI Prudential Mutual Fund</t>
        </is>
      </c>
      <c r="B5547" t="inlineStr">
        <is>
          <t xml:space="preserve">ICICI Prudential Fixed Maturity Plan-Series 72-370 Days Plan G - Direct Plan - Dividend</t>
        </is>
      </c>
      <c r="C5547" t="inlineStr">
        <is>
          <t xml:space="preserve">INF109KA19U9</t>
        </is>
      </c>
    </row>
    <row r="5548">
      <c r="A5548" t="inlineStr">
        <is>
          <t xml:space="preserve">ICICI Prudential Mutual Fund</t>
        </is>
      </c>
      <c r="B5548" t="inlineStr">
        <is>
          <t xml:space="preserve">ICICI Prudential Fixed Maturity Plan-Series 72-370 Days Plan G - Dividend</t>
        </is>
      </c>
      <c r="C5548" t="inlineStr">
        <is>
          <t xml:space="preserve">INF109KA17U3</t>
        </is>
      </c>
    </row>
    <row r="5549">
      <c r="A5549" t="inlineStr">
        <is>
          <t xml:space="preserve">ICICI Prudential Mutual Fund</t>
        </is>
      </c>
      <c r="B5549" t="inlineStr">
        <is>
          <t xml:space="preserve">ICICI Prudential Fixed Maturity Plan-Series 72-409 Days Plan S - Cumulative</t>
        </is>
      </c>
      <c r="C5549" t="inlineStr">
        <is>
          <t xml:space="preserve">INF109KB1AX3</t>
        </is>
      </c>
    </row>
    <row r="5550">
      <c r="A5550" t="inlineStr">
        <is>
          <t xml:space="preserve">ICICI Prudential Mutual Fund</t>
        </is>
      </c>
      <c r="B5550" t="inlineStr">
        <is>
          <t xml:space="preserve">ICICI Prudential Fixed Maturity Plan-Series 72-409 Days Plan S - Direct Plan - Cumulative</t>
        </is>
      </c>
      <c r="C5550" t="inlineStr">
        <is>
          <t xml:space="preserve">INF109KB1AZ8</t>
        </is>
      </c>
    </row>
    <row r="5551">
      <c r="A5551" t="inlineStr">
        <is>
          <t xml:space="preserve">ICICI Prudential Mutual Fund</t>
        </is>
      </c>
      <c r="B5551" t="inlineStr">
        <is>
          <t xml:space="preserve">ICICI Prudential Fixed Maturity Plan-Series 72-409 Days Plan S - Direct Plan - Dividend</t>
        </is>
      </c>
      <c r="C5551" t="inlineStr">
        <is>
          <t xml:space="preserve">INF109KB1BA9</t>
        </is>
      </c>
    </row>
    <row r="5552">
      <c r="A5552" t="inlineStr">
        <is>
          <t xml:space="preserve">ICICI Prudential Mutual Fund</t>
        </is>
      </c>
      <c r="B5552" t="inlineStr">
        <is>
          <t xml:space="preserve">ICICI Prudential Fixed Maturity Plan-Series 72-409 Days Plan S - Dividend</t>
        </is>
      </c>
      <c r="C5552" t="inlineStr">
        <is>
          <t xml:space="preserve">INF109KB1AY1</t>
        </is>
      </c>
    </row>
    <row r="5553">
      <c r="A5553" t="inlineStr">
        <is>
          <t xml:space="preserve">ICICI Prudential Mutual Fund</t>
        </is>
      </c>
      <c r="B5553" t="inlineStr">
        <is>
          <t xml:space="preserve">ICICI Prudential Fixed Maturity Plan-Series 72-425 Days Plan N - Cumulative</t>
        </is>
      </c>
      <c r="C5553" t="inlineStr">
        <is>
          <t xml:space="preserve">INF109KB1BR3</t>
        </is>
      </c>
    </row>
    <row r="5554">
      <c r="A5554" t="inlineStr">
        <is>
          <t xml:space="preserve">ICICI Prudential Mutual Fund</t>
        </is>
      </c>
      <c r="B5554" t="inlineStr">
        <is>
          <t xml:space="preserve">ICICI Prudential Fixed Maturity Plan-Series 72-425 Days Plan N - Direct Plan - Cumulative</t>
        </is>
      </c>
      <c r="C5554" t="inlineStr">
        <is>
          <t xml:space="preserve">INF109KB1BT9</t>
        </is>
      </c>
    </row>
    <row r="5555">
      <c r="A5555" t="inlineStr">
        <is>
          <t xml:space="preserve">ICICI Prudential Mutual Fund</t>
        </is>
      </c>
      <c r="B5555" t="inlineStr">
        <is>
          <t xml:space="preserve">ICICI Prudential Fixed Maturity Plan-Series 72-425 Days Plan N - Dividend</t>
        </is>
      </c>
      <c r="C5555" t="inlineStr">
        <is>
          <t xml:space="preserve">INF109KB1BS1</t>
        </is>
      </c>
    </row>
    <row r="5556">
      <c r="A5556" t="inlineStr">
        <is>
          <t xml:space="preserve">ICICI Prudential Mutual Fund</t>
        </is>
      </c>
      <c r="B5556" t="inlineStr">
        <is>
          <t xml:space="preserve">ICICI Prudential Fixed Maturity Plan-Series 72-440 Days Plan L - Cumulative</t>
        </is>
      </c>
      <c r="C5556" t="inlineStr">
        <is>
          <t xml:space="preserve">INF109KB1CH2</t>
        </is>
      </c>
    </row>
    <row r="5557">
      <c r="A5557" t="inlineStr">
        <is>
          <t xml:space="preserve">ICICI Prudential Mutual Fund</t>
        </is>
      </c>
      <c r="B5557" t="inlineStr">
        <is>
          <t xml:space="preserve">ICICI Prudential Fixed Maturity Plan-Series 72-440 Days Plan L - Direct Plan - Cumulative</t>
        </is>
      </c>
      <c r="C5557" t="inlineStr">
        <is>
          <t xml:space="preserve">INF109KB1CJ8</t>
        </is>
      </c>
    </row>
    <row r="5558">
      <c r="A5558" t="inlineStr">
        <is>
          <t xml:space="preserve">ICICI Prudential Mutual Fund</t>
        </is>
      </c>
      <c r="B5558" t="inlineStr">
        <is>
          <t xml:space="preserve">ICICI Prudential Fixed Maturity Plan-Series 72-440 Days Plan L - Direct Plan - Dividend</t>
        </is>
      </c>
      <c r="C5558" t="inlineStr">
        <is>
          <t xml:space="preserve">INF109KB1CK6</t>
        </is>
      </c>
    </row>
    <row r="5559">
      <c r="A5559" t="inlineStr">
        <is>
          <t xml:space="preserve">ICICI Prudential Mutual Fund</t>
        </is>
      </c>
      <c r="B5559" t="inlineStr">
        <is>
          <t xml:space="preserve">ICICI Prudential Fixed Maturity Plan-Series 72-440 Days Plan L - Dividend</t>
        </is>
      </c>
      <c r="C5559" t="inlineStr">
        <is>
          <t xml:space="preserve">INF109KB1CI0</t>
        </is>
      </c>
    </row>
    <row r="5560">
      <c r="A5560" t="inlineStr">
        <is>
          <t xml:space="preserve">ICICI Prudential Mutual Fund</t>
        </is>
      </c>
      <c r="B5560" t="inlineStr">
        <is>
          <t xml:space="preserve">ICICI Prudential Fixed Maturity Plan-Series 72-483 Days Plan J - Cumulative</t>
        </is>
      </c>
      <c r="C5560" t="inlineStr">
        <is>
          <t xml:space="preserve">INF109KB1GC4</t>
        </is>
      </c>
    </row>
    <row r="5561">
      <c r="A5561" t="inlineStr">
        <is>
          <t xml:space="preserve">ICICI Prudential Mutual Fund</t>
        </is>
      </c>
      <c r="B5561" t="inlineStr">
        <is>
          <t xml:space="preserve">ICICI Prudential Fixed Maturity Plan-Series 72-483 Days Plan J - Direct Plan - Cumulative</t>
        </is>
      </c>
      <c r="C5561" t="inlineStr">
        <is>
          <t xml:space="preserve">INF109KB1GA8</t>
        </is>
      </c>
    </row>
    <row r="5562">
      <c r="A5562" t="inlineStr">
        <is>
          <t xml:space="preserve">ICICI Prudential Mutual Fund</t>
        </is>
      </c>
      <c r="B5562" t="inlineStr">
        <is>
          <t xml:space="preserve">ICICI Prudential Fixed Maturity Plan-Series 72-483 Days Plan J - Direct Plan - Dividend</t>
        </is>
      </c>
      <c r="C5562" t="inlineStr">
        <is>
          <t xml:space="preserve">INF109KB1FZ7</t>
        </is>
      </c>
    </row>
    <row r="5563">
      <c r="A5563" t="inlineStr">
        <is>
          <t xml:space="preserve">ICICI Prudential Mutual Fund</t>
        </is>
      </c>
      <c r="B5563" t="inlineStr">
        <is>
          <t xml:space="preserve">ICICI Prudential Fixed Maturity Plan-Series 72-483 Days Plan J - Dividend</t>
        </is>
      </c>
      <c r="C5563" t="inlineStr">
        <is>
          <t xml:space="preserve">INF109KB1GB6</t>
        </is>
      </c>
    </row>
    <row r="5564">
      <c r="A5564" t="inlineStr">
        <is>
          <t xml:space="preserve">ICICI Prudential Mutual Fund</t>
        </is>
      </c>
      <c r="B5564" t="inlineStr">
        <is>
          <t xml:space="preserve">ICICI Prudential Fixed Maturity Plan-Series 72-500 Days Plan E - Cumulative</t>
        </is>
      </c>
      <c r="C5564" t="inlineStr">
        <is>
          <t xml:space="preserve">INF109KB1HF5</t>
        </is>
      </c>
    </row>
    <row r="5565">
      <c r="A5565" t="inlineStr">
        <is>
          <t xml:space="preserve">ICICI Prudential Mutual Fund</t>
        </is>
      </c>
      <c r="B5565" t="inlineStr">
        <is>
          <t xml:space="preserve">ICICI Prudential Fixed Maturity Plan-Series 72-500 Days Plan E - Direct Plan - Cumulative</t>
        </is>
      </c>
      <c r="C5565" t="inlineStr">
        <is>
          <t xml:space="preserve">INF109KB1HH1</t>
        </is>
      </c>
    </row>
    <row r="5566">
      <c r="A5566" t="inlineStr">
        <is>
          <t xml:space="preserve">ICICI Prudential Mutual Fund</t>
        </is>
      </c>
      <c r="B5566" t="inlineStr">
        <is>
          <t xml:space="preserve">ICICI Prudential Fixed Maturity Plan-Series 72-500 Days Plan E - Dividend</t>
        </is>
      </c>
      <c r="C5566" t="inlineStr">
        <is>
          <t xml:space="preserve">INF109KB1HG3</t>
        </is>
      </c>
    </row>
    <row r="5567">
      <c r="A5567" t="inlineStr">
        <is>
          <t xml:space="preserve">ICICI Prudential Mutual Fund</t>
        </is>
      </c>
      <c r="B5567" t="inlineStr">
        <is>
          <t xml:space="preserve">ICICI Prudential Fixed Maturity Plan-Series 72-525 Days Plan B - Cumulative</t>
        </is>
      </c>
      <c r="C5567" t="inlineStr">
        <is>
          <t xml:space="preserve">INF109KB1HJ7</t>
        </is>
      </c>
    </row>
    <row r="5568">
      <c r="A5568" t="inlineStr">
        <is>
          <t xml:space="preserve">ICICI Prudential Mutual Fund</t>
        </is>
      </c>
      <c r="B5568" t="inlineStr">
        <is>
          <t xml:space="preserve">ICICI Prudential Fixed Maturity Plan-Series 72-525 Days Plan B - Direct Plan - Cumulative</t>
        </is>
      </c>
      <c r="C5568" t="inlineStr">
        <is>
          <t xml:space="preserve">INF109KB1HL3</t>
        </is>
      </c>
    </row>
    <row r="5569">
      <c r="A5569" t="inlineStr">
        <is>
          <t xml:space="preserve">ICICI Prudential Mutual Fund</t>
        </is>
      </c>
      <c r="B5569" t="inlineStr">
        <is>
          <t xml:space="preserve">ICICI Prudential Fixed Maturity Plan-Series 72-525 Days Plan B - Dividend</t>
        </is>
      </c>
      <c r="C5569" t="inlineStr">
        <is>
          <t xml:space="preserve">INF109KB1HK5</t>
        </is>
      </c>
    </row>
    <row r="5570">
      <c r="A5570" t="inlineStr">
        <is>
          <t xml:space="preserve">ICICI Prudential Mutual Fund</t>
        </is>
      </c>
      <c r="B5570" t="inlineStr">
        <is>
          <t xml:space="preserve">ICICI Prudential Fixed Maturity Plan-Series 72-785 Days Plan O - Cumulative</t>
        </is>
      </c>
      <c r="C5570" t="inlineStr">
        <is>
          <t xml:space="preserve">INF109KA1MH2</t>
        </is>
      </c>
    </row>
    <row r="5571">
      <c r="A5571" t="inlineStr">
        <is>
          <t xml:space="preserve">ICICI Prudential Mutual Fund</t>
        </is>
      </c>
      <c r="B5571" t="inlineStr">
        <is>
          <t xml:space="preserve">ICICI Prudential Fixed Maturity Plan-Series 72-785 Days Plan O - Direct Plan - Cumulative</t>
        </is>
      </c>
      <c r="C5571" t="inlineStr">
        <is>
          <t xml:space="preserve">INF109KA1MJ8</t>
        </is>
      </c>
    </row>
    <row r="5572">
      <c r="A5572" t="inlineStr">
        <is>
          <t xml:space="preserve">ICICI Prudential Mutual Fund</t>
        </is>
      </c>
      <c r="B5572" t="inlineStr">
        <is>
          <t xml:space="preserve">ICICI Prudential Fixed Maturity Plan-Series 72-785 Days Plan O - Direct Plan - Dividend</t>
        </is>
      </c>
      <c r="C5572" t="inlineStr">
        <is>
          <t xml:space="preserve">INF109KA1MK6</t>
        </is>
      </c>
    </row>
    <row r="5573">
      <c r="A5573" t="inlineStr">
        <is>
          <t xml:space="preserve">ICICI Prudential Mutual Fund</t>
        </is>
      </c>
      <c r="B5573" t="inlineStr">
        <is>
          <t xml:space="preserve">ICICI Prudential Fixed Maturity Plan-Series 72-785 Days Plan O - Dividend</t>
        </is>
      </c>
      <c r="C5573" t="inlineStr">
        <is>
          <t xml:space="preserve">INF109KA1MI0</t>
        </is>
      </c>
    </row>
    <row r="5574">
      <c r="A5574" t="inlineStr">
        <is>
          <t xml:space="preserve">ICICI Prudential Mutual Fund</t>
        </is>
      </c>
      <c r="B5574" t="inlineStr">
        <is>
          <t xml:space="preserve">ICICI Prudential Fixed Maturity Plan-Series 72-823 Days Plan H - Cumulative</t>
        </is>
      </c>
      <c r="C5574" t="inlineStr">
        <is>
          <t xml:space="preserve">INF109KA1KX3</t>
        </is>
      </c>
    </row>
    <row r="5575">
      <c r="A5575" t="inlineStr">
        <is>
          <t xml:space="preserve">ICICI Prudential Mutual Fund</t>
        </is>
      </c>
      <c r="B5575" t="inlineStr">
        <is>
          <t xml:space="preserve">ICICI Prudential Fixed Maturity Plan-Series 72-823 Days Plan H - Direct Plan - Cumulative</t>
        </is>
      </c>
      <c r="C5575" t="inlineStr">
        <is>
          <t xml:space="preserve">INF109KA1KZ8</t>
        </is>
      </c>
    </row>
    <row r="5576">
      <c r="A5576" t="inlineStr">
        <is>
          <t xml:space="preserve">ICICI Prudential Mutual Fund</t>
        </is>
      </c>
      <c r="B5576" t="inlineStr">
        <is>
          <t xml:space="preserve">ICICI Prudential Fixed Maturity Plan-Series 72-823 Days Plan H - Direct Plan - Dividend</t>
        </is>
      </c>
      <c r="C5576" t="inlineStr">
        <is>
          <t xml:space="preserve">INF109KA1LA9</t>
        </is>
      </c>
    </row>
    <row r="5577">
      <c r="A5577" t="inlineStr">
        <is>
          <t xml:space="preserve">ICICI Prudential Mutual Fund</t>
        </is>
      </c>
      <c r="B5577" t="inlineStr">
        <is>
          <t xml:space="preserve">ICICI Prudential Fixed Maturity Plan-Series 72-823 Days Plan H - Dividend</t>
        </is>
      </c>
      <c r="C5577" t="inlineStr">
        <is>
          <t xml:space="preserve">INF109KA1KY1</t>
        </is>
      </c>
    </row>
    <row r="5578">
      <c r="A5578" t="inlineStr">
        <is>
          <t xml:space="preserve">ICICI Prudential Mutual Fund</t>
        </is>
      </c>
      <c r="B5578" t="inlineStr">
        <is>
          <t xml:space="preserve">ICICI Prudential Fixed Maturity Plan-Series 73-1120 Days Plan L - Cumulative</t>
        </is>
      </c>
      <c r="C5578" t="inlineStr">
        <is>
          <t xml:space="preserve">INF109KA1QJ9</t>
        </is>
      </c>
    </row>
    <row r="5579">
      <c r="A5579" t="inlineStr">
        <is>
          <t xml:space="preserve">ICICI Prudential Mutual Fund</t>
        </is>
      </c>
      <c r="B5579" t="inlineStr">
        <is>
          <t xml:space="preserve">ICICI Prudential Fixed Maturity Plan-Series 73-1120 Days Plan L - Direct Plan - Cumulative</t>
        </is>
      </c>
      <c r="C5579" t="inlineStr">
        <is>
          <t xml:space="preserve">INF109KA1QL5</t>
        </is>
      </c>
    </row>
    <row r="5580">
      <c r="A5580" t="inlineStr">
        <is>
          <t xml:space="preserve">ICICI Prudential Mutual Fund</t>
        </is>
      </c>
      <c r="B5580" t="inlineStr">
        <is>
          <t xml:space="preserve">ICICI Prudential Fixed Maturity Plan-Series 73-1120 Days Plan L - Direct Plan - Dividend</t>
        </is>
      </c>
      <c r="C5580" t="inlineStr">
        <is>
          <t xml:space="preserve">INF109KA1QM3</t>
        </is>
      </c>
    </row>
    <row r="5581">
      <c r="A5581" t="inlineStr">
        <is>
          <t xml:space="preserve">ICICI Prudential Mutual Fund</t>
        </is>
      </c>
      <c r="B5581" t="inlineStr">
        <is>
          <t xml:space="preserve">ICICI Prudential Fixed Maturity Plan-Series 73-1120 Days Plan L - Dividend</t>
        </is>
      </c>
      <c r="C5581" t="inlineStr">
        <is>
          <t xml:space="preserve">INF109KA1QK7</t>
        </is>
      </c>
    </row>
    <row r="5582">
      <c r="A5582" t="inlineStr">
        <is>
          <t xml:space="preserve">ICICI Prudential Mutual Fund</t>
        </is>
      </c>
      <c r="B5582" t="inlineStr">
        <is>
          <t xml:space="preserve">ICICI Prudential Fixed Maturity Plan-Series 73-1140 Days Plan E - Cumulative</t>
        </is>
      </c>
      <c r="C5582" t="inlineStr">
        <is>
          <t xml:space="preserve">INF109KA1OV9</t>
        </is>
      </c>
    </row>
    <row r="5583">
      <c r="A5583" t="inlineStr">
        <is>
          <t xml:space="preserve">ICICI Prudential Mutual Fund</t>
        </is>
      </c>
      <c r="B5583" t="inlineStr">
        <is>
          <t xml:space="preserve">ICICI Prudential Fixed Maturity Plan-Series 73-1140 Days Plan E - Direct Plan - Cumulative</t>
        </is>
      </c>
      <c r="C5583" t="inlineStr">
        <is>
          <t xml:space="preserve">INF109KA1OX5</t>
        </is>
      </c>
    </row>
    <row r="5584">
      <c r="A5584" t="inlineStr">
        <is>
          <t xml:space="preserve">ICICI Prudential Mutual Fund</t>
        </is>
      </c>
      <c r="B5584" t="inlineStr">
        <is>
          <t xml:space="preserve">ICICI Prudential Fixed Maturity Plan-Series 73-1140 Days Plan E - Direct Plan - Dividend</t>
        </is>
      </c>
      <c r="C5584" t="inlineStr">
        <is>
          <t xml:space="preserve">INF109KA1OY3</t>
        </is>
      </c>
    </row>
    <row r="5585">
      <c r="A5585" t="inlineStr">
        <is>
          <t xml:space="preserve">ICICI Prudential Mutual Fund</t>
        </is>
      </c>
      <c r="B5585" t="inlineStr">
        <is>
          <t xml:space="preserve">ICICI Prudential Fixed Maturity Plan-Series 73-1140 Days Plan E - Dividend</t>
        </is>
      </c>
      <c r="C5585" t="inlineStr">
        <is>
          <t xml:space="preserve">INF109KA1OW7</t>
        </is>
      </c>
    </row>
    <row r="5586">
      <c r="A5586" t="inlineStr">
        <is>
          <t xml:space="preserve">ICICI Prudential Mutual Fund</t>
        </is>
      </c>
      <c r="B5586" t="inlineStr">
        <is>
          <t xml:space="preserve">ICICI Prudential Fixed Maturity Plan-Series 73-366 Days Plan A - Cumulative</t>
        </is>
      </c>
      <c r="C5586" t="inlineStr">
        <is>
          <t xml:space="preserve">INF109KA18Z0</t>
        </is>
      </c>
    </row>
    <row r="5587">
      <c r="A5587" t="inlineStr">
        <is>
          <t xml:space="preserve">ICICI Prudential Mutual Fund</t>
        </is>
      </c>
      <c r="B5587" t="inlineStr">
        <is>
          <t xml:space="preserve">ICICI Prudential Fixed Maturity Plan-Series 73-366 Days Plan A - Direct Plan - Cumulative</t>
        </is>
      </c>
      <c r="C5587" t="inlineStr">
        <is>
          <t xml:space="preserve">INF109KB1011</t>
        </is>
      </c>
    </row>
    <row r="5588">
      <c r="A5588" t="inlineStr">
        <is>
          <t xml:space="preserve">ICICI Prudential Mutual Fund</t>
        </is>
      </c>
      <c r="B5588" t="inlineStr">
        <is>
          <t xml:space="preserve">ICICI Prudential Fixed Maturity Plan-Series 73-366 Days Plan A - Dividend</t>
        </is>
      </c>
      <c r="C5588" t="inlineStr">
        <is>
          <t xml:space="preserve">INF109KA19Z8</t>
        </is>
      </c>
    </row>
    <row r="5589">
      <c r="A5589" t="inlineStr">
        <is>
          <t xml:space="preserve">ICICI Prudential Mutual Fund</t>
        </is>
      </c>
      <c r="B5589" t="inlineStr">
        <is>
          <t xml:space="preserve">ICICI Prudential Fixed Maturity Plan-Series 73-366 Days Plan B - Cumulative</t>
        </is>
      </c>
      <c r="C5589" t="inlineStr">
        <is>
          <t xml:space="preserve">INF109KA14Z9</t>
        </is>
      </c>
    </row>
    <row r="5590">
      <c r="A5590" t="inlineStr">
        <is>
          <t xml:space="preserve">ICICI Prudential Mutual Fund</t>
        </is>
      </c>
      <c r="B5590" t="inlineStr">
        <is>
          <t xml:space="preserve">ICICI Prudential Fixed Maturity Plan-Series 73-366 Days Plan B - Direct Plan - Cumulative</t>
        </is>
      </c>
      <c r="C5590" t="inlineStr">
        <is>
          <t xml:space="preserve">INF109KA16Z4</t>
        </is>
      </c>
    </row>
    <row r="5591">
      <c r="A5591" t="inlineStr">
        <is>
          <t xml:space="preserve">ICICI Prudential Mutual Fund</t>
        </is>
      </c>
      <c r="B5591" t="inlineStr">
        <is>
          <t xml:space="preserve">ICICI Prudential Fixed Maturity Plan-Series 73-368 Days Plan D - Cumulative</t>
        </is>
      </c>
      <c r="C5591" t="inlineStr">
        <is>
          <t xml:space="preserve">INF109KB1078</t>
        </is>
      </c>
    </row>
    <row r="5592">
      <c r="A5592" t="inlineStr">
        <is>
          <t xml:space="preserve">ICICI Prudential Mutual Fund</t>
        </is>
      </c>
      <c r="B5592" t="inlineStr">
        <is>
          <t xml:space="preserve">ICICI Prudential Fixed Maturity Plan-Series 73-368 Days Plan D - Direct Plan - Cumulative</t>
        </is>
      </c>
      <c r="C5592" t="inlineStr">
        <is>
          <t xml:space="preserve">INF109KB1094</t>
        </is>
      </c>
    </row>
    <row r="5593">
      <c r="A5593" t="inlineStr">
        <is>
          <t xml:space="preserve">ICICI Prudential Mutual Fund</t>
        </is>
      </c>
      <c r="B5593" t="inlineStr">
        <is>
          <t xml:space="preserve">ICICI Prudential Fixed Maturity Plan-Series 73-368 Days Plan D - Dividend</t>
        </is>
      </c>
      <c r="C5593" t="inlineStr">
        <is>
          <t xml:space="preserve">INF109KB1086</t>
        </is>
      </c>
    </row>
    <row r="5594">
      <c r="A5594" t="inlineStr">
        <is>
          <t xml:space="preserve">ICICI Prudential Mutual Fund</t>
        </is>
      </c>
      <c r="B5594" t="inlineStr">
        <is>
          <t xml:space="preserve">ICICI Prudential Fixed Maturity Plan-Series 73-368 Days Plan M - Cumulative</t>
        </is>
      </c>
      <c r="C5594" t="inlineStr">
        <is>
          <t xml:space="preserve">INF109KB1516</t>
        </is>
      </c>
    </row>
    <row r="5595">
      <c r="A5595" t="inlineStr">
        <is>
          <t xml:space="preserve">ICICI Prudential Mutual Fund</t>
        </is>
      </c>
      <c r="B5595" t="inlineStr">
        <is>
          <t xml:space="preserve">ICICI Prudential Fixed Maturity Plan-Series 73-368 Days Plan M - Direct Plan - Cumulative</t>
        </is>
      </c>
      <c r="C5595" t="inlineStr">
        <is>
          <t xml:space="preserve">INF109KB1532</t>
        </is>
      </c>
    </row>
    <row r="5596">
      <c r="A5596" t="inlineStr">
        <is>
          <t xml:space="preserve">ICICI Prudential Mutual Fund</t>
        </is>
      </c>
      <c r="B5596" t="inlineStr">
        <is>
          <t xml:space="preserve">ICICI Prudential Fixed Maturity Plan-Series 73-368 Days Plan M - Dividend</t>
        </is>
      </c>
      <c r="C5596" t="inlineStr">
        <is>
          <t xml:space="preserve">INF109KB1524</t>
        </is>
      </c>
    </row>
    <row r="5597">
      <c r="A5597" t="inlineStr">
        <is>
          <t xml:space="preserve">ICICI Prudential Mutual Fund</t>
        </is>
      </c>
      <c r="B5597" t="inlineStr">
        <is>
          <t xml:space="preserve">ICICI Prudential Fixed Maturity Plan-Series 73-368 Days Plan R - Cumulative</t>
        </is>
      </c>
      <c r="C5597" t="inlineStr">
        <is>
          <t xml:space="preserve">INF109KB1599</t>
        </is>
      </c>
    </row>
    <row r="5598">
      <c r="A5598" t="inlineStr">
        <is>
          <t xml:space="preserve">ICICI Prudential Mutual Fund</t>
        </is>
      </c>
      <c r="B5598" t="inlineStr">
        <is>
          <t xml:space="preserve">ICICI Prudential Fixed Maturity Plan-Series 73-368 Days Plan R - Direct Plan - Cumulative</t>
        </is>
      </c>
      <c r="C5598" t="inlineStr">
        <is>
          <t xml:space="preserve">INF109KB1615</t>
        </is>
      </c>
    </row>
    <row r="5599">
      <c r="A5599" t="inlineStr">
        <is>
          <t xml:space="preserve">ICICI Prudential Mutual Fund</t>
        </is>
      </c>
      <c r="B5599" t="inlineStr">
        <is>
          <t xml:space="preserve">ICICI Prudential Fixed Maturity Plan-Series 73-369 Days Plan H - Cumulative</t>
        </is>
      </c>
      <c r="C5599" t="inlineStr">
        <is>
          <t xml:space="preserve">INF109KB1037</t>
        </is>
      </c>
    </row>
    <row r="5600">
      <c r="A5600" t="inlineStr">
        <is>
          <t xml:space="preserve">ICICI Prudential Mutual Fund</t>
        </is>
      </c>
      <c r="B5600" t="inlineStr">
        <is>
          <t xml:space="preserve">ICICI Prudential Fixed Maturity Plan-Series 73-369 Days Plan H - Direct Plan - Cumulative</t>
        </is>
      </c>
      <c r="C5600" t="inlineStr">
        <is>
          <t xml:space="preserve">INF109KB1052</t>
        </is>
      </c>
    </row>
    <row r="5601">
      <c r="A5601" t="inlineStr">
        <is>
          <t xml:space="preserve">ICICI Prudential Mutual Fund</t>
        </is>
      </c>
      <c r="B5601" t="inlineStr">
        <is>
          <t xml:space="preserve">ICICI Prudential Fixed Maturity Plan-Series 73-369 Days Plan P- Cumulative</t>
        </is>
      </c>
      <c r="C5601" t="inlineStr">
        <is>
          <t xml:space="preserve">INF109KB1631</t>
        </is>
      </c>
    </row>
    <row r="5602">
      <c r="A5602" t="inlineStr">
        <is>
          <t xml:space="preserve">ICICI Prudential Mutual Fund</t>
        </is>
      </c>
      <c r="B5602" t="inlineStr">
        <is>
          <t xml:space="preserve">ICICI Prudential Fixed Maturity Plan-Series 73-369 Days Plan P- Direct Plan - Cumulative</t>
        </is>
      </c>
      <c r="C5602" t="inlineStr">
        <is>
          <t xml:space="preserve">INF109KB1656</t>
        </is>
      </c>
    </row>
    <row r="5603">
      <c r="A5603" t="inlineStr">
        <is>
          <t xml:space="preserve">ICICI Prudential Mutual Fund</t>
        </is>
      </c>
      <c r="B5603" t="inlineStr">
        <is>
          <t xml:space="preserve">ICICI Prudential Fixed Maturity Plan-Series 73-369 Days Plan P- Dividend</t>
        </is>
      </c>
      <c r="C5603" t="inlineStr">
        <is>
          <t xml:space="preserve">INF109KB1649</t>
        </is>
      </c>
    </row>
    <row r="5604">
      <c r="A5604" t="inlineStr">
        <is>
          <t xml:space="preserve">ICICI Prudential Mutual Fund</t>
        </is>
      </c>
      <c r="B5604" t="inlineStr">
        <is>
          <t xml:space="preserve">ICICI Prudential Fixed Maturity Plan-Series 73-369 Days Plan S- Cumulative</t>
        </is>
      </c>
      <c r="C5604" t="inlineStr">
        <is>
          <t xml:space="preserve">INF109KB1912</t>
        </is>
      </c>
    </row>
    <row r="5605">
      <c r="A5605" t="inlineStr">
        <is>
          <t xml:space="preserve">ICICI Prudential Mutual Fund</t>
        </is>
      </c>
      <c r="B5605" t="inlineStr">
        <is>
          <t xml:space="preserve">ICICI Prudential Fixed Maturity Plan-Series 73-369 Days Plan S- Direct Plan - Cumulative</t>
        </is>
      </c>
      <c r="C5605" t="inlineStr">
        <is>
          <t xml:space="preserve">INF109KB1938</t>
        </is>
      </c>
    </row>
    <row r="5606">
      <c r="A5606" t="inlineStr">
        <is>
          <t xml:space="preserve">ICICI Prudential Mutual Fund</t>
        </is>
      </c>
      <c r="B5606" t="inlineStr">
        <is>
          <t xml:space="preserve">ICICI Prudential Fixed Maturity Plan-Series 73-369 Days Plan S- Dividend</t>
        </is>
      </c>
      <c r="C5606" t="inlineStr">
        <is>
          <t xml:space="preserve">INF109KB1920</t>
        </is>
      </c>
    </row>
    <row r="5607">
      <c r="A5607" t="inlineStr">
        <is>
          <t xml:space="preserve">ICICI Prudential Mutual Fund</t>
        </is>
      </c>
      <c r="B5607" t="inlineStr">
        <is>
          <t xml:space="preserve">ICICI Prudential Fixed Maturity Plan-Series 73-369 Days Plan T - Cumulative</t>
        </is>
      </c>
      <c r="C5607" t="inlineStr">
        <is>
          <t xml:space="preserve">INF109KB1AL8</t>
        </is>
      </c>
    </row>
    <row r="5608">
      <c r="A5608" t="inlineStr">
        <is>
          <t xml:space="preserve">ICICI Prudential Mutual Fund</t>
        </is>
      </c>
      <c r="B5608" t="inlineStr">
        <is>
          <t xml:space="preserve">ICICI Prudential Fixed Maturity Plan-Series 73-369 Days Plan T - Direct Plan - Cumulative</t>
        </is>
      </c>
      <c r="C5608" t="inlineStr">
        <is>
          <t xml:space="preserve">INF109KB1AN4</t>
        </is>
      </c>
    </row>
    <row r="5609">
      <c r="A5609" t="inlineStr">
        <is>
          <t xml:space="preserve">ICICI Prudential Mutual Fund</t>
        </is>
      </c>
      <c r="B5609" t="inlineStr">
        <is>
          <t xml:space="preserve">ICICI Prudential Fixed Maturity Plan-Series 73-369 Days Plan T - Dividend</t>
        </is>
      </c>
      <c r="C5609" t="inlineStr">
        <is>
          <t xml:space="preserve">INF109KB1AM6</t>
        </is>
      </c>
    </row>
    <row r="5610">
      <c r="A5610" t="inlineStr">
        <is>
          <t xml:space="preserve">ICICI Prudential Mutual Fund</t>
        </is>
      </c>
      <c r="B5610" t="inlineStr">
        <is>
          <t xml:space="preserve">ICICI Prudential Fixed Maturity Plan-Series 73-376 Days Plan Q - Cumulative</t>
        </is>
      </c>
      <c r="C5610" t="inlineStr">
        <is>
          <t xml:space="preserve">INF109KB1AH6</t>
        </is>
      </c>
    </row>
    <row r="5611">
      <c r="A5611" t="inlineStr">
        <is>
          <t xml:space="preserve">ICICI Prudential Mutual Fund</t>
        </is>
      </c>
      <c r="B5611" t="inlineStr">
        <is>
          <t xml:space="preserve">ICICI Prudential Fixed Maturity Plan-Series 73-376 Days Plan Q - Direct Plan - Cumulative</t>
        </is>
      </c>
      <c r="C5611" t="inlineStr">
        <is>
          <t xml:space="preserve">INF109KB1AJ2</t>
        </is>
      </c>
    </row>
    <row r="5612">
      <c r="A5612" t="inlineStr">
        <is>
          <t xml:space="preserve">ICICI Prudential Mutual Fund</t>
        </is>
      </c>
      <c r="B5612" t="inlineStr">
        <is>
          <t xml:space="preserve">ICICI Prudential Fixed Maturity Plan-Series 73-376 Days Plan Q - Dividend</t>
        </is>
      </c>
      <c r="C5612" t="inlineStr">
        <is>
          <t xml:space="preserve">INF109KB1AI4</t>
        </is>
      </c>
    </row>
    <row r="5613">
      <c r="A5613" t="inlineStr">
        <is>
          <t xml:space="preserve">ICICI Prudential Mutual Fund</t>
        </is>
      </c>
      <c r="B5613" t="inlineStr">
        <is>
          <t xml:space="preserve">ICICI Prudential Fixed Maturity Plan-Series 73-378 Days Plan N - Cumulative</t>
        </is>
      </c>
      <c r="C5613" t="inlineStr">
        <is>
          <t xml:space="preserve">INF109KB1870</t>
        </is>
      </c>
    </row>
    <row r="5614">
      <c r="A5614" t="inlineStr">
        <is>
          <t xml:space="preserve">ICICI Prudential Mutual Fund</t>
        </is>
      </c>
      <c r="B5614" t="inlineStr">
        <is>
          <t xml:space="preserve">ICICI Prudential Fixed Maturity Plan-Series 73-378 Days Plan N - Direct Plan - Cumulative</t>
        </is>
      </c>
      <c r="C5614" t="inlineStr">
        <is>
          <t xml:space="preserve">INF109KB1896</t>
        </is>
      </c>
    </row>
    <row r="5615">
      <c r="A5615" t="inlineStr">
        <is>
          <t xml:space="preserve">ICICI Prudential Mutual Fund</t>
        </is>
      </c>
      <c r="B5615" t="inlineStr">
        <is>
          <t xml:space="preserve">ICICI Prudential Fixed Maturity Plan-Series 73-378 Days Plan O - Cumulative</t>
        </is>
      </c>
      <c r="C5615" t="inlineStr">
        <is>
          <t xml:space="preserve">INF109KB1AP9</t>
        </is>
      </c>
    </row>
    <row r="5616">
      <c r="A5616" t="inlineStr">
        <is>
          <t xml:space="preserve">ICICI Prudential Mutual Fund</t>
        </is>
      </c>
      <c r="B5616" t="inlineStr">
        <is>
          <t xml:space="preserve">ICICI Prudential Fixed Maturity Plan-Series 73-378 Days Plan O - Direct Plan - Cumulative</t>
        </is>
      </c>
      <c r="C5616" t="inlineStr">
        <is>
          <t xml:space="preserve">INF109KB1AR5</t>
        </is>
      </c>
    </row>
    <row r="5617">
      <c r="A5617" t="inlineStr">
        <is>
          <t xml:space="preserve">ICICI Prudential Mutual Fund</t>
        </is>
      </c>
      <c r="B5617" t="inlineStr">
        <is>
          <t xml:space="preserve">ICICI Prudential Fixed Maturity Plan-Series 73-378 Days Plan O - Direct Plan - Dividend</t>
        </is>
      </c>
      <c r="C5617" t="inlineStr">
        <is>
          <t xml:space="preserve">INF109KB1AS3</t>
        </is>
      </c>
    </row>
    <row r="5618">
      <c r="A5618" t="inlineStr">
        <is>
          <t xml:space="preserve">ICICI Prudential Mutual Fund</t>
        </is>
      </c>
      <c r="B5618" t="inlineStr">
        <is>
          <t xml:space="preserve">ICICI Prudential Fixed Maturity Plan-Series 73-378 Days Plan O - Dividend</t>
        </is>
      </c>
      <c r="C5618" t="inlineStr">
        <is>
          <t xml:space="preserve">INF109KB1AQ7</t>
        </is>
      </c>
    </row>
    <row r="5619">
      <c r="A5619" t="inlineStr">
        <is>
          <t xml:space="preserve">ICICI Prudential Mutual Fund</t>
        </is>
      </c>
      <c r="B5619" t="inlineStr">
        <is>
          <t xml:space="preserve">ICICI Prudential Fixed Maturity Plan-Series 73-383 Days Plan K - Cumulative</t>
        </is>
      </c>
      <c r="C5619" t="inlineStr">
        <is>
          <t xml:space="preserve">INF109KB1839</t>
        </is>
      </c>
    </row>
    <row r="5620">
      <c r="A5620" t="inlineStr">
        <is>
          <t xml:space="preserve">ICICI Prudential Mutual Fund</t>
        </is>
      </c>
      <c r="B5620" t="inlineStr">
        <is>
          <t xml:space="preserve">ICICI Prudential Fixed Maturity Plan-Series 73-383 Days Plan K - Direct Plan - Cumulative</t>
        </is>
      </c>
      <c r="C5620" t="inlineStr">
        <is>
          <t xml:space="preserve">INF109KB1854</t>
        </is>
      </c>
    </row>
    <row r="5621">
      <c r="A5621" t="inlineStr">
        <is>
          <t xml:space="preserve">ICICI Prudential Mutual Fund</t>
        </is>
      </c>
      <c r="B5621" t="inlineStr">
        <is>
          <t xml:space="preserve">ICICI Prudential Fixed Maturity Plan-Series 73-383 Days Plan K - Dividend</t>
        </is>
      </c>
      <c r="C5621" t="inlineStr">
        <is>
          <t xml:space="preserve">INF109KB1847</t>
        </is>
      </c>
    </row>
    <row r="5622">
      <c r="A5622" t="inlineStr">
        <is>
          <t xml:space="preserve">ICICI Prudential Mutual Fund</t>
        </is>
      </c>
      <c r="B5622" t="inlineStr">
        <is>
          <t xml:space="preserve">ICICI Prudential Fixed Maturity Plan-Series 73-390 Days Plan I - Cumulative</t>
        </is>
      </c>
      <c r="C5622" t="inlineStr">
        <is>
          <t xml:space="preserve">INF109KB1BJ0</t>
        </is>
      </c>
    </row>
    <row r="5623">
      <c r="A5623" t="inlineStr">
        <is>
          <t xml:space="preserve">ICICI Prudential Mutual Fund</t>
        </is>
      </c>
      <c r="B5623" t="inlineStr">
        <is>
          <t xml:space="preserve">ICICI Prudential Fixed Maturity Plan-Series 73-390 Days Plan I - Direct Plan - Cumulative</t>
        </is>
      </c>
      <c r="C5623" t="inlineStr">
        <is>
          <t xml:space="preserve">INF109KB1BL6</t>
        </is>
      </c>
    </row>
    <row r="5624">
      <c r="A5624" t="inlineStr">
        <is>
          <t xml:space="preserve">ICICI Prudential Mutual Fund</t>
        </is>
      </c>
      <c r="B5624" t="inlineStr">
        <is>
          <t xml:space="preserve">ICICI Prudential Fixed Maturity Plan-Series 73-390 Days Plan I - Dividend</t>
        </is>
      </c>
      <c r="C5624" t="inlineStr">
        <is>
          <t xml:space="preserve">INF109KB1BK8</t>
        </is>
      </c>
    </row>
    <row r="5625">
      <c r="A5625" t="inlineStr">
        <is>
          <t xml:space="preserve">ICICI Prudential Mutual Fund</t>
        </is>
      </c>
      <c r="B5625" t="inlineStr">
        <is>
          <t xml:space="preserve">ICICI Prudential Fixed Maturity Plan-Series 73-391 Days Plan G - Cumulative</t>
        </is>
      </c>
      <c r="C5625" t="inlineStr">
        <is>
          <t xml:space="preserve">INF109KB1797</t>
        </is>
      </c>
    </row>
    <row r="5626">
      <c r="A5626" t="inlineStr">
        <is>
          <t xml:space="preserve">ICICI Prudential Mutual Fund</t>
        </is>
      </c>
      <c r="B5626" t="inlineStr">
        <is>
          <t xml:space="preserve">ICICI Prudential Fixed Maturity Plan-Series 73-391 Days Plan G - Direct Plan - Cumulative</t>
        </is>
      </c>
      <c r="C5626" t="inlineStr">
        <is>
          <t xml:space="preserve">INF109KB1813</t>
        </is>
      </c>
    </row>
    <row r="5627">
      <c r="A5627" t="inlineStr">
        <is>
          <t xml:space="preserve">ICICI Prudential Mutual Fund</t>
        </is>
      </c>
      <c r="B5627" t="inlineStr">
        <is>
          <t xml:space="preserve">ICICI Prudential Fixed Maturity Plan-Series 73-391 Days Plan G - Dividend</t>
        </is>
      </c>
      <c r="C5627" t="inlineStr">
        <is>
          <t xml:space="preserve">INF109KB1805</t>
        </is>
      </c>
    </row>
    <row r="5628">
      <c r="A5628" t="inlineStr">
        <is>
          <t xml:space="preserve">ICICI Prudential Mutual Fund</t>
        </is>
      </c>
      <c r="B5628" t="inlineStr">
        <is>
          <t xml:space="preserve">ICICI Prudential Fixed Maturity Plan-Series 73-392 Days Plan F - Cumulative</t>
        </is>
      </c>
      <c r="C5628" t="inlineStr">
        <is>
          <t xml:space="preserve">INF109KB1755</t>
        </is>
      </c>
    </row>
    <row r="5629">
      <c r="A5629" t="inlineStr">
        <is>
          <t xml:space="preserve">ICICI Prudential Mutual Fund</t>
        </is>
      </c>
      <c r="B5629" t="inlineStr">
        <is>
          <t xml:space="preserve">ICICI Prudential Fixed Maturity Plan-Series 73-392 Days Plan F - Direct Plan - Cumulative</t>
        </is>
      </c>
      <c r="C5629" t="inlineStr">
        <is>
          <t xml:space="preserve">INF109KB1771</t>
        </is>
      </c>
    </row>
    <row r="5630">
      <c r="A5630" t="inlineStr">
        <is>
          <t xml:space="preserve">ICICI Prudential Mutual Fund</t>
        </is>
      </c>
      <c r="B5630" t="inlineStr">
        <is>
          <t xml:space="preserve">ICICI Prudential Fixed Maturity Plan-Series 73-407 Days Plan C - Cumulative</t>
        </is>
      </c>
      <c r="C5630" t="inlineStr">
        <is>
          <t xml:space="preserve">INF109KB1BN2</t>
        </is>
      </c>
    </row>
    <row r="5631">
      <c r="A5631" t="inlineStr">
        <is>
          <t xml:space="preserve">ICICI Prudential Mutual Fund</t>
        </is>
      </c>
      <c r="B5631" t="inlineStr">
        <is>
          <t xml:space="preserve">ICICI Prudential Fixed Maturity Plan-Series 73-407 Days Plan C - Direct Plan - Cumulative</t>
        </is>
      </c>
      <c r="C5631" t="inlineStr">
        <is>
          <t xml:space="preserve">INF109KB1BP7</t>
        </is>
      </c>
    </row>
    <row r="5632">
      <c r="A5632" t="inlineStr">
        <is>
          <t xml:space="preserve">ICICI Prudential Mutual Fund</t>
        </is>
      </c>
      <c r="B5632" t="inlineStr">
        <is>
          <t xml:space="preserve">ICICI Prudential Fixed Maturity Plan-Series 73-407 Days Plan C - Dividend</t>
        </is>
      </c>
      <c r="C5632" t="inlineStr">
        <is>
          <t xml:space="preserve">INF109KB1BO0</t>
        </is>
      </c>
    </row>
    <row r="5633">
      <c r="A5633" t="inlineStr">
        <is>
          <t xml:space="preserve">ICICI Prudential Mutual Fund</t>
        </is>
      </c>
      <c r="B5633" t="inlineStr">
        <is>
          <t xml:space="preserve">ICICI Prudential Fixed Maturity Plan-Series 73-830 Days Plan J - Cumulative</t>
        </is>
      </c>
      <c r="C5633" t="inlineStr">
        <is>
          <t xml:space="preserve">INF109KB1XP1</t>
        </is>
      </c>
    </row>
    <row r="5634">
      <c r="A5634" t="inlineStr">
        <is>
          <t xml:space="preserve">ICICI Prudential Mutual Fund</t>
        </is>
      </c>
      <c r="B5634" t="inlineStr">
        <is>
          <t xml:space="preserve">ICICI Prudential Fixed Maturity Plan-Series 73-830 Days Plan J - Direct Plan - Cumulative</t>
        </is>
      </c>
      <c r="C5634" t="inlineStr">
        <is>
          <t xml:space="preserve">INF109KB1XR7</t>
        </is>
      </c>
    </row>
    <row r="5635">
      <c r="A5635" t="inlineStr">
        <is>
          <t xml:space="preserve">ICICI Prudential Mutual Fund</t>
        </is>
      </c>
      <c r="B5635" t="inlineStr">
        <is>
          <t xml:space="preserve">ICICI Prudential Fixed Maturity Plan-Series 73-830 Days Plan J - Direct Plan - Dividend</t>
        </is>
      </c>
      <c r="C5635" t="inlineStr">
        <is>
          <t xml:space="preserve">INF109KB1XS5</t>
        </is>
      </c>
    </row>
    <row r="5636">
      <c r="A5636" t="inlineStr">
        <is>
          <t xml:space="preserve">ICICI Prudential Mutual Fund</t>
        </is>
      </c>
      <c r="B5636" t="inlineStr">
        <is>
          <t xml:space="preserve">ICICI Prudential Fixed Maturity Plan-Series 73-830 Days Plan J - Dividend</t>
        </is>
      </c>
      <c r="C5636" t="inlineStr">
        <is>
          <t xml:space="preserve">INF109KB1XQ9</t>
        </is>
      </c>
    </row>
    <row r="5637">
      <c r="A5637" t="inlineStr">
        <is>
          <t xml:space="preserve">ICICI Prudential Mutual Fund</t>
        </is>
      </c>
      <c r="B5637" t="inlineStr">
        <is>
          <t xml:space="preserve">ICICI Prudential Fixed Maturity Plan-Series 74- 369 Days Plan L Direct Plan Dividend Option</t>
        </is>
      </c>
      <c r="C5637" t="inlineStr">
        <is>
          <t xml:space="preserve">INF109KB1GQ4</t>
        </is>
      </c>
    </row>
    <row r="5638">
      <c r="A5638" t="inlineStr">
        <is>
          <t xml:space="preserve">ICICI Prudential Mutual Fund</t>
        </is>
      </c>
      <c r="B5638" t="inlineStr">
        <is>
          <t xml:space="preserve">ICICI Prudential Fixed Maturity Plan-Series 74-1092 Days Plan G - Cumulative</t>
        </is>
      </c>
      <c r="C5638" t="inlineStr">
        <is>
          <t xml:space="preserve">INF109KA1TH7</t>
        </is>
      </c>
    </row>
    <row r="5639">
      <c r="A5639" t="inlineStr">
        <is>
          <t xml:space="preserve">ICICI Prudential Mutual Fund</t>
        </is>
      </c>
      <c r="B5639" t="inlineStr">
        <is>
          <t xml:space="preserve">ICICI Prudential Fixed Maturity Plan-Series 74-1092 Days Plan G - Direct Plan - Cumulative</t>
        </is>
      </c>
      <c r="C5639" t="inlineStr">
        <is>
          <t xml:space="preserve">INF109KA1TJ3</t>
        </is>
      </c>
    </row>
    <row r="5640">
      <c r="A5640" t="inlineStr">
        <is>
          <t xml:space="preserve">ICICI Prudential Mutual Fund</t>
        </is>
      </c>
      <c r="B5640" t="inlineStr">
        <is>
          <t xml:space="preserve">ICICI Prudential Fixed Maturity Plan-Series 74-1092 Days Plan G - Direct Plan - Dividend</t>
        </is>
      </c>
      <c r="C5640" t="inlineStr">
        <is>
          <t xml:space="preserve">INF109KA1TK1</t>
        </is>
      </c>
    </row>
    <row r="5641">
      <c r="A5641" t="inlineStr">
        <is>
          <t xml:space="preserve">ICICI Prudential Mutual Fund</t>
        </is>
      </c>
      <c r="B5641" t="inlineStr">
        <is>
          <t xml:space="preserve">ICICI Prudential Fixed Maturity Plan-Series 74-1092 Days Plan G - Dividend</t>
        </is>
      </c>
      <c r="C5641" t="inlineStr">
        <is>
          <t xml:space="preserve">INF109KA1TI5</t>
        </is>
      </c>
    </row>
    <row r="5642">
      <c r="A5642" t="inlineStr">
        <is>
          <t xml:space="preserve">ICICI Prudential Mutual Fund</t>
        </is>
      </c>
      <c r="B5642" t="inlineStr">
        <is>
          <t xml:space="preserve">ICICI Prudential Fixed Maturity Plan-Series 74-367 Days Plan C - Cumulative</t>
        </is>
      </c>
      <c r="C5642" t="inlineStr">
        <is>
          <t xml:space="preserve">INF109KB1CP5</t>
        </is>
      </c>
    </row>
    <row r="5643">
      <c r="A5643" t="inlineStr">
        <is>
          <t xml:space="preserve">ICICI Prudential Mutual Fund</t>
        </is>
      </c>
      <c r="B5643" t="inlineStr">
        <is>
          <t xml:space="preserve">ICICI Prudential Fixed Maturity Plan-Series 74-367 Days Plan C - Direct Plan - Cumulative</t>
        </is>
      </c>
      <c r="C5643" t="inlineStr">
        <is>
          <t xml:space="preserve">INF109KB1CR1</t>
        </is>
      </c>
    </row>
    <row r="5644">
      <c r="A5644" t="inlineStr">
        <is>
          <t xml:space="preserve">ICICI Prudential Mutual Fund</t>
        </is>
      </c>
      <c r="B5644" t="inlineStr">
        <is>
          <t xml:space="preserve">ICICI Prudential Fixed Maturity Plan-Series 74-367 Days Plan C - Dividend</t>
        </is>
      </c>
      <c r="C5644" t="inlineStr">
        <is>
          <t xml:space="preserve">INF109KB1CQ3</t>
        </is>
      </c>
    </row>
    <row r="5645">
      <c r="A5645" t="inlineStr">
        <is>
          <t xml:space="preserve">ICICI Prudential Mutual Fund</t>
        </is>
      </c>
      <c r="B5645" t="inlineStr">
        <is>
          <t xml:space="preserve">ICICI Prudential Fixed Maturity Plan-Series 74-367 Days Plan D - Cumulative</t>
        </is>
      </c>
      <c r="C5645" t="inlineStr">
        <is>
          <t xml:space="preserve">INF109KB1DY5</t>
        </is>
      </c>
    </row>
    <row r="5646">
      <c r="A5646" t="inlineStr">
        <is>
          <t xml:space="preserve">ICICI Prudential Mutual Fund</t>
        </is>
      </c>
      <c r="B5646" t="inlineStr">
        <is>
          <t xml:space="preserve">ICICI Prudential Fixed Maturity Plan-Series 74-367 Days Plan D - Direct Plan - Cumulative</t>
        </is>
      </c>
      <c r="C5646" t="inlineStr">
        <is>
          <t xml:space="preserve">INF109KB1EK2</t>
        </is>
      </c>
    </row>
    <row r="5647">
      <c r="A5647" t="inlineStr">
        <is>
          <t xml:space="preserve">ICICI Prudential Mutual Fund</t>
        </is>
      </c>
      <c r="B5647" t="inlineStr">
        <is>
          <t xml:space="preserve">ICICI Prudential Fixed Maturity Plan-Series 74-367 Days Plan D - Dividend</t>
        </is>
      </c>
      <c r="C5647" t="inlineStr">
        <is>
          <t xml:space="preserve">INF109KB1DZ2</t>
        </is>
      </c>
    </row>
    <row r="5648">
      <c r="A5648" t="inlineStr">
        <is>
          <t xml:space="preserve">ICICI Prudential Mutual Fund</t>
        </is>
      </c>
      <c r="B5648" t="inlineStr">
        <is>
          <t xml:space="preserve">ICICI Prudential Fixed Maturity Plan-Series 74-368 Days Plan R Dividend Option</t>
        </is>
      </c>
      <c r="C5648" t="inlineStr">
        <is>
          <t xml:space="preserve">INF109KB1GW2</t>
        </is>
      </c>
    </row>
    <row r="5649">
      <c r="A5649" t="inlineStr">
        <is>
          <t xml:space="preserve">ICICI Prudential Mutual Fund</t>
        </is>
      </c>
      <c r="B5649" t="inlineStr">
        <is>
          <t xml:space="preserve">ICICI Prudential Fixed Maturity Plan-Series 74-369 Days Plan B - Cumulative</t>
        </is>
      </c>
      <c r="C5649" t="inlineStr">
        <is>
          <t xml:space="preserve">INF109KB1CT7</t>
        </is>
      </c>
    </row>
    <row r="5650">
      <c r="A5650" t="inlineStr">
        <is>
          <t xml:space="preserve">ICICI Prudential Mutual Fund</t>
        </is>
      </c>
      <c r="B5650" t="inlineStr">
        <is>
          <t xml:space="preserve">ICICI Prudential Fixed Maturity Plan-Series 74-369 Days Plan B - Direct Plan - Cumulative</t>
        </is>
      </c>
      <c r="C5650" t="inlineStr">
        <is>
          <t xml:space="preserve">INF109KB1CV3</t>
        </is>
      </c>
    </row>
    <row r="5651">
      <c r="A5651" t="inlineStr">
        <is>
          <t xml:space="preserve">ICICI Prudential Mutual Fund</t>
        </is>
      </c>
      <c r="B5651" t="inlineStr">
        <is>
          <t xml:space="preserve">ICICI Prudential Fixed Maturity Plan-Series 74-369 Days Plan B - Direct Plan - Dividend</t>
        </is>
      </c>
      <c r="C5651" t="inlineStr">
        <is>
          <t xml:space="preserve">INF109KB1CW1</t>
        </is>
      </c>
    </row>
    <row r="5652">
      <c r="A5652" t="inlineStr">
        <is>
          <t xml:space="preserve">ICICI Prudential Mutual Fund</t>
        </is>
      </c>
      <c r="B5652" t="inlineStr">
        <is>
          <t xml:space="preserve">ICICI Prudential Fixed Maturity Plan-Series 74-369 Days Plan B - Dividend</t>
        </is>
      </c>
      <c r="C5652" t="inlineStr">
        <is>
          <t xml:space="preserve">INF109KB1CU5</t>
        </is>
      </c>
    </row>
    <row r="5653">
      <c r="A5653" t="inlineStr">
        <is>
          <t xml:space="preserve">ICICI Prudential Mutual Fund</t>
        </is>
      </c>
      <c r="B5653" t="inlineStr">
        <is>
          <t xml:space="preserve">ICICI Prudential Fixed Maturity Plan-Series 74-369 Days Plan F - Cumulative</t>
        </is>
      </c>
      <c r="C5653" t="inlineStr">
        <is>
          <t xml:space="preserve">INF109KB1CX9</t>
        </is>
      </c>
    </row>
    <row r="5654">
      <c r="A5654" t="inlineStr">
        <is>
          <t xml:space="preserve">ICICI Prudential Mutual Fund</t>
        </is>
      </c>
      <c r="B5654" t="inlineStr">
        <is>
          <t xml:space="preserve">ICICI Prudential Fixed Maturity Plan-Series 74-369 Days Plan F - Direct Plan - Cumulative</t>
        </is>
      </c>
      <c r="C5654" t="inlineStr">
        <is>
          <t xml:space="preserve">INF109KB1CZ4</t>
        </is>
      </c>
    </row>
    <row r="5655">
      <c r="A5655" t="inlineStr">
        <is>
          <t xml:space="preserve">ICICI Prudential Mutual Fund</t>
        </is>
      </c>
      <c r="B5655" t="inlineStr">
        <is>
          <t xml:space="preserve">ICICI Prudential Fixed Maturity Plan-Series 74-370 Days Plan A - Cumulative</t>
        </is>
      </c>
      <c r="C5655" t="inlineStr">
        <is>
          <t xml:space="preserve">INF109KB1CL4</t>
        </is>
      </c>
    </row>
    <row r="5656">
      <c r="A5656" t="inlineStr">
        <is>
          <t xml:space="preserve">ICICI Prudential Mutual Fund</t>
        </is>
      </c>
      <c r="B5656" t="inlineStr">
        <is>
          <t xml:space="preserve">ICICI Prudential Fixed Maturity Plan-Series 74-370 Days Plan A - Direct Plan - Cumulative</t>
        </is>
      </c>
      <c r="C5656" t="inlineStr">
        <is>
          <t xml:space="preserve">INF109KB1CN0</t>
        </is>
      </c>
    </row>
    <row r="5657">
      <c r="A5657" t="inlineStr">
        <is>
          <t xml:space="preserve">ICICI Prudential Mutual Fund</t>
        </is>
      </c>
      <c r="B5657" t="inlineStr">
        <is>
          <t xml:space="preserve">ICICI Prudential Fixed Maturity Plan-Series 74-370 Days Plan A - Direct Plan - Dividend</t>
        </is>
      </c>
      <c r="C5657" t="inlineStr">
        <is>
          <t xml:space="preserve">INF109KB1CO8</t>
        </is>
      </c>
    </row>
    <row r="5658">
      <c r="A5658" t="inlineStr">
        <is>
          <t xml:space="preserve">ICICI Prudential Mutual Fund</t>
        </is>
      </c>
      <c r="B5658" t="inlineStr">
        <is>
          <t xml:space="preserve">ICICI Prudential Fixed Maturity Plan-Series 74-370 Days Plan A - Dividend</t>
        </is>
      </c>
      <c r="C5658" t="inlineStr">
        <is>
          <t xml:space="preserve">INF109KB1CM2</t>
        </is>
      </c>
    </row>
    <row r="5659">
      <c r="A5659" t="inlineStr">
        <is>
          <t xml:space="preserve">ICICI Prudential Mutual Fund</t>
        </is>
      </c>
      <c r="B5659" t="inlineStr">
        <is>
          <t xml:space="preserve">ICICI Prudential Fixed Maturity Plan-Series 76 -1185 Days Plan H Cumulative Option</t>
        </is>
      </c>
      <c r="C5659" t="inlineStr">
        <is>
          <t xml:space="preserve">INF109KA16S9</t>
        </is>
      </c>
    </row>
    <row r="5660">
      <c r="A5660" t="inlineStr">
        <is>
          <t xml:space="preserve">ICICI Prudential Mutual Fund</t>
        </is>
      </c>
      <c r="B5660" t="inlineStr">
        <is>
          <t xml:space="preserve">ICICI Prudential Fixed Maturity Plan-Series 76 -1185 Days Plan H Direct Plan Cumulative Option</t>
        </is>
      </c>
      <c r="C5660" t="inlineStr">
        <is>
          <t xml:space="preserve">INF109KA18S5</t>
        </is>
      </c>
    </row>
    <row r="5661">
      <c r="A5661" t="inlineStr">
        <is>
          <t xml:space="preserve">ICICI Prudential Mutual Fund</t>
        </is>
      </c>
      <c r="B5661" t="inlineStr">
        <is>
          <t xml:space="preserve">ICICI Prudential Fixed Maturity Plan-Series 76 -1185 Days Plan H Direct Plan Dividend Option</t>
        </is>
      </c>
      <c r="C5661" t="inlineStr">
        <is>
          <t xml:space="preserve">INF109KA19S3</t>
        </is>
      </c>
    </row>
    <row r="5662">
      <c r="A5662" t="inlineStr">
        <is>
          <t xml:space="preserve">ICICI Prudential Mutual Fund</t>
        </is>
      </c>
      <c r="B5662" t="inlineStr">
        <is>
          <t xml:space="preserve">ICICI Prudential Fixed Maturity Plan-Series 76 -1185 Days Plan H Dividend Option</t>
        </is>
      </c>
      <c r="C5662" t="inlineStr">
        <is>
          <t xml:space="preserve">INF109KA17S7</t>
        </is>
      </c>
    </row>
    <row r="5663">
      <c r="A5663" t="inlineStr">
        <is>
          <t xml:space="preserve">ICICI Prudential Mutual Fund</t>
        </is>
      </c>
      <c r="B5663" t="inlineStr">
        <is>
          <t xml:space="preserve">ICICI Prudential Flexicap Fund - Direct Plan - Growth</t>
        </is>
      </c>
      <c r="C5663" t="inlineStr">
        <is>
          <t xml:space="preserve">INF109KC1R14</t>
        </is>
      </c>
    </row>
    <row r="5664">
      <c r="A5664" t="inlineStr">
        <is>
          <t xml:space="preserve">ICICI Prudential Mutual Fund</t>
        </is>
      </c>
      <c r="B5664" t="inlineStr">
        <is>
          <t xml:space="preserve">ICICI Prudential Flexicap Fund - Direct Plan - IDCW</t>
        </is>
      </c>
      <c r="C5664" t="inlineStr">
        <is>
          <t xml:space="preserve">INF109KC1R22</t>
        </is>
      </c>
    </row>
    <row r="5665">
      <c r="A5665" t="inlineStr">
        <is>
          <t xml:space="preserve">ICICI Prudential Mutual Fund</t>
        </is>
      </c>
      <c r="B5665" t="inlineStr">
        <is>
          <t xml:space="preserve">ICICI Prudential Flexicap Fund - Growth</t>
        </is>
      </c>
      <c r="C5665" t="inlineStr">
        <is>
          <t xml:space="preserve">INF109KC1Q80</t>
        </is>
      </c>
    </row>
    <row r="5666">
      <c r="A5666" t="inlineStr">
        <is>
          <t xml:space="preserve">ICICI Prudential Mutual Fund</t>
        </is>
      </c>
      <c r="B5666" t="inlineStr">
        <is>
          <t xml:space="preserve">ICICI Prudential Flexicap Fund - IDCW</t>
        </is>
      </c>
      <c r="C5666" t="inlineStr">
        <is>
          <t xml:space="preserve">INF109KC1Q98</t>
        </is>
      </c>
    </row>
    <row r="5667">
      <c r="A5667" t="inlineStr">
        <is>
          <t xml:space="preserve">ICICI Prudential Mutual Fund</t>
        </is>
      </c>
      <c r="B5667" t="inlineStr">
        <is>
          <t xml:space="preserve">ICICI Prudential Floating Interest Fund - Bonus</t>
        </is>
      </c>
      <c r="C5667" t="inlineStr">
        <is>
          <t xml:space="preserve">INF109KA1I43</t>
        </is>
      </c>
    </row>
    <row r="5668">
      <c r="A5668" t="inlineStr">
        <is>
          <t xml:space="preserve">ICICI Prudential Mutual Fund</t>
        </is>
      </c>
      <c r="B5668" t="inlineStr">
        <is>
          <t xml:space="preserve">ICICI Prudential Floating Interest Fund - Daily IDCW</t>
        </is>
      </c>
      <c r="C5668" t="inlineStr">
        <is>
          <t xml:space="preserve">INF109K01AW3</t>
        </is>
      </c>
    </row>
    <row r="5669">
      <c r="A5669" t="inlineStr">
        <is>
          <t xml:space="preserve">ICICI Prudential Mutual Fund</t>
        </is>
      </c>
      <c r="B5669" t="inlineStr">
        <is>
          <t xml:space="preserve">ICICI Prudential Floating Interest Fund - Direct Plan - Daily IDCW</t>
        </is>
      </c>
      <c r="C5669" t="inlineStr">
        <is>
          <t xml:space="preserve">INF109K01P24</t>
        </is>
      </c>
    </row>
    <row r="5670">
      <c r="A5670" t="inlineStr">
        <is>
          <t xml:space="preserve">ICICI Prudential Mutual Fund</t>
        </is>
      </c>
      <c r="B5670" t="inlineStr">
        <is>
          <t xml:space="preserve">ICICI Prudential Floating Interest Fund - Direct Plan - Fortnightly IDCW</t>
        </is>
      </c>
      <c r="C5670" t="inlineStr">
        <is>
          <t xml:space="preserve">INF109K01P40</t>
        </is>
      </c>
    </row>
    <row r="5671">
      <c r="A5671" t="inlineStr">
        <is>
          <t xml:space="preserve">ICICI Prudential Mutual Fund</t>
        </is>
      </c>
      <c r="B5671" t="inlineStr">
        <is>
          <t xml:space="preserve">ICICI Prudential Floating Interest Fund - Direct Plan - Growth</t>
        </is>
      </c>
      <c r="C5671" t="inlineStr">
        <is>
          <t xml:space="preserve">INF109K01P57</t>
        </is>
      </c>
    </row>
    <row r="5672">
      <c r="A5672" t="inlineStr">
        <is>
          <t xml:space="preserve">ICICI Prudential Mutual Fund</t>
        </is>
      </c>
      <c r="B5672" t="inlineStr">
        <is>
          <t xml:space="preserve">ICICI Prudential Floating Interest Fund - Direct Plan - IDCW Others</t>
        </is>
      </c>
      <c r="C5672" t="inlineStr">
        <is>
          <t xml:space="preserve">INF109K01P65</t>
        </is>
      </c>
    </row>
    <row r="5673">
      <c r="A5673" t="inlineStr">
        <is>
          <t xml:space="preserve">ICICI Prudential Mutual Fund</t>
        </is>
      </c>
      <c r="B5673" t="inlineStr">
        <is>
          <t xml:space="preserve">ICICI Prudential Floating Interest Fund - Direct Plan - Monthly IDCW</t>
        </is>
      </c>
      <c r="C5673" t="inlineStr">
        <is>
          <t xml:space="preserve">INF109K018Z6</t>
        </is>
      </c>
    </row>
    <row r="5674">
      <c r="A5674" t="inlineStr">
        <is>
          <t xml:space="preserve">ICICI Prudential Mutual Fund</t>
        </is>
      </c>
      <c r="B5674" t="inlineStr">
        <is>
          <t xml:space="preserve">ICICI Prudential Floating Interest Fund - Direct Plan - Quarterly IDCW</t>
        </is>
      </c>
      <c r="C5674" t="inlineStr">
        <is>
          <t xml:space="preserve">INF109KA1012</t>
        </is>
      </c>
    </row>
    <row r="5675">
      <c r="A5675" t="inlineStr">
        <is>
          <t xml:space="preserve">ICICI Prudential Mutual Fund</t>
        </is>
      </c>
      <c r="B5675" t="inlineStr">
        <is>
          <t xml:space="preserve">ICICI Prudential Floating Interest Fund - Direct Plan - Weekly IDCW</t>
        </is>
      </c>
      <c r="C5675" t="inlineStr">
        <is>
          <t xml:space="preserve">INF109K01P73</t>
        </is>
      </c>
    </row>
    <row r="5676">
      <c r="A5676" t="inlineStr">
        <is>
          <t xml:space="preserve">ICICI Prudential Mutual Fund</t>
        </is>
      </c>
      <c r="B5676" t="inlineStr">
        <is>
          <t xml:space="preserve">ICICI Prudential Floating Interest Fund - Fortnightly IDCW</t>
        </is>
      </c>
      <c r="C5676" t="inlineStr">
        <is>
          <t xml:space="preserve">INF109K01AZ6</t>
        </is>
      </c>
    </row>
    <row r="5677">
      <c r="A5677" t="inlineStr">
        <is>
          <t xml:space="preserve">ICICI Prudential Mutual Fund</t>
        </is>
      </c>
      <c r="B5677" t="inlineStr">
        <is>
          <t xml:space="preserve">ICICI Prudential Floating Interest Fund - Growth</t>
        </is>
      </c>
      <c r="C5677" t="inlineStr">
        <is>
          <t xml:space="preserve">INF109K01AX1</t>
        </is>
      </c>
    </row>
    <row r="5678">
      <c r="A5678" t="inlineStr">
        <is>
          <t xml:space="preserve">ICICI Prudential Mutual Fund</t>
        </is>
      </c>
      <c r="B5678" t="inlineStr">
        <is>
          <t xml:space="preserve">ICICI Prudential Floating Interest Fund - IDCW Others</t>
        </is>
      </c>
      <c r="C5678" t="inlineStr">
        <is>
          <t xml:space="preserve">INF109K01WQ9</t>
        </is>
      </c>
    </row>
    <row r="5679">
      <c r="A5679" t="inlineStr">
        <is>
          <t xml:space="preserve">ICICI Prudential Mutual Fund</t>
        </is>
      </c>
      <c r="B5679" t="inlineStr">
        <is>
          <t xml:space="preserve">ICICI Prudential Floating Interest Fund - Monthly IDCW</t>
        </is>
      </c>
      <c r="C5679" t="inlineStr">
        <is>
          <t xml:space="preserve">INF109KA1038</t>
        </is>
      </c>
    </row>
    <row r="5680">
      <c r="A5680" t="inlineStr">
        <is>
          <t xml:space="preserve">ICICI Prudential Mutual Fund</t>
        </is>
      </c>
      <c r="B5680" t="inlineStr">
        <is>
          <t xml:space="preserve">ICICI Prudential Floating Interest Fund - Quarterly IDCW</t>
        </is>
      </c>
      <c r="C5680" t="inlineStr">
        <is>
          <t xml:space="preserve">INF109KA1053</t>
        </is>
      </c>
    </row>
    <row r="5681">
      <c r="A5681" t="inlineStr">
        <is>
          <t xml:space="preserve">ICICI Prudential Mutual Fund</t>
        </is>
      </c>
      <c r="B5681" t="inlineStr">
        <is>
          <t xml:space="preserve">ICICI Prudential Floating Interest Fund - Weekly IDCW</t>
        </is>
      </c>
      <c r="C5681" t="inlineStr">
        <is>
          <t xml:space="preserve">INF109K01EN4</t>
        </is>
      </c>
    </row>
    <row r="5682">
      <c r="A5682" t="inlineStr">
        <is>
          <t xml:space="preserve">ICICI Prudential Mutual Fund</t>
        </is>
      </c>
      <c r="B5682" t="inlineStr">
        <is>
          <t xml:space="preserve">ICICI Prudential Floating Interest Fund Plan A - Dividend Daily</t>
        </is>
      </c>
      <c r="C5682" t="inlineStr">
        <is>
          <t xml:space="preserve">INF109K01928</t>
        </is>
      </c>
    </row>
    <row r="5683">
      <c r="A5683" t="inlineStr">
        <is>
          <t xml:space="preserve">ICICI Prudential Mutual Fund</t>
        </is>
      </c>
      <c r="B5683" t="inlineStr">
        <is>
          <t xml:space="preserve">ICICI Prudential Floating Interest Fund Plan A - Fortnightly Dividend</t>
        </is>
      </c>
      <c r="C5683" t="inlineStr">
        <is>
          <t xml:space="preserve">INF109K01910</t>
        </is>
      </c>
    </row>
    <row r="5684">
      <c r="A5684" t="inlineStr">
        <is>
          <t xml:space="preserve">ICICI Prudential Mutual Fund</t>
        </is>
      </c>
      <c r="B5684" t="inlineStr">
        <is>
          <t xml:space="preserve">ICICI Prudential Floating Interest Fund Plan A - Growth</t>
        </is>
      </c>
      <c r="C5684" t="inlineStr">
        <is>
          <t xml:space="preserve">INF109K01936</t>
        </is>
      </c>
    </row>
    <row r="5685">
      <c r="A5685" t="inlineStr">
        <is>
          <t xml:space="preserve">ICICI Prudential Mutual Fund</t>
        </is>
      </c>
      <c r="B5685" t="inlineStr">
        <is>
          <t xml:space="preserve">ICICI Prudential Floating Interest Fund Plan A - Weekly Dividend Option</t>
        </is>
      </c>
      <c r="C5685" t="inlineStr">
        <is>
          <t xml:space="preserve">INF109K01EK0</t>
        </is>
      </c>
    </row>
    <row r="5686">
      <c r="A5686" t="inlineStr">
        <is>
          <t xml:space="preserve">ICICI Prudential Mutual Fund</t>
        </is>
      </c>
      <c r="B5686" t="inlineStr">
        <is>
          <t xml:space="preserve">ICICI Prudential Floating Interest Fund Plan B - Dividend Daily</t>
        </is>
      </c>
      <c r="C5686" t="inlineStr">
        <is>
          <t xml:space="preserve">INF109K01951</t>
        </is>
      </c>
    </row>
    <row r="5687">
      <c r="A5687" t="inlineStr">
        <is>
          <t xml:space="preserve">ICICI Prudential Mutual Fund</t>
        </is>
      </c>
      <c r="B5687" t="inlineStr">
        <is>
          <t xml:space="preserve">ICICI Prudential Floating Interest Fund Plan B - Fortnightly Dividend</t>
        </is>
      </c>
      <c r="C5687" t="inlineStr">
        <is>
          <t xml:space="preserve">INF109K01969</t>
        </is>
      </c>
    </row>
    <row r="5688">
      <c r="A5688" t="inlineStr">
        <is>
          <t xml:space="preserve">ICICI Prudential Mutual Fund</t>
        </is>
      </c>
      <c r="B5688" t="inlineStr">
        <is>
          <t xml:space="preserve">ICICI Prudential Floating Interest Fund Plan B - Growth</t>
        </is>
      </c>
      <c r="C5688" t="inlineStr">
        <is>
          <t xml:space="preserve">INF109K01977</t>
        </is>
      </c>
    </row>
    <row r="5689">
      <c r="A5689" t="inlineStr">
        <is>
          <t xml:space="preserve">ICICI Prudential Mutual Fund</t>
        </is>
      </c>
      <c r="B5689" t="inlineStr">
        <is>
          <t xml:space="preserve">ICICI Prudential Floating Interest Fund Plan B - Weekly Dividend Option</t>
        </is>
      </c>
      <c r="C5689" t="inlineStr">
        <is>
          <t xml:space="preserve">INF109K01EL8</t>
        </is>
      </c>
    </row>
    <row r="5690">
      <c r="A5690" t="inlineStr">
        <is>
          <t xml:space="preserve">ICICI Prudential Mutual Fund</t>
        </is>
      </c>
      <c r="B5690" t="inlineStr">
        <is>
          <t xml:space="preserve">ICICI Prudential Floating Interest Fund Plan C - Dividend Daily</t>
        </is>
      </c>
      <c r="C5690" t="inlineStr">
        <is>
          <t xml:space="preserve">INF109K01AA9</t>
        </is>
      </c>
    </row>
    <row r="5691">
      <c r="A5691" t="inlineStr">
        <is>
          <t xml:space="preserve">ICICI Prudential Mutual Fund</t>
        </is>
      </c>
      <c r="B5691" t="inlineStr">
        <is>
          <t xml:space="preserve">ICICI Prudential Floating Interest Fund Plan C - Fortnightly Dividend</t>
        </is>
      </c>
      <c r="C5691" t="inlineStr">
        <is>
          <t xml:space="preserve">INF109K01993</t>
        </is>
      </c>
    </row>
    <row r="5692">
      <c r="A5692" t="inlineStr">
        <is>
          <t xml:space="preserve">ICICI Prudential Mutual Fund</t>
        </is>
      </c>
      <c r="B5692" t="inlineStr">
        <is>
          <t xml:space="preserve">ICICI Prudential FMCG Fund - Direct Plan -  Growth</t>
        </is>
      </c>
      <c r="C5692" t="inlineStr">
        <is>
          <t xml:space="preserve">INF109K01Z14</t>
        </is>
      </c>
    </row>
    <row r="5693">
      <c r="A5693" t="inlineStr">
        <is>
          <t xml:space="preserve">ICICI Prudential Mutual Fund</t>
        </is>
      </c>
      <c r="B5693" t="inlineStr">
        <is>
          <t xml:space="preserve">ICICI Prudential FMCG Fund - Direct Plan -  IDCW</t>
        </is>
      </c>
      <c r="C5693" t="inlineStr">
        <is>
          <t xml:space="preserve">INF109K01Y98</t>
        </is>
      </c>
    </row>
    <row r="5694">
      <c r="A5694" t="inlineStr">
        <is>
          <t xml:space="preserve">ICICI Prudential Mutual Fund</t>
        </is>
      </c>
      <c r="B5694" t="inlineStr">
        <is>
          <t xml:space="preserve">ICICI Prudential FMCG Fund - Growth</t>
        </is>
      </c>
      <c r="C5694" t="inlineStr">
        <is>
          <t xml:space="preserve">INF109K01415</t>
        </is>
      </c>
    </row>
    <row r="5695">
      <c r="A5695" t="inlineStr">
        <is>
          <t xml:space="preserve">ICICI Prudential Mutual Fund</t>
        </is>
      </c>
      <c r="B5695" t="inlineStr">
        <is>
          <t xml:space="preserve">ICICI Prudential FMCG Fund - IDCW</t>
        </is>
      </c>
      <c r="C5695" t="inlineStr">
        <is>
          <t xml:space="preserve">INF109K01EO2</t>
        </is>
      </c>
    </row>
    <row r="5696">
      <c r="A5696" t="inlineStr">
        <is>
          <t xml:space="preserve">ICICI Prudential Mutual Fund</t>
        </is>
      </c>
      <c r="B5696" t="inlineStr">
        <is>
          <t xml:space="preserve">ICICI Prudential Focused Equity Fund - Direct Plan - Growth</t>
        </is>
      </c>
      <c r="C5696" t="inlineStr">
        <is>
          <t xml:space="preserve">INF109K018N2</t>
        </is>
      </c>
    </row>
    <row r="5697">
      <c r="A5697" t="inlineStr">
        <is>
          <t xml:space="preserve">ICICI Prudential Mutual Fund</t>
        </is>
      </c>
      <c r="B5697" t="inlineStr">
        <is>
          <t xml:space="preserve">ICICI Prudential Focused Equity Fund - Direct Plan - IDCW</t>
        </is>
      </c>
      <c r="C5697" t="inlineStr">
        <is>
          <t xml:space="preserve">INF109K016N6</t>
        </is>
      </c>
    </row>
    <row r="5698">
      <c r="A5698" t="inlineStr">
        <is>
          <t xml:space="preserve">ICICI Prudential Mutual Fund</t>
        </is>
      </c>
      <c r="B5698" t="inlineStr">
        <is>
          <t xml:space="preserve">ICICI Prudential Focused Equity Fund - Growth</t>
        </is>
      </c>
      <c r="C5698" t="inlineStr">
        <is>
          <t xml:space="preserve">INF109K01BZ4</t>
        </is>
      </c>
    </row>
    <row r="5699">
      <c r="A5699" t="inlineStr">
        <is>
          <t xml:space="preserve">ICICI Prudential Mutual Fund</t>
        </is>
      </c>
      <c r="B5699" t="inlineStr">
        <is>
          <t xml:space="preserve">ICICI Prudential Focused Equity Fund - IDCW</t>
        </is>
      </c>
      <c r="C5699" t="inlineStr">
        <is>
          <t xml:space="preserve">INF109K01FM3</t>
        </is>
      </c>
    </row>
    <row r="5700">
      <c r="A5700" t="inlineStr">
        <is>
          <t xml:space="preserve">ICICI Prudential Mutual Fund</t>
        </is>
      </c>
      <c r="B5700" t="inlineStr">
        <is>
          <t xml:space="preserve">ICICI Prudential Gilt Fund - Bonus</t>
        </is>
      </c>
      <c r="C5700" t="inlineStr">
        <is>
          <t xml:space="preserve">INF109KA1H10</t>
        </is>
      </c>
    </row>
    <row r="5701">
      <c r="A5701" t="inlineStr">
        <is>
          <t xml:space="preserve">ICICI Prudential Mutual Fund</t>
        </is>
      </c>
      <c r="B5701" t="inlineStr">
        <is>
          <t xml:space="preserve">ICICI Prudential Gilt Fund - Direct Plan - Growth</t>
        </is>
      </c>
      <c r="C5701" t="inlineStr">
        <is>
          <t xml:space="preserve">INF109K018C5</t>
        </is>
      </c>
    </row>
    <row r="5702">
      <c r="A5702" t="inlineStr">
        <is>
          <t xml:space="preserve">ICICI Prudential Mutual Fund</t>
        </is>
      </c>
      <c r="B5702" t="inlineStr">
        <is>
          <t xml:space="preserve">ICICI Prudential Gilt Fund - Direct Plan - IDCW</t>
        </is>
      </c>
      <c r="C5702" t="inlineStr">
        <is>
          <t xml:space="preserve">INF109K016C9</t>
        </is>
      </c>
    </row>
    <row r="5703">
      <c r="A5703" t="inlineStr">
        <is>
          <t xml:space="preserve">ICICI Prudential Mutual Fund</t>
        </is>
      </c>
      <c r="B5703" t="inlineStr">
        <is>
          <t xml:space="preserve">ICICI Prudential Gilt Fund - Direct Plan Bonus</t>
        </is>
      </c>
      <c r="C5703" t="inlineStr">
        <is>
          <t xml:space="preserve">INF109KA1H02</t>
        </is>
      </c>
    </row>
    <row r="5704">
      <c r="A5704" t="inlineStr">
        <is>
          <t xml:space="preserve">ICICI Prudential Mutual Fund</t>
        </is>
      </c>
      <c r="B5704" t="inlineStr">
        <is>
          <t xml:space="preserve">ICICI Prudential Gilt Fund - Growth</t>
        </is>
      </c>
      <c r="C5704" t="inlineStr">
        <is>
          <t xml:space="preserve">INF109K01JR4</t>
        </is>
      </c>
    </row>
    <row r="5705">
      <c r="A5705" t="inlineStr">
        <is>
          <t xml:space="preserve">ICICI Prudential Mutual Fund</t>
        </is>
      </c>
      <c r="B5705" t="inlineStr">
        <is>
          <t xml:space="preserve">ICICI Prudential Gilt Fund - IDCW</t>
        </is>
      </c>
      <c r="C5705" t="inlineStr">
        <is>
          <t xml:space="preserve">INF109K01JQ6</t>
        </is>
      </c>
    </row>
    <row r="5706">
      <c r="A5706" t="inlineStr">
        <is>
          <t xml:space="preserve">ICICI Prudential Mutual Fund</t>
        </is>
      </c>
      <c r="B5706" t="inlineStr">
        <is>
          <t xml:space="preserve">ICICI Prudential Gilt Fund Investment Plan PF Option - Direct Plan - Half Yearly Dividend</t>
        </is>
      </c>
      <c r="C5706" t="inlineStr">
        <is>
          <t xml:space="preserve">INF109K019C3</t>
        </is>
      </c>
    </row>
    <row r="5707">
      <c r="A5707" t="inlineStr">
        <is>
          <t xml:space="preserve">ICICI Prudential Mutual Fund</t>
        </is>
      </c>
      <c r="B5707" t="inlineStr">
        <is>
          <t xml:space="preserve">ICICI Prudential Gilt Fund Investment Plan PF Option - Direct Plan -Growth Option</t>
        </is>
      </c>
      <c r="C5707" t="inlineStr">
        <is>
          <t xml:space="preserve">INF109K011D8</t>
        </is>
      </c>
    </row>
    <row r="5708">
      <c r="A5708" t="inlineStr">
        <is>
          <t xml:space="preserve">ICICI Prudential Mutual Fund</t>
        </is>
      </c>
      <c r="B5708" t="inlineStr">
        <is>
          <t xml:space="preserve">ICICI Prudential Gilt Fund Investment Plan PF Option - Growth</t>
        </is>
      </c>
      <c r="C5708" t="inlineStr">
        <is>
          <t xml:space="preserve">INF109K01JS2</t>
        </is>
      </c>
    </row>
    <row r="5709">
      <c r="A5709" t="inlineStr">
        <is>
          <t xml:space="preserve">ICICI Prudential Mutual Fund</t>
        </is>
      </c>
      <c r="B5709" t="inlineStr">
        <is>
          <t xml:space="preserve">ICICI Prudential Gilt Fund Investment Plan PF Option - Half Yearly Dividend</t>
        </is>
      </c>
      <c r="C5709" t="inlineStr">
        <is>
          <t xml:space="preserve">INF109K01I15</t>
        </is>
      </c>
    </row>
    <row r="5710">
      <c r="A5710" t="inlineStr">
        <is>
          <t xml:space="preserve">ICICI Prudential Mutual Fund</t>
        </is>
      </c>
      <c r="B5710" t="inlineStr">
        <is>
          <t xml:space="preserve">ICICI Prudential Gilt Fund Treasury Plan PF Option - Direct Plan - Half Yearly Dividend</t>
        </is>
      </c>
      <c r="C5710" t="inlineStr">
        <is>
          <t xml:space="preserve">INF109K017D5</t>
        </is>
      </c>
    </row>
    <row r="5711">
      <c r="A5711" t="inlineStr">
        <is>
          <t xml:space="preserve">ICICI Prudential Mutual Fund</t>
        </is>
      </c>
      <c r="B5711" t="inlineStr">
        <is>
          <t xml:space="preserve">ICICI Prudential Gilt Fund Treasury Plan PF Option - Direct Plan - Quarterly Dividend</t>
        </is>
      </c>
      <c r="C5711" t="inlineStr">
        <is>
          <t xml:space="preserve">INF109K019D1</t>
        </is>
      </c>
    </row>
    <row r="5712">
      <c r="A5712" t="inlineStr">
        <is>
          <t xml:space="preserve">ICICI Prudential Mutual Fund</t>
        </is>
      </c>
      <c r="B5712" t="inlineStr">
        <is>
          <t xml:space="preserve">ICICI Prudential Gilt Fund Treasury Plan PF Option - Direct Plan -Growth Option</t>
        </is>
      </c>
      <c r="C5712" t="inlineStr">
        <is>
          <t xml:space="preserve">INF109K011E6</t>
        </is>
      </c>
    </row>
    <row r="5713">
      <c r="A5713" t="inlineStr">
        <is>
          <t xml:space="preserve">ICICI Prudential Mutual Fund</t>
        </is>
      </c>
      <c r="B5713" t="inlineStr">
        <is>
          <t xml:space="preserve">ICICI Prudential Gilt Fund Treasury Plan PF Option - Growth</t>
        </is>
      </c>
      <c r="C5713" t="inlineStr">
        <is>
          <t xml:space="preserve">INF109K01KA8</t>
        </is>
      </c>
    </row>
    <row r="5714">
      <c r="A5714" t="inlineStr">
        <is>
          <t xml:space="preserve">ICICI Prudential Mutual Fund</t>
        </is>
      </c>
      <c r="B5714" t="inlineStr">
        <is>
          <t xml:space="preserve">ICICI Prudential Gilt Fund Treasury Plan PF Option - Half Yearly Dividend</t>
        </is>
      </c>
      <c r="C5714" t="inlineStr">
        <is>
          <t xml:space="preserve">INF109K01I56</t>
        </is>
      </c>
    </row>
    <row r="5715">
      <c r="A5715" t="inlineStr">
        <is>
          <t xml:space="preserve">ICICI Prudential Mutual Fund</t>
        </is>
      </c>
      <c r="B5715" t="inlineStr">
        <is>
          <t xml:space="preserve">ICICI Prudential Gilt Fund Treasury Plan PF Option - Quarterly Dividend</t>
        </is>
      </c>
      <c r="C5715" t="inlineStr">
        <is>
          <t xml:space="preserve">INF109K01I49</t>
        </is>
      </c>
    </row>
    <row r="5716">
      <c r="A5716" t="inlineStr">
        <is>
          <t xml:space="preserve">ICICI Prudential Mutual Fund</t>
        </is>
      </c>
      <c r="B5716" t="inlineStr">
        <is>
          <t xml:space="preserve">ICICI Prudential Gilt Investment PF Option - Bonus</t>
        </is>
      </c>
      <c r="C5716" t="inlineStr">
        <is>
          <t xml:space="preserve">INF109KA1C31</t>
        </is>
      </c>
    </row>
    <row r="5717">
      <c r="A5717" t="inlineStr">
        <is>
          <t xml:space="preserve">ICICI Prudential Mutual Fund</t>
        </is>
      </c>
      <c r="B5717" t="inlineStr">
        <is>
          <t xml:space="preserve">ICICI Prudential Gilt Investment PF Option - Direct Plan Bonus</t>
        </is>
      </c>
      <c r="C5717" t="inlineStr">
        <is>
          <t xml:space="preserve">INF109KA1C23</t>
        </is>
      </c>
    </row>
    <row r="5718">
      <c r="A5718" t="inlineStr">
        <is>
          <t xml:space="preserve">ICICI Prudential Mutual Fund</t>
        </is>
      </c>
      <c r="B5718" t="inlineStr">
        <is>
          <t xml:space="preserve">ICICI Prudential Gilt Treasury PF Option - Bonus</t>
        </is>
      </c>
      <c r="C5718" t="inlineStr">
        <is>
          <t xml:space="preserve">INF109KA1C56</t>
        </is>
      </c>
    </row>
    <row r="5719">
      <c r="A5719" t="inlineStr">
        <is>
          <t xml:space="preserve">ICICI Prudential Mutual Fund</t>
        </is>
      </c>
      <c r="B5719" t="inlineStr">
        <is>
          <t xml:space="preserve">ICICI Prudential Global Advantage Fund (FOF) - Direct Plan - Growth Option</t>
        </is>
      </c>
      <c r="C5719" t="inlineStr">
        <is>
          <t xml:space="preserve">INF109KC1F34</t>
        </is>
      </c>
    </row>
    <row r="5720">
      <c r="A5720" t="inlineStr">
        <is>
          <t xml:space="preserve">ICICI Prudential Mutual Fund</t>
        </is>
      </c>
      <c r="B5720" t="inlineStr">
        <is>
          <t xml:space="preserve">ICICI Prudential Global Advantage Fund (FOF) - Direct Plan - IDCW</t>
        </is>
      </c>
      <c r="C5720" t="inlineStr">
        <is>
          <t xml:space="preserve">INF109KC1F42</t>
        </is>
      </c>
    </row>
    <row r="5721">
      <c r="A5721" t="inlineStr">
        <is>
          <t xml:space="preserve">ICICI Prudential Mutual Fund</t>
        </is>
      </c>
      <c r="B5721" t="inlineStr">
        <is>
          <t xml:space="preserve">ICICI Prudential Global Advantage Fund (FOF) - Growth Option</t>
        </is>
      </c>
      <c r="C5721" t="inlineStr">
        <is>
          <t xml:space="preserve">INF109KC1F00</t>
        </is>
      </c>
    </row>
    <row r="5722">
      <c r="A5722" t="inlineStr">
        <is>
          <t xml:space="preserve">ICICI Prudential Mutual Fund</t>
        </is>
      </c>
      <c r="B5722" t="inlineStr">
        <is>
          <t xml:space="preserve">ICICI Prudential Global Advantage Fund (FOF) - IDCW</t>
        </is>
      </c>
      <c r="C5722" t="inlineStr">
        <is>
          <t xml:space="preserve">INF109KC1F18</t>
        </is>
      </c>
    </row>
    <row r="5723">
      <c r="A5723" t="inlineStr">
        <is>
          <t xml:space="preserve">ICICI Prudential Mutual Fund</t>
        </is>
      </c>
      <c r="B5723" t="inlineStr">
        <is>
          <t xml:space="preserve">ICICI Prudential Global Stable Equity Fund (FOF) - Direct - Growth</t>
        </is>
      </c>
      <c r="C5723" t="inlineStr">
        <is>
          <t xml:space="preserve">INF109KA1CE0</t>
        </is>
      </c>
    </row>
    <row r="5724">
      <c r="A5724" t="inlineStr">
        <is>
          <t xml:space="preserve">ICICI Prudential Mutual Fund</t>
        </is>
      </c>
      <c r="B5724" t="inlineStr">
        <is>
          <t xml:space="preserve">ICICI Prudential Global Stable Equity Fund (FOF) - Direct - IDCW</t>
        </is>
      </c>
      <c r="C5724" t="inlineStr">
        <is>
          <t xml:space="preserve">INF109KA1CG5</t>
        </is>
      </c>
    </row>
    <row r="5725">
      <c r="A5725" t="inlineStr">
        <is>
          <t xml:space="preserve">ICICI Prudential Mutual Fund</t>
        </is>
      </c>
      <c r="B5725" t="inlineStr">
        <is>
          <t xml:space="preserve">ICICI Prudential Global Stable Equity Fund (FOF) - Growth</t>
        </is>
      </c>
      <c r="C5725" t="inlineStr">
        <is>
          <t xml:space="preserve">INF109KA1CB6</t>
        </is>
      </c>
    </row>
    <row r="5726">
      <c r="A5726" t="inlineStr">
        <is>
          <t xml:space="preserve">ICICI Prudential Mutual Fund</t>
        </is>
      </c>
      <c r="B5726" t="inlineStr">
        <is>
          <t xml:space="preserve">ICICI Prudential Global Stable Equity Fund (FOF) - IDCW</t>
        </is>
      </c>
      <c r="C5726" t="inlineStr">
        <is>
          <t xml:space="preserve">INF109KA1CD2</t>
        </is>
      </c>
    </row>
    <row r="5727">
      <c r="A5727" t="inlineStr">
        <is>
          <t xml:space="preserve">ICICI Prudential Mutual Fund</t>
        </is>
      </c>
      <c r="B5727" t="inlineStr">
        <is>
          <t xml:space="preserve">ICICI Prudential Gold ETF</t>
        </is>
      </c>
      <c r="C5727" t="inlineStr">
        <is>
          <t xml:space="preserve">INF109KC1NT3</t>
        </is>
      </c>
    </row>
    <row r="5728">
      <c r="A5728" t="inlineStr">
        <is>
          <t xml:space="preserve">ICICI Prudential Mutual Fund</t>
        </is>
      </c>
      <c r="B5728" t="inlineStr">
        <is>
          <t xml:space="preserve">ICICI Prudential Gold ETF FOF - Direct Plan - Growth</t>
        </is>
      </c>
      <c r="C5728" t="inlineStr">
        <is>
          <t xml:space="preserve">INF109K01U92</t>
        </is>
      </c>
    </row>
    <row r="5729">
      <c r="A5729" t="inlineStr">
        <is>
          <t xml:space="preserve">ICICI Prudential Mutual Fund</t>
        </is>
      </c>
      <c r="B5729" t="inlineStr">
        <is>
          <t xml:space="preserve">ICICI Prudential Gold ETF FOF - Direct Plan - IDCW</t>
        </is>
      </c>
      <c r="C5729" t="inlineStr">
        <is>
          <t xml:space="preserve">INF109K01U76</t>
        </is>
      </c>
    </row>
    <row r="5730">
      <c r="A5730" t="inlineStr">
        <is>
          <t xml:space="preserve">ICICI Prudential Mutual Fund</t>
        </is>
      </c>
      <c r="B5730" t="inlineStr">
        <is>
          <t xml:space="preserve">ICICI Prudential Gold ETF FOF - Growth</t>
        </is>
      </c>
      <c r="C5730" t="inlineStr">
        <is>
          <t xml:space="preserve">INF109K01TK8</t>
        </is>
      </c>
    </row>
    <row r="5731">
      <c r="A5731" t="inlineStr">
        <is>
          <t xml:space="preserve">ICICI Prudential Mutual Fund</t>
        </is>
      </c>
      <c r="B5731" t="inlineStr">
        <is>
          <t xml:space="preserve">ICICI Prudential Gold ETF FOF - IDCW</t>
        </is>
      </c>
      <c r="C5731" t="inlineStr">
        <is>
          <t xml:space="preserve">INF109K01TM4</t>
        </is>
      </c>
    </row>
    <row r="5732">
      <c r="A5732" t="inlineStr">
        <is>
          <t xml:space="preserve">ICICI Prudential Mutual Fund</t>
        </is>
      </c>
      <c r="B5732" t="inlineStr">
        <is>
          <t xml:space="preserve">ICICI Prudential Growth Fund - Series 2 Direct Dividend</t>
        </is>
      </c>
      <c r="C5732" t="inlineStr">
        <is>
          <t xml:space="preserve">INF109KC1796</t>
        </is>
      </c>
    </row>
    <row r="5733">
      <c r="A5733" t="inlineStr">
        <is>
          <t xml:space="preserve">ICICI Prudential Mutual Fund</t>
        </is>
      </c>
      <c r="B5733" t="inlineStr">
        <is>
          <t xml:space="preserve">ICICI Prudential Growth Fund - Series 2 Dividend</t>
        </is>
      </c>
      <c r="C5733" t="inlineStr">
        <is>
          <t xml:space="preserve">INF109KC1804</t>
        </is>
      </c>
    </row>
    <row r="5734">
      <c r="A5734" t="inlineStr">
        <is>
          <t xml:space="preserve">ICICI Prudential Mutual Fund</t>
        </is>
      </c>
      <c r="B5734" t="inlineStr">
        <is>
          <t xml:space="preserve">ICICI Prudential Growth Fund - Series 3 Direct IDCW</t>
        </is>
      </c>
      <c r="C5734" t="inlineStr">
        <is>
          <t xml:space="preserve">INF109KA1S17</t>
        </is>
      </c>
    </row>
    <row r="5735">
      <c r="A5735" t="inlineStr">
        <is>
          <t xml:space="preserve">ICICI Prudential Mutual Fund</t>
        </is>
      </c>
      <c r="B5735" t="inlineStr">
        <is>
          <t xml:space="preserve">ICICI Prudential Growth Fund - Series 3 IDCW</t>
        </is>
      </c>
      <c r="C5735" t="inlineStr">
        <is>
          <t xml:space="preserve">INF109KA1S09</t>
        </is>
      </c>
    </row>
    <row r="5736">
      <c r="A5736" t="inlineStr">
        <is>
          <t xml:space="preserve">ICICI Prudential Mutual Fund</t>
        </is>
      </c>
      <c r="B5736" t="inlineStr">
        <is>
          <t xml:space="preserve">ICICI Prudential Growth Fund - Series 4 Direct Dividend</t>
        </is>
      </c>
      <c r="C5736" t="inlineStr">
        <is>
          <t xml:space="preserve">INF109KA1Y76</t>
        </is>
      </c>
    </row>
    <row r="5737">
      <c r="A5737" t="inlineStr">
        <is>
          <t xml:space="preserve">ICICI Prudential Mutual Fund</t>
        </is>
      </c>
      <c r="B5737" t="inlineStr">
        <is>
          <t xml:space="preserve">ICICI Prudential Growth Fund - Series 4 Dividend</t>
        </is>
      </c>
      <c r="C5737" t="inlineStr">
        <is>
          <t xml:space="preserve">INF109KA1Y68</t>
        </is>
      </c>
    </row>
    <row r="5738">
      <c r="A5738" t="inlineStr">
        <is>
          <t xml:space="preserve">ICICI Prudential Mutual Fund</t>
        </is>
      </c>
      <c r="B5738" t="inlineStr">
        <is>
          <t xml:space="preserve">ICICI Prudential Growth Fund - Series 5 Direct Dividend</t>
        </is>
      </c>
      <c r="C5738" t="inlineStr">
        <is>
          <t xml:space="preserve">INF109KA13K3</t>
        </is>
      </c>
    </row>
    <row r="5739">
      <c r="A5739" t="inlineStr">
        <is>
          <t xml:space="preserve">ICICI Prudential Mutual Fund</t>
        </is>
      </c>
      <c r="B5739" t="inlineStr">
        <is>
          <t xml:space="preserve">ICICI Prudential Growth Fund - Series 5 Dividend</t>
        </is>
      </c>
      <c r="C5739" t="inlineStr">
        <is>
          <t xml:space="preserve">INF109KA12K5</t>
        </is>
      </c>
    </row>
    <row r="5740">
      <c r="A5740" t="inlineStr">
        <is>
          <t xml:space="preserve">ICICI Prudential Mutual Fund</t>
        </is>
      </c>
      <c r="B5740" t="inlineStr">
        <is>
          <t xml:space="preserve">ICICI Prudential Growth Fund - Series 6  Dividend</t>
        </is>
      </c>
      <c r="C5740" t="inlineStr">
        <is>
          <t xml:space="preserve">INF109KA14O3</t>
        </is>
      </c>
    </row>
    <row r="5741">
      <c r="A5741" t="inlineStr">
        <is>
          <t xml:space="preserve">ICICI Prudential Mutual Fund</t>
        </is>
      </c>
      <c r="B5741" t="inlineStr">
        <is>
          <t xml:space="preserve">ICICI Prudential Growth Fund - Series 6 Direct Dividend</t>
        </is>
      </c>
      <c r="C5741" t="inlineStr">
        <is>
          <t xml:space="preserve">INF109KA15O0</t>
        </is>
      </c>
    </row>
    <row r="5742">
      <c r="A5742" t="inlineStr">
        <is>
          <t xml:space="preserve">ICICI Prudential Mutual Fund</t>
        </is>
      </c>
      <c r="B5742" t="inlineStr">
        <is>
          <t xml:space="preserve">ICICI Prudential Growth Fund - Series 7  Dividend</t>
        </is>
      </c>
      <c r="C5742" t="inlineStr">
        <is>
          <t xml:space="preserve">INF109KA18P1</t>
        </is>
      </c>
    </row>
    <row r="5743">
      <c r="A5743" t="inlineStr">
        <is>
          <t xml:space="preserve">ICICI Prudential Mutual Fund</t>
        </is>
      </c>
      <c r="B5743" t="inlineStr">
        <is>
          <t xml:space="preserve">ICICI Prudential Growth Fund - Series 7 Direct Dividend</t>
        </is>
      </c>
      <c r="C5743" t="inlineStr">
        <is>
          <t xml:space="preserve">INF109KA19P9</t>
        </is>
      </c>
    </row>
    <row r="5744">
      <c r="A5744" t="inlineStr">
        <is>
          <t xml:space="preserve">ICICI Prudential Mutual Fund</t>
        </is>
      </c>
      <c r="B5744" t="inlineStr">
        <is>
          <t xml:space="preserve">ICICI Prudential Growth Fund - Series 8  Dividend</t>
        </is>
      </c>
      <c r="C5744" t="inlineStr">
        <is>
          <t xml:space="preserve">INF109KA19R5</t>
        </is>
      </c>
    </row>
    <row r="5745">
      <c r="A5745" t="inlineStr">
        <is>
          <t xml:space="preserve">ICICI Prudential Mutual Fund</t>
        </is>
      </c>
      <c r="B5745" t="inlineStr">
        <is>
          <t xml:space="preserve">ICICI Prudential Growth Fund - Series 8 Direct Dividend</t>
        </is>
      </c>
      <c r="C5745" t="inlineStr">
        <is>
          <t xml:space="preserve">INF109KA10S2</t>
        </is>
      </c>
    </row>
    <row r="5746">
      <c r="A5746" t="inlineStr">
        <is>
          <t xml:space="preserve">ICICI Prudential Mutual Fund</t>
        </is>
      </c>
      <c r="B5746" t="inlineStr">
        <is>
          <t xml:space="preserve">ICICI Prudential Growth Fund- Series 1 Direct Dividend</t>
        </is>
      </c>
      <c r="C5746" t="inlineStr">
        <is>
          <t xml:space="preserve">INF109KB12R8</t>
        </is>
      </c>
    </row>
    <row r="5747">
      <c r="A5747" t="inlineStr">
        <is>
          <t xml:space="preserve">ICICI Prudential Mutual Fund</t>
        </is>
      </c>
      <c r="B5747" t="inlineStr">
        <is>
          <t xml:space="preserve">ICICI Prudential Growth Fund- Series 1 Dividend</t>
        </is>
      </c>
      <c r="C5747" t="inlineStr">
        <is>
          <t xml:space="preserve">INF109KB13R6</t>
        </is>
      </c>
    </row>
    <row r="5748">
      <c r="A5748" t="inlineStr">
        <is>
          <t xml:space="preserve">ICICI Prudential Mutual Fund</t>
        </is>
      </c>
      <c r="B5748" t="inlineStr">
        <is>
          <t xml:space="preserve">ICICI PRUDENTIAL HOUSING OPPORTUNITIES FUND - Direct Plan Growth</t>
        </is>
      </c>
      <c r="C5748" t="inlineStr">
        <is>
          <t xml:space="preserve">INF109KC10C2</t>
        </is>
      </c>
    </row>
    <row r="5749">
      <c r="A5749" t="inlineStr">
        <is>
          <t xml:space="preserve">ICICI Prudential Mutual Fund</t>
        </is>
      </c>
      <c r="B5749" t="inlineStr">
        <is>
          <t xml:space="preserve">ICICI PRUDENTIAL HOUSING OPPORTUNITIES FUND - Direct Plan IDCW</t>
        </is>
      </c>
      <c r="C5749" t="inlineStr">
        <is>
          <t xml:space="preserve">INF109KC11C0</t>
        </is>
      </c>
    </row>
    <row r="5750">
      <c r="A5750" t="inlineStr">
        <is>
          <t xml:space="preserve">ICICI Prudential Mutual Fund</t>
        </is>
      </c>
      <c r="B5750" t="inlineStr">
        <is>
          <t xml:space="preserve">ICICI PRUDENTIAL HOUSING OPPORTUNITIES FUND - Growth</t>
        </is>
      </c>
      <c r="C5750" t="inlineStr">
        <is>
          <t xml:space="preserve">INF109KC17B9</t>
        </is>
      </c>
    </row>
    <row r="5751">
      <c r="A5751" t="inlineStr">
        <is>
          <t xml:space="preserve">ICICI Prudential Mutual Fund</t>
        </is>
      </c>
      <c r="B5751" t="inlineStr">
        <is>
          <t xml:space="preserve">ICICI PRUDENTIAL HOUSING OPPORTUNITIES FUND - IDCW</t>
        </is>
      </c>
      <c r="C5751" t="inlineStr">
        <is>
          <t xml:space="preserve">INF109KC18B7</t>
        </is>
      </c>
    </row>
    <row r="5752">
      <c r="A5752" t="inlineStr">
        <is>
          <t xml:space="preserve">ICICI Prudential Mutual Fund</t>
        </is>
      </c>
      <c r="B5752" t="inlineStr">
        <is>
          <t xml:space="preserve">ICICI Prudential Income plus Arbitrage Omni FOF - Direct Plan - Growth</t>
        </is>
      </c>
      <c r="C5752" t="inlineStr">
        <is>
          <t xml:space="preserve">INF109K01W82</t>
        </is>
      </c>
    </row>
    <row r="5753">
      <c r="A5753" t="inlineStr">
        <is>
          <t xml:space="preserve">ICICI Prudential Mutual Fund</t>
        </is>
      </c>
      <c r="B5753" t="inlineStr">
        <is>
          <t xml:space="preserve">ICICI Prudential Income plus Arbitrage Omni FOF - Direct Plan - IDCW</t>
        </is>
      </c>
      <c r="C5753" t="inlineStr">
        <is>
          <t xml:space="preserve">INF109K01W66</t>
        </is>
      </c>
    </row>
    <row r="5754">
      <c r="A5754" t="inlineStr">
        <is>
          <t xml:space="preserve">ICICI Prudential Mutual Fund</t>
        </is>
      </c>
      <c r="B5754" t="inlineStr">
        <is>
          <t xml:space="preserve">ICICI Prudential Income Plus Arbitrage Omni FOF - Growth</t>
        </is>
      </c>
      <c r="C5754" t="inlineStr">
        <is>
          <t xml:space="preserve">INF109K01811</t>
        </is>
      </c>
    </row>
    <row r="5755">
      <c r="A5755" t="inlineStr">
        <is>
          <t xml:space="preserve">ICICI Prudential Mutual Fund</t>
        </is>
      </c>
      <c r="B5755" t="inlineStr">
        <is>
          <t xml:space="preserve">ICICI Prudential Income plus Arbitrage Omni FOF - IDCW</t>
        </is>
      </c>
      <c r="C5755" t="inlineStr">
        <is>
          <t xml:space="preserve">INF109K01EB9</t>
        </is>
      </c>
    </row>
    <row r="5756">
      <c r="A5756" t="inlineStr">
        <is>
          <t xml:space="preserve">ICICI Prudential Mutual Fund</t>
        </is>
      </c>
      <c r="B5756" t="inlineStr">
        <is>
          <t xml:space="preserve">ICICI Prudential India Opportunities Fund - Cumulative Option</t>
        </is>
      </c>
      <c r="C5756" t="inlineStr">
        <is>
          <t xml:space="preserve">INF109KC1RE6</t>
        </is>
      </c>
    </row>
    <row r="5757">
      <c r="A5757" t="inlineStr">
        <is>
          <t xml:space="preserve">ICICI Prudential Mutual Fund</t>
        </is>
      </c>
      <c r="B5757" t="inlineStr">
        <is>
          <t xml:space="preserve">ICICI Prudential India Opportunities Fund - Direct Plan - Cumulative Option</t>
        </is>
      </c>
      <c r="C5757" t="inlineStr">
        <is>
          <t xml:space="preserve">INF109KC1RH9</t>
        </is>
      </c>
    </row>
    <row r="5758">
      <c r="A5758" t="inlineStr">
        <is>
          <t xml:space="preserve">ICICI Prudential Mutual Fund</t>
        </is>
      </c>
      <c r="B5758" t="inlineStr">
        <is>
          <t xml:space="preserve">ICICI Prudential India Opportunities Fund - Direct Plan - IDCW Option</t>
        </is>
      </c>
      <c r="C5758" t="inlineStr">
        <is>
          <t xml:space="preserve">INF109KC1RJ5</t>
        </is>
      </c>
    </row>
    <row r="5759">
      <c r="A5759" t="inlineStr">
        <is>
          <t xml:space="preserve">ICICI Prudential Mutual Fund</t>
        </is>
      </c>
      <c r="B5759" t="inlineStr">
        <is>
          <t xml:space="preserve">ICICI Prudential India Opportunities Fund - IDCW Option</t>
        </is>
      </c>
      <c r="C5759" t="inlineStr">
        <is>
          <t xml:space="preserve">INF109KC1RG1</t>
        </is>
      </c>
    </row>
    <row r="5760">
      <c r="A5760" t="inlineStr">
        <is>
          <t xml:space="preserve">ICICI Prudential Mutual Fund</t>
        </is>
      </c>
      <c r="B5760" t="inlineStr">
        <is>
          <t xml:space="preserve">ICICI Prudential India Recovery Fund - Series 1 Direct Dividend</t>
        </is>
      </c>
      <c r="C5760" t="inlineStr">
        <is>
          <t xml:space="preserve">INF109KB1128</t>
        </is>
      </c>
    </row>
    <row r="5761">
      <c r="A5761" t="inlineStr">
        <is>
          <t xml:space="preserve">ICICI Prudential Mutual Fund</t>
        </is>
      </c>
      <c r="B5761" t="inlineStr">
        <is>
          <t xml:space="preserve">ICICI Prudential India Recovery Fund - Series 1 Dividend</t>
        </is>
      </c>
      <c r="C5761" t="inlineStr">
        <is>
          <t xml:space="preserve">INF109KB1110</t>
        </is>
      </c>
    </row>
    <row r="5762">
      <c r="A5762" t="inlineStr">
        <is>
          <t xml:space="preserve">ICICI Prudential Mutual Fund</t>
        </is>
      </c>
      <c r="B5762" t="inlineStr">
        <is>
          <t xml:space="preserve">ICICI Prudential India Recovery Fund - Series 2 Direct Dividend</t>
        </is>
      </c>
      <c r="C5762" t="inlineStr">
        <is>
          <t xml:space="preserve">INF109KB1300</t>
        </is>
      </c>
    </row>
    <row r="5763">
      <c r="A5763" t="inlineStr">
        <is>
          <t xml:space="preserve">ICICI Prudential Mutual Fund</t>
        </is>
      </c>
      <c r="B5763" t="inlineStr">
        <is>
          <t xml:space="preserve">ICICI Prudential India Recovery Fund - Series 2 Dividend</t>
        </is>
      </c>
      <c r="C5763" t="inlineStr">
        <is>
          <t xml:space="preserve">INF109KB1292</t>
        </is>
      </c>
    </row>
    <row r="5764">
      <c r="A5764" t="inlineStr">
        <is>
          <t xml:space="preserve">ICICI Prudential Mutual Fund</t>
        </is>
      </c>
      <c r="B5764" t="inlineStr">
        <is>
          <t xml:space="preserve">ICICI Prudential India Recovery Fund - Series 3 Cumulative Option</t>
        </is>
      </c>
      <c r="C5764" t="inlineStr">
        <is>
          <t xml:space="preserve">INF109KB1MD0</t>
        </is>
      </c>
    </row>
    <row r="5765">
      <c r="A5765" t="inlineStr">
        <is>
          <t xml:space="preserve">ICICI Prudential Mutual Fund</t>
        </is>
      </c>
      <c r="B5765" t="inlineStr">
        <is>
          <t xml:space="preserve">ICICI Prudential India Recovery Fund - Series 3 Direct Plan Cumulative Option</t>
        </is>
      </c>
      <c r="C5765" t="inlineStr">
        <is>
          <t xml:space="preserve">INF109KB1ME8</t>
        </is>
      </c>
    </row>
    <row r="5766">
      <c r="A5766" t="inlineStr">
        <is>
          <t xml:space="preserve">ICICI Prudential Mutual Fund</t>
        </is>
      </c>
      <c r="B5766" t="inlineStr">
        <is>
          <t xml:space="preserve">ICICI Prudential India Recovery Fund - Series 3 Direct Plan Dividend Option</t>
        </is>
      </c>
      <c r="C5766" t="inlineStr">
        <is>
          <t xml:space="preserve">INF109KB1LQ4</t>
        </is>
      </c>
    </row>
    <row r="5767">
      <c r="A5767" t="inlineStr">
        <is>
          <t xml:space="preserve">ICICI Prudential Mutual Fund</t>
        </is>
      </c>
      <c r="B5767" t="inlineStr">
        <is>
          <t xml:space="preserve">ICICI Prudential India Recovery Fund - Series 3 Dividend Option</t>
        </is>
      </c>
      <c r="C5767" t="inlineStr">
        <is>
          <t xml:space="preserve">INF109KB1LP6</t>
        </is>
      </c>
    </row>
    <row r="5768">
      <c r="A5768" t="inlineStr">
        <is>
          <t xml:space="preserve">ICICI Prudential Mutual Fund</t>
        </is>
      </c>
      <c r="B5768" t="inlineStr">
        <is>
          <t xml:space="preserve">ICICI Prudential India Recovery Fund - Series 4 Cumulative Option</t>
        </is>
      </c>
      <c r="C5768" t="inlineStr">
        <is>
          <t xml:space="preserve">INF109KB1QX9</t>
        </is>
      </c>
    </row>
    <row r="5769">
      <c r="A5769" t="inlineStr">
        <is>
          <t xml:space="preserve">ICICI Prudential Mutual Fund</t>
        </is>
      </c>
      <c r="B5769" t="inlineStr">
        <is>
          <t xml:space="preserve">ICICI Prudential India Recovery Fund - Series 4 Direct Plan Cumulative Option</t>
        </is>
      </c>
      <c r="C5769" t="inlineStr">
        <is>
          <t xml:space="preserve">INF109KB1QY7</t>
        </is>
      </c>
    </row>
    <row r="5770">
      <c r="A5770" t="inlineStr">
        <is>
          <t xml:space="preserve">ICICI Prudential Mutual Fund</t>
        </is>
      </c>
      <c r="B5770" t="inlineStr">
        <is>
          <t xml:space="preserve">ICICI Prudential India Recovery Fund - Series 4 Direct Plan Dividend Option</t>
        </is>
      </c>
      <c r="C5770" t="inlineStr">
        <is>
          <t xml:space="preserve">INF109KB1QW1</t>
        </is>
      </c>
    </row>
    <row r="5771">
      <c r="A5771" t="inlineStr">
        <is>
          <t xml:space="preserve">ICICI Prudential Mutual Fund</t>
        </is>
      </c>
      <c r="B5771" t="inlineStr">
        <is>
          <t xml:space="preserve">ICICI Prudential India Recovery Fund - Series 4 Dividend Option</t>
        </is>
      </c>
      <c r="C5771" t="inlineStr">
        <is>
          <t xml:space="preserve">INF109KB1QV3</t>
        </is>
      </c>
    </row>
    <row r="5772">
      <c r="A5772" t="inlineStr">
        <is>
          <t xml:space="preserve">ICICI Prudential Mutual Fund</t>
        </is>
      </c>
      <c r="B5772" t="inlineStr">
        <is>
          <t xml:space="preserve">ICICI Prudential India Recovery Fund - Series 5 Cumulative Option</t>
        </is>
      </c>
      <c r="C5772" t="inlineStr">
        <is>
          <t xml:space="preserve">INF109KB1UT9</t>
        </is>
      </c>
    </row>
    <row r="5773">
      <c r="A5773" t="inlineStr">
        <is>
          <t xml:space="preserve">ICICI Prudential Mutual Fund</t>
        </is>
      </c>
      <c r="B5773" t="inlineStr">
        <is>
          <t xml:space="preserve">ICICI Prudential India Recovery Fund - Series 5 Direct Plan Cumulative Option</t>
        </is>
      </c>
      <c r="C5773" t="inlineStr">
        <is>
          <t xml:space="preserve">INF109KB1UU7</t>
        </is>
      </c>
    </row>
    <row r="5774">
      <c r="A5774" t="inlineStr">
        <is>
          <t xml:space="preserve">ICICI Prudential Mutual Fund</t>
        </is>
      </c>
      <c r="B5774" t="inlineStr">
        <is>
          <t xml:space="preserve">ICICI Prudential India Recovery Fund - Series 5 Direct Plan Dividend Option</t>
        </is>
      </c>
      <c r="C5774" t="inlineStr">
        <is>
          <t xml:space="preserve">INF109KB1US1</t>
        </is>
      </c>
    </row>
    <row r="5775">
      <c r="A5775" t="inlineStr">
        <is>
          <t xml:space="preserve">ICICI Prudential Mutual Fund</t>
        </is>
      </c>
      <c r="B5775" t="inlineStr">
        <is>
          <t xml:space="preserve">ICICI Prudential India Recovery Fund - Series 5 Dividend Option</t>
        </is>
      </c>
      <c r="C5775" t="inlineStr">
        <is>
          <t xml:space="preserve">INF109KB1UR3</t>
        </is>
      </c>
    </row>
    <row r="5776">
      <c r="A5776" t="inlineStr">
        <is>
          <t xml:space="preserve">ICICI Prudential Mutual Fund</t>
        </is>
      </c>
      <c r="B5776" t="inlineStr">
        <is>
          <t xml:space="preserve">ICICI Prudential India Recovery Fund - Series 7 Direct Plan Dividend Option</t>
        </is>
      </c>
      <c r="C5776" t="inlineStr">
        <is>
          <t xml:space="preserve">INF109KB1WJ6</t>
        </is>
      </c>
    </row>
    <row r="5777">
      <c r="A5777" t="inlineStr">
        <is>
          <t xml:space="preserve">ICICI Prudential Mutual Fund</t>
        </is>
      </c>
      <c r="B5777" t="inlineStr">
        <is>
          <t xml:space="preserve">ICICI Prudential India Recovery Fund - Series 7 Dividend Option</t>
        </is>
      </c>
      <c r="C5777" t="inlineStr">
        <is>
          <t xml:space="preserve">INF109KB1WI8</t>
        </is>
      </c>
    </row>
    <row r="5778">
      <c r="A5778" t="inlineStr">
        <is>
          <t xml:space="preserve">ICICI Prudential Mutual Fund</t>
        </is>
      </c>
      <c r="B5778" t="inlineStr">
        <is>
          <t xml:space="preserve">ICICI Prudential Infrastructure Fund - Direct Plan -  Growth</t>
        </is>
      </c>
      <c r="C5778" t="inlineStr">
        <is>
          <t xml:space="preserve">INF109K018M4</t>
        </is>
      </c>
    </row>
    <row r="5779">
      <c r="A5779" t="inlineStr">
        <is>
          <t xml:space="preserve">ICICI Prudential Mutual Fund</t>
        </is>
      </c>
      <c r="B5779" t="inlineStr">
        <is>
          <t xml:space="preserve">ICICI Prudential Infrastructure Fund - Direct Plan -  IDCW</t>
        </is>
      </c>
      <c r="C5779" t="inlineStr">
        <is>
          <t xml:space="preserve">INF109K016M8</t>
        </is>
      </c>
    </row>
    <row r="5780">
      <c r="A5780" t="inlineStr">
        <is>
          <t xml:space="preserve">ICICI Prudential Mutual Fund</t>
        </is>
      </c>
      <c r="B5780" t="inlineStr">
        <is>
          <t xml:space="preserve">ICICI Prudential Infrastructure Fund - Growth</t>
        </is>
      </c>
      <c r="C5780" t="inlineStr">
        <is>
          <t xml:space="preserve">INF109K01AV5</t>
        </is>
      </c>
    </row>
    <row r="5781">
      <c r="A5781" t="inlineStr">
        <is>
          <t xml:space="preserve">ICICI Prudential Mutual Fund</t>
        </is>
      </c>
      <c r="B5781" t="inlineStr">
        <is>
          <t xml:space="preserve">ICICI Prudential Infrastructure Fund - IDCW</t>
        </is>
      </c>
      <c r="C5781" t="inlineStr">
        <is>
          <t xml:space="preserve">INF109K01FB6</t>
        </is>
      </c>
    </row>
    <row r="5782">
      <c r="A5782" t="inlineStr">
        <is>
          <t xml:space="preserve">ICICI Prudential Mutual Fund</t>
        </is>
      </c>
      <c r="B5782" t="inlineStr">
        <is>
          <t xml:space="preserve">ICICI Prudential Innovation Fund - Direct Plan - Growth</t>
        </is>
      </c>
      <c r="C5782" t="inlineStr">
        <is>
          <t xml:space="preserve">INF109KC12T2</t>
        </is>
      </c>
    </row>
    <row r="5783">
      <c r="A5783" t="inlineStr">
        <is>
          <t xml:space="preserve">ICICI Prudential Mutual Fund</t>
        </is>
      </c>
      <c r="B5783" t="inlineStr">
        <is>
          <t xml:space="preserve">ICICI Prudential Innovation Fund - Direct Plan - IDCW</t>
        </is>
      </c>
      <c r="C5783" t="inlineStr">
        <is>
          <t xml:space="preserve">INF109KC13T0</t>
        </is>
      </c>
    </row>
    <row r="5784">
      <c r="A5784" t="inlineStr">
        <is>
          <t xml:space="preserve">ICICI Prudential Mutual Fund</t>
        </is>
      </c>
      <c r="B5784" t="inlineStr">
        <is>
          <t xml:space="preserve">ICICI Prudential Innovation Fund - Growth</t>
        </is>
      </c>
      <c r="C5784" t="inlineStr">
        <is>
          <t xml:space="preserve">INF109KC19S9</t>
        </is>
      </c>
    </row>
    <row r="5785">
      <c r="A5785" t="inlineStr">
        <is>
          <t xml:space="preserve">ICICI Prudential Mutual Fund</t>
        </is>
      </c>
      <c r="B5785" t="inlineStr">
        <is>
          <t xml:space="preserve">ICICI Prudential Innovation Fund - IDCW</t>
        </is>
      </c>
      <c r="C5785" t="inlineStr">
        <is>
          <t xml:space="preserve">INF109KC10T6</t>
        </is>
      </c>
    </row>
    <row r="5786">
      <c r="A5786" t="inlineStr">
        <is>
          <t xml:space="preserve">ICICI Prudential Mutual Fund</t>
        </is>
      </c>
      <c r="B5786" t="inlineStr">
        <is>
          <t xml:space="preserve">ICICI Prudential Interval Fund - Annual Interval Plan I - Retail Dividend</t>
        </is>
      </c>
      <c r="C5786" t="inlineStr">
        <is>
          <t xml:space="preserve">INF109K01KM3</t>
        </is>
      </c>
    </row>
    <row r="5787">
      <c r="A5787" t="inlineStr">
        <is>
          <t xml:space="preserve">ICICI Prudential Mutual Fund</t>
        </is>
      </c>
      <c r="B5787" t="inlineStr">
        <is>
          <t xml:space="preserve">ICICI Prudential Interval Fund - Annual Interval Plan I - Retail Growth</t>
        </is>
      </c>
      <c r="C5787" t="inlineStr">
        <is>
          <t xml:space="preserve">INF109K01KL5</t>
        </is>
      </c>
    </row>
    <row r="5788">
      <c r="A5788" t="inlineStr">
        <is>
          <t xml:space="preserve">ICICI Prudential Mutual Fund</t>
        </is>
      </c>
      <c r="B5788" t="inlineStr">
        <is>
          <t xml:space="preserve">ICICI Prudential Interval Fund - Annual Interval Plan II - Retail Dividend</t>
        </is>
      </c>
      <c r="C5788" t="inlineStr">
        <is>
          <t xml:space="preserve">INF109K01KQ4</t>
        </is>
      </c>
    </row>
    <row r="5789">
      <c r="A5789" t="inlineStr">
        <is>
          <t xml:space="preserve">ICICI Prudential Mutual Fund</t>
        </is>
      </c>
      <c r="B5789" t="inlineStr">
        <is>
          <t xml:space="preserve">ICICI Prudential Interval Fund - Annual Interval Plan II - Retail Growth</t>
        </is>
      </c>
      <c r="C5789" t="inlineStr">
        <is>
          <t xml:space="preserve">INF109K01KP6</t>
        </is>
      </c>
    </row>
    <row r="5790">
      <c r="A5790" t="inlineStr">
        <is>
          <t xml:space="preserve">ICICI Prudential Mutual Fund</t>
        </is>
      </c>
      <c r="B5790" t="inlineStr">
        <is>
          <t xml:space="preserve">ICICI Prudential Interval Fund - Annual Interval Plan III - Retail Dividend</t>
        </is>
      </c>
      <c r="C5790" t="inlineStr">
        <is>
          <t xml:space="preserve">INF109K01KU6</t>
        </is>
      </c>
    </row>
    <row r="5791">
      <c r="A5791" t="inlineStr">
        <is>
          <t xml:space="preserve">ICICI Prudential Mutual Fund</t>
        </is>
      </c>
      <c r="B5791" t="inlineStr">
        <is>
          <t xml:space="preserve">ICICI Prudential Interval Fund - Annual Interval Plan III - Retail Growth</t>
        </is>
      </c>
      <c r="C5791" t="inlineStr">
        <is>
          <t xml:space="preserve">INF109K01KT8</t>
        </is>
      </c>
    </row>
    <row r="5792">
      <c r="A5792" t="inlineStr">
        <is>
          <t xml:space="preserve">ICICI Prudential Mutual Fund</t>
        </is>
      </c>
      <c r="B5792" t="inlineStr">
        <is>
          <t xml:space="preserve">ICICI Prudential Interval Fund - Annual Interval Plan IV - Retail Dividend</t>
        </is>
      </c>
      <c r="C5792" t="inlineStr">
        <is>
          <t xml:space="preserve">INF109K01KI1</t>
        </is>
      </c>
    </row>
    <row r="5793">
      <c r="A5793" t="inlineStr">
        <is>
          <t xml:space="preserve">ICICI Prudential Mutual Fund</t>
        </is>
      </c>
      <c r="B5793" t="inlineStr">
        <is>
          <t xml:space="preserve">ICICI Prudential Interval Fund - Annual Interval Plan IV - Retail Growth</t>
        </is>
      </c>
      <c r="C5793" t="inlineStr">
        <is>
          <t xml:space="preserve">INF109K01KH3</t>
        </is>
      </c>
    </row>
    <row r="5794">
      <c r="A5794" t="inlineStr">
        <is>
          <t xml:space="preserve">ICICI Prudential Mutual Fund</t>
        </is>
      </c>
      <c r="B5794" t="inlineStr">
        <is>
          <t xml:space="preserve">ICICI Prudential Interval Fund - Monthly Interval Plan I - Retail Dividend</t>
        </is>
      </c>
      <c r="C5794" t="inlineStr">
        <is>
          <t xml:space="preserve">INF109K01ON3</t>
        </is>
      </c>
    </row>
    <row r="5795">
      <c r="A5795" t="inlineStr">
        <is>
          <t xml:space="preserve">ICICI Prudential Mutual Fund</t>
        </is>
      </c>
      <c r="B5795" t="inlineStr">
        <is>
          <t xml:space="preserve">ICICI Prudential Interval Fund - Monthly Interval Plan I - Retail Growth</t>
        </is>
      </c>
      <c r="C5795" t="inlineStr">
        <is>
          <t xml:space="preserve">INF109K01OM5</t>
        </is>
      </c>
    </row>
    <row r="5796">
      <c r="A5796" t="inlineStr">
        <is>
          <t xml:space="preserve">ICICI Prudential Mutual Fund</t>
        </is>
      </c>
      <c r="B5796" t="inlineStr">
        <is>
          <t xml:space="preserve">ICICI Prudential Interval Fund - Quarterly Interval Plan I - Retail Dividend</t>
        </is>
      </c>
      <c r="C5796" t="inlineStr">
        <is>
          <t xml:space="preserve">INF109K01LU4</t>
        </is>
      </c>
    </row>
    <row r="5797">
      <c r="A5797" t="inlineStr">
        <is>
          <t xml:space="preserve">ICICI Prudential Mutual Fund</t>
        </is>
      </c>
      <c r="B5797" t="inlineStr">
        <is>
          <t xml:space="preserve">ICICI Prudential Interval Fund - Quarterly Interval Plan I - Retail Growth</t>
        </is>
      </c>
      <c r="C5797" t="inlineStr">
        <is>
          <t xml:space="preserve">INF109K01LT6</t>
        </is>
      </c>
    </row>
    <row r="5798">
      <c r="A5798" t="inlineStr">
        <is>
          <t xml:space="preserve">ICICI Prudential Mutual Fund</t>
        </is>
      </c>
      <c r="B5798" t="inlineStr">
        <is>
          <t xml:space="preserve">ICICI Prudential Interval Fund - Quarterly Interval Plan II - Retail Dividend</t>
        </is>
      </c>
      <c r="C5798" t="inlineStr">
        <is>
          <t xml:space="preserve">INF109K01MC0</t>
        </is>
      </c>
    </row>
    <row r="5799">
      <c r="A5799" t="inlineStr">
        <is>
          <t xml:space="preserve">ICICI Prudential Mutual Fund</t>
        </is>
      </c>
      <c r="B5799" t="inlineStr">
        <is>
          <t xml:space="preserve">ICICI Prudential Interval Fund - Quarterly Interval Plan II - Retail Growth</t>
        </is>
      </c>
      <c r="C5799" t="inlineStr">
        <is>
          <t xml:space="preserve">INF109K01MB2</t>
        </is>
      </c>
    </row>
    <row r="5800">
      <c r="A5800" t="inlineStr">
        <is>
          <t xml:space="preserve">ICICI Prudential Mutual Fund</t>
        </is>
      </c>
      <c r="B5800" t="inlineStr">
        <is>
          <t xml:space="preserve">ICICI Prudential Interval Fund - Quarterly Interval Plan III - Direct Quarterly Dividend Payout</t>
        </is>
      </c>
      <c r="C5800" t="inlineStr">
        <is>
          <t xml:space="preserve">INF109K01N91</t>
        </is>
      </c>
    </row>
    <row r="5801">
      <c r="A5801" t="inlineStr">
        <is>
          <t xml:space="preserve">ICICI Prudential Mutual Fund</t>
        </is>
      </c>
      <c r="B5801" t="inlineStr">
        <is>
          <t xml:space="preserve">ICICI Prudential Interval Fund - Quarterly Interval Plan III - Retail Dividend</t>
        </is>
      </c>
      <c r="C5801" t="inlineStr">
        <is>
          <t xml:space="preserve">INF109K01MK3</t>
        </is>
      </c>
    </row>
    <row r="5802">
      <c r="A5802" t="inlineStr">
        <is>
          <t xml:space="preserve">ICICI Prudential Mutual Fund</t>
        </is>
      </c>
      <c r="B5802" t="inlineStr">
        <is>
          <t xml:space="preserve">ICICI Prudential Interval Fund - Quarterly Interval Plan III - Retail Growth</t>
        </is>
      </c>
      <c r="C5802" t="inlineStr">
        <is>
          <t xml:space="preserve">INF109K01MJ5</t>
        </is>
      </c>
    </row>
    <row r="5803">
      <c r="A5803" t="inlineStr">
        <is>
          <t xml:space="preserve">ICICI Prudential Mutual Fund</t>
        </is>
      </c>
      <c r="B5803" t="inlineStr">
        <is>
          <t xml:space="preserve">ICICI Prudential Interval Fund - Series VI - Annual Interval Plan - A - Cumulative</t>
        </is>
      </c>
      <c r="C5803" t="inlineStr">
        <is>
          <t xml:space="preserve">INF109K015G2</t>
        </is>
      </c>
    </row>
    <row r="5804">
      <c r="A5804" t="inlineStr">
        <is>
          <t xml:space="preserve">ICICI Prudential Mutual Fund</t>
        </is>
      </c>
      <c r="B5804" t="inlineStr">
        <is>
          <t xml:space="preserve">ICICI Prudential Interval Fund - Series VI - Annual Interval Plan - A - Direct Plan - Cumulative</t>
        </is>
      </c>
      <c r="C5804" t="inlineStr">
        <is>
          <t xml:space="preserve">INF109K013G7</t>
        </is>
      </c>
    </row>
    <row r="5805">
      <c r="A5805" t="inlineStr">
        <is>
          <t xml:space="preserve">ICICI Prudential Mutual Fund</t>
        </is>
      </c>
      <c r="B5805" t="inlineStr">
        <is>
          <t xml:space="preserve">ICICI Prudential Interval Fund - Series VI - Annual Interval Plan - A - Direct Plan - Dividend</t>
        </is>
      </c>
      <c r="C5805" t="inlineStr">
        <is>
          <t xml:space="preserve">INF109K014G5</t>
        </is>
      </c>
    </row>
    <row r="5806">
      <c r="A5806" t="inlineStr">
        <is>
          <t xml:space="preserve">ICICI Prudential Mutual Fund</t>
        </is>
      </c>
      <c r="B5806" t="inlineStr">
        <is>
          <t xml:space="preserve">ICICI Prudential Interval Fund - Series VI - Annual Interval Plan - C - Cumulative</t>
        </is>
      </c>
      <c r="C5806" t="inlineStr">
        <is>
          <t xml:space="preserve">INF109K014Q4</t>
        </is>
      </c>
    </row>
    <row r="5807">
      <c r="A5807" t="inlineStr">
        <is>
          <t xml:space="preserve">ICICI Prudential Mutual Fund</t>
        </is>
      </c>
      <c r="B5807" t="inlineStr">
        <is>
          <t xml:space="preserve">ICICI Prudential Interval Fund - Series VI - Annual Interval Plan - C - Direct Plan - Cumulative</t>
        </is>
      </c>
      <c r="C5807" t="inlineStr">
        <is>
          <t xml:space="preserve">INF109K016Q9</t>
        </is>
      </c>
    </row>
    <row r="5808">
      <c r="A5808" t="inlineStr">
        <is>
          <t xml:space="preserve">ICICI Prudential Mutual Fund</t>
        </is>
      </c>
      <c r="B5808" t="inlineStr">
        <is>
          <t xml:space="preserve">ICICI Prudential Interval Fund - Series VI - Annual Interval Plan - D - Cumulative</t>
        </is>
      </c>
      <c r="C5808" t="inlineStr">
        <is>
          <t xml:space="preserve">INF109K018Q5</t>
        </is>
      </c>
    </row>
    <row r="5809">
      <c r="A5809" t="inlineStr">
        <is>
          <t xml:space="preserve">ICICI Prudential Mutual Fund</t>
        </is>
      </c>
      <c r="B5809" t="inlineStr">
        <is>
          <t xml:space="preserve">ICICI Prudential Interval Fund - Series VI - Annual Interval Plan - D - Direct Plan - Cumulative</t>
        </is>
      </c>
      <c r="C5809" t="inlineStr">
        <is>
          <t xml:space="preserve">INF109K010R0</t>
        </is>
      </c>
    </row>
    <row r="5810">
      <c r="A5810" t="inlineStr">
        <is>
          <t xml:space="preserve">ICICI Prudential Mutual Fund</t>
        </is>
      </c>
      <c r="B5810" t="inlineStr">
        <is>
          <t xml:space="preserve">ICICI Prudential Interval Fund - Series VI - Annual Interval Plan - D - Direct Plan - Dividend</t>
        </is>
      </c>
      <c r="C5810" t="inlineStr">
        <is>
          <t xml:space="preserve">INF109K011R8</t>
        </is>
      </c>
    </row>
    <row r="5811">
      <c r="A5811" t="inlineStr">
        <is>
          <t xml:space="preserve">ICICI Prudential Mutual Fund</t>
        </is>
      </c>
      <c r="B5811" t="inlineStr">
        <is>
          <t xml:space="preserve">ICICI Prudential Interval Fund - Series VII - Annual Interval Plan - C - Cumulative</t>
        </is>
      </c>
      <c r="C5811" t="inlineStr">
        <is>
          <t xml:space="preserve">INF109KA1NV1</t>
        </is>
      </c>
    </row>
    <row r="5812">
      <c r="A5812" t="inlineStr">
        <is>
          <t xml:space="preserve">ICICI Prudential Mutual Fund</t>
        </is>
      </c>
      <c r="B5812" t="inlineStr">
        <is>
          <t xml:space="preserve">ICICI Prudential Interval Fund - Series VII - Annual Interval Plan - C - Direct Plan - Cumulative</t>
        </is>
      </c>
      <c r="C5812" t="inlineStr">
        <is>
          <t xml:space="preserve">INF109KA1NX7</t>
        </is>
      </c>
    </row>
    <row r="5813">
      <c r="A5813" t="inlineStr">
        <is>
          <t xml:space="preserve">ICICI Prudential Mutual Fund</t>
        </is>
      </c>
      <c r="B5813" t="inlineStr">
        <is>
          <t xml:space="preserve">ICICI Prudential Interval Fund - Series VII - Annual Interval Plan - C - Dividend</t>
        </is>
      </c>
      <c r="C5813" t="inlineStr">
        <is>
          <t xml:space="preserve">INF109KA1NW9</t>
        </is>
      </c>
    </row>
    <row r="5814">
      <c r="A5814" t="inlineStr">
        <is>
          <t xml:space="preserve">ICICI Prudential Mutual Fund</t>
        </is>
      </c>
      <c r="B5814" t="inlineStr">
        <is>
          <t xml:space="preserve">ICICI Prudential Interval Fund Annual Interval Plan - I - Direct Plan Bonus</t>
        </is>
      </c>
      <c r="C5814" t="inlineStr">
        <is>
          <t xml:space="preserve">INF109KA1C80</t>
        </is>
      </c>
    </row>
    <row r="5815">
      <c r="A5815" t="inlineStr">
        <is>
          <t xml:space="preserve">ICICI Prudential Mutual Fund</t>
        </is>
      </c>
      <c r="B5815" t="inlineStr">
        <is>
          <t xml:space="preserve">ICICI Prudential Interval Fund Annual Interval Plan I -  Growth</t>
        </is>
      </c>
      <c r="C5815" t="inlineStr">
        <is>
          <t xml:space="preserve">INF109K01KN1</t>
        </is>
      </c>
    </row>
    <row r="5816">
      <c r="A5816" t="inlineStr">
        <is>
          <t xml:space="preserve">ICICI Prudential Mutual Fund</t>
        </is>
      </c>
      <c r="B5816" t="inlineStr">
        <is>
          <t xml:space="preserve">ICICI Prudential Interval Fund Annual Interval Plan I - Direct Plan -  Growth</t>
        </is>
      </c>
      <c r="C5816" t="inlineStr">
        <is>
          <t xml:space="preserve">INF109K01K45</t>
        </is>
      </c>
    </row>
    <row r="5817">
      <c r="A5817" t="inlineStr">
        <is>
          <t xml:space="preserve">ICICI Prudential Mutual Fund</t>
        </is>
      </c>
      <c r="B5817" t="inlineStr">
        <is>
          <t xml:space="preserve">ICICI Prudential Interval Fund Annual Interval Plan I - Dividend</t>
        </is>
      </c>
      <c r="C5817" t="inlineStr">
        <is>
          <t xml:space="preserve">INF109K01KO9</t>
        </is>
      </c>
    </row>
    <row r="5818">
      <c r="A5818" t="inlineStr">
        <is>
          <t xml:space="preserve">ICICI Prudential Mutual Fund</t>
        </is>
      </c>
      <c r="B5818" t="inlineStr">
        <is>
          <t xml:space="preserve">ICICI Prudential Interval Fund Annual Interval Plan II - Direct Plan -  Growth</t>
        </is>
      </c>
      <c r="C5818" t="inlineStr">
        <is>
          <t xml:space="preserve">INF109K01K60</t>
        </is>
      </c>
    </row>
    <row r="5819">
      <c r="A5819" t="inlineStr">
        <is>
          <t xml:space="preserve">ICICI Prudential Mutual Fund</t>
        </is>
      </c>
      <c r="B5819" t="inlineStr">
        <is>
          <t xml:space="preserve">ICICI Prudential Interval Fund Annual Interval Plan II - Dividend</t>
        </is>
      </c>
      <c r="C5819" t="inlineStr">
        <is>
          <t xml:space="preserve">INF109K01KS0</t>
        </is>
      </c>
    </row>
    <row r="5820">
      <c r="A5820" t="inlineStr">
        <is>
          <t xml:space="preserve">ICICI Prudential Mutual Fund</t>
        </is>
      </c>
      <c r="B5820" t="inlineStr">
        <is>
          <t xml:space="preserve">ICICI Prudential Interval Fund Annual Interval Plan II - Growth</t>
        </is>
      </c>
      <c r="C5820" t="inlineStr">
        <is>
          <t xml:space="preserve">INF109K01KR2</t>
        </is>
      </c>
    </row>
    <row r="5821">
      <c r="A5821" t="inlineStr">
        <is>
          <t xml:space="preserve">ICICI Prudential Mutual Fund</t>
        </is>
      </c>
      <c r="B5821" t="inlineStr">
        <is>
          <t xml:space="preserve">ICICI Prudential Interval Fund Annual Interval Plan III - Direct Plan -  Growth</t>
        </is>
      </c>
      <c r="C5821" t="inlineStr">
        <is>
          <t xml:space="preserve">INF109K01K86</t>
        </is>
      </c>
    </row>
    <row r="5822">
      <c r="A5822" t="inlineStr">
        <is>
          <t xml:space="preserve">ICICI Prudential Mutual Fund</t>
        </is>
      </c>
      <c r="B5822" t="inlineStr">
        <is>
          <t xml:space="preserve">ICICI Prudential Interval Fund Annual Interval Plan III - Dividend</t>
        </is>
      </c>
      <c r="C5822" t="inlineStr">
        <is>
          <t xml:space="preserve">INF109K01KW2</t>
        </is>
      </c>
    </row>
    <row r="5823">
      <c r="A5823" t="inlineStr">
        <is>
          <t xml:space="preserve">ICICI Prudential Mutual Fund</t>
        </is>
      </c>
      <c r="B5823" t="inlineStr">
        <is>
          <t xml:space="preserve">ICICI Prudential Interval Fund Annual Interval Plan III - Growth</t>
        </is>
      </c>
      <c r="C5823" t="inlineStr">
        <is>
          <t xml:space="preserve">INF109K01KV4</t>
        </is>
      </c>
    </row>
    <row r="5824">
      <c r="A5824" t="inlineStr">
        <is>
          <t xml:space="preserve">ICICI Prudential Mutual Fund</t>
        </is>
      </c>
      <c r="B5824" t="inlineStr">
        <is>
          <t xml:space="preserve">ICICI Prudential Interval Fund Annual Interval Plan IV -  Dividend</t>
        </is>
      </c>
      <c r="C5824" t="inlineStr">
        <is>
          <t xml:space="preserve">INF109K01KK7</t>
        </is>
      </c>
    </row>
    <row r="5825">
      <c r="A5825" t="inlineStr">
        <is>
          <t xml:space="preserve">ICICI Prudential Mutual Fund</t>
        </is>
      </c>
      <c r="B5825" t="inlineStr">
        <is>
          <t xml:space="preserve">ICICI Prudential Interval Fund Annual Interval Plan IV - Direct Plan -  Growth</t>
        </is>
      </c>
      <c r="C5825" t="inlineStr">
        <is>
          <t xml:space="preserve">INF109K01L02</t>
        </is>
      </c>
    </row>
    <row r="5826">
      <c r="A5826" t="inlineStr">
        <is>
          <t xml:space="preserve">ICICI Prudential Mutual Fund</t>
        </is>
      </c>
      <c r="B5826" t="inlineStr">
        <is>
          <t xml:space="preserve">ICICI Prudential Interval Fund Annual Interval Plan IV - Growth</t>
        </is>
      </c>
      <c r="C5826" t="inlineStr">
        <is>
          <t xml:space="preserve">INF109K01KJ9</t>
        </is>
      </c>
    </row>
    <row r="5827">
      <c r="A5827" t="inlineStr">
        <is>
          <t xml:space="preserve">ICICI Prudential Mutual Fund</t>
        </is>
      </c>
      <c r="B5827" t="inlineStr">
        <is>
          <t xml:space="preserve">ICICI Prudential Interval Fund II - Quarterly Interval Plan A - Direct Plan - Quarterly Dividend Payout</t>
        </is>
      </c>
      <c r="C5827" t="inlineStr">
        <is>
          <t xml:space="preserve">INF109K01O17</t>
        </is>
      </c>
    </row>
    <row r="5828">
      <c r="A5828" t="inlineStr">
        <is>
          <t xml:space="preserve">ICICI Prudential Mutual Fund</t>
        </is>
      </c>
      <c r="B5828" t="inlineStr">
        <is>
          <t xml:space="preserve">ICICI Prudential Interval Fund II - Quarterly Interval Plan A - Retail Dividend</t>
        </is>
      </c>
      <c r="C5828" t="inlineStr">
        <is>
          <t xml:space="preserve">INF109K01MO5</t>
        </is>
      </c>
    </row>
    <row r="5829">
      <c r="A5829" t="inlineStr">
        <is>
          <t xml:space="preserve">ICICI Prudential Mutual Fund</t>
        </is>
      </c>
      <c r="B5829" t="inlineStr">
        <is>
          <t xml:space="preserve">ICICI Prudential Interval Fund II - Quarterly Interval Plan A - Retail Growth</t>
        </is>
      </c>
      <c r="C5829" t="inlineStr">
        <is>
          <t xml:space="preserve">INF109K01MN7</t>
        </is>
      </c>
    </row>
    <row r="5830">
      <c r="A5830" t="inlineStr">
        <is>
          <t xml:space="preserve">ICICI Prudential Mutual Fund</t>
        </is>
      </c>
      <c r="B5830" t="inlineStr">
        <is>
          <t xml:space="preserve">ICICI Prudential Interval Fund II - Quarterly Interval Plan B - Retail Dividend</t>
        </is>
      </c>
      <c r="C5830" t="inlineStr">
        <is>
          <t xml:space="preserve">INF109K01MW8</t>
        </is>
      </c>
    </row>
    <row r="5831">
      <c r="A5831" t="inlineStr">
        <is>
          <t xml:space="preserve">ICICI Prudential Mutual Fund</t>
        </is>
      </c>
      <c r="B5831" t="inlineStr">
        <is>
          <t xml:space="preserve">ICICI Prudential Interval Fund II - Quarterly Interval Plan B - Retail Growth</t>
        </is>
      </c>
      <c r="C5831" t="inlineStr">
        <is>
          <t xml:space="preserve">INF109K01MV0</t>
        </is>
      </c>
    </row>
    <row r="5832">
      <c r="A5832" t="inlineStr">
        <is>
          <t xml:space="preserve">ICICI Prudential Mutual Fund</t>
        </is>
      </c>
      <c r="B5832" t="inlineStr">
        <is>
          <t xml:space="preserve">ICICI Prudential Interval Fund II - Quarterly Interval Plan C - Retail Dividend</t>
        </is>
      </c>
      <c r="C5832" t="inlineStr">
        <is>
          <t xml:space="preserve">INF109K01NI5</t>
        </is>
      </c>
    </row>
    <row r="5833">
      <c r="A5833" t="inlineStr">
        <is>
          <t xml:space="preserve">ICICI Prudential Mutual Fund</t>
        </is>
      </c>
      <c r="B5833" t="inlineStr">
        <is>
          <t xml:space="preserve">ICICI Prudential Interval Fund II - Quarterly Interval Plan C - Retail Growth</t>
        </is>
      </c>
      <c r="C5833" t="inlineStr">
        <is>
          <t xml:space="preserve">INF109K01NH7</t>
        </is>
      </c>
    </row>
    <row r="5834">
      <c r="A5834" t="inlineStr">
        <is>
          <t xml:space="preserve">ICICI Prudential Mutual Fund</t>
        </is>
      </c>
      <c r="B5834" t="inlineStr">
        <is>
          <t xml:space="preserve">ICICI Prudential Interval Fund II - Quarterly Interval Plan D - Retail Dividend</t>
        </is>
      </c>
      <c r="C5834" t="inlineStr">
        <is>
          <t xml:space="preserve">INF109K01NQ8</t>
        </is>
      </c>
    </row>
    <row r="5835">
      <c r="A5835" t="inlineStr">
        <is>
          <t xml:space="preserve">ICICI Prudential Mutual Fund</t>
        </is>
      </c>
      <c r="B5835" t="inlineStr">
        <is>
          <t xml:space="preserve">ICICI Prudential Interval Fund II - Quarterly Interval Plan D - Retail Growth</t>
        </is>
      </c>
      <c r="C5835" t="inlineStr">
        <is>
          <t xml:space="preserve">INF109K01NP0</t>
        </is>
      </c>
    </row>
    <row r="5836">
      <c r="A5836" t="inlineStr">
        <is>
          <t xml:space="preserve">ICICI Prudential Mutual Fund</t>
        </is>
      </c>
      <c r="B5836" t="inlineStr">
        <is>
          <t xml:space="preserve">ICICI Prudential Interval Fund II - Quarterly Interval Plan F - Retail Dividend</t>
        </is>
      </c>
      <c r="C5836" t="inlineStr">
        <is>
          <t xml:space="preserve">INF109K01NU0</t>
        </is>
      </c>
    </row>
    <row r="5837">
      <c r="A5837" t="inlineStr">
        <is>
          <t xml:space="preserve">ICICI Prudential Mutual Fund</t>
        </is>
      </c>
      <c r="B5837" t="inlineStr">
        <is>
          <t xml:space="preserve">ICICI Prudential Interval Fund II - Quarterly Interval Plan F - Retail Growth</t>
        </is>
      </c>
      <c r="C5837" t="inlineStr">
        <is>
          <t xml:space="preserve">INF109K01NT2</t>
        </is>
      </c>
    </row>
    <row r="5838">
      <c r="A5838" t="inlineStr">
        <is>
          <t xml:space="preserve">ICICI Prudential Mutual Fund</t>
        </is>
      </c>
      <c r="B5838" t="inlineStr">
        <is>
          <t xml:space="preserve">ICICI Prudential Interval Fund II Quarterly Interval - Direct Plan -  Growth</t>
        </is>
      </c>
      <c r="C5838" t="inlineStr">
        <is>
          <t xml:space="preserve">INF109K01L85</t>
        </is>
      </c>
    </row>
    <row r="5839">
      <c r="A5839" t="inlineStr">
        <is>
          <t xml:space="preserve">ICICI Prudential Mutual Fund</t>
        </is>
      </c>
      <c r="B5839" t="inlineStr">
        <is>
          <t xml:space="preserve">ICICI Prudential Interval Fund II Quarterly Interval - Dividend</t>
        </is>
      </c>
      <c r="C5839" t="inlineStr">
        <is>
          <t xml:space="preserve">INF109K01LZ3</t>
        </is>
      </c>
    </row>
    <row r="5840">
      <c r="A5840" t="inlineStr">
        <is>
          <t xml:space="preserve">ICICI Prudential Mutual Fund</t>
        </is>
      </c>
      <c r="B5840" t="inlineStr">
        <is>
          <t xml:space="preserve">ICICI Prudential Interval Fund II Quarterly Interval - Growth</t>
        </is>
      </c>
      <c r="C5840" t="inlineStr">
        <is>
          <t xml:space="preserve">INF109K01LX8</t>
        </is>
      </c>
    </row>
    <row r="5841">
      <c r="A5841" t="inlineStr">
        <is>
          <t xml:space="preserve">ICICI Prudential Mutual Fund</t>
        </is>
      </c>
      <c r="B5841" t="inlineStr">
        <is>
          <t xml:space="preserve">ICICI Prudential Interval Fund II Quarterly Interval Plan A -  Quarterly Dividend Payout</t>
        </is>
      </c>
      <c r="C5841" t="inlineStr">
        <is>
          <t xml:space="preserve">INF109K01MU2</t>
        </is>
      </c>
    </row>
    <row r="5842">
      <c r="A5842" t="inlineStr">
        <is>
          <t xml:space="preserve">ICICI Prudential Mutual Fund</t>
        </is>
      </c>
      <c r="B5842" t="inlineStr">
        <is>
          <t xml:space="preserve">ICICI Prudential Interval Fund II Quarterly Interval Plan A - Direct Plan -  Dividend</t>
        </is>
      </c>
      <c r="C5842" t="inlineStr">
        <is>
          <t xml:space="preserve">INF109K01M50</t>
        </is>
      </c>
    </row>
    <row r="5843">
      <c r="A5843" t="inlineStr">
        <is>
          <t xml:space="preserve">ICICI Prudential Mutual Fund</t>
        </is>
      </c>
      <c r="B5843" t="inlineStr">
        <is>
          <t xml:space="preserve">ICICI Prudential Interval Fund II Quarterly Interval Plan A - Direct Plan -  Growth</t>
        </is>
      </c>
      <c r="C5843" t="inlineStr">
        <is>
          <t xml:space="preserve">INF109K01M43</t>
        </is>
      </c>
    </row>
    <row r="5844">
      <c r="A5844" t="inlineStr">
        <is>
          <t xml:space="preserve">ICICI Prudential Mutual Fund</t>
        </is>
      </c>
      <c r="B5844" t="inlineStr">
        <is>
          <t xml:space="preserve">ICICI Prudential Interval Fund II Quarterly Interval Plan A - Dividend</t>
        </is>
      </c>
      <c r="C5844" t="inlineStr">
        <is>
          <t xml:space="preserve">INF109K01MT4</t>
        </is>
      </c>
    </row>
    <row r="5845">
      <c r="A5845" t="inlineStr">
        <is>
          <t xml:space="preserve">ICICI Prudential Mutual Fund</t>
        </is>
      </c>
      <c r="B5845" t="inlineStr">
        <is>
          <t xml:space="preserve">ICICI Prudential Interval Fund II Quarterly Interval Plan A - Growth</t>
        </is>
      </c>
      <c r="C5845" t="inlineStr">
        <is>
          <t xml:space="preserve">INF109K01MR8</t>
        </is>
      </c>
    </row>
    <row r="5846">
      <c r="A5846" t="inlineStr">
        <is>
          <t xml:space="preserve">ICICI Prudential Mutual Fund</t>
        </is>
      </c>
      <c r="B5846" t="inlineStr">
        <is>
          <t xml:space="preserve">ICICI Prudential Interval Fund II Quarterly Interval Plan A - Retail Quarterly Dividend Payout</t>
        </is>
      </c>
      <c r="C5846" t="inlineStr">
        <is>
          <t xml:space="preserve">INF109K01MQ0</t>
        </is>
      </c>
    </row>
    <row r="5847">
      <c r="A5847" t="inlineStr">
        <is>
          <t xml:space="preserve">ICICI Prudential Mutual Fund</t>
        </is>
      </c>
      <c r="B5847" t="inlineStr">
        <is>
          <t xml:space="preserve">ICICI Prudential Interval Fund II Quarterly Interval Plan B - Direct Plan -  Dividend</t>
        </is>
      </c>
      <c r="C5847" t="inlineStr">
        <is>
          <t xml:space="preserve">INF109K01M76</t>
        </is>
      </c>
    </row>
    <row r="5848">
      <c r="A5848" t="inlineStr">
        <is>
          <t xml:space="preserve">ICICI Prudential Mutual Fund</t>
        </is>
      </c>
      <c r="B5848" t="inlineStr">
        <is>
          <t xml:space="preserve">ICICI Prudential Interval Fund II Quarterly Interval Plan B - Direct Plan -  Growth</t>
        </is>
      </c>
      <c r="C5848" t="inlineStr">
        <is>
          <t xml:space="preserve">INF109K01M68</t>
        </is>
      </c>
    </row>
    <row r="5849">
      <c r="A5849" t="inlineStr">
        <is>
          <t xml:space="preserve">ICICI Prudential Mutual Fund</t>
        </is>
      </c>
      <c r="B5849" t="inlineStr">
        <is>
          <t xml:space="preserve">ICICI Prudential Interval Fund II Quarterly Interval Plan B - Dividend</t>
        </is>
      </c>
      <c r="C5849" t="inlineStr">
        <is>
          <t xml:space="preserve">INF109K01NB0</t>
        </is>
      </c>
    </row>
    <row r="5850">
      <c r="A5850" t="inlineStr">
        <is>
          <t xml:space="preserve">ICICI Prudential Mutual Fund</t>
        </is>
      </c>
      <c r="B5850" t="inlineStr">
        <is>
          <t xml:space="preserve">ICICI Prudential Interval Fund II Quarterly Interval Plan B - Growth</t>
        </is>
      </c>
      <c r="C5850" t="inlineStr">
        <is>
          <t xml:space="preserve">INF109K01MZ1</t>
        </is>
      </c>
    </row>
    <row r="5851">
      <c r="A5851" t="inlineStr">
        <is>
          <t xml:space="preserve">ICICI Prudential Mutual Fund</t>
        </is>
      </c>
      <c r="B5851" t="inlineStr">
        <is>
          <t xml:space="preserve">ICICI Prudential Interval Fund II Quarterly Interval Plan B - Quarterly Dividend Payout</t>
        </is>
      </c>
      <c r="C5851" t="inlineStr">
        <is>
          <t xml:space="preserve">INF109K01NC8</t>
        </is>
      </c>
    </row>
    <row r="5852">
      <c r="A5852" t="inlineStr">
        <is>
          <t xml:space="preserve">ICICI Prudential Mutual Fund</t>
        </is>
      </c>
      <c r="B5852" t="inlineStr">
        <is>
          <t xml:space="preserve">ICICI Prudential Interval Fund II Quarterly Interval Plan C - Direct Plan -  Dividend</t>
        </is>
      </c>
      <c r="C5852" t="inlineStr">
        <is>
          <t xml:space="preserve">INF109K01L51</t>
        </is>
      </c>
    </row>
    <row r="5853">
      <c r="A5853" t="inlineStr">
        <is>
          <t xml:space="preserve">ICICI Prudential Mutual Fund</t>
        </is>
      </c>
      <c r="B5853" t="inlineStr">
        <is>
          <t xml:space="preserve">ICICI Prudential Interval Fund II Quarterly Interval Plan C - Direct Plan -  Growth</t>
        </is>
      </c>
      <c r="C5853" t="inlineStr">
        <is>
          <t xml:space="preserve">INF109K01L44</t>
        </is>
      </c>
    </row>
    <row r="5854">
      <c r="A5854" t="inlineStr">
        <is>
          <t xml:space="preserve">ICICI Prudential Mutual Fund</t>
        </is>
      </c>
      <c r="B5854" t="inlineStr">
        <is>
          <t xml:space="preserve">ICICI Prudential Interval Fund II Quarterly Interval Plan C - Direct Plan -  Quarterly Dividend Payout</t>
        </is>
      </c>
      <c r="C5854" t="inlineStr">
        <is>
          <t xml:space="preserve">INF109K01N67</t>
        </is>
      </c>
    </row>
    <row r="5855">
      <c r="A5855" t="inlineStr">
        <is>
          <t xml:space="preserve">ICICI Prudential Mutual Fund</t>
        </is>
      </c>
      <c r="B5855" t="inlineStr">
        <is>
          <t xml:space="preserve">ICICI Prudential Interval Fund II Quarterly Interval Plan C - Dividend</t>
        </is>
      </c>
      <c r="C5855" t="inlineStr">
        <is>
          <t xml:space="preserve">INF109K01NF1</t>
        </is>
      </c>
    </row>
    <row r="5856">
      <c r="A5856" t="inlineStr">
        <is>
          <t xml:space="preserve">ICICI Prudential Mutual Fund</t>
        </is>
      </c>
      <c r="B5856" t="inlineStr">
        <is>
          <t xml:space="preserve">ICICI Prudential Interval Fund II Quarterly Interval Plan C - Growth</t>
        </is>
      </c>
      <c r="C5856" t="inlineStr">
        <is>
          <t xml:space="preserve">INF109K01ND6</t>
        </is>
      </c>
    </row>
    <row r="5857">
      <c r="A5857" t="inlineStr">
        <is>
          <t xml:space="preserve">ICICI Prudential Mutual Fund</t>
        </is>
      </c>
      <c r="B5857" t="inlineStr">
        <is>
          <t xml:space="preserve">ICICI Prudential Interval Fund II Quarterly Interval Plan C- Institutional Quarterly Dividend Payout</t>
        </is>
      </c>
      <c r="C5857" t="inlineStr">
        <is>
          <t xml:space="preserve">INF109K01NG9</t>
        </is>
      </c>
    </row>
    <row r="5858">
      <c r="A5858" t="inlineStr">
        <is>
          <t xml:space="preserve">ICICI Prudential Mutual Fund</t>
        </is>
      </c>
      <c r="B5858" t="inlineStr">
        <is>
          <t xml:space="preserve">ICICI Prudential Interval Fund II Quarterly Interval Plan D - Direct Plan -  Dividend</t>
        </is>
      </c>
      <c r="C5858" t="inlineStr">
        <is>
          <t xml:space="preserve">INF109K01M92</t>
        </is>
      </c>
    </row>
    <row r="5859">
      <c r="A5859" t="inlineStr">
        <is>
          <t xml:space="preserve">ICICI Prudential Mutual Fund</t>
        </is>
      </c>
      <c r="B5859" t="inlineStr">
        <is>
          <t xml:space="preserve">ICICI Prudential Interval Fund II Quarterly Interval Plan D - Direct Plan -  Quarterly Dividend Payout</t>
        </is>
      </c>
      <c r="C5859" t="inlineStr">
        <is>
          <t xml:space="preserve">INF109K01O33</t>
        </is>
      </c>
    </row>
    <row r="5860">
      <c r="A5860" t="inlineStr">
        <is>
          <t xml:space="preserve">ICICI Prudential Mutual Fund</t>
        </is>
      </c>
      <c r="B5860" t="inlineStr">
        <is>
          <t xml:space="preserve">ICICI Prudential Interval Fund II Quarterly Interval Plan D - Direct Plan - Growth</t>
        </is>
      </c>
      <c r="C5860" t="inlineStr">
        <is>
          <t xml:space="preserve">INF109K01M84</t>
        </is>
      </c>
    </row>
    <row r="5861">
      <c r="A5861" t="inlineStr">
        <is>
          <t xml:space="preserve">ICICI Prudential Mutual Fund</t>
        </is>
      </c>
      <c r="B5861" t="inlineStr">
        <is>
          <t xml:space="preserve">ICICI Prudential Interval Fund II Quarterly Interval Plan D - Dividend</t>
        </is>
      </c>
      <c r="C5861" t="inlineStr">
        <is>
          <t xml:space="preserve">INF109K01NN5</t>
        </is>
      </c>
    </row>
    <row r="5862">
      <c r="A5862" t="inlineStr">
        <is>
          <t xml:space="preserve">ICICI Prudential Mutual Fund</t>
        </is>
      </c>
      <c r="B5862" t="inlineStr">
        <is>
          <t xml:space="preserve">ICICI Prudential Interval Fund II Quarterly Interval Plan D - Growth</t>
        </is>
      </c>
      <c r="C5862" t="inlineStr">
        <is>
          <t xml:space="preserve">INF109K01NL9</t>
        </is>
      </c>
    </row>
    <row r="5863">
      <c r="A5863" t="inlineStr">
        <is>
          <t xml:space="preserve">ICICI Prudential Mutual Fund</t>
        </is>
      </c>
      <c r="B5863" t="inlineStr">
        <is>
          <t xml:space="preserve">ICICI Prudential Interval Fund II Quarterly Interval Plan D - Quarterly Dividend Payout</t>
        </is>
      </c>
      <c r="C5863" t="inlineStr">
        <is>
          <t xml:space="preserve">INF109K01NO3</t>
        </is>
      </c>
    </row>
    <row r="5864">
      <c r="A5864" t="inlineStr">
        <is>
          <t xml:space="preserve">ICICI Prudential Mutual Fund</t>
        </is>
      </c>
      <c r="B5864" t="inlineStr">
        <is>
          <t xml:space="preserve">ICICI Prudential Interval Fund II Quarterly Interval Plan F - Direct Plan -  Dividend</t>
        </is>
      </c>
      <c r="C5864" t="inlineStr">
        <is>
          <t xml:space="preserve">INF109K01N18</t>
        </is>
      </c>
    </row>
    <row r="5865">
      <c r="A5865" t="inlineStr">
        <is>
          <t xml:space="preserve">ICICI Prudential Mutual Fund</t>
        </is>
      </c>
      <c r="B5865" t="inlineStr">
        <is>
          <t xml:space="preserve">ICICI Prudential Interval Fund II Quarterly Interval Plan F - Direct Plan -  Growth</t>
        </is>
      </c>
      <c r="C5865" t="inlineStr">
        <is>
          <t xml:space="preserve">INF109K01N00</t>
        </is>
      </c>
    </row>
    <row r="5866">
      <c r="A5866" t="inlineStr">
        <is>
          <t xml:space="preserve">ICICI Prudential Mutual Fund</t>
        </is>
      </c>
      <c r="B5866" t="inlineStr">
        <is>
          <t xml:space="preserve">ICICI Prudential Interval Fund II Quarterly Interval Plan F - Direct Plan -  Quarterly Dividend Payout</t>
        </is>
      </c>
      <c r="C5866" t="inlineStr">
        <is>
          <t xml:space="preserve">INF109K01O41</t>
        </is>
      </c>
    </row>
    <row r="5867">
      <c r="A5867" t="inlineStr">
        <is>
          <t xml:space="preserve">ICICI Prudential Mutual Fund</t>
        </is>
      </c>
      <c r="B5867" t="inlineStr">
        <is>
          <t xml:space="preserve">ICICI Prudential Interval Fund II Quarterly Interval Plan F - Dividend</t>
        </is>
      </c>
      <c r="C5867" t="inlineStr">
        <is>
          <t xml:space="preserve">INF109K01NZ9</t>
        </is>
      </c>
    </row>
    <row r="5868">
      <c r="A5868" t="inlineStr">
        <is>
          <t xml:space="preserve">ICICI Prudential Mutual Fund</t>
        </is>
      </c>
      <c r="B5868" t="inlineStr">
        <is>
          <t xml:space="preserve">ICICI Prudential Interval Fund II Quarterly Interval Plan F - Growth</t>
        </is>
      </c>
      <c r="C5868" t="inlineStr">
        <is>
          <t xml:space="preserve">INF109K01NX4</t>
        </is>
      </c>
    </row>
    <row r="5869">
      <c r="A5869" t="inlineStr">
        <is>
          <t xml:space="preserve">ICICI Prudential Mutual Fund</t>
        </is>
      </c>
      <c r="B5869" t="inlineStr">
        <is>
          <t xml:space="preserve">ICICI Prudential Interval Fund II Quarterly Interval Plan F Retail Quarterly Dividend Payout</t>
        </is>
      </c>
      <c r="C5869" t="inlineStr">
        <is>
          <t xml:space="preserve">INF109K01NW6</t>
        </is>
      </c>
    </row>
    <row r="5870">
      <c r="A5870" t="inlineStr">
        <is>
          <t xml:space="preserve">ICICI Prudential Mutual Fund</t>
        </is>
      </c>
      <c r="B5870" t="inlineStr">
        <is>
          <t xml:space="preserve">ICICI Prudential Interval Fund III Quarterly Interval - Direct Plan -  Dividend</t>
        </is>
      </c>
      <c r="C5870" t="inlineStr">
        <is>
          <t xml:space="preserve">INF109K01M19</t>
        </is>
      </c>
    </row>
    <row r="5871">
      <c r="A5871" t="inlineStr">
        <is>
          <t xml:space="preserve">ICICI Prudential Mutual Fund</t>
        </is>
      </c>
      <c r="B5871" t="inlineStr">
        <is>
          <t xml:space="preserve">ICICI Prudential Interval Fund III Quarterly Interval - Direct Plan -  Growth</t>
        </is>
      </c>
      <c r="C5871" t="inlineStr">
        <is>
          <t xml:space="preserve">INF109K01M01</t>
        </is>
      </c>
    </row>
    <row r="5872">
      <c r="A5872" t="inlineStr">
        <is>
          <t xml:space="preserve">ICICI Prudential Mutual Fund</t>
        </is>
      </c>
      <c r="B5872" t="inlineStr">
        <is>
          <t xml:space="preserve">ICICI Prudential Interval Fund III Quarterly Interval - Dividend</t>
        </is>
      </c>
      <c r="C5872" t="inlineStr">
        <is>
          <t xml:space="preserve">INF109K01MH9</t>
        </is>
      </c>
    </row>
    <row r="5873">
      <c r="A5873" t="inlineStr">
        <is>
          <t xml:space="preserve">ICICI Prudential Mutual Fund</t>
        </is>
      </c>
      <c r="B5873" t="inlineStr">
        <is>
          <t xml:space="preserve">ICICI Prudential Interval Fund III Quarterly Interval - Growth</t>
        </is>
      </c>
      <c r="C5873" t="inlineStr">
        <is>
          <t xml:space="preserve">INF109K01MF3</t>
        </is>
      </c>
    </row>
    <row r="5874">
      <c r="A5874" t="inlineStr">
        <is>
          <t xml:space="preserve">ICICI Prudential Mutual Fund</t>
        </is>
      </c>
      <c r="B5874" t="inlineStr">
        <is>
          <t xml:space="preserve">ICICI Prudential Interval Fund IV - Quarterly Interval Plan B - Retail Dividend</t>
        </is>
      </c>
      <c r="C5874" t="inlineStr">
        <is>
          <t xml:space="preserve">INF109K01OG7</t>
        </is>
      </c>
    </row>
    <row r="5875">
      <c r="A5875" t="inlineStr">
        <is>
          <t xml:space="preserve">ICICI Prudential Mutual Fund</t>
        </is>
      </c>
      <c r="B5875" t="inlineStr">
        <is>
          <t xml:space="preserve">ICICI Prudential Interval Fund IV - Quarterly Interval Plan B - Retail Growth</t>
        </is>
      </c>
      <c r="C5875" t="inlineStr">
        <is>
          <t xml:space="preserve">INF109K01OF9</t>
        </is>
      </c>
    </row>
    <row r="5876">
      <c r="A5876" t="inlineStr">
        <is>
          <t xml:space="preserve">ICICI Prudential Mutual Fund</t>
        </is>
      </c>
      <c r="B5876" t="inlineStr">
        <is>
          <t xml:space="preserve">ICICI Prudential Interval Fund IV Quarterly Interval Plan B - Direct Plan -  Dividend</t>
        </is>
      </c>
      <c r="C5876" t="inlineStr">
        <is>
          <t xml:space="preserve">INF109K01N59</t>
        </is>
      </c>
    </row>
    <row r="5877">
      <c r="A5877" t="inlineStr">
        <is>
          <t xml:space="preserve">ICICI Prudential Mutual Fund</t>
        </is>
      </c>
      <c r="B5877" t="inlineStr">
        <is>
          <t xml:space="preserve">ICICI Prudential Interval Fund IV Quarterly Interval Plan B - Direct Plan -  Growth</t>
        </is>
      </c>
      <c r="C5877" t="inlineStr">
        <is>
          <t xml:space="preserve">INF109K01N42</t>
        </is>
      </c>
    </row>
    <row r="5878">
      <c r="A5878" t="inlineStr">
        <is>
          <t xml:space="preserve">ICICI Prudential Mutual Fund</t>
        </is>
      </c>
      <c r="B5878" t="inlineStr">
        <is>
          <t xml:space="preserve">ICICI Prudential Interval Fund IV Quarterly Interval Plan B - Direct Plan -  Quarterly Dividend Payout</t>
        </is>
      </c>
      <c r="C5878" t="inlineStr">
        <is>
          <t xml:space="preserve">INF109K01O58</t>
        </is>
      </c>
    </row>
    <row r="5879">
      <c r="A5879" t="inlineStr">
        <is>
          <t xml:space="preserve">ICICI Prudential Mutual Fund</t>
        </is>
      </c>
      <c r="B5879" t="inlineStr">
        <is>
          <t xml:space="preserve">ICICI Prudential Interval Fund IV Quarterly Interval Plan B - Growth</t>
        </is>
      </c>
      <c r="C5879" t="inlineStr">
        <is>
          <t xml:space="preserve">INF109K01OB8</t>
        </is>
      </c>
    </row>
    <row r="5880">
      <c r="A5880" t="inlineStr">
        <is>
          <t xml:space="preserve">ICICI Prudential Mutual Fund</t>
        </is>
      </c>
      <c r="B5880" t="inlineStr">
        <is>
          <t xml:space="preserve">ICICI Prudential Interval Fund IV Quarterly Interval Plan B -Dividend</t>
        </is>
      </c>
      <c r="C5880" t="inlineStr">
        <is>
          <t xml:space="preserve">INF109K01OD4</t>
        </is>
      </c>
    </row>
    <row r="5881">
      <c r="A5881" t="inlineStr">
        <is>
          <t xml:space="preserve">ICICI Prudential Mutual Fund</t>
        </is>
      </c>
      <c r="B5881" t="inlineStr">
        <is>
          <t xml:space="preserve">ICICI Prudential Interval Fund Monthly Interval Plan I - Direct Plan -  Dividend</t>
        </is>
      </c>
      <c r="C5881" t="inlineStr">
        <is>
          <t xml:space="preserve">INF109K01L36</t>
        </is>
      </c>
    </row>
    <row r="5882">
      <c r="A5882" t="inlineStr">
        <is>
          <t xml:space="preserve">ICICI Prudential Mutual Fund</t>
        </is>
      </c>
      <c r="B5882" t="inlineStr">
        <is>
          <t xml:space="preserve">ICICI Prudential Interval Fund Monthly Interval Plan I - Direct Plan -  Growth</t>
        </is>
      </c>
      <c r="C5882" t="inlineStr">
        <is>
          <t xml:space="preserve">INF109K01L28</t>
        </is>
      </c>
    </row>
    <row r="5883">
      <c r="A5883" t="inlineStr">
        <is>
          <t xml:space="preserve">ICICI Prudential Mutual Fund</t>
        </is>
      </c>
      <c r="B5883" t="inlineStr">
        <is>
          <t xml:space="preserve">ICICI Prudential Interval Fund Monthly Interval Plan I - Dividend</t>
        </is>
      </c>
      <c r="C5883" t="inlineStr">
        <is>
          <t xml:space="preserve">INF109K01OL7</t>
        </is>
      </c>
    </row>
    <row r="5884">
      <c r="A5884" t="inlineStr">
        <is>
          <t xml:space="preserve">ICICI Prudential Mutual Fund</t>
        </is>
      </c>
      <c r="B5884" t="inlineStr">
        <is>
          <t xml:space="preserve">ICICI Prudential Interval Fund Monthly Interval Plan I - Growth</t>
        </is>
      </c>
      <c r="C5884" t="inlineStr">
        <is>
          <t xml:space="preserve">INF109K01OJ1</t>
        </is>
      </c>
    </row>
    <row r="5885">
      <c r="A5885" t="inlineStr">
        <is>
          <t xml:space="preserve">ICICI Prudential Mutual Fund</t>
        </is>
      </c>
      <c r="B5885" t="inlineStr">
        <is>
          <t xml:space="preserve">ICICI Prudential Interval Fund Quarterly Interval Plan - 1 Retail Quarterly Dividend Payout</t>
        </is>
      </c>
      <c r="C5885" t="inlineStr">
        <is>
          <t xml:space="preserve">INF109K01LW0</t>
        </is>
      </c>
    </row>
    <row r="5886">
      <c r="A5886" t="inlineStr">
        <is>
          <t xml:space="preserve">ICICI Prudential Mutual Fund</t>
        </is>
      </c>
      <c r="B5886" t="inlineStr">
        <is>
          <t xml:space="preserve">ICICI Prudential Interval Fund Quarterly Interval Plan - II Retail Quarterly Dividend Payout</t>
        </is>
      </c>
      <c r="C5886" t="inlineStr">
        <is>
          <t xml:space="preserve">INF109K01ME6</t>
        </is>
      </c>
    </row>
    <row r="5887">
      <c r="A5887" t="inlineStr">
        <is>
          <t xml:space="preserve">ICICI Prudential Mutual Fund</t>
        </is>
      </c>
      <c r="B5887" t="inlineStr">
        <is>
          <t xml:space="preserve">ICICI Prudential Interval Fund Quarterly Interval Plan 1 - Direct Plan -  Growth</t>
        </is>
      </c>
      <c r="C5887" t="inlineStr">
        <is>
          <t xml:space="preserve">INF109K01L69</t>
        </is>
      </c>
    </row>
    <row r="5888">
      <c r="A5888" t="inlineStr">
        <is>
          <t xml:space="preserve">ICICI Prudential Mutual Fund</t>
        </is>
      </c>
      <c r="B5888" t="inlineStr">
        <is>
          <t xml:space="preserve">ICICI Prudential Interval Fund Quarterly Interval Plan 1 - Direct Plan - Dividend</t>
        </is>
      </c>
      <c r="C5888" t="inlineStr">
        <is>
          <t xml:space="preserve">INF109K01L77</t>
        </is>
      </c>
    </row>
    <row r="5889">
      <c r="A5889" t="inlineStr">
        <is>
          <t xml:space="preserve">ICICI Prudential Mutual Fund</t>
        </is>
      </c>
      <c r="B5889" t="inlineStr">
        <is>
          <t xml:space="preserve">ICICI Prudential Interval Fund Quarterly Interval Plan 1 - Growth</t>
        </is>
      </c>
      <c r="C5889" t="inlineStr">
        <is>
          <t xml:space="preserve">INF109K01LP4</t>
        </is>
      </c>
    </row>
    <row r="5890">
      <c r="A5890" t="inlineStr">
        <is>
          <t xml:space="preserve">ICICI Prudential Mutual Fund</t>
        </is>
      </c>
      <c r="B5890" t="inlineStr">
        <is>
          <t xml:space="preserve">ICICI Prudential Interval Fund Quarterly Interval Plan 1 -Dividend</t>
        </is>
      </c>
      <c r="C5890" t="inlineStr">
        <is>
          <t xml:space="preserve">INF109K01LR0</t>
        </is>
      </c>
    </row>
    <row r="5891">
      <c r="A5891" t="inlineStr">
        <is>
          <t xml:space="preserve">ICICI Prudential Mutual Fund</t>
        </is>
      </c>
      <c r="B5891" t="inlineStr">
        <is>
          <t xml:space="preserve">ICICI Prudential Interval Fund Quarterly Interval Plan 1 Plan - Direct Plan - Quarterly Dividend Payout</t>
        </is>
      </c>
      <c r="C5891" t="inlineStr">
        <is>
          <t xml:space="preserve">INF109K01N75</t>
        </is>
      </c>
    </row>
    <row r="5892">
      <c r="A5892" t="inlineStr">
        <is>
          <t xml:space="preserve">ICICI Prudential Mutual Fund</t>
        </is>
      </c>
      <c r="B5892" t="inlineStr">
        <is>
          <t xml:space="preserve">ICICI Prudential Interval Fund V - Monthly Interval Plan A - Retail Dividend</t>
        </is>
      </c>
      <c r="C5892" t="inlineStr">
        <is>
          <t xml:space="preserve">INF109K01OU8</t>
        </is>
      </c>
    </row>
    <row r="5893">
      <c r="A5893" t="inlineStr">
        <is>
          <t xml:space="preserve">ICICI Prudential Mutual Fund</t>
        </is>
      </c>
      <c r="B5893" t="inlineStr">
        <is>
          <t xml:space="preserve">ICICI Prudential Interval Fund V - Monthly Interval Plan A - Retail Growth</t>
        </is>
      </c>
      <c r="C5893" t="inlineStr">
        <is>
          <t xml:space="preserve">INF109K01OS2</t>
        </is>
      </c>
    </row>
    <row r="5894">
      <c r="A5894" t="inlineStr">
        <is>
          <t xml:space="preserve">ICICI Prudential Mutual Fund</t>
        </is>
      </c>
      <c r="B5894" t="inlineStr">
        <is>
          <t xml:space="preserve">ICICI Prudential Interval Fund V Monthly Interval Plan A - Direct Plan -  Dividend</t>
        </is>
      </c>
      <c r="C5894" t="inlineStr">
        <is>
          <t xml:space="preserve">INF109K01N34</t>
        </is>
      </c>
    </row>
    <row r="5895">
      <c r="A5895" t="inlineStr">
        <is>
          <t xml:space="preserve">ICICI Prudential Mutual Fund</t>
        </is>
      </c>
      <c r="B5895" t="inlineStr">
        <is>
          <t xml:space="preserve">ICICI Prudential Interval Fund V Monthly Interval Plan A - Direct Plan - Growth</t>
        </is>
      </c>
      <c r="C5895" t="inlineStr">
        <is>
          <t xml:space="preserve">INF109K01N26</t>
        </is>
      </c>
    </row>
    <row r="5896">
      <c r="A5896" t="inlineStr">
        <is>
          <t xml:space="preserve">ICICI Prudential Mutual Fund</t>
        </is>
      </c>
      <c r="B5896" t="inlineStr">
        <is>
          <t xml:space="preserve">ICICI Prudential Interval Fund V Monthly Interval Plan A - Dividend</t>
        </is>
      </c>
      <c r="C5896" t="inlineStr">
        <is>
          <t xml:space="preserve">INF109K01OR4</t>
        </is>
      </c>
    </row>
    <row r="5897">
      <c r="A5897" t="inlineStr">
        <is>
          <t xml:space="preserve">ICICI Prudential Mutual Fund</t>
        </is>
      </c>
      <c r="B5897" t="inlineStr">
        <is>
          <t xml:space="preserve">ICICI Prudential Interval Fund V Monthly Interval Plan A - Growth</t>
        </is>
      </c>
      <c r="C5897" t="inlineStr">
        <is>
          <t xml:space="preserve">INF109K01OP8</t>
        </is>
      </c>
    </row>
    <row r="5898">
      <c r="A5898" t="inlineStr">
        <is>
          <t xml:space="preserve">ICICI Prudential Mutual Fund</t>
        </is>
      </c>
      <c r="B5898" t="inlineStr">
        <is>
          <t xml:space="preserve">ICICI Prudential Large &amp; Mid Cap Fund - Direct Plan - Growth</t>
        </is>
      </c>
      <c r="C5898" t="inlineStr">
        <is>
          <t xml:space="preserve">INF109K011O5</t>
        </is>
      </c>
    </row>
    <row r="5899">
      <c r="A5899" t="inlineStr">
        <is>
          <t xml:space="preserve">ICICI Prudential Mutual Fund</t>
        </is>
      </c>
      <c r="B5899" t="inlineStr">
        <is>
          <t xml:space="preserve">ICICI Prudential Large &amp; Mid Cap Fund - Direct Plan - IDCW</t>
        </is>
      </c>
      <c r="C5899" t="inlineStr">
        <is>
          <t xml:space="preserve">INF109K019N0</t>
        </is>
      </c>
    </row>
    <row r="5900">
      <c r="A5900" t="inlineStr">
        <is>
          <t xml:space="preserve">ICICI Prudential Mutual Fund</t>
        </is>
      </c>
      <c r="B5900" t="inlineStr">
        <is>
          <t xml:space="preserve">ICICI Prudential Large &amp; Mid Cap Fund - Growth</t>
        </is>
      </c>
      <c r="C5900" t="inlineStr">
        <is>
          <t xml:space="preserve">INF109K01431</t>
        </is>
      </c>
    </row>
    <row r="5901">
      <c r="A5901" t="inlineStr">
        <is>
          <t xml:space="preserve">ICICI Prudential Mutual Fund</t>
        </is>
      </c>
      <c r="B5901" t="inlineStr">
        <is>
          <t xml:space="preserve">ICICI Prudential Large &amp; Mid Cap Fund - IDCW</t>
        </is>
      </c>
      <c r="C5901" t="inlineStr">
        <is>
          <t xml:space="preserve">INF109K01EQ7</t>
        </is>
      </c>
    </row>
    <row r="5902">
      <c r="A5902" t="inlineStr">
        <is>
          <t xml:space="preserve">ICICI Prudential Mutual Fund</t>
        </is>
      </c>
      <c r="B5902" t="inlineStr">
        <is>
          <t xml:space="preserve">ICICI Prudential Large Cap Fund (erstwhile Bluechip Fund)  - Direct Plan - IDCW</t>
        </is>
      </c>
      <c r="C5902" t="inlineStr">
        <is>
          <t xml:space="preserve">INF109K014L5</t>
        </is>
      </c>
    </row>
    <row r="5903">
      <c r="A5903" t="inlineStr">
        <is>
          <t xml:space="preserve">ICICI Prudential Mutual Fund</t>
        </is>
      </c>
      <c r="B5903" t="inlineStr">
        <is>
          <t xml:space="preserve">ICICI Prudential Large Cap Fund (erstwhile Bluechip Fund)  - Growth</t>
        </is>
      </c>
      <c r="C5903" t="inlineStr">
        <is>
          <t xml:space="preserve">INF109K01BL4</t>
        </is>
      </c>
    </row>
    <row r="5904">
      <c r="A5904" t="inlineStr">
        <is>
          <t xml:space="preserve">ICICI Prudential Mutual Fund</t>
        </is>
      </c>
      <c r="B5904" t="inlineStr">
        <is>
          <t xml:space="preserve">ICICI Prudential Large Cap Fund (erstwhile Bluechip Fund)  - IDCW</t>
        </is>
      </c>
      <c r="C5904" t="inlineStr">
        <is>
          <t xml:space="preserve">INF109K01EP9</t>
        </is>
      </c>
    </row>
    <row r="5905">
      <c r="A5905" t="inlineStr">
        <is>
          <t xml:space="preserve">ICICI Prudential Mutual Fund</t>
        </is>
      </c>
      <c r="B5905" t="inlineStr">
        <is>
          <t xml:space="preserve">ICICI Prudential Large Cap Fund (erstwhile Bluechip Fund) - Direct Plan - Growth</t>
        </is>
      </c>
      <c r="C5905" t="inlineStr">
        <is>
          <t xml:space="preserve">INF109K016L0</t>
        </is>
      </c>
    </row>
    <row r="5906">
      <c r="A5906" t="inlineStr">
        <is>
          <t xml:space="preserve">ICICI Prudential Mutual Fund</t>
        </is>
      </c>
      <c r="B5906" t="inlineStr">
        <is>
          <t xml:space="preserve">ICICI Prudential Liquid Fund - Bonus</t>
        </is>
      </c>
      <c r="C5906" t="inlineStr">
        <is>
          <t xml:space="preserve">INF109KA1G94</t>
        </is>
      </c>
    </row>
    <row r="5907">
      <c r="A5907" t="inlineStr">
        <is>
          <t xml:space="preserve">ICICI Prudential Mutual Fund</t>
        </is>
      </c>
      <c r="B5907" t="inlineStr">
        <is>
          <t xml:space="preserve">ICICI Prudential Liquid Fund - Daily IDCW</t>
        </is>
      </c>
      <c r="C5907" t="inlineStr">
        <is>
          <t xml:space="preserve">INF109K01VP3</t>
        </is>
      </c>
    </row>
    <row r="5908">
      <c r="A5908" t="inlineStr">
        <is>
          <t xml:space="preserve">ICICI Prudential Mutual Fund</t>
        </is>
      </c>
      <c r="B5908" t="inlineStr">
        <is>
          <t xml:space="preserve">ICICI Prudential Liquid Fund - Direct Plan -  Annual IDCW</t>
        </is>
      </c>
      <c r="C5908" t="inlineStr">
        <is>
          <t xml:space="preserve">INF109K01P99</t>
        </is>
      </c>
    </row>
    <row r="5909">
      <c r="A5909" t="inlineStr">
        <is>
          <t xml:space="preserve">ICICI Prudential Mutual Fund</t>
        </is>
      </c>
      <c r="B5909" t="inlineStr">
        <is>
          <t xml:space="preserve">ICICI Prudential Liquid Fund - Direct Plan -  Half Yearly IDCW</t>
        </is>
      </c>
      <c r="C5909" t="inlineStr">
        <is>
          <t xml:space="preserve">INF109K01Q56</t>
        </is>
      </c>
    </row>
    <row r="5910">
      <c r="A5910" t="inlineStr">
        <is>
          <t xml:space="preserve">ICICI Prudential Mutual Fund</t>
        </is>
      </c>
      <c r="B5910" t="inlineStr">
        <is>
          <t xml:space="preserve">ICICI Prudential Liquid Fund - Direct Plan -  IDCW Others</t>
        </is>
      </c>
      <c r="C5910" t="inlineStr">
        <is>
          <t xml:space="preserve">INF109K01Q31</t>
        </is>
      </c>
    </row>
    <row r="5911">
      <c r="A5911" t="inlineStr">
        <is>
          <t xml:space="preserve">ICICI Prudential Mutual Fund</t>
        </is>
      </c>
      <c r="B5911" t="inlineStr">
        <is>
          <t xml:space="preserve">ICICI Prudential Liquid Fund - Direct Plan - Daily IDCW</t>
        </is>
      </c>
      <c r="C5911" t="inlineStr">
        <is>
          <t xml:space="preserve">INF109K01Q15</t>
        </is>
      </c>
    </row>
    <row r="5912">
      <c r="A5912" t="inlineStr">
        <is>
          <t xml:space="preserve">ICICI Prudential Mutual Fund</t>
        </is>
      </c>
      <c r="B5912" t="inlineStr">
        <is>
          <t xml:space="preserve">ICICI Prudential Liquid Fund - Direct Plan - Growth</t>
        </is>
      </c>
      <c r="C5912" t="inlineStr">
        <is>
          <t xml:space="preserve">INF109K01Q49</t>
        </is>
      </c>
    </row>
    <row r="5913">
      <c r="A5913" t="inlineStr">
        <is>
          <t xml:space="preserve">ICICI Prudential Mutual Fund</t>
        </is>
      </c>
      <c r="B5913" t="inlineStr">
        <is>
          <t xml:space="preserve">ICICI Prudential Liquid Fund - Direct Plan - Monthly IDCW</t>
        </is>
      </c>
      <c r="C5913" t="inlineStr">
        <is>
          <t xml:space="preserve">INF109K01R06</t>
        </is>
      </c>
    </row>
    <row r="5914">
      <c r="A5914" t="inlineStr">
        <is>
          <t xml:space="preserve">ICICI Prudential Mutual Fund</t>
        </is>
      </c>
      <c r="B5914" t="inlineStr">
        <is>
          <t xml:space="preserve">ICICI Prudential Liquid Fund - Direct Plan - Quarterly IDCW</t>
        </is>
      </c>
      <c r="C5914" t="inlineStr">
        <is>
          <t xml:space="preserve">INF109K01Q72</t>
        </is>
      </c>
    </row>
    <row r="5915">
      <c r="A5915" t="inlineStr">
        <is>
          <t xml:space="preserve">ICICI Prudential Mutual Fund</t>
        </is>
      </c>
      <c r="B5915" t="inlineStr">
        <is>
          <t xml:space="preserve">ICICI Prudential Liquid Fund - Direct Plan - Weekly IDCW</t>
        </is>
      </c>
      <c r="C5915" t="inlineStr">
        <is>
          <t xml:space="preserve">INF109K01Q98</t>
        </is>
      </c>
    </row>
    <row r="5916">
      <c r="A5916" t="inlineStr">
        <is>
          <t xml:space="preserve">ICICI Prudential Mutual Fund</t>
        </is>
      </c>
      <c r="B5916" t="inlineStr">
        <is>
          <t xml:space="preserve">ICICI Prudential Liquid Fund - Direct Plan Bonus</t>
        </is>
      </c>
      <c r="C5916" t="inlineStr">
        <is>
          <t xml:space="preserve">INF109KA1G86</t>
        </is>
      </c>
    </row>
    <row r="5917">
      <c r="A5917" t="inlineStr">
        <is>
          <t xml:space="preserve">ICICI Prudential Mutual Fund</t>
        </is>
      </c>
      <c r="B5917" t="inlineStr">
        <is>
          <t xml:space="preserve">ICICI Prudential Liquid Fund - Growth</t>
        </is>
      </c>
      <c r="C5917" t="inlineStr">
        <is>
          <t xml:space="preserve">INF109K01VQ1</t>
        </is>
      </c>
    </row>
    <row r="5918">
      <c r="A5918" t="inlineStr">
        <is>
          <t xml:space="preserve">ICICI Prudential Mutual Fund</t>
        </is>
      </c>
      <c r="B5918" t="inlineStr">
        <is>
          <t xml:space="preserve">ICICI Prudential Liquid Fund - Half Yearly IDCW</t>
        </is>
      </c>
      <c r="C5918" t="inlineStr">
        <is>
          <t xml:space="preserve">INF109K01UX9</t>
        </is>
      </c>
    </row>
    <row r="5919">
      <c r="A5919" t="inlineStr">
        <is>
          <t xml:space="preserve">ICICI Prudential Mutual Fund</t>
        </is>
      </c>
      <c r="B5919" t="inlineStr">
        <is>
          <t xml:space="preserve">ICICI Prudential Liquid Fund - IDCW Others</t>
        </is>
      </c>
      <c r="C5919" t="inlineStr">
        <is>
          <t xml:space="preserve">INF109K01VU3</t>
        </is>
      </c>
    </row>
    <row r="5920">
      <c r="A5920" t="inlineStr">
        <is>
          <t xml:space="preserve">ICICI Prudential Mutual Fund</t>
        </is>
      </c>
      <c r="B5920" t="inlineStr">
        <is>
          <t xml:space="preserve">ICICI Prudential Liquid Fund - Institutional - Daily - Div</t>
        </is>
      </c>
      <c r="C5920" t="inlineStr">
        <is>
          <t xml:space="preserve">INF109K01VE7</t>
        </is>
      </c>
    </row>
    <row r="5921">
      <c r="A5921" t="inlineStr">
        <is>
          <t xml:space="preserve">ICICI Prudential Mutual Fund</t>
        </is>
      </c>
      <c r="B5921" t="inlineStr">
        <is>
          <t xml:space="preserve">ICICI Prudential Liquid Fund - Institutional - Weekly - Div</t>
        </is>
      </c>
      <c r="C5921" t="inlineStr">
        <is>
          <t xml:space="preserve">INF109K01VI8</t>
        </is>
      </c>
    </row>
    <row r="5922">
      <c r="A5922" t="inlineStr">
        <is>
          <t xml:space="preserve">ICICI Prudential Mutual Fund</t>
        </is>
      </c>
      <c r="B5922" t="inlineStr">
        <is>
          <t xml:space="preserve">ICICI Prudential Liquid Fund - Institutional Option - I</t>
        </is>
      </c>
      <c r="C5922" t="inlineStr">
        <is>
          <t xml:space="preserve">INF109K01VH0</t>
        </is>
      </c>
    </row>
    <row r="5923">
      <c r="A5923" t="inlineStr">
        <is>
          <t xml:space="preserve">ICICI Prudential Mutual Fund</t>
        </is>
      </c>
      <c r="B5923" t="inlineStr">
        <is>
          <t xml:space="preserve">ICICI Prudential Liquid Fund - Unclaimed IDCW</t>
        </is>
      </c>
      <c r="C5923" t="inlineStr">
        <is>
          <t xml:space="preserve">INF109KB1WR9</t>
        </is>
      </c>
    </row>
    <row r="5924">
      <c r="A5924" t="inlineStr">
        <is>
          <t xml:space="preserve">ICICI Prudential Mutual Fund</t>
        </is>
      </c>
      <c r="B5924" t="inlineStr">
        <is>
          <t xml:space="preserve">ICICI Prudential Liquid Fund - Unclaimed IDCW Investor Education</t>
        </is>
      </c>
      <c r="C5924" t="inlineStr">
        <is>
          <t xml:space="preserve">INF109KB1WS7</t>
        </is>
      </c>
    </row>
    <row r="5925">
      <c r="A5925" t="inlineStr">
        <is>
          <t xml:space="preserve">ICICI Prudential Mutual Fund</t>
        </is>
      </c>
      <c r="B5925" t="inlineStr">
        <is>
          <t xml:space="preserve">ICICI Prudential Liquid Fund - Unclaimed Redemption</t>
        </is>
      </c>
      <c r="C5925" t="inlineStr">
        <is>
          <t xml:space="preserve">INF109KB1WQ1</t>
        </is>
      </c>
    </row>
    <row r="5926">
      <c r="A5926" t="inlineStr">
        <is>
          <t xml:space="preserve">ICICI Prudential Mutual Fund</t>
        </is>
      </c>
      <c r="B5926" t="inlineStr">
        <is>
          <t xml:space="preserve">ICICI Prudential Liquid Fund - Unclaimed Redemption Investor Education</t>
        </is>
      </c>
      <c r="C5926" t="inlineStr">
        <is>
          <t xml:space="preserve">INF109KB1WT5</t>
        </is>
      </c>
    </row>
    <row r="5927">
      <c r="A5927" t="inlineStr">
        <is>
          <t xml:space="preserve">ICICI Prudential Mutual Fund</t>
        </is>
      </c>
      <c r="B5927" t="inlineStr">
        <is>
          <t xml:space="preserve">ICICI Prudential Liquid Fund - Weekly IDCW</t>
        </is>
      </c>
      <c r="C5927" t="inlineStr">
        <is>
          <t xml:space="preserve">INF109K01VS7</t>
        </is>
      </c>
    </row>
    <row r="5928">
      <c r="A5928" t="inlineStr">
        <is>
          <t xml:space="preserve">ICICI Prudential Mutual Fund</t>
        </is>
      </c>
      <c r="B5928" t="inlineStr">
        <is>
          <t xml:space="preserve">ICICI Prudential Liquid Fund -Monthly IDCW</t>
        </is>
      </c>
      <c r="C5928" t="inlineStr">
        <is>
          <t xml:space="preserve">INF109K01VR9</t>
        </is>
      </c>
    </row>
    <row r="5929">
      <c r="A5929" t="inlineStr">
        <is>
          <t xml:space="preserve">ICICI Prudential Mutual Fund</t>
        </is>
      </c>
      <c r="B5929" t="inlineStr">
        <is>
          <t xml:space="preserve">ICICI Prudential Liquid Fund -Quarterly IDCW</t>
        </is>
      </c>
      <c r="C5929" t="inlineStr">
        <is>
          <t xml:space="preserve">INF109K01UU5</t>
        </is>
      </c>
    </row>
    <row r="5930">
      <c r="A5930" t="inlineStr">
        <is>
          <t xml:space="preserve">ICICI Prudential Mutual Fund</t>
        </is>
      </c>
      <c r="B5930" t="inlineStr">
        <is>
          <t xml:space="preserve">ICICI Prudential Liquid Fund Retail Daily Dividend</t>
        </is>
      </c>
      <c r="C5930" t="inlineStr">
        <is>
          <t xml:space="preserve">INF109K01UR1</t>
        </is>
      </c>
    </row>
    <row r="5931">
      <c r="A5931" t="inlineStr">
        <is>
          <t xml:space="preserve">ICICI Prudential Mutual Fund</t>
        </is>
      </c>
      <c r="B5931" t="inlineStr">
        <is>
          <t xml:space="preserve">ICICI Prudential Liquid Fund Retail Growth</t>
        </is>
      </c>
      <c r="C5931" t="inlineStr">
        <is>
          <t xml:space="preserve">INF109K01UQ3</t>
        </is>
      </c>
    </row>
    <row r="5932">
      <c r="A5932" t="inlineStr">
        <is>
          <t xml:space="preserve">ICICI Prudential Mutual Fund</t>
        </is>
      </c>
      <c r="B5932" t="inlineStr">
        <is>
          <t xml:space="preserve">ICICI Prudential Liquid Fund Retail Monthly Dividend</t>
        </is>
      </c>
      <c r="C5932" t="inlineStr">
        <is>
          <t xml:space="preserve">INF109K01US9</t>
        </is>
      </c>
    </row>
    <row r="5933">
      <c r="A5933" t="inlineStr">
        <is>
          <t xml:space="preserve">ICICI Prudential Mutual Fund</t>
        </is>
      </c>
      <c r="B5933" t="inlineStr">
        <is>
          <t xml:space="preserve">ICICI Prudential Liquid Fund Retail Weekly Dividend</t>
        </is>
      </c>
      <c r="C5933" t="inlineStr">
        <is>
          <t xml:space="preserve">INF109K01UV3</t>
        </is>
      </c>
    </row>
    <row r="5934">
      <c r="A5934" t="inlineStr">
        <is>
          <t xml:space="preserve">ICICI Prudential Mutual Fund</t>
        </is>
      </c>
      <c r="B5934" t="inlineStr">
        <is>
          <t xml:space="preserve">ICICI Prudential Liquid Fund-Annual IDCW</t>
        </is>
      </c>
      <c r="C5934" t="inlineStr">
        <is>
          <t xml:space="preserve">INF109K01VD9</t>
        </is>
      </c>
    </row>
    <row r="5935">
      <c r="A5935" t="inlineStr">
        <is>
          <t xml:space="preserve">ICICI Prudential Mutual Fund</t>
        </is>
      </c>
      <c r="B5935" t="inlineStr">
        <is>
          <t xml:space="preserve">ICICI Prudential Liquid Institutional Fund - Growth</t>
        </is>
      </c>
      <c r="C5935" t="inlineStr">
        <is>
          <t xml:space="preserve">INF109K01VF4</t>
        </is>
      </c>
    </row>
    <row r="5936">
      <c r="A5936" t="inlineStr">
        <is>
          <t xml:space="preserve">ICICI Prudential Mutual Fund</t>
        </is>
      </c>
      <c r="B5936" t="inlineStr">
        <is>
          <t xml:space="preserve">ICICI Prudential Liquid Institutional Plus Fund - Div - Daily</t>
        </is>
      </c>
      <c r="C5936" t="inlineStr">
        <is>
          <t xml:space="preserve">INF109K01VJ6</t>
        </is>
      </c>
    </row>
    <row r="5937">
      <c r="A5937" t="inlineStr">
        <is>
          <t xml:space="preserve">ICICI Prudential Mutual Fund</t>
        </is>
      </c>
      <c r="B5937" t="inlineStr">
        <is>
          <t xml:space="preserve">ICICI Prudential Long Term Bond Fund - Annual IDCW</t>
        </is>
      </c>
      <c r="C5937" t="inlineStr">
        <is>
          <t xml:space="preserve">INF109KA11C4</t>
        </is>
      </c>
    </row>
    <row r="5938">
      <c r="A5938" t="inlineStr">
        <is>
          <t xml:space="preserve">ICICI Prudential Mutual Fund</t>
        </is>
      </c>
      <c r="B5938" t="inlineStr">
        <is>
          <t xml:space="preserve">ICICI Prudential Long Term Bond Fund - Bonus</t>
        </is>
      </c>
      <c r="C5938" t="inlineStr">
        <is>
          <t xml:space="preserve">INF109KA1335</t>
        </is>
      </c>
    </row>
    <row r="5939">
      <c r="A5939" t="inlineStr">
        <is>
          <t xml:space="preserve">ICICI Prudential Mutual Fund</t>
        </is>
      </c>
      <c r="B5939" t="inlineStr">
        <is>
          <t xml:space="preserve">ICICI Prudential Long Term Bond Fund - Direct Plan - Growth</t>
        </is>
      </c>
      <c r="C5939" t="inlineStr">
        <is>
          <t xml:space="preserve">INF109K017L8</t>
        </is>
      </c>
    </row>
    <row r="5940">
      <c r="A5940" t="inlineStr">
        <is>
          <t xml:space="preserve">ICICI Prudential Mutual Fund</t>
        </is>
      </c>
      <c r="B5940" t="inlineStr">
        <is>
          <t xml:space="preserve">ICICI Prudential Long Term Bond Fund - Direct Plan - Half Yearly IDCW</t>
        </is>
      </c>
      <c r="C5940" t="inlineStr">
        <is>
          <t xml:space="preserve">INF109K018L6</t>
        </is>
      </c>
    </row>
    <row r="5941">
      <c r="A5941" t="inlineStr">
        <is>
          <t xml:space="preserve">ICICI Prudential Mutual Fund</t>
        </is>
      </c>
      <c r="B5941" t="inlineStr">
        <is>
          <t xml:space="preserve">ICICI Prudential Long Term Bond Fund - Direct Plan - Quarterly IDCW</t>
        </is>
      </c>
      <c r="C5941" t="inlineStr">
        <is>
          <t xml:space="preserve">INF109K010M1</t>
        </is>
      </c>
    </row>
    <row r="5942">
      <c r="A5942" t="inlineStr">
        <is>
          <t xml:space="preserve">ICICI Prudential Mutual Fund</t>
        </is>
      </c>
      <c r="B5942" t="inlineStr">
        <is>
          <t xml:space="preserve">ICICI Prudential Long Term Bond Fund - Growth</t>
        </is>
      </c>
      <c r="C5942" t="inlineStr">
        <is>
          <t xml:space="preserve">INF109K01365</t>
        </is>
      </c>
    </row>
    <row r="5943">
      <c r="A5943" t="inlineStr">
        <is>
          <t xml:space="preserve">ICICI Prudential Mutual Fund</t>
        </is>
      </c>
      <c r="B5943" t="inlineStr">
        <is>
          <t xml:space="preserve">ICICI Prudential Long Term Bond Fund - Half Yearly IDCW</t>
        </is>
      </c>
      <c r="C5943" t="inlineStr">
        <is>
          <t xml:space="preserve">INF109K01EX3</t>
        </is>
      </c>
    </row>
    <row r="5944">
      <c r="A5944" t="inlineStr">
        <is>
          <t xml:space="preserve">ICICI Prudential Mutual Fund</t>
        </is>
      </c>
      <c r="B5944" t="inlineStr">
        <is>
          <t xml:space="preserve">ICICI Prudential Long Term Bond Fund - Institutional Dividend Halfyearly</t>
        </is>
      </c>
      <c r="C5944" t="inlineStr">
        <is>
          <t xml:space="preserve">INF109K01EW5</t>
        </is>
      </c>
    </row>
    <row r="5945">
      <c r="A5945" t="inlineStr">
        <is>
          <t xml:space="preserve">ICICI Prudential Mutual Fund</t>
        </is>
      </c>
      <c r="B5945" t="inlineStr">
        <is>
          <t xml:space="preserve">ICICI Prudential Long Term Bond Fund - Quarterly IDCW</t>
        </is>
      </c>
      <c r="C5945" t="inlineStr">
        <is>
          <t xml:space="preserve">INF109K01EZ8</t>
        </is>
      </c>
    </row>
    <row r="5946">
      <c r="A5946" t="inlineStr">
        <is>
          <t xml:space="preserve">ICICI Prudential Mutual Fund</t>
        </is>
      </c>
      <c r="B5946" t="inlineStr">
        <is>
          <t xml:space="preserve">ICICI Prudential Long Term Bond Fund Direct Plan - Annual IDCW</t>
        </is>
      </c>
      <c r="C5946" t="inlineStr">
        <is>
          <t xml:space="preserve">INF109KA13C0</t>
        </is>
      </c>
    </row>
    <row r="5947">
      <c r="A5947" t="inlineStr">
        <is>
          <t xml:space="preserve">ICICI Prudential Mutual Fund</t>
        </is>
      </c>
      <c r="B5947" t="inlineStr">
        <is>
          <t xml:space="preserve">ICICI Prudential Long Term Bond Fund-Institutional Option-Growth</t>
        </is>
      </c>
      <c r="C5947" t="inlineStr">
        <is>
          <t xml:space="preserve">INF109K01407</t>
        </is>
      </c>
    </row>
    <row r="5948">
      <c r="A5948" t="inlineStr">
        <is>
          <t xml:space="preserve">ICICI Prudential Mutual Fund</t>
        </is>
      </c>
      <c r="B5948" t="inlineStr">
        <is>
          <t xml:space="preserve">ICICI Prudential Long Term Bond Fund-Institutional Quarterly Dividend</t>
        </is>
      </c>
      <c r="C5948" t="inlineStr">
        <is>
          <t xml:space="preserve">INF109K01EY1</t>
        </is>
      </c>
    </row>
    <row r="5949">
      <c r="A5949" t="inlineStr">
        <is>
          <t xml:space="preserve">ICICI Prudential Mutual Fund</t>
        </is>
      </c>
      <c r="B5949" t="inlineStr">
        <is>
          <t xml:space="preserve">ICICI Prudential Long Term Wealth Enhancement Fund - Cumulative Option</t>
        </is>
      </c>
      <c r="C5949" t="inlineStr">
        <is>
          <t xml:space="preserve">INF109KC1077</t>
        </is>
      </c>
    </row>
    <row r="5950">
      <c r="A5950" t="inlineStr">
        <is>
          <t xml:space="preserve">ICICI Prudential Mutual Fund</t>
        </is>
      </c>
      <c r="B5950" t="inlineStr">
        <is>
          <t xml:space="preserve">ICICI Prudential Long Term Wealth Enhancement Fund - Direct Plan Cumulative Option</t>
        </is>
      </c>
      <c r="C5950" t="inlineStr">
        <is>
          <t xml:space="preserve">INF109KC1093</t>
        </is>
      </c>
    </row>
    <row r="5951">
      <c r="A5951" t="inlineStr">
        <is>
          <t xml:space="preserve">ICICI Prudential Mutual Fund</t>
        </is>
      </c>
      <c r="B5951" t="inlineStr">
        <is>
          <t xml:space="preserve">ICICI Prudential Long Term Wealth Enhancement Fund - Direct Plan IDCW Option</t>
        </is>
      </c>
      <c r="C5951" t="inlineStr">
        <is>
          <t xml:space="preserve">INF109KC1101</t>
        </is>
      </c>
    </row>
    <row r="5952">
      <c r="A5952" t="inlineStr">
        <is>
          <t xml:space="preserve">ICICI Prudential Mutual Fund</t>
        </is>
      </c>
      <c r="B5952" t="inlineStr">
        <is>
          <t xml:space="preserve">ICICI Prudential Long Term Wealth Enhancement Fund - IDCW Option</t>
        </is>
      </c>
      <c r="C5952" t="inlineStr">
        <is>
          <t xml:space="preserve">INF109KC1085</t>
        </is>
      </c>
    </row>
    <row r="5953">
      <c r="A5953" t="inlineStr">
        <is>
          <t xml:space="preserve">ICICI Prudential Mutual Fund</t>
        </is>
      </c>
      <c r="B5953" t="inlineStr">
        <is>
          <t xml:space="preserve">ICICI Prudential Manufacturing Fund - Cumulative Option</t>
        </is>
      </c>
      <c r="C5953" t="inlineStr">
        <is>
          <t xml:space="preserve">INF109KC1LG4</t>
        </is>
      </c>
    </row>
    <row r="5954">
      <c r="A5954" t="inlineStr">
        <is>
          <t xml:space="preserve">ICICI Prudential Mutual Fund</t>
        </is>
      </c>
      <c r="B5954" t="inlineStr">
        <is>
          <t xml:space="preserve">ICICI Prudential Manufacturing Fund - Direct Plan - Cumulative Option</t>
        </is>
      </c>
      <c r="C5954" t="inlineStr">
        <is>
          <t xml:space="preserve">INF109KC1LJ8</t>
        </is>
      </c>
    </row>
    <row r="5955">
      <c r="A5955" t="inlineStr">
        <is>
          <t xml:space="preserve">ICICI Prudential Mutual Fund</t>
        </is>
      </c>
      <c r="B5955" t="inlineStr">
        <is>
          <t xml:space="preserve">ICICI Prudential Manufacturing Fund - Direct Plan - IDCW Option</t>
        </is>
      </c>
      <c r="C5955" t="inlineStr">
        <is>
          <t xml:space="preserve">INF109KC1LK6</t>
        </is>
      </c>
    </row>
    <row r="5956">
      <c r="A5956" t="inlineStr">
        <is>
          <t xml:space="preserve">ICICI Prudential Mutual Fund</t>
        </is>
      </c>
      <c r="B5956" t="inlineStr">
        <is>
          <t xml:space="preserve">ICICI Prudential Manufacturing Fund - IDCW Option</t>
        </is>
      </c>
      <c r="C5956" t="inlineStr">
        <is>
          <t xml:space="preserve">INF109KC1LH2</t>
        </is>
      </c>
    </row>
    <row r="5957">
      <c r="A5957" t="inlineStr">
        <is>
          <t xml:space="preserve">ICICI Prudential Mutual Fund</t>
        </is>
      </c>
      <c r="B5957" t="inlineStr">
        <is>
          <t xml:space="preserve">ICICI Prudential Medium Term Bond Fund - Annual IDCW</t>
        </is>
      </c>
      <c r="C5957" t="inlineStr">
        <is>
          <t xml:space="preserve">INF109KA12G3</t>
        </is>
      </c>
    </row>
    <row r="5958">
      <c r="A5958" t="inlineStr">
        <is>
          <t xml:space="preserve">ICICI Prudential Mutual Fund</t>
        </is>
      </c>
      <c r="B5958" t="inlineStr">
        <is>
          <t xml:space="preserve">ICICI Prudential Medium Term Bond Fund - Bonus</t>
        </is>
      </c>
      <c r="C5958" t="inlineStr">
        <is>
          <t xml:space="preserve">INF109KA1B99</t>
        </is>
      </c>
    </row>
    <row r="5959">
      <c r="A5959" t="inlineStr">
        <is>
          <t xml:space="preserve">ICICI Prudential Mutual Fund</t>
        </is>
      </c>
      <c r="B5959" t="inlineStr">
        <is>
          <t xml:space="preserve">ICICI Prudential Medium Term Bond Fund - Direct Plan - Growth</t>
        </is>
      </c>
      <c r="C5959" t="inlineStr">
        <is>
          <t xml:space="preserve">INF109K015A5</t>
        </is>
      </c>
    </row>
    <row r="5960">
      <c r="A5960" t="inlineStr">
        <is>
          <t xml:space="preserve">ICICI Prudential Mutual Fund</t>
        </is>
      </c>
      <c r="B5960" t="inlineStr">
        <is>
          <t xml:space="preserve">ICICI Prudential Medium Term Bond Fund - Direct Plan - Half Yearly IDCW</t>
        </is>
      </c>
      <c r="C5960" t="inlineStr">
        <is>
          <t xml:space="preserve">INF109K016A3</t>
        </is>
      </c>
    </row>
    <row r="5961">
      <c r="A5961" t="inlineStr">
        <is>
          <t xml:space="preserve">ICICI Prudential Mutual Fund</t>
        </is>
      </c>
      <c r="B5961" t="inlineStr">
        <is>
          <t xml:space="preserve">ICICI Prudential Medium Term Bond Fund - Direct Plan - Quarterly IDCW</t>
        </is>
      </c>
      <c r="C5961" t="inlineStr">
        <is>
          <t xml:space="preserve">INF109K018A9</t>
        </is>
      </c>
    </row>
    <row r="5962">
      <c r="A5962" t="inlineStr">
        <is>
          <t xml:space="preserve">ICICI Prudential Mutual Fund</t>
        </is>
      </c>
      <c r="B5962" t="inlineStr">
        <is>
          <t xml:space="preserve">ICICI Prudential Medium Term Bond Fund - Direct Plan Bonus</t>
        </is>
      </c>
      <c r="C5962" t="inlineStr">
        <is>
          <t xml:space="preserve">INF109KA1B81</t>
        </is>
      </c>
    </row>
    <row r="5963">
      <c r="A5963" t="inlineStr">
        <is>
          <t xml:space="preserve">ICICI Prudential Mutual Fund</t>
        </is>
      </c>
      <c r="B5963" t="inlineStr">
        <is>
          <t xml:space="preserve">ICICI Prudential Medium Term Bond Fund - Growth</t>
        </is>
      </c>
      <c r="C5963" t="inlineStr">
        <is>
          <t xml:space="preserve">INF109K01AH4</t>
        </is>
      </c>
    </row>
    <row r="5964">
      <c r="A5964" t="inlineStr">
        <is>
          <t xml:space="preserve">ICICI Prudential Mutual Fund</t>
        </is>
      </c>
      <c r="B5964" t="inlineStr">
        <is>
          <t xml:space="preserve">ICICI Prudential Medium Term Bond Fund - Half Yearly IDCW</t>
        </is>
      </c>
      <c r="C5964" t="inlineStr">
        <is>
          <t xml:space="preserve">INF109K01B53</t>
        </is>
      </c>
    </row>
    <row r="5965">
      <c r="A5965" t="inlineStr">
        <is>
          <t xml:space="preserve">ICICI Prudential Mutual Fund</t>
        </is>
      </c>
      <c r="B5965" t="inlineStr">
        <is>
          <t xml:space="preserve">ICICI Prudential Medium Term Bond Fund - Quarterly IDCW</t>
        </is>
      </c>
      <c r="C5965" t="inlineStr">
        <is>
          <t xml:space="preserve">INF109K01UF6</t>
        </is>
      </c>
    </row>
    <row r="5966">
      <c r="A5966" t="inlineStr">
        <is>
          <t xml:space="preserve">ICICI Prudential Mutual Fund</t>
        </is>
      </c>
      <c r="B5966" t="inlineStr">
        <is>
          <t xml:space="preserve">ICICI Prudential Medium Term Bond Fund -Direct Plan - Annual IDCW</t>
        </is>
      </c>
      <c r="C5966" t="inlineStr">
        <is>
          <t xml:space="preserve">INF109KA10G7</t>
        </is>
      </c>
    </row>
    <row r="5967">
      <c r="A5967" t="inlineStr">
        <is>
          <t xml:space="preserve">ICICI Prudential Mutual Fund</t>
        </is>
      </c>
      <c r="B5967" t="inlineStr">
        <is>
          <t xml:space="preserve">ICICI Prudential Medium Term Bond Fund Plan A - Weekly Dividend</t>
        </is>
      </c>
      <c r="C5967" t="inlineStr">
        <is>
          <t xml:space="preserve">INF109K01UD1</t>
        </is>
      </c>
    </row>
    <row r="5968">
      <c r="A5968" t="inlineStr">
        <is>
          <t xml:space="preserve">ICICI Prudential Mutual Fund</t>
        </is>
      </c>
      <c r="B5968" t="inlineStr">
        <is>
          <t xml:space="preserve">ICICI Prudential Medium Term Bond Fund Plan B - Half Yearly Dividend</t>
        </is>
      </c>
      <c r="C5968" t="inlineStr">
        <is>
          <t xml:space="preserve">INF109K01B87</t>
        </is>
      </c>
    </row>
    <row r="5969">
      <c r="A5969" t="inlineStr">
        <is>
          <t xml:space="preserve">ICICI Prudential Mutual Fund</t>
        </is>
      </c>
      <c r="B5969" t="inlineStr">
        <is>
          <t xml:space="preserve">ICICI Prudential Medium Term Bond Fund Plan B - Quarterly Dividend</t>
        </is>
      </c>
      <c r="C5969" t="inlineStr">
        <is>
          <t xml:space="preserve">INF109K01UI0</t>
        </is>
      </c>
    </row>
    <row r="5970">
      <c r="A5970" t="inlineStr">
        <is>
          <t xml:space="preserve">ICICI Prudential Mutual Fund</t>
        </is>
      </c>
      <c r="B5970" t="inlineStr">
        <is>
          <t xml:space="preserve">ICICI Prudential Medium Term Bond Fund Plan C - Quarterly Dividend</t>
        </is>
      </c>
      <c r="C5970" t="inlineStr">
        <is>
          <t xml:space="preserve">INF109K01UO8</t>
        </is>
      </c>
    </row>
    <row r="5971">
      <c r="A5971" t="inlineStr">
        <is>
          <t xml:space="preserve">ICICI Prudential Mutual Fund</t>
        </is>
      </c>
      <c r="B5971" t="inlineStr">
        <is>
          <t xml:space="preserve">ICICI Prudential Medium Term Bond Fund-Plan B-Growth</t>
        </is>
      </c>
      <c r="C5971" t="inlineStr">
        <is>
          <t xml:space="preserve">INF109K01AJ0</t>
        </is>
      </c>
    </row>
    <row r="5972">
      <c r="A5972" t="inlineStr">
        <is>
          <t xml:space="preserve">ICICI Prudential Mutual Fund</t>
        </is>
      </c>
      <c r="B5972" t="inlineStr">
        <is>
          <t xml:space="preserve">ICICI Prudential MidCap Fund - Direct Plan -  Growth</t>
        </is>
      </c>
      <c r="C5972" t="inlineStr">
        <is>
          <t xml:space="preserve">INF109K011N7</t>
        </is>
      </c>
    </row>
    <row r="5973">
      <c r="A5973" t="inlineStr">
        <is>
          <t xml:space="preserve">ICICI Prudential Mutual Fund</t>
        </is>
      </c>
      <c r="B5973" t="inlineStr">
        <is>
          <t xml:space="preserve">ICICI Prudential MidCap Fund - Direct Plan -  IDCW</t>
        </is>
      </c>
      <c r="C5973" t="inlineStr">
        <is>
          <t xml:space="preserve">INF109K019M2</t>
        </is>
      </c>
    </row>
    <row r="5974">
      <c r="A5974" t="inlineStr">
        <is>
          <t xml:space="preserve">ICICI Prudential Mutual Fund</t>
        </is>
      </c>
      <c r="B5974" t="inlineStr">
        <is>
          <t xml:space="preserve">ICICI Prudential MidCap Fund - Growth</t>
        </is>
      </c>
      <c r="C5974" t="inlineStr">
        <is>
          <t xml:space="preserve">INF109K01AN2</t>
        </is>
      </c>
    </row>
    <row r="5975">
      <c r="A5975" t="inlineStr">
        <is>
          <t xml:space="preserve">ICICI Prudential Mutual Fund</t>
        </is>
      </c>
      <c r="B5975" t="inlineStr">
        <is>
          <t xml:space="preserve">ICICI Prudential MidCap Fund - IDCW</t>
        </is>
      </c>
      <c r="C5975" t="inlineStr">
        <is>
          <t xml:space="preserve">INF109K01EH6</t>
        </is>
      </c>
    </row>
    <row r="5976">
      <c r="A5976" t="inlineStr">
        <is>
          <t xml:space="preserve">ICICI Prudential Mutual Fund</t>
        </is>
      </c>
      <c r="B5976" t="inlineStr">
        <is>
          <t xml:space="preserve">ICICI Prudential MIP - Direct Plan -  Dividend Half Yearly</t>
        </is>
      </c>
      <c r="C5976" t="inlineStr">
        <is>
          <t xml:space="preserve">INF109K01T79</t>
        </is>
      </c>
    </row>
    <row r="5977">
      <c r="A5977" t="inlineStr">
        <is>
          <t xml:space="preserve">ICICI Prudential Mutual Fund</t>
        </is>
      </c>
      <c r="B5977" t="inlineStr">
        <is>
          <t xml:space="preserve">ICICI Prudential MIP - Direct Plan -  Dividend Monthly</t>
        </is>
      </c>
      <c r="C5977" t="inlineStr">
        <is>
          <t xml:space="preserve">INF109K01T95</t>
        </is>
      </c>
    </row>
    <row r="5978">
      <c r="A5978" t="inlineStr">
        <is>
          <t xml:space="preserve">ICICI Prudential Mutual Fund</t>
        </is>
      </c>
      <c r="B5978" t="inlineStr">
        <is>
          <t xml:space="preserve">ICICI Prudential MIP - Direct Plan -  Dividend Quarterly</t>
        </is>
      </c>
      <c r="C5978" t="inlineStr">
        <is>
          <t xml:space="preserve">INF109K01U19</t>
        </is>
      </c>
    </row>
    <row r="5979">
      <c r="A5979" t="inlineStr">
        <is>
          <t xml:space="preserve">ICICI Prudential Mutual Fund</t>
        </is>
      </c>
      <c r="B5979" t="inlineStr">
        <is>
          <t xml:space="preserve">ICICI Prudential MIP - Direct Plan -  Growth</t>
        </is>
      </c>
      <c r="C5979" t="inlineStr">
        <is>
          <t xml:space="preserve">INF109K01U35</t>
        </is>
      </c>
    </row>
    <row r="5980">
      <c r="A5980" t="inlineStr">
        <is>
          <t xml:space="preserve">ICICI Prudential Mutual Fund</t>
        </is>
      </c>
      <c r="B5980" t="inlineStr">
        <is>
          <t xml:space="preserve">ICICI Prudential MIP - Direct Plan Bonus</t>
        </is>
      </c>
      <c r="C5980" t="inlineStr">
        <is>
          <t xml:space="preserve">INF109KA1H44</t>
        </is>
      </c>
    </row>
    <row r="5981">
      <c r="A5981" t="inlineStr">
        <is>
          <t xml:space="preserve">ICICI Prudential Mutual Fund</t>
        </is>
      </c>
      <c r="B5981" t="inlineStr">
        <is>
          <t xml:space="preserve">ICICI Prudential MIP - Dividend Half Yearly</t>
        </is>
      </c>
      <c r="C5981" t="inlineStr">
        <is>
          <t xml:space="preserve">INF109K01FG5</t>
        </is>
      </c>
    </row>
    <row r="5982">
      <c r="A5982" t="inlineStr">
        <is>
          <t xml:space="preserve">ICICI Prudential Mutual Fund</t>
        </is>
      </c>
      <c r="B5982" t="inlineStr">
        <is>
          <t xml:space="preserve">ICICI Prudential MIP - Dividend Monthly</t>
        </is>
      </c>
      <c r="C5982" t="inlineStr">
        <is>
          <t xml:space="preserve">INF109K01FH3</t>
        </is>
      </c>
    </row>
    <row r="5983">
      <c r="A5983" t="inlineStr">
        <is>
          <t xml:space="preserve">ICICI Prudential Mutual Fund</t>
        </is>
      </c>
      <c r="B5983" t="inlineStr">
        <is>
          <t xml:space="preserve">ICICI Prudential MIP - Dividend Quarterly</t>
        </is>
      </c>
      <c r="C5983" t="inlineStr">
        <is>
          <t xml:space="preserve">INF109K01FI1</t>
        </is>
      </c>
    </row>
    <row r="5984">
      <c r="A5984" t="inlineStr">
        <is>
          <t xml:space="preserve">ICICI Prudential Mutual Fund</t>
        </is>
      </c>
      <c r="B5984" t="inlineStr">
        <is>
          <t xml:space="preserve">ICICI Prudential MIP - Growth</t>
        </is>
      </c>
      <c r="C5984" t="inlineStr">
        <is>
          <t xml:space="preserve">INF109K01555</t>
        </is>
      </c>
    </row>
    <row r="5985">
      <c r="A5985" t="inlineStr">
        <is>
          <t xml:space="preserve">ICICI Prudential Mutual Fund</t>
        </is>
      </c>
      <c r="B5985" t="inlineStr">
        <is>
          <t xml:space="preserve">ICICI Prudential MNC Fund - Direct Plan - Growth Option</t>
        </is>
      </c>
      <c r="C5985" t="inlineStr">
        <is>
          <t xml:space="preserve">INF109KC1D93</t>
        </is>
      </c>
    </row>
    <row r="5986">
      <c r="A5986" t="inlineStr">
        <is>
          <t xml:space="preserve">ICICI Prudential Mutual Fund</t>
        </is>
      </c>
      <c r="B5986" t="inlineStr">
        <is>
          <t xml:space="preserve">ICICI Prudential MNC Fund - Direct Plan - IDCW Option</t>
        </is>
      </c>
      <c r="C5986" t="inlineStr">
        <is>
          <t xml:space="preserve">INF109KC1E01</t>
        </is>
      </c>
    </row>
    <row r="5987">
      <c r="A5987" t="inlineStr">
        <is>
          <t xml:space="preserve">ICICI Prudential Mutual Fund</t>
        </is>
      </c>
      <c r="B5987" t="inlineStr">
        <is>
          <t xml:space="preserve">ICICI Prudential MNC Fund - Growth Option</t>
        </is>
      </c>
      <c r="C5987" t="inlineStr">
        <is>
          <t xml:space="preserve">INF109KC1D69</t>
        </is>
      </c>
    </row>
    <row r="5988">
      <c r="A5988" t="inlineStr">
        <is>
          <t xml:space="preserve">ICICI Prudential Mutual Fund</t>
        </is>
      </c>
      <c r="B5988" t="inlineStr">
        <is>
          <t xml:space="preserve">ICICI Prudential MNC Fund - IDCW Option</t>
        </is>
      </c>
      <c r="C5988" t="inlineStr">
        <is>
          <t xml:space="preserve">INF109KC1D77</t>
        </is>
      </c>
    </row>
    <row r="5989">
      <c r="A5989" t="inlineStr">
        <is>
          <t xml:space="preserve">ICICI Prudential Mutual Fund</t>
        </is>
      </c>
      <c r="B5989" t="inlineStr">
        <is>
          <t xml:space="preserve">ICICI Prudential Money Market Fund - Direct Plan Bonus</t>
        </is>
      </c>
      <c r="C5989" t="inlineStr">
        <is>
          <t xml:space="preserve">INF109KA1H85</t>
        </is>
      </c>
    </row>
    <row r="5990">
      <c r="A5990" t="inlineStr">
        <is>
          <t xml:space="preserve">ICICI Prudential Mutual Fund</t>
        </is>
      </c>
      <c r="B5990" t="inlineStr">
        <is>
          <t xml:space="preserve">ICICI Prudential Money Market Fund -Bonus</t>
        </is>
      </c>
      <c r="C5990" t="inlineStr">
        <is>
          <t xml:space="preserve">INF109KA1H93</t>
        </is>
      </c>
    </row>
    <row r="5991">
      <c r="A5991" t="inlineStr">
        <is>
          <t xml:space="preserve">ICICI Prudential Mutual Fund</t>
        </is>
      </c>
      <c r="B5991" t="inlineStr">
        <is>
          <t xml:space="preserve">ICICI Prudential Money Market Fund Dividend</t>
        </is>
      </c>
      <c r="C5991" t="inlineStr">
        <is>
          <t xml:space="preserve">INF109K01I72</t>
        </is>
      </c>
    </row>
    <row r="5992">
      <c r="A5992" t="inlineStr">
        <is>
          <t xml:space="preserve">ICICI Prudential Mutual Fund</t>
        </is>
      </c>
      <c r="B5992" t="inlineStr">
        <is>
          <t xml:space="preserve">ICICI Prudential Money Market Fund Option - Daily IDCW</t>
        </is>
      </c>
      <c r="C5992" t="inlineStr">
        <is>
          <t xml:space="preserve">INF109K01TY9</t>
        </is>
      </c>
    </row>
    <row r="5993">
      <c r="A5993" t="inlineStr">
        <is>
          <t xml:space="preserve">ICICI Prudential Mutual Fund</t>
        </is>
      </c>
      <c r="B5993" t="inlineStr">
        <is>
          <t xml:space="preserve">ICICI Prudential Money Market Fund Option - Direct Plan -  Daily IDCW</t>
        </is>
      </c>
      <c r="C5993" t="inlineStr">
        <is>
          <t xml:space="preserve">INF109K01R22</t>
        </is>
      </c>
    </row>
    <row r="5994">
      <c r="A5994" t="inlineStr">
        <is>
          <t xml:space="preserve">ICICI Prudential Mutual Fund</t>
        </is>
      </c>
      <c r="B5994" t="inlineStr">
        <is>
          <t xml:space="preserve">ICICI Prudential Money Market Fund Option - Direct Plan -  Fortnightly IDCW</t>
        </is>
      </c>
      <c r="C5994" t="inlineStr">
        <is>
          <t xml:space="preserve">INF109K01R55</t>
        </is>
      </c>
    </row>
    <row r="5995">
      <c r="A5995" t="inlineStr">
        <is>
          <t xml:space="preserve">ICICI Prudential Mutual Fund</t>
        </is>
      </c>
      <c r="B5995" t="inlineStr">
        <is>
          <t xml:space="preserve">ICICI Prudential Money Market Fund Option - Direct Plan -  Growth</t>
        </is>
      </c>
      <c r="C5995" t="inlineStr">
        <is>
          <t xml:space="preserve">INF109K01R14</t>
        </is>
      </c>
    </row>
    <row r="5996">
      <c r="A5996" t="inlineStr">
        <is>
          <t xml:space="preserve">ICICI Prudential Mutual Fund</t>
        </is>
      </c>
      <c r="B5996" t="inlineStr">
        <is>
          <t xml:space="preserve">ICICI Prudential Money Market Fund Option - Direct Plan -  IDCW Others</t>
        </is>
      </c>
      <c r="C5996" t="inlineStr">
        <is>
          <t xml:space="preserve">INF109K01R30</t>
        </is>
      </c>
    </row>
    <row r="5997">
      <c r="A5997" t="inlineStr">
        <is>
          <t xml:space="preserve">ICICI Prudential Mutual Fund</t>
        </is>
      </c>
      <c r="B5997" t="inlineStr">
        <is>
          <t xml:space="preserve">ICICI Prudential Money Market Fund Option - Direct Plan -  Monthly IDCW</t>
        </is>
      </c>
      <c r="C5997" t="inlineStr">
        <is>
          <t xml:space="preserve">INF109K01R63</t>
        </is>
      </c>
    </row>
    <row r="5998">
      <c r="A5998" t="inlineStr">
        <is>
          <t xml:space="preserve">ICICI Prudential Mutual Fund</t>
        </is>
      </c>
      <c r="B5998" t="inlineStr">
        <is>
          <t xml:space="preserve">ICICI Prudential Money Market Fund Option - Direct Plan -  Weekly IDCW</t>
        </is>
      </c>
      <c r="C5998" t="inlineStr">
        <is>
          <t xml:space="preserve">INF109K01R89</t>
        </is>
      </c>
    </row>
    <row r="5999">
      <c r="A5999" t="inlineStr">
        <is>
          <t xml:space="preserve">ICICI Prudential Mutual Fund</t>
        </is>
      </c>
      <c r="B5999" t="inlineStr">
        <is>
          <t xml:space="preserve">ICICI Prudential Money Market Fund Option - Growth</t>
        </is>
      </c>
      <c r="C5999" t="inlineStr">
        <is>
          <t xml:space="preserve">INF109K01TX1</t>
        </is>
      </c>
    </row>
    <row r="6000">
      <c r="A6000" t="inlineStr">
        <is>
          <t xml:space="preserve">ICICI Prudential Mutual Fund</t>
        </is>
      </c>
      <c r="B6000" t="inlineStr">
        <is>
          <t xml:space="preserve">ICICI Prudential Money Market Fund Option - IDCW Others</t>
        </is>
      </c>
      <c r="C6000" t="inlineStr">
        <is>
          <t xml:space="preserve">INF109K01I64</t>
        </is>
      </c>
    </row>
    <row r="6001">
      <c r="A6001" t="inlineStr">
        <is>
          <t xml:space="preserve">ICICI Prudential Mutual Fund</t>
        </is>
      </c>
      <c r="B6001" t="inlineStr">
        <is>
          <t xml:space="preserve">ICICI Prudential Money Market Fund Option - Monthly IDCW</t>
        </is>
      </c>
      <c r="C6001" t="inlineStr">
        <is>
          <t xml:space="preserve">INF109K01UC3</t>
        </is>
      </c>
    </row>
    <row r="6002">
      <c r="A6002" t="inlineStr">
        <is>
          <t xml:space="preserve">ICICI Prudential Mutual Fund</t>
        </is>
      </c>
      <c r="B6002" t="inlineStr">
        <is>
          <t xml:space="preserve">ICICI Prudential Money Market Fund Option - Weekly IDCW</t>
        </is>
      </c>
      <c r="C6002" t="inlineStr">
        <is>
          <t xml:space="preserve">INF109K01TZ6</t>
        </is>
      </c>
    </row>
    <row r="6003">
      <c r="A6003" t="inlineStr">
        <is>
          <t xml:space="preserve">ICICI Prudential Mutual Fund</t>
        </is>
      </c>
      <c r="B6003" t="inlineStr">
        <is>
          <t xml:space="preserve">ICICI Prudential Money Market Fund Option -Fortnightly IDCW</t>
        </is>
      </c>
      <c r="C6003" t="inlineStr">
        <is>
          <t xml:space="preserve">INF109K01UA7</t>
        </is>
      </c>
    </row>
    <row r="6004">
      <c r="A6004" t="inlineStr">
        <is>
          <t xml:space="preserve">ICICI Prudential Mutual Fund</t>
        </is>
      </c>
      <c r="B6004" t="inlineStr">
        <is>
          <t xml:space="preserve">ICICI Prudential Money Market Fund Retail Growth (erstwhile Cash Option)</t>
        </is>
      </c>
      <c r="C6004" t="inlineStr">
        <is>
          <t xml:space="preserve">INF109K01TW3</t>
        </is>
      </c>
    </row>
    <row r="6005">
      <c r="A6005" t="inlineStr">
        <is>
          <t xml:space="preserve">ICICI Prudential Mutual Fund</t>
        </is>
      </c>
      <c r="B6005" t="inlineStr">
        <is>
          <t xml:space="preserve">ICICI Prudential Multi Sector Passive FOF - Direct Plan -  IDCW</t>
        </is>
      </c>
      <c r="C6005" t="inlineStr">
        <is>
          <t xml:space="preserve">INF109K01W33</t>
        </is>
      </c>
    </row>
    <row r="6006">
      <c r="A6006" t="inlineStr">
        <is>
          <t xml:space="preserve">ICICI Prudential Mutual Fund</t>
        </is>
      </c>
      <c r="B6006" t="inlineStr">
        <is>
          <t xml:space="preserve">ICICI Prudential Multi Sector Passive FOF - Direct Plan - Growth</t>
        </is>
      </c>
      <c r="C6006" t="inlineStr">
        <is>
          <t xml:space="preserve">INF109K01W58</t>
        </is>
      </c>
    </row>
    <row r="6007">
      <c r="A6007" t="inlineStr">
        <is>
          <t xml:space="preserve">ICICI Prudential Mutual Fund</t>
        </is>
      </c>
      <c r="B6007" t="inlineStr">
        <is>
          <t xml:space="preserve">ICICI Prudential Multi Sector Passive FOF - Growth</t>
        </is>
      </c>
      <c r="C6007" t="inlineStr">
        <is>
          <t xml:space="preserve">INF109K01795</t>
        </is>
      </c>
    </row>
    <row r="6008">
      <c r="A6008" t="inlineStr">
        <is>
          <t xml:space="preserve">ICICI Prudential Mutual Fund</t>
        </is>
      </c>
      <c r="B6008" t="inlineStr">
        <is>
          <t xml:space="preserve">ICICI Prudential Multi Sector Passive FOF - IDCW</t>
        </is>
      </c>
      <c r="C6008" t="inlineStr">
        <is>
          <t xml:space="preserve">INF109K01DW7</t>
        </is>
      </c>
    </row>
    <row r="6009">
      <c r="A6009" t="inlineStr">
        <is>
          <t xml:space="preserve">ICICI Prudential Mutual Fund</t>
        </is>
      </c>
      <c r="B6009" t="inlineStr">
        <is>
          <t xml:space="preserve">ICICI Prudential Multi-Asset Fund - Direct Plan - Growth</t>
        </is>
      </c>
      <c r="C6009" t="inlineStr">
        <is>
          <t xml:space="preserve">INF109K015K4</t>
        </is>
      </c>
    </row>
    <row r="6010">
      <c r="A6010" t="inlineStr">
        <is>
          <t xml:space="preserve">ICICI Prudential Mutual Fund</t>
        </is>
      </c>
      <c r="B6010" t="inlineStr">
        <is>
          <t xml:space="preserve">ICICI Prudential Multi-Asset Fund - Direct Plan - IDCW</t>
        </is>
      </c>
      <c r="C6010" t="inlineStr">
        <is>
          <t xml:space="preserve">INF109K013K9</t>
        </is>
      </c>
    </row>
    <row r="6011">
      <c r="A6011" t="inlineStr">
        <is>
          <t xml:space="preserve">ICICI Prudential Mutual Fund</t>
        </is>
      </c>
      <c r="B6011" t="inlineStr">
        <is>
          <t xml:space="preserve">ICICI Prudential Multi-Asset Fund - Growth</t>
        </is>
      </c>
      <c r="C6011" t="inlineStr">
        <is>
          <t xml:space="preserve">INF109K01761</t>
        </is>
      </c>
    </row>
    <row r="6012">
      <c r="A6012" t="inlineStr">
        <is>
          <t xml:space="preserve">ICICI Prudential Mutual Fund</t>
        </is>
      </c>
      <c r="B6012" t="inlineStr">
        <is>
          <t xml:space="preserve">ICICI Prudential Multi-Asset Fund - IDCW</t>
        </is>
      </c>
      <c r="C6012" t="inlineStr">
        <is>
          <t xml:space="preserve">INF109K01ED5</t>
        </is>
      </c>
    </row>
    <row r="6013">
      <c r="A6013" t="inlineStr">
        <is>
          <t xml:space="preserve">ICICI Prudential Mutual Fund</t>
        </is>
      </c>
      <c r="B6013" t="inlineStr">
        <is>
          <t xml:space="preserve">ICICI Prudential Multi-Asset Fund- Institutional Growth Option</t>
        </is>
      </c>
      <c r="C6013" t="inlineStr">
        <is>
          <t xml:space="preserve">INF109K01TN2</t>
        </is>
      </c>
    </row>
    <row r="6014">
      <c r="A6014" t="inlineStr">
        <is>
          <t xml:space="preserve">ICICI Prudential Mutual Fund</t>
        </is>
      </c>
      <c r="B6014" t="inlineStr">
        <is>
          <t xml:space="preserve">ICICI Prudential Multi-Asset Fund-Institutional Option - I</t>
        </is>
      </c>
      <c r="C6014" t="inlineStr">
        <is>
          <t xml:space="preserve">INF109K01787</t>
        </is>
      </c>
    </row>
    <row r="6015">
      <c r="A6015" t="inlineStr">
        <is>
          <t xml:space="preserve">ICICI Prudential Mutual Fund</t>
        </is>
      </c>
      <c r="B6015" t="inlineStr">
        <is>
          <t xml:space="preserve">ICICI Prudential Multicap Fund - Direct Plan -  Growth</t>
        </is>
      </c>
      <c r="C6015" t="inlineStr">
        <is>
          <t xml:space="preserve">INF109K014O9</t>
        </is>
      </c>
    </row>
    <row r="6016">
      <c r="A6016" t="inlineStr">
        <is>
          <t xml:space="preserve">ICICI Prudential Mutual Fund</t>
        </is>
      </c>
      <c r="B6016" t="inlineStr">
        <is>
          <t xml:space="preserve">ICICI Prudential Multicap Fund - Direct Plan -  IDCW</t>
        </is>
      </c>
      <c r="C6016" t="inlineStr">
        <is>
          <t xml:space="preserve">INF109K012O3</t>
        </is>
      </c>
    </row>
    <row r="6017">
      <c r="A6017" t="inlineStr">
        <is>
          <t xml:space="preserve">ICICI Prudential Mutual Fund</t>
        </is>
      </c>
      <c r="B6017" t="inlineStr">
        <is>
          <t xml:space="preserve">ICICI Prudential Multicap Fund - Growth</t>
        </is>
      </c>
      <c r="C6017" t="inlineStr">
        <is>
          <t xml:space="preserve">INF109K01613</t>
        </is>
      </c>
    </row>
    <row r="6018">
      <c r="A6018" t="inlineStr">
        <is>
          <t xml:space="preserve">ICICI Prudential Mutual Fund</t>
        </is>
      </c>
      <c r="B6018" t="inlineStr">
        <is>
          <t xml:space="preserve">ICICI Prudential Multicap Fund - IDCW</t>
        </is>
      </c>
      <c r="C6018" t="inlineStr">
        <is>
          <t xml:space="preserve">INF109K01FK7</t>
        </is>
      </c>
    </row>
    <row r="6019">
      <c r="A6019" t="inlineStr">
        <is>
          <t xml:space="preserve">ICICI Prudential Mutual Fund</t>
        </is>
      </c>
      <c r="B6019" t="inlineStr">
        <is>
          <t xml:space="preserve">ICICI Prudential Multiple Yield Fund - Series 10 - 1775 Days Plan A Cumulative Option</t>
        </is>
      </c>
      <c r="C6019" t="inlineStr">
        <is>
          <t xml:space="preserve">INF109KB1ON5</t>
        </is>
      </c>
    </row>
    <row r="6020">
      <c r="A6020" t="inlineStr">
        <is>
          <t xml:space="preserve">ICICI Prudential Mutual Fund</t>
        </is>
      </c>
      <c r="B6020" t="inlineStr">
        <is>
          <t xml:space="preserve">ICICI Prudential Multiple Yield Fund - Series 10 - 1775 Days Plan A Direct Plan Cumulative Option</t>
        </is>
      </c>
      <c r="C6020" t="inlineStr">
        <is>
          <t xml:space="preserve">INF109KB1OP0</t>
        </is>
      </c>
    </row>
    <row r="6021">
      <c r="A6021" t="inlineStr">
        <is>
          <t xml:space="preserve">ICICI Prudential Mutual Fund</t>
        </is>
      </c>
      <c r="B6021" t="inlineStr">
        <is>
          <t xml:space="preserve">ICICI Prudential Multiple Yield Fund - Series 10 - 1775 Days Plan A Direct Plan Dividend Option</t>
        </is>
      </c>
      <c r="C6021" t="inlineStr">
        <is>
          <t xml:space="preserve">INF109KB1OQ8</t>
        </is>
      </c>
    </row>
    <row r="6022">
      <c r="A6022" t="inlineStr">
        <is>
          <t xml:space="preserve">ICICI Prudential Mutual Fund</t>
        </is>
      </c>
      <c r="B6022" t="inlineStr">
        <is>
          <t xml:space="preserve">ICICI Prudential Multiple Yield Fund - Series 10 - 1775 Days Plan A Dividend Option</t>
        </is>
      </c>
      <c r="C6022" t="inlineStr">
        <is>
          <t xml:space="preserve">INF109KB1OO3</t>
        </is>
      </c>
    </row>
    <row r="6023">
      <c r="A6023" t="inlineStr">
        <is>
          <t xml:space="preserve">ICICI Prudential Mutual Fund</t>
        </is>
      </c>
      <c r="B6023" t="inlineStr">
        <is>
          <t xml:space="preserve">ICICI Prudential Multiple Yield Fund - Series 10 - 1825 Days Plan B Cumulative Option</t>
        </is>
      </c>
      <c r="C6023" t="inlineStr">
        <is>
          <t xml:space="preserve">INF109KB1PD3</t>
        </is>
      </c>
    </row>
    <row r="6024">
      <c r="A6024" t="inlineStr">
        <is>
          <t xml:space="preserve">ICICI Prudential Mutual Fund</t>
        </is>
      </c>
      <c r="B6024" t="inlineStr">
        <is>
          <t xml:space="preserve">ICICI Prudential Multiple Yield Fund - Series 10 - 1825 Days Plan B Direct Plan Cumulative Option</t>
        </is>
      </c>
      <c r="C6024" t="inlineStr">
        <is>
          <t xml:space="preserve">INF109KB1PE1</t>
        </is>
      </c>
    </row>
    <row r="6025">
      <c r="A6025" t="inlineStr">
        <is>
          <t xml:space="preserve">ICICI Prudential Mutual Fund</t>
        </is>
      </c>
      <c r="B6025" t="inlineStr">
        <is>
          <t xml:space="preserve">ICICI Prudential Multiple Yield Fund - Series 10 - 1825 Days Plan B Direct Plan Dividend Option</t>
        </is>
      </c>
      <c r="C6025" t="inlineStr">
        <is>
          <t xml:space="preserve">INF109KB1PF8</t>
        </is>
      </c>
    </row>
    <row r="6026">
      <c r="A6026" t="inlineStr">
        <is>
          <t xml:space="preserve">ICICI Prudential Mutual Fund</t>
        </is>
      </c>
      <c r="B6026" t="inlineStr">
        <is>
          <t xml:space="preserve">ICICI Prudential Multiple Yield Fund - Series 10 - 1825 Days Plan B Dividend Option</t>
        </is>
      </c>
      <c r="C6026" t="inlineStr">
        <is>
          <t xml:space="preserve">INF109KB1PG6</t>
        </is>
      </c>
    </row>
    <row r="6027">
      <c r="A6027" t="inlineStr">
        <is>
          <t xml:space="preserve">ICICI Prudential Mutual Fund</t>
        </is>
      </c>
      <c r="B6027" t="inlineStr">
        <is>
          <t xml:space="preserve">ICICI Prudential Multiple Yield Fund - Series 11 - Plan A 1427 Days Cumulative Option</t>
        </is>
      </c>
      <c r="C6027" t="inlineStr">
        <is>
          <t xml:space="preserve">INF109KB1YE3</t>
        </is>
      </c>
    </row>
    <row r="6028">
      <c r="A6028" t="inlineStr">
        <is>
          <t xml:space="preserve">ICICI Prudential Mutual Fund</t>
        </is>
      </c>
      <c r="B6028" t="inlineStr">
        <is>
          <t xml:space="preserve">ICICI Prudential Multiple Yield Fund - Series 11 - Plan A 1427 Days Direct Plan Cumulative Option</t>
        </is>
      </c>
      <c r="C6028" t="inlineStr">
        <is>
          <t xml:space="preserve">INF109KB1YC7</t>
        </is>
      </c>
    </row>
    <row r="6029">
      <c r="A6029" t="inlineStr">
        <is>
          <t xml:space="preserve">ICICI Prudential Mutual Fund</t>
        </is>
      </c>
      <c r="B6029" t="inlineStr">
        <is>
          <t xml:space="preserve">ICICI Prudential Multiple Yield Fund - Series 11 - Plan A 1427 Days Direct Plan Dividend Option</t>
        </is>
      </c>
      <c r="C6029" t="inlineStr">
        <is>
          <t xml:space="preserve">INF109KB1YD5</t>
        </is>
      </c>
    </row>
    <row r="6030">
      <c r="A6030" t="inlineStr">
        <is>
          <t xml:space="preserve">ICICI Prudential Mutual Fund</t>
        </is>
      </c>
      <c r="B6030" t="inlineStr">
        <is>
          <t xml:space="preserve">ICICI Prudential Multiple Yield Fund - Series 11 - Plan A 1427 Days Dividend Option</t>
        </is>
      </c>
      <c r="C6030" t="inlineStr">
        <is>
          <t xml:space="preserve">INF109KB1YF0</t>
        </is>
      </c>
    </row>
    <row r="6031">
      <c r="A6031" t="inlineStr">
        <is>
          <t xml:space="preserve">ICICI Prudential Mutual Fund</t>
        </is>
      </c>
      <c r="B6031" t="inlineStr">
        <is>
          <t xml:space="preserve">ICICI Prudential Multiple Yield Fund - Series 11 - Plan B 1394 Days Cumulative Option</t>
        </is>
      </c>
      <c r="C6031" t="inlineStr">
        <is>
          <t xml:space="preserve">INF109KB1ZW2</t>
        </is>
      </c>
    </row>
    <row r="6032">
      <c r="A6032" t="inlineStr">
        <is>
          <t xml:space="preserve">ICICI Prudential Mutual Fund</t>
        </is>
      </c>
      <c r="B6032" t="inlineStr">
        <is>
          <t xml:space="preserve">ICICI Prudential Multiple Yield Fund - Series 11 - Plan B 1394 Days Direct Plan Cumulative Option</t>
        </is>
      </c>
      <c r="C6032" t="inlineStr">
        <is>
          <t xml:space="preserve">INF109KB1ZU6</t>
        </is>
      </c>
    </row>
    <row r="6033">
      <c r="A6033" t="inlineStr">
        <is>
          <t xml:space="preserve">ICICI Prudential Mutual Fund</t>
        </is>
      </c>
      <c r="B6033" t="inlineStr">
        <is>
          <t xml:space="preserve">ICICI Prudential Multiple Yield Fund - Series 11 - Plan B 1394 Days Direct Plan Dividend Option</t>
        </is>
      </c>
      <c r="C6033" t="inlineStr">
        <is>
          <t xml:space="preserve">INF109KB1ZV4</t>
        </is>
      </c>
    </row>
    <row r="6034">
      <c r="A6034" t="inlineStr">
        <is>
          <t xml:space="preserve">ICICI Prudential Mutual Fund</t>
        </is>
      </c>
      <c r="B6034" t="inlineStr">
        <is>
          <t xml:space="preserve">ICICI Prudential Multiple Yield Fund - Series 11 - Plan B 1394 Days Dividend Option</t>
        </is>
      </c>
      <c r="C6034" t="inlineStr">
        <is>
          <t xml:space="preserve">INF109KB1ZX0</t>
        </is>
      </c>
    </row>
    <row r="6035">
      <c r="A6035" t="inlineStr">
        <is>
          <t xml:space="preserve">ICICI Prudential Mutual Fund</t>
        </is>
      </c>
      <c r="B6035" t="inlineStr">
        <is>
          <t xml:space="preserve">ICICI Prudential Multiple Yield Fund - Series 11 - Plan C 1387 Days Cumulative Option</t>
        </is>
      </c>
      <c r="C6035" t="inlineStr">
        <is>
          <t xml:space="preserve">INF109KB1G50</t>
        </is>
      </c>
    </row>
    <row r="6036">
      <c r="A6036" t="inlineStr">
        <is>
          <t xml:space="preserve">ICICI Prudential Mutual Fund</t>
        </is>
      </c>
      <c r="B6036" t="inlineStr">
        <is>
          <t xml:space="preserve">ICICI Prudential Multiple Yield Fund - Series 11 - Plan C 1387 Days Direct Plan Cumulative Option</t>
        </is>
      </c>
      <c r="C6036" t="inlineStr">
        <is>
          <t xml:space="preserve">INF109KB1G35</t>
        </is>
      </c>
    </row>
    <row r="6037">
      <c r="A6037" t="inlineStr">
        <is>
          <t xml:space="preserve">ICICI Prudential Mutual Fund</t>
        </is>
      </c>
      <c r="B6037" t="inlineStr">
        <is>
          <t xml:space="preserve">ICICI Prudential Multiple Yield Fund - Series 11 - Plan C 1387 Days Direct Plan Dividend Option</t>
        </is>
      </c>
      <c r="C6037" t="inlineStr">
        <is>
          <t xml:space="preserve">INF109KB1G27</t>
        </is>
      </c>
    </row>
    <row r="6038">
      <c r="A6038" t="inlineStr">
        <is>
          <t xml:space="preserve">ICICI Prudential Mutual Fund</t>
        </is>
      </c>
      <c r="B6038" t="inlineStr">
        <is>
          <t xml:space="preserve">ICICI Prudential Multiple Yield Fund - Series 11 - Plan C 1387 Days Dividend Option</t>
        </is>
      </c>
      <c r="C6038" t="inlineStr">
        <is>
          <t xml:space="preserve">INF109KB1G43</t>
        </is>
      </c>
    </row>
    <row r="6039">
      <c r="A6039" t="inlineStr">
        <is>
          <t xml:space="preserve">ICICI Prudential Mutual Fund</t>
        </is>
      </c>
      <c r="B6039" t="inlineStr">
        <is>
          <t xml:space="preserve">ICICI Prudential Multiple Yield Fund - Series 11 - Plan D 1361 Days - Cumulative Option</t>
        </is>
      </c>
      <c r="C6039" t="inlineStr">
        <is>
          <t xml:space="preserve">INF109KB1J24</t>
        </is>
      </c>
    </row>
    <row r="6040">
      <c r="A6040" t="inlineStr">
        <is>
          <t xml:space="preserve">ICICI Prudential Mutual Fund</t>
        </is>
      </c>
      <c r="B6040" t="inlineStr">
        <is>
          <t xml:space="preserve">ICICI Prudential Multiple Yield Fund - Series 11 - Plan D 1361 Days - Direct Plan - Cumulative Option</t>
        </is>
      </c>
      <c r="C6040" t="inlineStr">
        <is>
          <t xml:space="preserve">INF109KB1J08</t>
        </is>
      </c>
    </row>
    <row r="6041">
      <c r="A6041" t="inlineStr">
        <is>
          <t xml:space="preserve">ICICI Prudential Mutual Fund</t>
        </is>
      </c>
      <c r="B6041" t="inlineStr">
        <is>
          <t xml:space="preserve">ICICI Prudential Multiple Yield Fund - Series 11 - Plan D 1361 Days - Direct Plan - Dividend Option</t>
        </is>
      </c>
      <c r="C6041" t="inlineStr">
        <is>
          <t xml:space="preserve">INF109KB1J16</t>
        </is>
      </c>
    </row>
    <row r="6042">
      <c r="A6042" t="inlineStr">
        <is>
          <t xml:space="preserve">ICICI Prudential Mutual Fund</t>
        </is>
      </c>
      <c r="B6042" t="inlineStr">
        <is>
          <t xml:space="preserve">ICICI Prudential Multiple Yield Fund - Series 11 - Plan D 1361 Days - Dividend Option</t>
        </is>
      </c>
      <c r="C6042" t="inlineStr">
        <is>
          <t xml:space="preserve">INF109KB1J32</t>
        </is>
      </c>
    </row>
    <row r="6043">
      <c r="A6043" t="inlineStr">
        <is>
          <t xml:space="preserve">ICICI Prudential Mutual Fund</t>
        </is>
      </c>
      <c r="B6043" t="inlineStr">
        <is>
          <t xml:space="preserve">ICICI Prudential Multiple Yield Fund - Series 14 - Plan A 1228 Days Cumulative Option</t>
        </is>
      </c>
      <c r="C6043" t="inlineStr">
        <is>
          <t xml:space="preserve">INF109KC1630</t>
        </is>
      </c>
    </row>
    <row r="6044">
      <c r="A6044" t="inlineStr">
        <is>
          <t xml:space="preserve">ICICI Prudential Mutual Fund</t>
        </is>
      </c>
      <c r="B6044" t="inlineStr">
        <is>
          <t xml:space="preserve">ICICI Prudential Multiple Yield Fund - Series 14 - Plan A 1228 Days Direct Plan Cumulative Option</t>
        </is>
      </c>
      <c r="C6044" t="inlineStr">
        <is>
          <t xml:space="preserve">INF109KC1655</t>
        </is>
      </c>
    </row>
    <row r="6045">
      <c r="A6045" t="inlineStr">
        <is>
          <t xml:space="preserve">ICICI Prudential Mutual Fund</t>
        </is>
      </c>
      <c r="B6045" t="inlineStr">
        <is>
          <t xml:space="preserve">ICICI Prudential Multiple Yield Fund - Series 14 - Plan A 1228 Days Direct Plan IDCW Option</t>
        </is>
      </c>
      <c r="C6045" t="inlineStr">
        <is>
          <t xml:space="preserve">INF109KC1663</t>
        </is>
      </c>
    </row>
    <row r="6046">
      <c r="A6046" t="inlineStr">
        <is>
          <t xml:space="preserve">ICICI Prudential Mutual Fund</t>
        </is>
      </c>
      <c r="B6046" t="inlineStr">
        <is>
          <t xml:space="preserve">ICICI Prudential Multiple Yield Fund - Series 14 - Plan A 1228 Days IDCW Option</t>
        </is>
      </c>
      <c r="C6046" t="inlineStr">
        <is>
          <t xml:space="preserve">INF109KC1648</t>
        </is>
      </c>
    </row>
    <row r="6047">
      <c r="A6047" t="inlineStr">
        <is>
          <t xml:space="preserve">ICICI Prudential Mutual Fund</t>
        </is>
      </c>
      <c r="B6047" t="inlineStr">
        <is>
          <t xml:space="preserve">ICICI Prudential Multiple Yield Fund - Series 3 - Plan A - Cumulative</t>
        </is>
      </c>
      <c r="C6047" t="inlineStr">
        <is>
          <t xml:space="preserve">INF109K017R5</t>
        </is>
      </c>
    </row>
    <row r="6048">
      <c r="A6048" t="inlineStr">
        <is>
          <t xml:space="preserve">ICICI Prudential Mutual Fund</t>
        </is>
      </c>
      <c r="B6048" t="inlineStr">
        <is>
          <t xml:space="preserve">ICICI Prudential Multiple Yield Fund - Series 3 - Plan A - Direct Plan - Cumulative</t>
        </is>
      </c>
      <c r="C6048" t="inlineStr">
        <is>
          <t xml:space="preserve">INF109K019R1</t>
        </is>
      </c>
    </row>
    <row r="6049">
      <c r="A6049" t="inlineStr">
        <is>
          <t xml:space="preserve">ICICI Prudential Mutual Fund</t>
        </is>
      </c>
      <c r="B6049" t="inlineStr">
        <is>
          <t xml:space="preserve">ICICI Prudential Multiple Yield Fund - Series 3 - Plan A - Direct Plan - Dividend</t>
        </is>
      </c>
      <c r="C6049" t="inlineStr">
        <is>
          <t xml:space="preserve">INF109K010S8</t>
        </is>
      </c>
    </row>
    <row r="6050">
      <c r="A6050" t="inlineStr">
        <is>
          <t xml:space="preserve">ICICI Prudential Mutual Fund</t>
        </is>
      </c>
      <c r="B6050" t="inlineStr">
        <is>
          <t xml:space="preserve">ICICI Prudential Multiple Yield Fund - Series 3 - Plan A -Dividend</t>
        </is>
      </c>
      <c r="C6050" t="inlineStr">
        <is>
          <t xml:space="preserve">INF109K018R3</t>
        </is>
      </c>
    </row>
    <row r="6051">
      <c r="A6051" t="inlineStr">
        <is>
          <t xml:space="preserve">ICICI Prudential Mutual Fund</t>
        </is>
      </c>
      <c r="B6051" t="inlineStr">
        <is>
          <t xml:space="preserve">ICICI Prudential Multiple Yield Fund - Series 3 - Plan B - Cumulative</t>
        </is>
      </c>
      <c r="C6051" t="inlineStr">
        <is>
          <t xml:space="preserve">INF109K013X2</t>
        </is>
      </c>
    </row>
    <row r="6052">
      <c r="A6052" t="inlineStr">
        <is>
          <t xml:space="preserve">ICICI Prudential Mutual Fund</t>
        </is>
      </c>
      <c r="B6052" t="inlineStr">
        <is>
          <t xml:space="preserve">ICICI Prudential Multiple Yield Fund - Series 3 - Plan B - Direct Plan - Cumulative</t>
        </is>
      </c>
      <c r="C6052" t="inlineStr">
        <is>
          <t xml:space="preserve">INF109K015X7</t>
        </is>
      </c>
    </row>
    <row r="6053">
      <c r="A6053" t="inlineStr">
        <is>
          <t xml:space="preserve">ICICI Prudential Mutual Fund</t>
        </is>
      </c>
      <c r="B6053" t="inlineStr">
        <is>
          <t xml:space="preserve">ICICI Prudential Multiple Yield Fund - Series 3 - Plan B - Direct Plan - Dividend</t>
        </is>
      </c>
      <c r="C6053" t="inlineStr">
        <is>
          <t xml:space="preserve">INF109K016X5</t>
        </is>
      </c>
    </row>
    <row r="6054">
      <c r="A6054" t="inlineStr">
        <is>
          <t xml:space="preserve">ICICI Prudential Mutual Fund</t>
        </is>
      </c>
      <c r="B6054" t="inlineStr">
        <is>
          <t xml:space="preserve">ICICI Prudential Multiple Yield Fund - Series 3 - Plan B -Dividend</t>
        </is>
      </c>
      <c r="C6054" t="inlineStr">
        <is>
          <t xml:space="preserve">INF109K014X0</t>
        </is>
      </c>
    </row>
    <row r="6055">
      <c r="A6055" t="inlineStr">
        <is>
          <t xml:space="preserve">ICICI Prudential Mutual Fund</t>
        </is>
      </c>
      <c r="B6055" t="inlineStr">
        <is>
          <t xml:space="preserve">ICICI Prudential Multiple Yield Fund - Series 3 - Plan C - Cumulative</t>
        </is>
      </c>
      <c r="C6055" t="inlineStr">
        <is>
          <t xml:space="preserve">INF109KA1087</t>
        </is>
      </c>
    </row>
    <row r="6056">
      <c r="A6056" t="inlineStr">
        <is>
          <t xml:space="preserve">ICICI Prudential Mutual Fund</t>
        </is>
      </c>
      <c r="B6056" t="inlineStr">
        <is>
          <t xml:space="preserve">ICICI Prudential Multiple Yield Fund - Series 3 - Plan C - Direct Plan - Cumulative</t>
        </is>
      </c>
      <c r="C6056" t="inlineStr">
        <is>
          <t xml:space="preserve">INF109KA1079</t>
        </is>
      </c>
    </row>
    <row r="6057">
      <c r="A6057" t="inlineStr">
        <is>
          <t xml:space="preserve">ICICI Prudential Mutual Fund</t>
        </is>
      </c>
      <c r="B6057" t="inlineStr">
        <is>
          <t xml:space="preserve">ICICI Prudential Multiple Yield Fund - Series 3 - Plan C - Direct Plan - Dividend</t>
        </is>
      </c>
      <c r="C6057" t="inlineStr">
        <is>
          <t xml:space="preserve">INF109KA1061</t>
        </is>
      </c>
    </row>
    <row r="6058">
      <c r="A6058" t="inlineStr">
        <is>
          <t xml:space="preserve">ICICI Prudential Mutual Fund</t>
        </is>
      </c>
      <c r="B6058" t="inlineStr">
        <is>
          <t xml:space="preserve">ICICI Prudential Multiple Yield Fund - Series 3 - Plan C -Dividend</t>
        </is>
      </c>
      <c r="C6058" t="inlineStr">
        <is>
          <t xml:space="preserve">INF109KA1095</t>
        </is>
      </c>
    </row>
    <row r="6059">
      <c r="A6059" t="inlineStr">
        <is>
          <t xml:space="preserve">ICICI Prudential Mutual Fund</t>
        </is>
      </c>
      <c r="B6059" t="inlineStr">
        <is>
          <t xml:space="preserve">ICICI Prudential Multiple Yield Fund - Series 3 - Plan D - Cumulative</t>
        </is>
      </c>
      <c r="C6059" t="inlineStr">
        <is>
          <t xml:space="preserve">INF109KB1WM0</t>
        </is>
      </c>
    </row>
    <row r="6060">
      <c r="A6060" t="inlineStr">
        <is>
          <t xml:space="preserve">ICICI Prudential Mutual Fund</t>
        </is>
      </c>
      <c r="B6060" t="inlineStr">
        <is>
          <t xml:space="preserve">ICICI Prudential Multiple Yield Fund - Series 3 - Plan D - Direct Plan - Cumulative</t>
        </is>
      </c>
      <c r="C6060" t="inlineStr">
        <is>
          <t xml:space="preserve">INF109KB1WO6</t>
        </is>
      </c>
    </row>
    <row r="6061">
      <c r="A6061" t="inlineStr">
        <is>
          <t xml:space="preserve">ICICI Prudential Mutual Fund</t>
        </is>
      </c>
      <c r="B6061" t="inlineStr">
        <is>
          <t xml:space="preserve">ICICI Prudential Multiple Yield Fund - Series 3 - Plan D - Direct Plan - Dividend</t>
        </is>
      </c>
      <c r="C6061" t="inlineStr">
        <is>
          <t xml:space="preserve">INF109KB1WP3</t>
        </is>
      </c>
    </row>
    <row r="6062">
      <c r="A6062" t="inlineStr">
        <is>
          <t xml:space="preserve">ICICI Prudential Mutual Fund</t>
        </is>
      </c>
      <c r="B6062" t="inlineStr">
        <is>
          <t xml:space="preserve">ICICI Prudential Multiple Yield Fund - Series 3 - Plan D -Dividend</t>
        </is>
      </c>
      <c r="C6062" t="inlineStr">
        <is>
          <t xml:space="preserve">INF109KB1WN8</t>
        </is>
      </c>
    </row>
    <row r="6063">
      <c r="A6063" t="inlineStr">
        <is>
          <t xml:space="preserve">ICICI Prudential Mutual Fund</t>
        </is>
      </c>
      <c r="B6063" t="inlineStr">
        <is>
          <t xml:space="preserve">ICICI Prudential Multiple Yield Fund - Series 4 - 1100 Days - Plan C - Cumulative</t>
        </is>
      </c>
      <c r="C6063" t="inlineStr">
        <is>
          <t xml:space="preserve">INF109KA1442</t>
        </is>
      </c>
    </row>
    <row r="6064">
      <c r="A6064" t="inlineStr">
        <is>
          <t xml:space="preserve">ICICI Prudential Mutual Fund</t>
        </is>
      </c>
      <c r="B6064" t="inlineStr">
        <is>
          <t xml:space="preserve">ICICI Prudential Multiple Yield Fund - Series 4 - 1100 Days - Plan C - Direct Plan - Cumulative</t>
        </is>
      </c>
      <c r="C6064" t="inlineStr">
        <is>
          <t xml:space="preserve">INF109KA1467</t>
        </is>
      </c>
    </row>
    <row r="6065">
      <c r="A6065" t="inlineStr">
        <is>
          <t xml:space="preserve">ICICI Prudential Mutual Fund</t>
        </is>
      </c>
      <c r="B6065" t="inlineStr">
        <is>
          <t xml:space="preserve">ICICI Prudential Multiple Yield Fund - Series 4 - 1100 Days - Plan C - Direct Plan - Dividend</t>
        </is>
      </c>
      <c r="C6065" t="inlineStr">
        <is>
          <t xml:space="preserve">INF109KA1475</t>
        </is>
      </c>
    </row>
    <row r="6066">
      <c r="A6066" t="inlineStr">
        <is>
          <t xml:space="preserve">ICICI Prudential Mutual Fund</t>
        </is>
      </c>
      <c r="B6066" t="inlineStr">
        <is>
          <t xml:space="preserve">ICICI Prudential Multiple Yield Fund - Series 4 - 1100 Days - Plan C - Dividend</t>
        </is>
      </c>
      <c r="C6066" t="inlineStr">
        <is>
          <t xml:space="preserve">INF109KA1459</t>
        </is>
      </c>
    </row>
    <row r="6067">
      <c r="A6067" t="inlineStr">
        <is>
          <t xml:space="preserve">ICICI Prudential Mutual Fund</t>
        </is>
      </c>
      <c r="B6067" t="inlineStr">
        <is>
          <t xml:space="preserve">ICICI Prudential Multiple Yield Fund - Series 4 - 1100 Days - Plan E - Cumulative</t>
        </is>
      </c>
      <c r="C6067" t="inlineStr">
        <is>
          <t xml:space="preserve">INF109KA1806</t>
        </is>
      </c>
    </row>
    <row r="6068">
      <c r="A6068" t="inlineStr">
        <is>
          <t xml:space="preserve">ICICI Prudential Mutual Fund</t>
        </is>
      </c>
      <c r="B6068" t="inlineStr">
        <is>
          <t xml:space="preserve">ICICI Prudential Multiple Yield Fund - Series 4 - 1100 Days - Plan E - Direct Plan - Cumulative</t>
        </is>
      </c>
      <c r="C6068" t="inlineStr">
        <is>
          <t xml:space="preserve">INF109KA1822</t>
        </is>
      </c>
    </row>
    <row r="6069">
      <c r="A6069" t="inlineStr">
        <is>
          <t xml:space="preserve">ICICI Prudential Mutual Fund</t>
        </is>
      </c>
      <c r="B6069" t="inlineStr">
        <is>
          <t xml:space="preserve">ICICI Prudential Multiple Yield Fund - Series 4 - 1100 Days - Plan E - Direct Plan - Dividend</t>
        </is>
      </c>
      <c r="C6069" t="inlineStr">
        <is>
          <t xml:space="preserve">INF109KA1830</t>
        </is>
      </c>
    </row>
    <row r="6070">
      <c r="A6070" t="inlineStr">
        <is>
          <t xml:space="preserve">ICICI Prudential Mutual Fund</t>
        </is>
      </c>
      <c r="B6070" t="inlineStr">
        <is>
          <t xml:space="preserve">ICICI Prudential Multiple Yield Fund - Series 4 - 1100 Days - Plan E -Dividend</t>
        </is>
      </c>
      <c r="C6070" t="inlineStr">
        <is>
          <t xml:space="preserve">INF109KA1814</t>
        </is>
      </c>
    </row>
    <row r="6071">
      <c r="A6071" t="inlineStr">
        <is>
          <t xml:space="preserve">ICICI Prudential Mutual Fund</t>
        </is>
      </c>
      <c r="B6071" t="inlineStr">
        <is>
          <t xml:space="preserve">ICICI Prudential Multiple Yield Fund - Series 4 - 1825 Days - Plan A - Direct Plan - Cumulative</t>
        </is>
      </c>
      <c r="C6071" t="inlineStr">
        <is>
          <t xml:space="preserve">INF109KA1285</t>
        </is>
      </c>
    </row>
    <row r="6072">
      <c r="A6072" t="inlineStr">
        <is>
          <t xml:space="preserve">ICICI Prudential Mutual Fund</t>
        </is>
      </c>
      <c r="B6072" t="inlineStr">
        <is>
          <t xml:space="preserve">ICICI Prudential Multiple Yield Fund - Series 4 - 1825 Days - Plan A - Direct Plan - Dividend</t>
        </is>
      </c>
      <c r="C6072" t="inlineStr">
        <is>
          <t xml:space="preserve">INF109KA1293</t>
        </is>
      </c>
    </row>
    <row r="6073">
      <c r="A6073" t="inlineStr">
        <is>
          <t xml:space="preserve">ICICI Prudential Mutual Fund</t>
        </is>
      </c>
      <c r="B6073" t="inlineStr">
        <is>
          <t xml:space="preserve">ICICI Prudential Multiple Yield Fund - Series 4 - 1825 Days - Plan A - Dividend</t>
        </is>
      </c>
      <c r="C6073" t="inlineStr">
        <is>
          <t xml:space="preserve">INF109KA1277</t>
        </is>
      </c>
    </row>
    <row r="6074">
      <c r="A6074" t="inlineStr">
        <is>
          <t xml:space="preserve">ICICI Prudential Mutual Fund</t>
        </is>
      </c>
      <c r="B6074" t="inlineStr">
        <is>
          <t xml:space="preserve">ICICI Prudential Multiple Yield Fund - Series 4 - 1825 Days - Plan A -Cumulative</t>
        </is>
      </c>
      <c r="C6074" t="inlineStr">
        <is>
          <t xml:space="preserve">INF109KA1269</t>
        </is>
      </c>
    </row>
    <row r="6075">
      <c r="A6075" t="inlineStr">
        <is>
          <t xml:space="preserve">ICICI Prudential Mutual Fund</t>
        </is>
      </c>
      <c r="B6075" t="inlineStr">
        <is>
          <t xml:space="preserve">ICICI Prudential Multiple Yield Fund - Series 4 - 1825 Days - Plan B - Cumulative</t>
        </is>
      </c>
      <c r="C6075" t="inlineStr">
        <is>
          <t xml:space="preserve">INF109KA1483</t>
        </is>
      </c>
    </row>
    <row r="6076">
      <c r="A6076" t="inlineStr">
        <is>
          <t xml:space="preserve">ICICI Prudential Mutual Fund</t>
        </is>
      </c>
      <c r="B6076" t="inlineStr">
        <is>
          <t xml:space="preserve">ICICI Prudential Multiple Yield Fund - Series 4 - 1825 Days - Plan B - Direct Plan - Cumulative</t>
        </is>
      </c>
      <c r="C6076" t="inlineStr">
        <is>
          <t xml:space="preserve">INF109KA1509</t>
        </is>
      </c>
    </row>
    <row r="6077">
      <c r="A6077" t="inlineStr">
        <is>
          <t xml:space="preserve">ICICI Prudential Mutual Fund</t>
        </is>
      </c>
      <c r="B6077" t="inlineStr">
        <is>
          <t xml:space="preserve">ICICI Prudential Multiple Yield Fund - Series 4 - 1825 Days - Plan B - Direct Plan - Dividend</t>
        </is>
      </c>
      <c r="C6077" t="inlineStr">
        <is>
          <t xml:space="preserve">INF109KA1517</t>
        </is>
      </c>
    </row>
    <row r="6078">
      <c r="A6078" t="inlineStr">
        <is>
          <t xml:space="preserve">ICICI Prudential Mutual Fund</t>
        </is>
      </c>
      <c r="B6078" t="inlineStr">
        <is>
          <t xml:space="preserve">ICICI Prudential Multiple Yield Fund - Series 4 - 1825 Days - Plan B -Dividend</t>
        </is>
      </c>
      <c r="C6078" t="inlineStr">
        <is>
          <t xml:space="preserve">INF109KA1491</t>
        </is>
      </c>
    </row>
    <row r="6079">
      <c r="A6079" t="inlineStr">
        <is>
          <t xml:space="preserve">ICICI Prudential Mutual Fund</t>
        </is>
      </c>
      <c r="B6079" t="inlineStr">
        <is>
          <t xml:space="preserve">ICICI Prudential Multiple Yield Fund - Series 4 - 1825 Days - Plan D - Cumulative</t>
        </is>
      </c>
      <c r="C6079" t="inlineStr">
        <is>
          <t xml:space="preserve">INF109KA1566</t>
        </is>
      </c>
    </row>
    <row r="6080">
      <c r="A6080" t="inlineStr">
        <is>
          <t xml:space="preserve">ICICI Prudential Mutual Fund</t>
        </is>
      </c>
      <c r="B6080" t="inlineStr">
        <is>
          <t xml:space="preserve">ICICI Prudential Multiple Yield Fund - Series 4 - 1825 Days - Plan D - Direct Plan - Cumulative</t>
        </is>
      </c>
      <c r="C6080" t="inlineStr">
        <is>
          <t xml:space="preserve">INF109KA1582</t>
        </is>
      </c>
    </row>
    <row r="6081">
      <c r="A6081" t="inlineStr">
        <is>
          <t xml:space="preserve">ICICI Prudential Mutual Fund</t>
        </is>
      </c>
      <c r="B6081" t="inlineStr">
        <is>
          <t xml:space="preserve">ICICI Prudential Multiple Yield Fund - Series 4 - 1825 Days - Plan D - Direct Plan - Dividend</t>
        </is>
      </c>
      <c r="C6081" t="inlineStr">
        <is>
          <t xml:space="preserve">INF109KA1590</t>
        </is>
      </c>
    </row>
    <row r="6082">
      <c r="A6082" t="inlineStr">
        <is>
          <t xml:space="preserve">ICICI Prudential Mutual Fund</t>
        </is>
      </c>
      <c r="B6082" t="inlineStr">
        <is>
          <t xml:space="preserve">ICICI Prudential Multiple Yield Fund - Series 4 - 1825 Days - Plan D -Dividend</t>
        </is>
      </c>
      <c r="C6082" t="inlineStr">
        <is>
          <t xml:space="preserve">INF109KA1574</t>
        </is>
      </c>
    </row>
    <row r="6083">
      <c r="A6083" t="inlineStr">
        <is>
          <t xml:space="preserve">ICICI Prudential Mutual Fund</t>
        </is>
      </c>
      <c r="B6083" t="inlineStr">
        <is>
          <t xml:space="preserve">ICICI Prudential Multiple Yield Fund - Series 5 - 1100 Days - Plan A - Cumulative</t>
        </is>
      </c>
      <c r="C6083" t="inlineStr">
        <is>
          <t xml:space="preserve">INF109KA1DH1</t>
        </is>
      </c>
    </row>
    <row r="6084">
      <c r="A6084" t="inlineStr">
        <is>
          <t xml:space="preserve">ICICI Prudential Mutual Fund</t>
        </is>
      </c>
      <c r="B6084" t="inlineStr">
        <is>
          <t xml:space="preserve">ICICI Prudential Multiple Yield Fund - Series 5 - 1100 Days - Plan A - Direct Plan - Cumulative</t>
        </is>
      </c>
      <c r="C6084" t="inlineStr">
        <is>
          <t xml:space="preserve">INF109KA1DF5</t>
        </is>
      </c>
    </row>
    <row r="6085">
      <c r="A6085" t="inlineStr">
        <is>
          <t xml:space="preserve">ICICI Prudential Mutual Fund</t>
        </is>
      </c>
      <c r="B6085" t="inlineStr">
        <is>
          <t xml:space="preserve">ICICI Prudential Multiple Yield Fund - Series 5 - 1100 Days - Plan A - Direct Plan - Dividend</t>
        </is>
      </c>
      <c r="C6085" t="inlineStr">
        <is>
          <t xml:space="preserve">INF109KA1DG3</t>
        </is>
      </c>
    </row>
    <row r="6086">
      <c r="A6086" t="inlineStr">
        <is>
          <t xml:space="preserve">ICICI Prudential Mutual Fund</t>
        </is>
      </c>
      <c r="B6086" t="inlineStr">
        <is>
          <t xml:space="preserve">ICICI Prudential Multiple Yield Fund - Series 5 - 1100 Days - Plan A - Dividend</t>
        </is>
      </c>
      <c r="C6086" t="inlineStr">
        <is>
          <t xml:space="preserve">INF109KA1DI9</t>
        </is>
      </c>
    </row>
    <row r="6087">
      <c r="A6087" t="inlineStr">
        <is>
          <t xml:space="preserve">ICICI Prudential Mutual Fund</t>
        </is>
      </c>
      <c r="B6087" t="inlineStr">
        <is>
          <t xml:space="preserve">ICICI Prudential Multiple Yield Fund - Series 5 - 1100 Days - Plan B - Direct Plan - Cumulative</t>
        </is>
      </c>
      <c r="C6087" t="inlineStr">
        <is>
          <t xml:space="preserve">INF109KA1HB5</t>
        </is>
      </c>
    </row>
    <row r="6088">
      <c r="A6088" t="inlineStr">
        <is>
          <t xml:space="preserve">ICICI Prudential Mutual Fund</t>
        </is>
      </c>
      <c r="B6088" t="inlineStr">
        <is>
          <t xml:space="preserve">ICICI Prudential Multiple Yield Fund - Series 5 - 1100 Days - Plan B - Direct Plan - Dividend</t>
        </is>
      </c>
      <c r="C6088" t="inlineStr">
        <is>
          <t xml:space="preserve">INF109KA1HC3</t>
        </is>
      </c>
    </row>
    <row r="6089">
      <c r="A6089" t="inlineStr">
        <is>
          <t xml:space="preserve">ICICI Prudential Mutual Fund</t>
        </is>
      </c>
      <c r="B6089" t="inlineStr">
        <is>
          <t xml:space="preserve">ICICI Prudential Multiple Yield Fund - Series 5 - 1100 Days - Plan B - Dividend</t>
        </is>
      </c>
      <c r="C6089" t="inlineStr">
        <is>
          <t xml:space="preserve">INF109KA1HE9</t>
        </is>
      </c>
    </row>
    <row r="6090">
      <c r="A6090" t="inlineStr">
        <is>
          <t xml:space="preserve">ICICI Prudential Mutual Fund</t>
        </is>
      </c>
      <c r="B6090" t="inlineStr">
        <is>
          <t xml:space="preserve">ICICI Prudential Multiple Yield Fund - Series 5 - 1100 Days - Plan B -Cumulative</t>
        </is>
      </c>
      <c r="C6090" t="inlineStr">
        <is>
          <t xml:space="preserve">INF109KA1HD1</t>
        </is>
      </c>
    </row>
    <row r="6091">
      <c r="A6091" t="inlineStr">
        <is>
          <t xml:space="preserve">ICICI Prudential Mutual Fund</t>
        </is>
      </c>
      <c r="B6091" t="inlineStr">
        <is>
          <t xml:space="preserve">ICICI Prudential Multiple Yield Fund - Series 5 - 1100 Days - Plan D - Direct Plan - Cumulative</t>
        </is>
      </c>
      <c r="C6091" t="inlineStr">
        <is>
          <t xml:space="preserve">INF109KA1JP1</t>
        </is>
      </c>
    </row>
    <row r="6092">
      <c r="A6092" t="inlineStr">
        <is>
          <t xml:space="preserve">ICICI Prudential Mutual Fund</t>
        </is>
      </c>
      <c r="B6092" t="inlineStr">
        <is>
          <t xml:space="preserve">ICICI Prudential Multiple Yield Fund - Series 5 - 1100 Days - Plan D - Direct Plan - Dividend</t>
        </is>
      </c>
      <c r="C6092" t="inlineStr">
        <is>
          <t xml:space="preserve">INF109KA1JQ9</t>
        </is>
      </c>
    </row>
    <row r="6093">
      <c r="A6093" t="inlineStr">
        <is>
          <t xml:space="preserve">ICICI Prudential Mutual Fund</t>
        </is>
      </c>
      <c r="B6093" t="inlineStr">
        <is>
          <t xml:space="preserve">ICICI Prudential Multiple Yield Fund - Series 5 - 1100 Days - Plan D -Cumulative</t>
        </is>
      </c>
      <c r="C6093" t="inlineStr">
        <is>
          <t xml:space="preserve">INF109KA1JN6</t>
        </is>
      </c>
    </row>
    <row r="6094">
      <c r="A6094" t="inlineStr">
        <is>
          <t xml:space="preserve">ICICI Prudential Mutual Fund</t>
        </is>
      </c>
      <c r="B6094" t="inlineStr">
        <is>
          <t xml:space="preserve">ICICI Prudential Multiple Yield Fund - Series 5 - 1100 Days - Plan D -Dividend</t>
        </is>
      </c>
      <c r="C6094" t="inlineStr">
        <is>
          <t xml:space="preserve">INF109KA1JO4</t>
        </is>
      </c>
    </row>
    <row r="6095">
      <c r="A6095" t="inlineStr">
        <is>
          <t xml:space="preserve">ICICI Prudential Mutual Fund</t>
        </is>
      </c>
      <c r="B6095" t="inlineStr">
        <is>
          <t xml:space="preserve">ICICI Prudential Multiple Yield Fund - Series 5 - 1825 Days - Plan C - Cumulative</t>
        </is>
      </c>
      <c r="C6095" t="inlineStr">
        <is>
          <t xml:space="preserve">INF109KA1JJ4</t>
        </is>
      </c>
    </row>
    <row r="6096">
      <c r="A6096" t="inlineStr">
        <is>
          <t xml:space="preserve">ICICI Prudential Mutual Fund</t>
        </is>
      </c>
      <c r="B6096" t="inlineStr">
        <is>
          <t xml:space="preserve">ICICI Prudential Multiple Yield Fund - Series 5 - 1825 Days - Plan C - Direct Plan - Cumulative</t>
        </is>
      </c>
      <c r="C6096" t="inlineStr">
        <is>
          <t xml:space="preserve">INF109KA1JL0</t>
        </is>
      </c>
    </row>
    <row r="6097">
      <c r="A6097" t="inlineStr">
        <is>
          <t xml:space="preserve">ICICI Prudential Mutual Fund</t>
        </is>
      </c>
      <c r="B6097" t="inlineStr">
        <is>
          <t xml:space="preserve">ICICI Prudential Multiple Yield Fund - Series 5 - 1825 Days - Plan C - Dividend</t>
        </is>
      </c>
      <c r="C6097" t="inlineStr">
        <is>
          <t xml:space="preserve">INF109KA1JK2</t>
        </is>
      </c>
    </row>
    <row r="6098">
      <c r="A6098" t="inlineStr">
        <is>
          <t xml:space="preserve">ICICI Prudential Mutual Fund</t>
        </is>
      </c>
      <c r="B6098" t="inlineStr">
        <is>
          <t xml:space="preserve">ICICI Prudential Multiple Yield Fund - Series 6 - 1100 Days - Plan A - Direct Plan - Cumulative</t>
        </is>
      </c>
      <c r="C6098" t="inlineStr">
        <is>
          <t xml:space="preserve">INF109KA1ND9</t>
        </is>
      </c>
    </row>
    <row r="6099">
      <c r="A6099" t="inlineStr">
        <is>
          <t xml:space="preserve">ICICI Prudential Mutual Fund</t>
        </is>
      </c>
      <c r="B6099" t="inlineStr">
        <is>
          <t xml:space="preserve">ICICI Prudential Multiple Yield Fund - Series 6 - 1100 Days - Plan A -Cumulative</t>
        </is>
      </c>
      <c r="C6099" t="inlineStr">
        <is>
          <t xml:space="preserve">INF109KA1NB3</t>
        </is>
      </c>
    </row>
    <row r="6100">
      <c r="A6100" t="inlineStr">
        <is>
          <t xml:space="preserve">ICICI Prudential Mutual Fund</t>
        </is>
      </c>
      <c r="B6100" t="inlineStr">
        <is>
          <t xml:space="preserve">ICICI Prudential Multiple Yield Fund - Series 6 - 1100 Days - Plan A -Dividend</t>
        </is>
      </c>
      <c r="C6100" t="inlineStr">
        <is>
          <t xml:space="preserve">INF109KA1NC1</t>
        </is>
      </c>
    </row>
    <row r="6101">
      <c r="A6101" t="inlineStr">
        <is>
          <t xml:space="preserve">ICICI Prudential Mutual Fund</t>
        </is>
      </c>
      <c r="B6101" t="inlineStr">
        <is>
          <t xml:space="preserve">ICICI Prudential Multiple Yield Fund - Series 6 - 1100 Days - Plan E - Direct Plan - Cumulative</t>
        </is>
      </c>
      <c r="C6101" t="inlineStr">
        <is>
          <t xml:space="preserve">INF109KA1SP2</t>
        </is>
      </c>
    </row>
    <row r="6102">
      <c r="A6102" t="inlineStr">
        <is>
          <t xml:space="preserve">ICICI Prudential Mutual Fund</t>
        </is>
      </c>
      <c r="B6102" t="inlineStr">
        <is>
          <t xml:space="preserve">ICICI Prudential Multiple Yield Fund - Series 6 - 1100 Days - Plan E - Direct Plan - Dividend</t>
        </is>
      </c>
      <c r="C6102" t="inlineStr">
        <is>
          <t xml:space="preserve">INF109KA1SQ0</t>
        </is>
      </c>
    </row>
    <row r="6103">
      <c r="A6103" t="inlineStr">
        <is>
          <t xml:space="preserve">ICICI Prudential Mutual Fund</t>
        </is>
      </c>
      <c r="B6103" t="inlineStr">
        <is>
          <t xml:space="preserve">ICICI Prudential Multiple Yield Fund - Series 6 - 1100 Days - Plan E -Cumulative</t>
        </is>
      </c>
      <c r="C6103" t="inlineStr">
        <is>
          <t xml:space="preserve">INF109KA1SN7</t>
        </is>
      </c>
    </row>
    <row r="6104">
      <c r="A6104" t="inlineStr">
        <is>
          <t xml:space="preserve">ICICI Prudential Mutual Fund</t>
        </is>
      </c>
      <c r="B6104" t="inlineStr">
        <is>
          <t xml:space="preserve">ICICI Prudential Multiple Yield Fund - Series 6 - 1100 Days - Plan E -Dividend</t>
        </is>
      </c>
      <c r="C6104" t="inlineStr">
        <is>
          <t xml:space="preserve">INF109KA1SO5</t>
        </is>
      </c>
    </row>
    <row r="6105">
      <c r="A6105" t="inlineStr">
        <is>
          <t xml:space="preserve">ICICI Prudential Mutual Fund</t>
        </is>
      </c>
      <c r="B6105" t="inlineStr">
        <is>
          <t xml:space="preserve">ICICI Prudential Multiple Yield Fund - Series 6 - 1100 Days Plan F Cumulative Option</t>
        </is>
      </c>
      <c r="C6105" t="inlineStr">
        <is>
          <t xml:space="preserve">INF109KA1UX2</t>
        </is>
      </c>
    </row>
    <row r="6106">
      <c r="A6106" t="inlineStr">
        <is>
          <t xml:space="preserve">ICICI Prudential Mutual Fund</t>
        </is>
      </c>
      <c r="B6106" t="inlineStr">
        <is>
          <t xml:space="preserve">ICICI Prudential Multiple Yield Fund - Series 6 - 1100 Days Plan F Direct Plan Cumulative Option</t>
        </is>
      </c>
      <c r="C6106" t="inlineStr">
        <is>
          <t xml:space="preserve">INF109KA1UZ7</t>
        </is>
      </c>
    </row>
    <row r="6107">
      <c r="A6107" t="inlineStr">
        <is>
          <t xml:space="preserve">ICICI Prudential Mutual Fund</t>
        </is>
      </c>
      <c r="B6107" t="inlineStr">
        <is>
          <t xml:space="preserve">ICICI Prudential Multiple Yield Fund - Series 6 - 1100 Days Plan F Direct Plan- Dividend Option</t>
        </is>
      </c>
      <c r="C6107" t="inlineStr">
        <is>
          <t xml:space="preserve">INF109KA1VA8</t>
        </is>
      </c>
    </row>
    <row r="6108">
      <c r="A6108" t="inlineStr">
        <is>
          <t xml:space="preserve">ICICI Prudential Mutual Fund</t>
        </is>
      </c>
      <c r="B6108" t="inlineStr">
        <is>
          <t xml:space="preserve">ICICI Prudential Multiple Yield Fund - Series 6 - 1100 Days Plan F Dividend Option</t>
        </is>
      </c>
      <c r="C6108" t="inlineStr">
        <is>
          <t xml:space="preserve">INF109KA1UY0</t>
        </is>
      </c>
    </row>
    <row r="6109">
      <c r="A6109" t="inlineStr">
        <is>
          <t xml:space="preserve">ICICI Prudential Mutual Fund</t>
        </is>
      </c>
      <c r="B6109" t="inlineStr">
        <is>
          <t xml:space="preserve">ICICI Prudential Multiple Yield Fund - Series 6 - 1125 Days - Plan B - Cumulative</t>
        </is>
      </c>
      <c r="C6109" t="inlineStr">
        <is>
          <t xml:space="preserve">INF109KA1PP8</t>
        </is>
      </c>
    </row>
    <row r="6110">
      <c r="A6110" t="inlineStr">
        <is>
          <t xml:space="preserve">ICICI Prudential Mutual Fund</t>
        </is>
      </c>
      <c r="B6110" t="inlineStr">
        <is>
          <t xml:space="preserve">ICICI Prudential Multiple Yield Fund - Series 6 - 1125 Days - Plan B - Direct Plan - Cumulative</t>
        </is>
      </c>
      <c r="C6110" t="inlineStr">
        <is>
          <t xml:space="preserve">INF109KA1PR4</t>
        </is>
      </c>
    </row>
    <row r="6111">
      <c r="A6111" t="inlineStr">
        <is>
          <t xml:space="preserve">ICICI Prudential Mutual Fund</t>
        </is>
      </c>
      <c r="B6111" t="inlineStr">
        <is>
          <t xml:space="preserve">ICICI Prudential Multiple Yield Fund - Series 6 - 1125 Days - Plan B - Direct Plan - Dividend</t>
        </is>
      </c>
      <c r="C6111" t="inlineStr">
        <is>
          <t xml:space="preserve">INF109KA1PS2</t>
        </is>
      </c>
    </row>
    <row r="6112">
      <c r="A6112" t="inlineStr">
        <is>
          <t xml:space="preserve">ICICI Prudential Mutual Fund</t>
        </is>
      </c>
      <c r="B6112" t="inlineStr">
        <is>
          <t xml:space="preserve">ICICI Prudential Multiple Yield Fund - Series 6 - 1125 Days - Plan B - Dividend</t>
        </is>
      </c>
      <c r="C6112" t="inlineStr">
        <is>
          <t xml:space="preserve">INF109KA1PQ6</t>
        </is>
      </c>
    </row>
    <row r="6113">
      <c r="A6113" t="inlineStr">
        <is>
          <t xml:space="preserve">ICICI Prudential Mutual Fund</t>
        </is>
      </c>
      <c r="B6113" t="inlineStr">
        <is>
          <t xml:space="preserve">ICICI Prudential Multiple Yield Fund - Series 6 - 1825 Days - Plan C - Cumulative</t>
        </is>
      </c>
      <c r="C6113" t="inlineStr">
        <is>
          <t xml:space="preserve">INF109KA1RD0</t>
        </is>
      </c>
    </row>
    <row r="6114">
      <c r="A6114" t="inlineStr">
        <is>
          <t xml:space="preserve">ICICI Prudential Mutual Fund</t>
        </is>
      </c>
      <c r="B6114" t="inlineStr">
        <is>
          <t xml:space="preserve">ICICI Prudential Multiple Yield Fund - Series 6 - 1825 Days - Plan C - Direct Plan - Cumulative</t>
        </is>
      </c>
      <c r="C6114" t="inlineStr">
        <is>
          <t xml:space="preserve">INF109KA1RF5</t>
        </is>
      </c>
    </row>
    <row r="6115">
      <c r="A6115" t="inlineStr">
        <is>
          <t xml:space="preserve">ICICI Prudential Mutual Fund</t>
        </is>
      </c>
      <c r="B6115" t="inlineStr">
        <is>
          <t xml:space="preserve">ICICI Prudential Multiple Yield Fund - Series 6 - 1825 Days - Plan C - Direct Plan - Dividend</t>
        </is>
      </c>
      <c r="C6115" t="inlineStr">
        <is>
          <t xml:space="preserve">INF109KA1RG3</t>
        </is>
      </c>
    </row>
    <row r="6116">
      <c r="A6116" t="inlineStr">
        <is>
          <t xml:space="preserve">ICICI Prudential Mutual Fund</t>
        </is>
      </c>
      <c r="B6116" t="inlineStr">
        <is>
          <t xml:space="preserve">ICICI Prudential Multiple Yield Fund - Series 6 - 1825 Days - Plan C -Dividend</t>
        </is>
      </c>
      <c r="C6116" t="inlineStr">
        <is>
          <t xml:space="preserve">INF109KA1RE8</t>
        </is>
      </c>
    </row>
    <row r="6117">
      <c r="A6117" t="inlineStr">
        <is>
          <t xml:space="preserve">ICICI Prudential Mutual Fund</t>
        </is>
      </c>
      <c r="B6117" t="inlineStr">
        <is>
          <t xml:space="preserve">ICICI Prudential Multiple Yield Fund - Series 6 - 1825 Days Plan D Cumulative Option</t>
        </is>
      </c>
      <c r="C6117" t="inlineStr">
        <is>
          <t xml:space="preserve">INF109KA1TT2</t>
        </is>
      </c>
    </row>
    <row r="6118">
      <c r="A6118" t="inlineStr">
        <is>
          <t xml:space="preserve">ICICI Prudential Mutual Fund</t>
        </is>
      </c>
      <c r="B6118" t="inlineStr">
        <is>
          <t xml:space="preserve">ICICI Prudential Multiple Yield Fund - Series 6 - 1825 Days Plan D Direct Plan Cumulative Option</t>
        </is>
      </c>
      <c r="C6118" t="inlineStr">
        <is>
          <t xml:space="preserve">INF109KA1TV8</t>
        </is>
      </c>
    </row>
    <row r="6119">
      <c r="A6119" t="inlineStr">
        <is>
          <t xml:space="preserve">ICICI Prudential Mutual Fund</t>
        </is>
      </c>
      <c r="B6119" t="inlineStr">
        <is>
          <t xml:space="preserve">ICICI Prudential Multiple Yield Fund - Series 6 - 1825 Days Plan D Direct Plan- Dividend Option</t>
        </is>
      </c>
      <c r="C6119" t="inlineStr">
        <is>
          <t xml:space="preserve">INF109KA1TW6</t>
        </is>
      </c>
    </row>
    <row r="6120">
      <c r="A6120" t="inlineStr">
        <is>
          <t xml:space="preserve">ICICI Prudential Mutual Fund</t>
        </is>
      </c>
      <c r="B6120" t="inlineStr">
        <is>
          <t xml:space="preserve">ICICI Prudential Multiple Yield Fund - Series 6 - 1825 Days Plan D Dividend Option</t>
        </is>
      </c>
      <c r="C6120" t="inlineStr">
        <is>
          <t xml:space="preserve">INF109KA1TU0</t>
        </is>
      </c>
    </row>
    <row r="6121">
      <c r="A6121" t="inlineStr">
        <is>
          <t xml:space="preserve">ICICI Prudential Mutual Fund</t>
        </is>
      </c>
      <c r="B6121" t="inlineStr">
        <is>
          <t xml:space="preserve">ICICI Prudential Multiple Yield Fund - Series 7 - 1100 Days Plan A Cumulative Option</t>
        </is>
      </c>
      <c r="C6121" t="inlineStr">
        <is>
          <t xml:space="preserve">INF109KA1WV2</t>
        </is>
      </c>
    </row>
    <row r="6122">
      <c r="A6122" t="inlineStr">
        <is>
          <t xml:space="preserve">ICICI Prudential Mutual Fund</t>
        </is>
      </c>
      <c r="B6122" t="inlineStr">
        <is>
          <t xml:space="preserve">ICICI Prudential Multiple Yield Fund - Series 7 - 1100 Days Plan A Direct Plan Cumulative Option</t>
        </is>
      </c>
      <c r="C6122" t="inlineStr">
        <is>
          <t xml:space="preserve">INF109KA1WX8</t>
        </is>
      </c>
    </row>
    <row r="6123">
      <c r="A6123" t="inlineStr">
        <is>
          <t xml:space="preserve">ICICI Prudential Mutual Fund</t>
        </is>
      </c>
      <c r="B6123" t="inlineStr">
        <is>
          <t xml:space="preserve">ICICI Prudential Multiple Yield Fund - Series 7 - 1100 Days Plan A Direct Plan Dividend Option</t>
        </is>
      </c>
      <c r="C6123" t="inlineStr">
        <is>
          <t xml:space="preserve">INF109KA1WY6</t>
        </is>
      </c>
    </row>
    <row r="6124">
      <c r="A6124" t="inlineStr">
        <is>
          <t xml:space="preserve">ICICI Prudential Mutual Fund</t>
        </is>
      </c>
      <c r="B6124" t="inlineStr">
        <is>
          <t xml:space="preserve">ICICI Prudential Multiple Yield Fund - Series 7 - 1100 Days Plan A Dividend Option</t>
        </is>
      </c>
      <c r="C6124" t="inlineStr">
        <is>
          <t xml:space="preserve">INF109KA1WW0</t>
        </is>
      </c>
    </row>
    <row r="6125">
      <c r="A6125" t="inlineStr">
        <is>
          <t xml:space="preserve">ICICI Prudential Mutual Fund</t>
        </is>
      </c>
      <c r="B6125" t="inlineStr">
        <is>
          <t xml:space="preserve">ICICI Prudential Multiple Yield Fund - Series 7 - 1100 Days Plan F Cumulative Option</t>
        </is>
      </c>
      <c r="C6125" t="inlineStr">
        <is>
          <t xml:space="preserve">INF109KA1T81</t>
        </is>
      </c>
    </row>
    <row r="6126">
      <c r="A6126" t="inlineStr">
        <is>
          <t xml:space="preserve">ICICI Prudential Mutual Fund</t>
        </is>
      </c>
      <c r="B6126" t="inlineStr">
        <is>
          <t xml:space="preserve">ICICI Prudential Multiple Yield Fund - Series 7 - 1100 Days Plan F Direct Plan Cumulative Option</t>
        </is>
      </c>
      <c r="C6126" t="inlineStr">
        <is>
          <t xml:space="preserve">INF109KA1U05</t>
        </is>
      </c>
    </row>
    <row r="6127">
      <c r="A6127" t="inlineStr">
        <is>
          <t xml:space="preserve">ICICI Prudential Mutual Fund</t>
        </is>
      </c>
      <c r="B6127" t="inlineStr">
        <is>
          <t xml:space="preserve">ICICI Prudential Multiple Yield Fund - Series 7 - 1100 Days Plan F Direct Plan Dividend Option</t>
        </is>
      </c>
      <c r="C6127" t="inlineStr">
        <is>
          <t xml:space="preserve">INF109KA1U13</t>
        </is>
      </c>
    </row>
    <row r="6128">
      <c r="A6128" t="inlineStr">
        <is>
          <t xml:space="preserve">ICICI Prudential Mutual Fund</t>
        </is>
      </c>
      <c r="B6128" t="inlineStr">
        <is>
          <t xml:space="preserve">ICICI Prudential Multiple Yield Fund - Series 7 - 1100 Days Plan F Dividend Option</t>
        </is>
      </c>
      <c r="C6128" t="inlineStr">
        <is>
          <t xml:space="preserve">INF109KA1T99</t>
        </is>
      </c>
    </row>
    <row r="6129">
      <c r="A6129" t="inlineStr">
        <is>
          <t xml:space="preserve">ICICI Prudential Mutual Fund</t>
        </is>
      </c>
      <c r="B6129" t="inlineStr">
        <is>
          <t xml:space="preserve">ICICI Prudential Multiple Yield Fund - Series 7 - 1338 Days Plan D  Dividend Option</t>
        </is>
      </c>
      <c r="C6129" t="inlineStr">
        <is>
          <t xml:space="preserve">INF109KA1R75</t>
        </is>
      </c>
    </row>
    <row r="6130">
      <c r="A6130" t="inlineStr">
        <is>
          <t xml:space="preserve">ICICI Prudential Mutual Fund</t>
        </is>
      </c>
      <c r="B6130" t="inlineStr">
        <is>
          <t xml:space="preserve">ICICI Prudential Multiple Yield Fund - Series 7 - 1338 Days Plan D Cumulative Option</t>
        </is>
      </c>
      <c r="C6130" t="inlineStr">
        <is>
          <t xml:space="preserve">INF109KA1R67</t>
        </is>
      </c>
    </row>
    <row r="6131">
      <c r="A6131" t="inlineStr">
        <is>
          <t xml:space="preserve">ICICI Prudential Mutual Fund</t>
        </is>
      </c>
      <c r="B6131" t="inlineStr">
        <is>
          <t xml:space="preserve">ICICI Prudential Multiple Yield Fund - Series 7 - 1338 Days Plan D Direct Plan Cumulative Option</t>
        </is>
      </c>
      <c r="C6131" t="inlineStr">
        <is>
          <t xml:space="preserve">INF109KA1R83</t>
        </is>
      </c>
    </row>
    <row r="6132">
      <c r="A6132" t="inlineStr">
        <is>
          <t xml:space="preserve">ICICI Prudential Mutual Fund</t>
        </is>
      </c>
      <c r="B6132" t="inlineStr">
        <is>
          <t xml:space="preserve">ICICI Prudential Multiple Yield Fund - Series 7 - 1338 Days Plan D Direct Plan Dividend Option</t>
        </is>
      </c>
      <c r="C6132" t="inlineStr">
        <is>
          <t xml:space="preserve">INF109KA1R91</t>
        </is>
      </c>
    </row>
    <row r="6133">
      <c r="A6133" t="inlineStr">
        <is>
          <t xml:space="preserve">ICICI Prudential Mutual Fund</t>
        </is>
      </c>
      <c r="B6133" t="inlineStr">
        <is>
          <t xml:space="preserve">ICICI Prudential Multiple Yield Fund - Series 7 - 1825 Days Plan B Cumulative Option</t>
        </is>
      </c>
      <c r="C6133" t="inlineStr">
        <is>
          <t xml:space="preserve">INF109KA1YP0</t>
        </is>
      </c>
    </row>
    <row r="6134">
      <c r="A6134" t="inlineStr">
        <is>
          <t xml:space="preserve">ICICI Prudential Mutual Fund</t>
        </is>
      </c>
      <c r="B6134" t="inlineStr">
        <is>
          <t xml:space="preserve">ICICI Prudential Multiple Yield Fund - Series 7 - 1825 Days Plan B Direct Plan Cumulative Option</t>
        </is>
      </c>
      <c r="C6134" t="inlineStr">
        <is>
          <t xml:space="preserve">INF109KA1YN5</t>
        </is>
      </c>
    </row>
    <row r="6135">
      <c r="A6135" t="inlineStr">
        <is>
          <t xml:space="preserve">ICICI Prudential Mutual Fund</t>
        </is>
      </c>
      <c r="B6135" t="inlineStr">
        <is>
          <t xml:space="preserve">ICICI Prudential Multiple Yield Fund - Series 7 - 1825 Days Plan B Direct Plan Dividend Option</t>
        </is>
      </c>
      <c r="C6135" t="inlineStr">
        <is>
          <t xml:space="preserve">INF109KA1YO3</t>
        </is>
      </c>
    </row>
    <row r="6136">
      <c r="A6136" t="inlineStr">
        <is>
          <t xml:space="preserve">ICICI Prudential Mutual Fund</t>
        </is>
      </c>
      <c r="B6136" t="inlineStr">
        <is>
          <t xml:space="preserve">ICICI Prudential Multiple Yield Fund - Series 7 - 1825 Days Plan B Dividend Option</t>
        </is>
      </c>
      <c r="C6136" t="inlineStr">
        <is>
          <t xml:space="preserve">INF109KA1YQ8</t>
        </is>
      </c>
    </row>
    <row r="6137">
      <c r="A6137" t="inlineStr">
        <is>
          <t xml:space="preserve">ICICI Prudential Mutual Fund</t>
        </is>
      </c>
      <c r="B6137" t="inlineStr">
        <is>
          <t xml:space="preserve">ICICI Prudential Multiple Yield Fund - Series 7 - 1825 Days Plan C Cumulative Option</t>
        </is>
      </c>
      <c r="C6137" t="inlineStr">
        <is>
          <t xml:space="preserve">INF109KA1J83</t>
        </is>
      </c>
    </row>
    <row r="6138">
      <c r="A6138" t="inlineStr">
        <is>
          <t xml:space="preserve">ICICI Prudential Mutual Fund</t>
        </is>
      </c>
      <c r="B6138" t="inlineStr">
        <is>
          <t xml:space="preserve">ICICI Prudential Multiple Yield Fund - Series 7 - 1825 Days Plan C Direct Plan Cumulative Option</t>
        </is>
      </c>
      <c r="C6138" t="inlineStr">
        <is>
          <t xml:space="preserve">INF109KA1K07</t>
        </is>
      </c>
    </row>
    <row r="6139">
      <c r="A6139" t="inlineStr">
        <is>
          <t xml:space="preserve">ICICI Prudential Mutual Fund</t>
        </is>
      </c>
      <c r="B6139" t="inlineStr">
        <is>
          <t xml:space="preserve">ICICI Prudential Multiple Yield Fund - Series 7 - 1825 Days Plan C Direct Plan Dividend Option</t>
        </is>
      </c>
      <c r="C6139" t="inlineStr">
        <is>
          <t xml:space="preserve">INF109KA1K15</t>
        </is>
      </c>
    </row>
    <row r="6140">
      <c r="A6140" t="inlineStr">
        <is>
          <t xml:space="preserve">ICICI Prudential Mutual Fund</t>
        </is>
      </c>
      <c r="B6140" t="inlineStr">
        <is>
          <t xml:space="preserve">ICICI Prudential Multiple Yield Fund - Series 7 - 1825 Days Plan C Dividend Option</t>
        </is>
      </c>
      <c r="C6140" t="inlineStr">
        <is>
          <t xml:space="preserve">INF109KA1J91</t>
        </is>
      </c>
    </row>
    <row r="6141">
      <c r="A6141" t="inlineStr">
        <is>
          <t xml:space="preserve">ICICI Prudential Mutual Fund</t>
        </is>
      </c>
      <c r="B6141" t="inlineStr">
        <is>
          <t xml:space="preserve">ICICI Prudential Multiple Yield Fund - Series 7 - 1825 Days Plan E Cumulative Option</t>
        </is>
      </c>
      <c r="C6141" t="inlineStr">
        <is>
          <t xml:space="preserve">INF109KA1S25</t>
        </is>
      </c>
    </row>
    <row r="6142">
      <c r="A6142" t="inlineStr">
        <is>
          <t xml:space="preserve">ICICI Prudential Mutual Fund</t>
        </is>
      </c>
      <c r="B6142" t="inlineStr">
        <is>
          <t xml:space="preserve">ICICI Prudential Multiple Yield Fund - Series 7 - 1825 Days Plan E Direct Plan Cumulative Option</t>
        </is>
      </c>
      <c r="C6142" t="inlineStr">
        <is>
          <t xml:space="preserve">INF109KA1S41</t>
        </is>
      </c>
    </row>
    <row r="6143">
      <c r="A6143" t="inlineStr">
        <is>
          <t xml:space="preserve">ICICI Prudential Mutual Fund</t>
        </is>
      </c>
      <c r="B6143" t="inlineStr">
        <is>
          <t xml:space="preserve">ICICI Prudential Multiple Yield Fund - Series 7 - 1825 Days Plan E Direct Plan Dividend Option</t>
        </is>
      </c>
      <c r="C6143" t="inlineStr">
        <is>
          <t xml:space="preserve">INF109KA1S58</t>
        </is>
      </c>
    </row>
    <row r="6144">
      <c r="A6144" t="inlineStr">
        <is>
          <t xml:space="preserve">ICICI Prudential Mutual Fund</t>
        </is>
      </c>
      <c r="B6144" t="inlineStr">
        <is>
          <t xml:space="preserve">ICICI Prudential Multiple Yield Fund - Series 7 - 1825 Days Plan E Dividend Option</t>
        </is>
      </c>
      <c r="C6144" t="inlineStr">
        <is>
          <t xml:space="preserve">INF109KA1S33</t>
        </is>
      </c>
    </row>
    <row r="6145">
      <c r="A6145" t="inlineStr">
        <is>
          <t xml:space="preserve">ICICI Prudential Mutual Fund</t>
        </is>
      </c>
      <c r="B6145" t="inlineStr">
        <is>
          <t xml:space="preserve">ICICI Prudential Multiple Yield Fund - Series 8 - 1103 Days Plan C Cumulative Option</t>
        </is>
      </c>
      <c r="C6145" t="inlineStr">
        <is>
          <t xml:space="preserve">INF109KA16F6</t>
        </is>
      </c>
    </row>
    <row r="6146">
      <c r="A6146" t="inlineStr">
        <is>
          <t xml:space="preserve">ICICI Prudential Mutual Fund</t>
        </is>
      </c>
      <c r="B6146" t="inlineStr">
        <is>
          <t xml:space="preserve">ICICI Prudential Multiple Yield Fund - Series 8 - 1103 Days Plan C Direct Plan Cumulative Option</t>
        </is>
      </c>
      <c r="C6146" t="inlineStr">
        <is>
          <t xml:space="preserve">INF109KA18F2</t>
        </is>
      </c>
    </row>
    <row r="6147">
      <c r="A6147" t="inlineStr">
        <is>
          <t xml:space="preserve">ICICI Prudential Mutual Fund</t>
        </is>
      </c>
      <c r="B6147" t="inlineStr">
        <is>
          <t xml:space="preserve">ICICI Prudential Multiple Yield Fund - Series 8 - 1103 Days Plan C Direct Plan Dividend Option</t>
        </is>
      </c>
      <c r="C6147" t="inlineStr">
        <is>
          <t xml:space="preserve">INF109KA19F0</t>
        </is>
      </c>
    </row>
    <row r="6148">
      <c r="A6148" t="inlineStr">
        <is>
          <t xml:space="preserve">ICICI Prudential Mutual Fund</t>
        </is>
      </c>
      <c r="B6148" t="inlineStr">
        <is>
          <t xml:space="preserve">ICICI Prudential Multiple Yield Fund - Series 8 - 1103 Days Plan C Dividend Option</t>
        </is>
      </c>
      <c r="C6148" t="inlineStr">
        <is>
          <t xml:space="preserve">INF109KA17F4</t>
        </is>
      </c>
    </row>
    <row r="6149">
      <c r="A6149" t="inlineStr">
        <is>
          <t xml:space="preserve">ICICI Prudential Mutual Fund</t>
        </is>
      </c>
      <c r="B6149" t="inlineStr">
        <is>
          <t xml:space="preserve">ICICI Prudential Multiple Yield Fund - Series 8 - 1103 Days Plan F Cumulative Option</t>
        </is>
      </c>
      <c r="C6149" t="inlineStr">
        <is>
          <t xml:space="preserve">INF109KA10T0</t>
        </is>
      </c>
    </row>
    <row r="6150">
      <c r="A6150" t="inlineStr">
        <is>
          <t xml:space="preserve">ICICI Prudential Mutual Fund</t>
        </is>
      </c>
      <c r="B6150" t="inlineStr">
        <is>
          <t xml:space="preserve">ICICI Prudential Multiple Yield Fund - Series 8 - 1103 Days Plan F Direct Plan Cumulative Option</t>
        </is>
      </c>
      <c r="C6150" t="inlineStr">
        <is>
          <t xml:space="preserve">INF109KA12T6</t>
        </is>
      </c>
    </row>
    <row r="6151">
      <c r="A6151" t="inlineStr">
        <is>
          <t xml:space="preserve">ICICI Prudential Mutual Fund</t>
        </is>
      </c>
      <c r="B6151" t="inlineStr">
        <is>
          <t xml:space="preserve">ICICI Prudential Multiple Yield Fund - Series 8 - 1103 Days Plan F Direct Plan Dividend Option</t>
        </is>
      </c>
      <c r="C6151" t="inlineStr">
        <is>
          <t xml:space="preserve">INF109KA13T4</t>
        </is>
      </c>
    </row>
    <row r="6152">
      <c r="A6152" t="inlineStr">
        <is>
          <t xml:space="preserve">ICICI Prudential Mutual Fund</t>
        </is>
      </c>
      <c r="B6152" t="inlineStr">
        <is>
          <t xml:space="preserve">ICICI Prudential Multiple Yield Fund - Series 8 - 1103 Days Plan F Dividend Option</t>
        </is>
      </c>
      <c r="C6152" t="inlineStr">
        <is>
          <t xml:space="preserve">INF109KA11T8</t>
        </is>
      </c>
    </row>
    <row r="6153">
      <c r="A6153" t="inlineStr">
        <is>
          <t xml:space="preserve">ICICI Prudential Mutual Fund</t>
        </is>
      </c>
      <c r="B6153" t="inlineStr">
        <is>
          <t xml:space="preserve">ICICI Prudential Multiple Yield Fund - Series 8 - 1824 Days Plan A Cumulative Option</t>
        </is>
      </c>
      <c r="C6153" t="inlineStr">
        <is>
          <t xml:space="preserve">INF109KA16B5</t>
        </is>
      </c>
    </row>
    <row r="6154">
      <c r="A6154" t="inlineStr">
        <is>
          <t xml:space="preserve">ICICI Prudential Mutual Fund</t>
        </is>
      </c>
      <c r="B6154" t="inlineStr">
        <is>
          <t xml:space="preserve">ICICI Prudential Multiple Yield Fund - Series 8 - 1824 Days Plan A Direct Plan Cumulative Option</t>
        </is>
      </c>
      <c r="C6154" t="inlineStr">
        <is>
          <t xml:space="preserve">INF109KA18B1</t>
        </is>
      </c>
    </row>
    <row r="6155">
      <c r="A6155" t="inlineStr">
        <is>
          <t xml:space="preserve">ICICI Prudential Mutual Fund</t>
        </is>
      </c>
      <c r="B6155" t="inlineStr">
        <is>
          <t xml:space="preserve">ICICI Prudential Multiple Yield Fund - Series 8 - 1824 Days Plan A Direct Plan Dividend Option</t>
        </is>
      </c>
      <c r="C6155" t="inlineStr">
        <is>
          <t xml:space="preserve">INF109KA19B9</t>
        </is>
      </c>
    </row>
    <row r="6156">
      <c r="A6156" t="inlineStr">
        <is>
          <t xml:space="preserve">ICICI Prudential Mutual Fund</t>
        </is>
      </c>
      <c r="B6156" t="inlineStr">
        <is>
          <t xml:space="preserve">ICICI Prudential Multiple Yield Fund - Series 8 - 1824 Days Plan A Dividend Option</t>
        </is>
      </c>
      <c r="C6156" t="inlineStr">
        <is>
          <t xml:space="preserve">INF109KA17B3</t>
        </is>
      </c>
    </row>
    <row r="6157">
      <c r="A6157" t="inlineStr">
        <is>
          <t xml:space="preserve">ICICI Prudential Mutual Fund</t>
        </is>
      </c>
      <c r="B6157" t="inlineStr">
        <is>
          <t xml:space="preserve">ICICI Prudential Multiple Yield Fund - Series 8 -1101 Days Plan E Cumulative Option</t>
        </is>
      </c>
      <c r="C6157" t="inlineStr">
        <is>
          <t xml:space="preserve">INF109KA16L4</t>
        </is>
      </c>
    </row>
    <row r="6158">
      <c r="A6158" t="inlineStr">
        <is>
          <t xml:space="preserve">ICICI Prudential Mutual Fund</t>
        </is>
      </c>
      <c r="B6158" t="inlineStr">
        <is>
          <t xml:space="preserve">ICICI Prudential Multiple Yield Fund - Series 8 -1101 Days Plan E Direct Plan Cumulative Option</t>
        </is>
      </c>
      <c r="C6158" t="inlineStr">
        <is>
          <t xml:space="preserve">INF109KA18L0</t>
        </is>
      </c>
    </row>
    <row r="6159">
      <c r="A6159" t="inlineStr">
        <is>
          <t xml:space="preserve">ICICI Prudential Mutual Fund</t>
        </is>
      </c>
      <c r="B6159" t="inlineStr">
        <is>
          <t xml:space="preserve">ICICI Prudential Multiple Yield Fund - Series 8 -1101 Days Plan E Dividend Option</t>
        </is>
      </c>
      <c r="C6159" t="inlineStr">
        <is>
          <t xml:space="preserve">INF109KA17L2</t>
        </is>
      </c>
    </row>
    <row r="6160">
      <c r="A6160" t="inlineStr">
        <is>
          <t xml:space="preserve">ICICI Prudential Mutual Fund</t>
        </is>
      </c>
      <c r="B6160" t="inlineStr">
        <is>
          <t xml:space="preserve">ICICI Prudential Multiple Yield Fund - Series 8 -1822 Days Plan D Cumulative Option</t>
        </is>
      </c>
      <c r="C6160" t="inlineStr">
        <is>
          <t xml:space="preserve">INF109KA18J4</t>
        </is>
      </c>
    </row>
    <row r="6161">
      <c r="A6161" t="inlineStr">
        <is>
          <t xml:space="preserve">ICICI Prudential Mutual Fund</t>
        </is>
      </c>
      <c r="B6161" t="inlineStr">
        <is>
          <t xml:space="preserve">ICICI Prudential Multiple Yield Fund - Series 8 -1822 Days Plan D Direct Plan Cumulative Option</t>
        </is>
      </c>
      <c r="C6161" t="inlineStr">
        <is>
          <t xml:space="preserve">INF109KA10K9</t>
        </is>
      </c>
    </row>
    <row r="6162">
      <c r="A6162" t="inlineStr">
        <is>
          <t xml:space="preserve">ICICI Prudential Mutual Fund</t>
        </is>
      </c>
      <c r="B6162" t="inlineStr">
        <is>
          <t xml:space="preserve">ICICI Prudential Multiple Yield Fund - Series 8 -1822 Days Plan D Direct Plan Dividend Option</t>
        </is>
      </c>
      <c r="C6162" t="inlineStr">
        <is>
          <t xml:space="preserve">INF109KA11K7</t>
        </is>
      </c>
    </row>
    <row r="6163">
      <c r="A6163" t="inlineStr">
        <is>
          <t xml:space="preserve">ICICI Prudential Mutual Fund</t>
        </is>
      </c>
      <c r="B6163" t="inlineStr">
        <is>
          <t xml:space="preserve">ICICI Prudential Multiple Yield Fund - Series 8 -1822 Days Plan D Dividend Option</t>
        </is>
      </c>
      <c r="C6163" t="inlineStr">
        <is>
          <t xml:space="preserve">INF109KA19J2</t>
        </is>
      </c>
    </row>
    <row r="6164">
      <c r="A6164" t="inlineStr">
        <is>
          <t xml:space="preserve">ICICI Prudential Mutual Fund</t>
        </is>
      </c>
      <c r="B6164" t="inlineStr">
        <is>
          <t xml:space="preserve">ICICI Prudential Multiple Yield Fund - Series 9 - 1140 Days Plan A Cumulative Option</t>
        </is>
      </c>
      <c r="C6164" t="inlineStr">
        <is>
          <t xml:space="preserve">INF109KB1714</t>
        </is>
      </c>
    </row>
    <row r="6165">
      <c r="A6165" t="inlineStr">
        <is>
          <t xml:space="preserve">ICICI Prudential Mutual Fund</t>
        </is>
      </c>
      <c r="B6165" t="inlineStr">
        <is>
          <t xml:space="preserve">ICICI Prudential Multiple Yield Fund - Series 9 - 1140 Days Plan A Direct Plan Cumulative Option</t>
        </is>
      </c>
      <c r="C6165" t="inlineStr">
        <is>
          <t xml:space="preserve">INF109KB1730</t>
        </is>
      </c>
    </row>
    <row r="6166">
      <c r="A6166" t="inlineStr">
        <is>
          <t xml:space="preserve">ICICI Prudential Mutual Fund</t>
        </is>
      </c>
      <c r="B6166" t="inlineStr">
        <is>
          <t xml:space="preserve">ICICI Prudential Multiple Yield Fund - Series 9 - 1140 Days Plan A Direct Plan Dividend Option</t>
        </is>
      </c>
      <c r="C6166" t="inlineStr">
        <is>
          <t xml:space="preserve">INF109KB1748</t>
        </is>
      </c>
    </row>
    <row r="6167">
      <c r="A6167" t="inlineStr">
        <is>
          <t xml:space="preserve">ICICI Prudential Mutual Fund</t>
        </is>
      </c>
      <c r="B6167" t="inlineStr">
        <is>
          <t xml:space="preserve">ICICI Prudential Multiple Yield Fund - Series 9 - 1140 Days Plan A Dividend Option</t>
        </is>
      </c>
      <c r="C6167" t="inlineStr">
        <is>
          <t xml:space="preserve">INF109KB1722</t>
        </is>
      </c>
    </row>
    <row r="6168">
      <c r="A6168" t="inlineStr">
        <is>
          <t xml:space="preserve">ICICI Prudential Mutual Fund</t>
        </is>
      </c>
      <c r="B6168" t="inlineStr">
        <is>
          <t xml:space="preserve">ICICI Prudential NASDAQ 100 Index Fund - Direct Plan - Growth</t>
        </is>
      </c>
      <c r="C6168" t="inlineStr">
        <is>
          <t xml:space="preserve">INF109KC1U50</t>
        </is>
      </c>
    </row>
    <row r="6169">
      <c r="A6169" t="inlineStr">
        <is>
          <t xml:space="preserve">ICICI Prudential Mutual Fund</t>
        </is>
      </c>
      <c r="B6169" t="inlineStr">
        <is>
          <t xml:space="preserve">ICICI Prudential NASDAQ 100 Index Fund - Direct Plan - IDCW</t>
        </is>
      </c>
      <c r="C6169" t="inlineStr">
        <is>
          <t xml:space="preserve">INF109KC1U68</t>
        </is>
      </c>
    </row>
    <row r="6170">
      <c r="A6170" t="inlineStr">
        <is>
          <t xml:space="preserve">ICICI Prudential Mutual Fund</t>
        </is>
      </c>
      <c r="B6170" t="inlineStr">
        <is>
          <t xml:space="preserve">ICICI Prudential NASDAQ 100 Index Fund - Growth</t>
        </is>
      </c>
      <c r="C6170" t="inlineStr">
        <is>
          <t xml:space="preserve">INF109KC1U27</t>
        </is>
      </c>
    </row>
    <row r="6171">
      <c r="A6171" t="inlineStr">
        <is>
          <t xml:space="preserve">ICICI Prudential Mutual Fund</t>
        </is>
      </c>
      <c r="B6171" t="inlineStr">
        <is>
          <t xml:space="preserve">ICICI Prudential NASDAQ 100 Index Fund - IDCW</t>
        </is>
      </c>
      <c r="C6171" t="inlineStr">
        <is>
          <t xml:space="preserve">INF109KC1U35</t>
        </is>
      </c>
    </row>
    <row r="6172">
      <c r="A6172" t="inlineStr">
        <is>
          <t xml:space="preserve">ICICI Prudential Mutual Fund</t>
        </is>
      </c>
      <c r="B6172" t="inlineStr">
        <is>
          <t xml:space="preserve">ICICI Prudential Nifty 10 yr Benchmark G-sec ETF</t>
        </is>
      </c>
      <c r="C6172" t="inlineStr">
        <is>
          <t xml:space="preserve">INF109KC18O0</t>
        </is>
      </c>
    </row>
    <row r="6173">
      <c r="A6173" t="inlineStr">
        <is>
          <t xml:space="preserve">ICICI Prudential Mutual Fund</t>
        </is>
      </c>
      <c r="B6173" t="inlineStr">
        <is>
          <t xml:space="preserve">ICICI Prudential Nifty 100 ETF</t>
        </is>
      </c>
      <c r="C6173" t="inlineStr">
        <is>
          <t xml:space="preserve">INF109KC16V9</t>
        </is>
      </c>
    </row>
    <row r="6174">
      <c r="A6174" t="inlineStr">
        <is>
          <t xml:space="preserve">ICICI Prudential Mutual Fund</t>
        </is>
      </c>
      <c r="B6174" t="inlineStr">
        <is>
          <t xml:space="preserve">ICICI Prudential Nifty 100 Low Volatility 30 ETF</t>
        </is>
      </c>
      <c r="C6174" t="inlineStr">
        <is>
          <t xml:space="preserve">INF109KC19U5</t>
        </is>
      </c>
    </row>
    <row r="6175">
      <c r="A6175" t="inlineStr">
        <is>
          <t xml:space="preserve">ICICI Prudential Mutual Fund</t>
        </is>
      </c>
      <c r="B6175" t="inlineStr">
        <is>
          <t xml:space="preserve">ICICI Prudential Nifty 100 Low Volatility 30 ETF FOF - Direct Plan - Growth</t>
        </is>
      </c>
      <c r="C6175" t="inlineStr">
        <is>
          <t xml:space="preserve">INF109KC1P81</t>
        </is>
      </c>
    </row>
    <row r="6176">
      <c r="A6176" t="inlineStr">
        <is>
          <t xml:space="preserve">ICICI Prudential Mutual Fund</t>
        </is>
      </c>
      <c r="B6176" t="inlineStr">
        <is>
          <t xml:space="preserve">ICICI Prudential Nifty 100 Low Volatility 30 ETF FOF - Direct Plan - IDCW</t>
        </is>
      </c>
      <c r="C6176" t="inlineStr">
        <is>
          <t xml:space="preserve">INF109KC1Q07</t>
        </is>
      </c>
    </row>
    <row r="6177">
      <c r="A6177" t="inlineStr">
        <is>
          <t xml:space="preserve">ICICI Prudential Mutual Fund</t>
        </is>
      </c>
      <c r="B6177" t="inlineStr">
        <is>
          <t xml:space="preserve">ICICI Prudential Nifty 100 Low Volatility 30 ETF FOF - Growth</t>
        </is>
      </c>
      <c r="C6177" t="inlineStr">
        <is>
          <t xml:space="preserve">INF109KC1P57</t>
        </is>
      </c>
    </row>
    <row r="6178">
      <c r="A6178" t="inlineStr">
        <is>
          <t xml:space="preserve">ICICI Prudential Mutual Fund</t>
        </is>
      </c>
      <c r="B6178" t="inlineStr">
        <is>
          <t xml:space="preserve">ICICI Prudential Nifty 100 Low Volatility 30 ETF FOF - IDCW</t>
        </is>
      </c>
      <c r="C6178" t="inlineStr">
        <is>
          <t xml:space="preserve">INF109KC1P73</t>
        </is>
      </c>
    </row>
    <row r="6179">
      <c r="A6179" t="inlineStr">
        <is>
          <t xml:space="preserve">ICICI Prudential Mutual Fund</t>
        </is>
      </c>
      <c r="B6179" t="inlineStr">
        <is>
          <t xml:space="preserve">ICICI Prudential Nifty 200 Momentum 30 ETF</t>
        </is>
      </c>
      <c r="C6179" t="inlineStr">
        <is>
          <t xml:space="preserve">INF109KC17C7</t>
        </is>
      </c>
    </row>
    <row r="6180">
      <c r="A6180" t="inlineStr">
        <is>
          <t xml:space="preserve">ICICI Prudential Mutual Fund</t>
        </is>
      </c>
      <c r="B6180" t="inlineStr">
        <is>
          <t xml:space="preserve">ICICI Prudential Nifty 200 Momentum 30 Index Fund - Direct Plan - Growth</t>
        </is>
      </c>
      <c r="C6180" t="inlineStr">
        <is>
          <t xml:space="preserve">INF109KC11D8</t>
        </is>
      </c>
    </row>
    <row r="6181">
      <c r="A6181" t="inlineStr">
        <is>
          <t xml:space="preserve">ICICI Prudential Mutual Fund</t>
        </is>
      </c>
      <c r="B6181" t="inlineStr">
        <is>
          <t xml:space="preserve">ICICI Prudential Nifty 200 Momentum 30 Index Fund - Direct Plan - IDCW</t>
        </is>
      </c>
      <c r="C6181" t="inlineStr">
        <is>
          <t xml:space="preserve">INF109KC12D6</t>
        </is>
      </c>
    </row>
    <row r="6182">
      <c r="A6182" t="inlineStr">
        <is>
          <t xml:space="preserve">ICICI Prudential Mutual Fund</t>
        </is>
      </c>
      <c r="B6182" t="inlineStr">
        <is>
          <t xml:space="preserve">ICICI Prudential Nifty 200 Momentum 30 Index Fund - Growth</t>
        </is>
      </c>
      <c r="C6182" t="inlineStr">
        <is>
          <t xml:space="preserve">INF109KC18C5</t>
        </is>
      </c>
    </row>
    <row r="6183">
      <c r="A6183" t="inlineStr">
        <is>
          <t xml:space="preserve">ICICI Prudential Mutual Fund</t>
        </is>
      </c>
      <c r="B6183" t="inlineStr">
        <is>
          <t xml:space="preserve">ICICI Prudential Nifty 200 Momentum 30 Index Fund - IDCW</t>
        </is>
      </c>
      <c r="C6183" t="inlineStr">
        <is>
          <t xml:space="preserve">INF109KC19C3</t>
        </is>
      </c>
    </row>
    <row r="6184">
      <c r="A6184" t="inlineStr">
        <is>
          <t xml:space="preserve">ICICI Prudential Mutual Fund</t>
        </is>
      </c>
      <c r="B6184" t="inlineStr">
        <is>
          <t xml:space="preserve">ICICI Prudential Nifty 200 Quality 30 ETF</t>
        </is>
      </c>
      <c r="C6184" t="inlineStr">
        <is>
          <t xml:space="preserve">INF109KC18V5</t>
        </is>
      </c>
    </row>
    <row r="6185">
      <c r="A6185" t="inlineStr">
        <is>
          <t xml:space="preserve">ICICI Prudential Mutual Fund</t>
        </is>
      </c>
      <c r="B6185" t="inlineStr">
        <is>
          <t xml:space="preserve">ICICI Prudential Nifty 5 yr Benchmark G-SEC ETF</t>
        </is>
      </c>
      <c r="C6185" t="inlineStr">
        <is>
          <t xml:space="preserve">INF109KC14A8</t>
        </is>
      </c>
    </row>
    <row r="6186">
      <c r="A6186" t="inlineStr">
        <is>
          <t xml:space="preserve">ICICI Prudential Mutual Fund</t>
        </is>
      </c>
      <c r="B6186" t="inlineStr">
        <is>
          <t xml:space="preserve">ICICI Prudential Nifty 50 ETF</t>
        </is>
      </c>
      <c r="C6186" t="inlineStr">
        <is>
          <t xml:space="preserve">INF109K012R6</t>
        </is>
      </c>
    </row>
    <row r="6187">
      <c r="A6187" t="inlineStr">
        <is>
          <t xml:space="preserve">ICICI Prudential Mutual Fund</t>
        </is>
      </c>
      <c r="B6187" t="inlineStr">
        <is>
          <t xml:space="preserve">ICICI Prudential Nifty 50 Index Fund - Cumulative Option</t>
        </is>
      </c>
      <c r="C6187" t="inlineStr">
        <is>
          <t xml:space="preserve">INF109K01PI0</t>
        </is>
      </c>
    </row>
    <row r="6188">
      <c r="A6188" t="inlineStr">
        <is>
          <t xml:space="preserve">ICICI Prudential Mutual Fund</t>
        </is>
      </c>
      <c r="B6188" t="inlineStr">
        <is>
          <t xml:space="preserve">ICICI Prudential Nifty 50 Index Fund - Direct Plan Cumulative Option</t>
        </is>
      </c>
      <c r="C6188" t="inlineStr">
        <is>
          <t xml:space="preserve">INF109K012M7</t>
        </is>
      </c>
    </row>
    <row r="6189">
      <c r="A6189" t="inlineStr">
        <is>
          <t xml:space="preserve">ICICI Prudential Mutual Fund</t>
        </is>
      </c>
      <c r="B6189" t="inlineStr">
        <is>
          <t xml:space="preserve">ICICI Prudential Nifty 50 Index Fund - Direct Plan IDCW Option</t>
        </is>
      </c>
      <c r="C6189" t="inlineStr">
        <is>
          <t xml:space="preserve">INF109KB1NL1</t>
        </is>
      </c>
    </row>
    <row r="6190">
      <c r="A6190" t="inlineStr">
        <is>
          <t xml:space="preserve">ICICI Prudential Mutual Fund</t>
        </is>
      </c>
      <c r="B6190" t="inlineStr">
        <is>
          <t xml:space="preserve">ICICI Prudential Nifty 50 Index Fund - IDCW Option</t>
        </is>
      </c>
      <c r="C6190" t="inlineStr">
        <is>
          <t xml:space="preserve">INF109KB1NN7</t>
        </is>
      </c>
    </row>
    <row r="6191">
      <c r="A6191" t="inlineStr">
        <is>
          <t xml:space="preserve">ICICI Prudential Mutual Fund</t>
        </is>
      </c>
      <c r="B6191" t="inlineStr">
        <is>
          <t xml:space="preserve">ICICI Prudential Nifty 500 Index Fund - Direct Plan - Growth</t>
        </is>
      </c>
      <c r="C6191" t="inlineStr">
        <is>
          <t xml:space="preserve">INF109KC16Y3</t>
        </is>
      </c>
    </row>
    <row r="6192">
      <c r="A6192" t="inlineStr">
        <is>
          <t xml:space="preserve">ICICI Prudential Mutual Fund</t>
        </is>
      </c>
      <c r="B6192" t="inlineStr">
        <is>
          <t xml:space="preserve">ICICI Prudential Nifty 500 Index Fund - Direct Plan - IDCW</t>
        </is>
      </c>
      <c r="C6192" t="inlineStr">
        <is>
          <t xml:space="preserve">INF109KC18Y9</t>
        </is>
      </c>
    </row>
    <row r="6193">
      <c r="A6193" t="inlineStr">
        <is>
          <t xml:space="preserve">ICICI Prudential Mutual Fund</t>
        </is>
      </c>
      <c r="B6193" t="inlineStr">
        <is>
          <t xml:space="preserve">ICICI Prudential Nifty 500 Index Fund - Growth</t>
        </is>
      </c>
      <c r="C6193" t="inlineStr">
        <is>
          <t xml:space="preserve">INF109KC13Y0</t>
        </is>
      </c>
    </row>
    <row r="6194">
      <c r="A6194" t="inlineStr">
        <is>
          <t xml:space="preserve">ICICI Prudential Mutual Fund</t>
        </is>
      </c>
      <c r="B6194" t="inlineStr">
        <is>
          <t xml:space="preserve">ICICI Prudential Nifty 500 Index Fund - IDCW</t>
        </is>
      </c>
      <c r="C6194" t="inlineStr">
        <is>
          <t xml:space="preserve">INF109KC15Y5</t>
        </is>
      </c>
    </row>
    <row r="6195">
      <c r="A6195" t="inlineStr">
        <is>
          <t xml:space="preserve">ICICI Prudential Mutual Fund</t>
        </is>
      </c>
      <c r="B6195" t="inlineStr">
        <is>
          <t xml:space="preserve">ICICI Prudential Nifty Alpha Low - Volatility 30 ETF FOF - Direct Plan - Growth</t>
        </is>
      </c>
      <c r="C6195" t="inlineStr">
        <is>
          <t xml:space="preserve">INF109KC1R89</t>
        </is>
      </c>
    </row>
    <row r="6196">
      <c r="A6196" t="inlineStr">
        <is>
          <t xml:space="preserve">ICICI Prudential Mutual Fund</t>
        </is>
      </c>
      <c r="B6196" t="inlineStr">
        <is>
          <t xml:space="preserve">ICICI Prudential Nifty Alpha Low - Volatility 30 ETF FOF - Direct Plan - IDCW</t>
        </is>
      </c>
      <c r="C6196" t="inlineStr">
        <is>
          <t xml:space="preserve">INF109KC1S05</t>
        </is>
      </c>
    </row>
    <row r="6197">
      <c r="A6197" t="inlineStr">
        <is>
          <t xml:space="preserve">ICICI Prudential Mutual Fund</t>
        </is>
      </c>
      <c r="B6197" t="inlineStr">
        <is>
          <t xml:space="preserve">ICICI Prudential Nifty Alpha Low - Volatility 30 ETF FOF - Growth</t>
        </is>
      </c>
      <c r="C6197" t="inlineStr">
        <is>
          <t xml:space="preserve">INF109KC1R55</t>
        </is>
      </c>
    </row>
    <row r="6198">
      <c r="A6198" t="inlineStr">
        <is>
          <t xml:space="preserve">ICICI Prudential Mutual Fund</t>
        </is>
      </c>
      <c r="B6198" t="inlineStr">
        <is>
          <t xml:space="preserve">ICICI Prudential Nifty Alpha Low - Volatility 30 ETF FOF - IDCW</t>
        </is>
      </c>
      <c r="C6198" t="inlineStr">
        <is>
          <t xml:space="preserve">INF109KC1R71</t>
        </is>
      </c>
    </row>
    <row r="6199">
      <c r="A6199" t="inlineStr">
        <is>
          <t xml:space="preserve">ICICI Prudential Mutual Fund</t>
        </is>
      </c>
      <c r="B6199" t="inlineStr">
        <is>
          <t xml:space="preserve">ICICI Prudential Nifty Alpha Low- Volatility 30 ETF</t>
        </is>
      </c>
      <c r="C6199" t="inlineStr">
        <is>
          <t xml:space="preserve">INF109KC17V7</t>
        </is>
      </c>
    </row>
    <row r="6200">
      <c r="A6200" t="inlineStr">
        <is>
          <t xml:space="preserve">ICICI Prudential Mutual Fund</t>
        </is>
      </c>
      <c r="B6200" t="inlineStr">
        <is>
          <t xml:space="preserve">ICICI Prudential Nifty Auto ETF</t>
        </is>
      </c>
      <c r="C6200" t="inlineStr">
        <is>
          <t xml:space="preserve">INF109KC10V2</t>
        </is>
      </c>
    </row>
    <row r="6201">
      <c r="A6201" t="inlineStr">
        <is>
          <t xml:space="preserve">ICICI Prudential Mutual Fund</t>
        </is>
      </c>
      <c r="B6201" t="inlineStr">
        <is>
          <t xml:space="preserve">ICICI Prudential Nifty Auto Index Fund - Direct Plan - Growth</t>
        </is>
      </c>
      <c r="C6201" t="inlineStr">
        <is>
          <t xml:space="preserve">INF109KC16J4</t>
        </is>
      </c>
    </row>
    <row r="6202">
      <c r="A6202" t="inlineStr">
        <is>
          <t xml:space="preserve">ICICI Prudential Mutual Fund</t>
        </is>
      </c>
      <c r="B6202" t="inlineStr">
        <is>
          <t xml:space="preserve">ICICI Prudential Nifty Auto Index Fund - Direct Plan - IDCW</t>
        </is>
      </c>
      <c r="C6202" t="inlineStr">
        <is>
          <t xml:space="preserve">INF109KC17J2</t>
        </is>
      </c>
    </row>
    <row r="6203">
      <c r="A6203" t="inlineStr">
        <is>
          <t xml:space="preserve">ICICI Prudential Mutual Fund</t>
        </is>
      </c>
      <c r="B6203" t="inlineStr">
        <is>
          <t xml:space="preserve">ICICI Prudential Nifty Auto Index Fund - Growth</t>
        </is>
      </c>
      <c r="C6203" t="inlineStr">
        <is>
          <t xml:space="preserve">INF109KC13J1</t>
        </is>
      </c>
    </row>
    <row r="6204">
      <c r="A6204" t="inlineStr">
        <is>
          <t xml:space="preserve">ICICI Prudential Mutual Fund</t>
        </is>
      </c>
      <c r="B6204" t="inlineStr">
        <is>
          <t xml:space="preserve">ICICI Prudential Nifty Auto Index Fund - IDCW</t>
        </is>
      </c>
      <c r="C6204" t="inlineStr">
        <is>
          <t xml:space="preserve">INF109KC14J9</t>
        </is>
      </c>
    </row>
    <row r="6205">
      <c r="A6205" t="inlineStr">
        <is>
          <t xml:space="preserve">ICICI Prudential Mutual Fund</t>
        </is>
      </c>
      <c r="B6205" t="inlineStr">
        <is>
          <t xml:space="preserve">ICICI Prudential Nifty Bank ETF</t>
        </is>
      </c>
      <c r="C6205" t="inlineStr">
        <is>
          <t xml:space="preserve">INF109KC15I8</t>
        </is>
      </c>
    </row>
    <row r="6206">
      <c r="A6206" t="inlineStr">
        <is>
          <t xml:space="preserve">ICICI Prudential Mutual Fund</t>
        </is>
      </c>
      <c r="B6206" t="inlineStr">
        <is>
          <t xml:space="preserve">ICICI Prudential Nifty Bank Index Fund - Direct Plan Growth</t>
        </is>
      </c>
      <c r="C6206" t="inlineStr">
        <is>
          <t xml:space="preserve">INF109KC11A4</t>
        </is>
      </c>
    </row>
    <row r="6207">
      <c r="A6207" t="inlineStr">
        <is>
          <t xml:space="preserve">ICICI Prudential Mutual Fund</t>
        </is>
      </c>
      <c r="B6207" t="inlineStr">
        <is>
          <t xml:space="preserve">ICICI Prudential Nifty Bank Index Fund - Direct Plan IDCW</t>
        </is>
      </c>
      <c r="C6207" t="inlineStr">
        <is>
          <t xml:space="preserve">INF109KC12A2</t>
        </is>
      </c>
    </row>
    <row r="6208">
      <c r="A6208" t="inlineStr">
        <is>
          <t xml:space="preserve">ICICI Prudential Mutual Fund</t>
        </is>
      </c>
      <c r="B6208" t="inlineStr">
        <is>
          <t xml:space="preserve">ICICI Prudential Nifty Bank Index Fund - Growth</t>
        </is>
      </c>
      <c r="C6208" t="inlineStr">
        <is>
          <t xml:space="preserve">INF109KC1Z89</t>
        </is>
      </c>
    </row>
    <row r="6209">
      <c r="A6209" t="inlineStr">
        <is>
          <t xml:space="preserve">ICICI Prudential Mutual Fund</t>
        </is>
      </c>
      <c r="B6209" t="inlineStr">
        <is>
          <t xml:space="preserve">ICICI Prudential Nifty Bank Index Fund - IDCW</t>
        </is>
      </c>
      <c r="C6209" t="inlineStr">
        <is>
          <t xml:space="preserve">INF109KC1Z97</t>
        </is>
      </c>
    </row>
    <row r="6210">
      <c r="A6210" t="inlineStr">
        <is>
          <t xml:space="preserve">ICICI Prudential Mutual Fund</t>
        </is>
      </c>
      <c r="B6210" t="inlineStr">
        <is>
          <t xml:space="preserve">ICICI Prudential Nifty Commodities ETF</t>
        </is>
      </c>
      <c r="C6210" t="inlineStr">
        <is>
          <t xml:space="preserve">INF109KC19O8</t>
        </is>
      </c>
    </row>
    <row r="6211">
      <c r="A6211" t="inlineStr">
        <is>
          <t xml:space="preserve">ICICI Prudential Mutual Fund</t>
        </is>
      </c>
      <c r="B6211" t="inlineStr">
        <is>
          <t xml:space="preserve">ICICI Prudential Nifty EV &amp; New Age Automotive ETF</t>
        </is>
      </c>
      <c r="C6211" t="inlineStr">
        <is>
          <t xml:space="preserve">INF109K1A153</t>
        </is>
      </c>
    </row>
    <row r="6212">
      <c r="A6212" t="inlineStr">
        <is>
          <t xml:space="preserve">ICICI Prudential Mutual Fund</t>
        </is>
      </c>
      <c r="B6212" t="inlineStr">
        <is>
          <t xml:space="preserve">ICICI Prudential Nifty EV &amp; New Age Automotive ETF FOF - Direct Plan - Growth</t>
        </is>
      </c>
      <c r="C6212" t="inlineStr">
        <is>
          <t xml:space="preserve">INF109K1A120</t>
        </is>
      </c>
    </row>
    <row r="6213">
      <c r="A6213" t="inlineStr">
        <is>
          <t xml:space="preserve">ICICI Prudential Mutual Fund</t>
        </is>
      </c>
      <c r="B6213" t="inlineStr">
        <is>
          <t xml:space="preserve">ICICI Prudential Nifty EV &amp; New Age Automotive ETF FOF - Direct Plan - IDCW</t>
        </is>
      </c>
      <c r="C6213" t="inlineStr">
        <is>
          <t xml:space="preserve">INF109K1A146</t>
        </is>
      </c>
    </row>
    <row r="6214">
      <c r="A6214" t="inlineStr">
        <is>
          <t xml:space="preserve">ICICI Prudential Mutual Fund</t>
        </is>
      </c>
      <c r="B6214" t="inlineStr">
        <is>
          <t xml:space="preserve">ICICI Prudential Nifty EV &amp; New Age Automotive ETF FOF - Growth</t>
        </is>
      </c>
      <c r="C6214" t="inlineStr">
        <is>
          <t xml:space="preserve">INF109K1A096</t>
        </is>
      </c>
    </row>
    <row r="6215">
      <c r="A6215" t="inlineStr">
        <is>
          <t xml:space="preserve">ICICI Prudential Mutual Fund</t>
        </is>
      </c>
      <c r="B6215" t="inlineStr">
        <is>
          <t xml:space="preserve">ICICI Prudential Nifty EV &amp; New Age Automotive ETF FOF - IDCW</t>
        </is>
      </c>
      <c r="C6215" t="inlineStr">
        <is>
          <t xml:space="preserve">INF109K1A112</t>
        </is>
      </c>
    </row>
    <row r="6216">
      <c r="A6216" t="inlineStr">
        <is>
          <t xml:space="preserve">ICICI Prudential Mutual Fund</t>
        </is>
      </c>
      <c r="B6216" t="inlineStr">
        <is>
          <t xml:space="preserve">ICICI Prudential Nifty Financial Services Ex-BaNk ETF</t>
        </is>
      </c>
      <c r="C6216" t="inlineStr">
        <is>
          <t xml:space="preserve">INF109KC17L8</t>
        </is>
      </c>
    </row>
    <row r="6217">
      <c r="A6217" t="inlineStr">
        <is>
          <t xml:space="preserve">ICICI Prudential Mutual Fund</t>
        </is>
      </c>
      <c r="B6217" t="inlineStr">
        <is>
          <t xml:space="preserve">ICICI Prudential Nifty FMCG ETF</t>
        </is>
      </c>
      <c r="C6217" t="inlineStr">
        <is>
          <t xml:space="preserve">INF109KC19V3</t>
        </is>
      </c>
    </row>
    <row r="6218">
      <c r="A6218" t="inlineStr">
        <is>
          <t xml:space="preserve">ICICI Prudential Mutual Fund</t>
        </is>
      </c>
      <c r="B6218" t="inlineStr">
        <is>
          <t xml:space="preserve">ICICI Prudential Nifty G-Sec Dec 2030 Index Fund - Annual IDCW</t>
        </is>
      </c>
      <c r="C6218" t="inlineStr">
        <is>
          <t xml:space="preserve">INF109KC16K2</t>
        </is>
      </c>
    </row>
    <row r="6219">
      <c r="A6219" t="inlineStr">
        <is>
          <t xml:space="preserve">ICICI Prudential Mutual Fund</t>
        </is>
      </c>
      <c r="B6219" t="inlineStr">
        <is>
          <t xml:space="preserve">ICICI Prudential Nifty G-Sec Dec 2030 Index Fund - Direct Plan - Annual IDCW</t>
        </is>
      </c>
      <c r="C6219" t="inlineStr">
        <is>
          <t xml:space="preserve">INF109KC19K6</t>
        </is>
      </c>
    </row>
    <row r="6220">
      <c r="A6220" t="inlineStr">
        <is>
          <t xml:space="preserve">ICICI Prudential Mutual Fund</t>
        </is>
      </c>
      <c r="B6220" t="inlineStr">
        <is>
          <t xml:space="preserve">ICICI Prudential Nifty G-Sec Dec 2030 Index Fund - Direct Plan - Growth</t>
        </is>
      </c>
      <c r="C6220" t="inlineStr">
        <is>
          <t xml:space="preserve">INF109KC18K8</t>
        </is>
      </c>
    </row>
    <row r="6221">
      <c r="A6221" t="inlineStr">
        <is>
          <t xml:space="preserve">ICICI Prudential Mutual Fund</t>
        </is>
      </c>
      <c r="B6221" t="inlineStr">
        <is>
          <t xml:space="preserve">ICICI Prudential Nifty G-Sec Dec 2030 Index Fund - Growth</t>
        </is>
      </c>
      <c r="C6221" t="inlineStr">
        <is>
          <t xml:space="preserve">INF109KC15K4</t>
        </is>
      </c>
    </row>
    <row r="6222">
      <c r="A6222" t="inlineStr">
        <is>
          <t xml:space="preserve">ICICI Prudential Mutual Fund</t>
        </is>
      </c>
      <c r="B6222" t="inlineStr">
        <is>
          <t xml:space="preserve">ICICI Prudential Nifty Healthcare ETF</t>
        </is>
      </c>
      <c r="C6222" t="inlineStr">
        <is>
          <t xml:space="preserve">INF109KC1Q72</t>
        </is>
      </c>
    </row>
    <row r="6223">
      <c r="A6223" t="inlineStr">
        <is>
          <t xml:space="preserve">ICICI Prudential Mutual Fund</t>
        </is>
      </c>
      <c r="B6223" t="inlineStr">
        <is>
          <t xml:space="preserve">ICICI Prudential Nifty India Consumption ETF</t>
        </is>
      </c>
      <c r="C6223" t="inlineStr">
        <is>
          <t xml:space="preserve">INF109KC1V42</t>
        </is>
      </c>
    </row>
    <row r="6224">
      <c r="A6224" t="inlineStr">
        <is>
          <t xml:space="preserve">ICICI Prudential Mutual Fund</t>
        </is>
      </c>
      <c r="B6224" t="inlineStr">
        <is>
          <t xml:space="preserve">ICICI Prudential Nifty Infrastructure ETF</t>
        </is>
      </c>
      <c r="C6224" t="inlineStr">
        <is>
          <t xml:space="preserve">INF109KC16E5</t>
        </is>
      </c>
    </row>
    <row r="6225">
      <c r="A6225" t="inlineStr">
        <is>
          <t xml:space="preserve">ICICI Prudential Mutual Fund</t>
        </is>
      </c>
      <c r="B6225" t="inlineStr">
        <is>
          <t xml:space="preserve">ICICI Prudential Nifty IT ETF</t>
        </is>
      </c>
      <c r="C6225" t="inlineStr">
        <is>
          <t xml:space="preserve">INF109KC16I6</t>
        </is>
      </c>
    </row>
    <row r="6226">
      <c r="A6226" t="inlineStr">
        <is>
          <t xml:space="preserve">ICICI Prudential Mutual Fund</t>
        </is>
      </c>
      <c r="B6226" t="inlineStr">
        <is>
          <t xml:space="preserve">ICICI Prudential Nifty IT Index Fund - Direct Plan - Growth</t>
        </is>
      </c>
      <c r="C6226" t="inlineStr">
        <is>
          <t xml:space="preserve">INF109KC13E2</t>
        </is>
      </c>
    </row>
    <row r="6227">
      <c r="A6227" t="inlineStr">
        <is>
          <t xml:space="preserve">ICICI Prudential Mutual Fund</t>
        </is>
      </c>
      <c r="B6227" t="inlineStr">
        <is>
          <t xml:space="preserve">ICICI Prudential Nifty IT Index Fund - Direct Plan - IDCW</t>
        </is>
      </c>
      <c r="C6227" t="inlineStr">
        <is>
          <t xml:space="preserve">INF109KC14E0</t>
        </is>
      </c>
    </row>
    <row r="6228">
      <c r="A6228" t="inlineStr">
        <is>
          <t xml:space="preserve">ICICI Prudential Mutual Fund</t>
        </is>
      </c>
      <c r="B6228" t="inlineStr">
        <is>
          <t xml:space="preserve">ICICI Prudential Nifty IT Index Fund - Growth</t>
        </is>
      </c>
      <c r="C6228" t="inlineStr">
        <is>
          <t xml:space="preserve">INF109KC10E8</t>
        </is>
      </c>
    </row>
    <row r="6229">
      <c r="A6229" t="inlineStr">
        <is>
          <t xml:space="preserve">ICICI Prudential Mutual Fund</t>
        </is>
      </c>
      <c r="B6229" t="inlineStr">
        <is>
          <t xml:space="preserve">ICICI Prudential Nifty IT Index Fund - IDCW</t>
        </is>
      </c>
      <c r="C6229" t="inlineStr">
        <is>
          <t xml:space="preserve">INF109KC11E6</t>
        </is>
      </c>
    </row>
    <row r="6230">
      <c r="A6230" t="inlineStr">
        <is>
          <t xml:space="preserve">ICICI Prudential Mutual Fund</t>
        </is>
      </c>
      <c r="B6230" t="inlineStr">
        <is>
          <t xml:space="preserve">ICICI Prudential Nifty LargeMidcap 250 Index Fund - Direct Plan - Growth</t>
        </is>
      </c>
      <c r="C6230" t="inlineStr">
        <is>
          <t xml:space="preserve">INF109KC12U0</t>
        </is>
      </c>
    </row>
    <row r="6231">
      <c r="A6231" t="inlineStr">
        <is>
          <t xml:space="preserve">ICICI Prudential Mutual Fund</t>
        </is>
      </c>
      <c r="B6231" t="inlineStr">
        <is>
          <t xml:space="preserve">ICICI Prudential Nifty LargeMidcap 250 Index Fund - Direct Plan - IDCW</t>
        </is>
      </c>
      <c r="C6231" t="inlineStr">
        <is>
          <t xml:space="preserve">INF109KC13U8</t>
        </is>
      </c>
    </row>
    <row r="6232">
      <c r="A6232" t="inlineStr">
        <is>
          <t xml:space="preserve">ICICI Prudential Mutual Fund</t>
        </is>
      </c>
      <c r="B6232" t="inlineStr">
        <is>
          <t xml:space="preserve">ICICI Prudential Nifty LargeMidcap 250 Index Fund - Growth</t>
        </is>
      </c>
      <c r="C6232" t="inlineStr">
        <is>
          <t xml:space="preserve">INF109KC15U3</t>
        </is>
      </c>
    </row>
    <row r="6233">
      <c r="A6233" t="inlineStr">
        <is>
          <t xml:space="preserve">ICICI Prudential Mutual Fund</t>
        </is>
      </c>
      <c r="B6233" t="inlineStr">
        <is>
          <t xml:space="preserve">ICICI Prudential Nifty LargeMidcap 250 Index Fund - IDCW</t>
        </is>
      </c>
      <c r="C6233" t="inlineStr">
        <is>
          <t xml:space="preserve">INF109KC16U1</t>
        </is>
      </c>
    </row>
    <row r="6234">
      <c r="A6234" t="inlineStr">
        <is>
          <t xml:space="preserve">ICICI Prudential Mutual Fund</t>
        </is>
      </c>
      <c r="B6234" t="inlineStr">
        <is>
          <t xml:space="preserve">ICICI Prudential Nifty Metal ETF</t>
        </is>
      </c>
      <c r="C6234" t="inlineStr">
        <is>
          <t xml:space="preserve">INF109KC19W1</t>
        </is>
      </c>
    </row>
    <row r="6235">
      <c r="A6235" t="inlineStr">
        <is>
          <t xml:space="preserve">ICICI Prudential Mutual Fund</t>
        </is>
      </c>
      <c r="B6235" t="inlineStr">
        <is>
          <t xml:space="preserve">ICICI Prudential Nifty Midcap 150 ETF</t>
        </is>
      </c>
      <c r="C6235" t="inlineStr">
        <is>
          <t xml:space="preserve">INF109KC11W8</t>
        </is>
      </c>
    </row>
    <row r="6236">
      <c r="A6236" t="inlineStr">
        <is>
          <t xml:space="preserve">ICICI Prudential Mutual Fund</t>
        </is>
      </c>
      <c r="B6236" t="inlineStr">
        <is>
          <t xml:space="preserve">ICICI Prudential Nifty Midcap 150 Index Fund - Direct Plan - Growth</t>
        </is>
      </c>
      <c r="C6236" t="inlineStr">
        <is>
          <t xml:space="preserve">INF109KC1W58</t>
        </is>
      </c>
    </row>
    <row r="6237">
      <c r="A6237" t="inlineStr">
        <is>
          <t xml:space="preserve">ICICI Prudential Mutual Fund</t>
        </is>
      </c>
      <c r="B6237" t="inlineStr">
        <is>
          <t xml:space="preserve">ICICI Prudential Nifty Midcap 150 Index Fund - Direct Plan - IDCW</t>
        </is>
      </c>
      <c r="C6237" t="inlineStr">
        <is>
          <t xml:space="preserve">INF109KC1W66</t>
        </is>
      </c>
    </row>
    <row r="6238">
      <c r="A6238" t="inlineStr">
        <is>
          <t xml:space="preserve">ICICI Prudential Mutual Fund</t>
        </is>
      </c>
      <c r="B6238" t="inlineStr">
        <is>
          <t xml:space="preserve">ICICI Prudential Nifty Midcap 150 Index Fund - Growth</t>
        </is>
      </c>
      <c r="C6238" t="inlineStr">
        <is>
          <t xml:space="preserve">INF109KC1W25</t>
        </is>
      </c>
    </row>
    <row r="6239">
      <c r="A6239" t="inlineStr">
        <is>
          <t xml:space="preserve">ICICI Prudential Mutual Fund</t>
        </is>
      </c>
      <c r="B6239" t="inlineStr">
        <is>
          <t xml:space="preserve">ICICI Prudential Nifty Midcap 150 Index Fund - IDCW</t>
        </is>
      </c>
      <c r="C6239" t="inlineStr">
        <is>
          <t xml:space="preserve">INF109KC1W33</t>
        </is>
      </c>
    </row>
    <row r="6240">
      <c r="A6240" t="inlineStr">
        <is>
          <t xml:space="preserve">ICICI Prudential Mutual Fund</t>
        </is>
      </c>
      <c r="B6240" t="inlineStr">
        <is>
          <t xml:space="preserve">ICICI Prudential Nifty Next 50 ETF</t>
        </is>
      </c>
      <c r="C6240" t="inlineStr">
        <is>
          <t xml:space="preserve">INF109KC1NS5</t>
        </is>
      </c>
    </row>
    <row r="6241">
      <c r="A6241" t="inlineStr">
        <is>
          <t xml:space="preserve">ICICI Prudential Mutual Fund</t>
        </is>
      </c>
      <c r="B6241" t="inlineStr">
        <is>
          <t xml:space="preserve">ICICI Prudential Nifty Next 50 Index Fund - Direct Plan -  Growth</t>
        </is>
      </c>
      <c r="C6241" t="inlineStr">
        <is>
          <t xml:space="preserve">INF109K01Y80</t>
        </is>
      </c>
    </row>
    <row r="6242">
      <c r="A6242" t="inlineStr">
        <is>
          <t xml:space="preserve">ICICI Prudential Mutual Fund</t>
        </is>
      </c>
      <c r="B6242" t="inlineStr">
        <is>
          <t xml:space="preserve">ICICI Prudential Nifty Next 50 Index Fund - Direct Plan -  IDCW</t>
        </is>
      </c>
      <c r="C6242" t="inlineStr">
        <is>
          <t xml:space="preserve">INF109K01Y64</t>
        </is>
      </c>
    </row>
    <row r="6243">
      <c r="A6243" t="inlineStr">
        <is>
          <t xml:space="preserve">ICICI Prudential Mutual Fund</t>
        </is>
      </c>
      <c r="B6243" t="inlineStr">
        <is>
          <t xml:space="preserve">ICICI Prudential Nifty Next 50 Index Fund - Growth</t>
        </is>
      </c>
      <c r="C6243" t="inlineStr">
        <is>
          <t xml:space="preserve">INF109K01IF1</t>
        </is>
      </c>
    </row>
    <row r="6244">
      <c r="A6244" t="inlineStr">
        <is>
          <t xml:space="preserve">ICICI Prudential Mutual Fund</t>
        </is>
      </c>
      <c r="B6244" t="inlineStr">
        <is>
          <t xml:space="preserve">ICICI Prudential Nifty Next 50 Index Fund -IDCW</t>
        </is>
      </c>
      <c r="C6244" t="inlineStr">
        <is>
          <t xml:space="preserve">INF109K01PR1</t>
        </is>
      </c>
    </row>
    <row r="6245">
      <c r="A6245" t="inlineStr">
        <is>
          <t xml:space="preserve">ICICI Prudential Mutual Fund</t>
        </is>
      </c>
      <c r="B6245" t="inlineStr">
        <is>
          <t xml:space="preserve">ICICI Prudential Nifty Oil &amp; Gas ETF</t>
        </is>
      </c>
      <c r="C6245" t="inlineStr">
        <is>
          <t xml:space="preserve">INF109KC18W3</t>
        </is>
      </c>
    </row>
    <row r="6246">
      <c r="A6246" t="inlineStr">
        <is>
          <t xml:space="preserve">ICICI Prudential Mutual Fund</t>
        </is>
      </c>
      <c r="B6246" t="inlineStr">
        <is>
          <t xml:space="preserve">ICICI Prudential Nifty Pharma Index Fund - Direct Plan - Growth</t>
        </is>
      </c>
      <c r="C6246" t="inlineStr">
        <is>
          <t xml:space="preserve">INF109KC11M9</t>
        </is>
      </c>
    </row>
    <row r="6247">
      <c r="A6247" t="inlineStr">
        <is>
          <t xml:space="preserve">ICICI Prudential Mutual Fund</t>
        </is>
      </c>
      <c r="B6247" t="inlineStr">
        <is>
          <t xml:space="preserve">ICICI Prudential Nifty Pharma Index Fund - Direct Plan - IDCW</t>
        </is>
      </c>
      <c r="C6247" t="inlineStr">
        <is>
          <t xml:space="preserve">INF109KC12M7</t>
        </is>
      </c>
    </row>
    <row r="6248">
      <c r="A6248" t="inlineStr">
        <is>
          <t xml:space="preserve">ICICI Prudential Mutual Fund</t>
        </is>
      </c>
      <c r="B6248" t="inlineStr">
        <is>
          <t xml:space="preserve">ICICI Prudential Nifty Pharma Index Fund - Growth</t>
        </is>
      </c>
      <c r="C6248" t="inlineStr">
        <is>
          <t xml:space="preserve">INF109KC18L6</t>
        </is>
      </c>
    </row>
    <row r="6249">
      <c r="A6249" t="inlineStr">
        <is>
          <t xml:space="preserve">ICICI Prudential Mutual Fund</t>
        </is>
      </c>
      <c r="B6249" t="inlineStr">
        <is>
          <t xml:space="preserve">ICICI Prudential Nifty Pharma Index Fund - IDCW</t>
        </is>
      </c>
      <c r="C6249" t="inlineStr">
        <is>
          <t xml:space="preserve">INF109KC19L4</t>
        </is>
      </c>
    </row>
    <row r="6250">
      <c r="A6250" t="inlineStr">
        <is>
          <t xml:space="preserve">ICICI Prudential Mutual Fund</t>
        </is>
      </c>
      <c r="B6250" t="inlineStr">
        <is>
          <t xml:space="preserve">ICICI Prudential Nifty Private Bank ETF</t>
        </is>
      </c>
      <c r="C6250" t="inlineStr">
        <is>
          <t xml:space="preserve">INF109KC18U7</t>
        </is>
      </c>
    </row>
    <row r="6251">
      <c r="A6251" t="inlineStr">
        <is>
          <t xml:space="preserve">ICICI Prudential Mutual Fund</t>
        </is>
      </c>
      <c r="B6251" t="inlineStr">
        <is>
          <t xml:space="preserve">ICICI Prudential Nifty Private Bank Index Fund - Direct Plan - Growth</t>
        </is>
      </c>
      <c r="C6251" t="inlineStr">
        <is>
          <t xml:space="preserve">INF109K1A369</t>
        </is>
      </c>
    </row>
    <row r="6252">
      <c r="A6252" t="inlineStr">
        <is>
          <t xml:space="preserve">ICICI Prudential Mutual Fund</t>
        </is>
      </c>
      <c r="B6252" t="inlineStr">
        <is>
          <t xml:space="preserve">ICICI Prudential Nifty Private Bank Index Fund - Growth</t>
        </is>
      </c>
      <c r="C6252" t="inlineStr">
        <is>
          <t xml:space="preserve">INF109K1A351</t>
        </is>
      </c>
    </row>
    <row r="6253">
      <c r="A6253" t="inlineStr">
        <is>
          <t xml:space="preserve">ICICI Prudential Mutual Fund</t>
        </is>
      </c>
      <c r="B6253" t="inlineStr">
        <is>
          <t xml:space="preserve">ICICI Prudential Nifty PSU Bank ETF</t>
        </is>
      </c>
      <c r="C6253" t="inlineStr">
        <is>
          <t xml:space="preserve">INF109KC10S8</t>
        </is>
      </c>
    </row>
    <row r="6254">
      <c r="A6254" t="inlineStr">
        <is>
          <t xml:space="preserve">ICICI Prudential Mutual Fund</t>
        </is>
      </c>
      <c r="B6254" t="inlineStr">
        <is>
          <t xml:space="preserve">ICICI Prudential Nifty PSU Bond Plus SDL Sep 2027 40:60 Index Fund - Annual - IDCW</t>
        </is>
      </c>
      <c r="C6254" t="inlineStr">
        <is>
          <t xml:space="preserve">INF109KC1S62</t>
        </is>
      </c>
    </row>
    <row r="6255">
      <c r="A6255" t="inlineStr">
        <is>
          <t xml:space="preserve">ICICI Prudential Mutual Fund</t>
        </is>
      </c>
      <c r="B6255" t="inlineStr">
        <is>
          <t xml:space="preserve">ICICI Prudential Nifty PSU Bond Plus SDL Sep 2027 40:60 Index Fund - Direct Plan Annual - IDCW</t>
        </is>
      </c>
      <c r="C6255" t="inlineStr">
        <is>
          <t xml:space="preserve">INF109KC1T46</t>
        </is>
      </c>
    </row>
    <row r="6256">
      <c r="A6256" t="inlineStr">
        <is>
          <t xml:space="preserve">ICICI Prudential Mutual Fund</t>
        </is>
      </c>
      <c r="B6256" t="inlineStr">
        <is>
          <t xml:space="preserve">ICICI Prudential Nifty PSU Bond Plus SDL Sep 2027 40:60 Index Fund - Direct Plan Growth</t>
        </is>
      </c>
      <c r="C6256" t="inlineStr">
        <is>
          <t xml:space="preserve">INF109KC1S88</t>
        </is>
      </c>
    </row>
    <row r="6257">
      <c r="A6257" t="inlineStr">
        <is>
          <t xml:space="preserve">ICICI Prudential Mutual Fund</t>
        </is>
      </c>
      <c r="B6257" t="inlineStr">
        <is>
          <t xml:space="preserve">ICICI Prudential Nifty PSU Bond Plus SDL Sep 2027 40:60 Index Fund - Direct Plan Quarterly - IDCW</t>
        </is>
      </c>
      <c r="C6257" t="inlineStr">
        <is>
          <t xml:space="preserve">INF109KC1T12</t>
        </is>
      </c>
    </row>
    <row r="6258">
      <c r="A6258" t="inlineStr">
        <is>
          <t xml:space="preserve">ICICI Prudential Mutual Fund</t>
        </is>
      </c>
      <c r="B6258" t="inlineStr">
        <is>
          <t xml:space="preserve">ICICI Prudential Nifty PSU Bond Plus SDL Sep 2027 40:60 Index Fund - Direct Plan Weekly - IDCW</t>
        </is>
      </c>
      <c r="C6258" t="inlineStr">
        <is>
          <t xml:space="preserve">INF109KC1T04</t>
        </is>
      </c>
    </row>
    <row r="6259">
      <c r="A6259" t="inlineStr">
        <is>
          <t xml:space="preserve">ICICI Prudential Mutual Fund</t>
        </is>
      </c>
      <c r="B6259" t="inlineStr">
        <is>
          <t xml:space="preserve">ICICI Prudential Nifty PSU Bond Plus SDL Sep 2027 40:60 Index Fund - Growth</t>
        </is>
      </c>
      <c r="C6259" t="inlineStr">
        <is>
          <t xml:space="preserve">INF109KC1S13</t>
        </is>
      </c>
    </row>
    <row r="6260">
      <c r="A6260" t="inlineStr">
        <is>
          <t xml:space="preserve">ICICI Prudential Mutual Fund</t>
        </is>
      </c>
      <c r="B6260" t="inlineStr">
        <is>
          <t xml:space="preserve">ICICI Prudential Nifty PSU Bond Plus SDL Sep 2027 40:60 Index Fund - Quarterly - IDCW</t>
        </is>
      </c>
      <c r="C6260" t="inlineStr">
        <is>
          <t xml:space="preserve">INF109KC1S47</t>
        </is>
      </c>
    </row>
    <row r="6261">
      <c r="A6261" t="inlineStr">
        <is>
          <t xml:space="preserve">ICICI Prudential Mutual Fund</t>
        </is>
      </c>
      <c r="B6261" t="inlineStr">
        <is>
          <t xml:space="preserve">ICICI Prudential Nifty PSU Bond Plus SDL Sep 2027 40:60 Index Fund - Weekly - IDCW</t>
        </is>
      </c>
      <c r="C6261" t="inlineStr">
        <is>
          <t xml:space="preserve">INF109KC1S39</t>
        </is>
      </c>
    </row>
    <row r="6262">
      <c r="A6262" t="inlineStr">
        <is>
          <t xml:space="preserve">ICICI Prudential Mutual Fund</t>
        </is>
      </c>
      <c r="B6262" t="inlineStr">
        <is>
          <t xml:space="preserve">ICICI Prudential Nifty SDL Dec 2028 Index Fund - Annual IDCW</t>
        </is>
      </c>
      <c r="C6262" t="inlineStr">
        <is>
          <t xml:space="preserve">INF109KC12L9</t>
        </is>
      </c>
    </row>
    <row r="6263">
      <c r="A6263" t="inlineStr">
        <is>
          <t xml:space="preserve">ICICI Prudential Mutual Fund</t>
        </is>
      </c>
      <c r="B6263" t="inlineStr">
        <is>
          <t xml:space="preserve">ICICI Prudential Nifty SDL Dec 2028 Index Fund - Direct Plan - Annual IDCW</t>
        </is>
      </c>
      <c r="C6263" t="inlineStr">
        <is>
          <t xml:space="preserve">INF109KC15L2</t>
        </is>
      </c>
    </row>
    <row r="6264">
      <c r="A6264" t="inlineStr">
        <is>
          <t xml:space="preserve">ICICI Prudential Mutual Fund</t>
        </is>
      </c>
      <c r="B6264" t="inlineStr">
        <is>
          <t xml:space="preserve">ICICI Prudential Nifty SDL Dec 2028 Index Fund - Direct Plan - Growth</t>
        </is>
      </c>
      <c r="C6264" t="inlineStr">
        <is>
          <t xml:space="preserve">INF109KC14L5</t>
        </is>
      </c>
    </row>
    <row r="6265">
      <c r="A6265" t="inlineStr">
        <is>
          <t xml:space="preserve">ICICI Prudential Mutual Fund</t>
        </is>
      </c>
      <c r="B6265" t="inlineStr">
        <is>
          <t xml:space="preserve">ICICI Prudential Nifty SDL Dec 2028 Index Fund - Growth</t>
        </is>
      </c>
      <c r="C6265" t="inlineStr">
        <is>
          <t xml:space="preserve">INF109KC11L1</t>
        </is>
      </c>
    </row>
    <row r="6266">
      <c r="A6266" t="inlineStr">
        <is>
          <t xml:space="preserve">ICICI Prudential Mutual Fund</t>
        </is>
      </c>
      <c r="B6266" t="inlineStr">
        <is>
          <t xml:space="preserve">ICICI Prudential Nifty SDL Sep 2026 Index Fund - Annual IDCW</t>
        </is>
      </c>
      <c r="C6266" t="inlineStr">
        <is>
          <t xml:space="preserve">INF109KC11P2</t>
        </is>
      </c>
    </row>
    <row r="6267">
      <c r="A6267" t="inlineStr">
        <is>
          <t xml:space="preserve">ICICI Prudential Mutual Fund</t>
        </is>
      </c>
      <c r="B6267" t="inlineStr">
        <is>
          <t xml:space="preserve">ICICI Prudential Nifty SDL Sep 2026 Index Fund - Direct Plan - Annual IDCW</t>
        </is>
      </c>
      <c r="C6267" t="inlineStr">
        <is>
          <t xml:space="preserve">INF109KC14P6</t>
        </is>
      </c>
    </row>
    <row r="6268">
      <c r="A6268" t="inlineStr">
        <is>
          <t xml:space="preserve">ICICI Prudential Mutual Fund</t>
        </is>
      </c>
      <c r="B6268" t="inlineStr">
        <is>
          <t xml:space="preserve">ICICI Prudential Nifty SDL Sep 2026 Index Fund - Direct Plan - Growth</t>
        </is>
      </c>
      <c r="C6268" t="inlineStr">
        <is>
          <t xml:space="preserve">INF109KC13P8</t>
        </is>
      </c>
    </row>
    <row r="6269">
      <c r="A6269" t="inlineStr">
        <is>
          <t xml:space="preserve">ICICI Prudential Mutual Fund</t>
        </is>
      </c>
      <c r="B6269" t="inlineStr">
        <is>
          <t xml:space="preserve">ICICI Prudential Nifty SDL Sep 2026 Index Fund - Growth</t>
        </is>
      </c>
      <c r="C6269" t="inlineStr">
        <is>
          <t xml:space="preserve">INF109KC10P4</t>
        </is>
      </c>
    </row>
    <row r="6270">
      <c r="A6270" t="inlineStr">
        <is>
          <t xml:space="preserve">ICICI Prudential Mutual Fund</t>
        </is>
      </c>
      <c r="B6270" t="inlineStr">
        <is>
          <t xml:space="preserve">ICICI Prudential Nifty SDL Sep 2027 Index Fund - Annual IDCW</t>
        </is>
      </c>
      <c r="C6270" t="inlineStr">
        <is>
          <t xml:space="preserve">INF109KC12B0</t>
        </is>
      </c>
    </row>
    <row r="6271">
      <c r="A6271" t="inlineStr">
        <is>
          <t xml:space="preserve">ICICI Prudential Mutual Fund</t>
        </is>
      </c>
      <c r="B6271" t="inlineStr">
        <is>
          <t xml:space="preserve">ICICI Prudential Nifty SDL Sep 2027 Index Fund - Direct Plan - Annual IDCW</t>
        </is>
      </c>
      <c r="C6271" t="inlineStr">
        <is>
          <t xml:space="preserve">INF109KC15B3</t>
        </is>
      </c>
    </row>
    <row r="6272">
      <c r="A6272" t="inlineStr">
        <is>
          <t xml:space="preserve">ICICI Prudential Mutual Fund</t>
        </is>
      </c>
      <c r="B6272" t="inlineStr">
        <is>
          <t xml:space="preserve">ICICI Prudential Nifty SDL Sep 2027 Index Fund - Direct Plan - Growth</t>
        </is>
      </c>
      <c r="C6272" t="inlineStr">
        <is>
          <t xml:space="preserve">INF109KC14B6</t>
        </is>
      </c>
    </row>
    <row r="6273">
      <c r="A6273" t="inlineStr">
        <is>
          <t xml:space="preserve">ICICI Prudential Mutual Fund</t>
        </is>
      </c>
      <c r="B6273" t="inlineStr">
        <is>
          <t xml:space="preserve">ICICI Prudential Nifty SDL Sep 2027 Index Fund - Growth</t>
        </is>
      </c>
      <c r="C6273" t="inlineStr">
        <is>
          <t xml:space="preserve">INF109KC11B2</t>
        </is>
      </c>
    </row>
    <row r="6274">
      <c r="A6274" t="inlineStr">
        <is>
          <t xml:space="preserve">ICICI Prudential Mutual Fund</t>
        </is>
      </c>
      <c r="B6274" t="inlineStr">
        <is>
          <t xml:space="preserve">ICICI Prudential Nifty Smallcap 250 ETF</t>
        </is>
      </c>
      <c r="C6274" t="inlineStr">
        <is>
          <t xml:space="preserve">INF109K1A476</t>
        </is>
      </c>
    </row>
    <row r="6275">
      <c r="A6275" t="inlineStr">
        <is>
          <t xml:space="preserve">ICICI Prudential Mutual Fund</t>
        </is>
      </c>
      <c r="B6275" t="inlineStr">
        <is>
          <t xml:space="preserve">ICICI Prudential Nifty Smallcap 250 Index Fund - Direct Plan - Growth</t>
        </is>
      </c>
      <c r="C6275" t="inlineStr">
        <is>
          <t xml:space="preserve">INF109KC1V18</t>
        </is>
      </c>
    </row>
    <row r="6276">
      <c r="A6276" t="inlineStr">
        <is>
          <t xml:space="preserve">ICICI Prudential Mutual Fund</t>
        </is>
      </c>
      <c r="B6276" t="inlineStr">
        <is>
          <t xml:space="preserve">ICICI Prudential Nifty Smallcap 250 Index Fund - Direct Plan - IDCW</t>
        </is>
      </c>
      <c r="C6276" t="inlineStr">
        <is>
          <t xml:space="preserve">INF109KC1V26</t>
        </is>
      </c>
    </row>
    <row r="6277">
      <c r="A6277" t="inlineStr">
        <is>
          <t xml:space="preserve">ICICI Prudential Mutual Fund</t>
        </is>
      </c>
      <c r="B6277" t="inlineStr">
        <is>
          <t xml:space="preserve">ICICI Prudential Nifty Smallcap 250 Index Fund - Growth</t>
        </is>
      </c>
      <c r="C6277" t="inlineStr">
        <is>
          <t xml:space="preserve">INF109KC1U84</t>
        </is>
      </c>
    </row>
    <row r="6278">
      <c r="A6278" t="inlineStr">
        <is>
          <t xml:space="preserve">ICICI Prudential Mutual Fund</t>
        </is>
      </c>
      <c r="B6278" t="inlineStr">
        <is>
          <t xml:space="preserve">ICICI Prudential Nifty Smallcap 250 Index Fund - IDCW</t>
        </is>
      </c>
      <c r="C6278" t="inlineStr">
        <is>
          <t xml:space="preserve">INF109KC1U92</t>
        </is>
      </c>
    </row>
    <row r="6279">
      <c r="A6279" t="inlineStr">
        <is>
          <t xml:space="preserve">ICICI Prudential Mutual Fund</t>
        </is>
      </c>
      <c r="B6279" t="inlineStr">
        <is>
          <t xml:space="preserve">ICICI Prudential Nifty Top 15 Equal Weight ETF</t>
        </is>
      </c>
      <c r="C6279" t="inlineStr">
        <is>
          <t xml:space="preserve">INF109K1A344</t>
        </is>
      </c>
    </row>
    <row r="6280">
      <c r="A6280" t="inlineStr">
        <is>
          <t xml:space="preserve">ICICI Prudential Mutual Fund</t>
        </is>
      </c>
      <c r="B6280" t="inlineStr">
        <is>
          <t xml:space="preserve">ICICI Prudential Nifty Top 15 Equal Weight Index Fund - Direct Plan - Growth</t>
        </is>
      </c>
      <c r="C6280" t="inlineStr">
        <is>
          <t xml:space="preserve">INF109K1A310</t>
        </is>
      </c>
    </row>
    <row r="6281">
      <c r="A6281" t="inlineStr">
        <is>
          <t xml:space="preserve">ICICI Prudential Mutual Fund</t>
        </is>
      </c>
      <c r="B6281" t="inlineStr">
        <is>
          <t xml:space="preserve">ICICI Prudential Nifty Top 15 Equal Weight Index Fund - Direct Plan - IDCW</t>
        </is>
      </c>
      <c r="C6281" t="inlineStr">
        <is>
          <t xml:space="preserve">INF109K1A336</t>
        </is>
      </c>
    </row>
    <row r="6282">
      <c r="A6282" t="inlineStr">
        <is>
          <t xml:space="preserve">ICICI Prudential Mutual Fund</t>
        </is>
      </c>
      <c r="B6282" t="inlineStr">
        <is>
          <t xml:space="preserve">ICICI Prudential Nifty Top 15 Equal Weight Index Fund - Growth</t>
        </is>
      </c>
      <c r="C6282" t="inlineStr">
        <is>
          <t xml:space="preserve">INF109K1A286</t>
        </is>
      </c>
    </row>
    <row r="6283">
      <c r="A6283" t="inlineStr">
        <is>
          <t xml:space="preserve">ICICI Prudential Mutual Fund</t>
        </is>
      </c>
      <c r="B6283" t="inlineStr">
        <is>
          <t xml:space="preserve">ICICI Prudential Nifty Top 15 Equal Weight Index Fund - IDCW</t>
        </is>
      </c>
      <c r="C6283" t="inlineStr">
        <is>
          <t xml:space="preserve">INF109K1A302</t>
        </is>
      </c>
    </row>
    <row r="6284">
      <c r="A6284" t="inlineStr">
        <is>
          <t xml:space="preserve">ICICI Prudential Mutual Fund</t>
        </is>
      </c>
      <c r="B6284" t="inlineStr">
        <is>
          <t xml:space="preserve">ICICI Prudential Nifty200 Quality 30 Index Fund - Direct Plan - Growth</t>
        </is>
      </c>
      <c r="C6284" t="inlineStr">
        <is>
          <t xml:space="preserve">INF109K1A252</t>
        </is>
      </c>
    </row>
    <row r="6285">
      <c r="A6285" t="inlineStr">
        <is>
          <t xml:space="preserve">ICICI Prudential Mutual Fund</t>
        </is>
      </c>
      <c r="B6285" t="inlineStr">
        <is>
          <t xml:space="preserve">ICICI Prudential Nifty200 Quality 30 Index Fund - Direct Plan - IDCW</t>
        </is>
      </c>
      <c r="C6285" t="inlineStr">
        <is>
          <t xml:space="preserve">INF109K1A278</t>
        </is>
      </c>
    </row>
    <row r="6286">
      <c r="A6286" t="inlineStr">
        <is>
          <t xml:space="preserve">ICICI Prudential Mutual Fund</t>
        </is>
      </c>
      <c r="B6286" t="inlineStr">
        <is>
          <t xml:space="preserve">ICICI Prudential Nifty200 Quality 30 Index Fund - Growth</t>
        </is>
      </c>
      <c r="C6286" t="inlineStr">
        <is>
          <t xml:space="preserve">INF109K1A229</t>
        </is>
      </c>
    </row>
    <row r="6287">
      <c r="A6287" t="inlineStr">
        <is>
          <t xml:space="preserve">ICICI Prudential Mutual Fund</t>
        </is>
      </c>
      <c r="B6287" t="inlineStr">
        <is>
          <t xml:space="preserve">ICICI Prudential Nifty200 Quality 30 Index Fund - IDCW</t>
        </is>
      </c>
      <c r="C6287" t="inlineStr">
        <is>
          <t xml:space="preserve">INF109K1A245</t>
        </is>
      </c>
    </row>
    <row r="6288">
      <c r="A6288" t="inlineStr">
        <is>
          <t xml:space="preserve">ICICI Prudential Mutual Fund</t>
        </is>
      </c>
      <c r="B6288" t="inlineStr">
        <is>
          <t xml:space="preserve">ICICI Prudential Nifty200 Value 30 ETF</t>
        </is>
      </c>
      <c r="C6288" t="inlineStr">
        <is>
          <t xml:space="preserve">INF109KC16X5</t>
        </is>
      </c>
    </row>
    <row r="6289">
      <c r="A6289" t="inlineStr">
        <is>
          <t xml:space="preserve">ICICI Prudential Mutual Fund</t>
        </is>
      </c>
      <c r="B6289" t="inlineStr">
        <is>
          <t xml:space="preserve">ICICI Prudential Nifty200 Value 30 Index Fund - Direct Plan - Growth</t>
        </is>
      </c>
      <c r="C6289" t="inlineStr">
        <is>
          <t xml:space="preserve">INF109KC13X2</t>
        </is>
      </c>
    </row>
    <row r="6290">
      <c r="A6290" t="inlineStr">
        <is>
          <t xml:space="preserve">ICICI Prudential Mutual Fund</t>
        </is>
      </c>
      <c r="B6290" t="inlineStr">
        <is>
          <t xml:space="preserve">ICICI Prudential Nifty200 Value 30 Index Fund - Direct Plan - IDCW</t>
        </is>
      </c>
      <c r="C6290" t="inlineStr">
        <is>
          <t xml:space="preserve">INF109KC15X7</t>
        </is>
      </c>
    </row>
    <row r="6291">
      <c r="A6291" t="inlineStr">
        <is>
          <t xml:space="preserve">ICICI Prudential Mutual Fund</t>
        </is>
      </c>
      <c r="B6291" t="inlineStr">
        <is>
          <t xml:space="preserve">ICICI Prudential Nifty200 Value 30 Index Fund - Growth</t>
        </is>
      </c>
      <c r="C6291" t="inlineStr">
        <is>
          <t xml:space="preserve">INF109KC10X8</t>
        </is>
      </c>
    </row>
    <row r="6292">
      <c r="A6292" t="inlineStr">
        <is>
          <t xml:space="preserve">ICICI Prudential Mutual Fund</t>
        </is>
      </c>
      <c r="B6292" t="inlineStr">
        <is>
          <t xml:space="preserve">ICICI Prudential Nifty200 Value 30 Index Fund - IDCW</t>
        </is>
      </c>
      <c r="C6292" t="inlineStr">
        <is>
          <t xml:space="preserve">INF109KC12X4</t>
        </is>
      </c>
    </row>
    <row r="6293">
      <c r="A6293" t="inlineStr">
        <is>
          <t xml:space="preserve">ICICI Prudential Mutual Fund</t>
        </is>
      </c>
      <c r="B6293" t="inlineStr">
        <is>
          <t xml:space="preserve">ICICI Prudential Nifty50 Equal Weight Index Fund- Direct Plan - Growth</t>
        </is>
      </c>
      <c r="C6293" t="inlineStr">
        <is>
          <t xml:space="preserve">INF109KC10J7</t>
        </is>
      </c>
    </row>
    <row r="6294">
      <c r="A6294" t="inlineStr">
        <is>
          <t xml:space="preserve">ICICI Prudential Mutual Fund</t>
        </is>
      </c>
      <c r="B6294" t="inlineStr">
        <is>
          <t xml:space="preserve">ICICI Prudential Nifty50 Equal Weight Index Fund- Direct Plan - IDCW</t>
        </is>
      </c>
      <c r="C6294" t="inlineStr">
        <is>
          <t xml:space="preserve">INF109KC11J5</t>
        </is>
      </c>
    </row>
    <row r="6295">
      <c r="A6295" t="inlineStr">
        <is>
          <t xml:space="preserve">ICICI Prudential Mutual Fund</t>
        </is>
      </c>
      <c r="B6295" t="inlineStr">
        <is>
          <t xml:space="preserve">ICICI Prudential Nifty50 Equal Weight Index Fund- Growth</t>
        </is>
      </c>
      <c r="C6295" t="inlineStr">
        <is>
          <t xml:space="preserve">INF109KC17I4</t>
        </is>
      </c>
    </row>
    <row r="6296">
      <c r="A6296" t="inlineStr">
        <is>
          <t xml:space="preserve">ICICI Prudential Mutual Fund</t>
        </is>
      </c>
      <c r="B6296" t="inlineStr">
        <is>
          <t xml:space="preserve">ICICI Prudential Nifty50 Equal Weight Index Fund- IDCW</t>
        </is>
      </c>
      <c r="C6296" t="inlineStr">
        <is>
          <t xml:space="preserve">INF109KC18I2</t>
        </is>
      </c>
    </row>
    <row r="6297">
      <c r="A6297" t="inlineStr">
        <is>
          <t xml:space="preserve">ICICI Prudential Mutual Fund</t>
        </is>
      </c>
      <c r="B6297" t="inlineStr">
        <is>
          <t xml:space="preserve">ICICI Prudential Nifty50 Value 20 ETF</t>
        </is>
      </c>
      <c r="C6297" t="inlineStr">
        <is>
          <t xml:space="preserve">INF109KC11V0</t>
        </is>
      </c>
    </row>
    <row r="6298">
      <c r="A6298" t="inlineStr">
        <is>
          <t xml:space="preserve">ICICI Prudential Mutual Fund</t>
        </is>
      </c>
      <c r="B6298" t="inlineStr">
        <is>
          <t xml:space="preserve">ICICI Prudential Nifty50 Value 20 Index Fund - Direct Plan - Growth</t>
        </is>
      </c>
      <c r="C6298" t="inlineStr">
        <is>
          <t xml:space="preserve">INF109KC16T3</t>
        </is>
      </c>
    </row>
    <row r="6299">
      <c r="A6299" t="inlineStr">
        <is>
          <t xml:space="preserve">ICICI Prudential Mutual Fund</t>
        </is>
      </c>
      <c r="B6299" t="inlineStr">
        <is>
          <t xml:space="preserve">ICICI Prudential Nifty50 Value 20 Index Fund - Direct Plan - IDCW</t>
        </is>
      </c>
      <c r="C6299" t="inlineStr">
        <is>
          <t xml:space="preserve">INF109KC17T1</t>
        </is>
      </c>
    </row>
    <row r="6300">
      <c r="A6300" t="inlineStr">
        <is>
          <t xml:space="preserve">ICICI Prudential Mutual Fund</t>
        </is>
      </c>
      <c r="B6300" t="inlineStr">
        <is>
          <t xml:space="preserve">ICICI Prudential Nifty50 Value 20 Index Fund - Growth</t>
        </is>
      </c>
      <c r="C6300" t="inlineStr">
        <is>
          <t xml:space="preserve">INF109KC19T7</t>
        </is>
      </c>
    </row>
    <row r="6301">
      <c r="A6301" t="inlineStr">
        <is>
          <t xml:space="preserve">ICICI Prudential Mutual Fund</t>
        </is>
      </c>
      <c r="B6301" t="inlineStr">
        <is>
          <t xml:space="preserve">ICICI Prudential Nifty50 Value 20 Index Fund - IDCW</t>
        </is>
      </c>
      <c r="C6301" t="inlineStr">
        <is>
          <t xml:space="preserve">INF109KC10U4</t>
        </is>
      </c>
    </row>
    <row r="6302">
      <c r="A6302" t="inlineStr">
        <is>
          <t xml:space="preserve">ICICI Prudential Mutual Fund</t>
        </is>
      </c>
      <c r="B6302" t="inlineStr">
        <is>
          <t xml:space="preserve">ICICI Prudential Overnight Fund - Annual IDCW</t>
        </is>
      </c>
      <c r="C6302" t="inlineStr">
        <is>
          <t xml:space="preserve">INF109KC19F6</t>
        </is>
      </c>
    </row>
    <row r="6303">
      <c r="A6303" t="inlineStr">
        <is>
          <t xml:space="preserve">ICICI Prudential Mutual Fund</t>
        </is>
      </c>
      <c r="B6303" t="inlineStr">
        <is>
          <t xml:space="preserve">ICICI Prudential Overnight Fund - Daily IDCW</t>
        </is>
      </c>
      <c r="C6303" t="inlineStr">
        <is>
          <t xml:space="preserve">INF109KC18E1</t>
        </is>
      </c>
    </row>
    <row r="6304">
      <c r="A6304" t="inlineStr">
        <is>
          <t xml:space="preserve">ICICI Prudential Mutual Fund</t>
        </is>
      </c>
      <c r="B6304" t="inlineStr">
        <is>
          <t xml:space="preserve">ICICI Prudential Overnight Fund - Direct Plan - Annual IDCW</t>
        </is>
      </c>
      <c r="C6304" t="inlineStr">
        <is>
          <t xml:space="preserve">INF109KC13H5</t>
        </is>
      </c>
    </row>
    <row r="6305">
      <c r="A6305" t="inlineStr">
        <is>
          <t xml:space="preserve">ICICI Prudential Mutual Fund</t>
        </is>
      </c>
      <c r="B6305" t="inlineStr">
        <is>
          <t xml:space="preserve">ICICI Prudential Overnight Fund - Direct Plan - Daily IDCW</t>
        </is>
      </c>
      <c r="C6305" t="inlineStr">
        <is>
          <t xml:space="preserve">INF109KC12G9</t>
        </is>
      </c>
    </row>
    <row r="6306">
      <c r="A6306" t="inlineStr">
        <is>
          <t xml:space="preserve">ICICI Prudential Mutual Fund</t>
        </is>
      </c>
      <c r="B6306" t="inlineStr">
        <is>
          <t xml:space="preserve">ICICI Prudential Overnight Fund - Direct Plan - Fortnightly IDCW</t>
        </is>
      </c>
      <c r="C6306" t="inlineStr">
        <is>
          <t xml:space="preserve">INF109KC18G6</t>
        </is>
      </c>
    </row>
    <row r="6307">
      <c r="A6307" t="inlineStr">
        <is>
          <t xml:space="preserve">ICICI Prudential Mutual Fund</t>
        </is>
      </c>
      <c r="B6307" t="inlineStr">
        <is>
          <t xml:space="preserve">ICICI Prudential Overnight Fund - Direct Plan - Growth</t>
        </is>
      </c>
      <c r="C6307" t="inlineStr">
        <is>
          <t xml:space="preserve">INF109KC11G1</t>
        </is>
      </c>
    </row>
    <row r="6308">
      <c r="A6308" t="inlineStr">
        <is>
          <t xml:space="preserve">ICICI Prudential Mutual Fund</t>
        </is>
      </c>
      <c r="B6308" t="inlineStr">
        <is>
          <t xml:space="preserve">ICICI Prudential Overnight Fund - Direct Plan - Half Yearly IDCW</t>
        </is>
      </c>
      <c r="C6308" t="inlineStr">
        <is>
          <t xml:space="preserve">INF109KC11H9</t>
        </is>
      </c>
    </row>
    <row r="6309">
      <c r="A6309" t="inlineStr">
        <is>
          <t xml:space="preserve">ICICI Prudential Mutual Fund</t>
        </is>
      </c>
      <c r="B6309" t="inlineStr">
        <is>
          <t xml:space="preserve">ICICI Prudential Overnight Fund - Direct Plan - Monthly IDCW</t>
        </is>
      </c>
      <c r="C6309" t="inlineStr">
        <is>
          <t xml:space="preserve">INF109KC13G7</t>
        </is>
      </c>
    </row>
    <row r="6310">
      <c r="A6310" t="inlineStr">
        <is>
          <t xml:space="preserve">ICICI Prudential Mutual Fund</t>
        </is>
      </c>
      <c r="B6310" t="inlineStr">
        <is>
          <t xml:space="preserve">ICICI Prudential Overnight Fund - Direct Plan - Quarterly IDCW</t>
        </is>
      </c>
      <c r="C6310" t="inlineStr">
        <is>
          <t xml:space="preserve">INF109KC19G4</t>
        </is>
      </c>
    </row>
    <row r="6311">
      <c r="A6311" t="inlineStr">
        <is>
          <t xml:space="preserve">ICICI Prudential Mutual Fund</t>
        </is>
      </c>
      <c r="B6311" t="inlineStr">
        <is>
          <t xml:space="preserve">ICICI Prudential Overnight fund - Direct Plan - Unclaimed IDCW Stable Scheme</t>
        </is>
      </c>
      <c r="C6311" t="inlineStr">
        <is>
          <t xml:space="preserve">INF109KC18H4</t>
        </is>
      </c>
    </row>
    <row r="6312">
      <c r="A6312" t="inlineStr">
        <is>
          <t xml:space="preserve">ICICI Prudential Mutual Fund</t>
        </is>
      </c>
      <c r="B6312" t="inlineStr">
        <is>
          <t xml:space="preserve">ICICI Prudential Overnight fund - Direct Plan - Unclaimed IDCW Transitory Scheme</t>
        </is>
      </c>
      <c r="C6312" t="inlineStr">
        <is>
          <t xml:space="preserve">INF109KC16H8</t>
        </is>
      </c>
    </row>
    <row r="6313">
      <c r="A6313" t="inlineStr">
        <is>
          <t xml:space="preserve">ICICI Prudential Mutual Fund</t>
        </is>
      </c>
      <c r="B6313" t="inlineStr">
        <is>
          <t xml:space="preserve">ICICI Prudential Overnight fund - Direct Plan - Unclaimed Redemption Stable Scheme</t>
        </is>
      </c>
      <c r="C6313" t="inlineStr">
        <is>
          <t xml:space="preserve">INF109KC17H6</t>
        </is>
      </c>
    </row>
    <row r="6314">
      <c r="A6314" t="inlineStr">
        <is>
          <t xml:space="preserve">ICICI Prudential Mutual Fund</t>
        </is>
      </c>
      <c r="B6314" t="inlineStr">
        <is>
          <t xml:space="preserve">ICICI Prudential Overnight fund - Direct Plan - Unclaimed Redemption Transitory Scheme</t>
        </is>
      </c>
      <c r="C6314" t="inlineStr">
        <is>
          <t xml:space="preserve">INF109KC15H0</t>
        </is>
      </c>
    </row>
    <row r="6315">
      <c r="A6315" t="inlineStr">
        <is>
          <t xml:space="preserve">ICICI Prudential Mutual Fund</t>
        </is>
      </c>
      <c r="B6315" t="inlineStr">
        <is>
          <t xml:space="preserve">ICICI Prudential Overnight Fund - Direct Plan - Weekly IDCW</t>
        </is>
      </c>
      <c r="C6315" t="inlineStr">
        <is>
          <t xml:space="preserve">INF109KC16G0</t>
        </is>
      </c>
    </row>
    <row r="6316">
      <c r="A6316" t="inlineStr">
        <is>
          <t xml:space="preserve">ICICI Prudential Mutual Fund</t>
        </is>
      </c>
      <c r="B6316" t="inlineStr">
        <is>
          <t xml:space="preserve">ICICI Prudential Overnight Fund - Fortnightly IDCW</t>
        </is>
      </c>
      <c r="C6316" t="inlineStr">
        <is>
          <t xml:space="preserve">INF109KC14F7</t>
        </is>
      </c>
    </row>
    <row r="6317">
      <c r="A6317" t="inlineStr">
        <is>
          <t xml:space="preserve">ICICI Prudential Mutual Fund</t>
        </is>
      </c>
      <c r="B6317" t="inlineStr">
        <is>
          <t xml:space="preserve">ICICI Prudential Overnight Fund - Growth</t>
        </is>
      </c>
      <c r="C6317" t="inlineStr">
        <is>
          <t xml:space="preserve">INF109KC17E3</t>
        </is>
      </c>
    </row>
    <row r="6318">
      <c r="A6318" t="inlineStr">
        <is>
          <t xml:space="preserve">ICICI Prudential Mutual Fund</t>
        </is>
      </c>
      <c r="B6318" t="inlineStr">
        <is>
          <t xml:space="preserve">ICICI Prudential Overnight Fund - Half Yearly IDCW</t>
        </is>
      </c>
      <c r="C6318" t="inlineStr">
        <is>
          <t xml:space="preserve">INF109KC17F0</t>
        </is>
      </c>
    </row>
    <row r="6319">
      <c r="A6319" t="inlineStr">
        <is>
          <t xml:space="preserve">ICICI Prudential Mutual Fund</t>
        </is>
      </c>
      <c r="B6319" t="inlineStr">
        <is>
          <t xml:space="preserve">ICICI Prudential Overnight Fund - Monthly IDCW</t>
        </is>
      </c>
      <c r="C6319" t="inlineStr">
        <is>
          <t xml:space="preserve">INF109KC19E9</t>
        </is>
      </c>
    </row>
    <row r="6320">
      <c r="A6320" t="inlineStr">
        <is>
          <t xml:space="preserve">ICICI Prudential Mutual Fund</t>
        </is>
      </c>
      <c r="B6320" t="inlineStr">
        <is>
          <t xml:space="preserve">ICICI Prudential Overnight Fund - Quarterly IDCW</t>
        </is>
      </c>
      <c r="C6320" t="inlineStr">
        <is>
          <t xml:space="preserve">INF109KC15F4</t>
        </is>
      </c>
    </row>
    <row r="6321">
      <c r="A6321" t="inlineStr">
        <is>
          <t xml:space="preserve">ICICI Prudential Mutual Fund</t>
        </is>
      </c>
      <c r="B6321" t="inlineStr">
        <is>
          <t xml:space="preserve">ICICI Prudential Overnight Fund - Weekly IDCW</t>
        </is>
      </c>
      <c r="C6321" t="inlineStr">
        <is>
          <t xml:space="preserve">INF109KC12F1</t>
        </is>
      </c>
    </row>
    <row r="6322">
      <c r="A6322" t="inlineStr">
        <is>
          <t xml:space="preserve">ICICI Prudential Mutual Fund</t>
        </is>
      </c>
      <c r="B6322" t="inlineStr">
        <is>
          <t xml:space="preserve">ICICI Prudential Passive Multi-Asset Fund of Funds - Direct Plan - Growth</t>
        </is>
      </c>
      <c r="C6322" t="inlineStr">
        <is>
          <t xml:space="preserve">INF109KC1Y15</t>
        </is>
      </c>
    </row>
    <row r="6323">
      <c r="A6323" t="inlineStr">
        <is>
          <t xml:space="preserve">ICICI Prudential Mutual Fund</t>
        </is>
      </c>
      <c r="B6323" t="inlineStr">
        <is>
          <t xml:space="preserve">ICICI Prudential Passive Multi-Asset Fund of Funds - Direct Plan - IDCW</t>
        </is>
      </c>
      <c r="C6323" t="inlineStr">
        <is>
          <t xml:space="preserve">INF109KC1Y23</t>
        </is>
      </c>
    </row>
    <row r="6324">
      <c r="A6324" t="inlineStr">
        <is>
          <t xml:space="preserve">ICICI Prudential Mutual Fund</t>
        </is>
      </c>
      <c r="B6324" t="inlineStr">
        <is>
          <t xml:space="preserve">ICICI Prudential Passive Multi-Asset Fund of Funds - Growth</t>
        </is>
      </c>
      <c r="C6324" t="inlineStr">
        <is>
          <t xml:space="preserve">INF109KC1X81</t>
        </is>
      </c>
    </row>
    <row r="6325">
      <c r="A6325" t="inlineStr">
        <is>
          <t xml:space="preserve">ICICI Prudential Mutual Fund</t>
        </is>
      </c>
      <c r="B6325" t="inlineStr">
        <is>
          <t xml:space="preserve">ICICI Prudential Passive Multi-Asset Fund of Funds - IDCW</t>
        </is>
      </c>
      <c r="C6325" t="inlineStr">
        <is>
          <t xml:space="preserve">INF109KC1X99</t>
        </is>
      </c>
    </row>
    <row r="6326">
      <c r="A6326" t="inlineStr">
        <is>
          <t xml:space="preserve">ICICI Prudential Mutual Fund</t>
        </is>
      </c>
      <c r="B6326" t="inlineStr">
        <is>
          <t xml:space="preserve">ICICI Prudential Pharma Healthcare and Diagnostics (P.H.D) Fund - Cumulative Option</t>
        </is>
      </c>
      <c r="C6326" t="inlineStr">
        <is>
          <t xml:space="preserve">INF109KC1GE9</t>
        </is>
      </c>
    </row>
    <row r="6327">
      <c r="A6327" t="inlineStr">
        <is>
          <t xml:space="preserve">ICICI Prudential Mutual Fund</t>
        </is>
      </c>
      <c r="B6327" t="inlineStr">
        <is>
          <t xml:space="preserve">ICICI Prudential Pharma Healthcare and Diagnostics (P.H.D) Fund - Direct Plan - Cumulative Option</t>
        </is>
      </c>
      <c r="C6327" t="inlineStr">
        <is>
          <t xml:space="preserve">INF109KC1GH2</t>
        </is>
      </c>
    </row>
    <row r="6328">
      <c r="A6328" t="inlineStr">
        <is>
          <t xml:space="preserve">ICICI Prudential Mutual Fund</t>
        </is>
      </c>
      <c r="B6328" t="inlineStr">
        <is>
          <t xml:space="preserve">ICICI Prudential Pharma Healthcare and Diagnostics (P.H.D) Fund - Direct Plan - IDCW Option</t>
        </is>
      </c>
      <c r="C6328" t="inlineStr">
        <is>
          <t xml:space="preserve">INF109KC1GJ8</t>
        </is>
      </c>
    </row>
    <row r="6329">
      <c r="A6329" t="inlineStr">
        <is>
          <t xml:space="preserve">ICICI Prudential Mutual Fund</t>
        </is>
      </c>
      <c r="B6329" t="inlineStr">
        <is>
          <t xml:space="preserve">ICICI Prudential Pharma Healthcare and Diagnostics (P.H.D) Fund - IDCW Option</t>
        </is>
      </c>
      <c r="C6329" t="inlineStr">
        <is>
          <t xml:space="preserve">INF109KC1GG4</t>
        </is>
      </c>
    </row>
    <row r="6330">
      <c r="A6330" t="inlineStr">
        <is>
          <t xml:space="preserve">ICICI Prudential Mutual Fund</t>
        </is>
      </c>
      <c r="B6330" t="inlineStr">
        <is>
          <t xml:space="preserve">ICICI Prudential PSU Equity Fund - Direct Plan - Growth</t>
        </is>
      </c>
      <c r="C6330" t="inlineStr">
        <is>
          <t xml:space="preserve">INF109KC12I5</t>
        </is>
      </c>
    </row>
    <row r="6331">
      <c r="A6331" t="inlineStr">
        <is>
          <t xml:space="preserve">ICICI Prudential Mutual Fund</t>
        </is>
      </c>
      <c r="B6331" t="inlineStr">
        <is>
          <t xml:space="preserve">ICICI Prudential PSU Equity Fund - Direct Plan - IDCW</t>
        </is>
      </c>
      <c r="C6331" t="inlineStr">
        <is>
          <t xml:space="preserve">INF109KC13I3</t>
        </is>
      </c>
    </row>
    <row r="6332">
      <c r="A6332" t="inlineStr">
        <is>
          <t xml:space="preserve">ICICI Prudential Mutual Fund</t>
        </is>
      </c>
      <c r="B6332" t="inlineStr">
        <is>
          <t xml:space="preserve">ICICI Prudential PSU Equity Fund - Growth</t>
        </is>
      </c>
      <c r="C6332" t="inlineStr">
        <is>
          <t xml:space="preserve">INF109KC19H2</t>
        </is>
      </c>
    </row>
    <row r="6333">
      <c r="A6333" t="inlineStr">
        <is>
          <t xml:space="preserve">ICICI Prudential Mutual Fund</t>
        </is>
      </c>
      <c r="B6333" t="inlineStr">
        <is>
          <t xml:space="preserve">ICICI Prudential PSU Equity Fund - IDCW</t>
        </is>
      </c>
      <c r="C6333" t="inlineStr">
        <is>
          <t xml:space="preserve">INF109KC10I9</t>
        </is>
      </c>
    </row>
    <row r="6334">
      <c r="A6334" t="inlineStr">
        <is>
          <t xml:space="preserve">ICICI Prudential Mutual Fund</t>
        </is>
      </c>
      <c r="B6334" t="inlineStr">
        <is>
          <t xml:space="preserve">ICICI Prudential Quality Fund - Direct Plan - Growth</t>
        </is>
      </c>
      <c r="C6334" t="inlineStr">
        <is>
          <t xml:space="preserve">INF109K1A187</t>
        </is>
      </c>
    </row>
    <row r="6335">
      <c r="A6335" t="inlineStr">
        <is>
          <t xml:space="preserve">ICICI Prudential Mutual Fund</t>
        </is>
      </c>
      <c r="B6335" t="inlineStr">
        <is>
          <t xml:space="preserve">ICICI Prudential Quality Fund - Direct Plan - IDCW</t>
        </is>
      </c>
      <c r="C6335" t="inlineStr">
        <is>
          <t xml:space="preserve">INF109K1A203</t>
        </is>
      </c>
    </row>
    <row r="6336">
      <c r="A6336" t="inlineStr">
        <is>
          <t xml:space="preserve">ICICI Prudential Mutual Fund</t>
        </is>
      </c>
      <c r="B6336" t="inlineStr">
        <is>
          <t xml:space="preserve">ICICI Prudential Quality Fund - Growth</t>
        </is>
      </c>
      <c r="C6336" t="inlineStr">
        <is>
          <t xml:space="preserve">INF109K1A211</t>
        </is>
      </c>
    </row>
    <row r="6337">
      <c r="A6337" t="inlineStr">
        <is>
          <t xml:space="preserve">ICICI Prudential Mutual Fund</t>
        </is>
      </c>
      <c r="B6337" t="inlineStr">
        <is>
          <t xml:space="preserve">ICICI Prudential Quality Fund - IDCW</t>
        </is>
      </c>
      <c r="C6337" t="inlineStr">
        <is>
          <t xml:space="preserve">INF109K1A179</t>
        </is>
      </c>
    </row>
    <row r="6338">
      <c r="A6338" t="inlineStr">
        <is>
          <t xml:space="preserve">ICICI Prudential Mutual Fund</t>
        </is>
      </c>
      <c r="B6338" t="inlineStr">
        <is>
          <t xml:space="preserve">ICICI Prudential Quant Fund Direct Plan Growth</t>
        </is>
      </c>
      <c r="C6338" t="inlineStr">
        <is>
          <t xml:space="preserve">INF109KC1O66</t>
        </is>
      </c>
    </row>
    <row r="6339">
      <c r="A6339" t="inlineStr">
        <is>
          <t xml:space="preserve">ICICI Prudential Mutual Fund</t>
        </is>
      </c>
      <c r="B6339" t="inlineStr">
        <is>
          <t xml:space="preserve">ICICI Prudential Quant Fund Direct Plan IDCW</t>
        </is>
      </c>
      <c r="C6339" t="inlineStr">
        <is>
          <t xml:space="preserve">INF109KC1O82</t>
        </is>
      </c>
    </row>
    <row r="6340">
      <c r="A6340" t="inlineStr">
        <is>
          <t xml:space="preserve">ICICI Prudential Mutual Fund</t>
        </is>
      </c>
      <c r="B6340" t="inlineStr">
        <is>
          <t xml:space="preserve">ICICI Prudential Quant Fund Growth</t>
        </is>
      </c>
      <c r="C6340" t="inlineStr">
        <is>
          <t xml:space="preserve">INF109KC1O33</t>
        </is>
      </c>
    </row>
    <row r="6341">
      <c r="A6341" t="inlineStr">
        <is>
          <t xml:space="preserve">ICICI Prudential Mutual Fund</t>
        </is>
      </c>
      <c r="B6341" t="inlineStr">
        <is>
          <t xml:space="preserve">ICICI Prudential Quant Fund IDCW</t>
        </is>
      </c>
      <c r="C6341" t="inlineStr">
        <is>
          <t xml:space="preserve">INF109KC1O58</t>
        </is>
      </c>
    </row>
    <row r="6342">
      <c r="A6342" t="inlineStr">
        <is>
          <t xml:space="preserve">ICICI Prudential Mutual Fund</t>
        </is>
      </c>
      <c r="B6342" t="inlineStr">
        <is>
          <t xml:space="preserve">ICICI Prudential R.I.G.H.T. Fund Dividend</t>
        </is>
      </c>
      <c r="C6342" t="inlineStr">
        <is>
          <t xml:space="preserve">INF109KA1XQ0</t>
        </is>
      </c>
    </row>
    <row r="6343">
      <c r="A6343" t="inlineStr">
        <is>
          <t xml:space="preserve">ICICI Prudential Mutual Fund</t>
        </is>
      </c>
      <c r="B6343" t="inlineStr">
        <is>
          <t xml:space="preserve">ICICI Prudential R.I.G.H.T. Fund Growth</t>
        </is>
      </c>
      <c r="C6343" t="inlineStr">
        <is>
          <t xml:space="preserve">INF109KA1XP2</t>
        </is>
      </c>
    </row>
    <row r="6344">
      <c r="A6344" t="inlineStr">
        <is>
          <t xml:space="preserve">ICICI Prudential Mutual Fund</t>
        </is>
      </c>
      <c r="B6344" t="inlineStr">
        <is>
          <t xml:space="preserve">ICICI Prudential Regular Savings Fund - Direct Plan - Bonus</t>
        </is>
      </c>
      <c r="C6344" t="inlineStr">
        <is>
          <t xml:space="preserve">INF109KA1301</t>
        </is>
      </c>
    </row>
    <row r="6345">
      <c r="A6345" t="inlineStr">
        <is>
          <t xml:space="preserve">ICICI Prudential Mutual Fund</t>
        </is>
      </c>
      <c r="B6345" t="inlineStr">
        <is>
          <t xml:space="preserve">ICICI Prudential Regular Savings Fund - Direct Plan - Growth</t>
        </is>
      </c>
      <c r="C6345" t="inlineStr">
        <is>
          <t xml:space="preserve">INF109K01S39</t>
        </is>
      </c>
    </row>
    <row r="6346">
      <c r="A6346" t="inlineStr">
        <is>
          <t xml:space="preserve">ICICI Prudential Mutual Fund</t>
        </is>
      </c>
      <c r="B6346" t="inlineStr">
        <is>
          <t xml:space="preserve">ICICI Prudential Regular Savings Fund - Direct Plan - Half Yearly IDCW</t>
        </is>
      </c>
      <c r="C6346" t="inlineStr">
        <is>
          <t xml:space="preserve">INF109K01S47</t>
        </is>
      </c>
    </row>
    <row r="6347">
      <c r="A6347" t="inlineStr">
        <is>
          <t xml:space="preserve">ICICI Prudential Mutual Fund</t>
        </is>
      </c>
      <c r="B6347" t="inlineStr">
        <is>
          <t xml:space="preserve">ICICI Prudential Regular Savings Fund - Direct Plan - Monthly IDCW</t>
        </is>
      </c>
      <c r="C6347" t="inlineStr">
        <is>
          <t xml:space="preserve">INF109K01S62</t>
        </is>
      </c>
    </row>
    <row r="6348">
      <c r="A6348" t="inlineStr">
        <is>
          <t xml:space="preserve">ICICI Prudential Mutual Fund</t>
        </is>
      </c>
      <c r="B6348" t="inlineStr">
        <is>
          <t xml:space="preserve">ICICI Prudential Regular Savings Fund - Direct Plan - Quarterly IDCW</t>
        </is>
      </c>
      <c r="C6348" t="inlineStr">
        <is>
          <t xml:space="preserve">INF109K01S88</t>
        </is>
      </c>
    </row>
    <row r="6349">
      <c r="A6349" t="inlineStr">
        <is>
          <t xml:space="preserve">ICICI Prudential Mutual Fund</t>
        </is>
      </c>
      <c r="B6349" t="inlineStr">
        <is>
          <t xml:space="preserve">ICICI Prudential Regular Savings Fund - Plan - Bonus</t>
        </is>
      </c>
      <c r="C6349" t="inlineStr">
        <is>
          <t xml:space="preserve">INF109KA1319</t>
        </is>
      </c>
    </row>
    <row r="6350">
      <c r="A6350" t="inlineStr">
        <is>
          <t xml:space="preserve">ICICI Prudential Mutual Fund</t>
        </is>
      </c>
      <c r="B6350" t="inlineStr">
        <is>
          <t xml:space="preserve">ICICI Prudential Regular Savings Fund - Plan - Growth</t>
        </is>
      </c>
      <c r="C6350" t="inlineStr">
        <is>
          <t xml:space="preserve">INF109K01902</t>
        </is>
      </c>
    </row>
    <row r="6351">
      <c r="A6351" t="inlineStr">
        <is>
          <t xml:space="preserve">ICICI Prudential Mutual Fund</t>
        </is>
      </c>
      <c r="B6351" t="inlineStr">
        <is>
          <t xml:space="preserve">ICICI Prudential Regular Savings Fund - Plan - Half Yearly IDCW</t>
        </is>
      </c>
      <c r="C6351" t="inlineStr">
        <is>
          <t xml:space="preserve">INF109K01IW6</t>
        </is>
      </c>
    </row>
    <row r="6352">
      <c r="A6352" t="inlineStr">
        <is>
          <t xml:space="preserve">ICICI Prudential Mutual Fund</t>
        </is>
      </c>
      <c r="B6352" t="inlineStr">
        <is>
          <t xml:space="preserve">ICICI Prudential Regular Savings Fund - Plan - Monthly IDCW</t>
        </is>
      </c>
      <c r="C6352" t="inlineStr">
        <is>
          <t xml:space="preserve">INF109K01ER5</t>
        </is>
      </c>
    </row>
    <row r="6353">
      <c r="A6353" t="inlineStr">
        <is>
          <t xml:space="preserve">ICICI Prudential Mutual Fund</t>
        </is>
      </c>
      <c r="B6353" t="inlineStr">
        <is>
          <t xml:space="preserve">ICICI Prudential Regular Savings Fund - Plan - Quarterly IDCW</t>
        </is>
      </c>
      <c r="C6353" t="inlineStr">
        <is>
          <t xml:space="preserve">INF109K01IX4</t>
        </is>
      </c>
    </row>
    <row r="6354">
      <c r="A6354" t="inlineStr">
        <is>
          <t xml:space="preserve">ICICI Prudential Mutual Fund</t>
        </is>
      </c>
      <c r="B6354" t="inlineStr">
        <is>
          <t xml:space="preserve">ICICI Prudential Retirement Fund - Hybrid Aggressive - Direct Plan - Growth Option</t>
        </is>
      </c>
      <c r="C6354" t="inlineStr">
        <is>
          <t xml:space="preserve">INF109KC1TW4</t>
        </is>
      </c>
    </row>
    <row r="6355">
      <c r="A6355" t="inlineStr">
        <is>
          <t xml:space="preserve">ICICI Prudential Mutual Fund</t>
        </is>
      </c>
      <c r="B6355" t="inlineStr">
        <is>
          <t xml:space="preserve">ICICI Prudential Retirement Fund - Hybrid Aggressive - Direct Plan - IDCW Option</t>
        </is>
      </c>
      <c r="C6355" t="inlineStr">
        <is>
          <t xml:space="preserve">INF109KC1TX2</t>
        </is>
      </c>
    </row>
    <row r="6356">
      <c r="A6356" t="inlineStr">
        <is>
          <t xml:space="preserve">ICICI Prudential Mutual Fund</t>
        </is>
      </c>
      <c r="B6356" t="inlineStr">
        <is>
          <t xml:space="preserve">ICICI Prudential Retirement Fund - Hybrid Aggressive - Growth Option</t>
        </is>
      </c>
      <c r="C6356" t="inlineStr">
        <is>
          <t xml:space="preserve">INF109KC1TU8</t>
        </is>
      </c>
    </row>
    <row r="6357">
      <c r="A6357" t="inlineStr">
        <is>
          <t xml:space="preserve">ICICI Prudential Mutual Fund</t>
        </is>
      </c>
      <c r="B6357" t="inlineStr">
        <is>
          <t xml:space="preserve">ICICI Prudential Retirement Fund - Hybrid Aggressive - IDCW Option</t>
        </is>
      </c>
      <c r="C6357" t="inlineStr">
        <is>
          <t xml:space="preserve">INF109KC1TV6</t>
        </is>
      </c>
    </row>
    <row r="6358">
      <c r="A6358" t="inlineStr">
        <is>
          <t xml:space="preserve">ICICI Prudential Mutual Fund</t>
        </is>
      </c>
      <c r="B6358" t="inlineStr">
        <is>
          <t xml:space="preserve">ICICI Prudential Retirement Fund - Hybrid Conservative - Direct Plan - Growth Option</t>
        </is>
      </c>
      <c r="C6358" t="inlineStr">
        <is>
          <t xml:space="preserve">INF109KC1UA8</t>
        </is>
      </c>
    </row>
    <row r="6359">
      <c r="A6359" t="inlineStr">
        <is>
          <t xml:space="preserve">ICICI Prudential Mutual Fund</t>
        </is>
      </c>
      <c r="B6359" t="inlineStr">
        <is>
          <t xml:space="preserve">ICICI Prudential Retirement Fund - Hybrid Conservative - Direct Plan - IDCW Option</t>
        </is>
      </c>
      <c r="C6359" t="inlineStr">
        <is>
          <t xml:space="preserve">INF109KC1UB6</t>
        </is>
      </c>
    </row>
    <row r="6360">
      <c r="A6360" t="inlineStr">
        <is>
          <t xml:space="preserve">ICICI Prudential Mutual Fund</t>
        </is>
      </c>
      <c r="B6360" t="inlineStr">
        <is>
          <t xml:space="preserve">ICICI Prudential Retirement Fund - Hybrid Conservative - Growth Option</t>
        </is>
      </c>
      <c r="C6360" t="inlineStr">
        <is>
          <t xml:space="preserve">INF109KC1TY0</t>
        </is>
      </c>
    </row>
    <row r="6361">
      <c r="A6361" t="inlineStr">
        <is>
          <t xml:space="preserve">ICICI Prudential Mutual Fund</t>
        </is>
      </c>
      <c r="B6361" t="inlineStr">
        <is>
          <t xml:space="preserve">ICICI Prudential Retirement Fund - Hybrid Conservative - IDCW Option</t>
        </is>
      </c>
      <c r="C6361" t="inlineStr">
        <is>
          <t xml:space="preserve">INF109KC1TZ7</t>
        </is>
      </c>
    </row>
    <row r="6362">
      <c r="A6362" t="inlineStr">
        <is>
          <t xml:space="preserve">ICICI Prudential Mutual Fund</t>
        </is>
      </c>
      <c r="B6362" t="inlineStr">
        <is>
          <t xml:space="preserve">ICICI Prudential Retirement Fund - Pure Debt - Direct Plan - Growth Option</t>
        </is>
      </c>
      <c r="C6362" t="inlineStr">
        <is>
          <t xml:space="preserve">INF109KC1UE0</t>
        </is>
      </c>
    </row>
    <row r="6363">
      <c r="A6363" t="inlineStr">
        <is>
          <t xml:space="preserve">ICICI Prudential Mutual Fund</t>
        </is>
      </c>
      <c r="B6363" t="inlineStr">
        <is>
          <t xml:space="preserve">ICICI Prudential Retirement Fund - Pure Debt - Direct Plan - IDCW Option</t>
        </is>
      </c>
      <c r="C6363" t="inlineStr">
        <is>
          <t xml:space="preserve">INF109KC1UF7</t>
        </is>
      </c>
    </row>
    <row r="6364">
      <c r="A6364" t="inlineStr">
        <is>
          <t xml:space="preserve">ICICI Prudential Mutual Fund</t>
        </is>
      </c>
      <c r="B6364" t="inlineStr">
        <is>
          <t xml:space="preserve">ICICI Prudential Retirement Fund - Pure Debt - Growth Option</t>
        </is>
      </c>
      <c r="C6364" t="inlineStr">
        <is>
          <t xml:space="preserve">INF109KC1UC4</t>
        </is>
      </c>
    </row>
    <row r="6365">
      <c r="A6365" t="inlineStr">
        <is>
          <t xml:space="preserve">ICICI Prudential Mutual Fund</t>
        </is>
      </c>
      <c r="B6365" t="inlineStr">
        <is>
          <t xml:space="preserve">ICICI Prudential Retirement Fund - Pure Debt - IDCW Option</t>
        </is>
      </c>
      <c r="C6365" t="inlineStr">
        <is>
          <t xml:space="preserve">INF109KC1UD2</t>
        </is>
      </c>
    </row>
    <row r="6366">
      <c r="A6366" t="inlineStr">
        <is>
          <t xml:space="preserve">ICICI Prudential Mutual Fund</t>
        </is>
      </c>
      <c r="B6366" t="inlineStr">
        <is>
          <t xml:space="preserve">ICICI Prudential Retirement Fund - Pure Equity - Direct Plan - Growth Option</t>
        </is>
      </c>
      <c r="C6366" t="inlineStr">
        <is>
          <t xml:space="preserve">INF109KC1TS2</t>
        </is>
      </c>
    </row>
    <row r="6367">
      <c r="A6367" t="inlineStr">
        <is>
          <t xml:space="preserve">ICICI Prudential Mutual Fund</t>
        </is>
      </c>
      <c r="B6367" t="inlineStr">
        <is>
          <t xml:space="preserve">ICICI Prudential Retirement Fund - Pure Equity - Direct Plan - IDCW Option</t>
        </is>
      </c>
      <c r="C6367" t="inlineStr">
        <is>
          <t xml:space="preserve">INF109KC1TT0</t>
        </is>
      </c>
    </row>
    <row r="6368">
      <c r="A6368" t="inlineStr">
        <is>
          <t xml:space="preserve">ICICI Prudential Mutual Fund</t>
        </is>
      </c>
      <c r="B6368" t="inlineStr">
        <is>
          <t xml:space="preserve">ICICI Prudential Retirement Fund - Pure Equity - Growth Option</t>
        </is>
      </c>
      <c r="C6368" t="inlineStr">
        <is>
          <t xml:space="preserve">INF109KC1TQ6</t>
        </is>
      </c>
    </row>
    <row r="6369">
      <c r="A6369" t="inlineStr">
        <is>
          <t xml:space="preserve">ICICI Prudential Mutual Fund</t>
        </is>
      </c>
      <c r="B6369" t="inlineStr">
        <is>
          <t xml:space="preserve">ICICI Prudential Retirement Fund - Pure Equity - IDCW Option</t>
        </is>
      </c>
      <c r="C6369" t="inlineStr">
        <is>
          <t xml:space="preserve">INF109KC1TR4</t>
        </is>
      </c>
    </row>
    <row r="6370">
      <c r="A6370" t="inlineStr">
        <is>
          <t xml:space="preserve">ICICI Prudential Mutual Fund</t>
        </is>
      </c>
      <c r="B6370" t="inlineStr">
        <is>
          <t xml:space="preserve">ICICI Prudential Rural Opportunities Fund - Direct Plan - Growth</t>
        </is>
      </c>
      <c r="C6370" t="inlineStr">
        <is>
          <t xml:space="preserve">INF109KC12Z9</t>
        </is>
      </c>
    </row>
    <row r="6371">
      <c r="A6371" t="inlineStr">
        <is>
          <t xml:space="preserve">ICICI Prudential Mutual Fund</t>
        </is>
      </c>
      <c r="B6371" t="inlineStr">
        <is>
          <t xml:space="preserve">ICICI Prudential Rural Opportunities Fund - Direct Plan - IDCW</t>
        </is>
      </c>
      <c r="C6371" t="inlineStr">
        <is>
          <t xml:space="preserve">INF109KC14Z5</t>
        </is>
      </c>
    </row>
    <row r="6372">
      <c r="A6372" t="inlineStr">
        <is>
          <t xml:space="preserve">ICICI Prudential Mutual Fund</t>
        </is>
      </c>
      <c r="B6372" t="inlineStr">
        <is>
          <t xml:space="preserve">ICICI Prudential Rural Opportunities Fund - Growth</t>
        </is>
      </c>
      <c r="C6372" t="inlineStr">
        <is>
          <t xml:space="preserve">INF109KC19Y7</t>
        </is>
      </c>
    </row>
    <row r="6373">
      <c r="A6373" t="inlineStr">
        <is>
          <t xml:space="preserve">ICICI Prudential Mutual Fund</t>
        </is>
      </c>
      <c r="B6373" t="inlineStr">
        <is>
          <t xml:space="preserve">ICICI Prudential Rural Opportunities Fund - IDCW</t>
        </is>
      </c>
      <c r="C6373" t="inlineStr">
        <is>
          <t xml:space="preserve">INF109KC11Z1</t>
        </is>
      </c>
    </row>
    <row r="6374">
      <c r="A6374" t="inlineStr">
        <is>
          <t xml:space="preserve">ICICI Prudential Mutual Fund</t>
        </is>
      </c>
      <c r="B6374" t="inlineStr">
        <is>
          <t xml:space="preserve">ICICI Prudential Savings Fund - Bonus</t>
        </is>
      </c>
      <c r="C6374" t="inlineStr">
        <is>
          <t xml:space="preserve">INF109KA1I92</t>
        </is>
      </c>
    </row>
    <row r="6375">
      <c r="A6375" t="inlineStr">
        <is>
          <t xml:space="preserve">ICICI Prudential Mutual Fund</t>
        </is>
      </c>
      <c r="B6375" t="inlineStr">
        <is>
          <t xml:space="preserve">ICICI Prudential Savings Fund - Daily IDCW</t>
        </is>
      </c>
      <c r="C6375" t="inlineStr">
        <is>
          <t xml:space="preserve">INF109K01738</t>
        </is>
      </c>
    </row>
    <row r="6376">
      <c r="A6376" t="inlineStr">
        <is>
          <t xml:space="preserve">ICICI Prudential Mutual Fund</t>
        </is>
      </c>
      <c r="B6376" t="inlineStr">
        <is>
          <t xml:space="preserve">ICICI Prudential Savings Fund - Direct Plan - Daily IDCW</t>
        </is>
      </c>
      <c r="C6376" t="inlineStr">
        <is>
          <t xml:space="preserve">INF109K01O66</t>
        </is>
      </c>
    </row>
    <row r="6377">
      <c r="A6377" t="inlineStr">
        <is>
          <t xml:space="preserve">ICICI Prudential Mutual Fund</t>
        </is>
      </c>
      <c r="B6377" t="inlineStr">
        <is>
          <t xml:space="preserve">ICICI Prudential Savings Fund - Direct Plan - Fortnightly IDCW</t>
        </is>
      </c>
      <c r="C6377" t="inlineStr">
        <is>
          <t xml:space="preserve">INF109K016Y3</t>
        </is>
      </c>
    </row>
    <row r="6378">
      <c r="A6378" t="inlineStr">
        <is>
          <t xml:space="preserve">ICICI Prudential Mutual Fund</t>
        </is>
      </c>
      <c r="B6378" t="inlineStr">
        <is>
          <t xml:space="preserve">ICICI Prudential Savings Fund - Direct Plan - Growth</t>
        </is>
      </c>
      <c r="C6378" t="inlineStr">
        <is>
          <t xml:space="preserve">INF109K01O82</t>
        </is>
      </c>
    </row>
    <row r="6379">
      <c r="A6379" t="inlineStr">
        <is>
          <t xml:space="preserve">ICICI Prudential Mutual Fund</t>
        </is>
      </c>
      <c r="B6379" t="inlineStr">
        <is>
          <t xml:space="preserve">ICICI Prudential Savings Fund - Direct Plan - IDCW Others</t>
        </is>
      </c>
      <c r="C6379" t="inlineStr">
        <is>
          <t xml:space="preserve">INF109K01O90</t>
        </is>
      </c>
    </row>
    <row r="6380">
      <c r="A6380" t="inlineStr">
        <is>
          <t xml:space="preserve">ICICI Prudential Mutual Fund</t>
        </is>
      </c>
      <c r="B6380" t="inlineStr">
        <is>
          <t xml:space="preserve">ICICI Prudential Savings Fund - Direct Plan - Monthly IDCW</t>
        </is>
      </c>
      <c r="C6380" t="inlineStr">
        <is>
          <t xml:space="preserve">INF109K018Y9</t>
        </is>
      </c>
    </row>
    <row r="6381">
      <c r="A6381" t="inlineStr">
        <is>
          <t xml:space="preserve">ICICI Prudential Mutual Fund</t>
        </is>
      </c>
      <c r="B6381" t="inlineStr">
        <is>
          <t xml:space="preserve">ICICI Prudential Savings Fund - Direct Plan - Quarterly IDCW</t>
        </is>
      </c>
      <c r="C6381" t="inlineStr">
        <is>
          <t xml:space="preserve">INF109K010Z3</t>
        </is>
      </c>
    </row>
    <row r="6382">
      <c r="A6382" t="inlineStr">
        <is>
          <t xml:space="preserve">ICICI Prudential Mutual Fund</t>
        </is>
      </c>
      <c r="B6382" t="inlineStr">
        <is>
          <t xml:space="preserve">ICICI Prudential Savings Fund - Direct Plan - Weekly IDCW</t>
        </is>
      </c>
      <c r="C6382" t="inlineStr">
        <is>
          <t xml:space="preserve">INF109K01P08</t>
        </is>
      </c>
    </row>
    <row r="6383">
      <c r="A6383" t="inlineStr">
        <is>
          <t xml:space="preserve">ICICI Prudential Mutual Fund</t>
        </is>
      </c>
      <c r="B6383" t="inlineStr">
        <is>
          <t xml:space="preserve">ICICI Prudential Savings Fund - Direct Plan Bonus</t>
        </is>
      </c>
      <c r="C6383" t="inlineStr">
        <is>
          <t xml:space="preserve">INF109KA1I01</t>
        </is>
      </c>
    </row>
    <row r="6384">
      <c r="A6384" t="inlineStr">
        <is>
          <t xml:space="preserve">ICICI Prudential Mutual Fund</t>
        </is>
      </c>
      <c r="B6384" t="inlineStr">
        <is>
          <t xml:space="preserve">ICICI Prudential Savings Fund - Fortnightly IDCW</t>
        </is>
      </c>
      <c r="C6384" t="inlineStr">
        <is>
          <t xml:space="preserve">INF109K012Z9</t>
        </is>
      </c>
    </row>
    <row r="6385">
      <c r="A6385" t="inlineStr">
        <is>
          <t xml:space="preserve">ICICI Prudential Mutual Fund</t>
        </is>
      </c>
      <c r="B6385" t="inlineStr">
        <is>
          <t xml:space="preserve">ICICI Prudential Savings Fund - Growth</t>
        </is>
      </c>
      <c r="C6385" t="inlineStr">
        <is>
          <t xml:space="preserve">INF109K01746</t>
        </is>
      </c>
    </row>
    <row r="6386">
      <c r="A6386" t="inlineStr">
        <is>
          <t xml:space="preserve">ICICI Prudential Mutual Fund</t>
        </is>
      </c>
      <c r="B6386" t="inlineStr">
        <is>
          <t xml:space="preserve">ICICI Prudential Savings Fund - IDCW Others</t>
        </is>
      </c>
      <c r="C6386" t="inlineStr">
        <is>
          <t xml:space="preserve">INF109K01WO4</t>
        </is>
      </c>
    </row>
    <row r="6387">
      <c r="A6387" t="inlineStr">
        <is>
          <t xml:space="preserve">ICICI Prudential Mutual Fund</t>
        </is>
      </c>
      <c r="B6387" t="inlineStr">
        <is>
          <t xml:space="preserve">ICICI Prudential Savings Fund - Monthly IDCW</t>
        </is>
      </c>
      <c r="C6387" t="inlineStr">
        <is>
          <t xml:space="preserve">INF109K014Z5</t>
        </is>
      </c>
    </row>
    <row r="6388">
      <c r="A6388" t="inlineStr">
        <is>
          <t xml:space="preserve">ICICI Prudential Mutual Fund</t>
        </is>
      </c>
      <c r="B6388" t="inlineStr">
        <is>
          <t xml:space="preserve">ICICI Prudential Savings Fund - Quarterly IDCW</t>
        </is>
      </c>
      <c r="C6388" t="inlineStr">
        <is>
          <t xml:space="preserve">INF109K016Z0</t>
        </is>
      </c>
    </row>
    <row r="6389">
      <c r="A6389" t="inlineStr">
        <is>
          <t xml:space="preserve">ICICI Prudential Mutual Fund</t>
        </is>
      </c>
      <c r="B6389" t="inlineStr">
        <is>
          <t xml:space="preserve">ICICI Prudential Savings Fund - Weekly IDCW</t>
        </is>
      </c>
      <c r="C6389" t="inlineStr">
        <is>
          <t xml:space="preserve">INF109K01JO1</t>
        </is>
      </c>
    </row>
    <row r="6390">
      <c r="A6390" t="inlineStr">
        <is>
          <t xml:space="preserve">ICICI Prudential Mutual Fund</t>
        </is>
      </c>
      <c r="B6390" t="inlineStr">
        <is>
          <t xml:space="preserve">ICICI Prudential Savings Fund Plan C - Growth</t>
        </is>
      </c>
      <c r="C6390" t="inlineStr">
        <is>
          <t xml:space="preserve">INF109K01AB7</t>
        </is>
      </c>
    </row>
    <row r="6391">
      <c r="A6391" t="inlineStr">
        <is>
          <t xml:space="preserve">ICICI Prudential Mutual Fund</t>
        </is>
      </c>
      <c r="B6391" t="inlineStr">
        <is>
          <t xml:space="preserve">ICICI Prudential Savings Fund Plan C - Weekly Dividend Option</t>
        </is>
      </c>
      <c r="C6391" t="inlineStr">
        <is>
          <t xml:space="preserve">INF109K01EM6</t>
        </is>
      </c>
    </row>
    <row r="6392">
      <c r="A6392" t="inlineStr">
        <is>
          <t xml:space="preserve">ICICI Prudential Mutual Fund</t>
        </is>
      </c>
      <c r="B6392" t="inlineStr">
        <is>
          <t xml:space="preserve">ICICI Prudential Savings Fund Retail Daily Dividend</t>
        </is>
      </c>
      <c r="C6392" t="inlineStr">
        <is>
          <t xml:space="preserve">INF109K01EI4</t>
        </is>
      </c>
    </row>
    <row r="6393">
      <c r="A6393" t="inlineStr">
        <is>
          <t xml:space="preserve">ICICI Prudential Mutual Fund</t>
        </is>
      </c>
      <c r="B6393" t="inlineStr">
        <is>
          <t xml:space="preserve">ICICI Prudential Savings Fund Retail Growth</t>
        </is>
      </c>
      <c r="C6393" t="inlineStr">
        <is>
          <t xml:space="preserve">INF109K01BX9</t>
        </is>
      </c>
    </row>
    <row r="6394">
      <c r="A6394" t="inlineStr">
        <is>
          <t xml:space="preserve">ICICI Prudential Mutual Fund</t>
        </is>
      </c>
      <c r="B6394" t="inlineStr">
        <is>
          <t xml:space="preserve">ICICI Prudential Savings Fund Retail Weekly Dividend</t>
        </is>
      </c>
      <c r="C6394" t="inlineStr">
        <is>
          <t xml:space="preserve">INF109K01EJ2</t>
        </is>
      </c>
    </row>
    <row r="6395">
      <c r="A6395" t="inlineStr">
        <is>
          <t xml:space="preserve">ICICI Prudential Mutual Fund</t>
        </is>
      </c>
      <c r="B6395" t="inlineStr">
        <is>
          <t xml:space="preserve">ICICI Prudential Short Term Fund - Bonus</t>
        </is>
      </c>
      <c r="C6395" t="inlineStr">
        <is>
          <t xml:space="preserve">INF109KA1376</t>
        </is>
      </c>
    </row>
    <row r="6396">
      <c r="A6396" t="inlineStr">
        <is>
          <t xml:space="preserve">ICICI Prudential Mutual Fund</t>
        </is>
      </c>
      <c r="B6396" t="inlineStr">
        <is>
          <t xml:space="preserve">ICICI Prudential Short Term Fund - Direct Plan - Bonus</t>
        </is>
      </c>
      <c r="C6396" t="inlineStr">
        <is>
          <t xml:space="preserve">INF109KA1368</t>
        </is>
      </c>
    </row>
    <row r="6397">
      <c r="A6397" t="inlineStr">
        <is>
          <t xml:space="preserve">ICICI Prudential Mutual Fund</t>
        </is>
      </c>
      <c r="B6397" t="inlineStr">
        <is>
          <t xml:space="preserve">ICICI Prudential Short Term Fund - Direct Plan - Growth Option</t>
        </is>
      </c>
      <c r="C6397" t="inlineStr">
        <is>
          <t xml:space="preserve">INF109K013N3</t>
        </is>
      </c>
    </row>
    <row r="6398">
      <c r="A6398" t="inlineStr">
        <is>
          <t xml:space="preserve">ICICI Prudential Mutual Fund</t>
        </is>
      </c>
      <c r="B6398" t="inlineStr">
        <is>
          <t xml:space="preserve">ICICI Prudential Short Term Fund - Direct Plan - Half Yearly IDCW</t>
        </is>
      </c>
      <c r="C6398" t="inlineStr">
        <is>
          <t xml:space="preserve">INF109KA1X36</t>
        </is>
      </c>
    </row>
    <row r="6399">
      <c r="A6399" t="inlineStr">
        <is>
          <t xml:space="preserve">ICICI Prudential Mutual Fund</t>
        </is>
      </c>
      <c r="B6399" t="inlineStr">
        <is>
          <t xml:space="preserve">ICICI Prudential Short Term Fund - Direct Plan - Monthly IDCW</t>
        </is>
      </c>
      <c r="C6399" t="inlineStr">
        <is>
          <t xml:space="preserve">INF109K014N1</t>
        </is>
      </c>
    </row>
    <row r="6400">
      <c r="A6400" t="inlineStr">
        <is>
          <t xml:space="preserve">ICICI Prudential Mutual Fund</t>
        </is>
      </c>
      <c r="B6400" t="inlineStr">
        <is>
          <t xml:space="preserve">ICICI Prudential Short Term Fund - Direct Plan - Reinvestment of IDCW Fortnightly</t>
        </is>
      </c>
      <c r="C6400" t="inlineStr">
        <is>
          <t xml:space="preserve">INF109K012N5</t>
        </is>
      </c>
    </row>
    <row r="6401">
      <c r="A6401" t="inlineStr">
        <is>
          <t xml:space="preserve">ICICI Prudential Mutual Fund</t>
        </is>
      </c>
      <c r="B6401" t="inlineStr">
        <is>
          <t xml:space="preserve">ICICI Prudential Short Term Fund - Growth Option</t>
        </is>
      </c>
      <c r="C6401" t="inlineStr">
        <is>
          <t xml:space="preserve">INF109K01654</t>
        </is>
      </c>
    </row>
    <row r="6402">
      <c r="A6402" t="inlineStr">
        <is>
          <t xml:space="preserve">ICICI Prudential Mutual Fund</t>
        </is>
      </c>
      <c r="B6402" t="inlineStr">
        <is>
          <t xml:space="preserve">ICICI Prudential Short Term Fund - Half Yearly IDCW</t>
        </is>
      </c>
      <c r="C6402" t="inlineStr">
        <is>
          <t xml:space="preserve">INF109KA1X10</t>
        </is>
      </c>
    </row>
    <row r="6403">
      <c r="A6403" t="inlineStr">
        <is>
          <t xml:space="preserve">ICICI Prudential Mutual Fund</t>
        </is>
      </c>
      <c r="B6403" t="inlineStr">
        <is>
          <t xml:space="preserve">ICICI Prudential Short Term Fund - Institutional Plan - Dividend Monthly</t>
        </is>
      </c>
      <c r="C6403" t="inlineStr">
        <is>
          <t xml:space="preserve">INF109K01WK2</t>
        </is>
      </c>
    </row>
    <row r="6404">
      <c r="A6404" t="inlineStr">
        <is>
          <t xml:space="preserve">ICICI Prudential Mutual Fund</t>
        </is>
      </c>
      <c r="B6404" t="inlineStr">
        <is>
          <t xml:space="preserve">ICICI Prudential Short Term Fund - Monthly IDCW</t>
        </is>
      </c>
      <c r="C6404" t="inlineStr">
        <is>
          <t xml:space="preserve">INF109K01WL0</t>
        </is>
      </c>
    </row>
    <row r="6405">
      <c r="A6405" t="inlineStr">
        <is>
          <t xml:space="preserve">ICICI Prudential Mutual Fund</t>
        </is>
      </c>
      <c r="B6405" t="inlineStr">
        <is>
          <t xml:space="preserve">ICICI Prudential Short Term Fund - Reinvestment of IDCW Fortnightly</t>
        </is>
      </c>
      <c r="C6405" t="inlineStr">
        <is>
          <t xml:space="preserve">INF109KB12M9</t>
        </is>
      </c>
    </row>
    <row r="6406">
      <c r="A6406" t="inlineStr">
        <is>
          <t xml:space="preserve">ICICI Prudential Mutual Fund</t>
        </is>
      </c>
      <c r="B6406" t="inlineStr">
        <is>
          <t xml:space="preserve">ICICI Prudential Short Term Fund-Institutional Growth</t>
        </is>
      </c>
      <c r="C6406" t="inlineStr">
        <is>
          <t xml:space="preserve">INF109K01696</t>
        </is>
      </c>
    </row>
    <row r="6407">
      <c r="A6407" t="inlineStr">
        <is>
          <t xml:space="preserve">ICICI Prudential Mutual Fund</t>
        </is>
      </c>
      <c r="B6407" t="inlineStr">
        <is>
          <t xml:space="preserve">ICICI Prudential Short Term Fund-Institutional Plan-Dividend Fortnightly</t>
        </is>
      </c>
      <c r="C6407" t="inlineStr">
        <is>
          <t xml:space="preserve">INF109K01688</t>
        </is>
      </c>
    </row>
    <row r="6408">
      <c r="A6408" t="inlineStr">
        <is>
          <t xml:space="preserve">ICICI Prudential Mutual Fund</t>
        </is>
      </c>
      <c r="B6408" t="inlineStr">
        <is>
          <t xml:space="preserve">ICICI Prudential Short Term Gilt Fund - Bonus</t>
        </is>
      </c>
      <c r="C6408" t="inlineStr">
        <is>
          <t xml:space="preserve">INF109KA1I68</t>
        </is>
      </c>
    </row>
    <row r="6409">
      <c r="A6409" t="inlineStr">
        <is>
          <t xml:space="preserve">ICICI Prudential Mutual Fund</t>
        </is>
      </c>
      <c r="B6409" t="inlineStr">
        <is>
          <t xml:space="preserve">ICICI Prudential Short Term Gilt Fund - Direct Plan -  Dividend</t>
        </is>
      </c>
      <c r="C6409" t="inlineStr">
        <is>
          <t xml:space="preserve">INF109K012D6</t>
        </is>
      </c>
    </row>
    <row r="6410">
      <c r="A6410" t="inlineStr">
        <is>
          <t xml:space="preserve">ICICI Prudential Mutual Fund</t>
        </is>
      </c>
      <c r="B6410" t="inlineStr">
        <is>
          <t xml:space="preserve">ICICI Prudential Short Term Gilt Fund - Direct Plan -  Growth</t>
        </is>
      </c>
      <c r="C6410" t="inlineStr">
        <is>
          <t xml:space="preserve">INF109K014D2</t>
        </is>
      </c>
    </row>
    <row r="6411">
      <c r="A6411" t="inlineStr">
        <is>
          <t xml:space="preserve">ICICI Prudential Mutual Fund</t>
        </is>
      </c>
      <c r="B6411" t="inlineStr">
        <is>
          <t xml:space="preserve">ICICI Prudential Short Term Gilt Fund - Direct Plan -  Half Yearly Dividend</t>
        </is>
      </c>
      <c r="C6411" t="inlineStr">
        <is>
          <t xml:space="preserve">INF109K015D9</t>
        </is>
      </c>
    </row>
    <row r="6412">
      <c r="A6412" t="inlineStr">
        <is>
          <t xml:space="preserve">ICICI Prudential Mutual Fund</t>
        </is>
      </c>
      <c r="B6412" t="inlineStr">
        <is>
          <t xml:space="preserve">ICICI Prudential Short Term Gilt Fund - Direct Plan Bonus</t>
        </is>
      </c>
      <c r="C6412" t="inlineStr">
        <is>
          <t xml:space="preserve">INF109KA1I50</t>
        </is>
      </c>
    </row>
    <row r="6413">
      <c r="A6413" t="inlineStr">
        <is>
          <t xml:space="preserve">ICICI Prudential Mutual Fund</t>
        </is>
      </c>
      <c r="B6413" t="inlineStr">
        <is>
          <t xml:space="preserve">ICICI Prudential Short Term Gilt Fund - Dividend</t>
        </is>
      </c>
      <c r="C6413" t="inlineStr">
        <is>
          <t xml:space="preserve">INF109K01JW4</t>
        </is>
      </c>
    </row>
    <row r="6414">
      <c r="A6414" t="inlineStr">
        <is>
          <t xml:space="preserve">ICICI Prudential Mutual Fund</t>
        </is>
      </c>
      <c r="B6414" t="inlineStr">
        <is>
          <t xml:space="preserve">ICICI Prudential Short Term Gilt Fund - Growth</t>
        </is>
      </c>
      <c r="C6414" t="inlineStr">
        <is>
          <t xml:space="preserve">INF109K01JX2</t>
        </is>
      </c>
    </row>
    <row r="6415">
      <c r="A6415" t="inlineStr">
        <is>
          <t xml:space="preserve">ICICI Prudential Mutual Fund</t>
        </is>
      </c>
      <c r="B6415" t="inlineStr">
        <is>
          <t xml:space="preserve">ICICI Prudential Short Term Gilt Fund - Half Yearly Dividend</t>
        </is>
      </c>
      <c r="C6415" t="inlineStr">
        <is>
          <t xml:space="preserve">INF109K01JZ7</t>
        </is>
      </c>
    </row>
    <row r="6416">
      <c r="A6416" t="inlineStr">
        <is>
          <t xml:space="preserve">ICICI Prudential Mutual Fund</t>
        </is>
      </c>
      <c r="B6416" t="inlineStr">
        <is>
          <t xml:space="preserve">ICICI PRUDENTIAL SILVER ETF</t>
        </is>
      </c>
      <c r="C6416" t="inlineStr">
        <is>
          <t xml:space="preserve">INF109KC1Y56</t>
        </is>
      </c>
    </row>
    <row r="6417">
      <c r="A6417" t="inlineStr">
        <is>
          <t xml:space="preserve">ICICI Prudential Mutual Fund</t>
        </is>
      </c>
      <c r="B6417" t="inlineStr">
        <is>
          <t xml:space="preserve">ICICI Prudential Silver ETF FOF - Direct Plan - Growth</t>
        </is>
      </c>
      <c r="C6417" t="inlineStr">
        <is>
          <t xml:space="preserve">INF109KC1Y98</t>
        </is>
      </c>
    </row>
    <row r="6418">
      <c r="A6418" t="inlineStr">
        <is>
          <t xml:space="preserve">ICICI Prudential Mutual Fund</t>
        </is>
      </c>
      <c r="B6418" t="inlineStr">
        <is>
          <t xml:space="preserve">ICICI Prudential Silver ETF FOF - Direct Plan - IDCW</t>
        </is>
      </c>
      <c r="C6418" t="inlineStr">
        <is>
          <t xml:space="preserve">INF109KC1Z06</t>
        </is>
      </c>
    </row>
    <row r="6419">
      <c r="A6419" t="inlineStr">
        <is>
          <t xml:space="preserve">ICICI Prudential Mutual Fund</t>
        </is>
      </c>
      <c r="B6419" t="inlineStr">
        <is>
          <t xml:space="preserve">ICICI Prudential Silver ETF FOF - Growth</t>
        </is>
      </c>
      <c r="C6419" t="inlineStr">
        <is>
          <t xml:space="preserve">INF109KC1Y64</t>
        </is>
      </c>
    </row>
    <row r="6420">
      <c r="A6420" t="inlineStr">
        <is>
          <t xml:space="preserve">ICICI Prudential Mutual Fund</t>
        </is>
      </c>
      <c r="B6420" t="inlineStr">
        <is>
          <t xml:space="preserve">ICICI Prudential Silver ETF FOF - IDCW</t>
        </is>
      </c>
      <c r="C6420" t="inlineStr">
        <is>
          <t xml:space="preserve">INF109KC1Y72</t>
        </is>
      </c>
    </row>
    <row r="6421">
      <c r="A6421" t="inlineStr">
        <is>
          <t xml:space="preserve">ICICI Prudential Mutual Fund</t>
        </is>
      </c>
      <c r="B6421" t="inlineStr">
        <is>
          <t xml:space="preserve">ICICI Prudential Smallcap Fund - Direct Plan - Growth</t>
        </is>
      </c>
      <c r="C6421" t="inlineStr">
        <is>
          <t xml:space="preserve">INF109K015M0</t>
        </is>
      </c>
    </row>
    <row r="6422">
      <c r="A6422" t="inlineStr">
        <is>
          <t xml:space="preserve">ICICI Prudential Mutual Fund</t>
        </is>
      </c>
      <c r="B6422" t="inlineStr">
        <is>
          <t xml:space="preserve">ICICI Prudential Smallcap Fund - Direct Plan - IDCW</t>
        </is>
      </c>
      <c r="C6422" t="inlineStr">
        <is>
          <t xml:space="preserve">INF109K013M5</t>
        </is>
      </c>
    </row>
    <row r="6423">
      <c r="A6423" t="inlineStr">
        <is>
          <t xml:space="preserve">ICICI Prudential Mutual Fund</t>
        </is>
      </c>
      <c r="B6423" t="inlineStr">
        <is>
          <t xml:space="preserve">ICICI Prudential Smallcap Fund - Growth</t>
        </is>
      </c>
      <c r="C6423" t="inlineStr">
        <is>
          <t xml:space="preserve">INF109K01BI0</t>
        </is>
      </c>
    </row>
    <row r="6424">
      <c r="A6424" t="inlineStr">
        <is>
          <t xml:space="preserve">ICICI Prudential Mutual Fund</t>
        </is>
      </c>
      <c r="B6424" t="inlineStr">
        <is>
          <t xml:space="preserve">ICICI Prudential Smallcap Fund - IDCW</t>
        </is>
      </c>
      <c r="C6424" t="inlineStr">
        <is>
          <t xml:space="preserve">INF109K01FA8</t>
        </is>
      </c>
    </row>
    <row r="6425">
      <c r="A6425" t="inlineStr">
        <is>
          <t xml:space="preserve">ICICI Prudential Mutual Fund</t>
        </is>
      </c>
      <c r="B6425" t="inlineStr">
        <is>
          <t xml:space="preserve">ICICI Prudential Smallcap Fund - Institutional Growth</t>
        </is>
      </c>
      <c r="C6425" t="inlineStr">
        <is>
          <t xml:space="preserve">INF109K01BK6</t>
        </is>
      </c>
    </row>
    <row r="6426">
      <c r="A6426" t="inlineStr">
        <is>
          <t xml:space="preserve">ICICI Prudential Mutual Fund</t>
        </is>
      </c>
      <c r="B6426" t="inlineStr">
        <is>
          <t xml:space="preserve">ICICI Prudential Strategic Metal and Energy Equity Fund of Fund - Direct Plan Growth</t>
        </is>
      </c>
      <c r="C6426" t="inlineStr">
        <is>
          <t xml:space="preserve">INF109KC1Z55</t>
        </is>
      </c>
    </row>
    <row r="6427">
      <c r="A6427" t="inlineStr">
        <is>
          <t xml:space="preserve">ICICI Prudential Mutual Fund</t>
        </is>
      </c>
      <c r="B6427" t="inlineStr">
        <is>
          <t xml:space="preserve">ICICI Prudential Strategic Metal and Energy Equity Fund of Fund - Direct Plan IDCW</t>
        </is>
      </c>
      <c r="C6427" t="inlineStr">
        <is>
          <t xml:space="preserve">INF109KC1Z63</t>
        </is>
      </c>
    </row>
    <row r="6428">
      <c r="A6428" t="inlineStr">
        <is>
          <t xml:space="preserve">ICICI Prudential Mutual Fund</t>
        </is>
      </c>
      <c r="B6428" t="inlineStr">
        <is>
          <t xml:space="preserve">ICICI Prudential Strategic Metal and Energy Equity Fund of Fund - Growth</t>
        </is>
      </c>
      <c r="C6428" t="inlineStr">
        <is>
          <t xml:space="preserve">INF109KC1Z22</t>
        </is>
      </c>
    </row>
    <row r="6429">
      <c r="A6429" t="inlineStr">
        <is>
          <t xml:space="preserve">ICICI Prudential Mutual Fund</t>
        </is>
      </c>
      <c r="B6429" t="inlineStr">
        <is>
          <t xml:space="preserve">ICICI Prudential Strategic Metal and Energy Equity Fund of Fund - IDCW</t>
        </is>
      </c>
      <c r="C6429" t="inlineStr">
        <is>
          <t xml:space="preserve">INF109KC1Z30</t>
        </is>
      </c>
    </row>
    <row r="6430">
      <c r="A6430" t="inlineStr">
        <is>
          <t xml:space="preserve">ICICI Prudential Mutual Fund</t>
        </is>
      </c>
      <c r="B6430" t="inlineStr">
        <is>
          <t xml:space="preserve">ICICI Prudential Technology Fund - Direct Plan -  Growth</t>
        </is>
      </c>
      <c r="C6430" t="inlineStr">
        <is>
          <t xml:space="preserve">INF109K01Z48</t>
        </is>
      </c>
    </row>
    <row r="6431">
      <c r="A6431" t="inlineStr">
        <is>
          <t xml:space="preserve">ICICI Prudential Mutual Fund</t>
        </is>
      </c>
      <c r="B6431" t="inlineStr">
        <is>
          <t xml:space="preserve">ICICI Prudential Technology Fund - Direct Plan -  IDCW</t>
        </is>
      </c>
      <c r="C6431" t="inlineStr">
        <is>
          <t xml:space="preserve">INF109K01Z22</t>
        </is>
      </c>
    </row>
    <row r="6432">
      <c r="A6432" t="inlineStr">
        <is>
          <t xml:space="preserve">ICICI Prudential Mutual Fund</t>
        </is>
      </c>
      <c r="B6432" t="inlineStr">
        <is>
          <t xml:space="preserve">ICICI Prudential Technology Fund - Growth</t>
        </is>
      </c>
      <c r="C6432" t="inlineStr">
        <is>
          <t xml:space="preserve">INF109K01506</t>
        </is>
      </c>
    </row>
    <row r="6433">
      <c r="A6433" t="inlineStr">
        <is>
          <t xml:space="preserve">ICICI Prudential Mutual Fund</t>
        </is>
      </c>
      <c r="B6433" t="inlineStr">
        <is>
          <t xml:space="preserve">ICICI Prudential Technology Fund - IDCW</t>
        </is>
      </c>
      <c r="C6433" t="inlineStr">
        <is>
          <t xml:space="preserve">INF109K01FO9</t>
        </is>
      </c>
    </row>
    <row r="6434">
      <c r="A6434" t="inlineStr">
        <is>
          <t xml:space="preserve">ICICI Prudential Mutual Fund</t>
        </is>
      </c>
      <c r="B6434" t="inlineStr">
        <is>
          <t xml:space="preserve">ICICI PRUDENTIAL TRANSPORTATION AND LOGISTICS FUND - Direct Plan - Growth</t>
        </is>
      </c>
      <c r="C6434" t="inlineStr">
        <is>
          <t xml:space="preserve">INF109KC12K1</t>
        </is>
      </c>
    </row>
    <row r="6435">
      <c r="A6435" t="inlineStr">
        <is>
          <t xml:space="preserve">ICICI Prudential Mutual Fund</t>
        </is>
      </c>
      <c r="B6435" t="inlineStr">
        <is>
          <t xml:space="preserve">ICICI PRUDENTIAL TRANSPORTATION AND LOGISTICS FUND - Direct Plan - IDCW</t>
        </is>
      </c>
      <c r="C6435" t="inlineStr">
        <is>
          <t xml:space="preserve">INF109KC13K9</t>
        </is>
      </c>
    </row>
    <row r="6436">
      <c r="A6436" t="inlineStr">
        <is>
          <t xml:space="preserve">ICICI Prudential Mutual Fund</t>
        </is>
      </c>
      <c r="B6436" t="inlineStr">
        <is>
          <t xml:space="preserve">ICICI PRUDENTIAL TRANSPORTATION AND LOGISTICS FUND - Growth</t>
        </is>
      </c>
      <c r="C6436" t="inlineStr">
        <is>
          <t xml:space="preserve">INF109KC19J8</t>
        </is>
      </c>
    </row>
    <row r="6437">
      <c r="A6437" t="inlineStr">
        <is>
          <t xml:space="preserve">ICICI Prudential Mutual Fund</t>
        </is>
      </c>
      <c r="B6437" t="inlineStr">
        <is>
          <t xml:space="preserve">ICICI PRUDENTIAL TRANSPORTATION AND LOGISTICS FUND - IDCW</t>
        </is>
      </c>
      <c r="C6437" t="inlineStr">
        <is>
          <t xml:space="preserve">INF109KC10K5</t>
        </is>
      </c>
    </row>
    <row r="6438">
      <c r="A6438" t="inlineStr">
        <is>
          <t xml:space="preserve">ICICI Prudential Mutual Fund</t>
        </is>
      </c>
      <c r="B6438" t="inlineStr">
        <is>
          <t xml:space="preserve">ICICI Prudential Ultra Short Term Fund - Daily IDCW</t>
        </is>
      </c>
      <c r="C6438" t="inlineStr">
        <is>
          <t xml:space="preserve">INF109KC1ND7</t>
        </is>
      </c>
    </row>
    <row r="6439">
      <c r="A6439" t="inlineStr">
        <is>
          <t xml:space="preserve">ICICI Prudential Mutual Fund</t>
        </is>
      </c>
      <c r="B6439" t="inlineStr">
        <is>
          <t xml:space="preserve">ICICI Prudential Ultra Short Term Fund - Direct Plan -  Growth</t>
        </is>
      </c>
      <c r="C6439" t="inlineStr">
        <is>
          <t xml:space="preserve">INF109K01T04</t>
        </is>
      </c>
    </row>
    <row r="6440">
      <c r="A6440" t="inlineStr">
        <is>
          <t xml:space="preserve">ICICI Prudential Mutual Fund</t>
        </is>
      </c>
      <c r="B6440" t="inlineStr">
        <is>
          <t xml:space="preserve">ICICI Prudential Ultra Short Term Fund - Direct Plan -  Half Yearly IDCW</t>
        </is>
      </c>
      <c r="C6440" t="inlineStr">
        <is>
          <t xml:space="preserve">INF109K01T12</t>
        </is>
      </c>
    </row>
    <row r="6441">
      <c r="A6441" t="inlineStr">
        <is>
          <t xml:space="preserve">ICICI Prudential Mutual Fund</t>
        </is>
      </c>
      <c r="B6441" t="inlineStr">
        <is>
          <t xml:space="preserve">ICICI Prudential Ultra Short Term Fund - Direct Plan -  Monthly IDCW</t>
        </is>
      </c>
      <c r="C6441" t="inlineStr">
        <is>
          <t xml:space="preserve">INF109K01T38</t>
        </is>
      </c>
    </row>
    <row r="6442">
      <c r="A6442" t="inlineStr">
        <is>
          <t xml:space="preserve">ICICI Prudential Mutual Fund</t>
        </is>
      </c>
      <c r="B6442" t="inlineStr">
        <is>
          <t xml:space="preserve">ICICI Prudential Ultra Short Term Fund - Direct Plan -  Quarterly IDCW</t>
        </is>
      </c>
      <c r="C6442" t="inlineStr">
        <is>
          <t xml:space="preserve">INF109K01T53</t>
        </is>
      </c>
    </row>
    <row r="6443">
      <c r="A6443" t="inlineStr">
        <is>
          <t xml:space="preserve">ICICI Prudential Mutual Fund</t>
        </is>
      </c>
      <c r="B6443" t="inlineStr">
        <is>
          <t xml:space="preserve">ICICI Prudential Ultra Short Term Fund - Direct Plan - Daily IDCW</t>
        </is>
      </c>
      <c r="C6443" t="inlineStr">
        <is>
          <t xml:space="preserve">INF109KC1MY5</t>
        </is>
      </c>
    </row>
    <row r="6444">
      <c r="A6444" t="inlineStr">
        <is>
          <t xml:space="preserve">ICICI Prudential Mutual Fund</t>
        </is>
      </c>
      <c r="B6444" t="inlineStr">
        <is>
          <t xml:space="preserve">ICICI Prudential Ultra Short Term Fund - Direct Plan - Fortnightly IDCW</t>
        </is>
      </c>
      <c r="C6444" t="inlineStr">
        <is>
          <t xml:space="preserve">INF109KC1NB1</t>
        </is>
      </c>
    </row>
    <row r="6445">
      <c r="A6445" t="inlineStr">
        <is>
          <t xml:space="preserve">ICICI Prudential Mutual Fund</t>
        </is>
      </c>
      <c r="B6445" t="inlineStr">
        <is>
          <t xml:space="preserve">ICICI Prudential Ultra Short Term Fund - Direct Plan - Weekly IDCW</t>
        </is>
      </c>
      <c r="C6445" t="inlineStr">
        <is>
          <t xml:space="preserve">INF109KC1NA3</t>
        </is>
      </c>
    </row>
    <row r="6446">
      <c r="A6446" t="inlineStr">
        <is>
          <t xml:space="preserve">ICICI Prudential Mutual Fund</t>
        </is>
      </c>
      <c r="B6446" t="inlineStr">
        <is>
          <t xml:space="preserve">ICICI Prudential Ultra Short Term Fund - Direct Plan Bonus</t>
        </is>
      </c>
      <c r="C6446" t="inlineStr">
        <is>
          <t xml:space="preserve">INF109KA1H69</t>
        </is>
      </c>
    </row>
    <row r="6447">
      <c r="A6447" t="inlineStr">
        <is>
          <t xml:space="preserve">ICICI Prudential Mutual Fund</t>
        </is>
      </c>
      <c r="B6447" t="inlineStr">
        <is>
          <t xml:space="preserve">ICICI Prudential Ultra Short Term Fund - Fortnightly IDCW</t>
        </is>
      </c>
      <c r="C6447" t="inlineStr">
        <is>
          <t xml:space="preserve">INF109KC1NH8</t>
        </is>
      </c>
    </row>
    <row r="6448">
      <c r="A6448" t="inlineStr">
        <is>
          <t xml:space="preserve">ICICI Prudential Mutual Fund</t>
        </is>
      </c>
      <c r="B6448" t="inlineStr">
        <is>
          <t xml:space="preserve">ICICI Prudential Ultra Short Term Fund - Growth</t>
        </is>
      </c>
      <c r="C6448" t="inlineStr">
        <is>
          <t xml:space="preserve">INF109K01TP7</t>
        </is>
      </c>
    </row>
    <row r="6449">
      <c r="A6449" t="inlineStr">
        <is>
          <t xml:space="preserve">ICICI Prudential Mutual Fund</t>
        </is>
      </c>
      <c r="B6449" t="inlineStr">
        <is>
          <t xml:space="preserve">ICICI Prudential Ultra Short Term Fund - Half Yearly IDCW</t>
        </is>
      </c>
      <c r="C6449" t="inlineStr">
        <is>
          <t xml:space="preserve">INF109K01TV5</t>
        </is>
      </c>
    </row>
    <row r="6450">
      <c r="A6450" t="inlineStr">
        <is>
          <t xml:space="preserve">ICICI Prudential Mutual Fund</t>
        </is>
      </c>
      <c r="B6450" t="inlineStr">
        <is>
          <t xml:space="preserve">ICICI Prudential Ultra Short Term Fund - Monthly IDCW</t>
        </is>
      </c>
      <c r="C6450" t="inlineStr">
        <is>
          <t xml:space="preserve">INF109K01TR3</t>
        </is>
      </c>
    </row>
    <row r="6451">
      <c r="A6451" t="inlineStr">
        <is>
          <t xml:space="preserve">ICICI Prudential Mutual Fund</t>
        </is>
      </c>
      <c r="B6451" t="inlineStr">
        <is>
          <t xml:space="preserve">ICICI Prudential Ultra Short Term Fund - Quarterly IDCW</t>
        </is>
      </c>
      <c r="C6451" t="inlineStr">
        <is>
          <t xml:space="preserve">INF109K01TT9</t>
        </is>
      </c>
    </row>
    <row r="6452">
      <c r="A6452" t="inlineStr">
        <is>
          <t xml:space="preserve">ICICI Prudential Mutual Fund</t>
        </is>
      </c>
      <c r="B6452" t="inlineStr">
        <is>
          <t xml:space="preserve">ICICI Prudential Ultra Short Term Fund - Weekly IDCW</t>
        </is>
      </c>
      <c r="C6452" t="inlineStr">
        <is>
          <t xml:space="preserve">INF109KC1NF2</t>
        </is>
      </c>
    </row>
    <row r="6453">
      <c r="A6453" t="inlineStr">
        <is>
          <t xml:space="preserve">ICICI Prudential Mutual Fund</t>
        </is>
      </c>
      <c r="B6453" t="inlineStr">
        <is>
          <t xml:space="preserve">ICICI Prudential US Bluechip Equity Fund - Direct Plan -  Growth</t>
        </is>
      </c>
      <c r="C6453" t="inlineStr">
        <is>
          <t xml:space="preserve">INF109K01Z71</t>
        </is>
      </c>
    </row>
    <row r="6454">
      <c r="A6454" t="inlineStr">
        <is>
          <t xml:space="preserve">ICICI Prudential Mutual Fund</t>
        </is>
      </c>
      <c r="B6454" t="inlineStr">
        <is>
          <t xml:space="preserve">ICICI Prudential US Bluechip Equity Fund - Direct Plan -  IDCW</t>
        </is>
      </c>
      <c r="C6454" t="inlineStr">
        <is>
          <t xml:space="preserve">INF109K01Z55</t>
        </is>
      </c>
    </row>
    <row r="6455">
      <c r="A6455" t="inlineStr">
        <is>
          <t xml:space="preserve">ICICI Prudential Mutual Fund</t>
        </is>
      </c>
      <c r="B6455" t="inlineStr">
        <is>
          <t xml:space="preserve">ICICI Prudential US Bluechip Equity Fund - Growth</t>
        </is>
      </c>
      <c r="C6455" t="inlineStr">
        <is>
          <t xml:space="preserve">INF109K01E35</t>
        </is>
      </c>
    </row>
    <row r="6456">
      <c r="A6456" t="inlineStr">
        <is>
          <t xml:space="preserve">ICICI Prudential Mutual Fund</t>
        </is>
      </c>
      <c r="B6456" t="inlineStr">
        <is>
          <t xml:space="preserve">ICICI Prudential US Bluechip Equity Fund - IDCW</t>
        </is>
      </c>
      <c r="C6456" t="inlineStr">
        <is>
          <t xml:space="preserve">INF109K01E43</t>
        </is>
      </c>
    </row>
    <row r="6457">
      <c r="A6457" t="inlineStr">
        <is>
          <t xml:space="preserve">ICICI Prudential Mutual Fund</t>
        </is>
      </c>
      <c r="B6457" t="inlineStr">
        <is>
          <t xml:space="preserve">ICICI Prudential Value Fund (erstwhile Value Discovery Fund) - Direct Plan - Growth</t>
        </is>
      </c>
      <c r="C6457" t="inlineStr">
        <is>
          <t xml:space="preserve">INF109K012K1</t>
        </is>
      </c>
    </row>
    <row r="6458">
      <c r="A6458" t="inlineStr">
        <is>
          <t xml:space="preserve">ICICI Prudential Mutual Fund</t>
        </is>
      </c>
      <c r="B6458" t="inlineStr">
        <is>
          <t xml:space="preserve">ICICI Prudential Value Fund (erstwhile Value Discovery Fund) - Direct Plan - IDCW</t>
        </is>
      </c>
      <c r="C6458" t="inlineStr">
        <is>
          <t xml:space="preserve">INF109K011K3</t>
        </is>
      </c>
    </row>
    <row r="6459">
      <c r="A6459" t="inlineStr">
        <is>
          <t xml:space="preserve">ICICI Prudential Mutual Fund</t>
        </is>
      </c>
      <c r="B6459" t="inlineStr">
        <is>
          <t xml:space="preserve">ICICI Prudential Value Fund (erstwhile Value Discovery Fund) - Growth</t>
        </is>
      </c>
      <c r="C6459" t="inlineStr">
        <is>
          <t xml:space="preserve">INF109K01AF8</t>
        </is>
      </c>
    </row>
    <row r="6460">
      <c r="A6460" t="inlineStr">
        <is>
          <t xml:space="preserve">ICICI Prudential Mutual Fund</t>
        </is>
      </c>
      <c r="B6460" t="inlineStr">
        <is>
          <t xml:space="preserve">ICICI Prudential Value Fund (erstwhile Value Discovery Fund) - IDCW</t>
        </is>
      </c>
      <c r="C6460" t="inlineStr">
        <is>
          <t xml:space="preserve">INF109K01EC7</t>
        </is>
      </c>
    </row>
    <row r="6461">
      <c r="A6461" t="inlineStr">
        <is>
          <t xml:space="preserve">ICICI Prudential Mutual Fund</t>
        </is>
      </c>
      <c r="B6461" t="inlineStr">
        <is>
          <t xml:space="preserve">ICICI Prudential Value Fund - Series 1 - Direct Dividend</t>
        </is>
      </c>
      <c r="C6461" t="inlineStr">
        <is>
          <t xml:space="preserve">INF109KB1J57</t>
        </is>
      </c>
    </row>
    <row r="6462">
      <c r="A6462" t="inlineStr">
        <is>
          <t xml:space="preserve">ICICI Prudential Mutual Fund</t>
        </is>
      </c>
      <c r="B6462" t="inlineStr">
        <is>
          <t xml:space="preserve">ICICI Prudential Value Fund - Series 1 -Dividend</t>
        </is>
      </c>
      <c r="C6462" t="inlineStr">
        <is>
          <t xml:space="preserve">INF109KB1J40</t>
        </is>
      </c>
    </row>
    <row r="6463">
      <c r="A6463" t="inlineStr">
        <is>
          <t xml:space="preserve">ICICI Prudential Mutual Fund</t>
        </is>
      </c>
      <c r="B6463" t="inlineStr">
        <is>
          <t xml:space="preserve">ICICI Prudential Value Fund - Series 10 - Cumulative Option</t>
        </is>
      </c>
      <c r="C6463" t="inlineStr">
        <is>
          <t xml:space="preserve">INF109KB1L87</t>
        </is>
      </c>
    </row>
    <row r="6464">
      <c r="A6464" t="inlineStr">
        <is>
          <t xml:space="preserve">ICICI Prudential Mutual Fund</t>
        </is>
      </c>
      <c r="B6464" t="inlineStr">
        <is>
          <t xml:space="preserve">ICICI Prudential Value Fund - Series 10 - Direct Plan - Cumulative Option</t>
        </is>
      </c>
      <c r="C6464" t="inlineStr">
        <is>
          <t xml:space="preserve">INF109KB1M03</t>
        </is>
      </c>
    </row>
    <row r="6465">
      <c r="A6465" t="inlineStr">
        <is>
          <t xml:space="preserve">ICICI Prudential Mutual Fund</t>
        </is>
      </c>
      <c r="B6465" t="inlineStr">
        <is>
          <t xml:space="preserve">ICICI Prudential Value Fund - Series 10 - Direct Plan - Dividend Option</t>
        </is>
      </c>
      <c r="C6465" t="inlineStr">
        <is>
          <t xml:space="preserve">INF109KB1M11</t>
        </is>
      </c>
    </row>
    <row r="6466">
      <c r="A6466" t="inlineStr">
        <is>
          <t xml:space="preserve">ICICI Prudential Mutual Fund</t>
        </is>
      </c>
      <c r="B6466" t="inlineStr">
        <is>
          <t xml:space="preserve">ICICI Prudential Value Fund - Series 10 - Dividend Option</t>
        </is>
      </c>
      <c r="C6466" t="inlineStr">
        <is>
          <t xml:space="preserve">INF109KB1L95</t>
        </is>
      </c>
    </row>
    <row r="6467">
      <c r="A6467" t="inlineStr">
        <is>
          <t xml:space="preserve">ICICI Prudential Mutual Fund</t>
        </is>
      </c>
      <c r="B6467" t="inlineStr">
        <is>
          <t xml:space="preserve">ICICI Prudential Value Fund - Series 11 - Cumulative Option</t>
        </is>
      </c>
      <c r="C6467" t="inlineStr">
        <is>
          <t xml:space="preserve">INF109KB1M60</t>
        </is>
      </c>
    </row>
    <row r="6468">
      <c r="A6468" t="inlineStr">
        <is>
          <t xml:space="preserve">ICICI Prudential Mutual Fund</t>
        </is>
      </c>
      <c r="B6468" t="inlineStr">
        <is>
          <t xml:space="preserve">ICICI Prudential Value Fund - Series 11 - Direct Plan - Cumulative Option</t>
        </is>
      </c>
      <c r="C6468" t="inlineStr">
        <is>
          <t xml:space="preserve">INF109KB1M86</t>
        </is>
      </c>
    </row>
    <row r="6469">
      <c r="A6469" t="inlineStr">
        <is>
          <t xml:space="preserve">ICICI Prudential Mutual Fund</t>
        </is>
      </c>
      <c r="B6469" t="inlineStr">
        <is>
          <t xml:space="preserve">ICICI Prudential Value Fund - Series 11 - Direct Plan - Dividend Option</t>
        </is>
      </c>
      <c r="C6469" t="inlineStr">
        <is>
          <t xml:space="preserve">INF109KB1M94</t>
        </is>
      </c>
    </row>
    <row r="6470">
      <c r="A6470" t="inlineStr">
        <is>
          <t xml:space="preserve">ICICI Prudential Mutual Fund</t>
        </is>
      </c>
      <c r="B6470" t="inlineStr">
        <is>
          <t xml:space="preserve">ICICI Prudential Value Fund - Series 11 - Dividend Option</t>
        </is>
      </c>
      <c r="C6470" t="inlineStr">
        <is>
          <t xml:space="preserve">INF109KB1M78</t>
        </is>
      </c>
    </row>
    <row r="6471">
      <c r="A6471" t="inlineStr">
        <is>
          <t xml:space="preserve">ICICI Prudential Mutual Fund</t>
        </is>
      </c>
      <c r="B6471" t="inlineStr">
        <is>
          <t xml:space="preserve">ICICI Prudential Value Fund - Series 12 - Direct Plan - Dividend Option</t>
        </is>
      </c>
      <c r="C6471" t="inlineStr">
        <is>
          <t xml:space="preserve">INF109KB1X91</t>
        </is>
      </c>
    </row>
    <row r="6472">
      <c r="A6472" t="inlineStr">
        <is>
          <t xml:space="preserve">ICICI Prudential Mutual Fund</t>
        </is>
      </c>
      <c r="B6472" t="inlineStr">
        <is>
          <t xml:space="preserve">ICICI Prudential Value Fund - Series 12 - Dividend Option</t>
        </is>
      </c>
      <c r="C6472" t="inlineStr">
        <is>
          <t xml:space="preserve">INF109KB1X75</t>
        </is>
      </c>
    </row>
    <row r="6473">
      <c r="A6473" t="inlineStr">
        <is>
          <t xml:space="preserve">ICICI Prudential Mutual Fund</t>
        </is>
      </c>
      <c r="B6473" t="inlineStr">
        <is>
          <t xml:space="preserve">ICICI Prudential Value Fund - Series 13 - Direct Plan - Dividend Option</t>
        </is>
      </c>
      <c r="C6473" t="inlineStr">
        <is>
          <t xml:space="preserve">INF109KB13C8</t>
        </is>
      </c>
    </row>
    <row r="6474">
      <c r="A6474" t="inlineStr">
        <is>
          <t xml:space="preserve">ICICI Prudential Mutual Fund</t>
        </is>
      </c>
      <c r="B6474" t="inlineStr">
        <is>
          <t xml:space="preserve">ICICI Prudential Value Fund - Series 13 - Dividend Option</t>
        </is>
      </c>
      <c r="C6474" t="inlineStr">
        <is>
          <t xml:space="preserve">INF109KB11C2</t>
        </is>
      </c>
    </row>
    <row r="6475">
      <c r="A6475" t="inlineStr">
        <is>
          <t xml:space="preserve">ICICI Prudential Mutual Fund</t>
        </is>
      </c>
      <c r="B6475" t="inlineStr">
        <is>
          <t xml:space="preserve">ICICI Prudential Value Fund - Series 14 - Cumulative Option</t>
        </is>
      </c>
      <c r="C6475" t="inlineStr">
        <is>
          <t xml:space="preserve">INF109KB16J6</t>
        </is>
      </c>
    </row>
    <row r="6476">
      <c r="A6476" t="inlineStr">
        <is>
          <t xml:space="preserve">ICICI Prudential Mutual Fund</t>
        </is>
      </c>
      <c r="B6476" t="inlineStr">
        <is>
          <t xml:space="preserve">ICICI Prudential Value Fund - Series 14 - Direct Plan - Cumulative Option</t>
        </is>
      </c>
      <c r="C6476" t="inlineStr">
        <is>
          <t xml:space="preserve">INF109KB18J2</t>
        </is>
      </c>
    </row>
    <row r="6477">
      <c r="A6477" t="inlineStr">
        <is>
          <t xml:space="preserve">ICICI Prudential Mutual Fund</t>
        </is>
      </c>
      <c r="B6477" t="inlineStr">
        <is>
          <t xml:space="preserve">ICICI Prudential Value Fund - Series 14 - Direct Plan - Dividend Option</t>
        </is>
      </c>
      <c r="C6477" t="inlineStr">
        <is>
          <t xml:space="preserve">INF109KB19J0</t>
        </is>
      </c>
    </row>
    <row r="6478">
      <c r="A6478" t="inlineStr">
        <is>
          <t xml:space="preserve">ICICI Prudential Mutual Fund</t>
        </is>
      </c>
      <c r="B6478" t="inlineStr">
        <is>
          <t xml:space="preserve">ICICI Prudential Value Fund - Series 14 - Dividend Option</t>
        </is>
      </c>
      <c r="C6478" t="inlineStr">
        <is>
          <t xml:space="preserve">INF109KB17J4</t>
        </is>
      </c>
    </row>
    <row r="6479">
      <c r="A6479" t="inlineStr">
        <is>
          <t xml:space="preserve">ICICI Prudential Mutual Fund</t>
        </is>
      </c>
      <c r="B6479" t="inlineStr">
        <is>
          <t xml:space="preserve">ICICI Prudential Value Fund - Series 15 - Cumulative Option</t>
        </is>
      </c>
      <c r="C6479" t="inlineStr">
        <is>
          <t xml:space="preserve">INF109KB16S7</t>
        </is>
      </c>
    </row>
    <row r="6480">
      <c r="A6480" t="inlineStr">
        <is>
          <t xml:space="preserve">ICICI Prudential Mutual Fund</t>
        </is>
      </c>
      <c r="B6480" t="inlineStr">
        <is>
          <t xml:space="preserve">ICICI Prudential Value Fund - Series 15 - Direct Plan - Cumulative Option</t>
        </is>
      </c>
      <c r="C6480" t="inlineStr">
        <is>
          <t xml:space="preserve">INF109KB18S3</t>
        </is>
      </c>
    </row>
    <row r="6481">
      <c r="A6481" t="inlineStr">
        <is>
          <t xml:space="preserve">ICICI Prudential Mutual Fund</t>
        </is>
      </c>
      <c r="B6481" t="inlineStr">
        <is>
          <t xml:space="preserve">ICICI Prudential Value Fund - Series 15 - Direct Plan - Dividend Option</t>
        </is>
      </c>
      <c r="C6481" t="inlineStr">
        <is>
          <t xml:space="preserve">INF109KB19S1</t>
        </is>
      </c>
    </row>
    <row r="6482">
      <c r="A6482" t="inlineStr">
        <is>
          <t xml:space="preserve">ICICI Prudential Mutual Fund</t>
        </is>
      </c>
      <c r="B6482" t="inlineStr">
        <is>
          <t xml:space="preserve">ICICI Prudential Value Fund - Series 15 - Dividend Option</t>
        </is>
      </c>
      <c r="C6482" t="inlineStr">
        <is>
          <t xml:space="preserve">INF109KB17S5</t>
        </is>
      </c>
    </row>
    <row r="6483">
      <c r="A6483" t="inlineStr">
        <is>
          <t xml:space="preserve">ICICI Prudential Mutual Fund</t>
        </is>
      </c>
      <c r="B6483" t="inlineStr">
        <is>
          <t xml:space="preserve">ICICI Prudential Value Fund - Series 16 - Cumulative Option</t>
        </is>
      </c>
      <c r="C6483" t="inlineStr">
        <is>
          <t xml:space="preserve">INF109KB15T7</t>
        </is>
      </c>
    </row>
    <row r="6484">
      <c r="A6484" t="inlineStr">
        <is>
          <t xml:space="preserve">ICICI Prudential Mutual Fund</t>
        </is>
      </c>
      <c r="B6484" t="inlineStr">
        <is>
          <t xml:space="preserve">ICICI Prudential Value Fund - Series 16 - Direct Plan - Cumulative Option</t>
        </is>
      </c>
      <c r="C6484" t="inlineStr">
        <is>
          <t xml:space="preserve">INF109KB17T3</t>
        </is>
      </c>
    </row>
    <row r="6485">
      <c r="A6485" t="inlineStr">
        <is>
          <t xml:space="preserve">ICICI Prudential Mutual Fund</t>
        </is>
      </c>
      <c r="B6485" t="inlineStr">
        <is>
          <t xml:space="preserve">ICICI Prudential Value Fund - Series 16 - Direct Plan - Dividend Option</t>
        </is>
      </c>
      <c r="C6485" t="inlineStr">
        <is>
          <t xml:space="preserve">INF109KB18T1</t>
        </is>
      </c>
    </row>
    <row r="6486">
      <c r="A6486" t="inlineStr">
        <is>
          <t xml:space="preserve">ICICI Prudential Mutual Fund</t>
        </is>
      </c>
      <c r="B6486" t="inlineStr">
        <is>
          <t xml:space="preserve">ICICI Prudential Value Fund - Series 16 - Dividend Option</t>
        </is>
      </c>
      <c r="C6486" t="inlineStr">
        <is>
          <t xml:space="preserve">INF109KB16T5</t>
        </is>
      </c>
    </row>
    <row r="6487">
      <c r="A6487" t="inlineStr">
        <is>
          <t xml:space="preserve">ICICI Prudential Mutual Fund</t>
        </is>
      </c>
      <c r="B6487" t="inlineStr">
        <is>
          <t xml:space="preserve">ICICI Prudential Value Fund - Series 17 - Cumulative Option</t>
        </is>
      </c>
      <c r="C6487" t="inlineStr">
        <is>
          <t xml:space="preserve">INF109KB11W0</t>
        </is>
      </c>
    </row>
    <row r="6488">
      <c r="A6488" t="inlineStr">
        <is>
          <t xml:space="preserve">ICICI Prudential Mutual Fund</t>
        </is>
      </c>
      <c r="B6488" t="inlineStr">
        <is>
          <t xml:space="preserve">ICICI Prudential Value Fund - Series 17 - Direct Plan - Cumulative Option</t>
        </is>
      </c>
      <c r="C6488" t="inlineStr">
        <is>
          <t xml:space="preserve">INF109KB19V5</t>
        </is>
      </c>
    </row>
    <row r="6489">
      <c r="A6489" t="inlineStr">
        <is>
          <t xml:space="preserve">ICICI Prudential Mutual Fund</t>
        </is>
      </c>
      <c r="B6489" t="inlineStr">
        <is>
          <t xml:space="preserve">ICICI Prudential Value Fund - Series 17 - Direct Plan - IDCW Option</t>
        </is>
      </c>
      <c r="C6489" t="inlineStr">
        <is>
          <t xml:space="preserve">INF109KB10W2</t>
        </is>
      </c>
    </row>
    <row r="6490">
      <c r="A6490" t="inlineStr">
        <is>
          <t xml:space="preserve">ICICI Prudential Mutual Fund</t>
        </is>
      </c>
      <c r="B6490" t="inlineStr">
        <is>
          <t xml:space="preserve">ICICI Prudential Value Fund - Series 17 - IDCW Option</t>
        </is>
      </c>
      <c r="C6490" t="inlineStr">
        <is>
          <t xml:space="preserve">INF109KB12W8</t>
        </is>
      </c>
    </row>
    <row r="6491">
      <c r="A6491" t="inlineStr">
        <is>
          <t xml:space="preserve">ICICI Prudential Mutual Fund</t>
        </is>
      </c>
      <c r="B6491" t="inlineStr">
        <is>
          <t xml:space="preserve">ICICI Prudential Value Fund - Series 18 - Cumulative Option</t>
        </is>
      </c>
      <c r="C6491" t="inlineStr">
        <is>
          <t xml:space="preserve">INF109KB11Y6</t>
        </is>
      </c>
    </row>
    <row r="6492">
      <c r="A6492" t="inlineStr">
        <is>
          <t xml:space="preserve">ICICI Prudential Mutual Fund</t>
        </is>
      </c>
      <c r="B6492" t="inlineStr">
        <is>
          <t xml:space="preserve">ICICI Prudential Value Fund - Series 18 - Direct Plan - Cumulative Option</t>
        </is>
      </c>
      <c r="C6492" t="inlineStr">
        <is>
          <t xml:space="preserve">INF109KB13Y2</t>
        </is>
      </c>
    </row>
    <row r="6493">
      <c r="A6493" t="inlineStr">
        <is>
          <t xml:space="preserve">ICICI Prudential Mutual Fund</t>
        </is>
      </c>
      <c r="B6493" t="inlineStr">
        <is>
          <t xml:space="preserve">ICICI Prudential Value Fund - Series 18 - Direct Plan - IDCW Option</t>
        </is>
      </c>
      <c r="C6493" t="inlineStr">
        <is>
          <t xml:space="preserve">INF109KB14Y0</t>
        </is>
      </c>
    </row>
    <row r="6494">
      <c r="A6494" t="inlineStr">
        <is>
          <t xml:space="preserve">ICICI Prudential Mutual Fund</t>
        </is>
      </c>
      <c r="B6494" t="inlineStr">
        <is>
          <t xml:space="preserve">ICICI Prudential Value Fund - Series 18 - IDCW Option</t>
        </is>
      </c>
      <c r="C6494" t="inlineStr">
        <is>
          <t xml:space="preserve">INF109KB12Y4</t>
        </is>
      </c>
    </row>
    <row r="6495">
      <c r="A6495" t="inlineStr">
        <is>
          <t xml:space="preserve">ICICI Prudential Mutual Fund</t>
        </is>
      </c>
      <c r="B6495" t="inlineStr">
        <is>
          <t xml:space="preserve">ICICI Prudential Value Fund - Series 19 - Cumulative Option</t>
        </is>
      </c>
      <c r="C6495" t="inlineStr">
        <is>
          <t xml:space="preserve">INF109KB16Z2</t>
        </is>
      </c>
    </row>
    <row r="6496">
      <c r="A6496" t="inlineStr">
        <is>
          <t xml:space="preserve">ICICI Prudential Mutual Fund</t>
        </is>
      </c>
      <c r="B6496" t="inlineStr">
        <is>
          <t xml:space="preserve">ICICI Prudential Value Fund - Series 19 - Direct Plan - Cumulative Option</t>
        </is>
      </c>
      <c r="C6496" t="inlineStr">
        <is>
          <t xml:space="preserve">INF109KB18Z8</t>
        </is>
      </c>
    </row>
    <row r="6497">
      <c r="A6497" t="inlineStr">
        <is>
          <t xml:space="preserve">ICICI Prudential Mutual Fund</t>
        </is>
      </c>
      <c r="B6497" t="inlineStr">
        <is>
          <t xml:space="preserve">ICICI Prudential Value Fund - Series 19 - Direct Plan - IDCW Option</t>
        </is>
      </c>
      <c r="C6497" t="inlineStr">
        <is>
          <t xml:space="preserve">INF109KB19Z6</t>
        </is>
      </c>
    </row>
    <row r="6498">
      <c r="A6498" t="inlineStr">
        <is>
          <t xml:space="preserve">ICICI Prudential Mutual Fund</t>
        </is>
      </c>
      <c r="B6498" t="inlineStr">
        <is>
          <t xml:space="preserve">ICICI Prudential Value Fund - Series 19 - IDCW Option</t>
        </is>
      </c>
      <c r="C6498" t="inlineStr">
        <is>
          <t xml:space="preserve">INF109KB17Z0</t>
        </is>
      </c>
    </row>
    <row r="6499">
      <c r="A6499" t="inlineStr">
        <is>
          <t xml:space="preserve">ICICI Prudential Mutual Fund</t>
        </is>
      </c>
      <c r="B6499" t="inlineStr">
        <is>
          <t xml:space="preserve">ICICI Prudential Value Fund - Series 2 - Direct Dividend</t>
        </is>
      </c>
      <c r="C6499" t="inlineStr">
        <is>
          <t xml:space="preserve">INF109KB1L38</t>
        </is>
      </c>
    </row>
    <row r="6500">
      <c r="A6500" t="inlineStr">
        <is>
          <t xml:space="preserve">ICICI Prudential Mutual Fund</t>
        </is>
      </c>
      <c r="B6500" t="inlineStr">
        <is>
          <t xml:space="preserve">ICICI Prudential Value Fund - Series 2 - Dividend</t>
        </is>
      </c>
      <c r="C6500" t="inlineStr">
        <is>
          <t xml:space="preserve">INF109KB1L20</t>
        </is>
      </c>
    </row>
    <row r="6501">
      <c r="A6501" t="inlineStr">
        <is>
          <t xml:space="preserve">ICICI Prudential Mutual Fund</t>
        </is>
      </c>
      <c r="B6501" t="inlineStr">
        <is>
          <t xml:space="preserve">ICICI Prudential Value Fund - Series 20 - Cumulative Option</t>
        </is>
      </c>
      <c r="C6501" t="inlineStr">
        <is>
          <t xml:space="preserve">INF109KC1333</t>
        </is>
      </c>
    </row>
    <row r="6502">
      <c r="A6502" t="inlineStr">
        <is>
          <t xml:space="preserve">ICICI Prudential Mutual Fund</t>
        </is>
      </c>
      <c r="B6502" t="inlineStr">
        <is>
          <t xml:space="preserve">ICICI Prudential Value Fund - Series 20 - Direct Plan - Cumulative Option</t>
        </is>
      </c>
      <c r="C6502" t="inlineStr">
        <is>
          <t xml:space="preserve">INF109KC1358</t>
        </is>
      </c>
    </row>
    <row r="6503">
      <c r="A6503" t="inlineStr">
        <is>
          <t xml:space="preserve">ICICI Prudential Mutual Fund</t>
        </is>
      </c>
      <c r="B6503" t="inlineStr">
        <is>
          <t xml:space="preserve">ICICI Prudential Value Fund - Series 20 - Direct Plan - IDCW Option</t>
        </is>
      </c>
      <c r="C6503" t="inlineStr">
        <is>
          <t xml:space="preserve">INF109KC1366</t>
        </is>
      </c>
    </row>
    <row r="6504">
      <c r="A6504" t="inlineStr">
        <is>
          <t xml:space="preserve">ICICI Prudential Mutual Fund</t>
        </is>
      </c>
      <c r="B6504" t="inlineStr">
        <is>
          <t xml:space="preserve">ICICI Prudential Value Fund - Series 20 - IDCW Option</t>
        </is>
      </c>
      <c r="C6504" t="inlineStr">
        <is>
          <t xml:space="preserve">INF109KC1341</t>
        </is>
      </c>
    </row>
    <row r="6505">
      <c r="A6505" t="inlineStr">
        <is>
          <t xml:space="preserve">ICICI Prudential Mutual Fund</t>
        </is>
      </c>
      <c r="B6505" t="inlineStr">
        <is>
          <t xml:space="preserve">ICICI Prudential Value Fund - Series 3 - Direct Dividend</t>
        </is>
      </c>
      <c r="C6505" t="inlineStr">
        <is>
          <t xml:space="preserve">INF109KA1OE5</t>
        </is>
      </c>
    </row>
    <row r="6506">
      <c r="A6506" t="inlineStr">
        <is>
          <t xml:space="preserve">ICICI Prudential Mutual Fund</t>
        </is>
      </c>
      <c r="B6506" t="inlineStr">
        <is>
          <t xml:space="preserve">ICICI Prudential Value Fund - Series 3 - Dividend</t>
        </is>
      </c>
      <c r="C6506" t="inlineStr">
        <is>
          <t xml:space="preserve">INF109KA1OD7</t>
        </is>
      </c>
    </row>
    <row r="6507">
      <c r="A6507" t="inlineStr">
        <is>
          <t xml:space="preserve">ICICI Prudential Mutual Fund</t>
        </is>
      </c>
      <c r="B6507" t="inlineStr">
        <is>
          <t xml:space="preserve">ICICI Prudential Value Fund - Series 4  Dividend</t>
        </is>
      </c>
      <c r="C6507" t="inlineStr">
        <is>
          <t xml:space="preserve">INF109KA1TQ8</t>
        </is>
      </c>
    </row>
    <row r="6508">
      <c r="A6508" t="inlineStr">
        <is>
          <t xml:space="preserve">ICICI Prudential Mutual Fund</t>
        </is>
      </c>
      <c r="B6508" t="inlineStr">
        <is>
          <t xml:space="preserve">ICICI Prudential Value Fund - Series 4 Cumulative Option</t>
        </is>
      </c>
      <c r="C6508" t="inlineStr">
        <is>
          <t xml:space="preserve">INF109KA1TP0</t>
        </is>
      </c>
    </row>
    <row r="6509">
      <c r="A6509" t="inlineStr">
        <is>
          <t xml:space="preserve">ICICI Prudential Mutual Fund</t>
        </is>
      </c>
      <c r="B6509" t="inlineStr">
        <is>
          <t xml:space="preserve">ICICI Prudential Value Fund - Series 4 Direct Plan Cumulative Option</t>
        </is>
      </c>
      <c r="C6509" t="inlineStr">
        <is>
          <t xml:space="preserve">INF109KA1TR6</t>
        </is>
      </c>
    </row>
    <row r="6510">
      <c r="A6510" t="inlineStr">
        <is>
          <t xml:space="preserve">ICICI Prudential Mutual Fund</t>
        </is>
      </c>
      <c r="B6510" t="inlineStr">
        <is>
          <t xml:space="preserve">ICICI Prudential Value Fund - Series 4 Direct Plan Dividend</t>
        </is>
      </c>
      <c r="C6510" t="inlineStr">
        <is>
          <t xml:space="preserve">INF109KA1TS4</t>
        </is>
      </c>
    </row>
    <row r="6511">
      <c r="A6511" t="inlineStr">
        <is>
          <t xml:space="preserve">ICICI Prudential Mutual Fund</t>
        </is>
      </c>
      <c r="B6511" t="inlineStr">
        <is>
          <t xml:space="preserve">ICICI Prudential Value Fund - Series 5  Cumulative Option</t>
        </is>
      </c>
      <c r="C6511" t="inlineStr">
        <is>
          <t xml:space="preserve">INF109KA1J00</t>
        </is>
      </c>
    </row>
    <row r="6512">
      <c r="A6512" t="inlineStr">
        <is>
          <t xml:space="preserve">ICICI Prudential Mutual Fund</t>
        </is>
      </c>
      <c r="B6512" t="inlineStr">
        <is>
          <t xml:space="preserve">ICICI Prudential Value Fund - Series 5 Direct Plan Cumulative Option</t>
        </is>
      </c>
      <c r="C6512" t="inlineStr">
        <is>
          <t xml:space="preserve">INF109KA1J26</t>
        </is>
      </c>
    </row>
    <row r="6513">
      <c r="A6513" t="inlineStr">
        <is>
          <t xml:space="preserve">ICICI Prudential Mutual Fund</t>
        </is>
      </c>
      <c r="B6513" t="inlineStr">
        <is>
          <t xml:space="preserve">ICICI Prudential Value Fund - Series 5 Direct Plan Dividend Option</t>
        </is>
      </c>
      <c r="C6513" t="inlineStr">
        <is>
          <t xml:space="preserve">INF109KA1J34</t>
        </is>
      </c>
    </row>
    <row r="6514">
      <c r="A6514" t="inlineStr">
        <is>
          <t xml:space="preserve">ICICI Prudential Mutual Fund</t>
        </is>
      </c>
      <c r="B6514" t="inlineStr">
        <is>
          <t xml:space="preserve">ICICI Prudential Value Fund - Series 5 Dividend Option</t>
        </is>
      </c>
      <c r="C6514" t="inlineStr">
        <is>
          <t xml:space="preserve">INF109KA1J18</t>
        </is>
      </c>
    </row>
    <row r="6515">
      <c r="A6515" t="inlineStr">
        <is>
          <t xml:space="preserve">ICICI Prudential Mutual Fund</t>
        </is>
      </c>
      <c r="B6515" t="inlineStr">
        <is>
          <t xml:space="preserve">ICICI Prudential Value Fund - Series 6  Cumulative Option</t>
        </is>
      </c>
      <c r="C6515" t="inlineStr">
        <is>
          <t xml:space="preserve">INF109KB1557</t>
        </is>
      </c>
    </row>
    <row r="6516">
      <c r="A6516" t="inlineStr">
        <is>
          <t xml:space="preserve">ICICI Prudential Mutual Fund</t>
        </is>
      </c>
      <c r="B6516" t="inlineStr">
        <is>
          <t xml:space="preserve">ICICI Prudential Value Fund - Series 6  Dividend Option</t>
        </is>
      </c>
      <c r="C6516" t="inlineStr">
        <is>
          <t xml:space="preserve">INF109KB1565</t>
        </is>
      </c>
    </row>
    <row r="6517">
      <c r="A6517" t="inlineStr">
        <is>
          <t xml:space="preserve">ICICI Prudential Mutual Fund</t>
        </is>
      </c>
      <c r="B6517" t="inlineStr">
        <is>
          <t xml:space="preserve">ICICI Prudential Value Fund - Series 6 Direct Plan Cumulative Option</t>
        </is>
      </c>
      <c r="C6517" t="inlineStr">
        <is>
          <t xml:space="preserve">INF109KB1573</t>
        </is>
      </c>
    </row>
    <row r="6518">
      <c r="A6518" t="inlineStr">
        <is>
          <t xml:space="preserve">ICICI Prudential Mutual Fund</t>
        </is>
      </c>
      <c r="B6518" t="inlineStr">
        <is>
          <t xml:space="preserve">ICICI Prudential Value Fund - Series 6 Direct Plan Dividend Option</t>
        </is>
      </c>
      <c r="C6518" t="inlineStr">
        <is>
          <t xml:space="preserve">INF109KB1581</t>
        </is>
      </c>
    </row>
    <row r="6519">
      <c r="A6519" t="inlineStr">
        <is>
          <t xml:space="preserve">ICICI Prudential Mutual Fund</t>
        </is>
      </c>
      <c r="B6519" t="inlineStr">
        <is>
          <t xml:space="preserve">ICICI Prudential Value Fund - Series 7 Direct Plan Dividend Option</t>
        </is>
      </c>
      <c r="C6519" t="inlineStr">
        <is>
          <t xml:space="preserve">INF109KB1EW7</t>
        </is>
      </c>
    </row>
    <row r="6520">
      <c r="A6520" t="inlineStr">
        <is>
          <t xml:space="preserve">ICICI Prudential Mutual Fund</t>
        </is>
      </c>
      <c r="B6520" t="inlineStr">
        <is>
          <t xml:space="preserve">ICICI Prudential Value Fund - Series 7 Dividend Option</t>
        </is>
      </c>
      <c r="C6520" t="inlineStr">
        <is>
          <t xml:space="preserve">INF109KB1EU1</t>
        </is>
      </c>
    </row>
    <row r="6521">
      <c r="A6521" t="inlineStr">
        <is>
          <t xml:space="preserve">ICICI Prudential Mutual Fund</t>
        </is>
      </c>
      <c r="B6521" t="inlineStr">
        <is>
          <t xml:space="preserve">ICICI Prudential Value Fund - Series 8 Direct Plan Dividend Option</t>
        </is>
      </c>
      <c r="C6521" t="inlineStr">
        <is>
          <t xml:space="preserve">INF109KC1JK0</t>
        </is>
      </c>
    </row>
    <row r="6522">
      <c r="A6522" t="inlineStr">
        <is>
          <t xml:space="preserve">ICICI Prudential Mutual Fund</t>
        </is>
      </c>
      <c r="B6522" t="inlineStr">
        <is>
          <t xml:space="preserve">ICICI Prudential Value Fund - Series 8 Dividend Option</t>
        </is>
      </c>
      <c r="C6522" t="inlineStr">
        <is>
          <t xml:space="preserve">INF109KC1JJ2</t>
        </is>
      </c>
    </row>
    <row r="6523">
      <c r="A6523" t="inlineStr">
        <is>
          <t xml:space="preserve">ICICI Prudential Mutual Fund</t>
        </is>
      </c>
      <c r="B6523" t="inlineStr">
        <is>
          <t xml:space="preserve">ICICI Prudential Value Fund - Series 9 - Cumulative Option</t>
        </is>
      </c>
      <c r="C6523" t="inlineStr">
        <is>
          <t xml:space="preserve">INF109KB1I25</t>
        </is>
      </c>
    </row>
    <row r="6524">
      <c r="A6524" t="inlineStr">
        <is>
          <t xml:space="preserve">ICICI Prudential Mutual Fund</t>
        </is>
      </c>
      <c r="B6524" t="inlineStr">
        <is>
          <t xml:space="preserve">ICICI Prudential Value Fund - Series 9 - Direct Plan - Cumulative Option</t>
        </is>
      </c>
      <c r="C6524" t="inlineStr">
        <is>
          <t xml:space="preserve">INF109KB1I41</t>
        </is>
      </c>
    </row>
    <row r="6525">
      <c r="A6525" t="inlineStr">
        <is>
          <t xml:space="preserve">ICICI Prudential Mutual Fund</t>
        </is>
      </c>
      <c r="B6525" t="inlineStr">
        <is>
          <t xml:space="preserve">ICICI Prudential Value Fund - Series 9 - Direct Plan - Dividend Option</t>
        </is>
      </c>
      <c r="C6525" t="inlineStr">
        <is>
          <t xml:space="preserve">INF109KB1I58</t>
        </is>
      </c>
    </row>
    <row r="6526">
      <c r="A6526" t="inlineStr">
        <is>
          <t xml:space="preserve">ICICI Prudential Mutual Fund</t>
        </is>
      </c>
      <c r="B6526" t="inlineStr">
        <is>
          <t xml:space="preserve">ICICI Prudential Value Fund - Series 9 - Dividend Option</t>
        </is>
      </c>
      <c r="C6526" t="inlineStr">
        <is>
          <t xml:space="preserve">INF109KB1I33</t>
        </is>
      </c>
    </row>
    <row r="6527">
      <c r="A6527" t="inlineStr">
        <is>
          <t xml:space="preserve">Bandhan Mutual Fund</t>
        </is>
      </c>
      <c r="B6527" t="inlineStr">
        <is>
          <t xml:space="preserve">IDFC Fixed Term Plan Series 167 REGULAR PLAN HALF YEARLY-IDCW (1202 days)</t>
        </is>
      </c>
      <c r="C6527" t="inlineStr">
        <is>
          <t xml:space="preserve">INF194KB1298</t>
        </is>
      </c>
    </row>
    <row r="6528">
      <c r="A6528" t="inlineStr">
        <is>
          <t xml:space="preserve">Bandhan Mutual Fund</t>
        </is>
      </c>
      <c r="B6528" t="inlineStr">
        <is>
          <t xml:space="preserve">IDFC Fixed Term Plan Series 167 REGULAR PLAN QUARTERLY-IDCW (1202 days)</t>
        </is>
      </c>
      <c r="C6528" t="inlineStr">
        <is>
          <t xml:space="preserve">INF194KB1280</t>
        </is>
      </c>
    </row>
    <row r="6529">
      <c r="A6529" t="inlineStr">
        <is>
          <t xml:space="preserve">Bandhan Mutual Fund</t>
        </is>
      </c>
      <c r="B6529" t="inlineStr">
        <is>
          <t xml:space="preserve">IDFC Fixed Term Plan Series 167 REGULAR PLAN-GROWTH (1202 days)</t>
        </is>
      </c>
      <c r="C6529" t="inlineStr">
        <is>
          <t xml:space="preserve">INF194KB1272</t>
        </is>
      </c>
    </row>
    <row r="6530">
      <c r="A6530" t="inlineStr">
        <is>
          <t xml:space="preserve">IL&amp;FS Mutual Fund (IDF)</t>
        </is>
      </c>
      <c r="B6530" t="inlineStr">
        <is>
          <t xml:space="preserve">IL&amp;FS Infrastructure Debt Fund Series 1A - Dividend payout option</t>
        </is>
      </c>
      <c r="C6530" t="inlineStr">
        <is>
          <t xml:space="preserve">INF613Q01025</t>
        </is>
      </c>
    </row>
    <row r="6531">
      <c r="A6531" t="inlineStr">
        <is>
          <t xml:space="preserve">IL&amp;FS Mutual Fund (IDF)</t>
        </is>
      </c>
      <c r="B6531" t="inlineStr">
        <is>
          <t xml:space="preserve">IL&amp;FS Infrastructure Debt Fund Series 1A - Growth</t>
        </is>
      </c>
      <c r="C6531" t="inlineStr">
        <is>
          <t xml:space="preserve">INF613Q01017</t>
        </is>
      </c>
    </row>
    <row r="6532">
      <c r="A6532" t="inlineStr">
        <is>
          <t xml:space="preserve">IL&amp;FS Mutual Fund (IDF)</t>
        </is>
      </c>
      <c r="B6532" t="inlineStr">
        <is>
          <t xml:space="preserve">IL&amp;FS Infrastructure Debt Fund Series 1B - Dividend Payout</t>
        </is>
      </c>
      <c r="C6532" t="inlineStr">
        <is>
          <t xml:space="preserve">INF613Q01041</t>
        </is>
      </c>
    </row>
    <row r="6533">
      <c r="A6533" t="inlineStr">
        <is>
          <t xml:space="preserve">IL&amp;FS Mutual Fund (IDF)</t>
        </is>
      </c>
      <c r="B6533" t="inlineStr">
        <is>
          <t xml:space="preserve">IL&amp;FS Infrastructure Debt Fund Series 1B - Growth</t>
        </is>
      </c>
      <c r="C6533" t="inlineStr">
        <is>
          <t xml:space="preserve">INF613Q01033</t>
        </is>
      </c>
    </row>
    <row r="6534">
      <c r="A6534" t="inlineStr">
        <is>
          <t xml:space="preserve">IL&amp;FS Mutual Fund (IDF)</t>
        </is>
      </c>
      <c r="B6534" t="inlineStr">
        <is>
          <t xml:space="preserve">IL&amp;FS Infrastructure Debt Fund Series 1C - Growth</t>
        </is>
      </c>
      <c r="C6534" t="inlineStr">
        <is>
          <t xml:space="preserve">INF613Q01058</t>
        </is>
      </c>
    </row>
    <row r="6535">
      <c r="A6535" t="inlineStr">
        <is>
          <t xml:space="preserve">IL&amp;FS Mutual Fund (IDF)</t>
        </is>
      </c>
      <c r="B6535" t="inlineStr">
        <is>
          <t xml:space="preserve">IL&amp;FS Infrastructure Debt Fund Series 1C- Dividend Payout Option</t>
        </is>
      </c>
      <c r="C6535" t="inlineStr">
        <is>
          <t xml:space="preserve">INF613Q01066</t>
        </is>
      </c>
    </row>
    <row r="6536">
      <c r="A6536" t="inlineStr">
        <is>
          <t xml:space="preserve">IL&amp;FS Mutual Fund (IDF)</t>
        </is>
      </c>
      <c r="B6536" t="inlineStr">
        <is>
          <t xml:space="preserve">IL&amp;FS Infrastructure Debt Fund Series 2A - Growth - Direct</t>
        </is>
      </c>
      <c r="C6536" t="inlineStr">
        <is>
          <t xml:space="preserve">INF613Q01140</t>
        </is>
      </c>
    </row>
    <row r="6537">
      <c r="A6537" t="inlineStr">
        <is>
          <t xml:space="preserve">IL&amp;FS Mutual Fund (IDF)</t>
        </is>
      </c>
      <c r="B6537" t="inlineStr">
        <is>
          <t xml:space="preserve">IL&amp;FS Infrastructure Debt Fund Series 2B - Growth - Direct</t>
        </is>
      </c>
      <c r="C6537" t="inlineStr">
        <is>
          <t xml:space="preserve">INF613Q01157</t>
        </is>
      </c>
    </row>
    <row r="6538">
      <c r="A6538" t="inlineStr">
        <is>
          <t xml:space="preserve">IL&amp;FS Mutual Fund (IDF)</t>
        </is>
      </c>
      <c r="B6538" t="inlineStr">
        <is>
          <t xml:space="preserve">IL&amp;FS Infrastructure Debt Fund Series 2C - Growth - Direct</t>
        </is>
      </c>
      <c r="C6538" t="inlineStr">
        <is>
          <t xml:space="preserve">INF613Q01165</t>
        </is>
      </c>
    </row>
    <row r="6539">
      <c r="A6539" t="inlineStr">
        <is>
          <t xml:space="preserve">IL&amp;FS Mutual Fund (IDF)</t>
        </is>
      </c>
      <c r="B6539" t="inlineStr">
        <is>
          <t xml:space="preserve">IL&amp;FS Infrastructure Debt Fund Series 3A - Dividend payout option - Direct</t>
        </is>
      </c>
      <c r="C6539" t="inlineStr">
        <is>
          <t xml:space="preserve">INF613Q01082</t>
        </is>
      </c>
    </row>
    <row r="6540">
      <c r="A6540" t="inlineStr">
        <is>
          <t xml:space="preserve">IL&amp;FS Mutual Fund (IDF)</t>
        </is>
      </c>
      <c r="B6540" t="inlineStr">
        <is>
          <t xml:space="preserve">IL&amp;FS Infrastructure Debt Fund Series 3A - Growth - Direct</t>
        </is>
      </c>
      <c r="C6540" t="inlineStr">
        <is>
          <t xml:space="preserve">INF613Q01074</t>
        </is>
      </c>
    </row>
    <row r="6541">
      <c r="A6541" t="inlineStr">
        <is>
          <t xml:space="preserve">IL&amp;FS Mutual Fund (IDF)</t>
        </is>
      </c>
      <c r="B6541" t="inlineStr">
        <is>
          <t xml:space="preserve">IL&amp;FS Infrastructure Debt Fund Series 3A - Growth - Regular</t>
        </is>
      </c>
      <c r="C6541" t="inlineStr">
        <is>
          <t xml:space="preserve">INF613Q01090</t>
        </is>
      </c>
    </row>
    <row r="6542">
      <c r="A6542" t="inlineStr">
        <is>
          <t xml:space="preserve">Invesco Mutual Fund</t>
        </is>
      </c>
      <c r="B6542" t="inlineStr">
        <is>
          <t xml:space="preserve">Invesco India - Invesco EQQQ Nasdaq-100 ETF Fund of Fund - Direct Plan - Growth</t>
        </is>
      </c>
      <c r="C6542" t="inlineStr">
        <is>
          <t xml:space="preserve">INF205KA1585</t>
        </is>
      </c>
    </row>
    <row r="6543">
      <c r="A6543" t="inlineStr">
        <is>
          <t xml:space="preserve">Invesco Mutual Fund</t>
        </is>
      </c>
      <c r="B6543" t="inlineStr">
        <is>
          <t xml:space="preserve">Invesco India - Invesco EQQQ Nasdaq-100 ETF Fund of Fund - Regular Plan - Growth</t>
        </is>
      </c>
      <c r="C6543" t="inlineStr">
        <is>
          <t xml:space="preserve">INF205KA1577</t>
        </is>
      </c>
    </row>
    <row r="6544">
      <c r="A6544" t="inlineStr">
        <is>
          <t xml:space="preserve">Invesco Mutual Fund</t>
        </is>
      </c>
      <c r="B6544" t="inlineStr">
        <is>
          <t xml:space="preserve">Invesco India - Invesco Global Consumer Trends Fund of Fund - Direct Plan - Growth</t>
        </is>
      </c>
      <c r="C6544" t="inlineStr">
        <is>
          <t xml:space="preserve">INF205KA1270</t>
        </is>
      </c>
    </row>
    <row r="6545">
      <c r="A6545" t="inlineStr">
        <is>
          <t xml:space="preserve">Invesco Mutual Fund</t>
        </is>
      </c>
      <c r="B6545" t="inlineStr">
        <is>
          <t xml:space="preserve">Invesco India - Invesco Global Consumer Trends Fund of Fund - Direct Plan - IDCW (Payout / Reinvestment)</t>
        </is>
      </c>
      <c r="C6545" t="inlineStr">
        <is>
          <t xml:space="preserve">INF205KA1262</t>
        </is>
      </c>
    </row>
    <row r="6546">
      <c r="A6546" t="inlineStr">
        <is>
          <t xml:space="preserve">Invesco Mutual Fund</t>
        </is>
      </c>
      <c r="B6546" t="inlineStr">
        <is>
          <t xml:space="preserve">Invesco India - Invesco Global Consumer Trends Fund of Fund - Regular Plan - Growth</t>
        </is>
      </c>
      <c r="C6546" t="inlineStr">
        <is>
          <t xml:space="preserve">INF205KA1247</t>
        </is>
      </c>
    </row>
    <row r="6547">
      <c r="A6547" t="inlineStr">
        <is>
          <t xml:space="preserve">Invesco Mutual Fund</t>
        </is>
      </c>
      <c r="B6547" t="inlineStr">
        <is>
          <t xml:space="preserve">Invesco India - Invesco Global Consumer Trends Fund of Fund - Regular Plan - IDCW (Payout / Reinvestment)</t>
        </is>
      </c>
      <c r="C6547" t="inlineStr">
        <is>
          <t xml:space="preserve">INF205KA1239</t>
        </is>
      </c>
    </row>
    <row r="6548">
      <c r="A6548" t="inlineStr">
        <is>
          <t xml:space="preserve">Invesco Mutual Fund</t>
        </is>
      </c>
      <c r="B6548" t="inlineStr">
        <is>
          <t xml:space="preserve">Invesco India - Invesco Global Equity Income Fund of Fund - Direct Plan - Growth</t>
        </is>
      </c>
      <c r="C6548" t="inlineStr">
        <is>
          <t xml:space="preserve">INF205K01B49</t>
        </is>
      </c>
    </row>
    <row r="6549">
      <c r="A6549" t="inlineStr">
        <is>
          <t xml:space="preserve">Invesco Mutual Fund</t>
        </is>
      </c>
      <c r="B6549" t="inlineStr">
        <is>
          <t xml:space="preserve">Invesco India - Invesco Global Equity Income Fund of Fund - Direct Plan - IDCW (Payout / Reinvestment)</t>
        </is>
      </c>
      <c r="C6549" t="inlineStr">
        <is>
          <t xml:space="preserve">INF205K01B56</t>
        </is>
      </c>
    </row>
    <row r="6550">
      <c r="A6550" t="inlineStr">
        <is>
          <t xml:space="preserve">Invesco Mutual Fund</t>
        </is>
      </c>
      <c r="B6550" t="inlineStr">
        <is>
          <t xml:space="preserve">Invesco India - Invesco Global Equity Income Fund of Fund - Regular Plan - Growth</t>
        </is>
      </c>
      <c r="C6550" t="inlineStr">
        <is>
          <t xml:space="preserve">INF205K01B15</t>
        </is>
      </c>
    </row>
    <row r="6551">
      <c r="A6551" t="inlineStr">
        <is>
          <t xml:space="preserve">Invesco Mutual Fund</t>
        </is>
      </c>
      <c r="B6551" t="inlineStr">
        <is>
          <t xml:space="preserve">Invesco India - Invesco Global Equity Income Fund of Fund - Regular Plan - IDCW (Payout / Reinvestment)</t>
        </is>
      </c>
      <c r="C6551" t="inlineStr">
        <is>
          <t xml:space="preserve">INF205K01B23</t>
        </is>
      </c>
    </row>
    <row r="6552">
      <c r="A6552" t="inlineStr">
        <is>
          <t xml:space="preserve">Invesco Mutual Fund</t>
        </is>
      </c>
      <c r="B6552" t="inlineStr">
        <is>
          <t xml:space="preserve">Invesco India - Invesco Pan European Equity Fund of Fund - Direct Plan - Growth Option</t>
        </is>
      </c>
      <c r="C6552" t="inlineStr">
        <is>
          <t xml:space="preserve">INF205K01A24</t>
        </is>
      </c>
    </row>
    <row r="6553">
      <c r="A6553" t="inlineStr">
        <is>
          <t xml:space="preserve">Invesco Mutual Fund</t>
        </is>
      </c>
      <c r="B6553" t="inlineStr">
        <is>
          <t xml:space="preserve">Invesco India - Invesco Pan European Equity Fund of Fund - Direct Plan - IDCW (Payout / Reinvestment)</t>
        </is>
      </c>
      <c r="C6553" t="inlineStr">
        <is>
          <t xml:space="preserve">INF205K01A32</t>
        </is>
      </c>
    </row>
    <row r="6554">
      <c r="A6554" t="inlineStr">
        <is>
          <t xml:space="preserve">Invesco Mutual Fund</t>
        </is>
      </c>
      <c r="B6554" t="inlineStr">
        <is>
          <t xml:space="preserve">Invesco India - Invesco Pan European Equity Fund of Fund - Regular Plan - Growth Option</t>
        </is>
      </c>
      <c r="C6554" t="inlineStr">
        <is>
          <t xml:space="preserve">INF205K01ZZ9</t>
        </is>
      </c>
    </row>
    <row r="6555">
      <c r="A6555" t="inlineStr">
        <is>
          <t xml:space="preserve">Invesco Mutual Fund</t>
        </is>
      </c>
      <c r="B6555" t="inlineStr">
        <is>
          <t xml:space="preserve">Invesco India - Invesco Pan European Equity Fund of Fund - Regular Plan - IDCW (Payout / Reinvestment)</t>
        </is>
      </c>
      <c r="C6555" t="inlineStr">
        <is>
          <t xml:space="preserve">INF205K01A08</t>
        </is>
      </c>
    </row>
    <row r="6556">
      <c r="A6556" t="inlineStr">
        <is>
          <t xml:space="preserve">Invesco Mutual Fund</t>
        </is>
      </c>
      <c r="B6556" t="inlineStr">
        <is>
          <t xml:space="preserve">Invesco India Aggressive Hybrid Fund - Direct Plan - Growth</t>
        </is>
      </c>
      <c r="C6556" t="inlineStr">
        <is>
          <t xml:space="preserve">INF205K014Q7</t>
        </is>
      </c>
    </row>
    <row r="6557">
      <c r="A6557" t="inlineStr">
        <is>
          <t xml:space="preserve">Invesco Mutual Fund</t>
        </is>
      </c>
      <c r="B6557" t="inlineStr">
        <is>
          <t xml:space="preserve">Invesco India Aggressive Hybrid Fund - Direct Plan - IDCW (Payout / Reinvestment)</t>
        </is>
      </c>
      <c r="C6557" t="inlineStr">
        <is>
          <t xml:space="preserve">INF205K013Q9</t>
        </is>
      </c>
    </row>
    <row r="6558">
      <c r="A6558" t="inlineStr">
        <is>
          <t xml:space="preserve">Invesco Mutual Fund</t>
        </is>
      </c>
      <c r="B6558" t="inlineStr">
        <is>
          <t xml:space="preserve">Invesco India Aggressive Hybrid Fund - Regular Plan - Growth</t>
        </is>
      </c>
      <c r="C6558" t="inlineStr">
        <is>
          <t xml:space="preserve">INF205K011Q3</t>
        </is>
      </c>
    </row>
    <row r="6559">
      <c r="A6559" t="inlineStr">
        <is>
          <t xml:space="preserve">Invesco Mutual Fund</t>
        </is>
      </c>
      <c r="B6559" t="inlineStr">
        <is>
          <t xml:space="preserve">Invesco India Aggressive Hybrid Fund - Regular Plan - IDCW (Payout / Reinvestment)</t>
        </is>
      </c>
      <c r="C6559" t="inlineStr">
        <is>
          <t xml:space="preserve">INF205K010Q5</t>
        </is>
      </c>
    </row>
    <row r="6560">
      <c r="A6560" t="inlineStr">
        <is>
          <t xml:space="preserve">Invesco Mutual Fund</t>
        </is>
      </c>
      <c r="B6560" t="inlineStr">
        <is>
          <t xml:space="preserve">Invesco India Arbitrage Fund - Direct Plan - Annual Bonus</t>
        </is>
      </c>
      <c r="C6560" t="inlineStr">
        <is>
          <t xml:space="preserve">INF205K01P68</t>
        </is>
      </c>
    </row>
    <row r="6561">
      <c r="A6561" t="inlineStr">
        <is>
          <t xml:space="preserve">Invesco Mutual Fund</t>
        </is>
      </c>
      <c r="B6561" t="inlineStr">
        <is>
          <t xml:space="preserve">Invesco India Arbitrage Fund - Direct Plan - Growth Option</t>
        </is>
      </c>
      <c r="C6561" t="inlineStr">
        <is>
          <t xml:space="preserve">INF205K01KR8</t>
        </is>
      </c>
    </row>
    <row r="6562">
      <c r="A6562" t="inlineStr">
        <is>
          <t xml:space="preserve">Invesco Mutual Fund</t>
        </is>
      </c>
      <c r="B6562" t="inlineStr">
        <is>
          <t xml:space="preserve">Invesco India Arbitrage Fund - Direct Plan - IDCW (Payout / Reinvestment)</t>
        </is>
      </c>
      <c r="C6562" t="inlineStr">
        <is>
          <t xml:space="preserve">INF205K01KP2</t>
        </is>
      </c>
    </row>
    <row r="6563">
      <c r="A6563" t="inlineStr">
        <is>
          <t xml:space="preserve">Invesco Mutual Fund</t>
        </is>
      </c>
      <c r="B6563" t="inlineStr">
        <is>
          <t xml:space="preserve">Invesco India Arbitrage Fund - Regular Plan - Growth Option</t>
        </is>
      </c>
      <c r="C6563" t="inlineStr">
        <is>
          <t xml:space="preserve">INF205K01122</t>
        </is>
      </c>
    </row>
    <row r="6564">
      <c r="A6564" t="inlineStr">
        <is>
          <t xml:space="preserve">Invesco Mutual Fund</t>
        </is>
      </c>
      <c r="B6564" t="inlineStr">
        <is>
          <t xml:space="preserve">Invesco India Arbitrage Fund - Regular Plan - IDCW (Payout / Reinvestment)</t>
        </is>
      </c>
      <c r="C6564" t="inlineStr">
        <is>
          <t xml:space="preserve">INF205K01148</t>
        </is>
      </c>
    </row>
    <row r="6565">
      <c r="A6565" t="inlineStr">
        <is>
          <t xml:space="preserve">Invesco Mutual Fund</t>
        </is>
      </c>
      <c r="B6565" t="inlineStr">
        <is>
          <t xml:space="preserve">Invesco India Balanced Advantage Fund - Direct Plan - Growth</t>
        </is>
      </c>
      <c r="C6565" t="inlineStr">
        <is>
          <t xml:space="preserve">INF205K01LN5</t>
        </is>
      </c>
    </row>
    <row r="6566">
      <c r="A6566" t="inlineStr">
        <is>
          <t xml:space="preserve">Invesco Mutual Fund</t>
        </is>
      </c>
      <c r="B6566" t="inlineStr">
        <is>
          <t xml:space="preserve">Invesco India Balanced Advantage Fund - Direct Plan - IDCW (Payout / Reinvestment)</t>
        </is>
      </c>
      <c r="C6566" t="inlineStr">
        <is>
          <t xml:space="preserve">INF205K01LL9</t>
        </is>
      </c>
    </row>
    <row r="6567">
      <c r="A6567" t="inlineStr">
        <is>
          <t xml:space="preserve">Invesco Mutual Fund</t>
        </is>
      </c>
      <c r="B6567" t="inlineStr">
        <is>
          <t xml:space="preserve">Invesco India Balanced Advantage Fund - Regular Plan - Growth</t>
        </is>
      </c>
      <c r="C6567" t="inlineStr">
        <is>
          <t xml:space="preserve">INF205K01213</t>
        </is>
      </c>
    </row>
    <row r="6568">
      <c r="A6568" t="inlineStr">
        <is>
          <t xml:space="preserve">Invesco Mutual Fund</t>
        </is>
      </c>
      <c r="B6568" t="inlineStr">
        <is>
          <t xml:space="preserve">Invesco India Balanced Advantage Fund - Regular Plan - IDCW (Payout / Reinvestment)</t>
        </is>
      </c>
      <c r="C6568" t="inlineStr">
        <is>
          <t xml:space="preserve">INF205K01239</t>
        </is>
      </c>
    </row>
    <row r="6569">
      <c r="A6569" t="inlineStr">
        <is>
          <t xml:space="preserve">Invesco Mutual Fund</t>
        </is>
      </c>
      <c r="B6569" t="inlineStr">
        <is>
          <t xml:space="preserve">Invesco India Banking and PSU Fund - Direct Plan -  Growth Option</t>
        </is>
      </c>
      <c r="C6569" t="inlineStr">
        <is>
          <t xml:space="preserve">INF205K01KT4</t>
        </is>
      </c>
    </row>
    <row r="6570">
      <c r="A6570" t="inlineStr">
        <is>
          <t xml:space="preserve">Invesco Mutual Fund</t>
        </is>
      </c>
      <c r="B6570" t="inlineStr">
        <is>
          <t xml:space="preserve">Invesco India Banking and PSU Fund - Direct Plan - Daily IDCW (Reinvestment)</t>
        </is>
      </c>
      <c r="C6570" t="inlineStr">
        <is>
          <t xml:space="preserve">INF205K01KS6</t>
        </is>
      </c>
    </row>
    <row r="6571">
      <c r="A6571" t="inlineStr">
        <is>
          <t xml:space="preserve">Invesco Mutual Fund</t>
        </is>
      </c>
      <c r="B6571" t="inlineStr">
        <is>
          <t xml:space="preserve">Invesco India Banking and PSU Fund - Direct Plan - Monthly IDCW (Payout / Reinvestment)</t>
        </is>
      </c>
      <c r="C6571" t="inlineStr">
        <is>
          <t xml:space="preserve">INF205K01KU2</t>
        </is>
      </c>
    </row>
    <row r="6572">
      <c r="A6572" t="inlineStr">
        <is>
          <t xml:space="preserve">Invesco Mutual Fund</t>
        </is>
      </c>
      <c r="B6572" t="inlineStr">
        <is>
          <t xml:space="preserve">Invesco India Banking and PSU Fund - Regular Plan - Daily IDCW (Reinvestment)</t>
        </is>
      </c>
      <c r="C6572" t="inlineStr">
        <is>
          <t xml:space="preserve">INF205K01JX8</t>
        </is>
      </c>
    </row>
    <row r="6573">
      <c r="A6573" t="inlineStr">
        <is>
          <t xml:space="preserve">Invesco Mutual Fund</t>
        </is>
      </c>
      <c r="B6573" t="inlineStr">
        <is>
          <t xml:space="preserve">Invesco India Banking and PSU Fund - Regular Plan - Growth Option</t>
        </is>
      </c>
      <c r="C6573" t="inlineStr">
        <is>
          <t xml:space="preserve">INF205K01JV2</t>
        </is>
      </c>
    </row>
    <row r="6574">
      <c r="A6574" t="inlineStr">
        <is>
          <t xml:space="preserve">Invesco Mutual Fund</t>
        </is>
      </c>
      <c r="B6574" t="inlineStr">
        <is>
          <t xml:space="preserve">Invesco India Banking and PSU Fund - Regular Plan - Monthly IDCW (Payout / Reinvestment)</t>
        </is>
      </c>
      <c r="C6574" t="inlineStr">
        <is>
          <t xml:space="preserve">INF205K01JW0</t>
        </is>
      </c>
    </row>
    <row r="6575">
      <c r="A6575" t="inlineStr">
        <is>
          <t xml:space="preserve">Invesco Mutual Fund</t>
        </is>
      </c>
      <c r="B6575" t="inlineStr">
        <is>
          <t xml:space="preserve">Invesco India BSE Sensex Index Fund - Direct Plan - Growth</t>
        </is>
      </c>
      <c r="C6575" t="inlineStr">
        <is>
          <t xml:space="preserve">INF205KA1BM8</t>
        </is>
      </c>
    </row>
    <row r="6576">
      <c r="A6576" t="inlineStr">
        <is>
          <t xml:space="preserve">Invesco Mutual Fund</t>
        </is>
      </c>
      <c r="B6576" t="inlineStr">
        <is>
          <t xml:space="preserve">Invesco India BSE Sensex Index Fund - Regular Plan - Growth</t>
        </is>
      </c>
      <c r="C6576" t="inlineStr">
        <is>
          <t xml:space="preserve">INF205KA1BL0</t>
        </is>
      </c>
    </row>
    <row r="6577">
      <c r="A6577" t="inlineStr">
        <is>
          <t xml:space="preserve">Invesco Mutual Fund</t>
        </is>
      </c>
      <c r="B6577" t="inlineStr">
        <is>
          <t xml:space="preserve">Invesco India Business Cycle Fund - Direct Plan - Growth</t>
        </is>
      </c>
      <c r="C6577" t="inlineStr">
        <is>
          <t xml:space="preserve">INF205KA1AI8</t>
        </is>
      </c>
    </row>
    <row r="6578">
      <c r="A6578" t="inlineStr">
        <is>
          <t xml:space="preserve">Invesco Mutual Fund</t>
        </is>
      </c>
      <c r="B6578" t="inlineStr">
        <is>
          <t xml:space="preserve">Invesco India Business Cycle Fund - Direct Plan - IDCW</t>
        </is>
      </c>
      <c r="C6578" t="inlineStr">
        <is>
          <t xml:space="preserve">INF205KA1AJ6</t>
        </is>
      </c>
    </row>
    <row r="6579">
      <c r="A6579" t="inlineStr">
        <is>
          <t xml:space="preserve">Invesco Mutual Fund</t>
        </is>
      </c>
      <c r="B6579" t="inlineStr">
        <is>
          <t xml:space="preserve">Invesco India Business Cycle Fund - Regular Plan - Growth</t>
        </is>
      </c>
      <c r="C6579" t="inlineStr">
        <is>
          <t xml:space="preserve">INF205KA1AF4</t>
        </is>
      </c>
    </row>
    <row r="6580">
      <c r="A6580" t="inlineStr">
        <is>
          <t xml:space="preserve">Invesco Mutual Fund</t>
        </is>
      </c>
      <c r="B6580" t="inlineStr">
        <is>
          <t xml:space="preserve">Invesco India Business Cycle Fund - Regular Plan - IDCW</t>
        </is>
      </c>
      <c r="C6580" t="inlineStr">
        <is>
          <t xml:space="preserve">INF205KA1AG2</t>
        </is>
      </c>
    </row>
    <row r="6581">
      <c r="A6581" t="inlineStr">
        <is>
          <t xml:space="preserve">Invesco Mutual Fund</t>
        </is>
      </c>
      <c r="B6581" t="inlineStr">
        <is>
          <t xml:space="preserve">Invesco India Consumption Fund - Direct Plan - Growth</t>
        </is>
      </c>
      <c r="C6581" t="inlineStr">
        <is>
          <t xml:space="preserve">INF205KA1BI6</t>
        </is>
      </c>
    </row>
    <row r="6582">
      <c r="A6582" t="inlineStr">
        <is>
          <t xml:space="preserve">Invesco Mutual Fund</t>
        </is>
      </c>
      <c r="B6582" t="inlineStr">
        <is>
          <t xml:space="preserve">Invesco India Consumption Fund - Direct Plan - IDCW</t>
        </is>
      </c>
      <c r="C6582" t="inlineStr">
        <is>
          <t xml:space="preserve">INF205KA1BJ4</t>
        </is>
      </c>
    </row>
    <row r="6583">
      <c r="A6583" t="inlineStr">
        <is>
          <t xml:space="preserve">Invesco Mutual Fund</t>
        </is>
      </c>
      <c r="B6583" t="inlineStr">
        <is>
          <t xml:space="preserve">Invesco India Consumption Fund - Regular Plan - Growth Plan</t>
        </is>
      </c>
      <c r="C6583" t="inlineStr">
        <is>
          <t xml:space="preserve">INF205KA1BF2</t>
        </is>
      </c>
    </row>
    <row r="6584">
      <c r="A6584" t="inlineStr">
        <is>
          <t xml:space="preserve">Invesco Mutual Fund</t>
        </is>
      </c>
      <c r="B6584" t="inlineStr">
        <is>
          <t xml:space="preserve">Invesco India Consumption Fund - Regular Plan - IDCW Plan</t>
        </is>
      </c>
      <c r="C6584" t="inlineStr">
        <is>
          <t xml:space="preserve">INF205KA1BG0</t>
        </is>
      </c>
    </row>
    <row r="6585">
      <c r="A6585" t="inlineStr">
        <is>
          <t xml:space="preserve">Invesco Mutual Fund</t>
        </is>
      </c>
      <c r="B6585" t="inlineStr">
        <is>
          <t xml:space="preserve">Invesco India Contra Fund - Direct Plan - Growth</t>
        </is>
      </c>
      <c r="C6585" t="inlineStr">
        <is>
          <t xml:space="preserve">INF205K01LE4</t>
        </is>
      </c>
    </row>
    <row r="6586">
      <c r="A6586" t="inlineStr">
        <is>
          <t xml:space="preserve">Invesco Mutual Fund</t>
        </is>
      </c>
      <c r="B6586" t="inlineStr">
        <is>
          <t xml:space="preserve">Invesco India Contra Fund - Direct Plan - IDCW (Payout / Reinvestment)</t>
        </is>
      </c>
      <c r="C6586" t="inlineStr">
        <is>
          <t xml:space="preserve">INF205K01LC8</t>
        </is>
      </c>
    </row>
    <row r="6587">
      <c r="A6587" t="inlineStr">
        <is>
          <t xml:space="preserve">Invesco Mutual Fund</t>
        </is>
      </c>
      <c r="B6587" t="inlineStr">
        <is>
          <t xml:space="preserve">Invesco India Contra Fund - Regular Plan - Growth</t>
        </is>
      </c>
      <c r="C6587" t="inlineStr">
        <is>
          <t xml:space="preserve">INF205K01189</t>
        </is>
      </c>
    </row>
    <row r="6588">
      <c r="A6588" t="inlineStr">
        <is>
          <t xml:space="preserve">Invesco Mutual Fund</t>
        </is>
      </c>
      <c r="B6588" t="inlineStr">
        <is>
          <t xml:space="preserve">Invesco India Contra Fund - Regular Plan - IDCW (Payout / Reinvestment)</t>
        </is>
      </c>
      <c r="C6588" t="inlineStr">
        <is>
          <t xml:space="preserve">INF205K01205</t>
        </is>
      </c>
    </row>
    <row r="6589">
      <c r="A6589" t="inlineStr">
        <is>
          <t xml:space="preserve">Invesco Mutual Fund</t>
        </is>
      </c>
      <c r="B6589" t="inlineStr">
        <is>
          <t xml:space="preserve">Invesco India Corporate Bond Fund - Direct Plan - Annual IDCW (Payout / Reinvestment)</t>
        </is>
      </c>
      <c r="C6589" t="inlineStr">
        <is>
          <t xml:space="preserve">INF205K01RA9</t>
        </is>
      </c>
    </row>
    <row r="6590">
      <c r="A6590" t="inlineStr">
        <is>
          <t xml:space="preserve">Invesco Mutual Fund</t>
        </is>
      </c>
      <c r="B6590" t="inlineStr">
        <is>
          <t xml:space="preserve">Invesco India Corporate Bond Fund - Direct Plan - Discretionary IDCW (Payout / Reinvestment)</t>
        </is>
      </c>
      <c r="C6590" t="inlineStr">
        <is>
          <t xml:space="preserve">INF205K01RD3</t>
        </is>
      </c>
    </row>
    <row r="6591">
      <c r="A6591" t="inlineStr">
        <is>
          <t xml:space="preserve">Invesco Mutual Fund</t>
        </is>
      </c>
      <c r="B6591" t="inlineStr">
        <is>
          <t xml:space="preserve">Invesco India Corporate Bond Fund - Direct Plan - Growth</t>
        </is>
      </c>
      <c r="C6591" t="inlineStr">
        <is>
          <t xml:space="preserve">INF205K01RF8</t>
        </is>
      </c>
    </row>
    <row r="6592">
      <c r="A6592" t="inlineStr">
        <is>
          <t xml:space="preserve">Invesco Mutual Fund</t>
        </is>
      </c>
      <c r="B6592" t="inlineStr">
        <is>
          <t xml:space="preserve">Invesco India Corporate Bond Fund - Direct Plan - Monthly IDCW (Payout / Reinvestment)</t>
        </is>
      </c>
      <c r="C6592" t="inlineStr">
        <is>
          <t xml:space="preserve">INF205K01RG6</t>
        </is>
      </c>
    </row>
    <row r="6593">
      <c r="A6593" t="inlineStr">
        <is>
          <t xml:space="preserve">Invesco Mutual Fund</t>
        </is>
      </c>
      <c r="B6593" t="inlineStr">
        <is>
          <t xml:space="preserve">Invesco India Corporate Bond Fund - Direct Plan - Quarterly IDCW (Payout / Reinvestment)</t>
        </is>
      </c>
      <c r="C6593" t="inlineStr">
        <is>
          <t xml:space="preserve">INF205K01RI2</t>
        </is>
      </c>
    </row>
    <row r="6594">
      <c r="A6594" t="inlineStr">
        <is>
          <t xml:space="preserve">Invesco Mutual Fund</t>
        </is>
      </c>
      <c r="B6594" t="inlineStr">
        <is>
          <t xml:space="preserve">Invesco India Corporate Bond Fund - Regular Plan - Annual IDCW (Payout / Reinvestment)</t>
        </is>
      </c>
      <c r="C6594" t="inlineStr">
        <is>
          <t xml:space="preserve">INF205K01QX3</t>
        </is>
      </c>
    </row>
    <row r="6595">
      <c r="A6595" t="inlineStr">
        <is>
          <t xml:space="preserve">Invesco Mutual Fund</t>
        </is>
      </c>
      <c r="B6595" t="inlineStr">
        <is>
          <t xml:space="preserve">Invesco India Corporate Bond Fund - Regular Plan - Discretionary IDCW (Payout / Reinvestment)</t>
        </is>
      </c>
      <c r="C6595" t="inlineStr">
        <is>
          <t xml:space="preserve">INF205K01RK8</t>
        </is>
      </c>
    </row>
    <row r="6596">
      <c r="A6596" t="inlineStr">
        <is>
          <t xml:space="preserve">Invesco Mutual Fund</t>
        </is>
      </c>
      <c r="B6596" t="inlineStr">
        <is>
          <t xml:space="preserve">Invesco India Corporate Bond Fund - Regular Plan - Growth</t>
        </is>
      </c>
      <c r="C6596" t="inlineStr">
        <is>
          <t xml:space="preserve">INF205K01RM4</t>
        </is>
      </c>
    </row>
    <row r="6597">
      <c r="A6597" t="inlineStr">
        <is>
          <t xml:space="preserve">Invesco Mutual Fund</t>
        </is>
      </c>
      <c r="B6597" t="inlineStr">
        <is>
          <t xml:space="preserve">Invesco India Corporate Bond Fund - Regular Plan - Monthly IDCW (Payout / Reinvestment)</t>
        </is>
      </c>
      <c r="C6597" t="inlineStr">
        <is>
          <t xml:space="preserve">INF205K01RN2</t>
        </is>
      </c>
    </row>
    <row r="6598">
      <c r="A6598" t="inlineStr">
        <is>
          <t xml:space="preserve">Invesco Mutual Fund</t>
        </is>
      </c>
      <c r="B6598" t="inlineStr">
        <is>
          <t xml:space="preserve">Invesco India Corporate Bond Fund - Regular Plan - Quarterly IDCW (Payout / Reinvestment)</t>
        </is>
      </c>
      <c r="C6598" t="inlineStr">
        <is>
          <t xml:space="preserve">INF205K01RP7</t>
        </is>
      </c>
    </row>
    <row r="6599">
      <c r="A6599" t="inlineStr">
        <is>
          <t xml:space="preserve">Invesco Mutual Fund</t>
        </is>
      </c>
      <c r="B6599" t="inlineStr">
        <is>
          <t xml:space="preserve">Invesco India Credit Risk Fund - Direct Plan - Discretionary IDCW (Payout / Reinvestment)</t>
        </is>
      </c>
      <c r="C6599" t="inlineStr">
        <is>
          <t xml:space="preserve">INF205K01J09</t>
        </is>
      </c>
    </row>
    <row r="6600">
      <c r="A6600" t="inlineStr">
        <is>
          <t xml:space="preserve">Invesco Mutual Fund</t>
        </is>
      </c>
      <c r="B6600" t="inlineStr">
        <is>
          <t xml:space="preserve">Invesco India Credit Risk Fund - Direct Plan - Growth</t>
        </is>
      </c>
      <c r="C6600" t="inlineStr">
        <is>
          <t xml:space="preserve">INF205K01I83</t>
        </is>
      </c>
    </row>
    <row r="6601">
      <c r="A6601" t="inlineStr">
        <is>
          <t xml:space="preserve">Invesco Mutual Fund</t>
        </is>
      </c>
      <c r="B6601" t="inlineStr">
        <is>
          <t xml:space="preserve">Invesco India Credit Risk Fund - Direct Plan - Monthly IDCW (Payout / Reinvestment)</t>
        </is>
      </c>
      <c r="C6601" t="inlineStr">
        <is>
          <t xml:space="preserve">INF205K01I91</t>
        </is>
      </c>
    </row>
    <row r="6602">
      <c r="A6602" t="inlineStr">
        <is>
          <t xml:space="preserve">Invesco Mutual Fund</t>
        </is>
      </c>
      <c r="B6602" t="inlineStr">
        <is>
          <t xml:space="preserve">Invesco India Credit Risk Fund - Regular Plan - Discretionary IDCW (Payout / Reinvestment)</t>
        </is>
      </c>
      <c r="C6602" t="inlineStr">
        <is>
          <t xml:space="preserve">INF205K01I59</t>
        </is>
      </c>
    </row>
    <row r="6603">
      <c r="A6603" t="inlineStr">
        <is>
          <t xml:space="preserve">Invesco Mutual Fund</t>
        </is>
      </c>
      <c r="B6603" t="inlineStr">
        <is>
          <t xml:space="preserve">Invesco India Credit Risk Fund - Regular Plan - Growth</t>
        </is>
      </c>
      <c r="C6603" t="inlineStr">
        <is>
          <t xml:space="preserve">INF205K01I34</t>
        </is>
      </c>
    </row>
    <row r="6604">
      <c r="A6604" t="inlineStr">
        <is>
          <t xml:space="preserve">Invesco Mutual Fund</t>
        </is>
      </c>
      <c r="B6604" t="inlineStr">
        <is>
          <t xml:space="preserve">Invesco India Credit Risk Fund - Regular Plan - Monthly IDCW (Payout / Reinvestment)</t>
        </is>
      </c>
      <c r="C6604" t="inlineStr">
        <is>
          <t xml:space="preserve">INF205K01I42</t>
        </is>
      </c>
    </row>
    <row r="6605">
      <c r="A6605" t="inlineStr">
        <is>
          <t xml:space="preserve">Invesco Mutual Fund</t>
        </is>
      </c>
      <c r="B6605" t="inlineStr">
        <is>
          <t xml:space="preserve">Invesco India ELSS Tax Saver Fund - Direct Plan - Growth</t>
        </is>
      </c>
      <c r="C6605" t="inlineStr">
        <is>
          <t xml:space="preserve">INF205K01NT8</t>
        </is>
      </c>
    </row>
    <row r="6606">
      <c r="A6606" t="inlineStr">
        <is>
          <t xml:space="preserve">Invesco Mutual Fund</t>
        </is>
      </c>
      <c r="B6606" t="inlineStr">
        <is>
          <t xml:space="preserve">Invesco India ELSS Tax Saver Fund - Direct Plan - IDCW Payout</t>
        </is>
      </c>
      <c r="C6606" t="inlineStr">
        <is>
          <t xml:space="preserve">INF205K01NR2</t>
        </is>
      </c>
    </row>
    <row r="6607">
      <c r="A6607" t="inlineStr">
        <is>
          <t xml:space="preserve">Invesco Mutual Fund</t>
        </is>
      </c>
      <c r="B6607" t="inlineStr">
        <is>
          <t xml:space="preserve">Invesco India ELSS Tax Saver Fund - Regular Plan - Growth</t>
        </is>
      </c>
      <c r="C6607" t="inlineStr">
        <is>
          <t xml:space="preserve">INF205K01270</t>
        </is>
      </c>
    </row>
    <row r="6608">
      <c r="A6608" t="inlineStr">
        <is>
          <t xml:space="preserve">Invesco Mutual Fund</t>
        </is>
      </c>
      <c r="B6608" t="inlineStr">
        <is>
          <t xml:space="preserve">Invesco India ELSS Tax Saver Fund - Regular Plan - IDCW Payout</t>
        </is>
      </c>
      <c r="C6608" t="inlineStr">
        <is>
          <t xml:space="preserve">INF205K01296</t>
        </is>
      </c>
    </row>
    <row r="6609">
      <c r="A6609" t="inlineStr">
        <is>
          <t xml:space="preserve">Invesco Mutual Fund</t>
        </is>
      </c>
      <c r="B6609" t="inlineStr">
        <is>
          <t xml:space="preserve">Invesco India Equity Savings Fund - Direct Plan - Growth</t>
        </is>
      </c>
      <c r="C6609" t="inlineStr">
        <is>
          <t xml:space="preserve">INF205KA1049</t>
        </is>
      </c>
    </row>
    <row r="6610">
      <c r="A6610" t="inlineStr">
        <is>
          <t xml:space="preserve">Invesco Mutual Fund</t>
        </is>
      </c>
      <c r="B6610" t="inlineStr">
        <is>
          <t xml:space="preserve">Invesco India Equity Savings Fund - Direct Plan - IDCW (Payout / Reinvestment)</t>
        </is>
      </c>
      <c r="C6610" t="inlineStr">
        <is>
          <t xml:space="preserve">INF205KA1064</t>
        </is>
      </c>
    </row>
    <row r="6611">
      <c r="A6611" t="inlineStr">
        <is>
          <t xml:space="preserve">Invesco Mutual Fund</t>
        </is>
      </c>
      <c r="B6611" t="inlineStr">
        <is>
          <t xml:space="preserve">Invesco India Equity Savings Fund - Regular Plan - Growth</t>
        </is>
      </c>
      <c r="C6611" t="inlineStr">
        <is>
          <t xml:space="preserve">INF205KA1023</t>
        </is>
      </c>
    </row>
    <row r="6612">
      <c r="A6612" t="inlineStr">
        <is>
          <t xml:space="preserve">Invesco Mutual Fund</t>
        </is>
      </c>
      <c r="B6612" t="inlineStr">
        <is>
          <t xml:space="preserve">Invesco India Equity Savings Fund - Regular Plan - IDCW (Payout / Reinvestment)</t>
        </is>
      </c>
      <c r="C6612" t="inlineStr">
        <is>
          <t xml:space="preserve">INF205KA1015</t>
        </is>
      </c>
    </row>
    <row r="6613">
      <c r="A6613" t="inlineStr">
        <is>
          <t xml:space="preserve">Invesco Mutual Fund</t>
        </is>
      </c>
      <c r="B6613" t="inlineStr">
        <is>
          <t xml:space="preserve">Invesco India ESG Integration Strategy Fund - Direct Plan - Growth</t>
        </is>
      </c>
      <c r="C6613" t="inlineStr">
        <is>
          <t xml:space="preserve">INF205KA1338</t>
        </is>
      </c>
    </row>
    <row r="6614">
      <c r="A6614" t="inlineStr">
        <is>
          <t xml:space="preserve">Invesco Mutual Fund</t>
        </is>
      </c>
      <c r="B6614" t="inlineStr">
        <is>
          <t xml:space="preserve">Invesco India ESG Integration Strategy Fund - Direct Plan - IDCW (Payout / Reinvestment)</t>
        </is>
      </c>
      <c r="C6614" t="inlineStr">
        <is>
          <t xml:space="preserve">INF205KA1320</t>
        </is>
      </c>
    </row>
    <row r="6615">
      <c r="A6615" t="inlineStr">
        <is>
          <t xml:space="preserve">Invesco Mutual Fund</t>
        </is>
      </c>
      <c r="B6615" t="inlineStr">
        <is>
          <t xml:space="preserve">Invesco India ESG Integration Strategy Fund - Regular Plan - Growth</t>
        </is>
      </c>
      <c r="C6615" t="inlineStr">
        <is>
          <t xml:space="preserve">INF205KA1304</t>
        </is>
      </c>
    </row>
    <row r="6616">
      <c r="A6616" t="inlineStr">
        <is>
          <t xml:space="preserve">Invesco Mutual Fund</t>
        </is>
      </c>
      <c r="B6616" t="inlineStr">
        <is>
          <t xml:space="preserve">Invesco India ESG Integration Strategy Fund - Regular Plan - IDCW (Payout / Reinvestment)</t>
        </is>
      </c>
      <c r="C6616" t="inlineStr">
        <is>
          <t xml:space="preserve">INF205KA1296</t>
        </is>
      </c>
    </row>
    <row r="6617">
      <c r="A6617" t="inlineStr">
        <is>
          <t xml:space="preserve">Invesco Mutual Fund</t>
        </is>
      </c>
      <c r="B6617" t="inlineStr">
        <is>
          <t xml:space="preserve">Invesco India Financial Services Fund - Direct Plan - Growth</t>
        </is>
      </c>
      <c r="C6617" t="inlineStr">
        <is>
          <t xml:space="preserve">INF205K01KY4</t>
        </is>
      </c>
    </row>
    <row r="6618">
      <c r="A6618" t="inlineStr">
        <is>
          <t xml:space="preserve">Invesco Mutual Fund</t>
        </is>
      </c>
      <c r="B6618" t="inlineStr">
        <is>
          <t xml:space="preserve">Invesco India Financial Services Fund - Direct Plan - IDCW (Payout / Reinvestment)</t>
        </is>
      </c>
      <c r="C6618" t="inlineStr">
        <is>
          <t xml:space="preserve">INF205K01KW8</t>
        </is>
      </c>
    </row>
    <row r="6619">
      <c r="A6619" t="inlineStr">
        <is>
          <t xml:space="preserve">Invesco Mutual Fund</t>
        </is>
      </c>
      <c r="B6619" t="inlineStr">
        <is>
          <t xml:space="preserve">Invesco India Financial Services Fund - Regular Plan -  IDCW (Payout / Reinvestment)</t>
        </is>
      </c>
      <c r="C6619" t="inlineStr">
        <is>
          <t xml:space="preserve">INF205K01171</t>
        </is>
      </c>
    </row>
    <row r="6620">
      <c r="A6620" t="inlineStr">
        <is>
          <t xml:space="preserve">Invesco Mutual Fund</t>
        </is>
      </c>
      <c r="B6620" t="inlineStr">
        <is>
          <t xml:space="preserve">Invesco India Financial Services Fund - Regular Plan - Growth</t>
        </is>
      </c>
      <c r="C6620" t="inlineStr">
        <is>
          <t xml:space="preserve">INF205K01155</t>
        </is>
      </c>
    </row>
    <row r="6621">
      <c r="A6621" t="inlineStr">
        <is>
          <t xml:space="preserve">Invesco Mutual Fund</t>
        </is>
      </c>
      <c r="B6621" t="inlineStr">
        <is>
          <t xml:space="preserve">Invesco India Flexi Cap Fund - Direct Plan - Growth</t>
        </is>
      </c>
      <c r="C6621" t="inlineStr">
        <is>
          <t xml:space="preserve">INF205KA1494</t>
        </is>
      </c>
    </row>
    <row r="6622">
      <c r="A6622" t="inlineStr">
        <is>
          <t xml:space="preserve">Invesco Mutual Fund</t>
        </is>
      </c>
      <c r="B6622" t="inlineStr">
        <is>
          <t xml:space="preserve">Invesco India Flexi Cap Fund - Direct Plan - IDCW</t>
        </is>
      </c>
      <c r="C6622" t="inlineStr">
        <is>
          <t xml:space="preserve">INF205KA1486</t>
        </is>
      </c>
    </row>
    <row r="6623">
      <c r="A6623" t="inlineStr">
        <is>
          <t xml:space="preserve">Invesco Mutual Fund</t>
        </is>
      </c>
      <c r="B6623" t="inlineStr">
        <is>
          <t xml:space="preserve">Invesco India Flexi Cap Fund - Regular Plan - Growth</t>
        </is>
      </c>
      <c r="C6623" t="inlineStr">
        <is>
          <t xml:space="preserve">INF205KA1460</t>
        </is>
      </c>
    </row>
    <row r="6624">
      <c r="A6624" t="inlineStr">
        <is>
          <t xml:space="preserve">Invesco Mutual Fund</t>
        </is>
      </c>
      <c r="B6624" t="inlineStr">
        <is>
          <t xml:space="preserve">Invesco India Flexi Cap Fund - Regular Plan - IDCW</t>
        </is>
      </c>
      <c r="C6624" t="inlineStr">
        <is>
          <t xml:space="preserve">INF205KA1452</t>
        </is>
      </c>
    </row>
    <row r="6625">
      <c r="A6625" t="inlineStr">
        <is>
          <t xml:space="preserve">Invesco Mutual Fund</t>
        </is>
      </c>
      <c r="B6625" t="inlineStr">
        <is>
          <t xml:space="preserve">Invesco India Focused Fund - Direct Plan - Growth</t>
        </is>
      </c>
      <c r="C6625" t="inlineStr">
        <is>
          <t xml:space="preserve">INF205KA1213</t>
        </is>
      </c>
    </row>
    <row r="6626">
      <c r="A6626" t="inlineStr">
        <is>
          <t xml:space="preserve">Invesco Mutual Fund</t>
        </is>
      </c>
      <c r="B6626" t="inlineStr">
        <is>
          <t xml:space="preserve">Invesco India Focused Fund - Direct Plan - IDCW (Payout / Reinvestment)</t>
        </is>
      </c>
      <c r="C6626" t="inlineStr">
        <is>
          <t xml:space="preserve">INF205KA1205</t>
        </is>
      </c>
    </row>
    <row r="6627">
      <c r="A6627" t="inlineStr">
        <is>
          <t xml:space="preserve">Invesco Mutual Fund</t>
        </is>
      </c>
      <c r="B6627" t="inlineStr">
        <is>
          <t xml:space="preserve">Invesco India Focused Fund - Regular Plan - Growth</t>
        </is>
      </c>
      <c r="C6627" t="inlineStr">
        <is>
          <t xml:space="preserve">INF205KA1189</t>
        </is>
      </c>
    </row>
    <row r="6628">
      <c r="A6628" t="inlineStr">
        <is>
          <t xml:space="preserve">Invesco Mutual Fund</t>
        </is>
      </c>
      <c r="B6628" t="inlineStr">
        <is>
          <t xml:space="preserve">Invesco India Focused Fund - Regular Plan - IDCW (Payout / Reinvestment)</t>
        </is>
      </c>
      <c r="C6628" t="inlineStr">
        <is>
          <t xml:space="preserve">INF205KA1171</t>
        </is>
      </c>
    </row>
    <row r="6629">
      <c r="A6629" t="inlineStr">
        <is>
          <t xml:space="preserve">Invesco Mutual Fund</t>
        </is>
      </c>
      <c r="B6629" t="inlineStr">
        <is>
          <t xml:space="preserve">Invesco India Gilt Fund - Direct  Plan - Growth</t>
        </is>
      </c>
      <c r="C6629" t="inlineStr">
        <is>
          <t xml:space="preserve">INF205K01SN0</t>
        </is>
      </c>
    </row>
    <row r="6630">
      <c r="A6630" t="inlineStr">
        <is>
          <t xml:space="preserve">Invesco Mutual Fund</t>
        </is>
      </c>
      <c r="B6630" t="inlineStr">
        <is>
          <t xml:space="preserve">Invesco India Gilt Fund - Direct Plan - Annual IDCW (Payout / Reinvestment)</t>
        </is>
      </c>
      <c r="C6630" t="inlineStr">
        <is>
          <t xml:space="preserve">INF205K01SL4</t>
        </is>
      </c>
    </row>
    <row r="6631">
      <c r="A6631" t="inlineStr">
        <is>
          <t xml:space="preserve">Invesco Mutual Fund</t>
        </is>
      </c>
      <c r="B6631" t="inlineStr">
        <is>
          <t xml:space="preserve">Invesco India Gilt Fund - Direct Plan - Monthly IDCW (Reinvestment)</t>
        </is>
      </c>
      <c r="C6631" t="inlineStr">
        <is>
          <t xml:space="preserve">INF205K01SO8</t>
        </is>
      </c>
    </row>
    <row r="6632">
      <c r="A6632" t="inlineStr">
        <is>
          <t xml:space="preserve">Invesco Mutual Fund</t>
        </is>
      </c>
      <c r="B6632" t="inlineStr">
        <is>
          <t xml:space="preserve">Invesco India Gilt Fund - Direct Plan - Quarterly IDCW (Payout / Reinvestment)</t>
        </is>
      </c>
      <c r="C6632" t="inlineStr">
        <is>
          <t xml:space="preserve">INF205K01SP5</t>
        </is>
      </c>
    </row>
    <row r="6633">
      <c r="A6633" t="inlineStr">
        <is>
          <t xml:space="preserve">Invesco Mutual Fund</t>
        </is>
      </c>
      <c r="B6633" t="inlineStr">
        <is>
          <t xml:space="preserve">Invesco India Gilt Fund - Regular Plan - Annual IDCW (Payout / Reinvestment)</t>
        </is>
      </c>
      <c r="C6633" t="inlineStr">
        <is>
          <t xml:space="preserve">INF205K01SJ8</t>
        </is>
      </c>
    </row>
    <row r="6634">
      <c r="A6634" t="inlineStr">
        <is>
          <t xml:space="preserve">Invesco Mutual Fund</t>
        </is>
      </c>
      <c r="B6634" t="inlineStr">
        <is>
          <t xml:space="preserve">Invesco India Gilt Fund - Regular Plan - Growth</t>
        </is>
      </c>
      <c r="C6634" t="inlineStr">
        <is>
          <t xml:space="preserve">INF205K01SR1</t>
        </is>
      </c>
    </row>
    <row r="6635">
      <c r="A6635" t="inlineStr">
        <is>
          <t xml:space="preserve">Invesco Mutual Fund</t>
        </is>
      </c>
      <c r="B6635" t="inlineStr">
        <is>
          <t xml:space="preserve">Invesco India Gilt Fund - Regular Plan - Monthly IDCW (Reinvestment)</t>
        </is>
      </c>
      <c r="C6635" t="inlineStr">
        <is>
          <t xml:space="preserve">INF205K01SS9</t>
        </is>
      </c>
    </row>
    <row r="6636">
      <c r="A6636" t="inlineStr">
        <is>
          <t xml:space="preserve">Invesco Mutual Fund</t>
        </is>
      </c>
      <c r="B6636" t="inlineStr">
        <is>
          <t xml:space="preserve">Invesco India Gilt Fund - Regular Plan - Quarterly IDCW (Payout / Reinvestment)</t>
        </is>
      </c>
      <c r="C6636" t="inlineStr">
        <is>
          <t xml:space="preserve">INF205K01ST7</t>
        </is>
      </c>
    </row>
    <row r="6637">
      <c r="A6637" t="inlineStr">
        <is>
          <t xml:space="preserve">Invesco Mutual Fund</t>
        </is>
      </c>
      <c r="B6637" t="inlineStr">
        <is>
          <t xml:space="preserve">Invesco India Gold ETF Fund of Fund - Direct Plan - Growth</t>
        </is>
      </c>
      <c r="C6637" t="inlineStr">
        <is>
          <t xml:space="preserve">INF205K01NJ9</t>
        </is>
      </c>
    </row>
    <row r="6638">
      <c r="A6638" t="inlineStr">
        <is>
          <t xml:space="preserve">Invesco Mutual Fund</t>
        </is>
      </c>
      <c r="B6638" t="inlineStr">
        <is>
          <t xml:space="preserve">Invesco India Gold ETF Fund of Fund - Direct Plan - IDCW (Payout / Reinvestment)</t>
        </is>
      </c>
      <c r="C6638" t="inlineStr">
        <is>
          <t xml:space="preserve">INF205K01NH3</t>
        </is>
      </c>
    </row>
    <row r="6639">
      <c r="A6639" t="inlineStr">
        <is>
          <t xml:space="preserve">Invesco Mutual Fund</t>
        </is>
      </c>
      <c r="B6639" t="inlineStr">
        <is>
          <t xml:space="preserve">Invesco India Gold ETF Fund of Fund - Regular Plan - Growth</t>
        </is>
      </c>
      <c r="C6639" t="inlineStr">
        <is>
          <t xml:space="preserve">INF205K01FA4</t>
        </is>
      </c>
    </row>
    <row r="6640">
      <c r="A6640" t="inlineStr">
        <is>
          <t xml:space="preserve">Invesco Mutual Fund</t>
        </is>
      </c>
      <c r="B6640" t="inlineStr">
        <is>
          <t xml:space="preserve">Invesco India Gold ETF Fund of Fund - Regular Plan - IDCW (Payout / Reinvestment)</t>
        </is>
      </c>
      <c r="C6640" t="inlineStr">
        <is>
          <t xml:space="preserve">INF205K01FB2</t>
        </is>
      </c>
    </row>
    <row r="6641">
      <c r="A6641" t="inlineStr">
        <is>
          <t xml:space="preserve">Invesco Mutual Fund</t>
        </is>
      </c>
      <c r="B6641" t="inlineStr">
        <is>
          <t xml:space="preserve">Invesco India Gold Exchange Traded Fund</t>
        </is>
      </c>
      <c r="C6641" t="inlineStr">
        <is>
          <t xml:space="preserve">INF205KA1BP1</t>
        </is>
      </c>
    </row>
    <row r="6642">
      <c r="A6642" t="inlineStr">
        <is>
          <t xml:space="preserve">Invesco Mutual Fund</t>
        </is>
      </c>
      <c r="B6642" t="inlineStr">
        <is>
          <t xml:space="preserve">Invesco India Income Plus Arbitrage Active Fund of Fund - Direct Plan - Growth</t>
        </is>
      </c>
      <c r="C6642" t="inlineStr">
        <is>
          <t xml:space="preserve">INF205KA1BA3</t>
        </is>
      </c>
    </row>
    <row r="6643">
      <c r="A6643" t="inlineStr">
        <is>
          <t xml:space="preserve">Invesco Mutual Fund</t>
        </is>
      </c>
      <c r="B6643" t="inlineStr">
        <is>
          <t xml:space="preserve">Invesco India Income Plus Arbitrage Active Fund of Fund - Direct Plan - IDCW (Payout / Reinvestment)</t>
        </is>
      </c>
      <c r="C6643" t="inlineStr">
        <is>
          <t xml:space="preserve">INF205KA1BB1</t>
        </is>
      </c>
    </row>
    <row r="6644">
      <c r="A6644" t="inlineStr">
        <is>
          <t xml:space="preserve">Invesco Mutual Fund</t>
        </is>
      </c>
      <c r="B6644" t="inlineStr">
        <is>
          <t xml:space="preserve">Invesco India Income Plus Arbitrage Active Fund of Fund - Regular Plan - Growth Plan</t>
        </is>
      </c>
      <c r="C6644" t="inlineStr">
        <is>
          <t xml:space="preserve">INF205KA1AX7</t>
        </is>
      </c>
    </row>
    <row r="6645">
      <c r="A6645" t="inlineStr">
        <is>
          <t xml:space="preserve">Invesco Mutual Fund</t>
        </is>
      </c>
      <c r="B6645" t="inlineStr">
        <is>
          <t xml:space="preserve">Invesco India Income Plus Arbitrage Active Fund of Fund - Regular Plan - IDCW (Payout / Reinvestment)</t>
        </is>
      </c>
      <c r="C6645" t="inlineStr">
        <is>
          <t xml:space="preserve">INF205KA1AY5</t>
        </is>
      </c>
    </row>
    <row r="6646">
      <c r="A6646" t="inlineStr">
        <is>
          <t xml:space="preserve">Invesco Mutual Fund</t>
        </is>
      </c>
      <c r="B6646" t="inlineStr">
        <is>
          <t xml:space="preserve">Invesco India Infrastructure Fund - Direct Plan - Growth Option</t>
        </is>
      </c>
      <c r="C6646" t="inlineStr">
        <is>
          <t xml:space="preserve">INF205K01MD4</t>
        </is>
      </c>
    </row>
    <row r="6647">
      <c r="A6647" t="inlineStr">
        <is>
          <t xml:space="preserve">Invesco Mutual Fund</t>
        </is>
      </c>
      <c r="B6647" t="inlineStr">
        <is>
          <t xml:space="preserve">Invesco India Infrastructure Fund - Direct Plan - IDCW (Payout / Reinvestment)</t>
        </is>
      </c>
      <c r="C6647" t="inlineStr">
        <is>
          <t xml:space="preserve">INF205K01MB8</t>
        </is>
      </c>
    </row>
    <row r="6648">
      <c r="A6648" t="inlineStr">
        <is>
          <t xml:space="preserve">Invesco Mutual Fund</t>
        </is>
      </c>
      <c r="B6648" t="inlineStr">
        <is>
          <t xml:space="preserve">Invesco India Infrastructure Fund - Regular Plan - Growth Option</t>
        </is>
      </c>
      <c r="C6648" t="inlineStr">
        <is>
          <t xml:space="preserve">INF205K01CD5</t>
        </is>
      </c>
    </row>
    <row r="6649">
      <c r="A6649" t="inlineStr">
        <is>
          <t xml:space="preserve">Invesco Mutual Fund</t>
        </is>
      </c>
      <c r="B6649" t="inlineStr">
        <is>
          <t xml:space="preserve">Invesco India Infrastructure Fund - Regular Plan - IDCW (Payout / Reinvestment)</t>
        </is>
      </c>
      <c r="C6649" t="inlineStr">
        <is>
          <t xml:space="preserve">INF205K01CE3</t>
        </is>
      </c>
    </row>
    <row r="6650">
      <c r="A6650" t="inlineStr">
        <is>
          <t xml:space="preserve">Invesco Mutual Fund</t>
        </is>
      </c>
      <c r="B6650" t="inlineStr">
        <is>
          <t xml:space="preserve">Invesco India Large &amp; Mid Cap Fund - Direct Plan - Growth</t>
        </is>
      </c>
      <c r="C6650" t="inlineStr">
        <is>
          <t xml:space="preserve">INF205K01MA0</t>
        </is>
      </c>
    </row>
    <row r="6651">
      <c r="A6651" t="inlineStr">
        <is>
          <t xml:space="preserve">Invesco Mutual Fund</t>
        </is>
      </c>
      <c r="B6651" t="inlineStr">
        <is>
          <t xml:space="preserve">Invesco India Large &amp; Mid Cap Fund - Direct Plan - IDCW (Payout / Reinvestment)</t>
        </is>
      </c>
      <c r="C6651" t="inlineStr">
        <is>
          <t xml:space="preserve">INF205K01LY2</t>
        </is>
      </c>
    </row>
    <row r="6652">
      <c r="A6652" t="inlineStr">
        <is>
          <t xml:space="preserve">Invesco Mutual Fund</t>
        </is>
      </c>
      <c r="B6652" t="inlineStr">
        <is>
          <t xml:space="preserve">Invesco India Large &amp; Mid Cap Fund - Regular Plan - Growth</t>
        </is>
      </c>
      <c r="C6652" t="inlineStr">
        <is>
          <t xml:space="preserve">INF205K01247</t>
        </is>
      </c>
    </row>
    <row r="6653">
      <c r="A6653" t="inlineStr">
        <is>
          <t xml:space="preserve">Invesco Mutual Fund</t>
        </is>
      </c>
      <c r="B6653" t="inlineStr">
        <is>
          <t xml:space="preserve">Invesco India Large &amp; Mid Cap Fund - Regular Plan - IDCW (Payout / Reinvestment)</t>
        </is>
      </c>
      <c r="C6653" t="inlineStr">
        <is>
          <t xml:space="preserve">INF205K01262</t>
        </is>
      </c>
    </row>
    <row r="6654">
      <c r="A6654" t="inlineStr">
        <is>
          <t xml:space="preserve">Invesco Mutual Fund</t>
        </is>
      </c>
      <c r="B6654" t="inlineStr">
        <is>
          <t xml:space="preserve">Invesco India Largecap Fund - Direct Plan - Growth</t>
        </is>
      </c>
      <c r="C6654" t="inlineStr">
        <is>
          <t xml:space="preserve">INF205K01LB0</t>
        </is>
      </c>
    </row>
    <row r="6655">
      <c r="A6655" t="inlineStr">
        <is>
          <t xml:space="preserve">Invesco Mutual Fund</t>
        </is>
      </c>
      <c r="B6655" t="inlineStr">
        <is>
          <t xml:space="preserve">Invesco India Largecap Fund - Direct Plan - IDCW (Payout / Reinvestment)</t>
        </is>
      </c>
      <c r="C6655" t="inlineStr">
        <is>
          <t xml:space="preserve">INF205K01KZ1</t>
        </is>
      </c>
    </row>
    <row r="6656">
      <c r="A6656" t="inlineStr">
        <is>
          <t xml:space="preserve">Invesco Mutual Fund</t>
        </is>
      </c>
      <c r="B6656" t="inlineStr">
        <is>
          <t xml:space="preserve">Invesco India Largecap Fund - Regular Plan - Growth</t>
        </is>
      </c>
      <c r="C6656" t="inlineStr">
        <is>
          <t xml:space="preserve">INF205K01304</t>
        </is>
      </c>
    </row>
    <row r="6657">
      <c r="A6657" t="inlineStr">
        <is>
          <t xml:space="preserve">Invesco Mutual Fund</t>
        </is>
      </c>
      <c r="B6657" t="inlineStr">
        <is>
          <t xml:space="preserve">Invesco India Largecap Fund - Regular Plan - IDCW (Payout / Reinvestment)</t>
        </is>
      </c>
      <c r="C6657" t="inlineStr">
        <is>
          <t xml:space="preserve">INF205K01320</t>
        </is>
      </c>
    </row>
    <row r="6658">
      <c r="A6658" t="inlineStr">
        <is>
          <t xml:space="preserve">Invesco Mutual Fund</t>
        </is>
      </c>
      <c r="B6658" t="inlineStr">
        <is>
          <t xml:space="preserve">Invesco India Liquid Fund - Daily IDCW (Reinvestment)</t>
        </is>
      </c>
      <c r="C6658" t="inlineStr">
        <is>
          <t xml:space="preserve">INF205K01HN3</t>
        </is>
      </c>
    </row>
    <row r="6659">
      <c r="A6659" t="inlineStr">
        <is>
          <t xml:space="preserve">Invesco Mutual Fund</t>
        </is>
      </c>
      <c r="B6659" t="inlineStr">
        <is>
          <t xml:space="preserve">Invesco India Liquid Fund - Direct Plan - Growth</t>
        </is>
      </c>
      <c r="C6659" t="inlineStr">
        <is>
          <t xml:space="preserve">INF205K01MF9</t>
        </is>
      </c>
    </row>
    <row r="6660">
      <c r="A6660" t="inlineStr">
        <is>
          <t xml:space="preserve">Invesco Mutual Fund</t>
        </is>
      </c>
      <c r="B6660" t="inlineStr">
        <is>
          <t xml:space="preserve">Invesco India Liquid Fund - Direct Plan - Monthly IDCW (Payout / Reinvestment)</t>
        </is>
      </c>
      <c r="C6660" t="inlineStr">
        <is>
          <t xml:space="preserve">INF205K01MG7</t>
        </is>
      </c>
    </row>
    <row r="6661">
      <c r="A6661" t="inlineStr">
        <is>
          <t xml:space="preserve">Invesco Mutual Fund</t>
        </is>
      </c>
      <c r="B6661" t="inlineStr">
        <is>
          <t xml:space="preserve">Invesco India Liquid Fund - Direct Plan - Weekly IDCW (Reinvestment)</t>
        </is>
      </c>
      <c r="C6661" t="inlineStr">
        <is>
          <t xml:space="preserve">INF205KA1BE5</t>
        </is>
      </c>
    </row>
    <row r="6662">
      <c r="A6662" t="inlineStr">
        <is>
          <t xml:space="preserve">Invesco Mutual Fund</t>
        </is>
      </c>
      <c r="B6662" t="inlineStr">
        <is>
          <t xml:space="preserve">Invesco India Liquid Fund - Direct Plan- Daily IDCW (Reinvestment)</t>
        </is>
      </c>
      <c r="C6662" t="inlineStr">
        <is>
          <t xml:space="preserve">INF205K01ME2</t>
        </is>
      </c>
    </row>
    <row r="6663">
      <c r="A6663" t="inlineStr">
        <is>
          <t xml:space="preserve">Invesco Mutual Fund</t>
        </is>
      </c>
      <c r="B6663" t="inlineStr">
        <is>
          <t xml:space="preserve">Invesco India Liquid Fund - Growth</t>
        </is>
      </c>
      <c r="C6663" t="inlineStr">
        <is>
          <t xml:space="preserve">INF205K01HM5</t>
        </is>
      </c>
    </row>
    <row r="6664">
      <c r="A6664" t="inlineStr">
        <is>
          <t xml:space="preserve">Invesco Mutual Fund</t>
        </is>
      </c>
      <c r="B6664" t="inlineStr">
        <is>
          <t xml:space="preserve">Invesco India Liquid Fund - Monthly IDCW (Payout / Reinvestment)</t>
        </is>
      </c>
      <c r="C6664" t="inlineStr">
        <is>
          <t xml:space="preserve">INF205K01HQ6</t>
        </is>
      </c>
    </row>
    <row r="6665">
      <c r="A6665" t="inlineStr">
        <is>
          <t xml:space="preserve">Invesco Mutual Fund</t>
        </is>
      </c>
      <c r="B6665" t="inlineStr">
        <is>
          <t xml:space="preserve">Invesco India Liquid Fund - Regular - Growth</t>
        </is>
      </c>
      <c r="C6665" t="inlineStr">
        <is>
          <t xml:space="preserve">INF205K01HG7</t>
        </is>
      </c>
    </row>
    <row r="6666">
      <c r="A6666" t="inlineStr">
        <is>
          <t xml:space="preserve">Invesco Mutual Fund</t>
        </is>
      </c>
      <c r="B6666" t="inlineStr">
        <is>
          <t xml:space="preserve">Invesco India Liquid Fund - Regular - Weekly IDCW (Reinvestment)</t>
        </is>
      </c>
      <c r="C6666" t="inlineStr">
        <is>
          <t xml:space="preserve">INF205K01HH5</t>
        </is>
      </c>
    </row>
    <row r="6667">
      <c r="A6667" t="inlineStr">
        <is>
          <t xml:space="preserve">Invesco Mutual Fund</t>
        </is>
      </c>
      <c r="B6667" t="inlineStr">
        <is>
          <t xml:space="preserve">Invesco India Liquid Fund - Weekly IDCW (Reinvestment)</t>
        </is>
      </c>
      <c r="C6667" t="inlineStr">
        <is>
          <t xml:space="preserve">INF205KA1BD7</t>
        </is>
      </c>
    </row>
    <row r="6668">
      <c r="A6668" t="inlineStr">
        <is>
          <t xml:space="preserve">Invesco Mutual Fund</t>
        </is>
      </c>
      <c r="B6668" t="inlineStr">
        <is>
          <t xml:space="preserve">Invesco India Low Duration Fund - Daily IDCW (Reinvestment)</t>
        </is>
      </c>
      <c r="C6668" t="inlineStr">
        <is>
          <t xml:space="preserve">INF205K01HZ7</t>
        </is>
      </c>
    </row>
    <row r="6669">
      <c r="A6669" t="inlineStr">
        <is>
          <t xml:space="preserve">Invesco Mutual Fund</t>
        </is>
      </c>
      <c r="B6669" t="inlineStr">
        <is>
          <t xml:space="preserve">Invesco India Low Duration Fund - Direct Plan - Discretionary IDCW (Payout / Reinvestment)</t>
        </is>
      </c>
      <c r="C6669" t="inlineStr">
        <is>
          <t xml:space="preserve">INF205K01NW2</t>
        </is>
      </c>
    </row>
    <row r="6670">
      <c r="A6670" t="inlineStr">
        <is>
          <t xml:space="preserve">Invesco Mutual Fund</t>
        </is>
      </c>
      <c r="B6670" t="inlineStr">
        <is>
          <t xml:space="preserve">Invesco India Low Duration Fund - Direct Plan - Growth</t>
        </is>
      </c>
      <c r="C6670" t="inlineStr">
        <is>
          <t xml:space="preserve">INF205K01NY8</t>
        </is>
      </c>
    </row>
    <row r="6671">
      <c r="A6671" t="inlineStr">
        <is>
          <t xml:space="preserve">Invesco Mutual Fund</t>
        </is>
      </c>
      <c r="B6671" t="inlineStr">
        <is>
          <t xml:space="preserve">Invesco India Low Duration Fund - Direct Plan - Monthly IDCW (Payout / Reinvestment)</t>
        </is>
      </c>
      <c r="C6671" t="inlineStr">
        <is>
          <t xml:space="preserve">INF205K01NZ5</t>
        </is>
      </c>
    </row>
    <row r="6672">
      <c r="A6672" t="inlineStr">
        <is>
          <t xml:space="preserve">Invesco Mutual Fund</t>
        </is>
      </c>
      <c r="B6672" t="inlineStr">
        <is>
          <t xml:space="preserve">Invesco India Low Duration Fund - Direct Plan - Weekly IDCW (Payout / Reinvestment)</t>
        </is>
      </c>
      <c r="C6672" t="inlineStr">
        <is>
          <t xml:space="preserve">INF205K01OB4</t>
        </is>
      </c>
    </row>
    <row r="6673">
      <c r="A6673" t="inlineStr">
        <is>
          <t xml:space="preserve">Invesco Mutual Fund</t>
        </is>
      </c>
      <c r="B6673" t="inlineStr">
        <is>
          <t xml:space="preserve">Invesco India Low Duration Fund - Direct Plan -Daily IDCW (Reinvestment)</t>
        </is>
      </c>
      <c r="C6673" t="inlineStr">
        <is>
          <t xml:space="preserve">INF205K01NV4</t>
        </is>
      </c>
    </row>
    <row r="6674">
      <c r="A6674" t="inlineStr">
        <is>
          <t xml:space="preserve">Invesco Mutual Fund</t>
        </is>
      </c>
      <c r="B6674" t="inlineStr">
        <is>
          <t xml:space="preserve">Invesco India Low Duration Fund - Discretionary IDCW (Payout / Reinvestment)</t>
        </is>
      </c>
      <c r="C6674" t="inlineStr">
        <is>
          <t xml:space="preserve">INF205K01IG5</t>
        </is>
      </c>
    </row>
    <row r="6675">
      <c r="A6675" t="inlineStr">
        <is>
          <t xml:space="preserve">Invesco Mutual Fund</t>
        </is>
      </c>
      <c r="B6675" t="inlineStr">
        <is>
          <t xml:space="preserve">Invesco India Low Duration Fund - Growth</t>
        </is>
      </c>
      <c r="C6675" t="inlineStr">
        <is>
          <t xml:space="preserve">INF205K01HY0</t>
        </is>
      </c>
    </row>
    <row r="6676">
      <c r="A6676" t="inlineStr">
        <is>
          <t xml:space="preserve">Invesco Mutual Fund</t>
        </is>
      </c>
      <c r="B6676" t="inlineStr">
        <is>
          <t xml:space="preserve">Invesco India Low Duration Fund - Monthly IDCW (Payout / Reinvestment)</t>
        </is>
      </c>
      <c r="C6676" t="inlineStr">
        <is>
          <t xml:space="preserve">INF205K01ID2</t>
        </is>
      </c>
    </row>
    <row r="6677">
      <c r="A6677" t="inlineStr">
        <is>
          <t xml:space="preserve">Invesco Mutual Fund</t>
        </is>
      </c>
      <c r="B6677" t="inlineStr">
        <is>
          <t xml:space="preserve">Invesco India Low Duration Fund - Regular - Growth</t>
        </is>
      </c>
      <c r="C6677" t="inlineStr">
        <is>
          <t xml:space="preserve">INF205K01HT0</t>
        </is>
      </c>
    </row>
    <row r="6678">
      <c r="A6678" t="inlineStr">
        <is>
          <t xml:space="preserve">Invesco Mutual Fund</t>
        </is>
      </c>
      <c r="B6678" t="inlineStr">
        <is>
          <t xml:space="preserve">Invesco India Low Duration Fund - Regular - Monthly IDCW (Reinvestment)</t>
        </is>
      </c>
      <c r="C6678" t="inlineStr">
        <is>
          <t xml:space="preserve">INF205K01HW4</t>
        </is>
      </c>
    </row>
    <row r="6679">
      <c r="A6679" t="inlineStr">
        <is>
          <t xml:space="preserve">Invesco Mutual Fund</t>
        </is>
      </c>
      <c r="B6679" t="inlineStr">
        <is>
          <t xml:space="preserve">Invesco India Low Duration Fund - Regular - Weekly IDCW (Reinvestment)</t>
        </is>
      </c>
      <c r="C6679" t="inlineStr">
        <is>
          <t xml:space="preserve">INF205K01HV6</t>
        </is>
      </c>
    </row>
    <row r="6680">
      <c r="A6680" t="inlineStr">
        <is>
          <t xml:space="preserve">Invesco Mutual Fund</t>
        </is>
      </c>
      <c r="B6680" t="inlineStr">
        <is>
          <t xml:space="preserve">Invesco India Low Duration Fund - Regular Daily IDCW (Reinvestment)</t>
        </is>
      </c>
      <c r="C6680" t="inlineStr">
        <is>
          <t xml:space="preserve">INF205K01HU8</t>
        </is>
      </c>
    </row>
    <row r="6681">
      <c r="A6681" t="inlineStr">
        <is>
          <t xml:space="preserve">Invesco Mutual Fund</t>
        </is>
      </c>
      <c r="B6681" t="inlineStr">
        <is>
          <t xml:space="preserve">Invesco India Low Duration Fund - Weekly IDCW (Payout / Reinvestment)</t>
        </is>
      </c>
      <c r="C6681" t="inlineStr">
        <is>
          <t xml:space="preserve">INF205K01IB6</t>
        </is>
      </c>
    </row>
    <row r="6682">
      <c r="A6682" t="inlineStr">
        <is>
          <t xml:space="preserve">Invesco Mutual Fund</t>
        </is>
      </c>
      <c r="B6682" t="inlineStr">
        <is>
          <t xml:space="preserve">Invesco India Manufacturing Fund - Direct Plan - Growth</t>
        </is>
      </c>
      <c r="C6682" t="inlineStr">
        <is>
          <t xml:space="preserve">INF205KA1908</t>
        </is>
      </c>
    </row>
    <row r="6683">
      <c r="A6683" t="inlineStr">
        <is>
          <t xml:space="preserve">Invesco Mutual Fund</t>
        </is>
      </c>
      <c r="B6683" t="inlineStr">
        <is>
          <t xml:space="preserve">Invesco India Manufacturing Fund - Direct Plan - IDCW</t>
        </is>
      </c>
      <c r="C6683" t="inlineStr">
        <is>
          <t xml:space="preserve">INF205KA1916</t>
        </is>
      </c>
    </row>
    <row r="6684">
      <c r="A6684" t="inlineStr">
        <is>
          <t xml:space="preserve">Invesco Mutual Fund</t>
        </is>
      </c>
      <c r="B6684" t="inlineStr">
        <is>
          <t xml:space="preserve">Invesco India Manufacturing Fund - Regular Plan - Growth</t>
        </is>
      </c>
      <c r="C6684" t="inlineStr">
        <is>
          <t xml:space="preserve">INF205KA1874</t>
        </is>
      </c>
    </row>
    <row r="6685">
      <c r="A6685" t="inlineStr">
        <is>
          <t xml:space="preserve">Invesco Mutual Fund</t>
        </is>
      </c>
      <c r="B6685" t="inlineStr">
        <is>
          <t xml:space="preserve">Invesco India Manufacturing Fund - Regular Plan - IDCW</t>
        </is>
      </c>
      <c r="C6685" t="inlineStr">
        <is>
          <t xml:space="preserve">INF205KA1882</t>
        </is>
      </c>
    </row>
    <row r="6686">
      <c r="A6686" t="inlineStr">
        <is>
          <t xml:space="preserve">Invesco Mutual Fund</t>
        </is>
      </c>
      <c r="B6686" t="inlineStr">
        <is>
          <t xml:space="preserve">Invesco India Medium Duration Fund - Direct Plan - Discretionary IDCW (Payout/Reinvestment)</t>
        </is>
      </c>
      <c r="C6686" t="inlineStr">
        <is>
          <t xml:space="preserve">INF205KA1411</t>
        </is>
      </c>
    </row>
    <row r="6687">
      <c r="A6687" t="inlineStr">
        <is>
          <t xml:space="preserve">Invesco Mutual Fund</t>
        </is>
      </c>
      <c r="B6687" t="inlineStr">
        <is>
          <t xml:space="preserve">Invesco India Medium Duration Fund - Direct Plan - Growth</t>
        </is>
      </c>
      <c r="C6687" t="inlineStr">
        <is>
          <t xml:space="preserve">INF205KA1429</t>
        </is>
      </c>
    </row>
    <row r="6688">
      <c r="A6688" t="inlineStr">
        <is>
          <t xml:space="preserve">Invesco Mutual Fund</t>
        </is>
      </c>
      <c r="B6688" t="inlineStr">
        <is>
          <t xml:space="preserve">Invesco India Medium Duration Fund - Direct Plan - Quarterly IDCW (Payout / Reinvestment))</t>
        </is>
      </c>
      <c r="C6688" t="inlineStr">
        <is>
          <t xml:space="preserve">INF205KA1403</t>
        </is>
      </c>
    </row>
    <row r="6689">
      <c r="A6689" t="inlineStr">
        <is>
          <t xml:space="preserve">Invesco Mutual Fund</t>
        </is>
      </c>
      <c r="B6689" t="inlineStr">
        <is>
          <t xml:space="preserve">Invesco India Medium Duration Fund - Regular Plan - Discretionary IDCW(Payout / Reinvestment))</t>
        </is>
      </c>
      <c r="C6689" t="inlineStr">
        <is>
          <t xml:space="preserve">INF205KA1361</t>
        </is>
      </c>
    </row>
    <row r="6690">
      <c r="A6690" t="inlineStr">
        <is>
          <t xml:space="preserve">Invesco Mutual Fund</t>
        </is>
      </c>
      <c r="B6690" t="inlineStr">
        <is>
          <t xml:space="preserve">Invesco India Medium Duration Fund - Regular Plan - Growth</t>
        </is>
      </c>
      <c r="C6690" t="inlineStr">
        <is>
          <t xml:space="preserve">INF205KA1379</t>
        </is>
      </c>
    </row>
    <row r="6691">
      <c r="A6691" t="inlineStr">
        <is>
          <t xml:space="preserve">Invesco Mutual Fund</t>
        </is>
      </c>
      <c r="B6691" t="inlineStr">
        <is>
          <t xml:space="preserve">Invesco India Medium Duration Fund - Regular Plan - Quarterly IDCW (Payout / Reinvestment)</t>
        </is>
      </c>
      <c r="C6691" t="inlineStr">
        <is>
          <t xml:space="preserve">INF205KA1353</t>
        </is>
      </c>
    </row>
    <row r="6692">
      <c r="A6692" t="inlineStr">
        <is>
          <t xml:space="preserve">Invesco Mutual Fund</t>
        </is>
      </c>
      <c r="B6692" t="inlineStr">
        <is>
          <t xml:space="preserve">Invesco India Midcap Fund - Direct Plan - Growth Option</t>
        </is>
      </c>
      <c r="C6692" t="inlineStr">
        <is>
          <t xml:space="preserve">INF205K01MV6</t>
        </is>
      </c>
    </row>
    <row r="6693">
      <c r="A6693" t="inlineStr">
        <is>
          <t xml:space="preserve">Invesco Mutual Fund</t>
        </is>
      </c>
      <c r="B6693" t="inlineStr">
        <is>
          <t xml:space="preserve">Invesco India Midcap Fund - Direct Plan - IDCW (Payout / Reinvestment)</t>
        </is>
      </c>
      <c r="C6693" t="inlineStr">
        <is>
          <t xml:space="preserve">INF205K01MT0</t>
        </is>
      </c>
    </row>
    <row r="6694">
      <c r="A6694" t="inlineStr">
        <is>
          <t xml:space="preserve">Invesco Mutual Fund</t>
        </is>
      </c>
      <c r="B6694" t="inlineStr">
        <is>
          <t xml:space="preserve">Invesco India Midcap Fund - Regular Plan - Growth Option</t>
        </is>
      </c>
      <c r="C6694" t="inlineStr">
        <is>
          <t xml:space="preserve">INF205K01BC9</t>
        </is>
      </c>
    </row>
    <row r="6695">
      <c r="A6695" t="inlineStr">
        <is>
          <t xml:space="preserve">Invesco Mutual Fund</t>
        </is>
      </c>
      <c r="B6695" t="inlineStr">
        <is>
          <t xml:space="preserve">Invesco India Midcap Fund - Regular Plan - IDCW (Payout / Reinvestment)</t>
        </is>
      </c>
      <c r="C6695" t="inlineStr">
        <is>
          <t xml:space="preserve">INF205K01BD7</t>
        </is>
      </c>
    </row>
    <row r="6696">
      <c r="A6696" t="inlineStr">
        <is>
          <t xml:space="preserve">Invesco Mutual Fund</t>
        </is>
      </c>
      <c r="B6696" t="inlineStr">
        <is>
          <t xml:space="preserve">Invesco India Money Market Fund - Daily IDCW (Reinvestment)</t>
        </is>
      </c>
      <c r="C6696" t="inlineStr">
        <is>
          <t xml:space="preserve">INF205K01RU7</t>
        </is>
      </c>
    </row>
    <row r="6697">
      <c r="A6697" t="inlineStr">
        <is>
          <t xml:space="preserve">Invesco Mutual Fund</t>
        </is>
      </c>
      <c r="B6697" t="inlineStr">
        <is>
          <t xml:space="preserve">Invesco India Money Market Fund - Direct Plan - Daily IDCW (Reinvestment)</t>
        </is>
      </c>
      <c r="C6697" t="inlineStr">
        <is>
          <t xml:space="preserve">INF205K01RV5</t>
        </is>
      </c>
    </row>
    <row r="6698">
      <c r="A6698" t="inlineStr">
        <is>
          <t xml:space="preserve">Invesco Mutual Fund</t>
        </is>
      </c>
      <c r="B6698" t="inlineStr">
        <is>
          <t xml:space="preserve">Invesco India Money Market Fund - Direct Plan - Discretionary IDCW (Payout / Reinvestment)</t>
        </is>
      </c>
      <c r="C6698" t="inlineStr">
        <is>
          <t xml:space="preserve">INF205K01RW3</t>
        </is>
      </c>
    </row>
    <row r="6699">
      <c r="A6699" t="inlineStr">
        <is>
          <t xml:space="preserve">Invesco Mutual Fund</t>
        </is>
      </c>
      <c r="B6699" t="inlineStr">
        <is>
          <t xml:space="preserve">Invesco India Money Market Fund - Direct Plan - Growth</t>
        </is>
      </c>
      <c r="C6699" t="inlineStr">
        <is>
          <t xml:space="preserve">INF205K01RY9</t>
        </is>
      </c>
    </row>
    <row r="6700">
      <c r="A6700" t="inlineStr">
        <is>
          <t xml:space="preserve">Invesco Mutual Fund</t>
        </is>
      </c>
      <c r="B6700" t="inlineStr">
        <is>
          <t xml:space="preserve">Invesco India Money Market Fund - Direct Plan - Monthly IDCW (Payout / Reinvestment)</t>
        </is>
      </c>
      <c r="C6700" t="inlineStr">
        <is>
          <t xml:space="preserve">INF205K01RZ6</t>
        </is>
      </c>
    </row>
    <row r="6701">
      <c r="A6701" t="inlineStr">
        <is>
          <t xml:space="preserve">Invesco Mutual Fund</t>
        </is>
      </c>
      <c r="B6701" t="inlineStr">
        <is>
          <t xml:space="preserve">Invesco India Money Market Fund - Direct Plan - Weekly IDCW (Payout / Reinvestment)</t>
        </is>
      </c>
      <c r="C6701" t="inlineStr">
        <is>
          <t xml:space="preserve">INF205KA1858</t>
        </is>
      </c>
    </row>
    <row r="6702">
      <c r="A6702" t="inlineStr">
        <is>
          <t xml:space="preserve">Invesco Mutual Fund</t>
        </is>
      </c>
      <c r="B6702" t="inlineStr">
        <is>
          <t xml:space="preserve">Invesco India Money Market Fund - Discretionary IDCW (Payout / Reinvestment)</t>
        </is>
      </c>
      <c r="C6702" t="inlineStr">
        <is>
          <t xml:space="preserve">INF205K01SB5</t>
        </is>
      </c>
    </row>
    <row r="6703">
      <c r="A6703" t="inlineStr">
        <is>
          <t xml:space="preserve">Invesco Mutual Fund</t>
        </is>
      </c>
      <c r="B6703" t="inlineStr">
        <is>
          <t xml:space="preserve">Invesco India Money Market Fund - Growth</t>
        </is>
      </c>
      <c r="C6703" t="inlineStr">
        <is>
          <t xml:space="preserve">INF205K01SD1</t>
        </is>
      </c>
    </row>
    <row r="6704">
      <c r="A6704" t="inlineStr">
        <is>
          <t xml:space="preserve">Invesco Mutual Fund</t>
        </is>
      </c>
      <c r="B6704" t="inlineStr">
        <is>
          <t xml:space="preserve">Invesco India Money Market Fund - Monthly IDCW (Payout / Reinvestment)</t>
        </is>
      </c>
      <c r="C6704" t="inlineStr">
        <is>
          <t xml:space="preserve">INF205K01SE9</t>
        </is>
      </c>
    </row>
    <row r="6705">
      <c r="A6705" t="inlineStr">
        <is>
          <t xml:space="preserve">Invesco Mutual Fund</t>
        </is>
      </c>
      <c r="B6705" t="inlineStr">
        <is>
          <t xml:space="preserve">Invesco India Money Market Fund - Regular - Growth</t>
        </is>
      </c>
      <c r="C6705" t="inlineStr">
        <is>
          <t xml:space="preserve">INF205K01SG4</t>
        </is>
      </c>
    </row>
    <row r="6706">
      <c r="A6706" t="inlineStr">
        <is>
          <t xml:space="preserve">Invesco Mutual Fund</t>
        </is>
      </c>
      <c r="B6706" t="inlineStr">
        <is>
          <t xml:space="preserve">Invesco India Money Market Fund - Regular - Monthly IDCW (Payout / Reinvestment)</t>
        </is>
      </c>
      <c r="C6706" t="inlineStr">
        <is>
          <t xml:space="preserve">INF205K01SH2</t>
        </is>
      </c>
    </row>
    <row r="6707">
      <c r="A6707" t="inlineStr">
        <is>
          <t xml:space="preserve">Invesco Mutual Fund</t>
        </is>
      </c>
      <c r="B6707" t="inlineStr">
        <is>
          <t xml:space="preserve">Invesco India Money Market Fund - Regular Plan - Daily IDCW (Reinvestment)</t>
        </is>
      </c>
      <c r="C6707" t="inlineStr">
        <is>
          <t xml:space="preserve">INF205K01UW7</t>
        </is>
      </c>
    </row>
    <row r="6708">
      <c r="A6708" t="inlineStr">
        <is>
          <t xml:space="preserve">Invesco Mutual Fund</t>
        </is>
      </c>
      <c r="B6708" t="inlineStr">
        <is>
          <t xml:space="preserve">Invesco India Money Market Fund - Weekly IDCW (Payout / Reinvestment)</t>
        </is>
      </c>
      <c r="C6708" t="inlineStr">
        <is>
          <t xml:space="preserve">INF205KA1833</t>
        </is>
      </c>
    </row>
    <row r="6709">
      <c r="A6709" t="inlineStr">
        <is>
          <t xml:space="preserve">Invesco Mutual Fund</t>
        </is>
      </c>
      <c r="B6709" t="inlineStr">
        <is>
          <t xml:space="preserve">Invesco India Multi Asset Allocation Fund - Direct Plan - Growth</t>
        </is>
      </c>
      <c r="C6709" t="inlineStr">
        <is>
          <t xml:space="preserve">INF205KA1AC1</t>
        </is>
      </c>
    </row>
    <row r="6710">
      <c r="A6710" t="inlineStr">
        <is>
          <t xml:space="preserve">Invesco Mutual Fund</t>
        </is>
      </c>
      <c r="B6710" t="inlineStr">
        <is>
          <t xml:space="preserve">Invesco India Multi Asset Allocation Fund - Direct Plan - IDCW</t>
        </is>
      </c>
      <c r="C6710" t="inlineStr">
        <is>
          <t xml:space="preserve">INF205KA1AD9</t>
        </is>
      </c>
    </row>
    <row r="6711">
      <c r="A6711" t="inlineStr">
        <is>
          <t xml:space="preserve">Invesco Mutual Fund</t>
        </is>
      </c>
      <c r="B6711" t="inlineStr">
        <is>
          <t xml:space="preserve">Invesco India Multi Asset Allocation Fund - Regular Plan - Growth</t>
        </is>
      </c>
      <c r="C6711" t="inlineStr">
        <is>
          <t xml:space="preserve">INF205KA1999</t>
        </is>
      </c>
    </row>
    <row r="6712">
      <c r="A6712" t="inlineStr">
        <is>
          <t xml:space="preserve">Invesco Mutual Fund</t>
        </is>
      </c>
      <c r="B6712" t="inlineStr">
        <is>
          <t xml:space="preserve">Invesco India Multi Asset Allocation Fund - Regular Plan - IDCW</t>
        </is>
      </c>
      <c r="C6712" t="inlineStr">
        <is>
          <t xml:space="preserve">INF205KA1AA5</t>
        </is>
      </c>
    </row>
    <row r="6713">
      <c r="A6713" t="inlineStr">
        <is>
          <t xml:space="preserve">Invesco Mutual Fund</t>
        </is>
      </c>
      <c r="B6713" t="inlineStr">
        <is>
          <t xml:space="preserve">Invesco India Multicap Fund - Direct Plan - Growth Option</t>
        </is>
      </c>
      <c r="C6713" t="inlineStr">
        <is>
          <t xml:space="preserve">INF205K01MS2</t>
        </is>
      </c>
    </row>
    <row r="6714">
      <c r="A6714" t="inlineStr">
        <is>
          <t xml:space="preserve">Invesco Mutual Fund</t>
        </is>
      </c>
      <c r="B6714" t="inlineStr">
        <is>
          <t xml:space="preserve">Invesco India Multicap Fund - Direct Plan - IDCW (Payout / Reinvestment)</t>
        </is>
      </c>
      <c r="C6714" t="inlineStr">
        <is>
          <t xml:space="preserve">INF205K01MQ6</t>
        </is>
      </c>
    </row>
    <row r="6715">
      <c r="A6715" t="inlineStr">
        <is>
          <t xml:space="preserve">Invesco Mutual Fund</t>
        </is>
      </c>
      <c r="B6715" t="inlineStr">
        <is>
          <t xml:space="preserve">Invesco India Multicap Fund - Regular Plan - Growth Option</t>
        </is>
      </c>
      <c r="C6715" t="inlineStr">
        <is>
          <t xml:space="preserve">INF205K01DN2</t>
        </is>
      </c>
    </row>
    <row r="6716">
      <c r="A6716" t="inlineStr">
        <is>
          <t xml:space="preserve">Invesco Mutual Fund</t>
        </is>
      </c>
      <c r="B6716" t="inlineStr">
        <is>
          <t xml:space="preserve">Invesco India Multicap Fund - Regular Plan - IDCW (Payout / Reinvestment)</t>
        </is>
      </c>
      <c r="C6716" t="inlineStr">
        <is>
          <t xml:space="preserve">INF205K01DO0</t>
        </is>
      </c>
    </row>
    <row r="6717">
      <c r="A6717" t="inlineStr">
        <is>
          <t xml:space="preserve">Invesco Mutual Fund</t>
        </is>
      </c>
      <c r="B6717" t="inlineStr">
        <is>
          <t xml:space="preserve">Invesco India Nifty 50 Exchange Traded Fund</t>
        </is>
      </c>
      <c r="C6717" t="inlineStr">
        <is>
          <t xml:space="preserve">INF205K01DA9</t>
        </is>
      </c>
    </row>
    <row r="6718">
      <c r="A6718" t="inlineStr">
        <is>
          <t xml:space="preserve">Invesco Mutual Fund</t>
        </is>
      </c>
      <c r="B6718" t="inlineStr">
        <is>
          <t xml:space="preserve">Invesco India Nifty Bank Index Fund - Direct Plan - Growth</t>
        </is>
      </c>
      <c r="C6718" t="inlineStr">
        <is>
          <t xml:space="preserve">INF205KA1BO4</t>
        </is>
      </c>
    </row>
    <row r="6719">
      <c r="A6719" t="inlineStr">
        <is>
          <t xml:space="preserve">Invesco Mutual Fund</t>
        </is>
      </c>
      <c r="B6719" t="inlineStr">
        <is>
          <t xml:space="preserve">Invesco India Nifty Bank Index Fund - Regular Plan - Growth</t>
        </is>
      </c>
      <c r="C6719" t="inlineStr">
        <is>
          <t xml:space="preserve">INF205KA1BN6</t>
        </is>
      </c>
    </row>
    <row r="6720">
      <c r="A6720" t="inlineStr">
        <is>
          <t xml:space="preserve">Invesco Mutual Fund</t>
        </is>
      </c>
      <c r="B6720" t="inlineStr">
        <is>
          <t xml:space="preserve">Invesco India Nifty G-sec Jul 2027 Index Fund - Direct Plan - Growth</t>
        </is>
      </c>
      <c r="C6720" t="inlineStr">
        <is>
          <t xml:space="preserve">INF205KA1775</t>
        </is>
      </c>
    </row>
    <row r="6721">
      <c r="A6721" t="inlineStr">
        <is>
          <t xml:space="preserve">Invesco Mutual Fund</t>
        </is>
      </c>
      <c r="B6721" t="inlineStr">
        <is>
          <t xml:space="preserve">Invesco India Nifty G-sec Jul 2027 Index Fund - Direct Plan - IDCW Payout</t>
        </is>
      </c>
      <c r="C6721" t="inlineStr">
        <is>
          <t xml:space="preserve">INF205KA1783</t>
        </is>
      </c>
    </row>
    <row r="6722">
      <c r="A6722" t="inlineStr">
        <is>
          <t xml:space="preserve">Invesco Mutual Fund</t>
        </is>
      </c>
      <c r="B6722" t="inlineStr">
        <is>
          <t xml:space="preserve">Invesco India Nifty G-sec Jul 2027 Index Fund - Regular Plan - Growth</t>
        </is>
      </c>
      <c r="C6722" t="inlineStr">
        <is>
          <t xml:space="preserve">INF205KA1759</t>
        </is>
      </c>
    </row>
    <row r="6723">
      <c r="A6723" t="inlineStr">
        <is>
          <t xml:space="preserve">Invesco Mutual Fund</t>
        </is>
      </c>
      <c r="B6723" t="inlineStr">
        <is>
          <t xml:space="preserve">Invesco India Nifty G-sec Jul 2027 Index Fund - Regular Plan - IDCW Payout</t>
        </is>
      </c>
      <c r="C6723" t="inlineStr">
        <is>
          <t xml:space="preserve">INF205KA1767</t>
        </is>
      </c>
    </row>
    <row r="6724">
      <c r="A6724" t="inlineStr">
        <is>
          <t xml:space="preserve">Invesco Mutual Fund</t>
        </is>
      </c>
      <c r="B6724" t="inlineStr">
        <is>
          <t xml:space="preserve">Invesco India Nifty G-sec Sep 2032 Index Fund - Direct Plan - Growth</t>
        </is>
      </c>
      <c r="C6724" t="inlineStr">
        <is>
          <t xml:space="preserve">INF205KA1817</t>
        </is>
      </c>
    </row>
    <row r="6725">
      <c r="A6725" t="inlineStr">
        <is>
          <t xml:space="preserve">Invesco Mutual Fund</t>
        </is>
      </c>
      <c r="B6725" t="inlineStr">
        <is>
          <t xml:space="preserve">Invesco India Nifty G-sec Sep 2032 Index Fund - Direct Plan - IDCW Payout</t>
        </is>
      </c>
      <c r="C6725" t="inlineStr">
        <is>
          <t xml:space="preserve">INF205KA1825</t>
        </is>
      </c>
    </row>
    <row r="6726">
      <c r="A6726" t="inlineStr">
        <is>
          <t xml:space="preserve">Invesco Mutual Fund</t>
        </is>
      </c>
      <c r="B6726" t="inlineStr">
        <is>
          <t xml:space="preserve">Invesco India Nifty G-sec Sep 2032 Index Fund - Regular Plan - Growth</t>
        </is>
      </c>
      <c r="C6726" t="inlineStr">
        <is>
          <t xml:space="preserve">INF205KA1791</t>
        </is>
      </c>
    </row>
    <row r="6727">
      <c r="A6727" t="inlineStr">
        <is>
          <t xml:space="preserve">Invesco Mutual Fund</t>
        </is>
      </c>
      <c r="B6727" t="inlineStr">
        <is>
          <t xml:space="preserve">Invesco India Nifty G-sec Sep 2032 Index Fund - Regular Plan - IDCW Payout</t>
        </is>
      </c>
      <c r="C6727" t="inlineStr">
        <is>
          <t xml:space="preserve">INF205KA1809</t>
        </is>
      </c>
    </row>
    <row r="6728">
      <c r="A6728" t="inlineStr">
        <is>
          <t xml:space="preserve">Invesco Mutual Fund</t>
        </is>
      </c>
      <c r="B6728" t="inlineStr">
        <is>
          <t xml:space="preserve">Invesco India Overnight Fund - Direct Plan - Daily IDCW (Reinvestment)</t>
        </is>
      </c>
      <c r="C6728" t="inlineStr">
        <is>
          <t xml:space="preserve">INF205KA1122</t>
        </is>
      </c>
    </row>
    <row r="6729">
      <c r="A6729" t="inlineStr">
        <is>
          <t xml:space="preserve">Invesco Mutual Fund</t>
        </is>
      </c>
      <c r="B6729" t="inlineStr">
        <is>
          <t xml:space="preserve">Invesco India Overnight Fund - Direct Plan - Growth</t>
        </is>
      </c>
      <c r="C6729" t="inlineStr">
        <is>
          <t xml:space="preserve">INF205KA1163</t>
        </is>
      </c>
    </row>
    <row r="6730">
      <c r="A6730" t="inlineStr">
        <is>
          <t xml:space="preserve">Invesco Mutual Fund</t>
        </is>
      </c>
      <c r="B6730" t="inlineStr">
        <is>
          <t xml:space="preserve">Invesco India Overnight Fund - Direct Plan - Monthly IDCW (Payout / Reinvestment)</t>
        </is>
      </c>
      <c r="C6730" t="inlineStr">
        <is>
          <t xml:space="preserve">INF205KA1155</t>
        </is>
      </c>
    </row>
    <row r="6731">
      <c r="A6731" t="inlineStr">
        <is>
          <t xml:space="preserve">Invesco Mutual Fund</t>
        </is>
      </c>
      <c r="B6731" t="inlineStr">
        <is>
          <t xml:space="preserve">Invesco India Overnight Fund - Direct Plan - Weekly IDCW (Reinvestment)</t>
        </is>
      </c>
      <c r="C6731" t="inlineStr">
        <is>
          <t xml:space="preserve">INF205KA1130</t>
        </is>
      </c>
    </row>
    <row r="6732">
      <c r="A6732" t="inlineStr">
        <is>
          <t xml:space="preserve">Invesco Mutual Fund</t>
        </is>
      </c>
      <c r="B6732" t="inlineStr">
        <is>
          <t xml:space="preserve">Invesco India Overnight Fund - Regular Plan - Daily IDCW (Reinvestment)</t>
        </is>
      </c>
      <c r="C6732" t="inlineStr">
        <is>
          <t xml:space="preserve">INF205KA1072</t>
        </is>
      </c>
    </row>
    <row r="6733">
      <c r="A6733" t="inlineStr">
        <is>
          <t xml:space="preserve">Invesco Mutual Fund</t>
        </is>
      </c>
      <c r="B6733" t="inlineStr">
        <is>
          <t xml:space="preserve">Invesco India Overnight Fund - Regular Plan - Growth</t>
        </is>
      </c>
      <c r="C6733" t="inlineStr">
        <is>
          <t xml:space="preserve">INF205KA1114</t>
        </is>
      </c>
    </row>
    <row r="6734">
      <c r="A6734" t="inlineStr">
        <is>
          <t xml:space="preserve">Invesco Mutual Fund</t>
        </is>
      </c>
      <c r="B6734" t="inlineStr">
        <is>
          <t xml:space="preserve">Invesco India Overnight Fund - Regular Plan - Monthly IDCW (Payout / Reinvestment)</t>
        </is>
      </c>
      <c r="C6734" t="inlineStr">
        <is>
          <t xml:space="preserve">INF205KA1106</t>
        </is>
      </c>
    </row>
    <row r="6735">
      <c r="A6735" t="inlineStr">
        <is>
          <t xml:space="preserve">Invesco Mutual Fund</t>
        </is>
      </c>
      <c r="B6735" t="inlineStr">
        <is>
          <t xml:space="preserve">Invesco India Overnight Fund - Regular Plan - Weekly IDCW (Reinvestment)</t>
        </is>
      </c>
      <c r="C6735" t="inlineStr">
        <is>
          <t xml:space="preserve">INF205KA1080</t>
        </is>
      </c>
    </row>
    <row r="6736">
      <c r="A6736" t="inlineStr">
        <is>
          <t xml:space="preserve">Invesco Mutual Fund</t>
        </is>
      </c>
      <c r="B6736" t="inlineStr">
        <is>
          <t xml:space="preserve">Invesco India PSU Equity Fund - Direct Plan - Growth</t>
        </is>
      </c>
      <c r="C6736" t="inlineStr">
        <is>
          <t xml:space="preserve">INF205K01NG5</t>
        </is>
      </c>
    </row>
    <row r="6737">
      <c r="A6737" t="inlineStr">
        <is>
          <t xml:space="preserve">Invesco Mutual Fund</t>
        </is>
      </c>
      <c r="B6737" t="inlineStr">
        <is>
          <t xml:space="preserve">Invesco India PSU Equity Fund - Direct Plan - IDCW (Payout / Reinvestment)</t>
        </is>
      </c>
      <c r="C6737" t="inlineStr">
        <is>
          <t xml:space="preserve">INF205K01NE0</t>
        </is>
      </c>
    </row>
    <row r="6738">
      <c r="A6738" t="inlineStr">
        <is>
          <t xml:space="preserve">Invesco Mutual Fund</t>
        </is>
      </c>
      <c r="B6738" t="inlineStr">
        <is>
          <t xml:space="preserve">Invesco India PSU Equity Fund - Regular Plan - Growth</t>
        </is>
      </c>
      <c r="C6738" t="inlineStr">
        <is>
          <t xml:space="preserve">INF205K01338</t>
        </is>
      </c>
    </row>
    <row r="6739">
      <c r="A6739" t="inlineStr">
        <is>
          <t xml:space="preserve">Invesco Mutual Fund</t>
        </is>
      </c>
      <c r="B6739" t="inlineStr">
        <is>
          <t xml:space="preserve">Invesco India PSU Equity Fund - Regular Plan - IDCW (Payout / Reinvestment)</t>
        </is>
      </c>
      <c r="C6739" t="inlineStr">
        <is>
          <t xml:space="preserve">INF205K01353</t>
        </is>
      </c>
    </row>
    <row r="6740">
      <c r="A6740" t="inlineStr">
        <is>
          <t xml:space="preserve">Invesco Mutual Fund</t>
        </is>
      </c>
      <c r="B6740" t="inlineStr">
        <is>
          <t xml:space="preserve">Invesco India Short Duration Fund - Direct Plan - Daily IDCW (Reinvestment)</t>
        </is>
      </c>
      <c r="C6740" t="inlineStr">
        <is>
          <t xml:space="preserve">INF205K01UE5</t>
        </is>
      </c>
    </row>
    <row r="6741">
      <c r="A6741" t="inlineStr">
        <is>
          <t xml:space="preserve">Invesco Mutual Fund</t>
        </is>
      </c>
      <c r="B6741" t="inlineStr">
        <is>
          <t xml:space="preserve">Invesco India Short Duration Fund - Direct Plan - Growth</t>
        </is>
      </c>
      <c r="C6741" t="inlineStr">
        <is>
          <t xml:space="preserve">INF205K01UH8</t>
        </is>
      </c>
    </row>
    <row r="6742">
      <c r="A6742" t="inlineStr">
        <is>
          <t xml:space="preserve">Invesco Mutual Fund</t>
        </is>
      </c>
      <c r="B6742" t="inlineStr">
        <is>
          <t xml:space="preserve">Invesco India Short Duration Fund - Direct Plan - Monthly IDCW (Payout / Reinvestment)</t>
        </is>
      </c>
      <c r="C6742" t="inlineStr">
        <is>
          <t xml:space="preserve">INF205K01UI6</t>
        </is>
      </c>
    </row>
    <row r="6743">
      <c r="A6743" t="inlineStr">
        <is>
          <t xml:space="preserve">Invesco Mutual Fund</t>
        </is>
      </c>
      <c r="B6743" t="inlineStr">
        <is>
          <t xml:space="preserve">Invesco India Short Duration Fund - Direct Plan -Discretionary IDCW (Payout / Reinvestment)</t>
        </is>
      </c>
      <c r="C6743" t="inlineStr">
        <is>
          <t xml:space="preserve">INF205K01UF2</t>
        </is>
      </c>
    </row>
    <row r="6744">
      <c r="A6744" t="inlineStr">
        <is>
          <t xml:space="preserve">Invesco Mutual Fund</t>
        </is>
      </c>
      <c r="B6744" t="inlineStr">
        <is>
          <t xml:space="preserve">Invesco India Short Duration Fund - Direct Plan -Weekly IDCW (Reinvestment)</t>
        </is>
      </c>
      <c r="C6744" t="inlineStr">
        <is>
          <t xml:space="preserve">INF205K01UK2</t>
        </is>
      </c>
    </row>
    <row r="6745">
      <c r="A6745" t="inlineStr">
        <is>
          <t xml:space="preserve">Invesco Mutual Fund</t>
        </is>
      </c>
      <c r="B6745" t="inlineStr">
        <is>
          <t xml:space="preserve">Invesco India Short Duration Fund - Plan B - Growth</t>
        </is>
      </c>
      <c r="C6745" t="inlineStr">
        <is>
          <t xml:space="preserve">INF205K01UR7</t>
        </is>
      </c>
    </row>
    <row r="6746">
      <c r="A6746" t="inlineStr">
        <is>
          <t xml:space="preserve">Invesco Mutual Fund</t>
        </is>
      </c>
      <c r="B6746" t="inlineStr">
        <is>
          <t xml:space="preserve">Invesco India Short Duration Fund - Plan B - Monthly IDCW (Payout / Reinvestment)</t>
        </is>
      </c>
      <c r="C6746" t="inlineStr">
        <is>
          <t xml:space="preserve">INF205K01US5</t>
        </is>
      </c>
    </row>
    <row r="6747">
      <c r="A6747" t="inlineStr">
        <is>
          <t xml:space="preserve">Invesco Mutual Fund</t>
        </is>
      </c>
      <c r="B6747" t="inlineStr">
        <is>
          <t xml:space="preserve">Invesco India Short Duration Fund - Plan B - Weekly IDCW (Reinvestment)</t>
        </is>
      </c>
      <c r="C6747" t="inlineStr">
        <is>
          <t xml:space="preserve">INF205K01UU1</t>
        </is>
      </c>
    </row>
    <row r="6748">
      <c r="A6748" t="inlineStr">
        <is>
          <t xml:space="preserve">Invesco Mutual Fund</t>
        </is>
      </c>
      <c r="B6748" t="inlineStr">
        <is>
          <t xml:space="preserve">Invesco India Short Duration Fund - Regular Plan - Daily IDCW (Reinvestment)</t>
        </is>
      </c>
      <c r="C6748" t="inlineStr">
        <is>
          <t xml:space="preserve">INF205K01UD7</t>
        </is>
      </c>
    </row>
    <row r="6749">
      <c r="A6749" t="inlineStr">
        <is>
          <t xml:space="preserve">Invesco Mutual Fund</t>
        </is>
      </c>
      <c r="B6749" t="inlineStr">
        <is>
          <t xml:space="preserve">Invesco India Short Duration Fund - Regular Plan - Growth</t>
        </is>
      </c>
      <c r="C6749" t="inlineStr">
        <is>
          <t xml:space="preserve">INF205K01UN6</t>
        </is>
      </c>
    </row>
    <row r="6750">
      <c r="A6750" t="inlineStr">
        <is>
          <t xml:space="preserve">Invesco Mutual Fund</t>
        </is>
      </c>
      <c r="B6750" t="inlineStr">
        <is>
          <t xml:space="preserve">Invesco India Short Duration Fund - Regular Plan - Monthly IDCW (Payout / Reinvestment)</t>
        </is>
      </c>
      <c r="C6750" t="inlineStr">
        <is>
          <t xml:space="preserve">INF205K01UO4</t>
        </is>
      </c>
    </row>
    <row r="6751">
      <c r="A6751" t="inlineStr">
        <is>
          <t xml:space="preserve">Invesco Mutual Fund</t>
        </is>
      </c>
      <c r="B6751" t="inlineStr">
        <is>
          <t xml:space="preserve">Invesco India Short Duration Fund - Regular Plan - Weekly IDCW (Reinvestment)</t>
        </is>
      </c>
      <c r="C6751" t="inlineStr">
        <is>
          <t xml:space="preserve">INF205K01UV9</t>
        </is>
      </c>
    </row>
    <row r="6752">
      <c r="A6752" t="inlineStr">
        <is>
          <t xml:space="preserve">Invesco Mutual Fund</t>
        </is>
      </c>
      <c r="B6752" t="inlineStr">
        <is>
          <t xml:space="preserve">Invesco India Short Duration Fund- Regular Plan - Discretionary IDCW (Payout / Reinvestment)</t>
        </is>
      </c>
      <c r="C6752" t="inlineStr">
        <is>
          <t xml:space="preserve">INF205K01UL0</t>
        </is>
      </c>
    </row>
    <row r="6753">
      <c r="A6753" t="inlineStr">
        <is>
          <t xml:space="preserve">Invesco Mutual Fund</t>
        </is>
      </c>
      <c r="B6753" t="inlineStr">
        <is>
          <t xml:space="preserve">Invesco India Smallcap Fund - Direct Plan - Growth</t>
        </is>
      </c>
      <c r="C6753" t="inlineStr">
        <is>
          <t xml:space="preserve">INF205K013T3</t>
        </is>
      </c>
    </row>
    <row r="6754">
      <c r="A6754" t="inlineStr">
        <is>
          <t xml:space="preserve">Invesco Mutual Fund</t>
        </is>
      </c>
      <c r="B6754" t="inlineStr">
        <is>
          <t xml:space="preserve">Invesco India Smallcap Fund - Direct Plan - IDCW (Payout / Reinvestment)</t>
        </is>
      </c>
      <c r="C6754" t="inlineStr">
        <is>
          <t xml:space="preserve">INF205K012T5</t>
        </is>
      </c>
    </row>
    <row r="6755">
      <c r="A6755" t="inlineStr">
        <is>
          <t xml:space="preserve">Invesco Mutual Fund</t>
        </is>
      </c>
      <c r="B6755" t="inlineStr">
        <is>
          <t xml:space="preserve">Invesco India Smallcap Fund - Regular Plan - Growth</t>
        </is>
      </c>
      <c r="C6755" t="inlineStr">
        <is>
          <t xml:space="preserve">INF205K011T7</t>
        </is>
      </c>
    </row>
    <row r="6756">
      <c r="A6756" t="inlineStr">
        <is>
          <t xml:space="preserve">Invesco Mutual Fund</t>
        </is>
      </c>
      <c r="B6756" t="inlineStr">
        <is>
          <t xml:space="preserve">Invesco India Smallcap Fund - Regular Plan - IDCW (Payout / Reinvestment)</t>
        </is>
      </c>
      <c r="C6756" t="inlineStr">
        <is>
          <t xml:space="preserve">INF205K010T9</t>
        </is>
      </c>
    </row>
    <row r="6757">
      <c r="A6757" t="inlineStr">
        <is>
          <t xml:space="preserve">Invesco Mutual Fund</t>
        </is>
      </c>
      <c r="B6757" t="inlineStr">
        <is>
          <t xml:space="preserve">Invesco India Technology Fund - Direct Plan - Growth</t>
        </is>
      </c>
      <c r="C6757" t="inlineStr">
        <is>
          <t xml:space="preserve">INF205KA1965</t>
        </is>
      </c>
    </row>
    <row r="6758">
      <c r="A6758" t="inlineStr">
        <is>
          <t xml:space="preserve">Invesco Mutual Fund</t>
        </is>
      </c>
      <c r="B6758" t="inlineStr">
        <is>
          <t xml:space="preserve">Invesco India Technology Fund - Direct Plan - IDCW</t>
        </is>
      </c>
      <c r="C6758" t="inlineStr">
        <is>
          <t xml:space="preserve">INF205KA1973</t>
        </is>
      </c>
    </row>
    <row r="6759">
      <c r="A6759" t="inlineStr">
        <is>
          <t xml:space="preserve">Invesco Mutual Fund</t>
        </is>
      </c>
      <c r="B6759" t="inlineStr">
        <is>
          <t xml:space="preserve">Invesco India Technology Fund - Regular Plan - Growth</t>
        </is>
      </c>
      <c r="C6759" t="inlineStr">
        <is>
          <t xml:space="preserve">INF205KA1932</t>
        </is>
      </c>
    </row>
    <row r="6760">
      <c r="A6760" t="inlineStr">
        <is>
          <t xml:space="preserve">Invesco Mutual Fund</t>
        </is>
      </c>
      <c r="B6760" t="inlineStr">
        <is>
          <t xml:space="preserve">Invesco India Technology Fund - Regular Plan - IDCW</t>
        </is>
      </c>
      <c r="C6760" t="inlineStr">
        <is>
          <t xml:space="preserve">INF205KA1940</t>
        </is>
      </c>
    </row>
    <row r="6761">
      <c r="A6761" t="inlineStr">
        <is>
          <t xml:space="preserve">Invesco Mutual Fund</t>
        </is>
      </c>
      <c r="B6761" t="inlineStr">
        <is>
          <t xml:space="preserve">Invesco India Ultra Short Duration Fund - Direct Plan - Annual IDCW (Payout / Reinvestment)</t>
        </is>
      </c>
      <c r="C6761" t="inlineStr">
        <is>
          <t xml:space="preserve">INF205K01TF4</t>
        </is>
      </c>
    </row>
    <row r="6762">
      <c r="A6762" t="inlineStr">
        <is>
          <t xml:space="preserve">Invesco Mutual Fund</t>
        </is>
      </c>
      <c r="B6762" t="inlineStr">
        <is>
          <t xml:space="preserve">Invesco India Ultra Short Duration Fund - Direct Plan - Daily IDCW (Reinvestment)</t>
        </is>
      </c>
      <c r="C6762" t="inlineStr">
        <is>
          <t xml:space="preserve">INF205K019H5</t>
        </is>
      </c>
    </row>
    <row r="6763">
      <c r="A6763" t="inlineStr">
        <is>
          <t xml:space="preserve">Invesco Mutual Fund</t>
        </is>
      </c>
      <c r="B6763" t="inlineStr">
        <is>
          <t xml:space="preserve">Invesco India Ultra Short Duration Fund - Direct Plan - Growth</t>
        </is>
      </c>
      <c r="C6763" t="inlineStr">
        <is>
          <t xml:space="preserve">INF205K01TH0</t>
        </is>
      </c>
    </row>
    <row r="6764">
      <c r="A6764" t="inlineStr">
        <is>
          <t xml:space="preserve">Invesco Mutual Fund</t>
        </is>
      </c>
      <c r="B6764" t="inlineStr">
        <is>
          <t xml:space="preserve">Invesco India Ultra Short Duration Fund - Direct Plan - Monthly IDCW (Payout / Reinvestment)</t>
        </is>
      </c>
      <c r="C6764" t="inlineStr">
        <is>
          <t xml:space="preserve">INF205K01TI8</t>
        </is>
      </c>
    </row>
    <row r="6765">
      <c r="A6765" t="inlineStr">
        <is>
          <t xml:space="preserve">Invesco Mutual Fund</t>
        </is>
      </c>
      <c r="B6765" t="inlineStr">
        <is>
          <t xml:space="preserve">Invesco India Ultra Short Duration Fund - Direct Plan - Quarterly IDCW (Payout / Reinvestment)</t>
        </is>
      </c>
      <c r="C6765" t="inlineStr">
        <is>
          <t xml:space="preserve">INF205K01TK4</t>
        </is>
      </c>
    </row>
    <row r="6766">
      <c r="A6766" t="inlineStr">
        <is>
          <t xml:space="preserve">Invesco Mutual Fund</t>
        </is>
      </c>
      <c r="B6766" t="inlineStr">
        <is>
          <t xml:space="preserve">Invesco India Ultra Short Duration Fund - Regular Plan - Annual IDCW (Payout / Reinvestment)</t>
        </is>
      </c>
      <c r="C6766" t="inlineStr">
        <is>
          <t xml:space="preserve">INF205K01TD9</t>
        </is>
      </c>
    </row>
    <row r="6767">
      <c r="A6767" t="inlineStr">
        <is>
          <t xml:space="preserve">Invesco Mutual Fund</t>
        </is>
      </c>
      <c r="B6767" t="inlineStr">
        <is>
          <t xml:space="preserve">Invesco India Ultra Short Duration Fund - Regular Plan - Daily IDCW (Reinvestment)</t>
        </is>
      </c>
      <c r="C6767" t="inlineStr">
        <is>
          <t xml:space="preserve">INF205K018H7</t>
        </is>
      </c>
    </row>
    <row r="6768">
      <c r="A6768" t="inlineStr">
        <is>
          <t xml:space="preserve">Invesco Mutual Fund</t>
        </is>
      </c>
      <c r="B6768" t="inlineStr">
        <is>
          <t xml:space="preserve">Invesco India Ultra Short Duration Fund - Regular Plan - Growth</t>
        </is>
      </c>
      <c r="C6768" t="inlineStr">
        <is>
          <t xml:space="preserve">INF205K01TM0</t>
        </is>
      </c>
    </row>
    <row r="6769">
      <c r="A6769" t="inlineStr">
        <is>
          <t xml:space="preserve">Invesco Mutual Fund</t>
        </is>
      </c>
      <c r="B6769" t="inlineStr">
        <is>
          <t xml:space="preserve">Invesco India Ultra Short Duration Fund - Regular Plan - Monthly IDCW (Payout / Reinvestment)</t>
        </is>
      </c>
      <c r="C6769" t="inlineStr">
        <is>
          <t xml:space="preserve">INF205K01TN8</t>
        </is>
      </c>
    </row>
    <row r="6770">
      <c r="A6770" t="inlineStr">
        <is>
          <t xml:space="preserve">Invesco Mutual Fund</t>
        </is>
      </c>
      <c r="B6770" t="inlineStr">
        <is>
          <t xml:space="preserve">Invesco India Ultra Short Duration Fund - Regular Plan - Quarterly IDCW (Payout / Reinvestment)</t>
        </is>
      </c>
      <c r="C6770" t="inlineStr">
        <is>
          <t xml:space="preserve">INF205K01TP3</t>
        </is>
      </c>
    </row>
    <row r="6771">
      <c r="A6771" t="inlineStr">
        <is>
          <t xml:space="preserve">Invesco Mutual Fund</t>
        </is>
      </c>
      <c r="B6771" t="inlineStr">
        <is>
          <t xml:space="preserve">Invesco India Ultra Short Duration Fund - Regular Plan - Weekly IDCW (Payout / Reinvestment)</t>
        </is>
      </c>
      <c r="C6771" t="inlineStr">
        <is>
          <t xml:space="preserve">INF205KA1BQ9</t>
        </is>
      </c>
    </row>
    <row r="6772">
      <c r="A6772" t="inlineStr">
        <is>
          <t xml:space="preserve">ITI Mutual Fund</t>
        </is>
      </c>
      <c r="B6772" t="inlineStr">
        <is>
          <t xml:space="preserve">ITI Arbitrage Fund - Direct Plan - Growth Option</t>
        </is>
      </c>
      <c r="C6772" t="inlineStr">
        <is>
          <t xml:space="preserve">INF00XX01440</t>
        </is>
      </c>
    </row>
    <row r="6773">
      <c r="A6773" t="inlineStr">
        <is>
          <t xml:space="preserve">ITI Mutual Fund</t>
        </is>
      </c>
      <c r="B6773" t="inlineStr">
        <is>
          <t xml:space="preserve">ITI Arbitrage Fund - Direct Plan - IDCW Option</t>
        </is>
      </c>
      <c r="C6773" t="inlineStr">
        <is>
          <t xml:space="preserve">INF00XX01457</t>
        </is>
      </c>
    </row>
    <row r="6774">
      <c r="A6774" t="inlineStr">
        <is>
          <t xml:space="preserve">ITI Mutual Fund</t>
        </is>
      </c>
      <c r="B6774" t="inlineStr">
        <is>
          <t xml:space="preserve">ITI Arbitrage Fund - Regular Plan - Growth Option</t>
        </is>
      </c>
      <c r="C6774" t="inlineStr">
        <is>
          <t xml:space="preserve">INF00XX01416</t>
        </is>
      </c>
    </row>
    <row r="6775">
      <c r="A6775" t="inlineStr">
        <is>
          <t xml:space="preserve">ITI Mutual Fund</t>
        </is>
      </c>
      <c r="B6775" t="inlineStr">
        <is>
          <t xml:space="preserve">ITI Arbitrage Fund - Regular Plan - IDCW Option</t>
        </is>
      </c>
      <c r="C6775" t="inlineStr">
        <is>
          <t xml:space="preserve">INF00XX01424</t>
        </is>
      </c>
    </row>
    <row r="6776">
      <c r="A6776" t="inlineStr">
        <is>
          <t xml:space="preserve">ITI Mutual Fund</t>
        </is>
      </c>
      <c r="B6776" t="inlineStr">
        <is>
          <t xml:space="preserve">ITI Balanced Advantage Fund - Direct Plan - Growth Option</t>
        </is>
      </c>
      <c r="C6776" t="inlineStr">
        <is>
          <t xml:space="preserve">INF00XX01689</t>
        </is>
      </c>
    </row>
    <row r="6777">
      <c r="A6777" t="inlineStr">
        <is>
          <t xml:space="preserve">ITI Mutual Fund</t>
        </is>
      </c>
      <c r="B6777" t="inlineStr">
        <is>
          <t xml:space="preserve">ITI Balanced Advantage Fund - Direct Plan - IDCW Option</t>
        </is>
      </c>
      <c r="C6777" t="inlineStr">
        <is>
          <t xml:space="preserve">INF00XX01697</t>
        </is>
      </c>
    </row>
    <row r="6778">
      <c r="A6778" t="inlineStr">
        <is>
          <t xml:space="preserve">ITI Mutual Fund</t>
        </is>
      </c>
      <c r="B6778" t="inlineStr">
        <is>
          <t xml:space="preserve">ITI Balanced Advantage Fund - Regular Plan - Growth Option</t>
        </is>
      </c>
      <c r="C6778" t="inlineStr">
        <is>
          <t xml:space="preserve">INF00XX01655</t>
        </is>
      </c>
    </row>
    <row r="6779">
      <c r="A6779" t="inlineStr">
        <is>
          <t xml:space="preserve">ITI Mutual Fund</t>
        </is>
      </c>
      <c r="B6779" t="inlineStr">
        <is>
          <t xml:space="preserve">ITI Balanced Advantage Fund - Regular Plan - IDCW Option</t>
        </is>
      </c>
      <c r="C6779" t="inlineStr">
        <is>
          <t xml:space="preserve">INF00XX01663</t>
        </is>
      </c>
    </row>
    <row r="6780">
      <c r="A6780" t="inlineStr">
        <is>
          <t xml:space="preserve">ITI Mutual Fund</t>
        </is>
      </c>
      <c r="B6780" t="inlineStr">
        <is>
          <t xml:space="preserve">ITI Banking &amp; PSU Debt Fund - Direct Plan - Growth Option</t>
        </is>
      </c>
      <c r="C6780" t="inlineStr">
        <is>
          <t xml:space="preserve">INF00XX01861</t>
        </is>
      </c>
    </row>
    <row r="6781">
      <c r="A6781" t="inlineStr">
        <is>
          <t xml:space="preserve">ITI Mutual Fund</t>
        </is>
      </c>
      <c r="B6781" t="inlineStr">
        <is>
          <t xml:space="preserve">ITI Banking &amp; PSU Debt Fund - Direct Plan - IDCW Option</t>
        </is>
      </c>
      <c r="C6781" t="inlineStr">
        <is>
          <t xml:space="preserve">INF00XX01879</t>
        </is>
      </c>
    </row>
    <row r="6782">
      <c r="A6782" t="inlineStr">
        <is>
          <t xml:space="preserve">ITI Mutual Fund</t>
        </is>
      </c>
      <c r="B6782" t="inlineStr">
        <is>
          <t xml:space="preserve">ITI Banking &amp; PSU Debt Fund - Regular Plan - Growth Option</t>
        </is>
      </c>
      <c r="C6782" t="inlineStr">
        <is>
          <t xml:space="preserve">INF00XX01838</t>
        </is>
      </c>
    </row>
    <row r="6783">
      <c r="A6783" t="inlineStr">
        <is>
          <t xml:space="preserve">ITI Mutual Fund</t>
        </is>
      </c>
      <c r="B6783" t="inlineStr">
        <is>
          <t xml:space="preserve">ITI Banking &amp; PSU Debt Fund - Regular Plan - IDCW Option</t>
        </is>
      </c>
      <c r="C6783" t="inlineStr">
        <is>
          <t xml:space="preserve">INF00XX01846</t>
        </is>
      </c>
    </row>
    <row r="6784">
      <c r="A6784" t="inlineStr">
        <is>
          <t xml:space="preserve">ITI Mutual Fund</t>
        </is>
      </c>
      <c r="B6784" t="inlineStr">
        <is>
          <t xml:space="preserve">ITI Banking and Financial Services Fund - Direct Plan - Growth Option</t>
        </is>
      </c>
      <c r="C6784" t="inlineStr">
        <is>
          <t xml:space="preserve">INF00XX01BU6</t>
        </is>
      </c>
    </row>
    <row r="6785">
      <c r="A6785" t="inlineStr">
        <is>
          <t xml:space="preserve">ITI Mutual Fund</t>
        </is>
      </c>
      <c r="B6785" t="inlineStr">
        <is>
          <t xml:space="preserve">ITI Banking and Financial Services Fund - Direct Plan - IDCW Option</t>
        </is>
      </c>
      <c r="C6785" t="inlineStr">
        <is>
          <t xml:space="preserve">INF00XX01BV4</t>
        </is>
      </c>
    </row>
    <row r="6786">
      <c r="A6786" t="inlineStr">
        <is>
          <t xml:space="preserve">ITI Mutual Fund</t>
        </is>
      </c>
      <c r="B6786" t="inlineStr">
        <is>
          <t xml:space="preserve">ITI Banking and Financial Services Fund - Regular Plan - IDCW Option</t>
        </is>
      </c>
      <c r="C6786" t="inlineStr">
        <is>
          <t xml:space="preserve">INF00XX01BS0</t>
        </is>
      </c>
    </row>
    <row r="6787">
      <c r="A6787" t="inlineStr">
        <is>
          <t xml:space="preserve">ITI Mutual Fund</t>
        </is>
      </c>
      <c r="B6787" t="inlineStr">
        <is>
          <t xml:space="preserve">ITI Banking and Financial Services Fund -Regular Plan - Growth Option</t>
        </is>
      </c>
      <c r="C6787" t="inlineStr">
        <is>
          <t xml:space="preserve">INF00XX01BR2</t>
        </is>
      </c>
    </row>
    <row r="6788">
      <c r="A6788" t="inlineStr">
        <is>
          <t xml:space="preserve">ITI Mutual Fund</t>
        </is>
      </c>
      <c r="B6788" t="inlineStr">
        <is>
          <t xml:space="preserve">ITI Bharat Consumption Fund - Direct Plan - Growth</t>
        </is>
      </c>
      <c r="C6788" t="inlineStr">
        <is>
          <t xml:space="preserve">INF00XX01DG1</t>
        </is>
      </c>
    </row>
    <row r="6789">
      <c r="A6789" t="inlineStr">
        <is>
          <t xml:space="preserve">ITI Mutual Fund</t>
        </is>
      </c>
      <c r="B6789" t="inlineStr">
        <is>
          <t xml:space="preserve">ITI Bharat Consumption Fund - Direct Plan - IDCW Option</t>
        </is>
      </c>
      <c r="C6789" t="inlineStr">
        <is>
          <t xml:space="preserve">INF00XX01DH9</t>
        </is>
      </c>
    </row>
    <row r="6790">
      <c r="A6790" t="inlineStr">
        <is>
          <t xml:space="preserve">ITI Mutual Fund</t>
        </is>
      </c>
      <c r="B6790" t="inlineStr">
        <is>
          <t xml:space="preserve">ITI Bharat Consumption Fund - Regular Plan - IDCW Option</t>
        </is>
      </c>
      <c r="C6790" t="inlineStr">
        <is>
          <t xml:space="preserve">INF00XX01DE6</t>
        </is>
      </c>
    </row>
    <row r="6791">
      <c r="A6791" t="inlineStr">
        <is>
          <t xml:space="preserve">ITI Mutual Fund</t>
        </is>
      </c>
      <c r="B6791" t="inlineStr">
        <is>
          <t xml:space="preserve">ITI Bharat Consumption Fund - Regular Plan Plan - Growth</t>
        </is>
      </c>
      <c r="C6791" t="inlineStr">
        <is>
          <t xml:space="preserve">INF00XX01DD8</t>
        </is>
      </c>
    </row>
    <row r="6792">
      <c r="A6792" t="inlineStr">
        <is>
          <t xml:space="preserve">ITI Mutual Fund</t>
        </is>
      </c>
      <c r="B6792" t="inlineStr">
        <is>
          <t xml:space="preserve">ITI Business Cycle Fund- Direct Plan- Growth</t>
        </is>
      </c>
      <c r="C6792" t="inlineStr">
        <is>
          <t xml:space="preserve">INF00XX01DM9</t>
        </is>
      </c>
    </row>
    <row r="6793">
      <c r="A6793" t="inlineStr">
        <is>
          <t xml:space="preserve">ITI Mutual Fund</t>
        </is>
      </c>
      <c r="B6793" t="inlineStr">
        <is>
          <t xml:space="preserve">ITI Business Cycle Fund- Direct Plan-IDCW</t>
        </is>
      </c>
      <c r="C6793" t="inlineStr">
        <is>
          <t xml:space="preserve">INF00XX01DN7</t>
        </is>
      </c>
    </row>
    <row r="6794">
      <c r="A6794" t="inlineStr">
        <is>
          <t xml:space="preserve">ITI Mutual Fund</t>
        </is>
      </c>
      <c r="B6794" t="inlineStr">
        <is>
          <t xml:space="preserve">ITI Business Cycle Fund- Regular Plan- Growth</t>
        </is>
      </c>
      <c r="C6794" t="inlineStr">
        <is>
          <t xml:space="preserve">INF00XX01DJ5</t>
        </is>
      </c>
    </row>
    <row r="6795">
      <c r="A6795" t="inlineStr">
        <is>
          <t xml:space="preserve">ITI Mutual Fund</t>
        </is>
      </c>
      <c r="B6795" t="inlineStr">
        <is>
          <t xml:space="preserve">ITI Business Cycle Fund- Regular Plan- IDCW</t>
        </is>
      </c>
      <c r="C6795" t="inlineStr">
        <is>
          <t xml:space="preserve">INF00XX01DK3</t>
        </is>
      </c>
    </row>
    <row r="6796">
      <c r="A6796" t="inlineStr">
        <is>
          <t xml:space="preserve">ITI Mutual Fund</t>
        </is>
      </c>
      <c r="B6796" t="inlineStr">
        <is>
          <t xml:space="preserve">ITI Dynamic Bond Fund - Direct Plan - Annually IDCW Option</t>
        </is>
      </c>
      <c r="C6796" t="inlineStr">
        <is>
          <t xml:space="preserve">INF00XX01BK7</t>
        </is>
      </c>
    </row>
    <row r="6797">
      <c r="A6797" t="inlineStr">
        <is>
          <t xml:space="preserve">ITI Mutual Fund</t>
        </is>
      </c>
      <c r="B6797" t="inlineStr">
        <is>
          <t xml:space="preserve">ITI Dynamic Bond Fund - Direct Plan - Growth Option</t>
        </is>
      </c>
      <c r="C6797" t="inlineStr">
        <is>
          <t xml:space="preserve">INF00XX01BC4</t>
        </is>
      </c>
    </row>
    <row r="6798">
      <c r="A6798" t="inlineStr">
        <is>
          <t xml:space="preserve">ITI Mutual Fund</t>
        </is>
      </c>
      <c r="B6798" t="inlineStr">
        <is>
          <t xml:space="preserve">ITI Dynamic Bond Fund - Direct Plan - Half Yearly IDCW Option</t>
        </is>
      </c>
      <c r="C6798" t="inlineStr">
        <is>
          <t xml:space="preserve">INF00XX01BJ9</t>
        </is>
      </c>
    </row>
    <row r="6799">
      <c r="A6799" t="inlineStr">
        <is>
          <t xml:space="preserve">ITI Mutual Fund</t>
        </is>
      </c>
      <c r="B6799" t="inlineStr">
        <is>
          <t xml:space="preserve">ITI Dynamic Bond Fund - Direct Plan - Monthly IDCWOption</t>
        </is>
      </c>
      <c r="C6799" t="inlineStr">
        <is>
          <t xml:space="preserve">INF00XX01BH3</t>
        </is>
      </c>
    </row>
    <row r="6800">
      <c r="A6800" t="inlineStr">
        <is>
          <t xml:space="preserve">ITI Mutual Fund</t>
        </is>
      </c>
      <c r="B6800" t="inlineStr">
        <is>
          <t xml:space="preserve">ITI Dynamic Bond Fund - Direct Plan - Quarterly IDCW Option</t>
        </is>
      </c>
      <c r="C6800" t="inlineStr">
        <is>
          <t xml:space="preserve">INF00XX01BI1</t>
        </is>
      </c>
    </row>
    <row r="6801">
      <c r="A6801" t="inlineStr">
        <is>
          <t xml:space="preserve">ITI Mutual Fund</t>
        </is>
      </c>
      <c r="B6801" t="inlineStr">
        <is>
          <t xml:space="preserve">ITI Dynamic Bond Fund - Regular Plan - Annually IDCWOption</t>
        </is>
      </c>
      <c r="C6801" t="inlineStr">
        <is>
          <t xml:space="preserve">INF00XX01BB6</t>
        </is>
      </c>
    </row>
    <row r="6802">
      <c r="A6802" t="inlineStr">
        <is>
          <t xml:space="preserve">ITI Mutual Fund</t>
        </is>
      </c>
      <c r="B6802" t="inlineStr">
        <is>
          <t xml:space="preserve">ITI Dynamic Bond Fund - Regular Plan - Growth Option</t>
        </is>
      </c>
      <c r="C6802" t="inlineStr">
        <is>
          <t xml:space="preserve">INF00XX01AT0</t>
        </is>
      </c>
    </row>
    <row r="6803">
      <c r="A6803" t="inlineStr">
        <is>
          <t xml:space="preserve">ITI Mutual Fund</t>
        </is>
      </c>
      <c r="B6803" t="inlineStr">
        <is>
          <t xml:space="preserve">ITI Dynamic Bond Fund - Regular Plan - Half Yearly IDCW Option</t>
        </is>
      </c>
      <c r="C6803" t="inlineStr">
        <is>
          <t xml:space="preserve">INF00XX01BA8</t>
        </is>
      </c>
    </row>
    <row r="6804">
      <c r="A6804" t="inlineStr">
        <is>
          <t xml:space="preserve">ITI Mutual Fund</t>
        </is>
      </c>
      <c r="B6804" t="inlineStr">
        <is>
          <t xml:space="preserve">ITI Dynamic Bond Fund - Regular Plan - Monthly IDCW Option</t>
        </is>
      </c>
      <c r="C6804" t="inlineStr">
        <is>
          <t xml:space="preserve">INF00XX01AY0</t>
        </is>
      </c>
    </row>
    <row r="6805">
      <c r="A6805" t="inlineStr">
        <is>
          <t xml:space="preserve">ITI Mutual Fund</t>
        </is>
      </c>
      <c r="B6805" t="inlineStr">
        <is>
          <t xml:space="preserve">ITI Dynamic Bond Fund - Regular Plan - Quarterly IDCW Option</t>
        </is>
      </c>
      <c r="C6805" t="inlineStr">
        <is>
          <t xml:space="preserve">INF00XX01AZ7</t>
        </is>
      </c>
    </row>
    <row r="6806">
      <c r="A6806" t="inlineStr">
        <is>
          <t xml:space="preserve">ITI Mutual Fund</t>
        </is>
      </c>
      <c r="B6806" t="inlineStr">
        <is>
          <t xml:space="preserve">ITI ELSS Tax Saver Fund - Direct Plan - Growth Option</t>
        </is>
      </c>
      <c r="C6806" t="inlineStr">
        <is>
          <t xml:space="preserve">INF00XX01390</t>
        </is>
      </c>
    </row>
    <row r="6807">
      <c r="A6807" t="inlineStr">
        <is>
          <t xml:space="preserve">ITI Mutual Fund</t>
        </is>
      </c>
      <c r="B6807" t="inlineStr">
        <is>
          <t xml:space="preserve">ITI ELSS Tax Saver Fund - Direct Plan - IDCW Option</t>
        </is>
      </c>
      <c r="C6807" t="inlineStr">
        <is>
          <t xml:space="preserve">INF00XX01408</t>
        </is>
      </c>
    </row>
    <row r="6808">
      <c r="A6808" t="inlineStr">
        <is>
          <t xml:space="preserve">ITI Mutual Fund</t>
        </is>
      </c>
      <c r="B6808" t="inlineStr">
        <is>
          <t xml:space="preserve">ITI ELSS Tax Saver Fund - Regular Plan - Growth Option</t>
        </is>
      </c>
      <c r="C6808" t="inlineStr">
        <is>
          <t xml:space="preserve">INF00XX01374</t>
        </is>
      </c>
    </row>
    <row r="6809">
      <c r="A6809" t="inlineStr">
        <is>
          <t xml:space="preserve">ITI Mutual Fund</t>
        </is>
      </c>
      <c r="B6809" t="inlineStr">
        <is>
          <t xml:space="preserve">ITI ELSS Tax Saver Fund - Regular Plan - IDCW Option</t>
        </is>
      </c>
      <c r="C6809" t="inlineStr">
        <is>
          <t xml:space="preserve">INF00XX01382</t>
        </is>
      </c>
    </row>
    <row r="6810">
      <c r="A6810" t="inlineStr">
        <is>
          <t xml:space="preserve">ITI Mutual Fund</t>
        </is>
      </c>
      <c r="B6810" t="inlineStr">
        <is>
          <t xml:space="preserve">ITI Flexi Cap Fund- Direct Plan- Growth</t>
        </is>
      </c>
      <c r="C6810" t="inlineStr">
        <is>
          <t xml:space="preserve">INF00XX01CO7</t>
        </is>
      </c>
    </row>
    <row r="6811">
      <c r="A6811" t="inlineStr">
        <is>
          <t xml:space="preserve">ITI Mutual Fund</t>
        </is>
      </c>
      <c r="B6811" t="inlineStr">
        <is>
          <t xml:space="preserve">ITI Flexi Cap Fund- Direct Plan- IDCW</t>
        </is>
      </c>
      <c r="C6811" t="inlineStr">
        <is>
          <t xml:space="preserve">INF00XX01CP4</t>
        </is>
      </c>
    </row>
    <row r="6812">
      <c r="A6812" t="inlineStr">
        <is>
          <t xml:space="preserve">ITI Mutual Fund</t>
        </is>
      </c>
      <c r="B6812" t="inlineStr">
        <is>
          <t xml:space="preserve">ITI Flexi Cap Fund- Regular Plan- Growth</t>
        </is>
      </c>
      <c r="C6812" t="inlineStr">
        <is>
          <t xml:space="preserve">INF00XX01CL3</t>
        </is>
      </c>
    </row>
    <row r="6813">
      <c r="A6813" t="inlineStr">
        <is>
          <t xml:space="preserve">ITI Mutual Fund</t>
        </is>
      </c>
      <c r="B6813" t="inlineStr">
        <is>
          <t xml:space="preserve">ITI Flexi Cap Fund- Regular Plan- IDCW</t>
        </is>
      </c>
      <c r="C6813" t="inlineStr">
        <is>
          <t xml:space="preserve">INF00XX01CM1</t>
        </is>
      </c>
    </row>
    <row r="6814">
      <c r="A6814" t="inlineStr">
        <is>
          <t xml:space="preserve">ITI Mutual Fund</t>
        </is>
      </c>
      <c r="B6814" t="inlineStr">
        <is>
          <t xml:space="preserve">ITI Focused Fund - Direct Plan - Growth</t>
        </is>
      </c>
      <c r="C6814" t="inlineStr">
        <is>
          <t xml:space="preserve">INF00XX01CS8</t>
        </is>
      </c>
    </row>
    <row r="6815">
      <c r="A6815" t="inlineStr">
        <is>
          <t xml:space="preserve">ITI Mutual Fund</t>
        </is>
      </c>
      <c r="B6815" t="inlineStr">
        <is>
          <t xml:space="preserve">ITI Focused Fund - Direct Plan - IDCW</t>
        </is>
      </c>
      <c r="C6815" t="inlineStr">
        <is>
          <t xml:space="preserve">INF00XX01CT6</t>
        </is>
      </c>
    </row>
    <row r="6816">
      <c r="A6816" t="inlineStr">
        <is>
          <t xml:space="preserve">ITI Mutual Fund</t>
        </is>
      </c>
      <c r="B6816" t="inlineStr">
        <is>
          <t xml:space="preserve">ITI Focused Fund - Regular Plan - Growth</t>
        </is>
      </c>
      <c r="C6816" t="inlineStr">
        <is>
          <t xml:space="preserve">INF00XX01CV2</t>
        </is>
      </c>
    </row>
    <row r="6817">
      <c r="A6817" t="inlineStr">
        <is>
          <t xml:space="preserve">ITI Mutual Fund</t>
        </is>
      </c>
      <c r="B6817" t="inlineStr">
        <is>
          <t xml:space="preserve">ITI Focused Fund - Regular Plan - IDCW</t>
        </is>
      </c>
      <c r="C6817" t="inlineStr">
        <is>
          <t xml:space="preserve">INF00XX01CW0</t>
        </is>
      </c>
    </row>
    <row r="6818">
      <c r="A6818" t="inlineStr">
        <is>
          <t xml:space="preserve">ITI Mutual Fund</t>
        </is>
      </c>
      <c r="B6818" t="inlineStr">
        <is>
          <t xml:space="preserve">ITI Large &amp; Midcap Fund - Direct Plan - Growth</t>
        </is>
      </c>
      <c r="C6818" t="inlineStr">
        <is>
          <t xml:space="preserve">INF00XX01DA4</t>
        </is>
      </c>
    </row>
    <row r="6819">
      <c r="A6819" t="inlineStr">
        <is>
          <t xml:space="preserve">ITI Mutual Fund</t>
        </is>
      </c>
      <c r="B6819" t="inlineStr">
        <is>
          <t xml:space="preserve">ITI Large &amp; Midcap Fund - Direct Plan - IDCW Option</t>
        </is>
      </c>
      <c r="C6819" t="inlineStr">
        <is>
          <t xml:space="preserve">INF00XX01DB2</t>
        </is>
      </c>
    </row>
    <row r="6820">
      <c r="A6820" t="inlineStr">
        <is>
          <t xml:space="preserve">ITI Mutual Fund</t>
        </is>
      </c>
      <c r="B6820" t="inlineStr">
        <is>
          <t xml:space="preserve">ITI Large &amp; Midcap Fund - Regular Plan - Growth</t>
        </is>
      </c>
      <c r="C6820" t="inlineStr">
        <is>
          <t xml:space="preserve">INF00XX01CX8</t>
        </is>
      </c>
    </row>
    <row r="6821">
      <c r="A6821" t="inlineStr">
        <is>
          <t xml:space="preserve">ITI Mutual Fund</t>
        </is>
      </c>
      <c r="B6821" t="inlineStr">
        <is>
          <t xml:space="preserve">ITI Large &amp; Midcap Fund - Regular Plan - IDCW Option</t>
        </is>
      </c>
      <c r="C6821" t="inlineStr">
        <is>
          <t xml:space="preserve">INF00XX01CY6</t>
        </is>
      </c>
    </row>
    <row r="6822">
      <c r="A6822" t="inlineStr">
        <is>
          <t xml:space="preserve">ITI Mutual Fund</t>
        </is>
      </c>
      <c r="B6822" t="inlineStr">
        <is>
          <t xml:space="preserve">ITI Large Cap Fund - Direct Plan - Growth Option</t>
        </is>
      </c>
      <c r="C6822" t="inlineStr">
        <is>
          <t xml:space="preserve">INF00XX01804</t>
        </is>
      </c>
    </row>
    <row r="6823">
      <c r="A6823" t="inlineStr">
        <is>
          <t xml:space="preserve">ITI Mutual Fund</t>
        </is>
      </c>
      <c r="B6823" t="inlineStr">
        <is>
          <t xml:space="preserve">ITI Large Cap Fund - Direct Plan - IDCW Option</t>
        </is>
      </c>
      <c r="C6823" t="inlineStr">
        <is>
          <t xml:space="preserve">INF00XX01812</t>
        </is>
      </c>
    </row>
    <row r="6824">
      <c r="A6824" t="inlineStr">
        <is>
          <t xml:space="preserve">ITI Mutual Fund</t>
        </is>
      </c>
      <c r="B6824" t="inlineStr">
        <is>
          <t xml:space="preserve">ITI Large Cap Fund - Regular Plan - Growth Option</t>
        </is>
      </c>
      <c r="C6824" t="inlineStr">
        <is>
          <t xml:space="preserve">INF00XX01770</t>
        </is>
      </c>
    </row>
    <row r="6825">
      <c r="A6825" t="inlineStr">
        <is>
          <t xml:space="preserve">ITI Mutual Fund</t>
        </is>
      </c>
      <c r="B6825" t="inlineStr">
        <is>
          <t xml:space="preserve">ITI Large Cap Fund - Regular Plan - IDCW Option</t>
        </is>
      </c>
      <c r="C6825" t="inlineStr">
        <is>
          <t xml:space="preserve">INF00XX01788</t>
        </is>
      </c>
    </row>
    <row r="6826">
      <c r="A6826" t="inlineStr">
        <is>
          <t xml:space="preserve">ITI Mutual Fund</t>
        </is>
      </c>
      <c r="B6826" t="inlineStr">
        <is>
          <t xml:space="preserve">ITI Liquid Fund - Direct Plan - Annually IDCW Option</t>
        </is>
      </c>
      <c r="C6826" t="inlineStr">
        <is>
          <t xml:space="preserve">INF00XX01366</t>
        </is>
      </c>
    </row>
    <row r="6827">
      <c r="A6827" t="inlineStr">
        <is>
          <t xml:space="preserve">ITI Mutual Fund</t>
        </is>
      </c>
      <c r="B6827" t="inlineStr">
        <is>
          <t xml:space="preserve">ITI Liquid Fund - Direct Plan - Daily IDCW Option</t>
        </is>
      </c>
      <c r="C6827" t="inlineStr">
        <is>
          <t xml:space="preserve">INF00XX01291</t>
        </is>
      </c>
    </row>
    <row r="6828">
      <c r="A6828" t="inlineStr">
        <is>
          <t xml:space="preserve">ITI Mutual Fund</t>
        </is>
      </c>
      <c r="B6828" t="inlineStr">
        <is>
          <t xml:space="preserve">ITI Liquid Fund - Direct Plan - Fortnightly IDCW Option</t>
        </is>
      </c>
      <c r="C6828" t="inlineStr">
        <is>
          <t xml:space="preserve">INF00XX01341</t>
        </is>
      </c>
    </row>
    <row r="6829">
      <c r="A6829" t="inlineStr">
        <is>
          <t xml:space="preserve">ITI Mutual Fund</t>
        </is>
      </c>
      <c r="B6829" t="inlineStr">
        <is>
          <t xml:space="preserve">ITI Liquid Fund - Direct Plan - Growth Option</t>
        </is>
      </c>
      <c r="C6829" t="inlineStr">
        <is>
          <t xml:space="preserve">INF00XX01283</t>
        </is>
      </c>
    </row>
    <row r="6830">
      <c r="A6830" t="inlineStr">
        <is>
          <t xml:space="preserve">ITI Mutual Fund</t>
        </is>
      </c>
      <c r="B6830" t="inlineStr">
        <is>
          <t xml:space="preserve">ITI Liquid Fund - Direct Plan - Monthly IDCW Option</t>
        </is>
      </c>
      <c r="C6830" t="inlineStr">
        <is>
          <t xml:space="preserve">INF00XX01358</t>
        </is>
      </c>
    </row>
    <row r="6831">
      <c r="A6831" t="inlineStr">
        <is>
          <t xml:space="preserve">ITI Mutual Fund</t>
        </is>
      </c>
      <c r="B6831" t="inlineStr">
        <is>
          <t xml:space="preserve">ITI Liquid Fund - Direct Plan - Weekly IDCW Option</t>
        </is>
      </c>
      <c r="C6831" t="inlineStr">
        <is>
          <t xml:space="preserve">INF00XX01309</t>
        </is>
      </c>
    </row>
    <row r="6832">
      <c r="A6832" t="inlineStr">
        <is>
          <t xml:space="preserve">ITI Mutual Fund</t>
        </is>
      </c>
      <c r="B6832" t="inlineStr">
        <is>
          <t xml:space="preserve">ITI Liquid Fund - Regular Plan - Annually IDCW Option</t>
        </is>
      </c>
      <c r="C6832" t="inlineStr">
        <is>
          <t xml:space="preserve">INF00XX01275</t>
        </is>
      </c>
    </row>
    <row r="6833">
      <c r="A6833" t="inlineStr">
        <is>
          <t xml:space="preserve">ITI Mutual Fund</t>
        </is>
      </c>
      <c r="B6833" t="inlineStr">
        <is>
          <t xml:space="preserve">ITI Liquid Fund - Regular Plan - Daily IDCW Option</t>
        </is>
      </c>
      <c r="C6833" t="inlineStr">
        <is>
          <t xml:space="preserve">INF00XX01200</t>
        </is>
      </c>
    </row>
    <row r="6834">
      <c r="A6834" t="inlineStr">
        <is>
          <t xml:space="preserve">ITI Mutual Fund</t>
        </is>
      </c>
      <c r="B6834" t="inlineStr">
        <is>
          <t xml:space="preserve">ITI Liquid Fund - Regular Plan - Fortnightly Income Distribution cum capital withdrawal option Option</t>
        </is>
      </c>
      <c r="C6834" t="inlineStr">
        <is>
          <t xml:space="preserve">INF00XX01259</t>
        </is>
      </c>
    </row>
    <row r="6835">
      <c r="A6835" t="inlineStr">
        <is>
          <t xml:space="preserve">ITI Mutual Fund</t>
        </is>
      </c>
      <c r="B6835" t="inlineStr">
        <is>
          <t xml:space="preserve">ITI Liquid Fund - Regular Plan - Growth Option</t>
        </is>
      </c>
      <c r="C6835" t="inlineStr">
        <is>
          <t xml:space="preserve">INF00XX01192</t>
        </is>
      </c>
    </row>
    <row r="6836">
      <c r="A6836" t="inlineStr">
        <is>
          <t xml:space="preserve">ITI Mutual Fund</t>
        </is>
      </c>
      <c r="B6836" t="inlineStr">
        <is>
          <t xml:space="preserve">ITI Liquid Fund - Regular Plan - Monthly IDCW Option</t>
        </is>
      </c>
      <c r="C6836" t="inlineStr">
        <is>
          <t xml:space="preserve">INF00XX01267</t>
        </is>
      </c>
    </row>
    <row r="6837">
      <c r="A6837" t="inlineStr">
        <is>
          <t xml:space="preserve">ITI Mutual Fund</t>
        </is>
      </c>
      <c r="B6837" t="inlineStr">
        <is>
          <t xml:space="preserve">ITI Liquid Fund - Regular Plan - Weekly IDCW Option</t>
        </is>
      </c>
      <c r="C6837" t="inlineStr">
        <is>
          <t xml:space="preserve">INF00XX01218</t>
        </is>
      </c>
    </row>
    <row r="6838">
      <c r="A6838" t="inlineStr">
        <is>
          <t xml:space="preserve">ITI Mutual Fund</t>
        </is>
      </c>
      <c r="B6838" t="inlineStr">
        <is>
          <t xml:space="preserve">ITI Mid Cap Fund - Direct Plan - Growth Option</t>
        </is>
      </c>
      <c r="C6838" t="inlineStr">
        <is>
          <t xml:space="preserve">INF00XX01929</t>
        </is>
      </c>
    </row>
    <row r="6839">
      <c r="A6839" t="inlineStr">
        <is>
          <t xml:space="preserve">ITI Mutual Fund</t>
        </is>
      </c>
      <c r="B6839" t="inlineStr">
        <is>
          <t xml:space="preserve">ITI Mid Cap Fund - Direct Plan - IDCW Option</t>
        </is>
      </c>
      <c r="C6839" t="inlineStr">
        <is>
          <t xml:space="preserve">INF00XX01937</t>
        </is>
      </c>
    </row>
    <row r="6840">
      <c r="A6840" t="inlineStr">
        <is>
          <t xml:space="preserve">ITI Mutual Fund</t>
        </is>
      </c>
      <c r="B6840" t="inlineStr">
        <is>
          <t xml:space="preserve">ITI Mid Cap Fund - Regular Plan - Growth Option</t>
        </is>
      </c>
      <c r="C6840" t="inlineStr">
        <is>
          <t xml:space="preserve">INF00XX01895</t>
        </is>
      </c>
    </row>
    <row r="6841">
      <c r="A6841" t="inlineStr">
        <is>
          <t xml:space="preserve">ITI Mutual Fund</t>
        </is>
      </c>
      <c r="B6841" t="inlineStr">
        <is>
          <t xml:space="preserve">ITI Mid Cap Fund - Regular Plan - IDCW Option</t>
        </is>
      </c>
      <c r="C6841" t="inlineStr">
        <is>
          <t xml:space="preserve">INF00XX01903</t>
        </is>
      </c>
    </row>
    <row r="6842">
      <c r="A6842" t="inlineStr">
        <is>
          <t xml:space="preserve">ITI Mutual Fund</t>
        </is>
      </c>
      <c r="B6842" t="inlineStr">
        <is>
          <t xml:space="preserve">ITI Multi Cap Fund - Direct Plan - Growth Option</t>
        </is>
      </c>
      <c r="C6842" t="inlineStr">
        <is>
          <t xml:space="preserve">INF00XX01168</t>
        </is>
      </c>
    </row>
    <row r="6843">
      <c r="A6843" t="inlineStr">
        <is>
          <t xml:space="preserve">ITI Mutual Fund</t>
        </is>
      </c>
      <c r="B6843" t="inlineStr">
        <is>
          <t xml:space="preserve">ITI Multi Cap Fund - Direct Plan - IDCW Option</t>
        </is>
      </c>
      <c r="C6843" t="inlineStr">
        <is>
          <t xml:space="preserve">INF00XX01176</t>
        </is>
      </c>
    </row>
    <row r="6844">
      <c r="A6844" t="inlineStr">
        <is>
          <t xml:space="preserve">ITI Mutual Fund</t>
        </is>
      </c>
      <c r="B6844" t="inlineStr">
        <is>
          <t xml:space="preserve">ITI Multi Cap Fund - Regular Plan - Growth Option</t>
        </is>
      </c>
      <c r="C6844" t="inlineStr">
        <is>
          <t xml:space="preserve">INF00XX01135</t>
        </is>
      </c>
    </row>
    <row r="6845">
      <c r="A6845" t="inlineStr">
        <is>
          <t xml:space="preserve">ITI Mutual Fund</t>
        </is>
      </c>
      <c r="B6845" t="inlineStr">
        <is>
          <t xml:space="preserve">ITI Multi Cap Fund - Regular Plan - IDCW Option</t>
        </is>
      </c>
      <c r="C6845" t="inlineStr">
        <is>
          <t xml:space="preserve">INF00XX01143</t>
        </is>
      </c>
    </row>
    <row r="6846">
      <c r="A6846" t="inlineStr">
        <is>
          <t xml:space="preserve">ITI Mutual Fund</t>
        </is>
      </c>
      <c r="B6846" t="inlineStr">
        <is>
          <t xml:space="preserve">ITI Overnight Fund - Direct Plan - Annual IDCW Option</t>
        </is>
      </c>
      <c r="C6846" t="inlineStr">
        <is>
          <t xml:space="preserve">INF00XX01648</t>
        </is>
      </c>
    </row>
    <row r="6847">
      <c r="A6847" t="inlineStr">
        <is>
          <t xml:space="preserve">ITI Mutual Fund</t>
        </is>
      </c>
      <c r="B6847" t="inlineStr">
        <is>
          <t xml:space="preserve">ITI Overnight Fund - Direct Plan - Daily IDCW Option</t>
        </is>
      </c>
      <c r="C6847" t="inlineStr">
        <is>
          <t xml:space="preserve">INF00XX01572</t>
        </is>
      </c>
    </row>
    <row r="6848">
      <c r="A6848" t="inlineStr">
        <is>
          <t xml:space="preserve">ITI Mutual Fund</t>
        </is>
      </c>
      <c r="B6848" t="inlineStr">
        <is>
          <t xml:space="preserve">ITI Overnight Fund - Direct Plan - Fortnightly IDCW Option</t>
        </is>
      </c>
      <c r="C6848" t="inlineStr">
        <is>
          <t xml:space="preserve">INF00XX01622</t>
        </is>
      </c>
    </row>
    <row r="6849">
      <c r="A6849" t="inlineStr">
        <is>
          <t xml:space="preserve">ITI Mutual Fund</t>
        </is>
      </c>
      <c r="B6849" t="inlineStr">
        <is>
          <t xml:space="preserve">ITI Overnight Fund - Direct Plan - Growth Option</t>
        </is>
      </c>
      <c r="C6849" t="inlineStr">
        <is>
          <t xml:space="preserve">INF00XX01564</t>
        </is>
      </c>
    </row>
    <row r="6850">
      <c r="A6850" t="inlineStr">
        <is>
          <t xml:space="preserve">ITI Mutual Fund</t>
        </is>
      </c>
      <c r="B6850" t="inlineStr">
        <is>
          <t xml:space="preserve">ITI Overnight Fund - Direct Plan - Monthly IDCW Option</t>
        </is>
      </c>
      <c r="C6850" t="inlineStr">
        <is>
          <t xml:space="preserve">INF00XX01630</t>
        </is>
      </c>
    </row>
    <row r="6851">
      <c r="A6851" t="inlineStr">
        <is>
          <t xml:space="preserve">ITI Mutual Fund</t>
        </is>
      </c>
      <c r="B6851" t="inlineStr">
        <is>
          <t xml:space="preserve">ITI Overnight Fund - Direct Plan - Weekly IDCW option</t>
        </is>
      </c>
      <c r="C6851" t="inlineStr">
        <is>
          <t xml:space="preserve">INF00XX01580</t>
        </is>
      </c>
    </row>
    <row r="6852">
      <c r="A6852" t="inlineStr">
        <is>
          <t xml:space="preserve">ITI Mutual Fund</t>
        </is>
      </c>
      <c r="B6852" t="inlineStr">
        <is>
          <t xml:space="preserve">ITI Overnight Fund - Regular Plan - Annual IDCW Option</t>
        </is>
      </c>
      <c r="C6852" t="inlineStr">
        <is>
          <t xml:space="preserve">INF00XX01556</t>
        </is>
      </c>
    </row>
    <row r="6853">
      <c r="A6853" t="inlineStr">
        <is>
          <t xml:space="preserve">ITI Mutual Fund</t>
        </is>
      </c>
      <c r="B6853" t="inlineStr">
        <is>
          <t xml:space="preserve">ITI Overnight Fund - Regular Plan - Daily IDCW Option</t>
        </is>
      </c>
      <c r="C6853" t="inlineStr">
        <is>
          <t xml:space="preserve">INF00XX01481</t>
        </is>
      </c>
    </row>
    <row r="6854">
      <c r="A6854" t="inlineStr">
        <is>
          <t xml:space="preserve">ITI Mutual Fund</t>
        </is>
      </c>
      <c r="B6854" t="inlineStr">
        <is>
          <t xml:space="preserve">ITI Overnight Fund - Regular Plan - Fortnightly IDCW Option</t>
        </is>
      </c>
      <c r="C6854" t="inlineStr">
        <is>
          <t xml:space="preserve">INF00XX01531</t>
        </is>
      </c>
    </row>
    <row r="6855">
      <c r="A6855" t="inlineStr">
        <is>
          <t xml:space="preserve">ITI Mutual Fund</t>
        </is>
      </c>
      <c r="B6855" t="inlineStr">
        <is>
          <t xml:space="preserve">ITI Overnight Fund - Regular Plan - Growth Option</t>
        </is>
      </c>
      <c r="C6855" t="inlineStr">
        <is>
          <t xml:space="preserve">INF00XX01473</t>
        </is>
      </c>
    </row>
    <row r="6856">
      <c r="A6856" t="inlineStr">
        <is>
          <t xml:space="preserve">ITI Mutual Fund</t>
        </is>
      </c>
      <c r="B6856" t="inlineStr">
        <is>
          <t xml:space="preserve">ITI Overnight Fund - Regular Plan - Monthly IDCW Option</t>
        </is>
      </c>
      <c r="C6856" t="inlineStr">
        <is>
          <t xml:space="preserve">INF00XX01549</t>
        </is>
      </c>
    </row>
    <row r="6857">
      <c r="A6857" t="inlineStr">
        <is>
          <t xml:space="preserve">ITI Mutual Fund</t>
        </is>
      </c>
      <c r="B6857" t="inlineStr">
        <is>
          <t xml:space="preserve">ITI Overnight Fund - Regular Plan - Weekly IDCW Option</t>
        </is>
      </c>
      <c r="C6857" t="inlineStr">
        <is>
          <t xml:space="preserve">INF00XX01499</t>
        </is>
      </c>
    </row>
    <row r="6858">
      <c r="A6858" t="inlineStr">
        <is>
          <t xml:space="preserve">ITI Mutual Fund</t>
        </is>
      </c>
      <c r="B6858" t="inlineStr">
        <is>
          <t xml:space="preserve">ITI Pharma and Healthcare Fund - Direct Plan - Growth Option</t>
        </is>
      </c>
      <c r="C6858" t="inlineStr">
        <is>
          <t xml:space="preserve">INF00XX01BO9</t>
        </is>
      </c>
    </row>
    <row r="6859">
      <c r="A6859" t="inlineStr">
        <is>
          <t xml:space="preserve">ITI Mutual Fund</t>
        </is>
      </c>
      <c r="B6859" t="inlineStr">
        <is>
          <t xml:space="preserve">ITI Pharma and Healthcare Fund - Direct Plan - IDCW Option</t>
        </is>
      </c>
      <c r="C6859" t="inlineStr">
        <is>
          <t xml:space="preserve">INF00XX01BP6</t>
        </is>
      </c>
    </row>
    <row r="6860">
      <c r="A6860" t="inlineStr">
        <is>
          <t xml:space="preserve">ITI Mutual Fund</t>
        </is>
      </c>
      <c r="B6860" t="inlineStr">
        <is>
          <t xml:space="preserve">ITI Pharma and Healthcare Fund - Regular Plan - Growth Option</t>
        </is>
      </c>
      <c r="C6860" t="inlineStr">
        <is>
          <t xml:space="preserve">INF00XX01BL5</t>
        </is>
      </c>
    </row>
    <row r="6861">
      <c r="A6861" t="inlineStr">
        <is>
          <t xml:space="preserve">ITI Mutual Fund</t>
        </is>
      </c>
      <c r="B6861" t="inlineStr">
        <is>
          <t xml:space="preserve">ITI Pharma and Healthcare Fund - Regular Plan - IDCW Option</t>
        </is>
      </c>
      <c r="C6861" t="inlineStr">
        <is>
          <t xml:space="preserve">INF00XX01BM3</t>
        </is>
      </c>
    </row>
    <row r="6862">
      <c r="A6862" t="inlineStr">
        <is>
          <t xml:space="preserve">ITI Mutual Fund</t>
        </is>
      </c>
      <c r="B6862" t="inlineStr">
        <is>
          <t xml:space="preserve">ITI Small Cap Fund - Direct Plan - Growth Option</t>
        </is>
      </c>
      <c r="C6862" t="inlineStr">
        <is>
          <t xml:space="preserve">INF00XX01747</t>
        </is>
      </c>
    </row>
    <row r="6863">
      <c r="A6863" t="inlineStr">
        <is>
          <t xml:space="preserve">ITI Mutual Fund</t>
        </is>
      </c>
      <c r="B6863" t="inlineStr">
        <is>
          <t xml:space="preserve">ITI Small Cap Fund - Direct Plan - IDCW Option</t>
        </is>
      </c>
      <c r="C6863" t="inlineStr">
        <is>
          <t xml:space="preserve">INF00XX01754</t>
        </is>
      </c>
    </row>
    <row r="6864">
      <c r="A6864" t="inlineStr">
        <is>
          <t xml:space="preserve">ITI Mutual Fund</t>
        </is>
      </c>
      <c r="B6864" t="inlineStr">
        <is>
          <t xml:space="preserve">ITI Small Cap Fund - Regular Plan - Growth Option</t>
        </is>
      </c>
      <c r="C6864" t="inlineStr">
        <is>
          <t xml:space="preserve">INF00XX01713</t>
        </is>
      </c>
    </row>
    <row r="6865">
      <c r="A6865" t="inlineStr">
        <is>
          <t xml:space="preserve">ITI Mutual Fund</t>
        </is>
      </c>
      <c r="B6865" t="inlineStr">
        <is>
          <t xml:space="preserve">ITI Small Cap Fund - Regular Plan - IDCW Option</t>
        </is>
      </c>
      <c r="C6865" t="inlineStr">
        <is>
          <t xml:space="preserve">INF00XX01721</t>
        </is>
      </c>
    </row>
    <row r="6866">
      <c r="A6866" t="inlineStr">
        <is>
          <t xml:space="preserve">ITI Mutual Fund</t>
        </is>
      </c>
      <c r="B6866" t="inlineStr">
        <is>
          <t xml:space="preserve">ITI Ultra Short Duration Fund - Direct Plan - Annually IDCW Option</t>
        </is>
      </c>
      <c r="C6866" t="inlineStr">
        <is>
          <t xml:space="preserve">INF00XX01AM5</t>
        </is>
      </c>
    </row>
    <row r="6867">
      <c r="A6867" t="inlineStr">
        <is>
          <t xml:space="preserve">ITI Mutual Fund</t>
        </is>
      </c>
      <c r="B6867" t="inlineStr">
        <is>
          <t xml:space="preserve">ITI Ultra Short Duration Fund - Direct Plan - Daily IDCW</t>
        </is>
      </c>
      <c r="C6867" t="inlineStr">
        <is>
          <t xml:space="preserve">INF00XX01AF9</t>
        </is>
      </c>
    </row>
    <row r="6868">
      <c r="A6868" t="inlineStr">
        <is>
          <t xml:space="preserve">ITI Mutual Fund</t>
        </is>
      </c>
      <c r="B6868" t="inlineStr">
        <is>
          <t xml:space="preserve">ITI Ultra Short Duration Fund - Direct Plan - Fortnightly IDCW Option</t>
        </is>
      </c>
      <c r="C6868" t="inlineStr">
        <is>
          <t xml:space="preserve">INF00XX01AK9</t>
        </is>
      </c>
    </row>
    <row r="6869">
      <c r="A6869" t="inlineStr">
        <is>
          <t xml:space="preserve">ITI Mutual Fund</t>
        </is>
      </c>
      <c r="B6869" t="inlineStr">
        <is>
          <t xml:space="preserve">ITI Ultra Short Duration Fund - Direct Plan - Growth Option</t>
        </is>
      </c>
      <c r="C6869" t="inlineStr">
        <is>
          <t xml:space="preserve">INF00XX01AE2</t>
        </is>
      </c>
    </row>
    <row r="6870">
      <c r="A6870" t="inlineStr">
        <is>
          <t xml:space="preserve">ITI Mutual Fund</t>
        </is>
      </c>
      <c r="B6870" t="inlineStr">
        <is>
          <t xml:space="preserve">ITI Ultra Short Duration Fund - Direct Plan - Monthly IDCW Option</t>
        </is>
      </c>
      <c r="C6870" t="inlineStr">
        <is>
          <t xml:space="preserve">INF00XX01AL7</t>
        </is>
      </c>
    </row>
    <row r="6871">
      <c r="A6871" t="inlineStr">
        <is>
          <t xml:space="preserve">ITI Mutual Fund</t>
        </is>
      </c>
      <c r="B6871" t="inlineStr">
        <is>
          <t xml:space="preserve">ITI Ultra Short Duration Fund - Direct Plan - Weekly IDCW Option</t>
        </is>
      </c>
      <c r="C6871" t="inlineStr">
        <is>
          <t xml:space="preserve">INF00XX01AG7</t>
        </is>
      </c>
    </row>
    <row r="6872">
      <c r="A6872" t="inlineStr">
        <is>
          <t xml:space="preserve">ITI Mutual Fund</t>
        </is>
      </c>
      <c r="B6872" t="inlineStr">
        <is>
          <t xml:space="preserve">ITI Ultra Short Duration Fund - Regular Plan - Annually IDCW Option</t>
        </is>
      </c>
      <c r="C6872" t="inlineStr">
        <is>
          <t xml:space="preserve">INF00XX01AD4</t>
        </is>
      </c>
    </row>
    <row r="6873">
      <c r="A6873" t="inlineStr">
        <is>
          <t xml:space="preserve">ITI Mutual Fund</t>
        </is>
      </c>
      <c r="B6873" t="inlineStr">
        <is>
          <t xml:space="preserve">ITI Ultra Short Duration Fund - Regular Plan - Daily IDCW Option</t>
        </is>
      </c>
      <c r="C6873" t="inlineStr">
        <is>
          <t xml:space="preserve">INF00XX01960</t>
        </is>
      </c>
    </row>
    <row r="6874">
      <c r="A6874" t="inlineStr">
        <is>
          <t xml:space="preserve">ITI Mutual Fund</t>
        </is>
      </c>
      <c r="B6874" t="inlineStr">
        <is>
          <t xml:space="preserve">ITI Ultra Short Duration Fund - Regular Plan - Fortnightly IDCW Option</t>
        </is>
      </c>
      <c r="C6874" t="inlineStr">
        <is>
          <t xml:space="preserve">INF00XX01AB8</t>
        </is>
      </c>
    </row>
    <row r="6875">
      <c r="A6875" t="inlineStr">
        <is>
          <t xml:space="preserve">ITI Mutual Fund</t>
        </is>
      </c>
      <c r="B6875" t="inlineStr">
        <is>
          <t xml:space="preserve">ITI Ultra Short Duration Fund - Regular Plan - Growth Option</t>
        </is>
      </c>
      <c r="C6875" t="inlineStr">
        <is>
          <t xml:space="preserve">INF00XX01952</t>
        </is>
      </c>
    </row>
    <row r="6876">
      <c r="A6876" t="inlineStr">
        <is>
          <t xml:space="preserve">ITI Mutual Fund</t>
        </is>
      </c>
      <c r="B6876" t="inlineStr">
        <is>
          <t xml:space="preserve">ITI Ultra Short Duration Fund - Regular Plan - Monthly IDCW Option</t>
        </is>
      </c>
      <c r="C6876" t="inlineStr">
        <is>
          <t xml:space="preserve">INF00XX01AC6</t>
        </is>
      </c>
    </row>
    <row r="6877">
      <c r="A6877" t="inlineStr">
        <is>
          <t xml:space="preserve">ITI Mutual Fund</t>
        </is>
      </c>
      <c r="B6877" t="inlineStr">
        <is>
          <t xml:space="preserve">ITI Ultra Short Duration Fund - Regular Plan - Weekly IDCW Option</t>
        </is>
      </c>
      <c r="C6877" t="inlineStr">
        <is>
          <t xml:space="preserve">INF00XX01978</t>
        </is>
      </c>
    </row>
    <row r="6878">
      <c r="A6878" t="inlineStr">
        <is>
          <t xml:space="preserve">ITI Mutual Fund</t>
        </is>
      </c>
      <c r="B6878" t="inlineStr">
        <is>
          <t xml:space="preserve">ITI Value Fund - Direct Plan - Growth Option</t>
        </is>
      </c>
      <c r="C6878" t="inlineStr">
        <is>
          <t xml:space="preserve">INF00XX01AQ6</t>
        </is>
      </c>
    </row>
    <row r="6879">
      <c r="A6879" t="inlineStr">
        <is>
          <t xml:space="preserve">ITI Mutual Fund</t>
        </is>
      </c>
      <c r="B6879" t="inlineStr">
        <is>
          <t xml:space="preserve">ITI Value Fund - Direct Plan - IDCW Option</t>
        </is>
      </c>
      <c r="C6879" t="inlineStr">
        <is>
          <t xml:space="preserve">INF00XX01AR4</t>
        </is>
      </c>
    </row>
    <row r="6880">
      <c r="A6880" t="inlineStr">
        <is>
          <t xml:space="preserve">ITI Mutual Fund</t>
        </is>
      </c>
      <c r="B6880" t="inlineStr">
        <is>
          <t xml:space="preserve">ITI Value Fund - Regular Plan - Growth Option</t>
        </is>
      </c>
      <c r="C6880" t="inlineStr">
        <is>
          <t xml:space="preserve">INF00XX01AN3</t>
        </is>
      </c>
    </row>
    <row r="6881">
      <c r="A6881" t="inlineStr">
        <is>
          <t xml:space="preserve">ITI Mutual Fund</t>
        </is>
      </c>
      <c r="B6881" t="inlineStr">
        <is>
          <t xml:space="preserve">ITI Value Fund - Regular Plan - IDCW Option</t>
        </is>
      </c>
      <c r="C6881" t="inlineStr">
        <is>
          <t xml:space="preserve">INF00XX01AO1</t>
        </is>
      </c>
    </row>
    <row r="6882">
      <c r="A6882" t="inlineStr">
        <is>
          <t xml:space="preserve">Jio BlackRock Mutual Fund</t>
        </is>
      </c>
      <c r="B6882" t="inlineStr">
        <is>
          <t xml:space="preserve">JioBlackRock Arbitrage Fund - Direct Plan - Growth Option</t>
        </is>
      </c>
      <c r="C6882" t="inlineStr">
        <is>
          <t xml:space="preserve">INF22M001101</t>
        </is>
      </c>
    </row>
    <row r="6883">
      <c r="A6883" t="inlineStr">
        <is>
          <t xml:space="preserve">Jio BlackRock Mutual Fund</t>
        </is>
      </c>
      <c r="B6883" t="inlineStr">
        <is>
          <t xml:space="preserve">JioBlackRock Flexi Cap Fund - Direct Plan - Growth Option</t>
        </is>
      </c>
      <c r="C6883" t="inlineStr">
        <is>
          <t xml:space="preserve">INF22M001093</t>
        </is>
      </c>
    </row>
    <row r="6884">
      <c r="A6884" t="inlineStr">
        <is>
          <t xml:space="preserve">Jio BlackRock Mutual Fund</t>
        </is>
      </c>
      <c r="B6884" t="inlineStr">
        <is>
          <t xml:space="preserve">JioBlackRock Large Cap Fund - Direct Plan - Growth Option</t>
        </is>
      </c>
      <c r="C6884" t="inlineStr">
        <is>
          <t xml:space="preserve">INF22M001176</t>
        </is>
      </c>
    </row>
    <row r="6885">
      <c r="A6885" t="inlineStr">
        <is>
          <t xml:space="preserve">Jio BlackRock Mutual Fund</t>
        </is>
      </c>
      <c r="B6885" t="inlineStr">
        <is>
          <t xml:space="preserve">JioBlackRock Liquid Fund - Direct Plan - Growth Option</t>
        </is>
      </c>
      <c r="C6885" t="inlineStr">
        <is>
          <t xml:space="preserve">INF22M001010</t>
        </is>
      </c>
    </row>
    <row r="6886">
      <c r="A6886" t="inlineStr">
        <is>
          <t xml:space="preserve">Jio BlackRock Mutual Fund</t>
        </is>
      </c>
      <c r="B6886" t="inlineStr">
        <is>
          <t xml:space="preserve">JioBlackRock Low Duration Fund - Direct Plan - Growth Option</t>
        </is>
      </c>
      <c r="C6886" t="inlineStr">
        <is>
          <t xml:space="preserve">INF22M001150</t>
        </is>
      </c>
    </row>
    <row r="6887">
      <c r="A6887" t="inlineStr">
        <is>
          <t xml:space="preserve">Jio BlackRock Mutual Fund</t>
        </is>
      </c>
      <c r="B6887" t="inlineStr">
        <is>
          <t xml:space="preserve">JioBlackRock Money Market Fund - Direct Plan - Growth Option</t>
        </is>
      </c>
      <c r="C6887" t="inlineStr">
        <is>
          <t xml:space="preserve">INF22M001028</t>
        </is>
      </c>
    </row>
    <row r="6888">
      <c r="A6888" t="inlineStr">
        <is>
          <t xml:space="preserve">Jio BlackRock Mutual Fund</t>
        </is>
      </c>
      <c r="B6888" t="inlineStr">
        <is>
          <t xml:space="preserve">JioBlackRock Nifty 50 Index Fund - Direct Plan - Growth Option</t>
        </is>
      </c>
      <c r="C6888" t="inlineStr">
        <is>
          <t xml:space="preserve">INF22M001044</t>
        </is>
      </c>
    </row>
    <row r="6889">
      <c r="A6889" t="inlineStr">
        <is>
          <t xml:space="preserve">Jio BlackRock Mutual Fund</t>
        </is>
      </c>
      <c r="B6889" t="inlineStr">
        <is>
          <t xml:space="preserve">JioBlackRock Nifty 8-13 yr G-Sec Index Fund - Direct Plan - Growth Option</t>
        </is>
      </c>
      <c r="C6889" t="inlineStr">
        <is>
          <t xml:space="preserve">INF22M001069</t>
        </is>
      </c>
    </row>
    <row r="6890">
      <c r="A6890" t="inlineStr">
        <is>
          <t xml:space="preserve">Jio BlackRock Mutual Fund</t>
        </is>
      </c>
      <c r="B6890" t="inlineStr">
        <is>
          <t xml:space="preserve">JioBlackRock Nifty Midcap 150 Index Fund - Direct Plan - Growth Option</t>
        </is>
      </c>
      <c r="C6890" t="inlineStr">
        <is>
          <t xml:space="preserve">INF22M001077</t>
        </is>
      </c>
    </row>
    <row r="6891">
      <c r="A6891" t="inlineStr">
        <is>
          <t xml:space="preserve">Jio BlackRock Mutual Fund</t>
        </is>
      </c>
      <c r="B6891" t="inlineStr">
        <is>
          <t xml:space="preserve">JioBlackRock Nifty Next 50 Index Fund - Direct Plan - Growth Option</t>
        </is>
      </c>
      <c r="C6891" t="inlineStr">
        <is>
          <t xml:space="preserve">INF22M001085</t>
        </is>
      </c>
    </row>
    <row r="6892">
      <c r="A6892" t="inlineStr">
        <is>
          <t xml:space="preserve">Jio BlackRock Mutual Fund</t>
        </is>
      </c>
      <c r="B6892" t="inlineStr">
        <is>
          <t xml:space="preserve">JioBlackRock Nifty Smallcap 250 Index Fund - Direct Plan - Growth Option</t>
        </is>
      </c>
      <c r="C6892" t="inlineStr">
        <is>
          <t xml:space="preserve">INF22M001051</t>
        </is>
      </c>
    </row>
    <row r="6893">
      <c r="A6893" t="inlineStr">
        <is>
          <t xml:space="preserve">Jio BlackRock Mutual Fund</t>
        </is>
      </c>
      <c r="B6893" t="inlineStr">
        <is>
          <t xml:space="preserve">JioBlackRock Overnight Fund - Direct Plan - Growth Option</t>
        </is>
      </c>
      <c r="C6893" t="inlineStr">
        <is>
          <t xml:space="preserve">INF22M001036</t>
        </is>
      </c>
    </row>
    <row r="6894">
      <c r="A6894" t="inlineStr">
        <is>
          <t xml:space="preserve">Jio BlackRock Mutual Fund</t>
        </is>
      </c>
      <c r="B6894" t="inlineStr">
        <is>
          <t xml:space="preserve">JioBlackRock Sector Rotation Fund - Direct Plan - Growth Option</t>
        </is>
      </c>
      <c r="C6894" t="inlineStr">
        <is>
          <t xml:space="preserve">INF22M001168</t>
        </is>
      </c>
    </row>
    <row r="6895">
      <c r="A6895" t="inlineStr">
        <is>
          <t xml:space="preserve">Jio BlackRock Mutual Fund</t>
        </is>
      </c>
      <c r="B6895" t="inlineStr">
        <is>
          <t xml:space="preserve">JioBlackRock Short Duration Fund - Direct Plan - Growth Option</t>
        </is>
      </c>
      <c r="C6895" t="inlineStr">
        <is>
          <t xml:space="preserve">INF22M001143</t>
        </is>
      </c>
    </row>
    <row r="6896">
      <c r="A6896" t="inlineStr">
        <is>
          <t xml:space="preserve">JM Financial Mutual Fund</t>
        </is>
      </c>
      <c r="B6896" t="inlineStr">
        <is>
          <t xml:space="preserve">JM Aggressive Hybrid Fund (Direct) - Annual Bonus Option</t>
        </is>
      </c>
      <c r="C6896" t="inlineStr">
        <is>
          <t xml:space="preserve">INF192K01HB8</t>
        </is>
      </c>
    </row>
    <row r="6897">
      <c r="A6897" t="inlineStr">
        <is>
          <t xml:space="preserve">JM Financial Mutual Fund</t>
        </is>
      </c>
      <c r="B6897" t="inlineStr">
        <is>
          <t xml:space="preserve">JM Aggressive Hybrid Fund (Direct) - Annual IDCW</t>
        </is>
      </c>
      <c r="C6897" t="inlineStr">
        <is>
          <t xml:space="preserve">INF192K01HJ1</t>
        </is>
      </c>
    </row>
    <row r="6898">
      <c r="A6898" t="inlineStr">
        <is>
          <t xml:space="preserve">JM Financial Mutual Fund</t>
        </is>
      </c>
      <c r="B6898" t="inlineStr">
        <is>
          <t xml:space="preserve">JM Aggressive Hybrid Fund (Direct) - Bonus Option - Principal Units</t>
        </is>
      </c>
      <c r="C6898" t="inlineStr">
        <is>
          <t xml:space="preserve">INF192K01GP0</t>
        </is>
      </c>
    </row>
    <row r="6899">
      <c r="A6899" t="inlineStr">
        <is>
          <t xml:space="preserve">JM Financial Mutual Fund</t>
        </is>
      </c>
      <c r="B6899" t="inlineStr">
        <is>
          <t xml:space="preserve">JM Aggressive Hybrid Fund (Direct) - Growth Option</t>
        </is>
      </c>
      <c r="C6899" t="inlineStr">
        <is>
          <t xml:space="preserve">INF192K01BQ9</t>
        </is>
      </c>
    </row>
    <row r="6900">
      <c r="A6900" t="inlineStr">
        <is>
          <t xml:space="preserve">JM Financial Mutual Fund</t>
        </is>
      </c>
      <c r="B6900" t="inlineStr">
        <is>
          <t xml:space="preserve">JM Aggressive Hybrid Fund (Direct) - Half Yearly Bonus Option - Principal Units</t>
        </is>
      </c>
      <c r="C6900" t="inlineStr">
        <is>
          <t xml:space="preserve">INF192K01HV6</t>
        </is>
      </c>
    </row>
    <row r="6901">
      <c r="A6901" t="inlineStr">
        <is>
          <t xml:space="preserve">JM Financial Mutual Fund</t>
        </is>
      </c>
      <c r="B6901" t="inlineStr">
        <is>
          <t xml:space="preserve">JM Aggressive Hybrid Fund (Direct) - Half Yearly IDCW</t>
        </is>
      </c>
      <c r="C6901" t="inlineStr">
        <is>
          <t xml:space="preserve">INF192K01HH5</t>
        </is>
      </c>
    </row>
    <row r="6902">
      <c r="A6902" t="inlineStr">
        <is>
          <t xml:space="preserve">JM Financial Mutual Fund</t>
        </is>
      </c>
      <c r="B6902" t="inlineStr">
        <is>
          <t xml:space="preserve">JM Aggressive Hybrid Fund (Direct) - IDCW</t>
        </is>
      </c>
      <c r="C6902" t="inlineStr">
        <is>
          <t xml:space="preserve">INF192K01BO4</t>
        </is>
      </c>
    </row>
    <row r="6903">
      <c r="A6903" t="inlineStr">
        <is>
          <t xml:space="preserve">JM Financial Mutual Fund</t>
        </is>
      </c>
      <c r="B6903" t="inlineStr">
        <is>
          <t xml:space="preserve">JM Aggressive Hybrid Fund (Direct) - Monthly IDCW</t>
        </is>
      </c>
      <c r="C6903" t="inlineStr">
        <is>
          <t xml:space="preserve">INF192K01HN3</t>
        </is>
      </c>
    </row>
    <row r="6904">
      <c r="A6904" t="inlineStr">
        <is>
          <t xml:space="preserve">JM Financial Mutual Fund</t>
        </is>
      </c>
      <c r="B6904" t="inlineStr">
        <is>
          <t xml:space="preserve">JM Aggressive Hybrid Fund (Direct) - Quarterly Bonus Option - Principal Units</t>
        </is>
      </c>
      <c r="C6904" t="inlineStr">
        <is>
          <t xml:space="preserve">INF192K01HZ7</t>
        </is>
      </c>
    </row>
    <row r="6905">
      <c r="A6905" t="inlineStr">
        <is>
          <t xml:space="preserve">JM Financial Mutual Fund</t>
        </is>
      </c>
      <c r="B6905" t="inlineStr">
        <is>
          <t xml:space="preserve">JM Aggressive Hybrid Fund (Direct) - Quarterly IDCW</t>
        </is>
      </c>
      <c r="C6905" t="inlineStr">
        <is>
          <t xml:space="preserve">INF192K01HR4</t>
        </is>
      </c>
    </row>
    <row r="6906">
      <c r="A6906" t="inlineStr">
        <is>
          <t xml:space="preserve">JM Financial Mutual Fund</t>
        </is>
      </c>
      <c r="B6906" t="inlineStr">
        <is>
          <t xml:space="preserve">JM Aggressive Hybrid Fund (Regular) - Annual Bonus Option - Principal Units</t>
        </is>
      </c>
      <c r="C6906" t="inlineStr">
        <is>
          <t xml:space="preserve">INF192K01GZ9</t>
        </is>
      </c>
    </row>
    <row r="6907">
      <c r="A6907" t="inlineStr">
        <is>
          <t xml:space="preserve">JM Financial Mutual Fund</t>
        </is>
      </c>
      <c r="B6907" t="inlineStr">
        <is>
          <t xml:space="preserve">JM Aggressive Hybrid Fund (Regular) - Annual IDCW</t>
        </is>
      </c>
      <c r="C6907" t="inlineStr">
        <is>
          <t xml:space="preserve">INF192K01HF9</t>
        </is>
      </c>
    </row>
    <row r="6908">
      <c r="A6908" t="inlineStr">
        <is>
          <t xml:space="preserve">JM Financial Mutual Fund</t>
        </is>
      </c>
      <c r="B6908" t="inlineStr">
        <is>
          <t xml:space="preserve">JM Aggressive Hybrid Fund (Regular) - Bonus Option - Principal Units</t>
        </is>
      </c>
      <c r="C6908" t="inlineStr">
        <is>
          <t xml:space="preserve">INF192K01GN5</t>
        </is>
      </c>
    </row>
    <row r="6909">
      <c r="A6909" t="inlineStr">
        <is>
          <t xml:space="preserve">JM Financial Mutual Fund</t>
        </is>
      </c>
      <c r="B6909" t="inlineStr">
        <is>
          <t xml:space="preserve">JM Aggressive Hybrid Fund (Regular) - Half Yearly Bonus Option - Principal Units</t>
        </is>
      </c>
      <c r="C6909" t="inlineStr">
        <is>
          <t xml:space="preserve">INF192K01HT0</t>
        </is>
      </c>
    </row>
    <row r="6910">
      <c r="A6910" t="inlineStr">
        <is>
          <t xml:space="preserve">JM Financial Mutual Fund</t>
        </is>
      </c>
      <c r="B6910" t="inlineStr">
        <is>
          <t xml:space="preserve">JM Aggressive Hybrid Fund (Regular) - Half Yearly IDCW</t>
        </is>
      </c>
      <c r="C6910" t="inlineStr">
        <is>
          <t xml:space="preserve">INF192K01HD4</t>
        </is>
      </c>
    </row>
    <row r="6911">
      <c r="A6911" t="inlineStr">
        <is>
          <t xml:space="preserve">JM Financial Mutual Fund</t>
        </is>
      </c>
      <c r="B6911" t="inlineStr">
        <is>
          <t xml:space="preserve">JM Aggressive Hybrid Fund (Regular) - IDCW</t>
        </is>
      </c>
      <c r="C6911" t="inlineStr">
        <is>
          <t xml:space="preserve">INF192K01528</t>
        </is>
      </c>
    </row>
    <row r="6912">
      <c r="A6912" t="inlineStr">
        <is>
          <t xml:space="preserve">JM Financial Mutual Fund</t>
        </is>
      </c>
      <c r="B6912" t="inlineStr">
        <is>
          <t xml:space="preserve">JM Aggressive Hybrid Fund (Regular) - Monthly IDCW</t>
        </is>
      </c>
      <c r="C6912" t="inlineStr">
        <is>
          <t xml:space="preserve">INF192K01HL7</t>
        </is>
      </c>
    </row>
    <row r="6913">
      <c r="A6913" t="inlineStr">
        <is>
          <t xml:space="preserve">JM Financial Mutual Fund</t>
        </is>
      </c>
      <c r="B6913" t="inlineStr">
        <is>
          <t xml:space="preserve">JM Aggressive Hybrid Fund (Regular) - Quarterly Bonus Option - Principal Units</t>
        </is>
      </c>
      <c r="C6913" t="inlineStr">
        <is>
          <t xml:space="preserve">INF192K01HX2</t>
        </is>
      </c>
    </row>
    <row r="6914">
      <c r="A6914" t="inlineStr">
        <is>
          <t xml:space="preserve">JM Financial Mutual Fund</t>
        </is>
      </c>
      <c r="B6914" t="inlineStr">
        <is>
          <t xml:space="preserve">JM Aggressive Hybrid Fund (Regular) - Quarterly IDCW</t>
        </is>
      </c>
      <c r="C6914" t="inlineStr">
        <is>
          <t xml:space="preserve">INF192K01HP8</t>
        </is>
      </c>
    </row>
    <row r="6915">
      <c r="A6915" t="inlineStr">
        <is>
          <t xml:space="preserve">JM Financial Mutual Fund</t>
        </is>
      </c>
      <c r="B6915" t="inlineStr">
        <is>
          <t xml:space="preserve">JM Aggressive Hybrid Fund (Regular) -Growth Option</t>
        </is>
      </c>
      <c r="C6915" t="inlineStr">
        <is>
          <t xml:space="preserve">INF192K01544</t>
        </is>
      </c>
    </row>
    <row r="6916">
      <c r="A6916" t="inlineStr">
        <is>
          <t xml:space="preserve">JM Financial Mutual Fund</t>
        </is>
      </c>
      <c r="B6916" t="inlineStr">
        <is>
          <t xml:space="preserve">JM Arbitrage Fund (Direct) - Annual Bonus Option - Principal Units</t>
        </is>
      </c>
      <c r="C6916" t="inlineStr">
        <is>
          <t xml:space="preserve">INF192K01GX4</t>
        </is>
      </c>
    </row>
    <row r="6917">
      <c r="A6917" t="inlineStr">
        <is>
          <t xml:space="preserve">JM Financial Mutual Fund</t>
        </is>
      </c>
      <c r="B6917" t="inlineStr">
        <is>
          <t xml:space="preserve">JM Arbitrage Fund (Direct) - Annual IDCW</t>
        </is>
      </c>
      <c r="C6917" t="inlineStr">
        <is>
          <t xml:space="preserve">INF192K01KY4</t>
        </is>
      </c>
    </row>
    <row r="6918">
      <c r="A6918" t="inlineStr">
        <is>
          <t xml:space="preserve">JM Financial Mutual Fund</t>
        </is>
      </c>
      <c r="B6918" t="inlineStr">
        <is>
          <t xml:space="preserve">JM Arbitrage Fund (Direct) - Bonus Option - Principal Units</t>
        </is>
      </c>
      <c r="C6918" t="inlineStr">
        <is>
          <t xml:space="preserve">INF192K01GL9</t>
        </is>
      </c>
    </row>
    <row r="6919">
      <c r="A6919" t="inlineStr">
        <is>
          <t xml:space="preserve">JM Financial Mutual Fund</t>
        </is>
      </c>
      <c r="B6919" t="inlineStr">
        <is>
          <t xml:space="preserve">JM Arbitrage Fund (Direct) - Growth Option</t>
        </is>
      </c>
      <c r="C6919" t="inlineStr">
        <is>
          <t xml:space="preserve">INF192K01BN6</t>
        </is>
      </c>
    </row>
    <row r="6920">
      <c r="A6920" t="inlineStr">
        <is>
          <t xml:space="preserve">JM Financial Mutual Fund</t>
        </is>
      </c>
      <c r="B6920" t="inlineStr">
        <is>
          <t xml:space="preserve">JM Arbitrage Fund (Direct) - Half Yearly Bonus Option - Principal Units</t>
        </is>
      </c>
      <c r="C6920" t="inlineStr">
        <is>
          <t xml:space="preserve">INF192K01ID2</t>
        </is>
      </c>
    </row>
    <row r="6921">
      <c r="A6921" t="inlineStr">
        <is>
          <t xml:space="preserve">JM Financial Mutual Fund</t>
        </is>
      </c>
      <c r="B6921" t="inlineStr">
        <is>
          <t xml:space="preserve">JM Arbitrage Fund (Direct) - Half Yearly IDCW</t>
        </is>
      </c>
      <c r="C6921" t="inlineStr">
        <is>
          <t xml:space="preserve">INF192K01KU2</t>
        </is>
      </c>
    </row>
    <row r="6922">
      <c r="A6922" t="inlineStr">
        <is>
          <t xml:space="preserve">JM Financial Mutual Fund</t>
        </is>
      </c>
      <c r="B6922" t="inlineStr">
        <is>
          <t xml:space="preserve">JM Arbitrage Fund (Direct) - Monthly IDCW</t>
        </is>
      </c>
      <c r="C6922" t="inlineStr">
        <is>
          <t xml:space="preserve">INF192K01KM9</t>
        </is>
      </c>
    </row>
    <row r="6923">
      <c r="A6923" t="inlineStr">
        <is>
          <t xml:space="preserve">JM Financial Mutual Fund</t>
        </is>
      </c>
      <c r="B6923" t="inlineStr">
        <is>
          <t xml:space="preserve">JM Arbitrage Fund (Direct) - Quarterly Bonus Option - Principal Units</t>
        </is>
      </c>
      <c r="C6923" t="inlineStr">
        <is>
          <t xml:space="preserve">INF192K01IH3</t>
        </is>
      </c>
    </row>
    <row r="6924">
      <c r="A6924" t="inlineStr">
        <is>
          <t xml:space="preserve">JM Financial Mutual Fund</t>
        </is>
      </c>
      <c r="B6924" t="inlineStr">
        <is>
          <t xml:space="preserve">JM Arbitrage Fund (Direct) - Quarterly IDCW</t>
        </is>
      </c>
      <c r="C6924" t="inlineStr">
        <is>
          <t xml:space="preserve">INF192K01KQ0</t>
        </is>
      </c>
    </row>
    <row r="6925">
      <c r="A6925" t="inlineStr">
        <is>
          <t xml:space="preserve">JM Financial Mutual Fund</t>
        </is>
      </c>
      <c r="B6925" t="inlineStr">
        <is>
          <t xml:space="preserve">JM Arbitrage Fund (Direct)- IDCW</t>
        </is>
      </c>
      <c r="C6925" t="inlineStr">
        <is>
          <t xml:space="preserve">INF192K01BL0</t>
        </is>
      </c>
    </row>
    <row r="6926">
      <c r="A6926" t="inlineStr">
        <is>
          <t xml:space="preserve">JM Financial Mutual Fund</t>
        </is>
      </c>
      <c r="B6926" t="inlineStr">
        <is>
          <t xml:space="preserve">JM Arbitrage Fund (Regular) - Annual Bonus Option - Principal Units</t>
        </is>
      </c>
      <c r="C6926" t="inlineStr">
        <is>
          <t xml:space="preserve">INF192K01GV8</t>
        </is>
      </c>
    </row>
    <row r="6927">
      <c r="A6927" t="inlineStr">
        <is>
          <t xml:space="preserve">JM Financial Mutual Fund</t>
        </is>
      </c>
      <c r="B6927" t="inlineStr">
        <is>
          <t xml:space="preserve">JM Arbitrage Fund (Regular) - Annual IDCW</t>
        </is>
      </c>
      <c r="C6927" t="inlineStr">
        <is>
          <t xml:space="preserve">INF192K01KW8</t>
        </is>
      </c>
    </row>
    <row r="6928">
      <c r="A6928" t="inlineStr">
        <is>
          <t xml:space="preserve">JM Financial Mutual Fund</t>
        </is>
      </c>
      <c r="B6928" t="inlineStr">
        <is>
          <t xml:space="preserve">JM Arbitrage Fund (Regular) - Bonus Option - Principal Units</t>
        </is>
      </c>
      <c r="C6928" t="inlineStr">
        <is>
          <t xml:space="preserve">INF192K01GJ3</t>
        </is>
      </c>
    </row>
    <row r="6929">
      <c r="A6929" t="inlineStr">
        <is>
          <t xml:space="preserve">JM Financial Mutual Fund</t>
        </is>
      </c>
      <c r="B6929" t="inlineStr">
        <is>
          <t xml:space="preserve">JM Arbitrage Fund (Regular) - Growth Option</t>
        </is>
      </c>
      <c r="C6929" t="inlineStr">
        <is>
          <t xml:space="preserve">INF192K01510</t>
        </is>
      </c>
    </row>
    <row r="6930">
      <c r="A6930" t="inlineStr">
        <is>
          <t xml:space="preserve">JM Financial Mutual Fund</t>
        </is>
      </c>
      <c r="B6930" t="inlineStr">
        <is>
          <t xml:space="preserve">JM Arbitrage Fund (Regular) - Half Yearly Bonus Option - Principal Units</t>
        </is>
      </c>
      <c r="C6930" t="inlineStr">
        <is>
          <t xml:space="preserve">INF192K01IB6</t>
        </is>
      </c>
    </row>
    <row r="6931">
      <c r="A6931" t="inlineStr">
        <is>
          <t xml:space="preserve">JM Financial Mutual Fund</t>
        </is>
      </c>
      <c r="B6931" t="inlineStr">
        <is>
          <t xml:space="preserve">JM Arbitrage Fund (Regular) - Half Yearly IDCW</t>
        </is>
      </c>
      <c r="C6931" t="inlineStr">
        <is>
          <t xml:space="preserve">INF192K01KS6</t>
        </is>
      </c>
    </row>
    <row r="6932">
      <c r="A6932" t="inlineStr">
        <is>
          <t xml:space="preserve">JM Financial Mutual Fund</t>
        </is>
      </c>
      <c r="B6932" t="inlineStr">
        <is>
          <t xml:space="preserve">JM Arbitrage Fund (Regular) - IDCW</t>
        </is>
      </c>
      <c r="C6932" t="inlineStr">
        <is>
          <t xml:space="preserve">INF192K01494</t>
        </is>
      </c>
    </row>
    <row r="6933">
      <c r="A6933" t="inlineStr">
        <is>
          <t xml:space="preserve">JM Financial Mutual Fund</t>
        </is>
      </c>
      <c r="B6933" t="inlineStr">
        <is>
          <t xml:space="preserve">JM Arbitrage Fund (Regular) - Monthly IDCW</t>
        </is>
      </c>
      <c r="C6933" t="inlineStr">
        <is>
          <t xml:space="preserve">INF192K01KK3</t>
        </is>
      </c>
    </row>
    <row r="6934">
      <c r="A6934" t="inlineStr">
        <is>
          <t xml:space="preserve">JM Financial Mutual Fund</t>
        </is>
      </c>
      <c r="B6934" t="inlineStr">
        <is>
          <t xml:space="preserve">JM Arbitrage Fund (Regular) - Quarterly Bonus Option - Principal Units</t>
        </is>
      </c>
      <c r="C6934" t="inlineStr">
        <is>
          <t xml:space="preserve">INF192K01IF7</t>
        </is>
      </c>
    </row>
    <row r="6935">
      <c r="A6935" t="inlineStr">
        <is>
          <t xml:space="preserve">JM Financial Mutual Fund</t>
        </is>
      </c>
      <c r="B6935" t="inlineStr">
        <is>
          <t xml:space="preserve">JM Arbitrage Fund (Regular) - Quarterly IDCW</t>
        </is>
      </c>
      <c r="C6935" t="inlineStr">
        <is>
          <t xml:space="preserve">INF192K01KO5</t>
        </is>
      </c>
    </row>
    <row r="6936">
      <c r="A6936" t="inlineStr">
        <is>
          <t xml:space="preserve">JM Financial Mutual Fund</t>
        </is>
      </c>
      <c r="B6936" t="inlineStr">
        <is>
          <t xml:space="preserve">JM Dynamic Bond Fund (Direct) - Daily IDCW</t>
        </is>
      </c>
      <c r="C6936" t="inlineStr">
        <is>
          <t xml:space="preserve">INF192K01CZ8</t>
        </is>
      </c>
    </row>
    <row r="6937">
      <c r="A6937" t="inlineStr">
        <is>
          <t xml:space="preserve">JM Financial Mutual Fund</t>
        </is>
      </c>
      <c r="B6937" t="inlineStr">
        <is>
          <t xml:space="preserve">JM Dynamic Bond Fund (Direct) - IDCW</t>
        </is>
      </c>
      <c r="C6937" t="inlineStr">
        <is>
          <t xml:space="preserve">INF192K01DB7</t>
        </is>
      </c>
    </row>
    <row r="6938">
      <c r="A6938" t="inlineStr">
        <is>
          <t xml:space="preserve">JM Financial Mutual Fund</t>
        </is>
      </c>
      <c r="B6938" t="inlineStr">
        <is>
          <t xml:space="preserve">JM Dynamic Bond Fund (Direct) - Monthly IDCW</t>
        </is>
      </c>
      <c r="C6938" t="inlineStr">
        <is>
          <t xml:space="preserve">INF192K01IL5</t>
        </is>
      </c>
    </row>
    <row r="6939">
      <c r="A6939" t="inlineStr">
        <is>
          <t xml:space="preserve">JM Financial Mutual Fund</t>
        </is>
      </c>
      <c r="B6939" t="inlineStr">
        <is>
          <t xml:space="preserve">JM Dynamic Bond Fund (Direct) - Weekly IDCW</t>
        </is>
      </c>
      <c r="C6939" t="inlineStr">
        <is>
          <t xml:space="preserve">INF192K01DA9</t>
        </is>
      </c>
    </row>
    <row r="6940">
      <c r="A6940" t="inlineStr">
        <is>
          <t xml:space="preserve">JM Financial Mutual Fund</t>
        </is>
      </c>
      <c r="B6940" t="inlineStr">
        <is>
          <t xml:space="preserve">JM Dynamic Bond Fund (Regular) - Bonus Option - Principal Units</t>
        </is>
      </c>
      <c r="C6940" t="inlineStr">
        <is>
          <t xml:space="preserve">INF192K01EX9</t>
        </is>
      </c>
    </row>
    <row r="6941">
      <c r="A6941" t="inlineStr">
        <is>
          <t xml:space="preserve">JM Financial Mutual Fund</t>
        </is>
      </c>
      <c r="B6941" t="inlineStr">
        <is>
          <t xml:space="preserve">JM Dynamic Bond Fund (Regular) - Daily IDCW</t>
        </is>
      </c>
      <c r="C6941" t="inlineStr">
        <is>
          <t xml:space="preserve">INF192K01668</t>
        </is>
      </c>
    </row>
    <row r="6942">
      <c r="A6942" t="inlineStr">
        <is>
          <t xml:space="preserve">JM Financial Mutual Fund</t>
        </is>
      </c>
      <c r="B6942" t="inlineStr">
        <is>
          <t xml:space="preserve">JM Dynamic Bond Fund (Regular) - Growth Option</t>
        </is>
      </c>
      <c r="C6942" t="inlineStr">
        <is>
          <t xml:space="preserve">INF192K01700</t>
        </is>
      </c>
    </row>
    <row r="6943">
      <c r="A6943" t="inlineStr">
        <is>
          <t xml:space="preserve">JM Financial Mutual Fund</t>
        </is>
      </c>
      <c r="B6943" t="inlineStr">
        <is>
          <t xml:space="preserve">JM Dynamic Bond Fund (Regular) - Half Yearly Bonus Option - Principal Units</t>
        </is>
      </c>
      <c r="C6943" t="inlineStr">
        <is>
          <t xml:space="preserve">INF192K01IN1</t>
        </is>
      </c>
    </row>
    <row r="6944">
      <c r="A6944" t="inlineStr">
        <is>
          <t xml:space="preserve">JM Financial Mutual Fund</t>
        </is>
      </c>
      <c r="B6944" t="inlineStr">
        <is>
          <t xml:space="preserve">JM Dynamic Bond Fund (Regular) - IDCW</t>
        </is>
      </c>
      <c r="C6944" t="inlineStr">
        <is>
          <t xml:space="preserve">INF192K01684</t>
        </is>
      </c>
    </row>
    <row r="6945">
      <c r="A6945" t="inlineStr">
        <is>
          <t xml:space="preserve">JM Financial Mutual Fund</t>
        </is>
      </c>
      <c r="B6945" t="inlineStr">
        <is>
          <t xml:space="preserve">JM Dynamic Bond Fund (Regular) - Monthly IDCW</t>
        </is>
      </c>
      <c r="C6945" t="inlineStr">
        <is>
          <t xml:space="preserve">INF192K01IJ9</t>
        </is>
      </c>
    </row>
    <row r="6946">
      <c r="A6946" t="inlineStr">
        <is>
          <t xml:space="preserve">JM Financial Mutual Fund</t>
        </is>
      </c>
      <c r="B6946" t="inlineStr">
        <is>
          <t xml:space="preserve">JM Dynamic Bond Fund (Regular) - Weekly IDCW</t>
        </is>
      </c>
      <c r="C6946" t="inlineStr">
        <is>
          <t xml:space="preserve">INF192K01676</t>
        </is>
      </c>
    </row>
    <row r="6947">
      <c r="A6947" t="inlineStr">
        <is>
          <t xml:space="preserve">JM Financial Mutual Fund</t>
        </is>
      </c>
      <c r="B6947" t="inlineStr">
        <is>
          <t xml:space="preserve">JM Dynamic Bond Fund (Regular)- Premium Plan IDCW</t>
        </is>
      </c>
      <c r="C6947" t="inlineStr">
        <is>
          <t xml:space="preserve">INF192K01734</t>
        </is>
      </c>
    </row>
    <row r="6948">
      <c r="A6948" t="inlineStr">
        <is>
          <t xml:space="preserve">JM Financial Mutual Fund</t>
        </is>
      </c>
      <c r="B6948" t="inlineStr">
        <is>
          <t xml:space="preserve">JM Dynamic Bond Fund - (Direct) - Bonus Option-Principal Units</t>
        </is>
      </c>
      <c r="C6948" t="inlineStr">
        <is>
          <t xml:space="preserve">INF192K01EZ4</t>
        </is>
      </c>
    </row>
    <row r="6949">
      <c r="A6949" t="inlineStr">
        <is>
          <t xml:space="preserve">JM Financial Mutual Fund</t>
        </is>
      </c>
      <c r="B6949" t="inlineStr">
        <is>
          <t xml:space="preserve">JM Dynamic Bond Fund - (Direct) - Growth Option</t>
        </is>
      </c>
      <c r="C6949" t="inlineStr">
        <is>
          <t xml:space="preserve">INF192K01DD3</t>
        </is>
      </c>
    </row>
    <row r="6950">
      <c r="A6950" t="inlineStr">
        <is>
          <t xml:space="preserve">JM Financial Mutual Fund</t>
        </is>
      </c>
      <c r="B6950" t="inlineStr">
        <is>
          <t xml:space="preserve">JM Dynamic Bond Fund - (Direct) - Half Yearly Bonus Option - Principal Units</t>
        </is>
      </c>
      <c r="C6950" t="inlineStr">
        <is>
          <t xml:space="preserve">INF192K01IP6</t>
        </is>
      </c>
    </row>
    <row r="6951">
      <c r="A6951" t="inlineStr">
        <is>
          <t xml:space="preserve">JM Financial Mutual Fund</t>
        </is>
      </c>
      <c r="B6951" t="inlineStr">
        <is>
          <t xml:space="preserve">JM Dynamic Bond Fund - Premium Plan - Daily Dividend Option</t>
        </is>
      </c>
      <c r="C6951" t="inlineStr">
        <is>
          <t xml:space="preserve">INF192K01718</t>
        </is>
      </c>
    </row>
    <row r="6952">
      <c r="A6952" t="inlineStr">
        <is>
          <t xml:space="preserve">JM Financial Mutual Fund</t>
        </is>
      </c>
      <c r="B6952" t="inlineStr">
        <is>
          <t xml:space="preserve">JM Dynamic Bond Fund - Premium Plan - Growth Option</t>
        </is>
      </c>
      <c r="C6952" t="inlineStr">
        <is>
          <t xml:space="preserve">INF192K01759</t>
        </is>
      </c>
    </row>
    <row r="6953">
      <c r="A6953" t="inlineStr">
        <is>
          <t xml:space="preserve">JM Financial Mutual Fund</t>
        </is>
      </c>
      <c r="B6953" t="inlineStr">
        <is>
          <t xml:space="preserve">JM ELSS Tax Saver Fund (Direct) - Growth Option</t>
        </is>
      </c>
      <c r="C6953" t="inlineStr">
        <is>
          <t xml:space="preserve">INF192K01CE3</t>
        </is>
      </c>
    </row>
    <row r="6954">
      <c r="A6954" t="inlineStr">
        <is>
          <t xml:space="preserve">JM Financial Mutual Fund</t>
        </is>
      </c>
      <c r="B6954" t="inlineStr">
        <is>
          <t xml:space="preserve">JM ELSS Tax Saver Fund (Direct) - IDCW</t>
        </is>
      </c>
      <c r="C6954" t="inlineStr">
        <is>
          <t xml:space="preserve">INF192K01CD5</t>
        </is>
      </c>
    </row>
    <row r="6955">
      <c r="A6955" t="inlineStr">
        <is>
          <t xml:space="preserve">JM Financial Mutual Fund</t>
        </is>
      </c>
      <c r="B6955" t="inlineStr">
        <is>
          <t xml:space="preserve">JM ELSS Tax Saver Fund (Regular) - Growth option</t>
        </is>
      </c>
      <c r="C6955" t="inlineStr">
        <is>
          <t xml:space="preserve">INF192K01650</t>
        </is>
      </c>
    </row>
    <row r="6956">
      <c r="A6956" t="inlineStr">
        <is>
          <t xml:space="preserve">JM Financial Mutual Fund</t>
        </is>
      </c>
      <c r="B6956" t="inlineStr">
        <is>
          <t xml:space="preserve">JM ELSS Tax Saver Fund (Regular) - IDCW</t>
        </is>
      </c>
      <c r="C6956" t="inlineStr">
        <is>
          <t xml:space="preserve">INF192K01643</t>
        </is>
      </c>
    </row>
    <row r="6957">
      <c r="A6957" t="inlineStr">
        <is>
          <t xml:space="preserve">JM Financial Mutual Fund</t>
        </is>
      </c>
      <c r="B6957" t="inlineStr">
        <is>
          <t xml:space="preserve">JM Flexicap Fund (Direct) - Growth Option</t>
        </is>
      </c>
      <c r="C6957" t="inlineStr">
        <is>
          <t xml:space="preserve">INF192K01CC7</t>
        </is>
      </c>
    </row>
    <row r="6958">
      <c r="A6958" t="inlineStr">
        <is>
          <t xml:space="preserve">JM Financial Mutual Fund</t>
        </is>
      </c>
      <c r="B6958" t="inlineStr">
        <is>
          <t xml:space="preserve">JM Flexicap Fund (Direct) - IDCW</t>
        </is>
      </c>
      <c r="C6958" t="inlineStr">
        <is>
          <t xml:space="preserve">INF192K01CA1</t>
        </is>
      </c>
    </row>
    <row r="6959">
      <c r="A6959" t="inlineStr">
        <is>
          <t xml:space="preserve">JM Financial Mutual Fund</t>
        </is>
      </c>
      <c r="B6959" t="inlineStr">
        <is>
          <t xml:space="preserve">JM Flexicap Fund (Regular) - Growth option</t>
        </is>
      </c>
      <c r="C6959" t="inlineStr">
        <is>
          <t xml:space="preserve">INF192K01635</t>
        </is>
      </c>
    </row>
    <row r="6960">
      <c r="A6960" t="inlineStr">
        <is>
          <t xml:space="preserve">JM Financial Mutual Fund</t>
        </is>
      </c>
      <c r="B6960" t="inlineStr">
        <is>
          <t xml:space="preserve">JM Flexicap Fund (Regular) - IDCW</t>
        </is>
      </c>
      <c r="C6960" t="inlineStr">
        <is>
          <t xml:space="preserve">INF192K01619</t>
        </is>
      </c>
    </row>
    <row r="6961">
      <c r="A6961" t="inlineStr">
        <is>
          <t xml:space="preserve">JM Financial Mutual Fund</t>
        </is>
      </c>
      <c r="B6961" t="inlineStr">
        <is>
          <t xml:space="preserve">JM Focused Fund (Direct)  - Growth Option</t>
        </is>
      </c>
      <c r="C6961" t="inlineStr">
        <is>
          <t xml:space="preserve">INF192K01BW7</t>
        </is>
      </c>
    </row>
    <row r="6962">
      <c r="A6962" t="inlineStr">
        <is>
          <t xml:space="preserve">JM Financial Mutual Fund</t>
        </is>
      </c>
      <c r="B6962" t="inlineStr">
        <is>
          <t xml:space="preserve">JM Focused Fund (Direct) -  IDCW</t>
        </is>
      </c>
      <c r="C6962" t="inlineStr">
        <is>
          <t xml:space="preserve">INF192K01BU1</t>
        </is>
      </c>
    </row>
    <row r="6963">
      <c r="A6963" t="inlineStr">
        <is>
          <t xml:space="preserve">JM Financial Mutual Fund</t>
        </is>
      </c>
      <c r="B6963" t="inlineStr">
        <is>
          <t xml:space="preserve">JM Focused Fund (Regular) - Growth Option</t>
        </is>
      </c>
      <c r="C6963" t="inlineStr">
        <is>
          <t xml:space="preserve">INF192K01577</t>
        </is>
      </c>
    </row>
    <row r="6964">
      <c r="A6964" t="inlineStr">
        <is>
          <t xml:space="preserve">JM Financial Mutual Fund</t>
        </is>
      </c>
      <c r="B6964" t="inlineStr">
        <is>
          <t xml:space="preserve">JM Focused Fund (Regular) - IDCW</t>
        </is>
      </c>
      <c r="C6964" t="inlineStr">
        <is>
          <t xml:space="preserve">INF192K01551</t>
        </is>
      </c>
    </row>
    <row r="6965">
      <c r="A6965" t="inlineStr">
        <is>
          <t xml:space="preserve">JM Financial Mutual Fund</t>
        </is>
      </c>
      <c r="B6965" t="inlineStr">
        <is>
          <t xml:space="preserve">JM Large &amp; Mid Cap Fund (Direct) - Growth Option</t>
        </is>
      </c>
      <c r="C6965" t="inlineStr">
        <is>
          <t xml:space="preserve">INF192K01NK7</t>
        </is>
      </c>
    </row>
    <row r="6966">
      <c r="A6966" t="inlineStr">
        <is>
          <t xml:space="preserve">JM Financial Mutual Fund</t>
        </is>
      </c>
      <c r="B6966" t="inlineStr">
        <is>
          <t xml:space="preserve">JM Large &amp; Mid Cap Fund (Direct) - IDCW</t>
        </is>
      </c>
      <c r="C6966" t="inlineStr">
        <is>
          <t xml:space="preserve">INF192K01NP6</t>
        </is>
      </c>
    </row>
    <row r="6967">
      <c r="A6967" t="inlineStr">
        <is>
          <t xml:space="preserve">JM Financial Mutual Fund</t>
        </is>
      </c>
      <c r="B6967" t="inlineStr">
        <is>
          <t xml:space="preserve">JM Large &amp; Mid Cap Fund (Regular) - Growth Option</t>
        </is>
      </c>
      <c r="C6967" t="inlineStr">
        <is>
          <t xml:space="preserve">INF192K01NM3</t>
        </is>
      </c>
    </row>
    <row r="6968">
      <c r="A6968" t="inlineStr">
        <is>
          <t xml:space="preserve">JM Financial Mutual Fund</t>
        </is>
      </c>
      <c r="B6968" t="inlineStr">
        <is>
          <t xml:space="preserve">JM Large &amp; Mid Cap Fund (Regular) - IDCW</t>
        </is>
      </c>
      <c r="C6968" t="inlineStr">
        <is>
          <t xml:space="preserve">INF192K01NO9</t>
        </is>
      </c>
    </row>
    <row r="6969">
      <c r="A6969" t="inlineStr">
        <is>
          <t xml:space="preserve">JM Financial Mutual Fund</t>
        </is>
      </c>
      <c r="B6969" t="inlineStr">
        <is>
          <t xml:space="preserve">JM Large Cap Fund (Direct) - Annual IDCW</t>
        </is>
      </c>
      <c r="C6969" t="inlineStr">
        <is>
          <t xml:space="preserve">INF192K01JU4</t>
        </is>
      </c>
    </row>
    <row r="6970">
      <c r="A6970" t="inlineStr">
        <is>
          <t xml:space="preserve">JM Financial Mutual Fund</t>
        </is>
      </c>
      <c r="B6970" t="inlineStr">
        <is>
          <t xml:space="preserve">JM Large Cap Fund (Direct) - Growth Option</t>
        </is>
      </c>
      <c r="C6970" t="inlineStr">
        <is>
          <t xml:space="preserve">INF192K01BZ0</t>
        </is>
      </c>
    </row>
    <row r="6971">
      <c r="A6971" t="inlineStr">
        <is>
          <t xml:space="preserve">JM Financial Mutual Fund</t>
        </is>
      </c>
      <c r="B6971" t="inlineStr">
        <is>
          <t xml:space="preserve">JM Large Cap Fund (Direct) - Half Yearly IDCW</t>
        </is>
      </c>
      <c r="C6971" t="inlineStr">
        <is>
          <t xml:space="preserve">INF192K01JR0</t>
        </is>
      </c>
    </row>
    <row r="6972">
      <c r="A6972" t="inlineStr">
        <is>
          <t xml:space="preserve">JM Financial Mutual Fund</t>
        </is>
      </c>
      <c r="B6972" t="inlineStr">
        <is>
          <t xml:space="preserve">JM Large Cap Fund (Direct) - IDCW</t>
        </is>
      </c>
      <c r="C6972" t="inlineStr">
        <is>
          <t xml:space="preserve">INF192K01BX5</t>
        </is>
      </c>
    </row>
    <row r="6973">
      <c r="A6973" t="inlineStr">
        <is>
          <t xml:space="preserve">JM Financial Mutual Fund</t>
        </is>
      </c>
      <c r="B6973" t="inlineStr">
        <is>
          <t xml:space="preserve">JM Large Cap Fund (Direct) - Monthly IDCW</t>
        </is>
      </c>
      <c r="C6973" t="inlineStr">
        <is>
          <t xml:space="preserve">INF192K01JJ7</t>
        </is>
      </c>
    </row>
    <row r="6974">
      <c r="A6974" t="inlineStr">
        <is>
          <t xml:space="preserve">JM Financial Mutual Fund</t>
        </is>
      </c>
      <c r="B6974" t="inlineStr">
        <is>
          <t xml:space="preserve">JM Large Cap Fund (Direct) - Quarterly IDCW</t>
        </is>
      </c>
      <c r="C6974" t="inlineStr">
        <is>
          <t xml:space="preserve">INF192K01JN9</t>
        </is>
      </c>
    </row>
    <row r="6975">
      <c r="A6975" t="inlineStr">
        <is>
          <t xml:space="preserve">JM Financial Mutual Fund</t>
        </is>
      </c>
      <c r="B6975" t="inlineStr">
        <is>
          <t xml:space="preserve">JM Large Cap Fund (Regular) - Annual IDCW</t>
        </is>
      </c>
      <c r="C6975" t="inlineStr">
        <is>
          <t xml:space="preserve">INF192K01JS8</t>
        </is>
      </c>
    </row>
    <row r="6976">
      <c r="A6976" t="inlineStr">
        <is>
          <t xml:space="preserve">JM Financial Mutual Fund</t>
        </is>
      </c>
      <c r="B6976" t="inlineStr">
        <is>
          <t xml:space="preserve">JM Large Cap Fund (Regular) - Growth Option</t>
        </is>
      </c>
      <c r="C6976" t="inlineStr">
        <is>
          <t xml:space="preserve">INF192K01601</t>
        </is>
      </c>
    </row>
    <row r="6977">
      <c r="A6977" t="inlineStr">
        <is>
          <t xml:space="preserve">JM Financial Mutual Fund</t>
        </is>
      </c>
      <c r="B6977" t="inlineStr">
        <is>
          <t xml:space="preserve">JM Large Cap Fund (Regular) - Half Yearly IDCW</t>
        </is>
      </c>
      <c r="C6977" t="inlineStr">
        <is>
          <t xml:space="preserve">INF192K01JP4</t>
        </is>
      </c>
    </row>
    <row r="6978">
      <c r="A6978" t="inlineStr">
        <is>
          <t xml:space="preserve">JM Financial Mutual Fund</t>
        </is>
      </c>
      <c r="B6978" t="inlineStr">
        <is>
          <t xml:space="preserve">JM Large Cap Fund (Regular) - IDCW</t>
        </is>
      </c>
      <c r="C6978" t="inlineStr">
        <is>
          <t xml:space="preserve">INF192K01585</t>
        </is>
      </c>
    </row>
    <row r="6979">
      <c r="A6979" t="inlineStr">
        <is>
          <t xml:space="preserve">JM Financial Mutual Fund</t>
        </is>
      </c>
      <c r="B6979" t="inlineStr">
        <is>
          <t xml:space="preserve">JM Large Cap Fund (Regular) - Monthly IDCW</t>
        </is>
      </c>
      <c r="C6979" t="inlineStr">
        <is>
          <t xml:space="preserve">INF192K01JH1</t>
        </is>
      </c>
    </row>
    <row r="6980">
      <c r="A6980" t="inlineStr">
        <is>
          <t xml:space="preserve">JM Financial Mutual Fund</t>
        </is>
      </c>
      <c r="B6980" t="inlineStr">
        <is>
          <t xml:space="preserve">JM Large Cap Fund (Regular) - Quarterly IDCW</t>
        </is>
      </c>
      <c r="C6980" t="inlineStr">
        <is>
          <t xml:space="preserve">INF192K01JL3</t>
        </is>
      </c>
    </row>
    <row r="6981">
      <c r="A6981" t="inlineStr">
        <is>
          <t xml:space="preserve">JM Financial Mutual Fund</t>
        </is>
      </c>
      <c r="B6981" t="inlineStr">
        <is>
          <t xml:space="preserve">JM Liquid Fund (Direct) - Bonus Option - Bonus Option - Principal units</t>
        </is>
      </c>
      <c r="C6981" t="inlineStr">
        <is>
          <t xml:space="preserve">INF192K01CN4</t>
        </is>
      </c>
    </row>
    <row r="6982">
      <c r="A6982" t="inlineStr">
        <is>
          <t xml:space="preserve">JM Financial Mutual Fund</t>
        </is>
      </c>
      <c r="B6982" t="inlineStr">
        <is>
          <t xml:space="preserve">JM Liquid Fund (Direct) - Daily IDCW</t>
        </is>
      </c>
      <c r="C6982" t="inlineStr">
        <is>
          <t xml:space="preserve">INF192K01CH6</t>
        </is>
      </c>
    </row>
    <row r="6983">
      <c r="A6983" t="inlineStr">
        <is>
          <t xml:space="preserve">JM Financial Mutual Fund</t>
        </is>
      </c>
      <c r="B6983" t="inlineStr">
        <is>
          <t xml:space="preserve">JM Liquid Fund (Direct) - Growth Option</t>
        </is>
      </c>
      <c r="C6983" t="inlineStr">
        <is>
          <t xml:space="preserve">INF192K01CM6</t>
        </is>
      </c>
    </row>
    <row r="6984">
      <c r="A6984" t="inlineStr">
        <is>
          <t xml:space="preserve">JM Financial Mutual Fund</t>
        </is>
      </c>
      <c r="B6984" t="inlineStr">
        <is>
          <t xml:space="preserve">JM Liquid Fund (Direct) - Quarterly IDCW</t>
        </is>
      </c>
      <c r="C6984" t="inlineStr">
        <is>
          <t xml:space="preserve">INF192K01CK0</t>
        </is>
      </c>
    </row>
    <row r="6985">
      <c r="A6985" t="inlineStr">
        <is>
          <t xml:space="preserve">JM Financial Mutual Fund</t>
        </is>
      </c>
      <c r="B6985" t="inlineStr">
        <is>
          <t xml:space="preserve">JM Liquid Fund (Direct) - Weekly IDCW</t>
        </is>
      </c>
      <c r="C6985" t="inlineStr">
        <is>
          <t xml:space="preserve">INF192K01CI4</t>
        </is>
      </c>
    </row>
    <row r="6986">
      <c r="A6986" t="inlineStr">
        <is>
          <t xml:space="preserve">JM Financial Mutual Fund</t>
        </is>
      </c>
      <c r="B6986" t="inlineStr">
        <is>
          <t xml:space="preserve">JM Liquid Fund (Regular) - Bonus Option - Principal Units</t>
        </is>
      </c>
      <c r="C6986" t="inlineStr">
        <is>
          <t xml:space="preserve">INF192K01890</t>
        </is>
      </c>
    </row>
    <row r="6987">
      <c r="A6987" t="inlineStr">
        <is>
          <t xml:space="preserve">JM Financial Mutual Fund</t>
        </is>
      </c>
      <c r="B6987" t="inlineStr">
        <is>
          <t xml:space="preserve">JM Liquid Fund (Regular) - Daily IDCW</t>
        </is>
      </c>
      <c r="C6987" t="inlineStr">
        <is>
          <t xml:space="preserve">INF192K01833</t>
        </is>
      </c>
    </row>
    <row r="6988">
      <c r="A6988" t="inlineStr">
        <is>
          <t xml:space="preserve">JM Financial Mutual Fund</t>
        </is>
      </c>
      <c r="B6988" t="inlineStr">
        <is>
          <t xml:space="preserve">JM Liquid Fund (Regular) - Quarterly IDCW</t>
        </is>
      </c>
      <c r="C6988" t="inlineStr">
        <is>
          <t xml:space="preserve">INF192K01866</t>
        </is>
      </c>
    </row>
    <row r="6989">
      <c r="A6989" t="inlineStr">
        <is>
          <t xml:space="preserve">JM Financial Mutual Fund</t>
        </is>
      </c>
      <c r="B6989" t="inlineStr">
        <is>
          <t xml:space="preserve">JM Liquid Fund (Regular) - Super Institutional Plan - Growth Option</t>
        </is>
      </c>
      <c r="C6989" t="inlineStr">
        <is>
          <t xml:space="preserve">INF192K01981</t>
        </is>
      </c>
    </row>
    <row r="6990">
      <c r="A6990" t="inlineStr">
        <is>
          <t xml:space="preserve">JM Financial Mutual Fund</t>
        </is>
      </c>
      <c r="B6990" t="inlineStr">
        <is>
          <t xml:space="preserve">JM Liquid Fund (Regular) - Weekly IDCW</t>
        </is>
      </c>
      <c r="C6990" t="inlineStr">
        <is>
          <t xml:space="preserve">INF192K01841</t>
        </is>
      </c>
    </row>
    <row r="6991">
      <c r="A6991" t="inlineStr">
        <is>
          <t xml:space="preserve">JM Financial Mutual Fund</t>
        </is>
      </c>
      <c r="B6991" t="inlineStr">
        <is>
          <t xml:space="preserve">JM Liquid Fund - Growth Option</t>
        </is>
      </c>
      <c r="C6991" t="inlineStr">
        <is>
          <t xml:space="preserve">INF192K01882</t>
        </is>
      </c>
    </row>
    <row r="6992">
      <c r="A6992" t="inlineStr">
        <is>
          <t xml:space="preserve">JM Financial Mutual Fund</t>
        </is>
      </c>
      <c r="B6992" t="inlineStr">
        <is>
          <t xml:space="preserve">JM Liquid Fund Unclaimed Dividend (Direct) Growth Plan</t>
        </is>
      </c>
      <c r="C6992" t="inlineStr">
        <is>
          <t xml:space="preserve">INF192K01LB0</t>
        </is>
      </c>
    </row>
    <row r="6993">
      <c r="A6993" t="inlineStr">
        <is>
          <t xml:space="preserve">JM Financial Mutual Fund</t>
        </is>
      </c>
      <c r="B6993" t="inlineStr">
        <is>
          <t xml:space="preserve">JM Liquid Fund Unclaimed Dividend IEF (Direct) Growth Plan</t>
        </is>
      </c>
      <c r="C6993" t="inlineStr">
        <is>
          <t xml:space="preserve">INF192K01LD6</t>
        </is>
      </c>
    </row>
    <row r="6994">
      <c r="A6994" t="inlineStr">
        <is>
          <t xml:space="preserve">JM Financial Mutual Fund</t>
        </is>
      </c>
      <c r="B6994" t="inlineStr">
        <is>
          <t xml:space="preserve">JM Liquid Fund Unclaimed Redemption (Direct) Growth Plan</t>
        </is>
      </c>
      <c r="C6994" t="inlineStr">
        <is>
          <t xml:space="preserve">INF192K01LA2</t>
        </is>
      </c>
    </row>
    <row r="6995">
      <c r="A6995" t="inlineStr">
        <is>
          <t xml:space="preserve">JM Financial Mutual Fund</t>
        </is>
      </c>
      <c r="B6995" t="inlineStr">
        <is>
          <t xml:space="preserve">JM Liquid Fund Unclaimed Redemption IEF (Direct) Growth Plan</t>
        </is>
      </c>
      <c r="C6995" t="inlineStr">
        <is>
          <t xml:space="preserve">INF192K01LC8</t>
        </is>
      </c>
    </row>
    <row r="6996">
      <c r="A6996" t="inlineStr">
        <is>
          <t xml:space="preserve">JM Financial Mutual Fund</t>
        </is>
      </c>
      <c r="B6996" t="inlineStr">
        <is>
          <t xml:space="preserve">JM Low Duration Fund (Direct) - Bonus Option - Principal Units</t>
        </is>
      </c>
      <c r="C6996" t="inlineStr">
        <is>
          <t xml:space="preserve">INF192K01FL1</t>
        </is>
      </c>
    </row>
    <row r="6997">
      <c r="A6997" t="inlineStr">
        <is>
          <t xml:space="preserve">JM Financial Mutual Fund</t>
        </is>
      </c>
      <c r="B6997" t="inlineStr">
        <is>
          <t xml:space="preserve">JM Low Duration Fund (Direct) - Daily IDCW</t>
        </is>
      </c>
      <c r="C6997" t="inlineStr">
        <is>
          <t xml:space="preserve">INF192K01DT9</t>
        </is>
      </c>
    </row>
    <row r="6998">
      <c r="A6998" t="inlineStr">
        <is>
          <t xml:space="preserve">JM Financial Mutual Fund</t>
        </is>
      </c>
      <c r="B6998" t="inlineStr">
        <is>
          <t xml:space="preserve">JM Low Duration Fund (Direct) - Fortnightly IDCW</t>
        </is>
      </c>
      <c r="C6998" t="inlineStr">
        <is>
          <t xml:space="preserve">INF192K01DV5</t>
        </is>
      </c>
    </row>
    <row r="6999">
      <c r="A6999" t="inlineStr">
        <is>
          <t xml:space="preserve">JM Financial Mutual Fund</t>
        </is>
      </c>
      <c r="B6999" t="inlineStr">
        <is>
          <t xml:space="preserve">JM Low Duration Fund (Direct) - Growth</t>
        </is>
      </c>
      <c r="C6999" t="inlineStr">
        <is>
          <t xml:space="preserve">INF192K01DW3</t>
        </is>
      </c>
    </row>
    <row r="7000">
      <c r="A7000" t="inlineStr">
        <is>
          <t xml:space="preserve">JM Financial Mutual Fund</t>
        </is>
      </c>
      <c r="B7000" t="inlineStr">
        <is>
          <t xml:space="preserve">JM Low Duration Fund (Direct) - Weekly IDCW</t>
        </is>
      </c>
      <c r="C7000" t="inlineStr">
        <is>
          <t xml:space="preserve">INF192K01DU7</t>
        </is>
      </c>
    </row>
    <row r="7001">
      <c r="A7001" t="inlineStr">
        <is>
          <t xml:space="preserve">JM Financial Mutual Fund</t>
        </is>
      </c>
      <c r="B7001" t="inlineStr">
        <is>
          <t xml:space="preserve">JM Low Duration Fund (Regular) - Daily IDCW</t>
        </is>
      </c>
      <c r="C7001" t="inlineStr">
        <is>
          <t xml:space="preserve">INF192K01AV1</t>
        </is>
      </c>
    </row>
    <row r="7002">
      <c r="A7002" t="inlineStr">
        <is>
          <t xml:space="preserve">JM Financial Mutual Fund</t>
        </is>
      </c>
      <c r="B7002" t="inlineStr">
        <is>
          <t xml:space="preserve">JM Low Duration Fund (Regular) - Fortnightly IDCW</t>
        </is>
      </c>
      <c r="C7002" t="inlineStr">
        <is>
          <t xml:space="preserve">INF192K01AX7</t>
        </is>
      </c>
    </row>
    <row r="7003">
      <c r="A7003" t="inlineStr">
        <is>
          <t xml:space="preserve">JM Financial Mutual Fund</t>
        </is>
      </c>
      <c r="B7003" t="inlineStr">
        <is>
          <t xml:space="preserve">JM Low Duration Fund (Regular) - Growth Option</t>
        </is>
      </c>
      <c r="C7003" t="inlineStr">
        <is>
          <t xml:space="preserve">INF192K01AY5</t>
        </is>
      </c>
    </row>
    <row r="7004">
      <c r="A7004" t="inlineStr">
        <is>
          <t xml:space="preserve">JM Financial Mutual Fund</t>
        </is>
      </c>
      <c r="B7004" t="inlineStr">
        <is>
          <t xml:space="preserve">JM Low Duration Fund (Regular) - Weekly IDCW</t>
        </is>
      </c>
      <c r="C7004" t="inlineStr">
        <is>
          <t xml:space="preserve">INF192K01AW9</t>
        </is>
      </c>
    </row>
    <row r="7005">
      <c r="A7005" t="inlineStr">
        <is>
          <t xml:space="preserve">JM Financial Mutual Fund</t>
        </is>
      </c>
      <c r="B7005" t="inlineStr">
        <is>
          <t xml:space="preserve">JM Low Duration Fund - Bonus Option - Principal Units</t>
        </is>
      </c>
      <c r="C7005" t="inlineStr">
        <is>
          <t xml:space="preserve">INF192K01FJ5</t>
        </is>
      </c>
    </row>
    <row r="7006">
      <c r="A7006" t="inlineStr">
        <is>
          <t xml:space="preserve">JM Financial Mutual Fund</t>
        </is>
      </c>
      <c r="B7006" t="inlineStr">
        <is>
          <t xml:space="preserve">JM Medium to Long Duration Fund (Direct) - Bonus Option - Principal Units</t>
        </is>
      </c>
      <c r="C7006" t="inlineStr">
        <is>
          <t xml:space="preserve">INF192K01CX3</t>
        </is>
      </c>
    </row>
    <row r="7007">
      <c r="A7007" t="inlineStr">
        <is>
          <t xml:space="preserve">JM Financial Mutual Fund</t>
        </is>
      </c>
      <c r="B7007" t="inlineStr">
        <is>
          <t xml:space="preserve">JM Medium to Long Duration Fund (Direct) - Growth Option</t>
        </is>
      </c>
      <c r="C7007" t="inlineStr">
        <is>
          <t xml:space="preserve">INF192K01CW5</t>
        </is>
      </c>
    </row>
    <row r="7008">
      <c r="A7008" t="inlineStr">
        <is>
          <t xml:space="preserve">JM Financial Mutual Fund</t>
        </is>
      </c>
      <c r="B7008" t="inlineStr">
        <is>
          <t xml:space="preserve">JM Medium to Long Duration Fund (Direct) - Quarterly IDCW</t>
        </is>
      </c>
      <c r="C7008" t="inlineStr">
        <is>
          <t xml:space="preserve">INF192K01CU9</t>
        </is>
      </c>
    </row>
    <row r="7009">
      <c r="A7009" t="inlineStr">
        <is>
          <t xml:space="preserve">JM Financial Mutual Fund</t>
        </is>
      </c>
      <c r="B7009" t="inlineStr">
        <is>
          <t xml:space="preserve">JM Medium to Long Duration Fund (Regular) - Bonus Option- Principal Units</t>
        </is>
      </c>
      <c r="C7009" t="inlineStr">
        <is>
          <t xml:space="preserve">INF192K01AC1</t>
        </is>
      </c>
    </row>
    <row r="7010">
      <c r="A7010" t="inlineStr">
        <is>
          <t xml:space="preserve">JM Financial Mutual Fund</t>
        </is>
      </c>
      <c r="B7010" t="inlineStr">
        <is>
          <t xml:space="preserve">JM Medium to Long Duration Fund (Regular) - Growth Option</t>
        </is>
      </c>
      <c r="C7010" t="inlineStr">
        <is>
          <t xml:space="preserve">INF192K01AB3</t>
        </is>
      </c>
    </row>
    <row r="7011">
      <c r="A7011" t="inlineStr">
        <is>
          <t xml:space="preserve">JM Financial Mutual Fund</t>
        </is>
      </c>
      <c r="B7011" t="inlineStr">
        <is>
          <t xml:space="preserve">JM Medium to Long Duration Fund (Regular) - Quarterly IDCW</t>
        </is>
      </c>
      <c r="C7011" t="inlineStr">
        <is>
          <t xml:space="preserve">INF192K01999</t>
        </is>
      </c>
    </row>
    <row r="7012">
      <c r="A7012" t="inlineStr">
        <is>
          <t xml:space="preserve">JM Financial Mutual Fund</t>
        </is>
      </c>
      <c r="B7012" t="inlineStr">
        <is>
          <t xml:space="preserve">JM Midcap Fund (Direct) - Growth</t>
        </is>
      </c>
      <c r="C7012" t="inlineStr">
        <is>
          <t xml:space="preserve">INF192K01MV6</t>
        </is>
      </c>
    </row>
    <row r="7013">
      <c r="A7013" t="inlineStr">
        <is>
          <t xml:space="preserve">JM Financial Mutual Fund</t>
        </is>
      </c>
      <c r="B7013" t="inlineStr">
        <is>
          <t xml:space="preserve">JM Midcap Fund (Direct) - IDCW</t>
        </is>
      </c>
      <c r="C7013" t="inlineStr">
        <is>
          <t xml:space="preserve">INF192K01MW4</t>
        </is>
      </c>
    </row>
    <row r="7014">
      <c r="A7014" t="inlineStr">
        <is>
          <t xml:space="preserve">JM Financial Mutual Fund</t>
        </is>
      </c>
      <c r="B7014" t="inlineStr">
        <is>
          <t xml:space="preserve">JM Midcap Fund (Regular) - Growth</t>
        </is>
      </c>
      <c r="C7014" t="inlineStr">
        <is>
          <t xml:space="preserve">INF192K01MS2</t>
        </is>
      </c>
    </row>
    <row r="7015">
      <c r="A7015" t="inlineStr">
        <is>
          <t xml:space="preserve">JM Financial Mutual Fund</t>
        </is>
      </c>
      <c r="B7015" t="inlineStr">
        <is>
          <t xml:space="preserve">JM Midcap Fund (Regular) - IDCW</t>
        </is>
      </c>
      <c r="C7015" t="inlineStr">
        <is>
          <t xml:space="preserve">INF192K01MT0</t>
        </is>
      </c>
    </row>
    <row r="7016">
      <c r="A7016" t="inlineStr">
        <is>
          <t xml:space="preserve">JM Financial Mutual Fund</t>
        </is>
      </c>
      <c r="B7016" t="inlineStr">
        <is>
          <t xml:space="preserve">JM Money Market Fund (Direct) - Fortnightly Dividend Option</t>
        </is>
      </c>
      <c r="C7016" t="inlineStr">
        <is>
          <t xml:space="preserve">INF192K01DR3</t>
        </is>
      </c>
    </row>
    <row r="7017">
      <c r="A7017" t="inlineStr">
        <is>
          <t xml:space="preserve">JM Financial Mutual Fund</t>
        </is>
      </c>
      <c r="B7017" t="inlineStr">
        <is>
          <t xml:space="preserve">JM Money Market Fund (Direct) - Growth</t>
        </is>
      </c>
      <c r="C7017" t="inlineStr">
        <is>
          <t xml:space="preserve">INF192K01DS1</t>
        </is>
      </c>
    </row>
    <row r="7018">
      <c r="A7018" t="inlineStr">
        <is>
          <t xml:space="preserve">JM Financial Mutual Fund</t>
        </is>
      </c>
      <c r="B7018" t="inlineStr">
        <is>
          <t xml:space="preserve">JM Money Market Fund (Direct) - Weekly Dividend</t>
        </is>
      </c>
      <c r="C7018" t="inlineStr">
        <is>
          <t xml:space="preserve">INF192K01DQ5</t>
        </is>
      </c>
    </row>
    <row r="7019">
      <c r="A7019" t="inlineStr">
        <is>
          <t xml:space="preserve">JM Financial Mutual Fund</t>
        </is>
      </c>
      <c r="B7019" t="inlineStr">
        <is>
          <t xml:space="preserve">JM Money Market Fund (Direct) Bonus Option - Principal Units</t>
        </is>
      </c>
      <c r="C7019" t="inlineStr">
        <is>
          <t xml:space="preserve">INF192K01FH9</t>
        </is>
      </c>
    </row>
    <row r="7020">
      <c r="A7020" t="inlineStr">
        <is>
          <t xml:space="preserve">JM Financial Mutual Fund</t>
        </is>
      </c>
      <c r="B7020" t="inlineStr">
        <is>
          <t xml:space="preserve">JM Money Market Fund (Direct)- Daily Dividend Option</t>
        </is>
      </c>
      <c r="C7020" t="inlineStr">
        <is>
          <t xml:space="preserve">INF192K01DP7</t>
        </is>
      </c>
    </row>
    <row r="7021">
      <c r="A7021" t="inlineStr">
        <is>
          <t xml:space="preserve">JM Financial Mutual Fund</t>
        </is>
      </c>
      <c r="B7021" t="inlineStr">
        <is>
          <t xml:space="preserve">JM Money Market Fund - Bonus Option - Principal Units</t>
        </is>
      </c>
      <c r="C7021" t="inlineStr">
        <is>
          <t xml:space="preserve">INF192K01FF3</t>
        </is>
      </c>
    </row>
    <row r="7022">
      <c r="A7022" t="inlineStr">
        <is>
          <t xml:space="preserve">JM Financial Mutual Fund</t>
        </is>
      </c>
      <c r="B7022" t="inlineStr">
        <is>
          <t xml:space="preserve">JM Money Market Fund - Daily Dividend</t>
        </is>
      </c>
      <c r="C7022" t="inlineStr">
        <is>
          <t xml:space="preserve">INF192K01AR9</t>
        </is>
      </c>
    </row>
    <row r="7023">
      <c r="A7023" t="inlineStr">
        <is>
          <t xml:space="preserve">JM Financial Mutual Fund</t>
        </is>
      </c>
      <c r="B7023" t="inlineStr">
        <is>
          <t xml:space="preserve">JM Money Market Fund - Fortnighly Dividend</t>
        </is>
      </c>
      <c r="C7023" t="inlineStr">
        <is>
          <t xml:space="preserve">INF192K01AT5</t>
        </is>
      </c>
    </row>
    <row r="7024">
      <c r="A7024" t="inlineStr">
        <is>
          <t xml:space="preserve">JM Financial Mutual Fund</t>
        </is>
      </c>
      <c r="B7024" t="inlineStr">
        <is>
          <t xml:space="preserve">JM Money Market Fund - Growth</t>
        </is>
      </c>
      <c r="C7024" t="inlineStr">
        <is>
          <t xml:space="preserve">INF192K01AU3</t>
        </is>
      </c>
    </row>
    <row r="7025">
      <c r="A7025" t="inlineStr">
        <is>
          <t xml:space="preserve">JM Financial Mutual Fund</t>
        </is>
      </c>
      <c r="B7025" t="inlineStr">
        <is>
          <t xml:space="preserve">JM Money Market Fund - Weekly Dividend</t>
        </is>
      </c>
      <c r="C7025" t="inlineStr">
        <is>
          <t xml:space="preserve">INF192K01AS7</t>
        </is>
      </c>
    </row>
    <row r="7026">
      <c r="A7026" t="inlineStr">
        <is>
          <t xml:space="preserve">JM Financial Mutual Fund</t>
        </is>
      </c>
      <c r="B7026" t="inlineStr">
        <is>
          <t xml:space="preserve">JM Overnight Fund (Direct) - Daily IDCW</t>
        </is>
      </c>
      <c r="C7026" t="inlineStr">
        <is>
          <t xml:space="preserve">INF192K01LY2</t>
        </is>
      </c>
    </row>
    <row r="7027">
      <c r="A7027" t="inlineStr">
        <is>
          <t xml:space="preserve">JM Financial Mutual Fund</t>
        </is>
      </c>
      <c r="B7027" t="inlineStr">
        <is>
          <t xml:space="preserve">JM Overnight Fund (Direct) - Weekly IDCW</t>
        </is>
      </c>
      <c r="C7027" t="inlineStr">
        <is>
          <t xml:space="preserve">INF192K01LZ9</t>
        </is>
      </c>
    </row>
    <row r="7028">
      <c r="A7028" t="inlineStr">
        <is>
          <t xml:space="preserve">JM Financial Mutual Fund</t>
        </is>
      </c>
      <c r="B7028" t="inlineStr">
        <is>
          <t xml:space="preserve">JM Overnight Fund (Regular) - Daily IDCW</t>
        </is>
      </c>
      <c r="C7028" t="inlineStr">
        <is>
          <t xml:space="preserve">INF192K01LU0</t>
        </is>
      </c>
    </row>
    <row r="7029">
      <c r="A7029" t="inlineStr">
        <is>
          <t xml:space="preserve">JM Financial Mutual Fund</t>
        </is>
      </c>
      <c r="B7029" t="inlineStr">
        <is>
          <t xml:space="preserve">JM Overnight Fund (Regular) - Growth</t>
        </is>
      </c>
      <c r="C7029" t="inlineStr">
        <is>
          <t xml:space="preserve">INF192K01LX4</t>
        </is>
      </c>
    </row>
    <row r="7030">
      <c r="A7030" t="inlineStr">
        <is>
          <t xml:space="preserve">JM Financial Mutual Fund</t>
        </is>
      </c>
      <c r="B7030" t="inlineStr">
        <is>
          <t xml:space="preserve">JM Overnight Fund (Regular) - Weekly IDCW</t>
        </is>
      </c>
      <c r="C7030" t="inlineStr">
        <is>
          <t xml:space="preserve">INF192K01LV8</t>
        </is>
      </c>
    </row>
    <row r="7031">
      <c r="A7031" t="inlineStr">
        <is>
          <t xml:space="preserve">JM Financial Mutual Fund</t>
        </is>
      </c>
      <c r="B7031" t="inlineStr">
        <is>
          <t xml:space="preserve">JM Overnight Fund - (Direct) - Growth</t>
        </is>
      </c>
      <c r="C7031" t="inlineStr">
        <is>
          <t xml:space="preserve">INF192K01MB8</t>
        </is>
      </c>
    </row>
    <row r="7032">
      <c r="A7032" t="inlineStr">
        <is>
          <t xml:space="preserve">JM Financial Mutual Fund</t>
        </is>
      </c>
      <c r="B7032" t="inlineStr">
        <is>
          <t xml:space="preserve">JM Overnight Fund - (Direct) - Unclaimed IDCW - Growth Plan</t>
        </is>
      </c>
      <c r="C7032" t="inlineStr">
        <is>
          <t xml:space="preserve">INF192K01MJ1</t>
        </is>
      </c>
    </row>
    <row r="7033">
      <c r="A7033" t="inlineStr">
        <is>
          <t xml:space="preserve">JM Financial Mutual Fund</t>
        </is>
      </c>
      <c r="B7033" t="inlineStr">
        <is>
          <t xml:space="preserve">JM Overnight Fund - (Direct) - Unclaimed IDCW I.E.F. - Growth Plan</t>
        </is>
      </c>
      <c r="C7033" t="inlineStr">
        <is>
          <t xml:space="preserve">INF192K01ML7</t>
        </is>
      </c>
    </row>
    <row r="7034">
      <c r="A7034" t="inlineStr">
        <is>
          <t xml:space="preserve">JM Financial Mutual Fund</t>
        </is>
      </c>
      <c r="B7034" t="inlineStr">
        <is>
          <t xml:space="preserve">JM Overnight Fund - (Direct) - Unclaimed Redemption - Growth Plan</t>
        </is>
      </c>
      <c r="C7034" t="inlineStr">
        <is>
          <t xml:space="preserve">INF192K01MI3</t>
        </is>
      </c>
    </row>
    <row r="7035">
      <c r="A7035" t="inlineStr">
        <is>
          <t xml:space="preserve">JM Financial Mutual Fund</t>
        </is>
      </c>
      <c r="B7035" t="inlineStr">
        <is>
          <t xml:space="preserve">JM Overnight Fund - (Direct) - Unclaimed Redemption I.E.F. - Growth Plan</t>
        </is>
      </c>
      <c r="C7035" t="inlineStr">
        <is>
          <t xml:space="preserve">INF192K01MK9</t>
        </is>
      </c>
    </row>
    <row r="7036">
      <c r="A7036" t="inlineStr">
        <is>
          <t xml:space="preserve">JM Financial Mutual Fund</t>
        </is>
      </c>
      <c r="B7036" t="inlineStr">
        <is>
          <t xml:space="preserve">JM Short Duration Fund (Direct) - Growth</t>
        </is>
      </c>
      <c r="C7036" t="inlineStr">
        <is>
          <t xml:space="preserve">INF192K01MP8</t>
        </is>
      </c>
    </row>
    <row r="7037">
      <c r="A7037" t="inlineStr">
        <is>
          <t xml:space="preserve">JM Financial Mutual Fund</t>
        </is>
      </c>
      <c r="B7037" t="inlineStr">
        <is>
          <t xml:space="preserve">JM Short Duration Fund (Direct) - IDCW</t>
        </is>
      </c>
      <c r="C7037" t="inlineStr">
        <is>
          <t xml:space="preserve">INF192K01MQ6</t>
        </is>
      </c>
    </row>
    <row r="7038">
      <c r="A7038" t="inlineStr">
        <is>
          <t xml:space="preserve">JM Financial Mutual Fund</t>
        </is>
      </c>
      <c r="B7038" t="inlineStr">
        <is>
          <t xml:space="preserve">JM Short Duration Fund (Regular) - Growth</t>
        </is>
      </c>
      <c r="C7038" t="inlineStr">
        <is>
          <t xml:space="preserve">INF192K01MM5</t>
        </is>
      </c>
    </row>
    <row r="7039">
      <c r="A7039" t="inlineStr">
        <is>
          <t xml:space="preserve">JM Financial Mutual Fund</t>
        </is>
      </c>
      <c r="B7039" t="inlineStr">
        <is>
          <t xml:space="preserve">JM Short Duration Fund (Regular) - IDCW</t>
        </is>
      </c>
      <c r="C7039" t="inlineStr">
        <is>
          <t xml:space="preserve">INF192K01MN3</t>
        </is>
      </c>
    </row>
    <row r="7040">
      <c r="A7040" t="inlineStr">
        <is>
          <t xml:space="preserve">JM Financial Mutual Fund</t>
        </is>
      </c>
      <c r="B7040" t="inlineStr">
        <is>
          <t xml:space="preserve">JM Short Term Fund (Direct) - Daily Dividend Option</t>
        </is>
      </c>
      <c r="C7040" t="inlineStr">
        <is>
          <t xml:space="preserve">INF192K01DZ6</t>
        </is>
      </c>
    </row>
    <row r="7041">
      <c r="A7041" t="inlineStr">
        <is>
          <t xml:space="preserve">JM Financial Mutual Fund</t>
        </is>
      </c>
      <c r="B7041" t="inlineStr">
        <is>
          <t xml:space="preserve">JM Short Term Fund (Direct) - Dividend Option</t>
        </is>
      </c>
      <c r="C7041" t="inlineStr">
        <is>
          <t xml:space="preserve">INF192K01DX1</t>
        </is>
      </c>
    </row>
    <row r="7042">
      <c r="A7042" t="inlineStr">
        <is>
          <t xml:space="preserve">JM Financial Mutual Fund</t>
        </is>
      </c>
      <c r="B7042" t="inlineStr">
        <is>
          <t xml:space="preserve">JM Short Term Fund (Direct) - Growth Option</t>
        </is>
      </c>
      <c r="C7042" t="inlineStr">
        <is>
          <t xml:space="preserve">INF192K01EA7</t>
        </is>
      </c>
    </row>
    <row r="7043">
      <c r="A7043" t="inlineStr">
        <is>
          <t xml:space="preserve">JM Financial Mutual Fund</t>
        </is>
      </c>
      <c r="B7043" t="inlineStr">
        <is>
          <t xml:space="preserve">JM Short Term Fund - Daily Dividend Option</t>
        </is>
      </c>
      <c r="C7043" t="inlineStr">
        <is>
          <t xml:space="preserve">INF192K01BD7</t>
        </is>
      </c>
    </row>
    <row r="7044">
      <c r="A7044" t="inlineStr">
        <is>
          <t xml:space="preserve">JM Financial Mutual Fund</t>
        </is>
      </c>
      <c r="B7044" t="inlineStr">
        <is>
          <t xml:space="preserve">JM Short Term Fund - Dividend Option</t>
        </is>
      </c>
      <c r="C7044" t="inlineStr">
        <is>
          <t xml:space="preserve">INF192K01BE5</t>
        </is>
      </c>
    </row>
    <row r="7045">
      <c r="A7045" t="inlineStr">
        <is>
          <t xml:space="preserve">JM Financial Mutual Fund</t>
        </is>
      </c>
      <c r="B7045" t="inlineStr">
        <is>
          <t xml:space="preserve">JM Short Term Fund - Growth Option</t>
        </is>
      </c>
      <c r="C7045" t="inlineStr">
        <is>
          <t xml:space="preserve">INF192K01BG0</t>
        </is>
      </c>
    </row>
    <row r="7046">
      <c r="A7046" t="inlineStr">
        <is>
          <t xml:space="preserve">JM Financial Mutual Fund</t>
        </is>
      </c>
      <c r="B7046" t="inlineStr">
        <is>
          <t xml:space="preserve">JM Short Term Fund - Regular Plan - Daily Dividend Option</t>
        </is>
      </c>
      <c r="C7046" t="inlineStr">
        <is>
          <t xml:space="preserve">INF192K01AZ2</t>
        </is>
      </c>
    </row>
    <row r="7047">
      <c r="A7047" t="inlineStr">
        <is>
          <t xml:space="preserve">JM Financial Mutual Fund</t>
        </is>
      </c>
      <c r="B7047" t="inlineStr">
        <is>
          <t xml:space="preserve">JM Short Term Fund - Regular Plan - Dividend Option</t>
        </is>
      </c>
      <c r="C7047" t="inlineStr">
        <is>
          <t xml:space="preserve">INF192K01BA3</t>
        </is>
      </c>
    </row>
    <row r="7048">
      <c r="A7048" t="inlineStr">
        <is>
          <t xml:space="preserve">JM Financial Mutual Fund</t>
        </is>
      </c>
      <c r="B7048" t="inlineStr">
        <is>
          <t xml:space="preserve">JM Short Term Fund - Regular Plan - Growth Option</t>
        </is>
      </c>
      <c r="C7048" t="inlineStr">
        <is>
          <t xml:space="preserve">INF192K01BC9</t>
        </is>
      </c>
    </row>
    <row r="7049">
      <c r="A7049" t="inlineStr">
        <is>
          <t xml:space="preserve">JM Financial Mutual Fund</t>
        </is>
      </c>
      <c r="B7049" t="inlineStr">
        <is>
          <t xml:space="preserve">JM Small Cap Fund (Direct) - Growth Option</t>
        </is>
      </c>
      <c r="C7049" t="inlineStr">
        <is>
          <t xml:space="preserve">INF192K01NH3</t>
        </is>
      </c>
    </row>
    <row r="7050">
      <c r="A7050" t="inlineStr">
        <is>
          <t xml:space="preserve">JM Financial Mutual Fund</t>
        </is>
      </c>
      <c r="B7050" t="inlineStr">
        <is>
          <t xml:space="preserve">JM Small Cap Fund (Direct) - IDCW Option</t>
        </is>
      </c>
      <c r="C7050" t="inlineStr">
        <is>
          <t xml:space="preserve">INF192K01NI1</t>
        </is>
      </c>
    </row>
    <row r="7051">
      <c r="A7051" t="inlineStr">
        <is>
          <t xml:space="preserve">JM Financial Mutual Fund</t>
        </is>
      </c>
      <c r="B7051" t="inlineStr">
        <is>
          <t xml:space="preserve">JM Small Cap Fund (Regular) - Growth Option</t>
        </is>
      </c>
      <c r="C7051" t="inlineStr">
        <is>
          <t xml:space="preserve">INF192K01NE0</t>
        </is>
      </c>
    </row>
    <row r="7052">
      <c r="A7052" t="inlineStr">
        <is>
          <t xml:space="preserve">JM Financial Mutual Fund</t>
        </is>
      </c>
      <c r="B7052" t="inlineStr">
        <is>
          <t xml:space="preserve">JM Small Cap Fund (Regular) - IDCW Option</t>
        </is>
      </c>
      <c r="C7052" t="inlineStr">
        <is>
          <t xml:space="preserve">INF192K01NF7</t>
        </is>
      </c>
    </row>
    <row r="7053">
      <c r="A7053" t="inlineStr">
        <is>
          <t xml:space="preserve">JM Financial Mutual Fund</t>
        </is>
      </c>
      <c r="B7053" t="inlineStr">
        <is>
          <t xml:space="preserve">JM Ultra Short Duration Fund (Direct) - Bonus Option - Principal Units</t>
        </is>
      </c>
      <c r="C7053" t="inlineStr">
        <is>
          <t xml:space="preserve">INF192K01FD8</t>
        </is>
      </c>
    </row>
    <row r="7054">
      <c r="A7054" t="inlineStr">
        <is>
          <t xml:space="preserve">JM Financial Mutual Fund</t>
        </is>
      </c>
      <c r="B7054" t="inlineStr">
        <is>
          <t xml:space="preserve">JM Ultra Short Duration Fund (Direct) - Fortnightly Dividend Option</t>
        </is>
      </c>
      <c r="C7054" t="inlineStr">
        <is>
          <t xml:space="preserve">INF192K01DN2</t>
        </is>
      </c>
    </row>
    <row r="7055">
      <c r="A7055" t="inlineStr">
        <is>
          <t xml:space="preserve">JM Financial Mutual Fund</t>
        </is>
      </c>
      <c r="B7055" t="inlineStr">
        <is>
          <t xml:space="preserve">JM Ultra Short Duration Fund - (Direct) - Growth Option</t>
        </is>
      </c>
      <c r="C7055" t="inlineStr">
        <is>
          <t xml:space="preserve">INF192K01DO0</t>
        </is>
      </c>
    </row>
    <row r="7056">
      <c r="A7056" t="inlineStr">
        <is>
          <t xml:space="preserve">JM Financial Mutual Fund</t>
        </is>
      </c>
      <c r="B7056" t="inlineStr">
        <is>
          <t xml:space="preserve">JM Ultra Short Duration Fund - (Direct) -Daily Dividend Option</t>
        </is>
      </c>
      <c r="C7056" t="inlineStr">
        <is>
          <t xml:space="preserve">INF192K01DL6</t>
        </is>
      </c>
    </row>
    <row r="7057">
      <c r="A7057" t="inlineStr">
        <is>
          <t xml:space="preserve">JM Financial Mutual Fund</t>
        </is>
      </c>
      <c r="B7057" t="inlineStr">
        <is>
          <t xml:space="preserve">JM Ultra Short Duration Fund - (Direct) -Weekly Dividend Option</t>
        </is>
      </c>
      <c r="C7057" t="inlineStr">
        <is>
          <t xml:space="preserve">INF192K01DM4</t>
        </is>
      </c>
    </row>
    <row r="7058">
      <c r="A7058" t="inlineStr">
        <is>
          <t xml:space="preserve">JM Financial Mutual Fund</t>
        </is>
      </c>
      <c r="B7058" t="inlineStr">
        <is>
          <t xml:space="preserve">JM Ultra Short Duration Fund - Bonus Option - Principal Units</t>
        </is>
      </c>
      <c r="C7058" t="inlineStr">
        <is>
          <t xml:space="preserve">INF192K01FB2</t>
        </is>
      </c>
    </row>
    <row r="7059">
      <c r="A7059" t="inlineStr">
        <is>
          <t xml:space="preserve">JM Financial Mutual Fund</t>
        </is>
      </c>
      <c r="B7059" t="inlineStr">
        <is>
          <t xml:space="preserve">JM Ultra Short Duration Fund - Daily Dividend</t>
        </is>
      </c>
      <c r="C7059" t="inlineStr">
        <is>
          <t xml:space="preserve">INF192K01AN8</t>
        </is>
      </c>
    </row>
    <row r="7060">
      <c r="A7060" t="inlineStr">
        <is>
          <t xml:space="preserve">JM Financial Mutual Fund</t>
        </is>
      </c>
      <c r="B7060" t="inlineStr">
        <is>
          <t xml:space="preserve">JM Ultra Short Duration Fund - Fortnightly Dividend</t>
        </is>
      </c>
      <c r="C7060" t="inlineStr">
        <is>
          <t xml:space="preserve">INF192K01AP3</t>
        </is>
      </c>
    </row>
    <row r="7061">
      <c r="A7061" t="inlineStr">
        <is>
          <t xml:space="preserve">JM Financial Mutual Fund</t>
        </is>
      </c>
      <c r="B7061" t="inlineStr">
        <is>
          <t xml:space="preserve">JM Ultra Short Duration Fund - Growth option</t>
        </is>
      </c>
      <c r="C7061" t="inlineStr">
        <is>
          <t xml:space="preserve">INF192K01AQ1</t>
        </is>
      </c>
    </row>
    <row r="7062">
      <c r="A7062" t="inlineStr">
        <is>
          <t xml:space="preserve">JM Financial Mutual Fund</t>
        </is>
      </c>
      <c r="B7062" t="inlineStr">
        <is>
          <t xml:space="preserve">JM Ultra Short Duration Fund - Weekly Dividend</t>
        </is>
      </c>
      <c r="C7062" t="inlineStr">
        <is>
          <t xml:space="preserve">INF192K01AO6</t>
        </is>
      </c>
    </row>
    <row r="7063">
      <c r="A7063" t="inlineStr">
        <is>
          <t xml:space="preserve">JM Financial Mutual Fund</t>
        </is>
      </c>
      <c r="B7063" t="inlineStr">
        <is>
          <t xml:space="preserve">JM Value Fund (Direct) - Growth Option</t>
        </is>
      </c>
      <c r="C7063" t="inlineStr">
        <is>
          <t xml:space="preserve">INF192K01BT3</t>
        </is>
      </c>
    </row>
    <row r="7064">
      <c r="A7064" t="inlineStr">
        <is>
          <t xml:space="preserve">JM Financial Mutual Fund</t>
        </is>
      </c>
      <c r="B7064" t="inlineStr">
        <is>
          <t xml:space="preserve">JM Value Fund (Direct) - IDCW</t>
        </is>
      </c>
      <c r="C7064" t="inlineStr">
        <is>
          <t xml:space="preserve">INF192K01BR7</t>
        </is>
      </c>
    </row>
    <row r="7065">
      <c r="A7065" t="inlineStr">
        <is>
          <t xml:space="preserve">JM Financial Mutual Fund</t>
        </is>
      </c>
      <c r="B7065" t="inlineStr">
        <is>
          <t xml:space="preserve">JM Value Fund (Regular) - Growth Option</t>
        </is>
      </c>
      <c r="C7065" t="inlineStr">
        <is>
          <t xml:space="preserve">INF137A01037</t>
        </is>
      </c>
    </row>
    <row r="7066">
      <c r="A7066" t="inlineStr">
        <is>
          <t xml:space="preserve">JM Financial Mutual Fund</t>
        </is>
      </c>
      <c r="B7066" t="inlineStr">
        <is>
          <t xml:space="preserve">JM Value Fund (Regular) - IDCW</t>
        </is>
      </c>
      <c r="C7066" t="inlineStr">
        <is>
          <t xml:space="preserve">INF137A01011</t>
        </is>
      </c>
    </row>
    <row r="7067">
      <c r="A7067" t="inlineStr">
        <is>
          <t xml:space="preserve">Kotak Mahindra Mutual Fund</t>
        </is>
      </c>
      <c r="B7067" t="inlineStr">
        <is>
          <t xml:space="preserve">Kotak  Arbitrage Fund - Direct Plan - IDCW -Payout &amp;  Reinvestment of Income Distribution cum capital withdrawal option</t>
        </is>
      </c>
      <c r="C7067" t="inlineStr">
        <is>
          <t xml:space="preserve">INF174K01LE2</t>
        </is>
      </c>
    </row>
    <row r="7068">
      <c r="A7068" t="inlineStr">
        <is>
          <t xml:space="preserve">Kotak Mahindra Mutual Fund</t>
        </is>
      </c>
      <c r="B7068" t="inlineStr">
        <is>
          <t xml:space="preserve">Kotak  BSE Housing Index Fund - Regular Plan - Growth Option</t>
        </is>
      </c>
      <c r="C7068" t="inlineStr">
        <is>
          <t xml:space="preserve">INF174KA1OU1</t>
        </is>
      </c>
    </row>
    <row r="7069">
      <c r="A7069" t="inlineStr">
        <is>
          <t xml:space="preserve">Kotak Mahindra Mutual Fund</t>
        </is>
      </c>
      <c r="B7069" t="inlineStr">
        <is>
          <t xml:space="preserve">Kotak  BSE Housing Index Fund - Regular Plan - IDCW Option</t>
        </is>
      </c>
      <c r="C7069" t="inlineStr">
        <is>
          <t xml:space="preserve">INF174KA1OV9</t>
        </is>
      </c>
    </row>
    <row r="7070">
      <c r="A7070" t="inlineStr">
        <is>
          <t xml:space="preserve">Kotak Mahindra Mutual Fund</t>
        </is>
      </c>
      <c r="B7070" t="inlineStr">
        <is>
          <t xml:space="preserve">Kotak Active Momentum Fund - Direct Plan - Growth option</t>
        </is>
      </c>
      <c r="C7070" t="inlineStr">
        <is>
          <t xml:space="preserve">INF174KA1XA4</t>
        </is>
      </c>
    </row>
    <row r="7071">
      <c r="A7071" t="inlineStr">
        <is>
          <t xml:space="preserve">Kotak Mahindra Mutual Fund</t>
        </is>
      </c>
      <c r="B7071" t="inlineStr">
        <is>
          <t xml:space="preserve">Kotak Active Momentum Fund - Direct Plan - IDCW - Payout and Reinvestment</t>
        </is>
      </c>
      <c r="C7071" t="inlineStr">
        <is>
          <t xml:space="preserve">INF174KA1XB2</t>
        </is>
      </c>
    </row>
    <row r="7072">
      <c r="A7072" t="inlineStr">
        <is>
          <t xml:space="preserve">Kotak Mahindra Mutual Fund</t>
        </is>
      </c>
      <c r="B7072" t="inlineStr">
        <is>
          <t xml:space="preserve">Kotak Active Momentum Fund - Regular Plan - Growth</t>
        </is>
      </c>
      <c r="C7072" t="inlineStr">
        <is>
          <t xml:space="preserve">INF174KA1XD8</t>
        </is>
      </c>
    </row>
    <row r="7073">
      <c r="A7073" t="inlineStr">
        <is>
          <t xml:space="preserve">Kotak Mahindra Mutual Fund</t>
        </is>
      </c>
      <c r="B7073" t="inlineStr">
        <is>
          <t xml:space="preserve">Kotak Active Momentum Fund - Regular Plan - IDCW - Payout &amp; Reinvestment</t>
        </is>
      </c>
      <c r="C7073" t="inlineStr">
        <is>
          <t xml:space="preserve">INF174KA1XE6</t>
        </is>
      </c>
    </row>
    <row r="7074">
      <c r="A7074" t="inlineStr">
        <is>
          <t xml:space="preserve">Kotak Mahindra Mutual Fund</t>
        </is>
      </c>
      <c r="B7074" t="inlineStr">
        <is>
          <t xml:space="preserve">Kotak Aggressive Hybrid Fund - Direct Plan - IDCW - Payout &amp; Reinvestment of Income Distribution cum  capital withdrawal option</t>
        </is>
      </c>
      <c r="C7074" t="inlineStr">
        <is>
          <t xml:space="preserve">INF174K01LL7</t>
        </is>
      </c>
    </row>
    <row r="7075">
      <c r="A7075" t="inlineStr">
        <is>
          <t xml:space="preserve">Kotak Mahindra Mutual Fund</t>
        </is>
      </c>
      <c r="B7075" t="inlineStr">
        <is>
          <t xml:space="preserve">Kotak Aggressive Hybrid Fund - Direct Plan -Growth</t>
        </is>
      </c>
      <c r="C7075" t="inlineStr">
        <is>
          <t xml:space="preserve">INF174K01F00</t>
        </is>
      </c>
    </row>
    <row r="7076">
      <c r="A7076" t="inlineStr">
        <is>
          <t xml:space="preserve">Kotak Mahindra Mutual Fund</t>
        </is>
      </c>
      <c r="B7076" t="inlineStr">
        <is>
          <t xml:space="preserve">Kotak Aggressive Hybrid Fund - Regular Plan - IDCW - Payout &amp; Reinvestment of Income Distribution cum capital withdrawal option</t>
        </is>
      </c>
      <c r="C7076" t="inlineStr">
        <is>
          <t xml:space="preserve">INF174K01450</t>
        </is>
      </c>
    </row>
    <row r="7077">
      <c r="A7077" t="inlineStr">
        <is>
          <t xml:space="preserve">Kotak Mahindra Mutual Fund</t>
        </is>
      </c>
      <c r="B7077" t="inlineStr">
        <is>
          <t xml:space="preserve">Kotak Aggressive Hybrid Fund - Regular Plan -Growth</t>
        </is>
      </c>
      <c r="C7077" t="inlineStr">
        <is>
          <t xml:space="preserve">INF174K01E92</t>
        </is>
      </c>
    </row>
    <row r="7078">
      <c r="A7078" t="inlineStr">
        <is>
          <t xml:space="preserve">Kotak Mahindra Mutual Fund</t>
        </is>
      </c>
      <c r="B7078" t="inlineStr">
        <is>
          <t xml:space="preserve">Kotak Arbitrage Fund - Direct Plan - Growth</t>
        </is>
      </c>
      <c r="C7078" t="inlineStr">
        <is>
          <t xml:space="preserve">INF174K01LC6</t>
        </is>
      </c>
    </row>
    <row r="7079">
      <c r="A7079" t="inlineStr">
        <is>
          <t xml:space="preserve">Kotak Mahindra Mutual Fund</t>
        </is>
      </c>
      <c r="B7079" t="inlineStr">
        <is>
          <t xml:space="preserve">Kotak Arbitrage Fund - Regular Plan - Growth</t>
        </is>
      </c>
      <c r="C7079" t="inlineStr">
        <is>
          <t xml:space="preserve">INF174K01302</t>
        </is>
      </c>
    </row>
    <row r="7080">
      <c r="A7080" t="inlineStr">
        <is>
          <t xml:space="preserve">Kotak Mahindra Mutual Fund</t>
        </is>
      </c>
      <c r="B7080" t="inlineStr">
        <is>
          <t xml:space="preserve">Kotak Arbitrage Fund - Regular Plan - IDCW - Payout &amp; Re-investment of Income Distribution cum capital withdrawal option</t>
        </is>
      </c>
      <c r="C7080" t="inlineStr">
        <is>
          <t xml:space="preserve">INF174K01328</t>
        </is>
      </c>
    </row>
    <row r="7081">
      <c r="A7081" t="inlineStr">
        <is>
          <t xml:space="preserve">Kotak Mahindra Mutual Fund</t>
        </is>
      </c>
      <c r="B7081" t="inlineStr">
        <is>
          <t xml:space="preserve">Kotak Balanced Advantage Fund  - Direct Plan -Growth Option</t>
        </is>
      </c>
      <c r="C7081" t="inlineStr">
        <is>
          <t xml:space="preserve">INF174KA1210</t>
        </is>
      </c>
    </row>
    <row r="7082">
      <c r="A7082" t="inlineStr">
        <is>
          <t xml:space="preserve">Kotak Mahindra Mutual Fund</t>
        </is>
      </c>
      <c r="B7082" t="inlineStr">
        <is>
          <t xml:space="preserve">Kotak Balanced Advantage Fund - Regular Plan - Payout of Income Distribution cum capital withdrawal option Option</t>
        </is>
      </c>
      <c r="C7082" t="inlineStr">
        <is>
          <t xml:space="preserve">INF174KA1160</t>
        </is>
      </c>
    </row>
    <row r="7083">
      <c r="A7083" t="inlineStr">
        <is>
          <t xml:space="preserve">Kotak Mahindra Mutual Fund</t>
        </is>
      </c>
      <c r="B7083" t="inlineStr">
        <is>
          <t xml:space="preserve">Kotak Balanced Advantage Fund -Direct Plan  -Payout of Income Distribution cum capital withdrawal option</t>
        </is>
      </c>
      <c r="C7083" t="inlineStr">
        <is>
          <t xml:space="preserve">INF174KA1194</t>
        </is>
      </c>
    </row>
    <row r="7084">
      <c r="A7084" t="inlineStr">
        <is>
          <t xml:space="preserve">Kotak Mahindra Mutual Fund</t>
        </is>
      </c>
      <c r="B7084" t="inlineStr">
        <is>
          <t xml:space="preserve">Kotak Balanced Advantage Fund -Regular Plan - Growth Option</t>
        </is>
      </c>
      <c r="C7084" t="inlineStr">
        <is>
          <t xml:space="preserve">INF174KA1186</t>
        </is>
      </c>
    </row>
    <row r="7085">
      <c r="A7085" t="inlineStr">
        <is>
          <t xml:space="preserve">Kotak Mahindra Mutual Fund</t>
        </is>
      </c>
      <c r="B7085" t="inlineStr">
        <is>
          <t xml:space="preserve">Kotak Banking &amp; Financial Services Fund - Direct Plan - Growth</t>
        </is>
      </c>
      <c r="C7085" t="inlineStr">
        <is>
          <t xml:space="preserve">INF174KA1MD1</t>
        </is>
      </c>
    </row>
    <row r="7086">
      <c r="A7086" t="inlineStr">
        <is>
          <t xml:space="preserve">Kotak Mahindra Mutual Fund</t>
        </is>
      </c>
      <c r="B7086" t="inlineStr">
        <is>
          <t xml:space="preserve">Kotak Banking &amp; Financial Services Fund - Direct Plan - IDCW Payout</t>
        </is>
      </c>
      <c r="C7086" t="inlineStr">
        <is>
          <t xml:space="preserve">INF174KA1ME9</t>
        </is>
      </c>
    </row>
    <row r="7087">
      <c r="A7087" t="inlineStr">
        <is>
          <t xml:space="preserve">Kotak Mahindra Mutual Fund</t>
        </is>
      </c>
      <c r="B7087" t="inlineStr">
        <is>
          <t xml:space="preserve">Kotak Banking &amp; Financial Services Fund - Regular Plan - Growth</t>
        </is>
      </c>
      <c r="C7087" t="inlineStr">
        <is>
          <t xml:space="preserve">INF174KA1MA7</t>
        </is>
      </c>
    </row>
    <row r="7088">
      <c r="A7088" t="inlineStr">
        <is>
          <t xml:space="preserve">Kotak Mahindra Mutual Fund</t>
        </is>
      </c>
      <c r="B7088" t="inlineStr">
        <is>
          <t xml:space="preserve">Kotak Banking &amp; Financial Services Fund - Regular Plan - IDCW Payout</t>
        </is>
      </c>
      <c r="C7088" t="inlineStr">
        <is>
          <t xml:space="preserve">INF174KA1MB5</t>
        </is>
      </c>
    </row>
    <row r="7089">
      <c r="A7089" t="inlineStr">
        <is>
          <t xml:space="preserve">Kotak Mahindra Mutual Fund</t>
        </is>
      </c>
      <c r="B7089" t="inlineStr">
        <is>
          <t xml:space="preserve">Kotak Banking and PSU Debt - Growth</t>
        </is>
      </c>
      <c r="C7089" t="inlineStr">
        <is>
          <t xml:space="preserve">INF174K01FO3</t>
        </is>
      </c>
    </row>
    <row r="7090">
      <c r="A7090" t="inlineStr">
        <is>
          <t xml:space="preserve">Kotak Mahindra Mutual Fund</t>
        </is>
      </c>
      <c r="B7090" t="inlineStr">
        <is>
          <t xml:space="preserve">Kotak Banking and PSU Debt - Monthly Payout of Income Distribution cum capital withdrawal option</t>
        </is>
      </c>
      <c r="C7090" t="inlineStr">
        <is>
          <t xml:space="preserve">INF174K01FQ8</t>
        </is>
      </c>
    </row>
    <row r="7091">
      <c r="A7091" t="inlineStr">
        <is>
          <t xml:space="preserve">Kotak Mahindra Mutual Fund</t>
        </is>
      </c>
      <c r="B7091" t="inlineStr">
        <is>
          <t xml:space="preserve">Kotak Banking and PSU Debt Direct - Annual Dividend</t>
        </is>
      </c>
      <c r="C7091" t="inlineStr">
        <is>
          <t xml:space="preserve">INF174K01KI5</t>
        </is>
      </c>
    </row>
    <row r="7092">
      <c r="A7092" t="inlineStr">
        <is>
          <t xml:space="preserve">Kotak Mahindra Mutual Fund</t>
        </is>
      </c>
      <c r="B7092" t="inlineStr">
        <is>
          <t xml:space="preserve">Kotak Banking and PSU Debt Direct - Growth</t>
        </is>
      </c>
      <c r="C7092" t="inlineStr">
        <is>
          <t xml:space="preserve">INF174K01KH7</t>
        </is>
      </c>
    </row>
    <row r="7093">
      <c r="A7093" t="inlineStr">
        <is>
          <t xml:space="preserve">Kotak Mahindra Mutual Fund</t>
        </is>
      </c>
      <c r="B7093" t="inlineStr">
        <is>
          <t xml:space="preserve">Kotak Banking and PSU Debt Direct - Monthly Payout of Income Distribution cum capital withdrawal option</t>
        </is>
      </c>
      <c r="C7093" t="inlineStr">
        <is>
          <t xml:space="preserve">INF174K01KK1</t>
        </is>
      </c>
    </row>
    <row r="7094">
      <c r="A7094" t="inlineStr">
        <is>
          <t xml:space="preserve">Kotak Mahindra Mutual Fund</t>
        </is>
      </c>
      <c r="B7094" t="inlineStr">
        <is>
          <t xml:space="preserve">Kotak Bond Fund - Direct Plan - Standard IDCW option</t>
        </is>
      </c>
      <c r="C7094" t="inlineStr">
        <is>
          <t xml:space="preserve">INF174K01JD8</t>
        </is>
      </c>
    </row>
    <row r="7095">
      <c r="A7095" t="inlineStr">
        <is>
          <t xml:space="preserve">Kotak Mahindra Mutual Fund</t>
        </is>
      </c>
      <c r="B7095" t="inlineStr">
        <is>
          <t xml:space="preserve">Kotak Bond Fund - Growth - Direct</t>
        </is>
      </c>
      <c r="C7095" t="inlineStr">
        <is>
          <t xml:space="preserve">INF174K01JC0</t>
        </is>
      </c>
    </row>
    <row r="7096">
      <c r="A7096" t="inlineStr">
        <is>
          <t xml:space="preserve">Kotak Mahindra Mutual Fund</t>
        </is>
      </c>
      <c r="B7096" t="inlineStr">
        <is>
          <t xml:space="preserve">Kotak Bond Fund - Regular Plan - Standard IDCW Option</t>
        </is>
      </c>
      <c r="C7096" t="inlineStr">
        <is>
          <t xml:space="preserve">INF174K01EQ1</t>
        </is>
      </c>
    </row>
    <row r="7097">
      <c r="A7097" t="inlineStr">
        <is>
          <t xml:space="preserve">Kotak Mahindra Mutual Fund</t>
        </is>
      </c>
      <c r="B7097" t="inlineStr">
        <is>
          <t xml:space="preserve">Kotak Bond Fund - Regular Plan Growth</t>
        </is>
      </c>
      <c r="C7097" t="inlineStr">
        <is>
          <t xml:space="preserve">INF174K01EM0</t>
        </is>
      </c>
    </row>
    <row r="7098">
      <c r="A7098" t="inlineStr">
        <is>
          <t xml:space="preserve">Kotak Mahindra Mutual Fund</t>
        </is>
      </c>
      <c r="B7098" t="inlineStr">
        <is>
          <t xml:space="preserve">Kotak Bond Short Term Plan - Direct - Standard Income Distribution cum capital withdrawal option</t>
        </is>
      </c>
      <c r="C7098" t="inlineStr">
        <is>
          <t xml:space="preserve">INF174K01Z14</t>
        </is>
      </c>
    </row>
    <row r="7099">
      <c r="A7099" t="inlineStr">
        <is>
          <t xml:space="preserve">Kotak Mahindra Mutual Fund</t>
        </is>
      </c>
      <c r="B7099" t="inlineStr">
        <is>
          <t xml:space="preserve">Kotak Bond Short Term Plan - Regular Plan - Normal Dividend</t>
        </is>
      </c>
      <c r="C7099" t="inlineStr">
        <is>
          <t xml:space="preserve">INF174K01Y98</t>
        </is>
      </c>
    </row>
    <row r="7100">
      <c r="A7100" t="inlineStr">
        <is>
          <t xml:space="preserve">Kotak Mahindra Mutual Fund</t>
        </is>
      </c>
      <c r="B7100" t="inlineStr">
        <is>
          <t xml:space="preserve">Kotak Bond Short Term Plan-(Growth)</t>
        </is>
      </c>
      <c r="C7100" t="inlineStr">
        <is>
          <t xml:space="preserve">INF174K01ES7</t>
        </is>
      </c>
    </row>
    <row r="7101">
      <c r="A7101" t="inlineStr">
        <is>
          <t xml:space="preserve">Kotak Mahindra Mutual Fund</t>
        </is>
      </c>
      <c r="B7101" t="inlineStr">
        <is>
          <t xml:space="preserve">Kotak Bond Short Term Plan-(Growth) - Direct</t>
        </is>
      </c>
      <c r="C7101" t="inlineStr">
        <is>
          <t xml:space="preserve">INF174K01JI7</t>
        </is>
      </c>
    </row>
    <row r="7102">
      <c r="A7102" t="inlineStr">
        <is>
          <t xml:space="preserve">Kotak Mahindra Mutual Fund</t>
        </is>
      </c>
      <c r="B7102" t="inlineStr">
        <is>
          <t xml:space="preserve">Kotak Bond Short Term Plan-(Payout of Income Distribution cum capital withdrawal option)</t>
        </is>
      </c>
      <c r="C7102" t="inlineStr">
        <is>
          <t xml:space="preserve">INF174K01EU3</t>
        </is>
      </c>
    </row>
    <row r="7103">
      <c r="A7103" t="inlineStr">
        <is>
          <t xml:space="preserve">Kotak Mahindra Mutual Fund</t>
        </is>
      </c>
      <c r="B7103" t="inlineStr">
        <is>
          <t xml:space="preserve">Kotak Bond-Deposit-Dividend</t>
        </is>
      </c>
      <c r="C7103" t="inlineStr">
        <is>
          <t xml:space="preserve">INF174K01EK4</t>
        </is>
      </c>
    </row>
    <row r="7104">
      <c r="A7104" t="inlineStr">
        <is>
          <t xml:space="preserve">Kotak Mahindra Mutual Fund</t>
        </is>
      </c>
      <c r="B7104" t="inlineStr">
        <is>
          <t xml:space="preserve">Kotak Bond-Deposit-Growth</t>
        </is>
      </c>
      <c r="C7104" t="inlineStr">
        <is>
          <t xml:space="preserve">INF174K01EJ6</t>
        </is>
      </c>
    </row>
    <row r="7105">
      <c r="A7105" t="inlineStr">
        <is>
          <t xml:space="preserve">Kotak Mahindra Mutual Fund</t>
        </is>
      </c>
      <c r="B7105" t="inlineStr">
        <is>
          <t xml:space="preserve">Kotak BSE Housing Index Fund - Direct Plan - Growth Option</t>
        </is>
      </c>
      <c r="C7105" t="inlineStr">
        <is>
          <t xml:space="preserve">INF174KA1OX5</t>
        </is>
      </c>
    </row>
    <row r="7106">
      <c r="A7106" t="inlineStr">
        <is>
          <t xml:space="preserve">Kotak Mahindra Mutual Fund</t>
        </is>
      </c>
      <c r="B7106" t="inlineStr">
        <is>
          <t xml:space="preserve">Kotak BSE Housing Index Fund - Direct Plan - IDCW Option</t>
        </is>
      </c>
      <c r="C7106" t="inlineStr">
        <is>
          <t xml:space="preserve">INF174KA1OY3</t>
        </is>
      </c>
    </row>
    <row r="7107">
      <c r="A7107" t="inlineStr">
        <is>
          <t xml:space="preserve">Kotak Mahindra Mutual Fund</t>
        </is>
      </c>
      <c r="B7107" t="inlineStr">
        <is>
          <t xml:space="preserve">Kotak BSE PSU Index Fund - Direct Plan - Growth</t>
        </is>
      </c>
      <c r="C7107" t="inlineStr">
        <is>
          <t xml:space="preserve">INF174KA1SL1</t>
        </is>
      </c>
    </row>
    <row r="7108">
      <c r="A7108" t="inlineStr">
        <is>
          <t xml:space="preserve">Kotak Mahindra Mutual Fund</t>
        </is>
      </c>
      <c r="B7108" t="inlineStr">
        <is>
          <t xml:space="preserve">Kotak BSE PSU Index Fund - Direct Plan - IDCW Payout and Reinvestment</t>
        </is>
      </c>
      <c r="C7108" t="inlineStr">
        <is>
          <t xml:space="preserve">INF174KA1SM9</t>
        </is>
      </c>
    </row>
    <row r="7109">
      <c r="A7109" t="inlineStr">
        <is>
          <t xml:space="preserve">Kotak Mahindra Mutual Fund</t>
        </is>
      </c>
      <c r="B7109" t="inlineStr">
        <is>
          <t xml:space="preserve">Kotak BSE PSU Index Fund - Regular Plan - Growth</t>
        </is>
      </c>
      <c r="C7109" t="inlineStr">
        <is>
          <t xml:space="preserve">INF174KA1SI7</t>
        </is>
      </c>
    </row>
    <row r="7110">
      <c r="A7110" t="inlineStr">
        <is>
          <t xml:space="preserve">Kotak Mahindra Mutual Fund</t>
        </is>
      </c>
      <c r="B7110" t="inlineStr">
        <is>
          <t xml:space="preserve">Kotak BSE PSU Index Fund - Regular Plan - IDCW Payout and Reinvestment</t>
        </is>
      </c>
      <c r="C7110" t="inlineStr">
        <is>
          <t xml:space="preserve">INF174KA1SJ5</t>
        </is>
      </c>
    </row>
    <row r="7111">
      <c r="A7111" t="inlineStr">
        <is>
          <t xml:space="preserve">Kotak Mahindra Mutual Fund</t>
        </is>
      </c>
      <c r="B7111" t="inlineStr">
        <is>
          <t xml:space="preserve">Kotak BSE Sensex ETF</t>
        </is>
      </c>
      <c r="C7111" t="inlineStr">
        <is>
          <t xml:space="preserve">INF174KA1JD7</t>
        </is>
      </c>
    </row>
    <row r="7112">
      <c r="A7112" t="inlineStr">
        <is>
          <t xml:space="preserve">Kotak Mahindra Mutual Fund</t>
        </is>
      </c>
      <c r="B7112" t="inlineStr">
        <is>
          <t xml:space="preserve">Kotak BSE Sensex Index Fund - Regular - Growth</t>
        </is>
      </c>
      <c r="C7112" t="inlineStr">
        <is>
          <t xml:space="preserve">INF174KA1US2</t>
        </is>
      </c>
    </row>
    <row r="7113">
      <c r="A7113" t="inlineStr">
        <is>
          <t xml:space="preserve">Kotak Mahindra Mutual Fund</t>
        </is>
      </c>
      <c r="B7113" t="inlineStr">
        <is>
          <t xml:space="preserve">Kotak BSE Sensex Index Fund - Regular - IDCW</t>
        </is>
      </c>
      <c r="C7113" t="inlineStr">
        <is>
          <t xml:space="preserve">INF174KA1UT0</t>
        </is>
      </c>
    </row>
    <row r="7114">
      <c r="A7114" t="inlineStr">
        <is>
          <t xml:space="preserve">Kotak Mahindra Mutual Fund</t>
        </is>
      </c>
      <c r="B7114" t="inlineStr">
        <is>
          <t xml:space="preserve">Kotak BSE Sensex Index Fund- Direct - Growth</t>
        </is>
      </c>
      <c r="C7114" t="inlineStr">
        <is>
          <t xml:space="preserve">INF174KA1UV6</t>
        </is>
      </c>
    </row>
    <row r="7115">
      <c r="A7115" t="inlineStr">
        <is>
          <t xml:space="preserve">Kotak Mahindra Mutual Fund</t>
        </is>
      </c>
      <c r="B7115" t="inlineStr">
        <is>
          <t xml:space="preserve">Kotak BSE Sensex Index Fund- Direct - IDCW</t>
        </is>
      </c>
      <c r="C7115" t="inlineStr">
        <is>
          <t xml:space="preserve">INF174KA1UQ6</t>
        </is>
      </c>
    </row>
    <row r="7116">
      <c r="A7116" t="inlineStr">
        <is>
          <t xml:space="preserve">Kotak Mahindra Mutual Fund</t>
        </is>
      </c>
      <c r="B7116" t="inlineStr">
        <is>
          <t xml:space="preserve">Kotak Business Cycle - Direct Plan - Growth</t>
        </is>
      </c>
      <c r="C7116" t="inlineStr">
        <is>
          <t xml:space="preserve">INF174KA1JN6</t>
        </is>
      </c>
    </row>
    <row r="7117">
      <c r="A7117" t="inlineStr">
        <is>
          <t xml:space="preserve">Kotak Mahindra Mutual Fund</t>
        </is>
      </c>
      <c r="B7117" t="inlineStr">
        <is>
          <t xml:space="preserve">Kotak Business Cycle Fund-Direct Plan-IDCW option</t>
        </is>
      </c>
      <c r="C7117" t="inlineStr">
        <is>
          <t xml:space="preserve">INF174KA1JO4</t>
        </is>
      </c>
    </row>
    <row r="7118">
      <c r="A7118" t="inlineStr">
        <is>
          <t xml:space="preserve">Kotak Mahindra Mutual Fund</t>
        </is>
      </c>
      <c r="B7118" t="inlineStr">
        <is>
          <t xml:space="preserve">Kotak Business Cycle Fund-Regular Plan--Growth</t>
        </is>
      </c>
      <c r="C7118" t="inlineStr">
        <is>
          <t xml:space="preserve">INF174KA1JK2</t>
        </is>
      </c>
    </row>
    <row r="7119">
      <c r="A7119" t="inlineStr">
        <is>
          <t xml:space="preserve">Kotak Mahindra Mutual Fund</t>
        </is>
      </c>
      <c r="B7119" t="inlineStr">
        <is>
          <t xml:space="preserve">Kotak Business Cycle Fund-Regular Plan-IDCW option</t>
        </is>
      </c>
      <c r="C7119" t="inlineStr">
        <is>
          <t xml:space="preserve">INF174KA1JL0</t>
        </is>
      </c>
    </row>
    <row r="7120">
      <c r="A7120" t="inlineStr">
        <is>
          <t xml:space="preserve">Kotak Mahindra Mutual Fund</t>
        </is>
      </c>
      <c r="B7120" t="inlineStr">
        <is>
          <t xml:space="preserve">Kotak Capital Protection Oriented Scheme - Series 1 - Direct Dividend</t>
        </is>
      </c>
      <c r="C7120" t="inlineStr">
        <is>
          <t xml:space="preserve">INF174K01U50</t>
        </is>
      </c>
    </row>
    <row r="7121">
      <c r="A7121" t="inlineStr">
        <is>
          <t xml:space="preserve">Kotak Mahindra Mutual Fund</t>
        </is>
      </c>
      <c r="B7121" t="inlineStr">
        <is>
          <t xml:space="preserve">Kotak Capital Protection Oriented Scheme - Series 1 - Direct Growth</t>
        </is>
      </c>
      <c r="C7121" t="inlineStr">
        <is>
          <t xml:space="preserve">INF174K01U43</t>
        </is>
      </c>
    </row>
    <row r="7122">
      <c r="A7122" t="inlineStr">
        <is>
          <t xml:space="preserve">Kotak Mahindra Mutual Fund</t>
        </is>
      </c>
      <c r="B7122" t="inlineStr">
        <is>
          <t xml:space="preserve">Kotak Capital Protection Oriented Scheme - Series 1 - Regular Dividend</t>
        </is>
      </c>
      <c r="C7122" t="inlineStr">
        <is>
          <t xml:space="preserve">INF174K01U35</t>
        </is>
      </c>
    </row>
    <row r="7123">
      <c r="A7123" t="inlineStr">
        <is>
          <t xml:space="preserve">Kotak Mahindra Mutual Fund</t>
        </is>
      </c>
      <c r="B7123" t="inlineStr">
        <is>
          <t xml:space="preserve">Kotak Capital Protection Oriented Scheme - Series 1 - Regular Growth</t>
        </is>
      </c>
      <c r="C7123" t="inlineStr">
        <is>
          <t xml:space="preserve">INF174K01U27</t>
        </is>
      </c>
    </row>
    <row r="7124">
      <c r="A7124" t="inlineStr">
        <is>
          <t xml:space="preserve">Kotak Mahindra Mutual Fund</t>
        </is>
      </c>
      <c r="B7124" t="inlineStr">
        <is>
          <t xml:space="preserve">Kotak Capital Protection Oriented Scheme - Series 2 - Direct Dividend</t>
        </is>
      </c>
      <c r="C7124" t="inlineStr">
        <is>
          <t xml:space="preserve">INF174K011A4</t>
        </is>
      </c>
    </row>
    <row r="7125">
      <c r="A7125" t="inlineStr">
        <is>
          <t xml:space="preserve">Kotak Mahindra Mutual Fund</t>
        </is>
      </c>
      <c r="B7125" t="inlineStr">
        <is>
          <t xml:space="preserve">Kotak Capital Protection Oriented Scheme - Series 2 - Direct Growth</t>
        </is>
      </c>
      <c r="C7125" t="inlineStr">
        <is>
          <t xml:space="preserve">INF174K010A6</t>
        </is>
      </c>
    </row>
    <row r="7126">
      <c r="A7126" t="inlineStr">
        <is>
          <t xml:space="preserve">Kotak Mahindra Mutual Fund</t>
        </is>
      </c>
      <c r="B7126" t="inlineStr">
        <is>
          <t xml:space="preserve">Kotak Capital Protection Oriented Scheme - Series 2 - Dividend</t>
        </is>
      </c>
      <c r="C7126" t="inlineStr">
        <is>
          <t xml:space="preserve">INF174K01Z97</t>
        </is>
      </c>
    </row>
    <row r="7127">
      <c r="A7127" t="inlineStr">
        <is>
          <t xml:space="preserve">Kotak Mahindra Mutual Fund</t>
        </is>
      </c>
      <c r="B7127" t="inlineStr">
        <is>
          <t xml:space="preserve">Kotak Capital Protection Oriented Scheme - Series 2 - Growth</t>
        </is>
      </c>
      <c r="C7127" t="inlineStr">
        <is>
          <t xml:space="preserve">INF174K01Z89</t>
        </is>
      </c>
    </row>
    <row r="7128">
      <c r="A7128" t="inlineStr">
        <is>
          <t xml:space="preserve">Kotak Mahindra Mutual Fund</t>
        </is>
      </c>
      <c r="B7128" t="inlineStr">
        <is>
          <t xml:space="preserve">Kotak Capital Protection Oriented Scheme - Series 4 - Direct Dividend</t>
        </is>
      </c>
      <c r="C7128" t="inlineStr">
        <is>
          <t xml:space="preserve">INF174K015G2</t>
        </is>
      </c>
    </row>
    <row r="7129">
      <c r="A7129" t="inlineStr">
        <is>
          <t xml:space="preserve">Kotak Mahindra Mutual Fund</t>
        </is>
      </c>
      <c r="B7129" t="inlineStr">
        <is>
          <t xml:space="preserve">Kotak Capital Protection Oriented Scheme - Series 4 - Direct Growth</t>
        </is>
      </c>
      <c r="C7129" t="inlineStr">
        <is>
          <t xml:space="preserve">INF174K014G5</t>
        </is>
      </c>
    </row>
    <row r="7130">
      <c r="A7130" t="inlineStr">
        <is>
          <t xml:space="preserve">Kotak Mahindra Mutual Fund</t>
        </is>
      </c>
      <c r="B7130" t="inlineStr">
        <is>
          <t xml:space="preserve">Kotak Capital Protection Oriented Scheme - Series 4 - Regular Dividend</t>
        </is>
      </c>
      <c r="C7130" t="inlineStr">
        <is>
          <t xml:space="preserve">INF174K013G7</t>
        </is>
      </c>
    </row>
    <row r="7131">
      <c r="A7131" t="inlineStr">
        <is>
          <t xml:space="preserve">Kotak Mahindra Mutual Fund</t>
        </is>
      </c>
      <c r="B7131" t="inlineStr">
        <is>
          <t xml:space="preserve">Kotak Capital Protection Oriented Scheme - Series 4 - Regular Growth</t>
        </is>
      </c>
      <c r="C7131" t="inlineStr">
        <is>
          <t xml:space="preserve">INF174K012G9</t>
        </is>
      </c>
    </row>
    <row r="7132">
      <c r="A7132" t="inlineStr">
        <is>
          <t xml:space="preserve">Kotak Mahindra Mutual Fund</t>
        </is>
      </c>
      <c r="B7132" t="inlineStr">
        <is>
          <t xml:space="preserve">Kotak Capital Protection Oriented Scheme Series 3 - Direct Growth</t>
        </is>
      </c>
      <c r="C7132" t="inlineStr">
        <is>
          <t xml:space="preserve">INF174K010E8</t>
        </is>
      </c>
    </row>
    <row r="7133">
      <c r="A7133" t="inlineStr">
        <is>
          <t xml:space="preserve">Kotak Mahindra Mutual Fund</t>
        </is>
      </c>
      <c r="B7133" t="inlineStr">
        <is>
          <t xml:space="preserve">Kotak Capital Protection Oriented Scheme Series 3 Regular Dividend Payout</t>
        </is>
      </c>
      <c r="C7133" t="inlineStr">
        <is>
          <t xml:space="preserve">INF174K019D1</t>
        </is>
      </c>
    </row>
    <row r="7134">
      <c r="A7134" t="inlineStr">
        <is>
          <t xml:space="preserve">Kotak Mahindra Mutual Fund</t>
        </is>
      </c>
      <c r="B7134" t="inlineStr">
        <is>
          <t xml:space="preserve">Kotak Capital Protection Oriented Scheme Series 3 Regular Growth</t>
        </is>
      </c>
      <c r="C7134" t="inlineStr">
        <is>
          <t xml:space="preserve">INF174K018D3</t>
        </is>
      </c>
    </row>
    <row r="7135">
      <c r="A7135" t="inlineStr">
        <is>
          <t xml:space="preserve">Kotak Mahindra Mutual Fund</t>
        </is>
      </c>
      <c r="B7135" t="inlineStr">
        <is>
          <t xml:space="preserve">Kotak Consumption Fund - Direct plan - Growth Option</t>
        </is>
      </c>
      <c r="C7135" t="inlineStr">
        <is>
          <t xml:space="preserve">INF174KA1PP8</t>
        </is>
      </c>
    </row>
    <row r="7136">
      <c r="A7136" t="inlineStr">
        <is>
          <t xml:space="preserve">Kotak Mahindra Mutual Fund</t>
        </is>
      </c>
      <c r="B7136" t="inlineStr">
        <is>
          <t xml:space="preserve">Kotak Consumption Fund - Direct plan - IDCW Option</t>
        </is>
      </c>
      <c r="C7136" t="inlineStr">
        <is>
          <t xml:space="preserve">INF174KA1PQ6</t>
        </is>
      </c>
    </row>
    <row r="7137">
      <c r="A7137" t="inlineStr">
        <is>
          <t xml:space="preserve">Kotak Mahindra Mutual Fund</t>
        </is>
      </c>
      <c r="B7137" t="inlineStr">
        <is>
          <t xml:space="preserve">Kotak Consumption Fund - Regular plan - Growth Option</t>
        </is>
      </c>
      <c r="C7137" t="inlineStr">
        <is>
          <t xml:space="preserve">INF174KA1PM5</t>
        </is>
      </c>
    </row>
    <row r="7138">
      <c r="A7138" t="inlineStr">
        <is>
          <t xml:space="preserve">Kotak Mahindra Mutual Fund</t>
        </is>
      </c>
      <c r="B7138" t="inlineStr">
        <is>
          <t xml:space="preserve">Kotak Consumption Fund - Regular plan - IDCW Option</t>
        </is>
      </c>
      <c r="C7138" t="inlineStr">
        <is>
          <t xml:space="preserve">INF174KA1PN3</t>
        </is>
      </c>
    </row>
    <row r="7139">
      <c r="A7139" t="inlineStr">
        <is>
          <t xml:space="preserve">Kotak Mahindra Mutual Fund</t>
        </is>
      </c>
      <c r="B7139" t="inlineStr">
        <is>
          <t xml:space="preserve">Kotak Contra Fund - Direct Plan - Growth</t>
        </is>
      </c>
      <c r="C7139" t="inlineStr">
        <is>
          <t xml:space="preserve">INF174K01KZ9</t>
        </is>
      </c>
    </row>
    <row r="7140">
      <c r="A7140" t="inlineStr">
        <is>
          <t xml:space="preserve">Kotak Mahindra Mutual Fund</t>
        </is>
      </c>
      <c r="B7140" t="inlineStr">
        <is>
          <t xml:space="preserve">Kotak Contra Fund - Direct Plan - IDCW -Payout &amp; Re-investment of Income Distribution cum capital withdrawal option- Direct</t>
        </is>
      </c>
      <c r="C7140" t="inlineStr">
        <is>
          <t xml:space="preserve">INF174K01LA0</t>
        </is>
      </c>
    </row>
    <row r="7141">
      <c r="A7141" t="inlineStr">
        <is>
          <t xml:space="preserve">Kotak Mahindra Mutual Fund</t>
        </is>
      </c>
      <c r="B7141" t="inlineStr">
        <is>
          <t xml:space="preserve">Kotak Contra Fund - Regular Plan - Growth</t>
        </is>
      </c>
      <c r="C7141" t="inlineStr">
        <is>
          <t xml:space="preserve">INF174K01245</t>
        </is>
      </c>
    </row>
    <row r="7142">
      <c r="A7142" t="inlineStr">
        <is>
          <t xml:space="preserve">Kotak Mahindra Mutual Fund</t>
        </is>
      </c>
      <c r="B7142" t="inlineStr">
        <is>
          <t xml:space="preserve">Kotak Contra Fund - Regular Plan - IDCW - Payout &amp; Re-investment of Income Distribution cum capital withdrawal option</t>
        </is>
      </c>
      <c r="C7142" t="inlineStr">
        <is>
          <t xml:space="preserve">INF174K01260</t>
        </is>
      </c>
    </row>
    <row r="7143">
      <c r="A7143" t="inlineStr">
        <is>
          <t xml:space="preserve">Kotak Mahindra Mutual Fund</t>
        </is>
      </c>
      <c r="B7143" t="inlineStr">
        <is>
          <t xml:space="preserve">Kotak Corporate Bond Fund- Direct Plan- Growth Option</t>
        </is>
      </c>
      <c r="C7143" t="inlineStr">
        <is>
          <t xml:space="preserve">INF178L01BY0</t>
        </is>
      </c>
    </row>
    <row r="7144">
      <c r="A7144" t="inlineStr">
        <is>
          <t xml:space="preserve">Kotak Mahindra Mutual Fund</t>
        </is>
      </c>
      <c r="B7144" t="inlineStr">
        <is>
          <t xml:space="preserve">Kotak Corporate Bond Fund- Direct Plan- Monthly Payout of Income Distribution cum capital withdrawal option</t>
        </is>
      </c>
      <c r="C7144" t="inlineStr">
        <is>
          <t xml:space="preserve">INF178L01BZ7</t>
        </is>
      </c>
    </row>
    <row r="7145">
      <c r="A7145" t="inlineStr">
        <is>
          <t xml:space="preserve">Kotak Mahindra Mutual Fund</t>
        </is>
      </c>
      <c r="B7145" t="inlineStr">
        <is>
          <t xml:space="preserve">Kotak Corporate Bond Fund- Institutional Plan-Growth Option</t>
        </is>
      </c>
      <c r="C7145" t="inlineStr">
        <is>
          <t xml:space="preserve">INF178L01921</t>
        </is>
      </c>
    </row>
    <row r="7146">
      <c r="A7146" t="inlineStr">
        <is>
          <t xml:space="preserve">Kotak Mahindra Mutual Fund</t>
        </is>
      </c>
      <c r="B7146" t="inlineStr">
        <is>
          <t xml:space="preserve">Kotak Corporate Bond Fund- Regular Plan-Growth Option</t>
        </is>
      </c>
      <c r="C7146" t="inlineStr">
        <is>
          <t xml:space="preserve">INF178L01BO1</t>
        </is>
      </c>
    </row>
    <row r="7147">
      <c r="A7147" t="inlineStr">
        <is>
          <t xml:space="preserve">Kotak Mahindra Mutual Fund</t>
        </is>
      </c>
      <c r="B7147" t="inlineStr">
        <is>
          <t xml:space="preserve">Kotak Corporate Bond Fund- Regular Plan-Monthly Dividend Option</t>
        </is>
      </c>
      <c r="C7147" t="inlineStr">
        <is>
          <t xml:space="preserve">INF178L01BQ6</t>
        </is>
      </c>
    </row>
    <row r="7148">
      <c r="A7148" t="inlineStr">
        <is>
          <t xml:space="preserve">Kotak Mahindra Mutual Fund</t>
        </is>
      </c>
      <c r="B7148" t="inlineStr">
        <is>
          <t xml:space="preserve">Kotak Corporate Bond Fund- Regular Plan-Quarterly Dividend Option</t>
        </is>
      </c>
      <c r="C7148" t="inlineStr">
        <is>
          <t xml:space="preserve">INF178L01BR4</t>
        </is>
      </c>
    </row>
    <row r="7149">
      <c r="A7149" t="inlineStr">
        <is>
          <t xml:space="preserve">Kotak Mahindra Mutual Fund</t>
        </is>
      </c>
      <c r="B7149" t="inlineStr">
        <is>
          <t xml:space="preserve">Kotak Corporate Bond Fund- Retail Plan- Monthly Dividend Option</t>
        </is>
      </c>
      <c r="C7149" t="inlineStr">
        <is>
          <t xml:space="preserve">INF178L01855</t>
        </is>
      </c>
    </row>
    <row r="7150">
      <c r="A7150" t="inlineStr">
        <is>
          <t xml:space="preserve">Kotak Mahindra Mutual Fund</t>
        </is>
      </c>
      <c r="B7150" t="inlineStr">
        <is>
          <t xml:space="preserve">Kotak Corporate Bond Fund- Retail Plan- Weekly Dividend Option</t>
        </is>
      </c>
      <c r="C7150" t="inlineStr">
        <is>
          <t xml:space="preserve">INF178L01897</t>
        </is>
      </c>
    </row>
    <row r="7151">
      <c r="A7151" t="inlineStr">
        <is>
          <t xml:space="preserve">Kotak Mahindra Mutual Fund</t>
        </is>
      </c>
      <c r="B7151" t="inlineStr">
        <is>
          <t xml:space="preserve">Kotak Corporate Bond Fund- Standard Plan-Daily Dividend Option</t>
        </is>
      </c>
      <c r="C7151" t="inlineStr">
        <is>
          <t xml:space="preserve">INF178L01BU8</t>
        </is>
      </c>
    </row>
    <row r="7152">
      <c r="A7152" t="inlineStr">
        <is>
          <t xml:space="preserve">Kotak Mahindra Mutual Fund</t>
        </is>
      </c>
      <c r="B7152" t="inlineStr">
        <is>
          <t xml:space="preserve">Kotak Corporate Bond Fund- Standard Plan-Weekly Dividend Option</t>
        </is>
      </c>
      <c r="C7152" t="inlineStr">
        <is>
          <t xml:space="preserve">INF178L01BT0</t>
        </is>
      </c>
    </row>
    <row r="7153">
      <c r="A7153" t="inlineStr">
        <is>
          <t xml:space="preserve">Kotak Mahindra Mutual Fund</t>
        </is>
      </c>
      <c r="B7153" t="inlineStr">
        <is>
          <t xml:space="preserve">Kotak Credit Risk Fund - Direct Plan - Standard Income Distribution cum capital withdrawal option</t>
        </is>
      </c>
      <c r="C7153" t="inlineStr">
        <is>
          <t xml:space="preserve">INF174K01MG5</t>
        </is>
      </c>
    </row>
    <row r="7154">
      <c r="A7154" t="inlineStr">
        <is>
          <t xml:space="preserve">Kotak Mahindra Mutual Fund</t>
        </is>
      </c>
      <c r="B7154" t="inlineStr">
        <is>
          <t xml:space="preserve">Kotak Credit Risk Fund - Growth</t>
        </is>
      </c>
      <c r="C7154" t="inlineStr">
        <is>
          <t xml:space="preserve">INF174K01DY7</t>
        </is>
      </c>
    </row>
    <row r="7155">
      <c r="A7155" t="inlineStr">
        <is>
          <t xml:space="preserve">Kotak Mahindra Mutual Fund</t>
        </is>
      </c>
      <c r="B7155" t="inlineStr">
        <is>
          <t xml:space="preserve">Kotak Credit Risk Fund - Growth - Direct</t>
        </is>
      </c>
      <c r="C7155" t="inlineStr">
        <is>
          <t xml:space="preserve">INF174K01LZ7</t>
        </is>
      </c>
    </row>
    <row r="7156">
      <c r="A7156" t="inlineStr">
        <is>
          <t xml:space="preserve">Kotak Mahindra Mutual Fund</t>
        </is>
      </c>
      <c r="B7156" t="inlineStr">
        <is>
          <t xml:space="preserve">Kotak Credit Risk Fund - Regular Plan - Standard Income Distribution cum capital withdrawal option</t>
        </is>
      </c>
      <c r="C7156" t="inlineStr">
        <is>
          <t xml:space="preserve">INF174K01EG2</t>
        </is>
      </c>
    </row>
    <row r="7157">
      <c r="A7157" t="inlineStr">
        <is>
          <t xml:space="preserve">Kotak Mahindra Mutual Fund</t>
        </is>
      </c>
      <c r="B7157" t="inlineStr">
        <is>
          <t xml:space="preserve">Kotak CRISIL - IBX AAA Bond Financial Services Index Dec 2026 Fund - Direct - Growth</t>
        </is>
      </c>
      <c r="C7157" t="inlineStr">
        <is>
          <t xml:space="preserve">INF174KA1UX2</t>
        </is>
      </c>
    </row>
    <row r="7158">
      <c r="A7158" t="inlineStr">
        <is>
          <t xml:space="preserve">Kotak Mahindra Mutual Fund</t>
        </is>
      </c>
      <c r="B7158" t="inlineStr">
        <is>
          <t xml:space="preserve">Kotak CRISIL - IBX AAA Bond Financial Services Index Dec 2026 Fund - Direct - IDCW</t>
        </is>
      </c>
      <c r="C7158" t="inlineStr">
        <is>
          <t xml:space="preserve">INF174KA1UY0</t>
        </is>
      </c>
    </row>
    <row r="7159">
      <c r="A7159" t="inlineStr">
        <is>
          <t xml:space="preserve">Kotak Mahindra Mutual Fund</t>
        </is>
      </c>
      <c r="B7159" t="inlineStr">
        <is>
          <t xml:space="preserve">Kotak CRISIL - IBX AAA Bond Financial Services Index Dec 2026 Fund - Regular - Growth</t>
        </is>
      </c>
      <c r="C7159" t="inlineStr">
        <is>
          <t xml:space="preserve">INF174KA1VA8</t>
        </is>
      </c>
    </row>
    <row r="7160">
      <c r="A7160" t="inlineStr">
        <is>
          <t xml:space="preserve">Kotak Mahindra Mutual Fund</t>
        </is>
      </c>
      <c r="B7160" t="inlineStr">
        <is>
          <t xml:space="preserve">Kotak CRISIL - IBX AAA Bond Financial Services Index Dec 2026 Fund - Regular - IDCW</t>
        </is>
      </c>
      <c r="C7160" t="inlineStr">
        <is>
          <t xml:space="preserve">INF174KA1VB6</t>
        </is>
      </c>
    </row>
    <row r="7161">
      <c r="A7161" t="inlineStr">
        <is>
          <t xml:space="preserve">Kotak Mahindra Mutual Fund</t>
        </is>
      </c>
      <c r="B7161" t="inlineStr">
        <is>
          <t xml:space="preserve">Kotak CRISIL -IBX AAA Financial Services Index Sep-2027 Fund-DIRECT PLAN-GROWTH Option</t>
        </is>
      </c>
      <c r="C7161" t="inlineStr">
        <is>
          <t xml:space="preserve">INF174KA1TF1</t>
        </is>
      </c>
    </row>
    <row r="7162">
      <c r="A7162" t="inlineStr">
        <is>
          <t xml:space="preserve">Kotak Mahindra Mutual Fund</t>
        </is>
      </c>
      <c r="B7162" t="inlineStr">
        <is>
          <t xml:space="preserve">Kotak CRISIL -IBX AAA Financial Services Index Sep-2027 Fund-DIRECT PLAN-IDCW</t>
        </is>
      </c>
      <c r="C7162" t="inlineStr">
        <is>
          <t xml:space="preserve">INF174KA1SU2</t>
        </is>
      </c>
    </row>
    <row r="7163">
      <c r="A7163" t="inlineStr">
        <is>
          <t xml:space="preserve">Kotak Mahindra Mutual Fund</t>
        </is>
      </c>
      <c r="B7163" t="inlineStr">
        <is>
          <t xml:space="preserve">Kotak CRISIL -IBX AAA Financial Services Index Sep-2027 Fund-REGULAR PLAN-GROWTH</t>
        </is>
      </c>
      <c r="C7163" t="inlineStr">
        <is>
          <t xml:space="preserve">INF174KA1SW8</t>
        </is>
      </c>
    </row>
    <row r="7164">
      <c r="A7164" t="inlineStr">
        <is>
          <t xml:space="preserve">Kotak Mahindra Mutual Fund</t>
        </is>
      </c>
      <c r="B7164" t="inlineStr">
        <is>
          <t xml:space="preserve">Kotak CRISIL-IBX AAA Financial Services Index Sep-2027 Fund-REGULAR PLAN-IDCW</t>
        </is>
      </c>
      <c r="C7164" t="inlineStr">
        <is>
          <t xml:space="preserve">INF174KA1SX6</t>
        </is>
      </c>
    </row>
    <row r="7165">
      <c r="A7165" t="inlineStr">
        <is>
          <t xml:space="preserve">Kotak Mahindra Mutual Fund</t>
        </is>
      </c>
      <c r="B7165" t="inlineStr">
        <is>
          <t xml:space="preserve">Kotak CRISIL-IBX Financial Services 3-6 Months Debt Index Fund-Direct-Growth</t>
        </is>
      </c>
      <c r="C7165" t="inlineStr">
        <is>
          <t xml:space="preserve">INF174KA1VK7</t>
        </is>
      </c>
    </row>
    <row r="7166">
      <c r="A7166" t="inlineStr">
        <is>
          <t xml:space="preserve">Kotak Mahindra Mutual Fund</t>
        </is>
      </c>
      <c r="B7166" t="inlineStr">
        <is>
          <t xml:space="preserve">Kotak CRISIL-IBX Financial Services 3-6 Months Debt Index Fund-Direct-IDCW</t>
        </is>
      </c>
      <c r="C7166" t="inlineStr">
        <is>
          <t xml:space="preserve">INF174KA1VL5</t>
        </is>
      </c>
    </row>
    <row r="7167">
      <c r="A7167" t="inlineStr">
        <is>
          <t xml:space="preserve">Kotak Mahindra Mutual Fund</t>
        </is>
      </c>
      <c r="B7167" t="inlineStr">
        <is>
          <t xml:space="preserve">Kotak CRISIL-IBX Financial Services 3-6 Months Debt Index Fund-Regular-Growth</t>
        </is>
      </c>
      <c r="C7167" t="inlineStr">
        <is>
          <t xml:space="preserve">INF174KA1VN1</t>
        </is>
      </c>
    </row>
    <row r="7168">
      <c r="A7168" t="inlineStr">
        <is>
          <t xml:space="preserve">Kotak Mahindra Mutual Fund</t>
        </is>
      </c>
      <c r="B7168" t="inlineStr">
        <is>
          <t xml:space="preserve">Kotak CRISIL-IBX Financial Services 3-6 Months Debt Index Fund-Regular-IDCW</t>
        </is>
      </c>
      <c r="C7168" t="inlineStr">
        <is>
          <t xml:space="preserve">INF174KA1VO9</t>
        </is>
      </c>
    </row>
    <row r="7169">
      <c r="A7169" t="inlineStr">
        <is>
          <t xml:space="preserve">Kotak Mahindra Mutual Fund</t>
        </is>
      </c>
      <c r="B7169" t="inlineStr">
        <is>
          <t xml:space="preserve">Kotak CRISIL-IBX Financial Services 9 to 12 Months Debt Index Fund - Direct - Growth</t>
        </is>
      </c>
      <c r="C7169" t="inlineStr">
        <is>
          <t xml:space="preserve">INF174KA1XM9</t>
        </is>
      </c>
    </row>
    <row r="7170">
      <c r="A7170" t="inlineStr">
        <is>
          <t xml:space="preserve">Kotak Mahindra Mutual Fund</t>
        </is>
      </c>
      <c r="B7170" t="inlineStr">
        <is>
          <t xml:space="preserve">Kotak CRISIL-IBX Financial Services 9 to 12 Months Debt Index Fund - Direct - IDCW</t>
        </is>
      </c>
      <c r="C7170" t="inlineStr">
        <is>
          <t xml:space="preserve">INF174KA1XN7</t>
        </is>
      </c>
    </row>
    <row r="7171">
      <c r="A7171" t="inlineStr">
        <is>
          <t xml:space="preserve">Kotak Mahindra Mutual Fund</t>
        </is>
      </c>
      <c r="B7171" t="inlineStr">
        <is>
          <t xml:space="preserve">Kotak CRISIL-IBX Financial Services 9 to 12 Months Debt Index Fund - Regular - Growth</t>
        </is>
      </c>
      <c r="C7171" t="inlineStr">
        <is>
          <t xml:space="preserve">INF174KA1XP2</t>
        </is>
      </c>
    </row>
    <row r="7172">
      <c r="A7172" t="inlineStr">
        <is>
          <t xml:space="preserve">Kotak Mahindra Mutual Fund</t>
        </is>
      </c>
      <c r="B7172" t="inlineStr">
        <is>
          <t xml:space="preserve">Kotak CRISIL-IBX Financial Services 9 to 12 Months Debt Index Fund - Regular - IDCW</t>
        </is>
      </c>
      <c r="C7172" t="inlineStr">
        <is>
          <t xml:space="preserve">INF174KA1XQ0</t>
        </is>
      </c>
    </row>
    <row r="7173">
      <c r="A7173" t="inlineStr">
        <is>
          <t xml:space="preserve">Kotak Mahindra Mutual Fund</t>
        </is>
      </c>
      <c r="B7173" t="inlineStr">
        <is>
          <t xml:space="preserve">Kotak Debt Hybrid - Growth</t>
        </is>
      </c>
      <c r="C7173" t="inlineStr">
        <is>
          <t xml:space="preserve">INF174K01393</t>
        </is>
      </c>
    </row>
    <row r="7174">
      <c r="A7174" t="inlineStr">
        <is>
          <t xml:space="preserve">Kotak Mahindra Mutual Fund</t>
        </is>
      </c>
      <c r="B7174" t="inlineStr">
        <is>
          <t xml:space="preserve">Kotak Debt Hybrid - Growth - Direct</t>
        </is>
      </c>
      <c r="C7174" t="inlineStr">
        <is>
          <t xml:space="preserve">INF174K01JZ1</t>
        </is>
      </c>
    </row>
    <row r="7175">
      <c r="A7175" t="inlineStr">
        <is>
          <t xml:space="preserve">Kotak Mahindra Mutual Fund</t>
        </is>
      </c>
      <c r="B7175" t="inlineStr">
        <is>
          <t xml:space="preserve">Kotak Debt Hybrid - Monthly Payout of Income Distribution cum capital withdrawal option</t>
        </is>
      </c>
      <c r="C7175" t="inlineStr">
        <is>
          <t xml:space="preserve">INF174K01419</t>
        </is>
      </c>
    </row>
    <row r="7176">
      <c r="A7176" t="inlineStr">
        <is>
          <t xml:space="preserve">Kotak Mahindra Mutual Fund</t>
        </is>
      </c>
      <c r="B7176" t="inlineStr">
        <is>
          <t xml:space="preserve">Kotak Debt Hybrid - Monthly Payout of Income Distribution cum capital withdrawal option - Direct</t>
        </is>
      </c>
      <c r="C7176" t="inlineStr">
        <is>
          <t xml:space="preserve">INF174K01KA2</t>
        </is>
      </c>
    </row>
    <row r="7177">
      <c r="A7177" t="inlineStr">
        <is>
          <t xml:space="preserve">Kotak Mahindra Mutual Fund</t>
        </is>
      </c>
      <c r="B7177" t="inlineStr">
        <is>
          <t xml:space="preserve">Kotak Dividend Yield Fund - Direct - Growth</t>
        </is>
      </c>
      <c r="C7177" t="inlineStr">
        <is>
          <t xml:space="preserve">INF174KA1YI5</t>
        </is>
      </c>
    </row>
    <row r="7178">
      <c r="A7178" t="inlineStr">
        <is>
          <t xml:space="preserve">Kotak Mahindra Mutual Fund</t>
        </is>
      </c>
      <c r="B7178" t="inlineStr">
        <is>
          <t xml:space="preserve">Kotak Dividend Yield Fund - Direct - IDCW</t>
        </is>
      </c>
      <c r="C7178" t="inlineStr">
        <is>
          <t xml:space="preserve">INF174KA1YJ3</t>
        </is>
      </c>
    </row>
    <row r="7179">
      <c r="A7179" t="inlineStr">
        <is>
          <t xml:space="preserve">Kotak Mahindra Mutual Fund</t>
        </is>
      </c>
      <c r="B7179" t="inlineStr">
        <is>
          <t xml:space="preserve">Kotak Dividend Yield Fund - Regular -Growth</t>
        </is>
      </c>
      <c r="C7179" t="inlineStr">
        <is>
          <t xml:space="preserve">INF174KA1YL9</t>
        </is>
      </c>
    </row>
    <row r="7180">
      <c r="A7180" t="inlineStr">
        <is>
          <t xml:space="preserve">Kotak Mahindra Mutual Fund</t>
        </is>
      </c>
      <c r="B7180" t="inlineStr">
        <is>
          <t xml:space="preserve">Kotak Dividend Yield Fund - Regular IDCW</t>
        </is>
      </c>
      <c r="C7180" t="inlineStr">
        <is>
          <t xml:space="preserve">INF174KA1YM7</t>
        </is>
      </c>
    </row>
    <row r="7181">
      <c r="A7181" t="inlineStr">
        <is>
          <t xml:space="preserve">Kotak Mahindra Mutual Fund</t>
        </is>
      </c>
      <c r="B7181" t="inlineStr">
        <is>
          <t xml:space="preserve">Kotak Dynamic Bond Fund - Direct Plan - Standard Income Distribution cum capital withdrawal option</t>
        </is>
      </c>
      <c r="C7181" t="inlineStr">
        <is>
          <t xml:space="preserve">INF174K01JX6</t>
        </is>
      </c>
    </row>
    <row r="7182">
      <c r="A7182" t="inlineStr">
        <is>
          <t xml:space="preserve">Kotak Mahindra Mutual Fund</t>
        </is>
      </c>
      <c r="B7182" t="inlineStr">
        <is>
          <t xml:space="preserve">Kotak Dynamic Bond Fund - Growth - Direct</t>
        </is>
      </c>
      <c r="C7182" t="inlineStr">
        <is>
          <t xml:space="preserve">INF174K01JU2</t>
        </is>
      </c>
    </row>
    <row r="7183">
      <c r="A7183" t="inlineStr">
        <is>
          <t xml:space="preserve">Kotak Mahindra Mutual Fund</t>
        </is>
      </c>
      <c r="B7183" t="inlineStr">
        <is>
          <t xml:space="preserve">Kotak Dynamic Bond Fund Regular Plan - Standard Income Distribution cum capital withdrawal option</t>
        </is>
      </c>
      <c r="C7183" t="inlineStr">
        <is>
          <t xml:space="preserve">INF174K01IY6</t>
        </is>
      </c>
    </row>
    <row r="7184">
      <c r="A7184" t="inlineStr">
        <is>
          <t xml:space="preserve">Kotak Mahindra Mutual Fund</t>
        </is>
      </c>
      <c r="B7184" t="inlineStr">
        <is>
          <t xml:space="preserve">Kotak Dynamic Bond Fund Regular Plan Growth</t>
        </is>
      </c>
      <c r="C7184" t="inlineStr">
        <is>
          <t xml:space="preserve">INF174K01FA2</t>
        </is>
      </c>
    </row>
    <row r="7185">
      <c r="A7185" t="inlineStr">
        <is>
          <t xml:space="preserve">Kotak Mahindra Mutual Fund</t>
        </is>
      </c>
      <c r="B7185" t="inlineStr">
        <is>
          <t xml:space="preserve">Kotak ELSS Tax Saver Fund-Growth</t>
        </is>
      </c>
      <c r="C7185" t="inlineStr">
        <is>
          <t xml:space="preserve">INF174K01369</t>
        </is>
      </c>
    </row>
    <row r="7186">
      <c r="A7186" t="inlineStr">
        <is>
          <t xml:space="preserve">Kotak Mahindra Mutual Fund</t>
        </is>
      </c>
      <c r="B7186" t="inlineStr">
        <is>
          <t xml:space="preserve">Kotak ELSS Tax Saver Fund-Growth - Direct</t>
        </is>
      </c>
      <c r="C7186" t="inlineStr">
        <is>
          <t xml:space="preserve">INF174K01LI3</t>
        </is>
      </c>
    </row>
    <row r="7187">
      <c r="A7187" t="inlineStr">
        <is>
          <t xml:space="preserve">Kotak Mahindra Mutual Fund</t>
        </is>
      </c>
      <c r="B7187" t="inlineStr">
        <is>
          <t xml:space="preserve">Kotak ELSS Tax Saver Fund-Payout of Income Distribution cum capital withdrawal option</t>
        </is>
      </c>
      <c r="C7187" t="inlineStr">
        <is>
          <t xml:space="preserve">INF174K01385</t>
        </is>
      </c>
    </row>
    <row r="7188">
      <c r="A7188" t="inlineStr">
        <is>
          <t xml:space="preserve">Kotak Mahindra Mutual Fund</t>
        </is>
      </c>
      <c r="B7188" t="inlineStr">
        <is>
          <t xml:space="preserve">Kotak ELSS Tax Saver Fund-Payout of Income Distribution cum capital withdrawal option - Direct</t>
        </is>
      </c>
      <c r="C7188" t="inlineStr">
        <is>
          <t xml:space="preserve">INF174K01LJ1</t>
        </is>
      </c>
    </row>
    <row r="7189">
      <c r="A7189" t="inlineStr">
        <is>
          <t xml:space="preserve">Kotak Mahindra Mutual Fund</t>
        </is>
      </c>
      <c r="B7189" t="inlineStr">
        <is>
          <t xml:space="preserve">Kotak Energy Opportunities Fund-Direct-Growth</t>
        </is>
      </c>
      <c r="C7189" t="inlineStr">
        <is>
          <t xml:space="preserve">INF174KA1VX0</t>
        </is>
      </c>
    </row>
    <row r="7190">
      <c r="A7190" t="inlineStr">
        <is>
          <t xml:space="preserve">Kotak Mahindra Mutual Fund</t>
        </is>
      </c>
      <c r="B7190" t="inlineStr">
        <is>
          <t xml:space="preserve">Kotak Energy Opportunities Fund-Direct-IDCW-Payout &amp; Reinvestment</t>
        </is>
      </c>
      <c r="C7190" t="inlineStr">
        <is>
          <t xml:space="preserve">INF174KA1VY8</t>
        </is>
      </c>
    </row>
    <row r="7191">
      <c r="A7191" t="inlineStr">
        <is>
          <t xml:space="preserve">Kotak Mahindra Mutual Fund</t>
        </is>
      </c>
      <c r="B7191" t="inlineStr">
        <is>
          <t xml:space="preserve">Kotak Energy Opportunities Fund-Regular-Growth</t>
        </is>
      </c>
      <c r="C7191" t="inlineStr">
        <is>
          <t xml:space="preserve">INF174KA1WA6</t>
        </is>
      </c>
    </row>
    <row r="7192">
      <c r="A7192" t="inlineStr">
        <is>
          <t xml:space="preserve">Kotak Mahindra Mutual Fund</t>
        </is>
      </c>
      <c r="B7192" t="inlineStr">
        <is>
          <t xml:space="preserve">Kotak Energy Opportunities Fund-Regular-IDCW-Payout &amp; Reinvestment</t>
        </is>
      </c>
      <c r="C7192" t="inlineStr">
        <is>
          <t xml:space="preserve">INF174KA1WB4</t>
        </is>
      </c>
    </row>
    <row r="7193">
      <c r="A7193" t="inlineStr">
        <is>
          <t xml:space="preserve">Kotak Mahindra Mutual Fund</t>
        </is>
      </c>
      <c r="B7193" t="inlineStr">
        <is>
          <t xml:space="preserve">Kotak Equity Savings Fund - Direct - Growth</t>
        </is>
      </c>
      <c r="C7193" t="inlineStr">
        <is>
          <t xml:space="preserve">INF174K01D28</t>
        </is>
      </c>
    </row>
    <row r="7194">
      <c r="A7194" t="inlineStr">
        <is>
          <t xml:space="preserve">Kotak Mahindra Mutual Fund</t>
        </is>
      </c>
      <c r="B7194" t="inlineStr">
        <is>
          <t xml:space="preserve">Kotak Equity Savings Fund - Direct - Monthly Payout of Income Distribution cum capital withdrawal option</t>
        </is>
      </c>
      <c r="C7194" t="inlineStr">
        <is>
          <t xml:space="preserve">INF174K01D36</t>
        </is>
      </c>
    </row>
    <row r="7195">
      <c r="A7195" t="inlineStr">
        <is>
          <t xml:space="preserve">Kotak Mahindra Mutual Fund</t>
        </is>
      </c>
      <c r="B7195" t="inlineStr">
        <is>
          <t xml:space="preserve">Kotak Equity Savings Fund - Regular - Growth</t>
        </is>
      </c>
      <c r="C7195" t="inlineStr">
        <is>
          <t xml:space="preserve">INF174K01C78</t>
        </is>
      </c>
    </row>
    <row r="7196">
      <c r="A7196" t="inlineStr">
        <is>
          <t xml:space="preserve">Kotak Mahindra Mutual Fund</t>
        </is>
      </c>
      <c r="B7196" t="inlineStr">
        <is>
          <t xml:space="preserve">Kotak Equity Savings Fund - Regular - Monthly Payout of Income Distribution cum capital withdrawal option</t>
        </is>
      </c>
      <c r="C7196" t="inlineStr">
        <is>
          <t xml:space="preserve">INF174K01C86</t>
        </is>
      </c>
    </row>
    <row r="7197">
      <c r="A7197" t="inlineStr">
        <is>
          <t xml:space="preserve">Kotak Mahindra Mutual Fund</t>
        </is>
      </c>
      <c r="B7197" t="inlineStr">
        <is>
          <t xml:space="preserve">Kotak ESG Exclusionary Strategy Fund - Direct Plan - Growth Option</t>
        </is>
      </c>
      <c r="C7197" t="inlineStr">
        <is>
          <t xml:space="preserve">INF174KA1FI4</t>
        </is>
      </c>
    </row>
    <row r="7198">
      <c r="A7198" t="inlineStr">
        <is>
          <t xml:space="preserve">Kotak Mahindra Mutual Fund</t>
        </is>
      </c>
      <c r="B7198" t="inlineStr">
        <is>
          <t xml:space="preserve">Kotak ESG Exclusionary Strategy Fund - Direct Plan - Payout of Income Distribution cum capital withdrawal option</t>
        </is>
      </c>
      <c r="C7198" t="inlineStr">
        <is>
          <t xml:space="preserve">INF174KA1FH6</t>
        </is>
      </c>
    </row>
    <row r="7199">
      <c r="A7199" t="inlineStr">
        <is>
          <t xml:space="preserve">Kotak Mahindra Mutual Fund</t>
        </is>
      </c>
      <c r="B7199" t="inlineStr">
        <is>
          <t xml:space="preserve">Kotak ESG Exclusionary Strategy Fund - Regular Plan - Growth Option</t>
        </is>
      </c>
      <c r="C7199" t="inlineStr">
        <is>
          <t xml:space="preserve">INF174KA1FF0</t>
        </is>
      </c>
    </row>
    <row r="7200">
      <c r="A7200" t="inlineStr">
        <is>
          <t xml:space="preserve">Kotak Mahindra Mutual Fund</t>
        </is>
      </c>
      <c r="B7200" t="inlineStr">
        <is>
          <t xml:space="preserve">Kotak ESG Exclusionary Strategy Fund - Regular Plan - Payout of Income Distribution cum capital withdrawal option</t>
        </is>
      </c>
      <c r="C7200" t="inlineStr">
        <is>
          <t xml:space="preserve">INF174KA1FE3</t>
        </is>
      </c>
    </row>
    <row r="7201">
      <c r="A7201" t="inlineStr">
        <is>
          <t xml:space="preserve">Kotak Mahindra Mutual Fund</t>
        </is>
      </c>
      <c r="B7201" t="inlineStr">
        <is>
          <t xml:space="preserve">Kotak Fixed Maturity Plan Series 328 - 90 Days - Direct Plan - Growth Option</t>
        </is>
      </c>
      <c r="C7201" t="inlineStr">
        <is>
          <t xml:space="preserve">INF174KA1QU6</t>
        </is>
      </c>
    </row>
    <row r="7202">
      <c r="A7202" t="inlineStr">
        <is>
          <t xml:space="preserve">Kotak Mahindra Mutual Fund</t>
        </is>
      </c>
      <c r="B7202" t="inlineStr">
        <is>
          <t xml:space="preserve">Kotak Fixed Maturity Plan Series 328 - 90 Days - Direct Plan - IDCW Option</t>
        </is>
      </c>
      <c r="C7202" t="inlineStr">
        <is>
          <t xml:space="preserve">INF174KA1QV4</t>
        </is>
      </c>
    </row>
    <row r="7203">
      <c r="A7203" t="inlineStr">
        <is>
          <t xml:space="preserve">Kotak Mahindra Mutual Fund</t>
        </is>
      </c>
      <c r="B7203" t="inlineStr">
        <is>
          <t xml:space="preserve">Kotak Fixed Maturity Plan Series 328 - 90 Days - Regular Plan - Growth Option</t>
        </is>
      </c>
      <c r="C7203" t="inlineStr">
        <is>
          <t xml:space="preserve">INF174KA1QS0</t>
        </is>
      </c>
    </row>
    <row r="7204">
      <c r="A7204" t="inlineStr">
        <is>
          <t xml:space="preserve">Kotak Mahindra Mutual Fund</t>
        </is>
      </c>
      <c r="B7204" t="inlineStr">
        <is>
          <t xml:space="preserve">Kotak Fixed Maturity Plan Series 328 - 90 Days - Regular` Plan - IDCW Option</t>
        </is>
      </c>
      <c r="C7204" t="inlineStr">
        <is>
          <t xml:space="preserve">INF174KA1QT8</t>
        </is>
      </c>
    </row>
    <row r="7205">
      <c r="A7205" t="inlineStr">
        <is>
          <t xml:space="preserve">Kotak Mahindra Mutual Fund</t>
        </is>
      </c>
      <c r="B7205" t="inlineStr">
        <is>
          <t xml:space="preserve">Kotak Fixed Maturity Plan Series 329 - 90 Days - Direct Plan - Growth Option</t>
        </is>
      </c>
      <c r="C7205" t="inlineStr">
        <is>
          <t xml:space="preserve">INF174KA1RP4</t>
        </is>
      </c>
    </row>
    <row r="7206">
      <c r="A7206" t="inlineStr">
        <is>
          <t xml:space="preserve">Kotak Mahindra Mutual Fund</t>
        </is>
      </c>
      <c r="B7206" t="inlineStr">
        <is>
          <t xml:space="preserve">Kotak Fixed Maturity Plan Series 329 - 90 Days - Direct Plan - IDCW Option</t>
        </is>
      </c>
      <c r="C7206" t="inlineStr">
        <is>
          <t xml:space="preserve">INF174KA1RQ2</t>
        </is>
      </c>
    </row>
    <row r="7207">
      <c r="A7207" t="inlineStr">
        <is>
          <t xml:space="preserve">Kotak Mahindra Mutual Fund</t>
        </is>
      </c>
      <c r="B7207" t="inlineStr">
        <is>
          <t xml:space="preserve">Kotak Fixed Maturity Plan Series 329 - 90 Days - Regular Plan - Growth Option</t>
        </is>
      </c>
      <c r="C7207" t="inlineStr">
        <is>
          <t xml:space="preserve">INF174KA1RR0</t>
        </is>
      </c>
    </row>
    <row r="7208">
      <c r="A7208" t="inlineStr">
        <is>
          <t xml:space="preserve">Kotak Mahindra Mutual Fund</t>
        </is>
      </c>
      <c r="B7208" t="inlineStr">
        <is>
          <t xml:space="preserve">Kotak Fixed Maturity Plan Series 329 - 90 Days - Regular Plan - IDCW Option</t>
        </is>
      </c>
      <c r="C7208" t="inlineStr">
        <is>
          <t xml:space="preserve">INF174KA1RO7</t>
        </is>
      </c>
    </row>
    <row r="7209">
      <c r="A7209" t="inlineStr">
        <is>
          <t xml:space="preserve">Kotak Mahindra Mutual Fund</t>
        </is>
      </c>
      <c r="B7209" t="inlineStr">
        <is>
          <t xml:space="preserve">Kotak Flexicap Fund - Growth</t>
        </is>
      </c>
      <c r="C7209" t="inlineStr">
        <is>
          <t xml:space="preserve">INF174K01336</t>
        </is>
      </c>
    </row>
    <row r="7210">
      <c r="A7210" t="inlineStr">
        <is>
          <t xml:space="preserve">Kotak Mahindra Mutual Fund</t>
        </is>
      </c>
      <c r="B7210" t="inlineStr">
        <is>
          <t xml:space="preserve">Kotak Flexicap Fund - Growth - Direct</t>
        </is>
      </c>
      <c r="C7210" t="inlineStr">
        <is>
          <t xml:space="preserve">INF174K01LS2</t>
        </is>
      </c>
    </row>
    <row r="7211">
      <c r="A7211" t="inlineStr">
        <is>
          <t xml:space="preserve">Kotak Mahindra Mutual Fund</t>
        </is>
      </c>
      <c r="B7211" t="inlineStr">
        <is>
          <t xml:space="preserve">Kotak Flexicap Fund - Payout of Income Distribution cum capital withdrawal option</t>
        </is>
      </c>
      <c r="C7211" t="inlineStr">
        <is>
          <t xml:space="preserve">INF174K01351</t>
        </is>
      </c>
    </row>
    <row r="7212">
      <c r="A7212" t="inlineStr">
        <is>
          <t xml:space="preserve">Kotak Mahindra Mutual Fund</t>
        </is>
      </c>
      <c r="B7212" t="inlineStr">
        <is>
          <t xml:space="preserve">Kotak Flexicap Fund - Payout of Income Distribution cum capital withdrawal option- Direct</t>
        </is>
      </c>
      <c r="C7212" t="inlineStr">
        <is>
          <t xml:space="preserve">INF174K01LQ6</t>
        </is>
      </c>
    </row>
    <row r="7213">
      <c r="A7213" t="inlineStr">
        <is>
          <t xml:space="preserve">Kotak Mahindra Mutual Fund</t>
        </is>
      </c>
      <c r="B7213" t="inlineStr">
        <is>
          <t xml:space="preserve">KOTAK FLOATING RATE FUND-DIRECT PLAN-GROWTH OPTION</t>
        </is>
      </c>
      <c r="C7213" t="inlineStr">
        <is>
          <t xml:space="preserve">INF174KA1EC0</t>
        </is>
      </c>
    </row>
    <row r="7214">
      <c r="A7214" t="inlineStr">
        <is>
          <t xml:space="preserve">Kotak Mahindra Mutual Fund</t>
        </is>
      </c>
      <c r="B7214" t="inlineStr">
        <is>
          <t xml:space="preserve">KOTAK FLOATING RATE FUND-DIRECT PLAN-Standard Reinvestment of Income Distribution cum capital withdrawal option</t>
        </is>
      </c>
      <c r="C7214" t="inlineStr">
        <is>
          <t xml:space="preserve">INF174KA1EF3</t>
        </is>
      </c>
    </row>
    <row r="7215">
      <c r="A7215" t="inlineStr">
        <is>
          <t xml:space="preserve">Kotak Mahindra Mutual Fund</t>
        </is>
      </c>
      <c r="B7215" t="inlineStr">
        <is>
          <t xml:space="preserve">KOTAK FLOATING RATE FUND-REGULAR PLAN-GROWTH OPTION</t>
        </is>
      </c>
      <c r="C7215" t="inlineStr">
        <is>
          <t xml:space="preserve">INF174KA1DY6</t>
        </is>
      </c>
    </row>
    <row r="7216">
      <c r="A7216" t="inlineStr">
        <is>
          <t xml:space="preserve">Kotak Mahindra Mutual Fund</t>
        </is>
      </c>
      <c r="B7216" t="inlineStr">
        <is>
          <t xml:space="preserve">KOTAK FLOATING RATE FUND-REGULAR PLAN-STANDARD Reinvestment of Income Distribution cum capital withdrawal option</t>
        </is>
      </c>
      <c r="C7216" t="inlineStr">
        <is>
          <t xml:space="preserve">INF174KA1EB2</t>
        </is>
      </c>
    </row>
    <row r="7217">
      <c r="A7217" t="inlineStr">
        <is>
          <t xml:space="preserve">Kotak Mahindra Mutual Fund</t>
        </is>
      </c>
      <c r="B7217" t="inlineStr">
        <is>
          <t xml:space="preserve">Kotak FMP Series 105 Direct Dividend</t>
        </is>
      </c>
      <c r="C7217" t="inlineStr">
        <is>
          <t xml:space="preserve">INF174K01ZA0</t>
        </is>
      </c>
    </row>
    <row r="7218">
      <c r="A7218" t="inlineStr">
        <is>
          <t xml:space="preserve">Kotak Mahindra Mutual Fund</t>
        </is>
      </c>
      <c r="B7218" t="inlineStr">
        <is>
          <t xml:space="preserve">Kotak FMP Series 105 Direct Growth</t>
        </is>
      </c>
      <c r="C7218" t="inlineStr">
        <is>
          <t xml:space="preserve">INF174K01YZ0</t>
        </is>
      </c>
    </row>
    <row r="7219">
      <c r="A7219" t="inlineStr">
        <is>
          <t xml:space="preserve">Kotak Mahindra Mutual Fund</t>
        </is>
      </c>
      <c r="B7219" t="inlineStr">
        <is>
          <t xml:space="preserve">Kotak FMP Series 105 Dividend</t>
        </is>
      </c>
      <c r="C7219" t="inlineStr">
        <is>
          <t xml:space="preserve">INF174K01OY4</t>
        </is>
      </c>
    </row>
    <row r="7220">
      <c r="A7220" t="inlineStr">
        <is>
          <t xml:space="preserve">Kotak Mahindra Mutual Fund</t>
        </is>
      </c>
      <c r="B7220" t="inlineStr">
        <is>
          <t xml:space="preserve">Kotak FMP Series 105 Growth</t>
        </is>
      </c>
      <c r="C7220" t="inlineStr">
        <is>
          <t xml:space="preserve">INF174K01YX5</t>
        </is>
      </c>
    </row>
    <row r="7221">
      <c r="A7221" t="inlineStr">
        <is>
          <t xml:space="preserve">Kotak Mahindra Mutual Fund</t>
        </is>
      </c>
      <c r="B7221" t="inlineStr">
        <is>
          <t xml:space="preserve">Kotak FMP Series 106 Direct Growth</t>
        </is>
      </c>
      <c r="C7221" t="inlineStr">
        <is>
          <t xml:space="preserve">INF174K01ZD4</t>
        </is>
      </c>
    </row>
    <row r="7222">
      <c r="A7222" t="inlineStr">
        <is>
          <t xml:space="preserve">Kotak Mahindra Mutual Fund</t>
        </is>
      </c>
      <c r="B7222" t="inlineStr">
        <is>
          <t xml:space="preserve">Kotak FMP Series 106 Growth</t>
        </is>
      </c>
      <c r="C7222" t="inlineStr">
        <is>
          <t xml:space="preserve">INF174K01ZB8</t>
        </is>
      </c>
    </row>
    <row r="7223">
      <c r="A7223" t="inlineStr">
        <is>
          <t xml:space="preserve">Kotak Mahindra Mutual Fund</t>
        </is>
      </c>
      <c r="B7223" t="inlineStr">
        <is>
          <t xml:space="preserve">Kotak FMP Series 107 Direct Dividend</t>
        </is>
      </c>
      <c r="C7223" t="inlineStr">
        <is>
          <t xml:space="preserve">INF174K01ZI3</t>
        </is>
      </c>
    </row>
    <row r="7224">
      <c r="A7224" t="inlineStr">
        <is>
          <t xml:space="preserve">Kotak Mahindra Mutual Fund</t>
        </is>
      </c>
      <c r="B7224" t="inlineStr">
        <is>
          <t xml:space="preserve">Kotak FMP Series 107 Direct Growth</t>
        </is>
      </c>
      <c r="C7224" t="inlineStr">
        <is>
          <t xml:space="preserve">INF174K01ZH5</t>
        </is>
      </c>
    </row>
    <row r="7225">
      <c r="A7225" t="inlineStr">
        <is>
          <t xml:space="preserve">Kotak Mahindra Mutual Fund</t>
        </is>
      </c>
      <c r="B7225" t="inlineStr">
        <is>
          <t xml:space="preserve">Kotak FMP Series 107 Dividend</t>
        </is>
      </c>
      <c r="C7225" t="inlineStr">
        <is>
          <t xml:space="preserve">INF174K01ZG7</t>
        </is>
      </c>
    </row>
    <row r="7226">
      <c r="A7226" t="inlineStr">
        <is>
          <t xml:space="preserve">Kotak Mahindra Mutual Fund</t>
        </is>
      </c>
      <c r="B7226" t="inlineStr">
        <is>
          <t xml:space="preserve">Kotak FMP Series 107 Growth</t>
        </is>
      </c>
      <c r="C7226" t="inlineStr">
        <is>
          <t xml:space="preserve">INF174K01ZF9</t>
        </is>
      </c>
    </row>
    <row r="7227">
      <c r="A7227" t="inlineStr">
        <is>
          <t xml:space="preserve">Kotak Mahindra Mutual Fund</t>
        </is>
      </c>
      <c r="B7227" t="inlineStr">
        <is>
          <t xml:space="preserve">Kotak FMP Series 108 Direct Growth</t>
        </is>
      </c>
      <c r="C7227" t="inlineStr">
        <is>
          <t xml:space="preserve">INF174K01PL8</t>
        </is>
      </c>
    </row>
    <row r="7228">
      <c r="A7228" t="inlineStr">
        <is>
          <t xml:space="preserve">Kotak Mahindra Mutual Fund</t>
        </is>
      </c>
      <c r="B7228" t="inlineStr">
        <is>
          <t xml:space="preserve">Kotak FMP Series 108 Dividend</t>
        </is>
      </c>
      <c r="C7228" t="inlineStr">
        <is>
          <t xml:space="preserve">INF174K01PK0</t>
        </is>
      </c>
    </row>
    <row r="7229">
      <c r="A7229" t="inlineStr">
        <is>
          <t xml:space="preserve">Kotak Mahindra Mutual Fund</t>
        </is>
      </c>
      <c r="B7229" t="inlineStr">
        <is>
          <t xml:space="preserve">Kotak FMP Series 108 Growth</t>
        </is>
      </c>
      <c r="C7229" t="inlineStr">
        <is>
          <t xml:space="preserve">INF174K01PJ2</t>
        </is>
      </c>
    </row>
    <row r="7230">
      <c r="A7230" t="inlineStr">
        <is>
          <t xml:space="preserve">Kotak Mahindra Mutual Fund</t>
        </is>
      </c>
      <c r="B7230" t="inlineStr">
        <is>
          <t xml:space="preserve">Kotak FMP Series 113 (1094 Days)  - Direct Dividend</t>
        </is>
      </c>
      <c r="C7230" t="inlineStr">
        <is>
          <t xml:space="preserve">INF174K01QG6</t>
        </is>
      </c>
    </row>
    <row r="7231">
      <c r="A7231" t="inlineStr">
        <is>
          <t xml:space="preserve">Kotak Mahindra Mutual Fund</t>
        </is>
      </c>
      <c r="B7231" t="inlineStr">
        <is>
          <t xml:space="preserve">Kotak FMP Series 113 (1094 Days) - Direct Growth</t>
        </is>
      </c>
      <c r="C7231" t="inlineStr">
        <is>
          <t xml:space="preserve">INF174K01QF8</t>
        </is>
      </c>
    </row>
    <row r="7232">
      <c r="A7232" t="inlineStr">
        <is>
          <t xml:space="preserve">Kotak Mahindra Mutual Fund</t>
        </is>
      </c>
      <c r="B7232" t="inlineStr">
        <is>
          <t xml:space="preserve">Kotak FMP Series 113 (1094 Days) - Dividend</t>
        </is>
      </c>
      <c r="C7232" t="inlineStr">
        <is>
          <t xml:space="preserve">INF174K01QE1</t>
        </is>
      </c>
    </row>
    <row r="7233">
      <c r="A7233" t="inlineStr">
        <is>
          <t xml:space="preserve">Kotak Mahindra Mutual Fund</t>
        </is>
      </c>
      <c r="B7233" t="inlineStr">
        <is>
          <t xml:space="preserve">Kotak FMP Series 113 (1094 Days) - Growth</t>
        </is>
      </c>
      <c r="C7233" t="inlineStr">
        <is>
          <t xml:space="preserve">INF174K01QD3</t>
        </is>
      </c>
    </row>
    <row r="7234">
      <c r="A7234" t="inlineStr">
        <is>
          <t xml:space="preserve">Kotak Mahindra Mutual Fund</t>
        </is>
      </c>
      <c r="B7234" t="inlineStr">
        <is>
          <t xml:space="preserve">Kotak FMP Series 115 (370 Days) - Direct Dividend</t>
        </is>
      </c>
      <c r="C7234" t="inlineStr">
        <is>
          <t xml:space="preserve">INF174K01B04</t>
        </is>
      </c>
    </row>
    <row r="7235">
      <c r="A7235" t="inlineStr">
        <is>
          <t xml:space="preserve">Kotak Mahindra Mutual Fund</t>
        </is>
      </c>
      <c r="B7235" t="inlineStr">
        <is>
          <t xml:space="preserve">Kotak FMP Series 115 (370 Days) - Direct Growth</t>
        </is>
      </c>
      <c r="C7235" t="inlineStr">
        <is>
          <t xml:space="preserve">INF174K01A96</t>
        </is>
      </c>
    </row>
    <row r="7236">
      <c r="A7236" t="inlineStr">
        <is>
          <t xml:space="preserve">Kotak Mahindra Mutual Fund</t>
        </is>
      </c>
      <c r="B7236" t="inlineStr">
        <is>
          <t xml:space="preserve">Kotak FMP Series 115 (370 Days) - Growth</t>
        </is>
      </c>
      <c r="C7236" t="inlineStr">
        <is>
          <t xml:space="preserve">INF174K01A70</t>
        </is>
      </c>
    </row>
    <row r="7237">
      <c r="A7237" t="inlineStr">
        <is>
          <t xml:space="preserve">Kotak Mahindra Mutual Fund</t>
        </is>
      </c>
      <c r="B7237" t="inlineStr">
        <is>
          <t xml:space="preserve">Kotak FMP Series 116 (370 Days) - Direct Dividend</t>
        </is>
      </c>
      <c r="C7237" t="inlineStr">
        <is>
          <t xml:space="preserve">INF174K01QS1</t>
        </is>
      </c>
    </row>
    <row r="7238">
      <c r="A7238" t="inlineStr">
        <is>
          <t xml:space="preserve">Kotak Mahindra Mutual Fund</t>
        </is>
      </c>
      <c r="B7238" t="inlineStr">
        <is>
          <t xml:space="preserve">Kotak FMP Series 116 (370 Days) - Direct Growth</t>
        </is>
      </c>
      <c r="C7238" t="inlineStr">
        <is>
          <t xml:space="preserve">INF174K01B38</t>
        </is>
      </c>
    </row>
    <row r="7239">
      <c r="A7239" t="inlineStr">
        <is>
          <t xml:space="preserve">Kotak Mahindra Mutual Fund</t>
        </is>
      </c>
      <c r="B7239" t="inlineStr">
        <is>
          <t xml:space="preserve">Kotak FMP Series 116 (370 Days) - Growth</t>
        </is>
      </c>
      <c r="C7239" t="inlineStr">
        <is>
          <t xml:space="preserve">INF174K01B12</t>
        </is>
      </c>
    </row>
    <row r="7240">
      <c r="A7240" t="inlineStr">
        <is>
          <t xml:space="preserve">Kotak Mahindra Mutual Fund</t>
        </is>
      </c>
      <c r="B7240" t="inlineStr">
        <is>
          <t xml:space="preserve">Kotak FMP Series 116 (370 Days)- Dividend</t>
        </is>
      </c>
      <c r="C7240" t="inlineStr">
        <is>
          <t xml:space="preserve">INF174K01QQ5</t>
        </is>
      </c>
    </row>
    <row r="7241">
      <c r="A7241" t="inlineStr">
        <is>
          <t xml:space="preserve">Kotak Mahindra Mutual Fund</t>
        </is>
      </c>
      <c r="B7241" t="inlineStr">
        <is>
          <t xml:space="preserve">Kotak FMP Series 131 (1061 Days) - Direct Growth</t>
        </is>
      </c>
      <c r="C7241" t="inlineStr">
        <is>
          <t xml:space="preserve">INF174K01TB1</t>
        </is>
      </c>
    </row>
    <row r="7242">
      <c r="A7242" t="inlineStr">
        <is>
          <t xml:space="preserve">Kotak Mahindra Mutual Fund</t>
        </is>
      </c>
      <c r="B7242" t="inlineStr">
        <is>
          <t xml:space="preserve">Kotak FMP Series 131 (1061 Days) - Dividend</t>
        </is>
      </c>
      <c r="C7242" t="inlineStr">
        <is>
          <t xml:space="preserve">INF174K01TA3</t>
        </is>
      </c>
    </row>
    <row r="7243">
      <c r="A7243" t="inlineStr">
        <is>
          <t xml:space="preserve">Kotak Mahindra Mutual Fund</t>
        </is>
      </c>
      <c r="B7243" t="inlineStr">
        <is>
          <t xml:space="preserve">Kotak FMP Series 131 (1061 Days) - Growth</t>
        </is>
      </c>
      <c r="C7243" t="inlineStr">
        <is>
          <t xml:space="preserve">INF174K01SZ2</t>
        </is>
      </c>
    </row>
    <row r="7244">
      <c r="A7244" t="inlineStr">
        <is>
          <t xml:space="preserve">Kotak Mahindra Mutual Fund</t>
        </is>
      </c>
      <c r="B7244" t="inlineStr">
        <is>
          <t xml:space="preserve">Kotak FMP Series 132 (546 Days) - Direct Dividend</t>
        </is>
      </c>
      <c r="C7244" t="inlineStr">
        <is>
          <t xml:space="preserve">INF174K01TG0</t>
        </is>
      </c>
    </row>
    <row r="7245">
      <c r="A7245" t="inlineStr">
        <is>
          <t xml:space="preserve">Kotak Mahindra Mutual Fund</t>
        </is>
      </c>
      <c r="B7245" t="inlineStr">
        <is>
          <t xml:space="preserve">Kotak FMP Series 132 (546 Days) - Direct Growth</t>
        </is>
      </c>
      <c r="C7245" t="inlineStr">
        <is>
          <t xml:space="preserve">INF174K01TF2</t>
        </is>
      </c>
    </row>
    <row r="7246">
      <c r="A7246" t="inlineStr">
        <is>
          <t xml:space="preserve">Kotak Mahindra Mutual Fund</t>
        </is>
      </c>
      <c r="B7246" t="inlineStr">
        <is>
          <t xml:space="preserve">Kotak FMP Series 132 (546 Days) - Dividend</t>
        </is>
      </c>
      <c r="C7246" t="inlineStr">
        <is>
          <t xml:space="preserve">INF174K01TE5</t>
        </is>
      </c>
    </row>
    <row r="7247">
      <c r="A7247" t="inlineStr">
        <is>
          <t xml:space="preserve">Kotak Mahindra Mutual Fund</t>
        </is>
      </c>
      <c r="B7247" t="inlineStr">
        <is>
          <t xml:space="preserve">Kotak FMP Series 132 (546 Days) - Growth</t>
        </is>
      </c>
      <c r="C7247" t="inlineStr">
        <is>
          <t xml:space="preserve">INF174K01TD7</t>
        </is>
      </c>
    </row>
    <row r="7248">
      <c r="A7248" t="inlineStr">
        <is>
          <t xml:space="preserve">Kotak Mahindra Mutual Fund</t>
        </is>
      </c>
      <c r="B7248" t="inlineStr">
        <is>
          <t xml:space="preserve">Kotak FMP Series 133 (524 Days) - Direct Growth</t>
        </is>
      </c>
      <c r="C7248" t="inlineStr">
        <is>
          <t xml:space="preserve">INF174K01TN6</t>
        </is>
      </c>
    </row>
    <row r="7249">
      <c r="A7249" t="inlineStr">
        <is>
          <t xml:space="preserve">Kotak Mahindra Mutual Fund</t>
        </is>
      </c>
      <c r="B7249" t="inlineStr">
        <is>
          <t xml:space="preserve">Kotak FMP Series 133 (524 Days) - Growth</t>
        </is>
      </c>
      <c r="C7249" t="inlineStr">
        <is>
          <t xml:space="preserve">INF174K01TL0</t>
        </is>
      </c>
    </row>
    <row r="7250">
      <c r="A7250" t="inlineStr">
        <is>
          <t xml:space="preserve">Kotak Mahindra Mutual Fund</t>
        </is>
      </c>
      <c r="B7250" t="inlineStr">
        <is>
          <t xml:space="preserve">Kotak FMP Series 135 (455 Days) - Direct Growth</t>
        </is>
      </c>
      <c r="C7250" t="inlineStr">
        <is>
          <t xml:space="preserve">INF174K01P81</t>
        </is>
      </c>
    </row>
    <row r="7251">
      <c r="A7251" t="inlineStr">
        <is>
          <t xml:space="preserve">Kotak Mahindra Mutual Fund</t>
        </is>
      </c>
      <c r="B7251" t="inlineStr">
        <is>
          <t xml:space="preserve">Kotak FMP Series 135 (455 Days) - Growth</t>
        </is>
      </c>
      <c r="C7251" t="inlineStr">
        <is>
          <t xml:space="preserve">INF174K01P65</t>
        </is>
      </c>
    </row>
    <row r="7252">
      <c r="A7252" t="inlineStr">
        <is>
          <t xml:space="preserve">Kotak Mahindra Mutual Fund</t>
        </is>
      </c>
      <c r="B7252" t="inlineStr">
        <is>
          <t xml:space="preserve">Kotak FMP Series 136 (376 Days) - Direct Growth</t>
        </is>
      </c>
      <c r="C7252" t="inlineStr">
        <is>
          <t xml:space="preserve">INF174K01H81</t>
        </is>
      </c>
    </row>
    <row r="7253">
      <c r="A7253" t="inlineStr">
        <is>
          <t xml:space="preserve">Kotak Mahindra Mutual Fund</t>
        </is>
      </c>
      <c r="B7253" t="inlineStr">
        <is>
          <t xml:space="preserve">Kotak FMP Series 136 (376 Days) - Dividend</t>
        </is>
      </c>
      <c r="C7253" t="inlineStr">
        <is>
          <t xml:space="preserve">INF174K01TY3</t>
        </is>
      </c>
    </row>
    <row r="7254">
      <c r="A7254" t="inlineStr">
        <is>
          <t xml:space="preserve">Kotak Mahindra Mutual Fund</t>
        </is>
      </c>
      <c r="B7254" t="inlineStr">
        <is>
          <t xml:space="preserve">Kotak FMP Series 136 (376 Days) - Growth</t>
        </is>
      </c>
      <c r="C7254" t="inlineStr">
        <is>
          <t xml:space="preserve">INF174K01H65</t>
        </is>
      </c>
    </row>
    <row r="7255">
      <c r="A7255" t="inlineStr">
        <is>
          <t xml:space="preserve">Kotak Mahindra Mutual Fund</t>
        </is>
      </c>
      <c r="B7255" t="inlineStr">
        <is>
          <t xml:space="preserve">Kotak FMP Series 137 (371 Days) -  Direct Growth</t>
        </is>
      </c>
      <c r="C7255" t="inlineStr">
        <is>
          <t xml:space="preserve">INF174K01H40</t>
        </is>
      </c>
    </row>
    <row r="7256">
      <c r="A7256" t="inlineStr">
        <is>
          <t xml:space="preserve">Kotak Mahindra Mutual Fund</t>
        </is>
      </c>
      <c r="B7256" t="inlineStr">
        <is>
          <t xml:space="preserve">Kotak FMP Series 137 (371 Days) - Growth</t>
        </is>
      </c>
      <c r="C7256" t="inlineStr">
        <is>
          <t xml:space="preserve">INF174K01H24</t>
        </is>
      </c>
    </row>
    <row r="7257">
      <c r="A7257" t="inlineStr">
        <is>
          <t xml:space="preserve">Kotak Mahindra Mutual Fund</t>
        </is>
      </c>
      <c r="B7257" t="inlineStr">
        <is>
          <t xml:space="preserve">Kotak FMP Series 140 (1095 Days) - Direct Dividend</t>
        </is>
      </c>
      <c r="C7257" t="inlineStr">
        <is>
          <t xml:space="preserve">INF174K01UQ7</t>
        </is>
      </c>
    </row>
    <row r="7258">
      <c r="A7258" t="inlineStr">
        <is>
          <t xml:space="preserve">Kotak Mahindra Mutual Fund</t>
        </is>
      </c>
      <c r="B7258" t="inlineStr">
        <is>
          <t xml:space="preserve">Kotak FMP Series 140 (1095 Days) - Direct Growth</t>
        </is>
      </c>
      <c r="C7258" t="inlineStr">
        <is>
          <t xml:space="preserve">INF174K01UP9</t>
        </is>
      </c>
    </row>
    <row r="7259">
      <c r="A7259" t="inlineStr">
        <is>
          <t xml:space="preserve">Kotak Mahindra Mutual Fund</t>
        </is>
      </c>
      <c r="B7259" t="inlineStr">
        <is>
          <t xml:space="preserve">Kotak FMP Series 140 (1095 Days) - Dividend</t>
        </is>
      </c>
      <c r="C7259" t="inlineStr">
        <is>
          <t xml:space="preserve">INF174K01UO2</t>
        </is>
      </c>
    </row>
    <row r="7260">
      <c r="A7260" t="inlineStr">
        <is>
          <t xml:space="preserve">Kotak Mahindra Mutual Fund</t>
        </is>
      </c>
      <c r="B7260" t="inlineStr">
        <is>
          <t xml:space="preserve">Kotak FMP Series 140 (1095 Days) - Growth</t>
        </is>
      </c>
      <c r="C7260" t="inlineStr">
        <is>
          <t xml:space="preserve">INF174K01UN4</t>
        </is>
      </c>
    </row>
    <row r="7261">
      <c r="A7261" t="inlineStr">
        <is>
          <t xml:space="preserve">Kotak Mahindra Mutual Fund</t>
        </is>
      </c>
      <c r="B7261" t="inlineStr">
        <is>
          <t xml:space="preserve">Kotak FMP Series 141 (454 Days) - Direct Growth</t>
        </is>
      </c>
      <c r="C7261" t="inlineStr">
        <is>
          <t xml:space="preserve">INF174K01Q31</t>
        </is>
      </c>
    </row>
    <row r="7262">
      <c r="A7262" t="inlineStr">
        <is>
          <t xml:space="preserve">Kotak Mahindra Mutual Fund</t>
        </is>
      </c>
      <c r="B7262" t="inlineStr">
        <is>
          <t xml:space="preserve">Kotak FMP Series 141 (454 Days) - Dividend</t>
        </is>
      </c>
      <c r="C7262" t="inlineStr">
        <is>
          <t xml:space="preserve">INF174K01Q23</t>
        </is>
      </c>
    </row>
    <row r="7263">
      <c r="A7263" t="inlineStr">
        <is>
          <t xml:space="preserve">Kotak Mahindra Mutual Fund</t>
        </is>
      </c>
      <c r="B7263" t="inlineStr">
        <is>
          <t xml:space="preserve">Kotak FMP Series 141 (454 Days) - Growth</t>
        </is>
      </c>
      <c r="C7263" t="inlineStr">
        <is>
          <t xml:space="preserve">INF174K01Q07</t>
        </is>
      </c>
    </row>
    <row r="7264">
      <c r="A7264" t="inlineStr">
        <is>
          <t xml:space="preserve">Kotak Mahindra Mutual Fund</t>
        </is>
      </c>
      <c r="B7264" t="inlineStr">
        <is>
          <t xml:space="preserve">Kotak FMP Series 142 (420 Days) - Direct Growth</t>
        </is>
      </c>
      <c r="C7264" t="inlineStr">
        <is>
          <t xml:space="preserve">INF174K01L10</t>
        </is>
      </c>
    </row>
    <row r="7265">
      <c r="A7265" t="inlineStr">
        <is>
          <t xml:space="preserve">Kotak Mahindra Mutual Fund</t>
        </is>
      </c>
      <c r="B7265" t="inlineStr">
        <is>
          <t xml:space="preserve">Kotak FMP Series 142 (420 Days) - Growth</t>
        </is>
      </c>
      <c r="C7265" t="inlineStr">
        <is>
          <t xml:space="preserve">INF174K01K86</t>
        </is>
      </c>
    </row>
    <row r="7266">
      <c r="A7266" t="inlineStr">
        <is>
          <t xml:space="preserve">Kotak Mahindra Mutual Fund</t>
        </is>
      </c>
      <c r="B7266" t="inlineStr">
        <is>
          <t xml:space="preserve">Kotak FMP Series 143 (370 Days) - Direct Growth</t>
        </is>
      </c>
      <c r="C7266" t="inlineStr">
        <is>
          <t xml:space="preserve">INF174K01J22</t>
        </is>
      </c>
    </row>
    <row r="7267">
      <c r="A7267" t="inlineStr">
        <is>
          <t xml:space="preserve">Kotak Mahindra Mutual Fund</t>
        </is>
      </c>
      <c r="B7267" t="inlineStr">
        <is>
          <t xml:space="preserve">Kotak FMP Series 143 (370 Days) - Dividend</t>
        </is>
      </c>
      <c r="C7267" t="inlineStr">
        <is>
          <t xml:space="preserve">INF174K01J14</t>
        </is>
      </c>
    </row>
    <row r="7268">
      <c r="A7268" t="inlineStr">
        <is>
          <t xml:space="preserve">Kotak Mahindra Mutual Fund</t>
        </is>
      </c>
      <c r="B7268" t="inlineStr">
        <is>
          <t xml:space="preserve">Kotak FMP Series 143 (370 Days) - Growth</t>
        </is>
      </c>
      <c r="C7268" t="inlineStr">
        <is>
          <t xml:space="preserve">INF174K01J06</t>
        </is>
      </c>
    </row>
    <row r="7269">
      <c r="A7269" t="inlineStr">
        <is>
          <t xml:space="preserve">Kotak Mahindra Mutual Fund</t>
        </is>
      </c>
      <c r="B7269" t="inlineStr">
        <is>
          <t xml:space="preserve">Kotak FMP Series 145 (390 Days) - Direct Growth</t>
        </is>
      </c>
      <c r="C7269" t="inlineStr">
        <is>
          <t xml:space="preserve">INF174K01L93</t>
        </is>
      </c>
    </row>
    <row r="7270">
      <c r="A7270" t="inlineStr">
        <is>
          <t xml:space="preserve">Kotak Mahindra Mutual Fund</t>
        </is>
      </c>
      <c r="B7270" t="inlineStr">
        <is>
          <t xml:space="preserve">Kotak FMP Series 145 (390 Days) - Dividend</t>
        </is>
      </c>
      <c r="C7270" t="inlineStr">
        <is>
          <t xml:space="preserve">INF174K01P16</t>
        </is>
      </c>
    </row>
    <row r="7271">
      <c r="A7271" t="inlineStr">
        <is>
          <t xml:space="preserve">Kotak Mahindra Mutual Fund</t>
        </is>
      </c>
      <c r="B7271" t="inlineStr">
        <is>
          <t xml:space="preserve">Kotak FMP Series 145 (390 Days) - Growth</t>
        </is>
      </c>
      <c r="C7271" t="inlineStr">
        <is>
          <t xml:space="preserve">INF174K01L51</t>
        </is>
      </c>
    </row>
    <row r="7272">
      <c r="A7272" t="inlineStr">
        <is>
          <t xml:space="preserve">Kotak Mahindra Mutual Fund</t>
        </is>
      </c>
      <c r="B7272" t="inlineStr">
        <is>
          <t xml:space="preserve">Kotak FMP Series 146 (388 Days) - Direct Growth</t>
        </is>
      </c>
      <c r="C7272" t="inlineStr">
        <is>
          <t xml:space="preserve">INF174K01M35</t>
        </is>
      </c>
    </row>
    <row r="7273">
      <c r="A7273" t="inlineStr">
        <is>
          <t xml:space="preserve">Kotak Mahindra Mutual Fund</t>
        </is>
      </c>
      <c r="B7273" t="inlineStr">
        <is>
          <t xml:space="preserve">Kotak FMP Series 146 (388 Days) - Growth</t>
        </is>
      </c>
      <c r="C7273" t="inlineStr">
        <is>
          <t xml:space="preserve">INF174K01M19</t>
        </is>
      </c>
    </row>
    <row r="7274">
      <c r="A7274" t="inlineStr">
        <is>
          <t xml:space="preserve">Kotak Mahindra Mutual Fund</t>
        </is>
      </c>
      <c r="B7274" t="inlineStr">
        <is>
          <t xml:space="preserve">Kotak FMP Series 147 (384 Days) - Direct Growth</t>
        </is>
      </c>
      <c r="C7274" t="inlineStr">
        <is>
          <t xml:space="preserve">INF174K01M76</t>
        </is>
      </c>
    </row>
    <row r="7275">
      <c r="A7275" t="inlineStr">
        <is>
          <t xml:space="preserve">Kotak Mahindra Mutual Fund</t>
        </is>
      </c>
      <c r="B7275" t="inlineStr">
        <is>
          <t xml:space="preserve">Kotak FMP Series 147 (384 Days) - Growth</t>
        </is>
      </c>
      <c r="C7275" t="inlineStr">
        <is>
          <t xml:space="preserve">INF174K01M50</t>
        </is>
      </c>
    </row>
    <row r="7276">
      <c r="A7276" t="inlineStr">
        <is>
          <t xml:space="preserve">Kotak Mahindra Mutual Fund</t>
        </is>
      </c>
      <c r="B7276" t="inlineStr">
        <is>
          <t xml:space="preserve">Kotak FMP Series 148 (388 Days) - Direct Growth</t>
        </is>
      </c>
      <c r="C7276" t="inlineStr">
        <is>
          <t xml:space="preserve">INF174K01N18</t>
        </is>
      </c>
    </row>
    <row r="7277">
      <c r="A7277" t="inlineStr">
        <is>
          <t xml:space="preserve">Kotak Mahindra Mutual Fund</t>
        </is>
      </c>
      <c r="B7277" t="inlineStr">
        <is>
          <t xml:space="preserve">Kotak FMP Series 148 (388 Days) - Growth</t>
        </is>
      </c>
      <c r="C7277" t="inlineStr">
        <is>
          <t xml:space="preserve">INF174K01M92</t>
        </is>
      </c>
    </row>
    <row r="7278">
      <c r="A7278" t="inlineStr">
        <is>
          <t xml:space="preserve">Kotak Mahindra Mutual Fund</t>
        </is>
      </c>
      <c r="B7278" t="inlineStr">
        <is>
          <t xml:space="preserve">Kotak FMP Series 149 (386 Days) - Direct Growth</t>
        </is>
      </c>
      <c r="C7278" t="inlineStr">
        <is>
          <t xml:space="preserve">INF174K01N59</t>
        </is>
      </c>
    </row>
    <row r="7279">
      <c r="A7279" t="inlineStr">
        <is>
          <t xml:space="preserve">Kotak Mahindra Mutual Fund</t>
        </is>
      </c>
      <c r="B7279" t="inlineStr">
        <is>
          <t xml:space="preserve">Kotak FMP Series 149 (386 Days) - Growth</t>
        </is>
      </c>
      <c r="C7279" t="inlineStr">
        <is>
          <t xml:space="preserve">INF174K01N34</t>
        </is>
      </c>
    </row>
    <row r="7280">
      <c r="A7280" t="inlineStr">
        <is>
          <t xml:space="preserve">Kotak Mahindra Mutual Fund</t>
        </is>
      </c>
      <c r="B7280" t="inlineStr">
        <is>
          <t xml:space="preserve">Kotak FMP Series 150 (1109 Days) - Direct Dividend</t>
        </is>
      </c>
      <c r="C7280" t="inlineStr">
        <is>
          <t xml:space="preserve">INF174K01WK6</t>
        </is>
      </c>
    </row>
    <row r="7281">
      <c r="A7281" t="inlineStr">
        <is>
          <t xml:space="preserve">Kotak Mahindra Mutual Fund</t>
        </is>
      </c>
      <c r="B7281" t="inlineStr">
        <is>
          <t xml:space="preserve">Kotak FMP Series 150 (1109 Days) - Direct Growth</t>
        </is>
      </c>
      <c r="C7281" t="inlineStr">
        <is>
          <t xml:space="preserve">INF174K01WJ8</t>
        </is>
      </c>
    </row>
    <row r="7282">
      <c r="A7282" t="inlineStr">
        <is>
          <t xml:space="preserve">Kotak Mahindra Mutual Fund</t>
        </is>
      </c>
      <c r="B7282" t="inlineStr">
        <is>
          <t xml:space="preserve">Kotak FMP Series 150 (1109 Days) - Dividend</t>
        </is>
      </c>
      <c r="C7282" t="inlineStr">
        <is>
          <t xml:space="preserve">INF174K01WI0</t>
        </is>
      </c>
    </row>
    <row r="7283">
      <c r="A7283" t="inlineStr">
        <is>
          <t xml:space="preserve">Kotak Mahindra Mutual Fund</t>
        </is>
      </c>
      <c r="B7283" t="inlineStr">
        <is>
          <t xml:space="preserve">Kotak FMP Series 150 (1109 Days) - Growth</t>
        </is>
      </c>
      <c r="C7283" t="inlineStr">
        <is>
          <t xml:space="preserve">INF174K01WH2</t>
        </is>
      </c>
    </row>
    <row r="7284">
      <c r="A7284" t="inlineStr">
        <is>
          <t xml:space="preserve">Kotak Mahindra Mutual Fund</t>
        </is>
      </c>
      <c r="B7284" t="inlineStr">
        <is>
          <t xml:space="preserve">Kotak FMP Series 151 (388 Days) - Direct Growth</t>
        </is>
      </c>
      <c r="C7284" t="inlineStr">
        <is>
          <t xml:space="preserve">INF174K01N91</t>
        </is>
      </c>
    </row>
    <row r="7285">
      <c r="A7285" t="inlineStr">
        <is>
          <t xml:space="preserve">Kotak Mahindra Mutual Fund</t>
        </is>
      </c>
      <c r="B7285" t="inlineStr">
        <is>
          <t xml:space="preserve">Kotak FMP Series 151 (388 Days) - Dividend</t>
        </is>
      </c>
      <c r="C7285" t="inlineStr">
        <is>
          <t xml:space="preserve">INF174K01N83</t>
        </is>
      </c>
    </row>
    <row r="7286">
      <c r="A7286" t="inlineStr">
        <is>
          <t xml:space="preserve">Kotak Mahindra Mutual Fund</t>
        </is>
      </c>
      <c r="B7286" t="inlineStr">
        <is>
          <t xml:space="preserve">Kotak FMP Series 151 (388 Days) - Growth</t>
        </is>
      </c>
      <c r="C7286" t="inlineStr">
        <is>
          <t xml:space="preserve">INF174K01N75</t>
        </is>
      </c>
    </row>
    <row r="7287">
      <c r="A7287" t="inlineStr">
        <is>
          <t xml:space="preserve">Kotak Mahindra Mutual Fund</t>
        </is>
      </c>
      <c r="B7287" t="inlineStr">
        <is>
          <t xml:space="preserve">Kotak FMP Series 153 (790 Days) - Direct Growth</t>
        </is>
      </c>
      <c r="C7287" t="inlineStr">
        <is>
          <t xml:space="preserve">INF174K01WZ4</t>
        </is>
      </c>
    </row>
    <row r="7288">
      <c r="A7288" t="inlineStr">
        <is>
          <t xml:space="preserve">Kotak Mahindra Mutual Fund</t>
        </is>
      </c>
      <c r="B7288" t="inlineStr">
        <is>
          <t xml:space="preserve">Kotak FMP Series 153 (790 Days) - Dividend</t>
        </is>
      </c>
      <c r="C7288" t="inlineStr">
        <is>
          <t xml:space="preserve">INF174K01WY7</t>
        </is>
      </c>
    </row>
    <row r="7289">
      <c r="A7289" t="inlineStr">
        <is>
          <t xml:space="preserve">Kotak Mahindra Mutual Fund</t>
        </is>
      </c>
      <c r="B7289" t="inlineStr">
        <is>
          <t xml:space="preserve">Kotak FMP Series 153 (790 Days) - Growth</t>
        </is>
      </c>
      <c r="C7289" t="inlineStr">
        <is>
          <t xml:space="preserve">INF174K01WX9</t>
        </is>
      </c>
    </row>
    <row r="7290">
      <c r="A7290" t="inlineStr">
        <is>
          <t xml:space="preserve">Kotak Mahindra Mutual Fund</t>
        </is>
      </c>
      <c r="B7290" t="inlineStr">
        <is>
          <t xml:space="preserve">Kotak FMP Series 154 (390 Days) - Direct Growth</t>
        </is>
      </c>
      <c r="C7290" t="inlineStr">
        <is>
          <t xml:space="preserve">INF174K01O33</t>
        </is>
      </c>
    </row>
    <row r="7291">
      <c r="A7291" t="inlineStr">
        <is>
          <t xml:space="preserve">Kotak Mahindra Mutual Fund</t>
        </is>
      </c>
      <c r="B7291" t="inlineStr">
        <is>
          <t xml:space="preserve">Kotak FMP Series 154 (390 Days) - Dividend</t>
        </is>
      </c>
      <c r="C7291" t="inlineStr">
        <is>
          <t xml:space="preserve">INF174K01O25</t>
        </is>
      </c>
    </row>
    <row r="7292">
      <c r="A7292" t="inlineStr">
        <is>
          <t xml:space="preserve">Kotak Mahindra Mutual Fund</t>
        </is>
      </c>
      <c r="B7292" t="inlineStr">
        <is>
          <t xml:space="preserve">Kotak FMP Series 154 (390 Days) - Growth</t>
        </is>
      </c>
      <c r="C7292" t="inlineStr">
        <is>
          <t xml:space="preserve">INF174K01O17</t>
        </is>
      </c>
    </row>
    <row r="7293">
      <c r="A7293" t="inlineStr">
        <is>
          <t xml:space="preserve">Kotak Mahindra Mutual Fund</t>
        </is>
      </c>
      <c r="B7293" t="inlineStr">
        <is>
          <t xml:space="preserve">Kotak FMP Series 156 (370 Days) - Direct Dividend</t>
        </is>
      </c>
      <c r="C7293" t="inlineStr">
        <is>
          <t xml:space="preserve">INF174K01K52</t>
        </is>
      </c>
    </row>
    <row r="7294">
      <c r="A7294" t="inlineStr">
        <is>
          <t xml:space="preserve">Kotak Mahindra Mutual Fund</t>
        </is>
      </c>
      <c r="B7294" t="inlineStr">
        <is>
          <t xml:space="preserve">Kotak FMP Series 156 (370 Days) - Direct Growth</t>
        </is>
      </c>
      <c r="C7294" t="inlineStr">
        <is>
          <t xml:space="preserve">INF174K01K45</t>
        </is>
      </c>
    </row>
    <row r="7295">
      <c r="A7295" t="inlineStr">
        <is>
          <t xml:space="preserve">Kotak Mahindra Mutual Fund</t>
        </is>
      </c>
      <c r="B7295" t="inlineStr">
        <is>
          <t xml:space="preserve">Kotak FMP Series 156 (370 Days) - Dividend</t>
        </is>
      </c>
      <c r="C7295" t="inlineStr">
        <is>
          <t xml:space="preserve">INF174K01P08</t>
        </is>
      </c>
    </row>
    <row r="7296">
      <c r="A7296" t="inlineStr">
        <is>
          <t xml:space="preserve">Kotak Mahindra Mutual Fund</t>
        </is>
      </c>
      <c r="B7296" t="inlineStr">
        <is>
          <t xml:space="preserve">Kotak FMP Series 156 (370 Days) - Growth</t>
        </is>
      </c>
      <c r="C7296" t="inlineStr">
        <is>
          <t xml:space="preserve">INF174K01O90</t>
        </is>
      </c>
    </row>
    <row r="7297">
      <c r="A7297" t="inlineStr">
        <is>
          <t xml:space="preserve">Kotak Mahindra Mutual Fund</t>
        </is>
      </c>
      <c r="B7297" t="inlineStr">
        <is>
          <t xml:space="preserve">Kotak FMP Series 157 (370 Days) - Direct Growth</t>
        </is>
      </c>
      <c r="C7297" t="inlineStr">
        <is>
          <t xml:space="preserve">INF174K01L02</t>
        </is>
      </c>
    </row>
    <row r="7298">
      <c r="A7298" t="inlineStr">
        <is>
          <t xml:space="preserve">Kotak Mahindra Mutual Fund</t>
        </is>
      </c>
      <c r="B7298" t="inlineStr">
        <is>
          <t xml:space="preserve">Kotak FMP Series 157 (370 Days) - Growth</t>
        </is>
      </c>
      <c r="C7298" t="inlineStr">
        <is>
          <t xml:space="preserve">INF174K01K60</t>
        </is>
      </c>
    </row>
    <row r="7299">
      <c r="A7299" t="inlineStr">
        <is>
          <t xml:space="preserve">Kotak Mahindra Mutual Fund</t>
        </is>
      </c>
      <c r="B7299" t="inlineStr">
        <is>
          <t xml:space="preserve">Kotak FMP Series 158 (370 Days) - Direct Growth</t>
        </is>
      </c>
      <c r="C7299" t="inlineStr">
        <is>
          <t xml:space="preserve">INF174K01L77</t>
        </is>
      </c>
    </row>
    <row r="7300">
      <c r="A7300" t="inlineStr">
        <is>
          <t xml:space="preserve">Kotak Mahindra Mutual Fund</t>
        </is>
      </c>
      <c r="B7300" t="inlineStr">
        <is>
          <t xml:space="preserve">Kotak FMP Series 158 (370 Days) - Dividend</t>
        </is>
      </c>
      <c r="C7300" t="inlineStr">
        <is>
          <t xml:space="preserve">INF174K01L69</t>
        </is>
      </c>
    </row>
    <row r="7301">
      <c r="A7301" t="inlineStr">
        <is>
          <t xml:space="preserve">Kotak Mahindra Mutual Fund</t>
        </is>
      </c>
      <c r="B7301" t="inlineStr">
        <is>
          <t xml:space="preserve">Kotak FMP Series 158 (370 Days) - Growth</t>
        </is>
      </c>
      <c r="C7301" t="inlineStr">
        <is>
          <t xml:space="preserve">INF174K01L44</t>
        </is>
      </c>
    </row>
    <row r="7302">
      <c r="A7302" t="inlineStr">
        <is>
          <t xml:space="preserve">Kotak Mahindra Mutual Fund</t>
        </is>
      </c>
      <c r="B7302" t="inlineStr">
        <is>
          <t xml:space="preserve">Kotak FMP Series 159 (370 Days) - Direct Growth</t>
        </is>
      </c>
      <c r="C7302" t="inlineStr">
        <is>
          <t xml:space="preserve">INF174K01Q72</t>
        </is>
      </c>
    </row>
    <row r="7303">
      <c r="A7303" t="inlineStr">
        <is>
          <t xml:space="preserve">Kotak Mahindra Mutual Fund</t>
        </is>
      </c>
      <c r="B7303" t="inlineStr">
        <is>
          <t xml:space="preserve">Kotak FMP Series 159 (370 Days) - Dividend</t>
        </is>
      </c>
      <c r="C7303" t="inlineStr">
        <is>
          <t xml:space="preserve">INF174K01Q64</t>
        </is>
      </c>
    </row>
    <row r="7304">
      <c r="A7304" t="inlineStr">
        <is>
          <t xml:space="preserve">Kotak Mahindra Mutual Fund</t>
        </is>
      </c>
      <c r="B7304" t="inlineStr">
        <is>
          <t xml:space="preserve">Kotak FMP Series 159 (370 Days) - Growth</t>
        </is>
      </c>
      <c r="C7304" t="inlineStr">
        <is>
          <t xml:space="preserve">INF174K01Q56</t>
        </is>
      </c>
    </row>
    <row r="7305">
      <c r="A7305" t="inlineStr">
        <is>
          <t xml:space="preserve">Kotak Mahindra Mutual Fund</t>
        </is>
      </c>
      <c r="B7305" t="inlineStr">
        <is>
          <t xml:space="preserve">Kotak FMP Series 160 (1039 Days) - Direct Dividend</t>
        </is>
      </c>
      <c r="C7305" t="inlineStr">
        <is>
          <t xml:space="preserve">INF174K01YC9</t>
        </is>
      </c>
    </row>
    <row r="7306">
      <c r="A7306" t="inlineStr">
        <is>
          <t xml:space="preserve">Kotak Mahindra Mutual Fund</t>
        </is>
      </c>
      <c r="B7306" t="inlineStr">
        <is>
          <t xml:space="preserve">Kotak FMP Series 160 (1039 Days) - Direct Growth</t>
        </is>
      </c>
      <c r="C7306" t="inlineStr">
        <is>
          <t xml:space="preserve">INF174K01YB1</t>
        </is>
      </c>
    </row>
    <row r="7307">
      <c r="A7307" t="inlineStr">
        <is>
          <t xml:space="preserve">Kotak Mahindra Mutual Fund</t>
        </is>
      </c>
      <c r="B7307" t="inlineStr">
        <is>
          <t xml:space="preserve">Kotak FMP Series 160 (1039 Days) - Dividend</t>
        </is>
      </c>
      <c r="C7307" t="inlineStr">
        <is>
          <t xml:space="preserve">INF174K01YA3</t>
        </is>
      </c>
    </row>
    <row r="7308">
      <c r="A7308" t="inlineStr">
        <is>
          <t xml:space="preserve">Kotak Mahindra Mutual Fund</t>
        </is>
      </c>
      <c r="B7308" t="inlineStr">
        <is>
          <t xml:space="preserve">Kotak FMP Series 160 (1039 Days) - Growth</t>
        </is>
      </c>
      <c r="C7308" t="inlineStr">
        <is>
          <t xml:space="preserve">INF174K01XZ2</t>
        </is>
      </c>
    </row>
    <row r="7309">
      <c r="A7309" t="inlineStr">
        <is>
          <t xml:space="preserve">Kotak Mahindra Mutual Fund</t>
        </is>
      </c>
      <c r="B7309" t="inlineStr">
        <is>
          <t xml:space="preserve">Kotak FMP Series 161 (370 Days) - Direct Dividend</t>
        </is>
      </c>
      <c r="C7309" t="inlineStr">
        <is>
          <t xml:space="preserve">INF174K01R22</t>
        </is>
      </c>
    </row>
    <row r="7310">
      <c r="A7310" t="inlineStr">
        <is>
          <t xml:space="preserve">Kotak Mahindra Mutual Fund</t>
        </is>
      </c>
      <c r="B7310" t="inlineStr">
        <is>
          <t xml:space="preserve">Kotak FMP Series 161 (370 Days) - Direct Growth</t>
        </is>
      </c>
      <c r="C7310" t="inlineStr">
        <is>
          <t xml:space="preserve">INF174K01R14</t>
        </is>
      </c>
    </row>
    <row r="7311">
      <c r="A7311" t="inlineStr">
        <is>
          <t xml:space="preserve">Kotak Mahindra Mutual Fund</t>
        </is>
      </c>
      <c r="B7311" t="inlineStr">
        <is>
          <t xml:space="preserve">Kotak FMP Series 161 (370 Days) - Dividend</t>
        </is>
      </c>
      <c r="C7311" t="inlineStr">
        <is>
          <t xml:space="preserve">INF174K01R06</t>
        </is>
      </c>
    </row>
    <row r="7312">
      <c r="A7312" t="inlineStr">
        <is>
          <t xml:space="preserve">Kotak Mahindra Mutual Fund</t>
        </is>
      </c>
      <c r="B7312" t="inlineStr">
        <is>
          <t xml:space="preserve">Kotak FMP Series 161 (370 Days) - Growth</t>
        </is>
      </c>
      <c r="C7312" t="inlineStr">
        <is>
          <t xml:space="preserve">INF174K01Q98</t>
        </is>
      </c>
    </row>
    <row r="7313">
      <c r="A7313" t="inlineStr">
        <is>
          <t xml:space="preserve">Kotak Mahindra Mutual Fund</t>
        </is>
      </c>
      <c r="B7313" t="inlineStr">
        <is>
          <t xml:space="preserve">Kotak FMP Series 162 (370 Days) - Direct Dividend</t>
        </is>
      </c>
      <c r="C7313" t="inlineStr">
        <is>
          <t xml:space="preserve">INF174K01YK2</t>
        </is>
      </c>
    </row>
    <row r="7314">
      <c r="A7314" t="inlineStr">
        <is>
          <t xml:space="preserve">Kotak Mahindra Mutual Fund</t>
        </is>
      </c>
      <c r="B7314" t="inlineStr">
        <is>
          <t xml:space="preserve">Kotak FMP Series 162 (370 Days) - Direct Growth</t>
        </is>
      </c>
      <c r="C7314" t="inlineStr">
        <is>
          <t xml:space="preserve">INF174K01R55</t>
        </is>
      </c>
    </row>
    <row r="7315">
      <c r="A7315" t="inlineStr">
        <is>
          <t xml:space="preserve">Kotak Mahindra Mutual Fund</t>
        </is>
      </c>
      <c r="B7315" t="inlineStr">
        <is>
          <t xml:space="preserve">Kotak FMP Series 162 (370 Days) - Dividend</t>
        </is>
      </c>
      <c r="C7315" t="inlineStr">
        <is>
          <t xml:space="preserve">INF174K01R48</t>
        </is>
      </c>
    </row>
    <row r="7316">
      <c r="A7316" t="inlineStr">
        <is>
          <t xml:space="preserve">Kotak Mahindra Mutual Fund</t>
        </is>
      </c>
      <c r="B7316" t="inlineStr">
        <is>
          <t xml:space="preserve">Kotak FMP Series 162 (370 Days) - Growth</t>
        </is>
      </c>
      <c r="C7316" t="inlineStr">
        <is>
          <t xml:space="preserve">INF174K01R30</t>
        </is>
      </c>
    </row>
    <row r="7317">
      <c r="A7317" t="inlineStr">
        <is>
          <t xml:space="preserve">Kotak Mahindra Mutual Fund</t>
        </is>
      </c>
      <c r="B7317" t="inlineStr">
        <is>
          <t xml:space="preserve">Kotak FMP Series 163 (1100 Days) - Direct Growth</t>
        </is>
      </c>
      <c r="C7317" t="inlineStr">
        <is>
          <t xml:space="preserve">INF174K01A13</t>
        </is>
      </c>
    </row>
    <row r="7318">
      <c r="A7318" t="inlineStr">
        <is>
          <t xml:space="preserve">Kotak Mahindra Mutual Fund</t>
        </is>
      </c>
      <c r="B7318" t="inlineStr">
        <is>
          <t xml:space="preserve">Kotak FMP Series 163 (1100 Days) - Dividend</t>
        </is>
      </c>
      <c r="C7318" t="inlineStr">
        <is>
          <t xml:space="preserve">INF174K01A05</t>
        </is>
      </c>
    </row>
    <row r="7319">
      <c r="A7319" t="inlineStr">
        <is>
          <t xml:space="preserve">Kotak Mahindra Mutual Fund</t>
        </is>
      </c>
      <c r="B7319" t="inlineStr">
        <is>
          <t xml:space="preserve">Kotak FMP Series 163 (1100 Days) - Growth</t>
        </is>
      </c>
      <c r="C7319" t="inlineStr">
        <is>
          <t xml:space="preserve">INF174K01ZZ7</t>
        </is>
      </c>
    </row>
    <row r="7320">
      <c r="A7320" t="inlineStr">
        <is>
          <t xml:space="preserve">Kotak Mahindra Mutual Fund</t>
        </is>
      </c>
      <c r="B7320" t="inlineStr">
        <is>
          <t xml:space="preserve">Kotak FMP Series 171 (1099 Days) - Direct Growth</t>
        </is>
      </c>
      <c r="C7320" t="inlineStr">
        <is>
          <t xml:space="preserve">INF174K01H08</t>
        </is>
      </c>
    </row>
    <row r="7321">
      <c r="A7321" t="inlineStr">
        <is>
          <t xml:space="preserve">Kotak Mahindra Mutual Fund</t>
        </is>
      </c>
      <c r="B7321" t="inlineStr">
        <is>
          <t xml:space="preserve">Kotak FMP Series 171 (1099 Days) - Growth</t>
        </is>
      </c>
      <c r="C7321" t="inlineStr">
        <is>
          <t xml:space="preserve">INF174K01G82</t>
        </is>
      </c>
    </row>
    <row r="7322">
      <c r="A7322" t="inlineStr">
        <is>
          <t xml:space="preserve">Kotak Mahindra Mutual Fund</t>
        </is>
      </c>
      <c r="B7322" t="inlineStr">
        <is>
          <t xml:space="preserve">Kotak FMP Series 172 - Direct Dividend</t>
        </is>
      </c>
      <c r="C7322" t="inlineStr">
        <is>
          <t xml:space="preserve">INF174K01I56</t>
        </is>
      </c>
    </row>
    <row r="7323">
      <c r="A7323" t="inlineStr">
        <is>
          <t xml:space="preserve">Kotak Mahindra Mutual Fund</t>
        </is>
      </c>
      <c r="B7323" t="inlineStr">
        <is>
          <t xml:space="preserve">Kotak FMP Series 172 - Direct Growth</t>
        </is>
      </c>
      <c r="C7323" t="inlineStr">
        <is>
          <t xml:space="preserve">INF174K01I49</t>
        </is>
      </c>
    </row>
    <row r="7324">
      <c r="A7324" t="inlineStr">
        <is>
          <t xml:space="preserve">Kotak Mahindra Mutual Fund</t>
        </is>
      </c>
      <c r="B7324" t="inlineStr">
        <is>
          <t xml:space="preserve">Kotak FMP Series 172 - Regular Dividend</t>
        </is>
      </c>
      <c r="C7324" t="inlineStr">
        <is>
          <t xml:space="preserve">INF174K01I31</t>
        </is>
      </c>
    </row>
    <row r="7325">
      <c r="A7325" t="inlineStr">
        <is>
          <t xml:space="preserve">Kotak Mahindra Mutual Fund</t>
        </is>
      </c>
      <c r="B7325" t="inlineStr">
        <is>
          <t xml:space="preserve">Kotak FMP Series 172 - Regular Growth</t>
        </is>
      </c>
      <c r="C7325" t="inlineStr">
        <is>
          <t xml:space="preserve">INF174K01I23</t>
        </is>
      </c>
    </row>
    <row r="7326">
      <c r="A7326" t="inlineStr">
        <is>
          <t xml:space="preserve">Kotak Mahindra Mutual Fund</t>
        </is>
      </c>
      <c r="B7326" t="inlineStr">
        <is>
          <t xml:space="preserve">Kotak FMP Series 175 (1100 Days) - Direct Growth</t>
        </is>
      </c>
      <c r="C7326" t="inlineStr">
        <is>
          <t xml:space="preserve">INF174K01R97</t>
        </is>
      </c>
    </row>
    <row r="7327">
      <c r="A7327" t="inlineStr">
        <is>
          <t xml:space="preserve">Kotak Mahindra Mutual Fund</t>
        </is>
      </c>
      <c r="B7327" t="inlineStr">
        <is>
          <t xml:space="preserve">Kotak FMP Series 175 (1100 Days) - Regular Dividend</t>
        </is>
      </c>
      <c r="C7327" t="inlineStr">
        <is>
          <t xml:space="preserve">INF174K01R89</t>
        </is>
      </c>
    </row>
    <row r="7328">
      <c r="A7328" t="inlineStr">
        <is>
          <t xml:space="preserve">Kotak Mahindra Mutual Fund</t>
        </is>
      </c>
      <c r="B7328" t="inlineStr">
        <is>
          <t xml:space="preserve">Kotak FMP Series 175 (1100 Days) - Regular Growth</t>
        </is>
      </c>
      <c r="C7328" t="inlineStr">
        <is>
          <t xml:space="preserve">INF174K01R71</t>
        </is>
      </c>
    </row>
    <row r="7329">
      <c r="A7329" t="inlineStr">
        <is>
          <t xml:space="preserve">Kotak Mahindra Mutual Fund</t>
        </is>
      </c>
      <c r="B7329" t="inlineStr">
        <is>
          <t xml:space="preserve">Kotak FMP Series 176 - Direct Plan - Growth</t>
        </is>
      </c>
      <c r="C7329" t="inlineStr">
        <is>
          <t xml:space="preserve">INF174K01S96</t>
        </is>
      </c>
    </row>
    <row r="7330">
      <c r="A7330" t="inlineStr">
        <is>
          <t xml:space="preserve">Kotak Mahindra Mutual Fund</t>
        </is>
      </c>
      <c r="B7330" t="inlineStr">
        <is>
          <t xml:space="preserve">Kotak FMP Series 176 - Regular Plan - Dividend</t>
        </is>
      </c>
      <c r="C7330" t="inlineStr">
        <is>
          <t xml:space="preserve">INF174K01S88</t>
        </is>
      </c>
    </row>
    <row r="7331">
      <c r="A7331" t="inlineStr">
        <is>
          <t xml:space="preserve">Kotak Mahindra Mutual Fund</t>
        </is>
      </c>
      <c r="B7331" t="inlineStr">
        <is>
          <t xml:space="preserve">Kotak FMP Series 176 - Regular Plan - Growth</t>
        </is>
      </c>
      <c r="C7331" t="inlineStr">
        <is>
          <t xml:space="preserve">INF174K01S70</t>
        </is>
      </c>
    </row>
    <row r="7332">
      <c r="A7332" t="inlineStr">
        <is>
          <t xml:space="preserve">Kotak Mahindra Mutual Fund</t>
        </is>
      </c>
      <c r="B7332" t="inlineStr">
        <is>
          <t xml:space="preserve">Kotak FMP Series 178 - Direct Growth</t>
        </is>
      </c>
      <c r="C7332" t="inlineStr">
        <is>
          <t xml:space="preserve">INF174K01U01</t>
        </is>
      </c>
    </row>
    <row r="7333">
      <c r="A7333" t="inlineStr">
        <is>
          <t xml:space="preserve">Kotak Mahindra Mutual Fund</t>
        </is>
      </c>
      <c r="B7333" t="inlineStr">
        <is>
          <t xml:space="preserve">Kotak FMP Series 178 - Regular Dividend</t>
        </is>
      </c>
      <c r="C7333" t="inlineStr">
        <is>
          <t xml:space="preserve">INF174K01T95</t>
        </is>
      </c>
    </row>
    <row r="7334">
      <c r="A7334" t="inlineStr">
        <is>
          <t xml:space="preserve">Kotak Mahindra Mutual Fund</t>
        </is>
      </c>
      <c r="B7334" t="inlineStr">
        <is>
          <t xml:space="preserve">Kotak FMP Series 178 - Regular Growth</t>
        </is>
      </c>
      <c r="C7334" t="inlineStr">
        <is>
          <t xml:space="preserve">INF174K01T87</t>
        </is>
      </c>
    </row>
    <row r="7335">
      <c r="A7335" t="inlineStr">
        <is>
          <t xml:space="preserve">Kotak Mahindra Mutual Fund</t>
        </is>
      </c>
      <c r="B7335" t="inlineStr">
        <is>
          <t xml:space="preserve">Kotak FMP Series 179 - Direct Dividend</t>
        </is>
      </c>
      <c r="C7335" t="inlineStr">
        <is>
          <t xml:space="preserve">INF174K01U92</t>
        </is>
      </c>
    </row>
    <row r="7336">
      <c r="A7336" t="inlineStr">
        <is>
          <t xml:space="preserve">Kotak Mahindra Mutual Fund</t>
        </is>
      </c>
      <c r="B7336" t="inlineStr">
        <is>
          <t xml:space="preserve">Kotak FMP Series 179 - Direct Growth</t>
        </is>
      </c>
      <c r="C7336" t="inlineStr">
        <is>
          <t xml:space="preserve">INF174K01U84</t>
        </is>
      </c>
    </row>
    <row r="7337">
      <c r="A7337" t="inlineStr">
        <is>
          <t xml:space="preserve">Kotak Mahindra Mutual Fund</t>
        </is>
      </c>
      <c r="B7337" t="inlineStr">
        <is>
          <t xml:space="preserve">Kotak FMP Series 179 - Regular Dividend</t>
        </is>
      </c>
      <c r="C7337" t="inlineStr">
        <is>
          <t xml:space="preserve">INF174K01U76</t>
        </is>
      </c>
    </row>
    <row r="7338">
      <c r="A7338" t="inlineStr">
        <is>
          <t xml:space="preserve">Kotak Mahindra Mutual Fund</t>
        </is>
      </c>
      <c r="B7338" t="inlineStr">
        <is>
          <t xml:space="preserve">Kotak FMP Series 179 - Regular Growth</t>
        </is>
      </c>
      <c r="C7338" t="inlineStr">
        <is>
          <t xml:space="preserve">INF174K01U68</t>
        </is>
      </c>
    </row>
    <row r="7339">
      <c r="A7339" t="inlineStr">
        <is>
          <t xml:space="preserve">Kotak Mahindra Mutual Fund</t>
        </is>
      </c>
      <c r="B7339" t="inlineStr">
        <is>
          <t xml:space="preserve">Kotak FMP Series 180 (1099 Days) - Direct Growth</t>
        </is>
      </c>
      <c r="C7339" t="inlineStr">
        <is>
          <t xml:space="preserve">INF174K01Y31</t>
        </is>
      </c>
    </row>
    <row r="7340">
      <c r="A7340" t="inlineStr">
        <is>
          <t xml:space="preserve">Kotak Mahindra Mutual Fund</t>
        </is>
      </c>
      <c r="B7340" t="inlineStr">
        <is>
          <t xml:space="preserve">Kotak FMP Series 180 (1099 Days) - Regular Dividend</t>
        </is>
      </c>
      <c r="C7340" t="inlineStr">
        <is>
          <t xml:space="preserve">INF174K01Y23</t>
        </is>
      </c>
    </row>
    <row r="7341">
      <c r="A7341" t="inlineStr">
        <is>
          <t xml:space="preserve">Kotak Mahindra Mutual Fund</t>
        </is>
      </c>
      <c r="B7341" t="inlineStr">
        <is>
          <t xml:space="preserve">Kotak FMP Series 180 (1099 Days) - Regular Growth</t>
        </is>
      </c>
      <c r="C7341" t="inlineStr">
        <is>
          <t xml:space="preserve">INF174K01Y15</t>
        </is>
      </c>
    </row>
    <row r="7342">
      <c r="A7342" t="inlineStr">
        <is>
          <t xml:space="preserve">Kotak Mahindra Mutual Fund</t>
        </is>
      </c>
      <c r="B7342" t="inlineStr">
        <is>
          <t xml:space="preserve">Kotak FMP Series 181 - Direct Dividend</t>
        </is>
      </c>
      <c r="C7342" t="inlineStr">
        <is>
          <t xml:space="preserve">INF174K01Z55</t>
        </is>
      </c>
    </row>
    <row r="7343">
      <c r="A7343" t="inlineStr">
        <is>
          <t xml:space="preserve">Kotak Mahindra Mutual Fund</t>
        </is>
      </c>
      <c r="B7343" t="inlineStr">
        <is>
          <t xml:space="preserve">Kotak FMP Series 181 - Direct Growth</t>
        </is>
      </c>
      <c r="C7343" t="inlineStr">
        <is>
          <t xml:space="preserve">INF174K01Z48</t>
        </is>
      </c>
    </row>
    <row r="7344">
      <c r="A7344" t="inlineStr">
        <is>
          <t xml:space="preserve">Kotak Mahindra Mutual Fund</t>
        </is>
      </c>
      <c r="B7344" t="inlineStr">
        <is>
          <t xml:space="preserve">Kotak FMP Series 181 - Regular Dividend</t>
        </is>
      </c>
      <c r="C7344" t="inlineStr">
        <is>
          <t xml:space="preserve">INF174K01Z63</t>
        </is>
      </c>
    </row>
    <row r="7345">
      <c r="A7345" t="inlineStr">
        <is>
          <t xml:space="preserve">Kotak Mahindra Mutual Fund</t>
        </is>
      </c>
      <c r="B7345" t="inlineStr">
        <is>
          <t xml:space="preserve">Kotak FMP Series 181 - Regular Growth</t>
        </is>
      </c>
      <c r="C7345" t="inlineStr">
        <is>
          <t xml:space="preserve">INF174K01Z30</t>
        </is>
      </c>
    </row>
    <row r="7346">
      <c r="A7346" t="inlineStr">
        <is>
          <t xml:space="preserve">Kotak Mahindra Mutual Fund</t>
        </is>
      </c>
      <c r="B7346" t="inlineStr">
        <is>
          <t xml:space="preserve">Kotak FMP Series 182 - Direct Dividend</t>
        </is>
      </c>
      <c r="C7346" t="inlineStr">
        <is>
          <t xml:space="preserve">INF174K015A5</t>
        </is>
      </c>
    </row>
    <row r="7347">
      <c r="A7347" t="inlineStr">
        <is>
          <t xml:space="preserve">Kotak Mahindra Mutual Fund</t>
        </is>
      </c>
      <c r="B7347" t="inlineStr">
        <is>
          <t xml:space="preserve">Kotak FMP Series 182 - Direct Growth</t>
        </is>
      </c>
      <c r="C7347" t="inlineStr">
        <is>
          <t xml:space="preserve">INF174K014A8</t>
        </is>
      </c>
    </row>
    <row r="7348">
      <c r="A7348" t="inlineStr">
        <is>
          <t xml:space="preserve">Kotak Mahindra Mutual Fund</t>
        </is>
      </c>
      <c r="B7348" t="inlineStr">
        <is>
          <t xml:space="preserve">Kotak FMP Series 182 - Regular Dividend</t>
        </is>
      </c>
      <c r="C7348" t="inlineStr">
        <is>
          <t xml:space="preserve">INF174K013A0</t>
        </is>
      </c>
    </row>
    <row r="7349">
      <c r="A7349" t="inlineStr">
        <is>
          <t xml:space="preserve">Kotak Mahindra Mutual Fund</t>
        </is>
      </c>
      <c r="B7349" t="inlineStr">
        <is>
          <t xml:space="preserve">Kotak FMP Series 182 - Regular Growth</t>
        </is>
      </c>
      <c r="C7349" t="inlineStr">
        <is>
          <t xml:space="preserve">INF174K012A2</t>
        </is>
      </c>
    </row>
    <row r="7350">
      <c r="A7350" t="inlineStr">
        <is>
          <t xml:space="preserve">Kotak Mahindra Mutual Fund</t>
        </is>
      </c>
      <c r="B7350" t="inlineStr">
        <is>
          <t xml:space="preserve">Kotak FMP Series 185 - Direct Growth</t>
        </is>
      </c>
      <c r="C7350" t="inlineStr">
        <is>
          <t xml:space="preserve">INF174K010C2</t>
        </is>
      </c>
    </row>
    <row r="7351">
      <c r="A7351" t="inlineStr">
        <is>
          <t xml:space="preserve">Kotak Mahindra Mutual Fund</t>
        </is>
      </c>
      <c r="B7351" t="inlineStr">
        <is>
          <t xml:space="preserve">Kotak FMP Series 185 - Regular Dividend</t>
        </is>
      </c>
      <c r="C7351" t="inlineStr">
        <is>
          <t xml:space="preserve">INF174K019B5</t>
        </is>
      </c>
    </row>
    <row r="7352">
      <c r="A7352" t="inlineStr">
        <is>
          <t xml:space="preserve">Kotak Mahindra Mutual Fund</t>
        </is>
      </c>
      <c r="B7352" t="inlineStr">
        <is>
          <t xml:space="preserve">Kotak FMP Series 185 - Regular Growth</t>
        </is>
      </c>
      <c r="C7352" t="inlineStr">
        <is>
          <t xml:space="preserve">INF174K018B7</t>
        </is>
      </c>
    </row>
    <row r="7353">
      <c r="A7353" t="inlineStr">
        <is>
          <t xml:space="preserve">Kotak Mahindra Mutual Fund</t>
        </is>
      </c>
      <c r="B7353" t="inlineStr">
        <is>
          <t xml:space="preserve">Kotak FMP Series 186 - Direct Growth</t>
        </is>
      </c>
      <c r="C7353" t="inlineStr">
        <is>
          <t xml:space="preserve">INF174KA1DW0</t>
        </is>
      </c>
    </row>
    <row r="7354">
      <c r="A7354" t="inlineStr">
        <is>
          <t xml:space="preserve">Kotak Mahindra Mutual Fund</t>
        </is>
      </c>
      <c r="B7354" t="inlineStr">
        <is>
          <t xml:space="preserve">Kotak FMP Series 186 - Regular Dividend</t>
        </is>
      </c>
      <c r="C7354" t="inlineStr">
        <is>
          <t xml:space="preserve">INF174KA1DV2</t>
        </is>
      </c>
    </row>
    <row r="7355">
      <c r="A7355" t="inlineStr">
        <is>
          <t xml:space="preserve">Kotak Mahindra Mutual Fund</t>
        </is>
      </c>
      <c r="B7355" t="inlineStr">
        <is>
          <t xml:space="preserve">Kotak FMP Series 186 - Regular Growth</t>
        </is>
      </c>
      <c r="C7355" t="inlineStr">
        <is>
          <t xml:space="preserve">INF174KA1DU4</t>
        </is>
      </c>
    </row>
    <row r="7356">
      <c r="A7356" t="inlineStr">
        <is>
          <t xml:space="preserve">Kotak Mahindra Mutual Fund</t>
        </is>
      </c>
      <c r="B7356" t="inlineStr">
        <is>
          <t xml:space="preserve">Kotak FMp Series 190 - Direct - Dividend Payout</t>
        </is>
      </c>
      <c r="C7356" t="inlineStr">
        <is>
          <t xml:space="preserve">INF174K015E7</t>
        </is>
      </c>
    </row>
    <row r="7357">
      <c r="A7357" t="inlineStr">
        <is>
          <t xml:space="preserve">Kotak Mahindra Mutual Fund</t>
        </is>
      </c>
      <c r="B7357" t="inlineStr">
        <is>
          <t xml:space="preserve">Kotak FMP Series 190 - Direct - Growth</t>
        </is>
      </c>
      <c r="C7357" t="inlineStr">
        <is>
          <t xml:space="preserve">INF174K014E0</t>
        </is>
      </c>
    </row>
    <row r="7358">
      <c r="A7358" t="inlineStr">
        <is>
          <t xml:space="preserve">Kotak Mahindra Mutual Fund</t>
        </is>
      </c>
      <c r="B7358" t="inlineStr">
        <is>
          <t xml:space="preserve">Kotak FMP Series 190 - Regular - Dividend Payout</t>
        </is>
      </c>
      <c r="C7358" t="inlineStr">
        <is>
          <t xml:space="preserve">INF174K013E2</t>
        </is>
      </c>
    </row>
    <row r="7359">
      <c r="A7359" t="inlineStr">
        <is>
          <t xml:space="preserve">Kotak Mahindra Mutual Fund</t>
        </is>
      </c>
      <c r="B7359" t="inlineStr">
        <is>
          <t xml:space="preserve">Kotak FMP Series 190 - Regular - Growth</t>
        </is>
      </c>
      <c r="C7359" t="inlineStr">
        <is>
          <t xml:space="preserve">INF174K012E4</t>
        </is>
      </c>
    </row>
    <row r="7360">
      <c r="A7360" t="inlineStr">
        <is>
          <t xml:space="preserve">Kotak Mahindra Mutual Fund</t>
        </is>
      </c>
      <c r="B7360" t="inlineStr">
        <is>
          <t xml:space="preserve">Kotak FMP Series 191 - Direct - Growth</t>
        </is>
      </c>
      <c r="C7360" t="inlineStr">
        <is>
          <t xml:space="preserve">INF174K018E1</t>
        </is>
      </c>
    </row>
    <row r="7361">
      <c r="A7361" t="inlineStr">
        <is>
          <t xml:space="preserve">Kotak Mahindra Mutual Fund</t>
        </is>
      </c>
      <c r="B7361" t="inlineStr">
        <is>
          <t xml:space="preserve">Kotak FMP Series 191 - Regular - Dividend Payout</t>
        </is>
      </c>
      <c r="C7361" t="inlineStr">
        <is>
          <t xml:space="preserve">INF174K017E3</t>
        </is>
      </c>
    </row>
    <row r="7362">
      <c r="A7362" t="inlineStr">
        <is>
          <t xml:space="preserve">Kotak Mahindra Mutual Fund</t>
        </is>
      </c>
      <c r="B7362" t="inlineStr">
        <is>
          <t xml:space="preserve">Kotak FMP Series 191 - Regular - Growth</t>
        </is>
      </c>
      <c r="C7362" t="inlineStr">
        <is>
          <t xml:space="preserve">INF174K016E5</t>
        </is>
      </c>
    </row>
    <row r="7363">
      <c r="A7363" t="inlineStr">
        <is>
          <t xml:space="preserve">Kotak Mahindra Mutual Fund</t>
        </is>
      </c>
      <c r="B7363" t="inlineStr">
        <is>
          <t xml:space="preserve">Kotak FMP Series 192 - Direct - Growth</t>
        </is>
      </c>
      <c r="C7363" t="inlineStr">
        <is>
          <t xml:space="preserve">INF174K012F1</t>
        </is>
      </c>
    </row>
    <row r="7364">
      <c r="A7364" t="inlineStr">
        <is>
          <t xml:space="preserve">Kotak Mahindra Mutual Fund</t>
        </is>
      </c>
      <c r="B7364" t="inlineStr">
        <is>
          <t xml:space="preserve">Kotak FMP Series 192 - Regular - Dividend Payout</t>
        </is>
      </c>
      <c r="C7364" t="inlineStr">
        <is>
          <t xml:space="preserve">INF174K011F3</t>
        </is>
      </c>
    </row>
    <row r="7365">
      <c r="A7365" t="inlineStr">
        <is>
          <t xml:space="preserve">Kotak Mahindra Mutual Fund</t>
        </is>
      </c>
      <c r="B7365" t="inlineStr">
        <is>
          <t xml:space="preserve">Kotak FMP Series 192 - Regular - Growth</t>
        </is>
      </c>
      <c r="C7365" t="inlineStr">
        <is>
          <t xml:space="preserve">INF174K010F5</t>
        </is>
      </c>
    </row>
    <row r="7366">
      <c r="A7366" t="inlineStr">
        <is>
          <t xml:space="preserve">Kotak Mahindra Mutual Fund</t>
        </is>
      </c>
      <c r="B7366" t="inlineStr">
        <is>
          <t xml:space="preserve">Kotak FMP Series 193 - Direct - Growth</t>
        </is>
      </c>
      <c r="C7366" t="inlineStr">
        <is>
          <t xml:space="preserve">INF174K016F2</t>
        </is>
      </c>
    </row>
    <row r="7367">
      <c r="A7367" t="inlineStr">
        <is>
          <t xml:space="preserve">Kotak Mahindra Mutual Fund</t>
        </is>
      </c>
      <c r="B7367" t="inlineStr">
        <is>
          <t xml:space="preserve">Kotak FMP Series 193 - Regular - Dividend Payout</t>
        </is>
      </c>
      <c r="C7367" t="inlineStr">
        <is>
          <t xml:space="preserve">INF174K015F4</t>
        </is>
      </c>
    </row>
    <row r="7368">
      <c r="A7368" t="inlineStr">
        <is>
          <t xml:space="preserve">Kotak Mahindra Mutual Fund</t>
        </is>
      </c>
      <c r="B7368" t="inlineStr">
        <is>
          <t xml:space="preserve">Kotak FMP Series 193 - Regular - Growth</t>
        </is>
      </c>
      <c r="C7368" t="inlineStr">
        <is>
          <t xml:space="preserve">INF174K014F7</t>
        </is>
      </c>
    </row>
    <row r="7369">
      <c r="A7369" t="inlineStr">
        <is>
          <t xml:space="preserve">Kotak Mahindra Mutual Fund</t>
        </is>
      </c>
      <c r="B7369" t="inlineStr">
        <is>
          <t xml:space="preserve">Kotak FMP Series 194 - Direct - Growth</t>
        </is>
      </c>
      <c r="C7369" t="inlineStr">
        <is>
          <t xml:space="preserve">INF174K010G3</t>
        </is>
      </c>
    </row>
    <row r="7370">
      <c r="A7370" t="inlineStr">
        <is>
          <t xml:space="preserve">Kotak Mahindra Mutual Fund</t>
        </is>
      </c>
      <c r="B7370" t="inlineStr">
        <is>
          <t xml:space="preserve">Kotak FMP Series 194 - Regular - Dividend Payout</t>
        </is>
      </c>
      <c r="C7370" t="inlineStr">
        <is>
          <t xml:space="preserve">INF174K019F6</t>
        </is>
      </c>
    </row>
    <row r="7371">
      <c r="A7371" t="inlineStr">
        <is>
          <t xml:space="preserve">Kotak Mahindra Mutual Fund</t>
        </is>
      </c>
      <c r="B7371" t="inlineStr">
        <is>
          <t xml:space="preserve">Kotak FMP Series 194 - Regular- Growth</t>
        </is>
      </c>
      <c r="C7371" t="inlineStr">
        <is>
          <t xml:space="preserve">INF174K018F8</t>
        </is>
      </c>
    </row>
    <row r="7372">
      <c r="A7372" t="inlineStr">
        <is>
          <t xml:space="preserve">Kotak Mahindra Mutual Fund</t>
        </is>
      </c>
      <c r="B7372" t="inlineStr">
        <is>
          <t xml:space="preserve">Kotak FMP Series 196 - Direct - Growth</t>
        </is>
      </c>
      <c r="C7372" t="inlineStr">
        <is>
          <t xml:space="preserve">INF174K015H0</t>
        </is>
      </c>
    </row>
    <row r="7373">
      <c r="A7373" t="inlineStr">
        <is>
          <t xml:space="preserve">Kotak Mahindra Mutual Fund</t>
        </is>
      </c>
      <c r="B7373" t="inlineStr">
        <is>
          <t xml:space="preserve">Kotak FMP Series 196 - Regular - Dividend Payout</t>
        </is>
      </c>
      <c r="C7373" t="inlineStr">
        <is>
          <t xml:space="preserve">INF174K014H3</t>
        </is>
      </c>
    </row>
    <row r="7374">
      <c r="A7374" t="inlineStr">
        <is>
          <t xml:space="preserve">Kotak Mahindra Mutual Fund</t>
        </is>
      </c>
      <c r="B7374" t="inlineStr">
        <is>
          <t xml:space="preserve">Kotak FMP Series 196 - Regular - Growth</t>
        </is>
      </c>
      <c r="C7374" t="inlineStr">
        <is>
          <t xml:space="preserve">INF174K013H5</t>
        </is>
      </c>
    </row>
    <row r="7375">
      <c r="A7375" t="inlineStr">
        <is>
          <t xml:space="preserve">Kotak Mahindra Mutual Fund</t>
        </is>
      </c>
      <c r="B7375" t="inlineStr">
        <is>
          <t xml:space="preserve">Kotak FMP Series 199 - Direct Plan - Growth Option</t>
        </is>
      </c>
      <c r="C7375" t="inlineStr">
        <is>
          <t xml:space="preserve">INF174K018K8</t>
        </is>
      </c>
    </row>
    <row r="7376">
      <c r="A7376" t="inlineStr">
        <is>
          <t xml:space="preserve">Kotak Mahindra Mutual Fund</t>
        </is>
      </c>
      <c r="B7376" t="inlineStr">
        <is>
          <t xml:space="preserve">Kotak FMP Series 199 - Regular Plan - Dividend Payout Option</t>
        </is>
      </c>
      <c r="C7376" t="inlineStr">
        <is>
          <t xml:space="preserve">INF174K017K0</t>
        </is>
      </c>
    </row>
    <row r="7377">
      <c r="A7377" t="inlineStr">
        <is>
          <t xml:space="preserve">Kotak Mahindra Mutual Fund</t>
        </is>
      </c>
      <c r="B7377" t="inlineStr">
        <is>
          <t xml:space="preserve">Kotak FMP Series 199 - Regular Plan - Growth Option</t>
        </is>
      </c>
      <c r="C7377" t="inlineStr">
        <is>
          <t xml:space="preserve">INF174K016K2</t>
        </is>
      </c>
    </row>
    <row r="7378">
      <c r="A7378" t="inlineStr">
        <is>
          <t xml:space="preserve">Kotak Mahindra Mutual Fund</t>
        </is>
      </c>
      <c r="B7378" t="inlineStr">
        <is>
          <t xml:space="preserve">Kotak FMP Series 200-Direct Plan-Dividend Payout Option</t>
        </is>
      </c>
      <c r="C7378" t="inlineStr">
        <is>
          <t xml:space="preserve">INF174K014M3</t>
        </is>
      </c>
    </row>
    <row r="7379">
      <c r="A7379" t="inlineStr">
        <is>
          <t xml:space="preserve">Kotak Mahindra Mutual Fund</t>
        </is>
      </c>
      <c r="B7379" t="inlineStr">
        <is>
          <t xml:space="preserve">Kotak FMP Series 200-Direct Plan-Growth Option</t>
        </is>
      </c>
      <c r="C7379" t="inlineStr">
        <is>
          <t xml:space="preserve">INF174K013M5</t>
        </is>
      </c>
    </row>
    <row r="7380">
      <c r="A7380" t="inlineStr">
        <is>
          <t xml:space="preserve">Kotak Mahindra Mutual Fund</t>
        </is>
      </c>
      <c r="B7380" t="inlineStr">
        <is>
          <t xml:space="preserve">Kotak FMP Series 200-Regular Plan-Dividend Payout</t>
        </is>
      </c>
      <c r="C7380" t="inlineStr">
        <is>
          <t xml:space="preserve">INF174K012M7</t>
        </is>
      </c>
    </row>
    <row r="7381">
      <c r="A7381" t="inlineStr">
        <is>
          <t xml:space="preserve">Kotak Mahindra Mutual Fund</t>
        </is>
      </c>
      <c r="B7381" t="inlineStr">
        <is>
          <t xml:space="preserve">Kotak FMP Series 200-Regular Plan-Growth Option</t>
        </is>
      </c>
      <c r="C7381" t="inlineStr">
        <is>
          <t xml:space="preserve">INF174K011M9</t>
        </is>
      </c>
    </row>
    <row r="7382">
      <c r="A7382" t="inlineStr">
        <is>
          <t xml:space="preserve">Kotak Mahindra Mutual Fund</t>
        </is>
      </c>
      <c r="B7382" t="inlineStr">
        <is>
          <t xml:space="preserve">Kotak FMP Series 202-Direct Plan-Growth Option</t>
        </is>
      </c>
      <c r="C7382" t="inlineStr">
        <is>
          <t xml:space="preserve">INF174K011N7</t>
        </is>
      </c>
    </row>
    <row r="7383">
      <c r="A7383" t="inlineStr">
        <is>
          <t xml:space="preserve">Kotak Mahindra Mutual Fund</t>
        </is>
      </c>
      <c r="B7383" t="inlineStr">
        <is>
          <t xml:space="preserve">Kotak FMP Series 202-DirectPLan-Dividend Payout Option</t>
        </is>
      </c>
      <c r="C7383" t="inlineStr">
        <is>
          <t xml:space="preserve">INF174K012N5</t>
        </is>
      </c>
    </row>
    <row r="7384">
      <c r="A7384" t="inlineStr">
        <is>
          <t xml:space="preserve">Kotak Mahindra Mutual Fund</t>
        </is>
      </c>
      <c r="B7384" t="inlineStr">
        <is>
          <t xml:space="preserve">Kotak FMP Series 202-Regular Plan-Dividend Payout Option</t>
        </is>
      </c>
      <c r="C7384" t="inlineStr">
        <is>
          <t xml:space="preserve">INF174K010N9</t>
        </is>
      </c>
    </row>
    <row r="7385">
      <c r="A7385" t="inlineStr">
        <is>
          <t xml:space="preserve">Kotak Mahindra Mutual Fund</t>
        </is>
      </c>
      <c r="B7385" t="inlineStr">
        <is>
          <t xml:space="preserve">Kotak FMP Series 202-Regular Plan-Growth Option</t>
        </is>
      </c>
      <c r="C7385" t="inlineStr">
        <is>
          <t xml:space="preserve">INF174K019M2</t>
        </is>
      </c>
    </row>
    <row r="7386">
      <c r="A7386" t="inlineStr">
        <is>
          <t xml:space="preserve">Kotak Mahindra Mutual Fund</t>
        </is>
      </c>
      <c r="B7386" t="inlineStr">
        <is>
          <t xml:space="preserve">Kotak FMP Series 203 - Direct Plan - Growth Option</t>
        </is>
      </c>
      <c r="C7386" t="inlineStr">
        <is>
          <t xml:space="preserve">INF174K019N0</t>
        </is>
      </c>
    </row>
    <row r="7387">
      <c r="A7387" t="inlineStr">
        <is>
          <t xml:space="preserve">Kotak Mahindra Mutual Fund</t>
        </is>
      </c>
      <c r="B7387" t="inlineStr">
        <is>
          <t xml:space="preserve">Kotak FMP Series 203 - Regular Plan - Dividend Payout Option</t>
        </is>
      </c>
      <c r="C7387" t="inlineStr">
        <is>
          <t xml:space="preserve">INF174K018N2</t>
        </is>
      </c>
    </row>
    <row r="7388">
      <c r="A7388" t="inlineStr">
        <is>
          <t xml:space="preserve">Kotak Mahindra Mutual Fund</t>
        </is>
      </c>
      <c r="B7388" t="inlineStr">
        <is>
          <t xml:space="preserve">Kotak FMP Series 203-Direct Plan-Dividend Payout Option</t>
        </is>
      </c>
      <c r="C7388" t="inlineStr">
        <is>
          <t xml:space="preserve">INF174K010O7</t>
        </is>
      </c>
    </row>
    <row r="7389">
      <c r="A7389" t="inlineStr">
        <is>
          <t xml:space="preserve">Kotak Mahindra Mutual Fund</t>
        </is>
      </c>
      <c r="B7389" t="inlineStr">
        <is>
          <t xml:space="preserve">Kotak FMP Series 203-Regular Plan-Growth option</t>
        </is>
      </c>
      <c r="C7389" t="inlineStr">
        <is>
          <t xml:space="preserve">INF174K017N4</t>
        </is>
      </c>
    </row>
    <row r="7390">
      <c r="A7390" t="inlineStr">
        <is>
          <t xml:space="preserve">Kotak Mahindra Mutual Fund</t>
        </is>
      </c>
      <c r="B7390" t="inlineStr">
        <is>
          <t xml:space="preserve">Kotak FMP Series 204-Direct Plan-Dividend Payout Option</t>
        </is>
      </c>
      <c r="C7390" t="inlineStr">
        <is>
          <t xml:space="preserve">INF174K017O2</t>
        </is>
      </c>
    </row>
    <row r="7391">
      <c r="A7391" t="inlineStr">
        <is>
          <t xml:space="preserve">Kotak Mahindra Mutual Fund</t>
        </is>
      </c>
      <c r="B7391" t="inlineStr">
        <is>
          <t xml:space="preserve">Kotak FMP Series 204-Direct Plan-Growth Option</t>
        </is>
      </c>
      <c r="C7391" t="inlineStr">
        <is>
          <t xml:space="preserve">INF174K016O4</t>
        </is>
      </c>
    </row>
    <row r="7392">
      <c r="A7392" t="inlineStr">
        <is>
          <t xml:space="preserve">Kotak Mahindra Mutual Fund</t>
        </is>
      </c>
      <c r="B7392" t="inlineStr">
        <is>
          <t xml:space="preserve">Kotak FMP Series 204-Regular Plan-Dividend Payout Option</t>
        </is>
      </c>
      <c r="C7392" t="inlineStr">
        <is>
          <t xml:space="preserve">INF174K015O6</t>
        </is>
      </c>
    </row>
    <row r="7393">
      <c r="A7393" t="inlineStr">
        <is>
          <t xml:space="preserve">Kotak Mahindra Mutual Fund</t>
        </is>
      </c>
      <c r="B7393" t="inlineStr">
        <is>
          <t xml:space="preserve">Kotak FMP Series 204-Regular Plan-Growth Option</t>
        </is>
      </c>
      <c r="C7393" t="inlineStr">
        <is>
          <t xml:space="preserve">INF174K014O9</t>
        </is>
      </c>
    </row>
    <row r="7394">
      <c r="A7394" t="inlineStr">
        <is>
          <t xml:space="preserve">Kotak Mahindra Mutual Fund</t>
        </is>
      </c>
      <c r="B7394" t="inlineStr">
        <is>
          <t xml:space="preserve">Kotak FMP Series 210 - Direct Plan - Dividend Option</t>
        </is>
      </c>
      <c r="C7394" t="inlineStr">
        <is>
          <t xml:space="preserve">INF174K012Q8</t>
        </is>
      </c>
    </row>
    <row r="7395">
      <c r="A7395" t="inlineStr">
        <is>
          <t xml:space="preserve">Kotak Mahindra Mutual Fund</t>
        </is>
      </c>
      <c r="B7395" t="inlineStr">
        <is>
          <t xml:space="preserve">Kotak FMP Series 210-Direct Plan-Growth Option</t>
        </is>
      </c>
      <c r="C7395" t="inlineStr">
        <is>
          <t xml:space="preserve">INF174K011Q0</t>
        </is>
      </c>
    </row>
    <row r="7396">
      <c r="A7396" t="inlineStr">
        <is>
          <t xml:space="preserve">Kotak Mahindra Mutual Fund</t>
        </is>
      </c>
      <c r="B7396" t="inlineStr">
        <is>
          <t xml:space="preserve">Kotak FMP Series 210-Regular plan-Dividend Option</t>
        </is>
      </c>
      <c r="C7396" t="inlineStr">
        <is>
          <t xml:space="preserve">INF174K010Q2</t>
        </is>
      </c>
    </row>
    <row r="7397">
      <c r="A7397" t="inlineStr">
        <is>
          <t xml:space="preserve">Kotak Mahindra Mutual Fund</t>
        </is>
      </c>
      <c r="B7397" t="inlineStr">
        <is>
          <t xml:space="preserve">Kotak FMP Series 210-Regular Plan-Growth option</t>
        </is>
      </c>
      <c r="C7397" t="inlineStr">
        <is>
          <t xml:space="preserve">INF174K019P5</t>
        </is>
      </c>
    </row>
    <row r="7398">
      <c r="A7398" t="inlineStr">
        <is>
          <t xml:space="preserve">Kotak Mahindra Mutual Fund</t>
        </is>
      </c>
      <c r="B7398" t="inlineStr">
        <is>
          <t xml:space="preserve">Kotak FMP Series 211-Direct Plan-Dividend option</t>
        </is>
      </c>
      <c r="C7398" t="inlineStr">
        <is>
          <t xml:space="preserve">INF174K016Q9</t>
        </is>
      </c>
    </row>
    <row r="7399">
      <c r="A7399" t="inlineStr">
        <is>
          <t xml:space="preserve">Kotak Mahindra Mutual Fund</t>
        </is>
      </c>
      <c r="B7399" t="inlineStr">
        <is>
          <t xml:space="preserve">Kotak FMP Series 211-Direct Plan-Growth Option</t>
        </is>
      </c>
      <c r="C7399" t="inlineStr">
        <is>
          <t xml:space="preserve">INF174K015Q1</t>
        </is>
      </c>
    </row>
    <row r="7400">
      <c r="A7400" t="inlineStr">
        <is>
          <t xml:space="preserve">Kotak Mahindra Mutual Fund</t>
        </is>
      </c>
      <c r="B7400" t="inlineStr">
        <is>
          <t xml:space="preserve">Kotak FMP Series 211-Regular Plan -Growth option</t>
        </is>
      </c>
      <c r="C7400" t="inlineStr">
        <is>
          <t xml:space="preserve">INF174K013Q6</t>
        </is>
      </c>
    </row>
    <row r="7401">
      <c r="A7401" t="inlineStr">
        <is>
          <t xml:space="preserve">Kotak Mahindra Mutual Fund</t>
        </is>
      </c>
      <c r="B7401" t="inlineStr">
        <is>
          <t xml:space="preserve">Kotak FMP Series 211-Regular Plan-Dividend Option</t>
        </is>
      </c>
      <c r="C7401" t="inlineStr">
        <is>
          <t xml:space="preserve">INF174K014Q4</t>
        </is>
      </c>
    </row>
    <row r="7402">
      <c r="A7402" t="inlineStr">
        <is>
          <t xml:space="preserve">Kotak Mahindra Mutual Fund</t>
        </is>
      </c>
      <c r="B7402" t="inlineStr">
        <is>
          <t xml:space="preserve">Kotak FMP Series 212-Direct plan-Growth option</t>
        </is>
      </c>
      <c r="C7402" t="inlineStr">
        <is>
          <t xml:space="preserve">INF174K019Q3</t>
        </is>
      </c>
    </row>
    <row r="7403">
      <c r="A7403" t="inlineStr">
        <is>
          <t xml:space="preserve">Kotak Mahindra Mutual Fund</t>
        </is>
      </c>
      <c r="B7403" t="inlineStr">
        <is>
          <t xml:space="preserve">Kotak FMP Series 212-Regular Plan - Payout of Income Distribution cum capital withdrawal option</t>
        </is>
      </c>
      <c r="C7403" t="inlineStr">
        <is>
          <t xml:space="preserve">INF174K018Q5</t>
        </is>
      </c>
    </row>
    <row r="7404">
      <c r="A7404" t="inlineStr">
        <is>
          <t xml:space="preserve">Kotak Mahindra Mutual Fund</t>
        </is>
      </c>
      <c r="B7404" t="inlineStr">
        <is>
          <t xml:space="preserve">Kotak FMP Series 212-Regular Plan-Growth Option</t>
        </is>
      </c>
      <c r="C7404" t="inlineStr">
        <is>
          <t xml:space="preserve">INF174K017Q7</t>
        </is>
      </c>
    </row>
    <row r="7405">
      <c r="A7405" t="inlineStr">
        <is>
          <t xml:space="preserve">Kotak Mahindra Mutual Fund</t>
        </is>
      </c>
      <c r="B7405" t="inlineStr">
        <is>
          <t xml:space="preserve">Kotak FMP Series 213-Direct Plan - Payout of Income Distribution cum capital withdrawal option</t>
        </is>
      </c>
      <c r="C7405" t="inlineStr">
        <is>
          <t xml:space="preserve">INF174K014R2</t>
        </is>
      </c>
    </row>
    <row r="7406">
      <c r="A7406" t="inlineStr">
        <is>
          <t xml:space="preserve">Kotak Mahindra Mutual Fund</t>
        </is>
      </c>
      <c r="B7406" t="inlineStr">
        <is>
          <t xml:space="preserve">Kotak FMP Series 213-Direct Plan-Growth Option</t>
        </is>
      </c>
      <c r="C7406" t="inlineStr">
        <is>
          <t xml:space="preserve">INF174K013R4</t>
        </is>
      </c>
    </row>
    <row r="7407">
      <c r="A7407" t="inlineStr">
        <is>
          <t xml:space="preserve">Kotak Mahindra Mutual Fund</t>
        </is>
      </c>
      <c r="B7407" t="inlineStr">
        <is>
          <t xml:space="preserve">Kotak FMP Series 213-Regular Plan - Payout of Income Distribution cum capital withdrawal option</t>
        </is>
      </c>
      <c r="C7407" t="inlineStr">
        <is>
          <t xml:space="preserve">INF174K012R6</t>
        </is>
      </c>
    </row>
    <row r="7408">
      <c r="A7408" t="inlineStr">
        <is>
          <t xml:space="preserve">Kotak Mahindra Mutual Fund</t>
        </is>
      </c>
      <c r="B7408" t="inlineStr">
        <is>
          <t xml:space="preserve">Kotak FMP Series 213-Regular Plan-Growth Option</t>
        </is>
      </c>
      <c r="C7408" t="inlineStr">
        <is>
          <t xml:space="preserve">INF174K011R8</t>
        </is>
      </c>
    </row>
    <row r="7409">
      <c r="A7409" t="inlineStr">
        <is>
          <t xml:space="preserve">Kotak Mahindra Mutual Fund</t>
        </is>
      </c>
      <c r="B7409" t="inlineStr">
        <is>
          <t xml:space="preserve">Kotak FMP Series 214-Direct Plan-Growth Option</t>
        </is>
      </c>
      <c r="C7409" t="inlineStr">
        <is>
          <t xml:space="preserve">INF174K017R5</t>
        </is>
      </c>
    </row>
    <row r="7410">
      <c r="A7410" t="inlineStr">
        <is>
          <t xml:space="preserve">Kotak Mahindra Mutual Fund</t>
        </is>
      </c>
      <c r="B7410" t="inlineStr">
        <is>
          <t xml:space="preserve">Kotak FMP Series 214-Direct Plan-Payout of Income Distribution cum capital withdrawal option</t>
        </is>
      </c>
      <c r="C7410" t="inlineStr">
        <is>
          <t xml:space="preserve">INF174K018R3</t>
        </is>
      </c>
    </row>
    <row r="7411">
      <c r="A7411" t="inlineStr">
        <is>
          <t xml:space="preserve">Kotak Mahindra Mutual Fund</t>
        </is>
      </c>
      <c r="B7411" t="inlineStr">
        <is>
          <t xml:space="preserve">Kotak FMP Series 214-Regular Plan-Payout of Income Distribution cum capital withdrawal option</t>
        </is>
      </c>
      <c r="C7411" t="inlineStr">
        <is>
          <t xml:space="preserve">INF174K016R7</t>
        </is>
      </c>
    </row>
    <row r="7412">
      <c r="A7412" t="inlineStr">
        <is>
          <t xml:space="preserve">Kotak Mahindra Mutual Fund</t>
        </is>
      </c>
      <c r="B7412" t="inlineStr">
        <is>
          <t xml:space="preserve">Kotak FMP Series 214-RegularPlan-Growth Option</t>
        </is>
      </c>
      <c r="C7412" t="inlineStr">
        <is>
          <t xml:space="preserve">INF174K015R9</t>
        </is>
      </c>
    </row>
    <row r="7413">
      <c r="A7413" t="inlineStr">
        <is>
          <t xml:space="preserve">Kotak Mahindra Mutual Fund</t>
        </is>
      </c>
      <c r="B7413" t="inlineStr">
        <is>
          <t xml:space="preserve">Kotak FMP Series 215-Direct Plan-Growth Option</t>
        </is>
      </c>
      <c r="C7413" t="inlineStr">
        <is>
          <t xml:space="preserve">INF174K011S6</t>
        </is>
      </c>
    </row>
    <row r="7414">
      <c r="A7414" t="inlineStr">
        <is>
          <t xml:space="preserve">Kotak Mahindra Mutual Fund</t>
        </is>
      </c>
      <c r="B7414" t="inlineStr">
        <is>
          <t xml:space="preserve">Kotak FMP Series 215-Direct Plan-Payout of Income Distribution cum capital withdrawal option</t>
        </is>
      </c>
      <c r="C7414" t="inlineStr">
        <is>
          <t xml:space="preserve">INF174K012S4</t>
        </is>
      </c>
    </row>
    <row r="7415">
      <c r="A7415" t="inlineStr">
        <is>
          <t xml:space="preserve">Kotak Mahindra Mutual Fund</t>
        </is>
      </c>
      <c r="B7415" t="inlineStr">
        <is>
          <t xml:space="preserve">Kotak FMP Series 215-Regular Plan - Payout of Income Distribution cum capital withdrawal option</t>
        </is>
      </c>
      <c r="C7415" t="inlineStr">
        <is>
          <t xml:space="preserve">INF174K010S8</t>
        </is>
      </c>
    </row>
    <row r="7416">
      <c r="A7416" t="inlineStr">
        <is>
          <t xml:space="preserve">Kotak Mahindra Mutual Fund</t>
        </is>
      </c>
      <c r="B7416" t="inlineStr">
        <is>
          <t xml:space="preserve">Kotak FMP Series 216 - Direct Plan-Payout of Income Distribution cum capital withdrawal Option</t>
        </is>
      </c>
      <c r="C7416" t="inlineStr">
        <is>
          <t xml:space="preserve">INF174K016S5</t>
        </is>
      </c>
    </row>
    <row r="7417">
      <c r="A7417" t="inlineStr">
        <is>
          <t xml:space="preserve">Kotak Mahindra Mutual Fund</t>
        </is>
      </c>
      <c r="B7417" t="inlineStr">
        <is>
          <t xml:space="preserve">Kotak FMP Series 216-Direct Plan-Growth Option</t>
        </is>
      </c>
      <c r="C7417" t="inlineStr">
        <is>
          <t xml:space="preserve">INF174K015S7</t>
        </is>
      </c>
    </row>
    <row r="7418">
      <c r="A7418" t="inlineStr">
        <is>
          <t xml:space="preserve">Kotak Mahindra Mutual Fund</t>
        </is>
      </c>
      <c r="B7418" t="inlineStr">
        <is>
          <t xml:space="preserve">Kotak FMP Series 216-Regular Plan- Payout of Income Distribution cum capital withdrawal Option</t>
        </is>
      </c>
      <c r="C7418" t="inlineStr">
        <is>
          <t xml:space="preserve">INF174K014S0</t>
        </is>
      </c>
    </row>
    <row r="7419">
      <c r="A7419" t="inlineStr">
        <is>
          <t xml:space="preserve">Kotak Mahindra Mutual Fund</t>
        </is>
      </c>
      <c r="B7419" t="inlineStr">
        <is>
          <t xml:space="preserve">Kotak FMP Series 216-Regular Plan-Growth Option</t>
        </is>
      </c>
      <c r="C7419" t="inlineStr">
        <is>
          <t xml:space="preserve">INF174K013S2</t>
        </is>
      </c>
    </row>
    <row r="7420">
      <c r="A7420" t="inlineStr">
        <is>
          <t xml:space="preserve">Kotak Mahindra Mutual Fund</t>
        </is>
      </c>
      <c r="B7420" t="inlineStr">
        <is>
          <t xml:space="preserve">Kotak FMP Series 217-Direct Plan-Growth Option</t>
        </is>
      </c>
      <c r="C7420" t="inlineStr">
        <is>
          <t xml:space="preserve">INF174K018T9</t>
        </is>
      </c>
    </row>
    <row r="7421">
      <c r="A7421" t="inlineStr">
        <is>
          <t xml:space="preserve">Kotak Mahindra Mutual Fund</t>
        </is>
      </c>
      <c r="B7421" t="inlineStr">
        <is>
          <t xml:space="preserve">Kotak FMP Series 217-Direct Plan-Payout of Income Distribution cum capital withdrawal Option</t>
        </is>
      </c>
      <c r="C7421" t="inlineStr">
        <is>
          <t xml:space="preserve">INF174K017T1</t>
        </is>
      </c>
    </row>
    <row r="7422">
      <c r="A7422" t="inlineStr">
        <is>
          <t xml:space="preserve">Kotak Mahindra Mutual Fund</t>
        </is>
      </c>
      <c r="B7422" t="inlineStr">
        <is>
          <t xml:space="preserve">Kotak FMP Series 217-Regular Plan-Growth Option</t>
        </is>
      </c>
      <c r="C7422" t="inlineStr">
        <is>
          <t xml:space="preserve">INF174K015T5</t>
        </is>
      </c>
    </row>
    <row r="7423">
      <c r="A7423" t="inlineStr">
        <is>
          <t xml:space="preserve">Kotak Mahindra Mutual Fund</t>
        </is>
      </c>
      <c r="B7423" t="inlineStr">
        <is>
          <t xml:space="preserve">Kotak FMP Series 217-Regular Plan-Payout of Income Distribution cum capital withdrawal Option</t>
        </is>
      </c>
      <c r="C7423" t="inlineStr">
        <is>
          <t xml:space="preserve">INF174K016T3</t>
        </is>
      </c>
    </row>
    <row r="7424">
      <c r="A7424" t="inlineStr">
        <is>
          <t xml:space="preserve">Kotak Mahindra Mutual Fund</t>
        </is>
      </c>
      <c r="B7424" t="inlineStr">
        <is>
          <t xml:space="preserve">Kotak FMP Series 218-Direct Plan-Dividend Option</t>
        </is>
      </c>
      <c r="C7424" t="inlineStr">
        <is>
          <t xml:space="preserve">INF174K012U0</t>
        </is>
      </c>
    </row>
    <row r="7425">
      <c r="A7425" t="inlineStr">
        <is>
          <t xml:space="preserve">Kotak Mahindra Mutual Fund</t>
        </is>
      </c>
      <c r="B7425" t="inlineStr">
        <is>
          <t xml:space="preserve">Kotak FMP Series 218-Direct Plan-Growth option</t>
        </is>
      </c>
      <c r="C7425" t="inlineStr">
        <is>
          <t xml:space="preserve">INF174K011U2</t>
        </is>
      </c>
    </row>
    <row r="7426">
      <c r="A7426" t="inlineStr">
        <is>
          <t xml:space="preserve">Kotak Mahindra Mutual Fund</t>
        </is>
      </c>
      <c r="B7426" t="inlineStr">
        <is>
          <t xml:space="preserve">Kotak FMP Series 218-Regular Plan-Dividend Option</t>
        </is>
      </c>
      <c r="C7426" t="inlineStr">
        <is>
          <t xml:space="preserve">INF174K010U4</t>
        </is>
      </c>
    </row>
    <row r="7427">
      <c r="A7427" t="inlineStr">
        <is>
          <t xml:space="preserve">Kotak Mahindra Mutual Fund</t>
        </is>
      </c>
      <c r="B7427" t="inlineStr">
        <is>
          <t xml:space="preserve">Kotak FMP Series 218-Regular Plan-Growth Option</t>
        </is>
      </c>
      <c r="C7427" t="inlineStr">
        <is>
          <t xml:space="preserve">INF174K019T7</t>
        </is>
      </c>
    </row>
    <row r="7428">
      <c r="A7428" t="inlineStr">
        <is>
          <t xml:space="preserve">Kotak Mahindra Mutual Fund</t>
        </is>
      </c>
      <c r="B7428" t="inlineStr">
        <is>
          <t xml:space="preserve">Kotak FMP Series 219-Direct Plan-Payout of Income Distribution cum capital withdrawal Option</t>
        </is>
      </c>
      <c r="C7428" t="inlineStr">
        <is>
          <t xml:space="preserve">INF174K016U1</t>
        </is>
      </c>
    </row>
    <row r="7429">
      <c r="A7429" t="inlineStr">
        <is>
          <t xml:space="preserve">Kotak Mahindra Mutual Fund</t>
        </is>
      </c>
      <c r="B7429" t="inlineStr">
        <is>
          <t xml:space="preserve">Kotak FMP Series 219-Regular Plan-Growth Option</t>
        </is>
      </c>
      <c r="C7429" t="inlineStr">
        <is>
          <t xml:space="preserve">INF174K013U8</t>
        </is>
      </c>
    </row>
    <row r="7430">
      <c r="A7430" t="inlineStr">
        <is>
          <t xml:space="preserve">Kotak Mahindra Mutual Fund</t>
        </is>
      </c>
      <c r="B7430" t="inlineStr">
        <is>
          <t xml:space="preserve">Kotak FMP Series 219-Regular Plan-Payout of Income Distribution cum capital withdrawal Option</t>
        </is>
      </c>
      <c r="C7430" t="inlineStr">
        <is>
          <t xml:space="preserve">INF174K014U6</t>
        </is>
      </c>
    </row>
    <row r="7431">
      <c r="A7431" t="inlineStr">
        <is>
          <t xml:space="preserve">Kotak Mahindra Mutual Fund</t>
        </is>
      </c>
      <c r="B7431" t="inlineStr">
        <is>
          <t xml:space="preserve">Kotak FMP Series 220-Direct Plan-Growth Option</t>
        </is>
      </c>
      <c r="C7431" t="inlineStr">
        <is>
          <t xml:space="preserve">INF174K019U5</t>
        </is>
      </c>
    </row>
    <row r="7432">
      <c r="A7432" t="inlineStr">
        <is>
          <t xml:space="preserve">Kotak Mahindra Mutual Fund</t>
        </is>
      </c>
      <c r="B7432" t="inlineStr">
        <is>
          <t xml:space="preserve">Kotak FMP Series 220-Direct Plan-Payout of Income Distribution cum capital withdrawal Option</t>
        </is>
      </c>
      <c r="C7432" t="inlineStr">
        <is>
          <t xml:space="preserve">INF174K010V2</t>
        </is>
      </c>
    </row>
    <row r="7433">
      <c r="A7433" t="inlineStr">
        <is>
          <t xml:space="preserve">Kotak Mahindra Mutual Fund</t>
        </is>
      </c>
      <c r="B7433" t="inlineStr">
        <is>
          <t xml:space="preserve">Kotak FMP Series 220-Regular Plan-Growth Option</t>
        </is>
      </c>
      <c r="C7433" t="inlineStr">
        <is>
          <t xml:space="preserve">INF174K017U9</t>
        </is>
      </c>
    </row>
    <row r="7434">
      <c r="A7434" t="inlineStr">
        <is>
          <t xml:space="preserve">Kotak Mahindra Mutual Fund</t>
        </is>
      </c>
      <c r="B7434" t="inlineStr">
        <is>
          <t xml:space="preserve">Kotak FMP Series 220-Regular Plan-Payout of Income Distribution cum capital withdrawal Option</t>
        </is>
      </c>
      <c r="C7434" t="inlineStr">
        <is>
          <t xml:space="preserve">INF174K018U7</t>
        </is>
      </c>
    </row>
    <row r="7435">
      <c r="A7435" t="inlineStr">
        <is>
          <t xml:space="preserve">Kotak Mahindra Mutual Fund</t>
        </is>
      </c>
      <c r="B7435" t="inlineStr">
        <is>
          <t xml:space="preserve">Kotak FMP Series 221-Direct plan-Growth Option</t>
        </is>
      </c>
      <c r="C7435" t="inlineStr">
        <is>
          <t xml:space="preserve">INF174K017V7</t>
        </is>
      </c>
    </row>
    <row r="7436">
      <c r="A7436" t="inlineStr">
        <is>
          <t xml:space="preserve">Kotak Mahindra Mutual Fund</t>
        </is>
      </c>
      <c r="B7436" t="inlineStr">
        <is>
          <t xml:space="preserve">Kotak FMP Series 221-Regular Plan-Growth Option</t>
        </is>
      </c>
      <c r="C7436" t="inlineStr">
        <is>
          <t xml:space="preserve">INF174K012W6</t>
        </is>
      </c>
    </row>
    <row r="7437">
      <c r="A7437" t="inlineStr">
        <is>
          <t xml:space="preserve">Kotak Mahindra Mutual Fund</t>
        </is>
      </c>
      <c r="B7437" t="inlineStr">
        <is>
          <t xml:space="preserve">Kotak FMP Series 221-Regular Plan-Payout of Income Distribution cum capital withdrawal Option</t>
        </is>
      </c>
      <c r="C7437" t="inlineStr">
        <is>
          <t xml:space="preserve">INF174K016V9</t>
        </is>
      </c>
    </row>
    <row r="7438">
      <c r="A7438" t="inlineStr">
        <is>
          <t xml:space="preserve">Kotak Mahindra Mutual Fund</t>
        </is>
      </c>
      <c r="B7438" t="inlineStr">
        <is>
          <t xml:space="preserve">Kotak FMP Series 223-Direct Plan-Growth Option</t>
        </is>
      </c>
      <c r="C7438" t="inlineStr">
        <is>
          <t xml:space="preserve">INF174K011W8</t>
        </is>
      </c>
    </row>
    <row r="7439">
      <c r="A7439" t="inlineStr">
        <is>
          <t xml:space="preserve">Kotak Mahindra Mutual Fund</t>
        </is>
      </c>
      <c r="B7439" t="inlineStr">
        <is>
          <t xml:space="preserve">Kotak FMP Series 223-Direct Plan-Payout of Income Distribution cum capital withdrawal Option</t>
        </is>
      </c>
      <c r="C7439" t="inlineStr">
        <is>
          <t xml:space="preserve">INF174K015V1</t>
        </is>
      </c>
    </row>
    <row r="7440">
      <c r="A7440" t="inlineStr">
        <is>
          <t xml:space="preserve">Kotak Mahindra Mutual Fund</t>
        </is>
      </c>
      <c r="B7440" t="inlineStr">
        <is>
          <t xml:space="preserve">Kotak FMP Series 223-Regular Plan-Growth option</t>
        </is>
      </c>
      <c r="C7440" t="inlineStr">
        <is>
          <t xml:space="preserve">INF174K019V3</t>
        </is>
      </c>
    </row>
    <row r="7441">
      <c r="A7441" t="inlineStr">
        <is>
          <t xml:space="preserve">Kotak Mahindra Mutual Fund</t>
        </is>
      </c>
      <c r="B7441" t="inlineStr">
        <is>
          <t xml:space="preserve">Kotak FMP Series 223-Regular Plan-Payout of Income Distribution cum capital withdrawal Option</t>
        </is>
      </c>
      <c r="C7441" t="inlineStr">
        <is>
          <t xml:space="preserve">INF174K010W0</t>
        </is>
      </c>
    </row>
    <row r="7442">
      <c r="A7442" t="inlineStr">
        <is>
          <t xml:space="preserve">Kotak Mahindra Mutual Fund</t>
        </is>
      </c>
      <c r="B7442" t="inlineStr">
        <is>
          <t xml:space="preserve">Kotak FMP Series 224 - Regular Plan- Payout of Income Distribution cum capital withdrawal Option</t>
        </is>
      </c>
      <c r="C7442" t="inlineStr">
        <is>
          <t xml:space="preserve">INF174K014W2</t>
        </is>
      </c>
    </row>
    <row r="7443">
      <c r="A7443" t="inlineStr">
        <is>
          <t xml:space="preserve">Kotak Mahindra Mutual Fund</t>
        </is>
      </c>
      <c r="B7443" t="inlineStr">
        <is>
          <t xml:space="preserve">Kotak FMP Series 224-Direct Plan-Growth Option</t>
        </is>
      </c>
      <c r="C7443" t="inlineStr">
        <is>
          <t xml:space="preserve">INF174K015W9</t>
        </is>
      </c>
    </row>
    <row r="7444">
      <c r="A7444" t="inlineStr">
        <is>
          <t xml:space="preserve">Kotak Mahindra Mutual Fund</t>
        </is>
      </c>
      <c r="B7444" t="inlineStr">
        <is>
          <t xml:space="preserve">Kotak FMP Series 224-Regular Plan-Growth Option</t>
        </is>
      </c>
      <c r="C7444" t="inlineStr">
        <is>
          <t xml:space="preserve">INF174K013W4</t>
        </is>
      </c>
    </row>
    <row r="7445">
      <c r="A7445" t="inlineStr">
        <is>
          <t xml:space="preserve">Kotak Mahindra Mutual Fund</t>
        </is>
      </c>
      <c r="B7445" t="inlineStr">
        <is>
          <t xml:space="preserve">Kotak FMP Series 225-Direct Plan-Growth Option</t>
        </is>
      </c>
      <c r="C7445" t="inlineStr">
        <is>
          <t xml:space="preserve">INF174K019W1</t>
        </is>
      </c>
    </row>
    <row r="7446">
      <c r="A7446" t="inlineStr">
        <is>
          <t xml:space="preserve">Kotak Mahindra Mutual Fund</t>
        </is>
      </c>
      <c r="B7446" t="inlineStr">
        <is>
          <t xml:space="preserve">Kotak FMP Series 225-Direct Plan-Payout of Income Distribution cum capital withdrawal Option</t>
        </is>
      </c>
      <c r="C7446" t="inlineStr">
        <is>
          <t xml:space="preserve">INF174K010X8</t>
        </is>
      </c>
    </row>
    <row r="7447">
      <c r="A7447" t="inlineStr">
        <is>
          <t xml:space="preserve">Kotak Mahindra Mutual Fund</t>
        </is>
      </c>
      <c r="B7447" t="inlineStr">
        <is>
          <t xml:space="preserve">Kotak FMP Series 225-Regular Plan -Growth Option</t>
        </is>
      </c>
      <c r="C7447" t="inlineStr">
        <is>
          <t xml:space="preserve">INF174K017W5</t>
        </is>
      </c>
    </row>
    <row r="7448">
      <c r="A7448" t="inlineStr">
        <is>
          <t xml:space="preserve">Kotak Mahindra Mutual Fund</t>
        </is>
      </c>
      <c r="B7448" t="inlineStr">
        <is>
          <t xml:space="preserve">Kotak FMP Series 225-Regular Plan-Payout of Income Distribution cum capital withdrawal Option</t>
        </is>
      </c>
      <c r="C7448" t="inlineStr">
        <is>
          <t xml:space="preserve">INF174K018W3</t>
        </is>
      </c>
    </row>
    <row r="7449">
      <c r="A7449" t="inlineStr">
        <is>
          <t xml:space="preserve">Kotak Mahindra Mutual Fund</t>
        </is>
      </c>
      <c r="B7449" t="inlineStr">
        <is>
          <t xml:space="preserve">Kotak FMP Series 226 - Direct Plan- Growth Option</t>
        </is>
      </c>
      <c r="C7449" t="inlineStr">
        <is>
          <t xml:space="preserve">INF174K017X3</t>
        </is>
      </c>
    </row>
    <row r="7450">
      <c r="A7450" t="inlineStr">
        <is>
          <t xml:space="preserve">Kotak Mahindra Mutual Fund</t>
        </is>
      </c>
      <c r="B7450" t="inlineStr">
        <is>
          <t xml:space="preserve">KOtak FMP Series 226 - Direct Plan- Payout of Income Distribution cum capital withdrawal Option</t>
        </is>
      </c>
      <c r="C7450" t="inlineStr">
        <is>
          <t xml:space="preserve">INF174K018X1</t>
        </is>
      </c>
    </row>
    <row r="7451">
      <c r="A7451" t="inlineStr">
        <is>
          <t xml:space="preserve">Kotak Mahindra Mutual Fund</t>
        </is>
      </c>
      <c r="B7451" t="inlineStr">
        <is>
          <t xml:space="preserve">Kotak FMP Series 226 - Regular Plan - Payout of Income Distribution cum capital withdrawal Option</t>
        </is>
      </c>
      <c r="C7451" t="inlineStr">
        <is>
          <t xml:space="preserve">INF174K016X5</t>
        </is>
      </c>
    </row>
    <row r="7452">
      <c r="A7452" t="inlineStr">
        <is>
          <t xml:space="preserve">Kotak Mahindra Mutual Fund</t>
        </is>
      </c>
      <c r="B7452" t="inlineStr">
        <is>
          <t xml:space="preserve">Kotak FMP Series 226 - Regular Plan- Growth Option</t>
        </is>
      </c>
      <c r="C7452" t="inlineStr">
        <is>
          <t xml:space="preserve">INF174K015X7</t>
        </is>
      </c>
    </row>
    <row r="7453">
      <c r="A7453" t="inlineStr">
        <is>
          <t xml:space="preserve">Kotak Mahindra Mutual Fund</t>
        </is>
      </c>
      <c r="B7453" t="inlineStr">
        <is>
          <t xml:space="preserve">Kotak FMP Series 227 - Direct Plan - Growth Option.</t>
        </is>
      </c>
      <c r="C7453" t="inlineStr">
        <is>
          <t xml:space="preserve">INF174K011Y4</t>
        </is>
      </c>
    </row>
    <row r="7454">
      <c r="A7454" t="inlineStr">
        <is>
          <t xml:space="preserve">Kotak Mahindra Mutual Fund</t>
        </is>
      </c>
      <c r="B7454" t="inlineStr">
        <is>
          <t xml:space="preserve">Kotak FMP Series 227 - Regular Plan -Growth Option.</t>
        </is>
      </c>
      <c r="C7454" t="inlineStr">
        <is>
          <t xml:space="preserve">INF174K019X9</t>
        </is>
      </c>
    </row>
    <row r="7455">
      <c r="A7455" t="inlineStr">
        <is>
          <t xml:space="preserve">Kotak Mahindra Mutual Fund</t>
        </is>
      </c>
      <c r="B7455" t="inlineStr">
        <is>
          <t xml:space="preserve">Kotak FMP Series 227 - Regular Plan- Dividend Option.</t>
        </is>
      </c>
      <c r="C7455" t="inlineStr">
        <is>
          <t xml:space="preserve">INF174K010Y6</t>
        </is>
      </c>
    </row>
    <row r="7456">
      <c r="A7456" t="inlineStr">
        <is>
          <t xml:space="preserve">Kotak Mahindra Mutual Fund</t>
        </is>
      </c>
      <c r="B7456" t="inlineStr">
        <is>
          <t xml:space="preserve">Kotak FMP Series 227- Direct Plan - Dividend Option.</t>
        </is>
      </c>
      <c r="C7456" t="inlineStr">
        <is>
          <t xml:space="preserve">INF174K012Y2</t>
        </is>
      </c>
    </row>
    <row r="7457">
      <c r="A7457" t="inlineStr">
        <is>
          <t xml:space="preserve">Kotak Mahindra Mutual Fund</t>
        </is>
      </c>
      <c r="B7457" t="inlineStr">
        <is>
          <t xml:space="preserve">Kotak FMP Series 228 - Regular Plan - Growth Option</t>
        </is>
      </c>
      <c r="C7457" t="inlineStr">
        <is>
          <t xml:space="preserve">INF174K013Y0</t>
        </is>
      </c>
    </row>
    <row r="7458">
      <c r="A7458" t="inlineStr">
        <is>
          <t xml:space="preserve">Kotak Mahindra Mutual Fund</t>
        </is>
      </c>
      <c r="B7458" t="inlineStr">
        <is>
          <t xml:space="preserve">Kotak FMP Series 228- Regular Plan  -Payout of Income Distribution cum capital withdrawal Option</t>
        </is>
      </c>
      <c r="C7458" t="inlineStr">
        <is>
          <t xml:space="preserve">INF174K014Y8</t>
        </is>
      </c>
    </row>
    <row r="7459">
      <c r="A7459" t="inlineStr">
        <is>
          <t xml:space="preserve">Kotak Mahindra Mutual Fund</t>
        </is>
      </c>
      <c r="B7459" t="inlineStr">
        <is>
          <t xml:space="preserve">Kotak FMP Series 228-Direct Plan - Growth Option</t>
        </is>
      </c>
      <c r="C7459" t="inlineStr">
        <is>
          <t xml:space="preserve">INF174K015Y5</t>
        </is>
      </c>
    </row>
    <row r="7460">
      <c r="A7460" t="inlineStr">
        <is>
          <t xml:space="preserve">Kotak Mahindra Mutual Fund</t>
        </is>
      </c>
      <c r="B7460" t="inlineStr">
        <is>
          <t xml:space="preserve">Kotak FMP Series 229 - Direct Plan - Dividend Option</t>
        </is>
      </c>
      <c r="C7460" t="inlineStr">
        <is>
          <t xml:space="preserve">INF174K010Z3</t>
        </is>
      </c>
    </row>
    <row r="7461">
      <c r="A7461" t="inlineStr">
        <is>
          <t xml:space="preserve">Kotak Mahindra Mutual Fund</t>
        </is>
      </c>
      <c r="B7461" t="inlineStr">
        <is>
          <t xml:space="preserve">Kotak FMP Series 229 - Direct Plan - Growth Option</t>
        </is>
      </c>
      <c r="C7461" t="inlineStr">
        <is>
          <t xml:space="preserve">INF174K019Y7</t>
        </is>
      </c>
    </row>
    <row r="7462">
      <c r="A7462" t="inlineStr">
        <is>
          <t xml:space="preserve">Kotak Mahindra Mutual Fund</t>
        </is>
      </c>
      <c r="B7462" t="inlineStr">
        <is>
          <t xml:space="preserve">Kotak FMP Series 229 - Regular Plan - Dividend Option</t>
        </is>
      </c>
      <c r="C7462" t="inlineStr">
        <is>
          <t xml:space="preserve">INF174K018Y9</t>
        </is>
      </c>
    </row>
    <row r="7463">
      <c r="A7463" t="inlineStr">
        <is>
          <t xml:space="preserve">Kotak Mahindra Mutual Fund</t>
        </is>
      </c>
      <c r="B7463" t="inlineStr">
        <is>
          <t xml:space="preserve">Kotak FMP Series 229- Regular Plan  -Growth Option</t>
        </is>
      </c>
      <c r="C7463" t="inlineStr">
        <is>
          <t xml:space="preserve">INF174K017Y1</t>
        </is>
      </c>
    </row>
    <row r="7464">
      <c r="A7464" t="inlineStr">
        <is>
          <t xml:space="preserve">Kotak Mahindra Mutual Fund</t>
        </is>
      </c>
      <c r="B7464" t="inlineStr">
        <is>
          <t xml:space="preserve">Kotak FMP Series 230-Direct Plan-Growth Option</t>
        </is>
      </c>
      <c r="C7464" t="inlineStr">
        <is>
          <t xml:space="preserve">INF174K013Z7</t>
        </is>
      </c>
    </row>
    <row r="7465">
      <c r="A7465" t="inlineStr">
        <is>
          <t xml:space="preserve">Kotak Mahindra Mutual Fund</t>
        </is>
      </c>
      <c r="B7465" t="inlineStr">
        <is>
          <t xml:space="preserve">Kotak FMP Series 230-Direct Plan-Payout of Income Distribution cum capital withdrawal Option</t>
        </is>
      </c>
      <c r="C7465" t="inlineStr">
        <is>
          <t xml:space="preserve">INF174K014Z5</t>
        </is>
      </c>
    </row>
    <row r="7466">
      <c r="A7466" t="inlineStr">
        <is>
          <t xml:space="preserve">Kotak Mahindra Mutual Fund</t>
        </is>
      </c>
      <c r="B7466" t="inlineStr">
        <is>
          <t xml:space="preserve">Kotak FMP Series 230-Regular Plan-Growth Option</t>
        </is>
      </c>
      <c r="C7466" t="inlineStr">
        <is>
          <t xml:space="preserve">INF174K011Z1</t>
        </is>
      </c>
    </row>
    <row r="7467">
      <c r="A7467" t="inlineStr">
        <is>
          <t xml:space="preserve">Kotak Mahindra Mutual Fund</t>
        </is>
      </c>
      <c r="B7467" t="inlineStr">
        <is>
          <t xml:space="preserve">Kotak FMP Series 232- Regular Plan- Growth Option</t>
        </is>
      </c>
      <c r="C7467" t="inlineStr">
        <is>
          <t xml:space="preserve">INF174K019Z4</t>
        </is>
      </c>
    </row>
    <row r="7468">
      <c r="A7468" t="inlineStr">
        <is>
          <t xml:space="preserve">Kotak Mahindra Mutual Fund</t>
        </is>
      </c>
      <c r="B7468" t="inlineStr">
        <is>
          <t xml:space="preserve">Kotak FMP Series 232-Direct Plan-Growth Option</t>
        </is>
      </c>
      <c r="C7468" t="inlineStr">
        <is>
          <t xml:space="preserve">INF174KA1020</t>
        </is>
      </c>
    </row>
    <row r="7469">
      <c r="A7469" t="inlineStr">
        <is>
          <t xml:space="preserve">Kotak Mahindra Mutual Fund</t>
        </is>
      </c>
      <c r="B7469" t="inlineStr">
        <is>
          <t xml:space="preserve">Kotak FMP Series 232-Regular Plan-Payout of Income Distribution cum capital withdrawal Option</t>
        </is>
      </c>
      <c r="C7469" t="inlineStr">
        <is>
          <t xml:space="preserve">INF174KA1012</t>
        </is>
      </c>
    </row>
    <row r="7470">
      <c r="A7470" t="inlineStr">
        <is>
          <t xml:space="preserve">Kotak Mahindra Mutual Fund</t>
        </is>
      </c>
      <c r="B7470" t="inlineStr">
        <is>
          <t xml:space="preserve">Kotak FMP Series 233 - Direct Plan - Growth Option</t>
        </is>
      </c>
      <c r="C7470" t="inlineStr">
        <is>
          <t xml:space="preserve">INF174KA1061</t>
        </is>
      </c>
    </row>
    <row r="7471">
      <c r="A7471" t="inlineStr">
        <is>
          <t xml:space="preserve">Kotak Mahindra Mutual Fund</t>
        </is>
      </c>
      <c r="B7471" t="inlineStr">
        <is>
          <t xml:space="preserve">Kotak FMP Series 233 - Direct Plan - Payout of Income Distribution cum capital withdrawal Option</t>
        </is>
      </c>
      <c r="C7471" t="inlineStr">
        <is>
          <t xml:space="preserve">INF174KA1079</t>
        </is>
      </c>
    </row>
    <row r="7472">
      <c r="A7472" t="inlineStr">
        <is>
          <t xml:space="preserve">Kotak Mahindra Mutual Fund</t>
        </is>
      </c>
      <c r="B7472" t="inlineStr">
        <is>
          <t xml:space="preserve">Kotak FMP Series 233 - Regular Plan - Growth Option</t>
        </is>
      </c>
      <c r="C7472" t="inlineStr">
        <is>
          <t xml:space="preserve">INF174KA1046</t>
        </is>
      </c>
    </row>
    <row r="7473">
      <c r="A7473" t="inlineStr">
        <is>
          <t xml:space="preserve">Kotak Mahindra Mutual Fund</t>
        </is>
      </c>
      <c r="B7473" t="inlineStr">
        <is>
          <t xml:space="preserve">Kotak FMP Series 234 - Direct Plan - Growth Option</t>
        </is>
      </c>
      <c r="C7473" t="inlineStr">
        <is>
          <t xml:space="preserve">INF174KA1103</t>
        </is>
      </c>
    </row>
    <row r="7474">
      <c r="A7474" t="inlineStr">
        <is>
          <t xml:space="preserve">Kotak Mahindra Mutual Fund</t>
        </is>
      </c>
      <c r="B7474" t="inlineStr">
        <is>
          <t xml:space="preserve">Kotak FMP Series 234 - Regular Plan - Growth Option</t>
        </is>
      </c>
      <c r="C7474" t="inlineStr">
        <is>
          <t xml:space="preserve">INF174KA1087</t>
        </is>
      </c>
    </row>
    <row r="7475">
      <c r="A7475" t="inlineStr">
        <is>
          <t xml:space="preserve">Kotak Mahindra Mutual Fund</t>
        </is>
      </c>
      <c r="B7475" t="inlineStr">
        <is>
          <t xml:space="preserve">Kotak FMP Series 234 -Regular Plan-Payout of Income Distribution cum capital withdrawal Option</t>
        </is>
      </c>
      <c r="C7475" t="inlineStr">
        <is>
          <t xml:space="preserve">INF174KA1095</t>
        </is>
      </c>
    </row>
    <row r="7476">
      <c r="A7476" t="inlineStr">
        <is>
          <t xml:space="preserve">Kotak Mahindra Mutual Fund</t>
        </is>
      </c>
      <c r="B7476" t="inlineStr">
        <is>
          <t xml:space="preserve">Kotak FMP Series 235 - Direct Plan - Growth option</t>
        </is>
      </c>
      <c r="C7476" t="inlineStr">
        <is>
          <t xml:space="preserve">INF174KA1145</t>
        </is>
      </c>
    </row>
    <row r="7477">
      <c r="A7477" t="inlineStr">
        <is>
          <t xml:space="preserve">Kotak Mahindra Mutual Fund</t>
        </is>
      </c>
      <c r="B7477" t="inlineStr">
        <is>
          <t xml:space="preserve">Kotak FMP Series 235 - Regular Plan - Growth Option</t>
        </is>
      </c>
      <c r="C7477" t="inlineStr">
        <is>
          <t xml:space="preserve">INF174KA1129</t>
        </is>
      </c>
    </row>
    <row r="7478">
      <c r="A7478" t="inlineStr">
        <is>
          <t xml:space="preserve">Kotak Mahindra Mutual Fund</t>
        </is>
      </c>
      <c r="B7478" t="inlineStr">
        <is>
          <t xml:space="preserve">Kotak FMP Series 235 - Regular Plan - Payout of Income Distribution cum capital withdrawal Option</t>
        </is>
      </c>
      <c r="C7478" t="inlineStr">
        <is>
          <t xml:space="preserve">INF174KA1137</t>
        </is>
      </c>
    </row>
    <row r="7479">
      <c r="A7479" t="inlineStr">
        <is>
          <t xml:space="preserve">Kotak Mahindra Mutual Fund</t>
        </is>
      </c>
      <c r="B7479" t="inlineStr">
        <is>
          <t xml:space="preserve">Kotak FMP Series 237 - Direct Plan-Growth Option</t>
        </is>
      </c>
      <c r="C7479" t="inlineStr">
        <is>
          <t xml:space="preserve">INF174KA1285</t>
        </is>
      </c>
    </row>
    <row r="7480">
      <c r="A7480" t="inlineStr">
        <is>
          <t xml:space="preserve">Kotak Mahindra Mutual Fund</t>
        </is>
      </c>
      <c r="B7480" t="inlineStr">
        <is>
          <t xml:space="preserve">Kotak FMP Series 237 - Regular Plan -Payout of Income Distribution cum capital withdrawal Option</t>
        </is>
      </c>
      <c r="C7480" t="inlineStr">
        <is>
          <t xml:space="preserve">INF174KA1277</t>
        </is>
      </c>
    </row>
    <row r="7481">
      <c r="A7481" t="inlineStr">
        <is>
          <t xml:space="preserve">Kotak Mahindra Mutual Fund</t>
        </is>
      </c>
      <c r="B7481" t="inlineStr">
        <is>
          <t xml:space="preserve">Kotak FMP Series 237- Regular Plan -Growth Option</t>
        </is>
      </c>
      <c r="C7481" t="inlineStr">
        <is>
          <t xml:space="preserve">INF174KA1269</t>
        </is>
      </c>
    </row>
    <row r="7482">
      <c r="A7482" t="inlineStr">
        <is>
          <t xml:space="preserve">Kotak Mahindra Mutual Fund</t>
        </is>
      </c>
      <c r="B7482" t="inlineStr">
        <is>
          <t xml:space="preserve">Kotak FMP Series 239 - Direct Plan - Growth option</t>
        </is>
      </c>
      <c r="C7482" t="inlineStr">
        <is>
          <t xml:space="preserve">INF174KA1368</t>
        </is>
      </c>
    </row>
    <row r="7483">
      <c r="A7483" t="inlineStr">
        <is>
          <t xml:space="preserve">Kotak Mahindra Mutual Fund</t>
        </is>
      </c>
      <c r="B7483" t="inlineStr">
        <is>
          <t xml:space="preserve">Kotak FMP Series 239 - Direct Plan - Payout of Income Distribution cum capital withdrawal Option</t>
        </is>
      </c>
      <c r="C7483" t="inlineStr">
        <is>
          <t xml:space="preserve">INF174KA1376</t>
        </is>
      </c>
    </row>
    <row r="7484">
      <c r="A7484" t="inlineStr">
        <is>
          <t xml:space="preserve">Kotak Mahindra Mutual Fund</t>
        </is>
      </c>
      <c r="B7484" t="inlineStr">
        <is>
          <t xml:space="preserve">Kotak FMP Series 239 - Regular plan -Growth option</t>
        </is>
      </c>
      <c r="C7484" t="inlineStr">
        <is>
          <t xml:space="preserve">INF174KA1343</t>
        </is>
      </c>
    </row>
    <row r="7485">
      <c r="A7485" t="inlineStr">
        <is>
          <t xml:space="preserve">Kotak Mahindra Mutual Fund</t>
        </is>
      </c>
      <c r="B7485" t="inlineStr">
        <is>
          <t xml:space="preserve">Kotak FMP Series 239 - Regular plan- Payout of Income Distribution cum capital withdrawal Option</t>
        </is>
      </c>
      <c r="C7485" t="inlineStr">
        <is>
          <t xml:space="preserve">INF174KA1350</t>
        </is>
      </c>
    </row>
    <row r="7486">
      <c r="A7486" t="inlineStr">
        <is>
          <t xml:space="preserve">Kotak Mahindra Mutual Fund</t>
        </is>
      </c>
      <c r="B7486" t="inlineStr">
        <is>
          <t xml:space="preserve">Kotak FMP Series 240 - Direct Plan - Growth Option</t>
        </is>
      </c>
      <c r="C7486" t="inlineStr">
        <is>
          <t xml:space="preserve">INF174KA1400</t>
        </is>
      </c>
    </row>
    <row r="7487">
      <c r="A7487" t="inlineStr">
        <is>
          <t xml:space="preserve">Kotak Mahindra Mutual Fund</t>
        </is>
      </c>
      <c r="B7487" t="inlineStr">
        <is>
          <t xml:space="preserve">Kotak FMP Series 240 - Regular Plan - Growth option</t>
        </is>
      </c>
      <c r="C7487" t="inlineStr">
        <is>
          <t xml:space="preserve">INF174KA1384</t>
        </is>
      </c>
    </row>
    <row r="7488">
      <c r="A7488" t="inlineStr">
        <is>
          <t xml:space="preserve">Kotak Mahindra Mutual Fund</t>
        </is>
      </c>
      <c r="B7488" t="inlineStr">
        <is>
          <t xml:space="preserve">Kotak FMP Series 240-Regular Plan - Payout of Income Distribution cum capital withdrawal Option</t>
        </is>
      </c>
      <c r="C7488" t="inlineStr">
        <is>
          <t xml:space="preserve">INF174KA1392</t>
        </is>
      </c>
    </row>
    <row r="7489">
      <c r="A7489" t="inlineStr">
        <is>
          <t xml:space="preserve">Kotak Mahindra Mutual Fund</t>
        </is>
      </c>
      <c r="B7489" t="inlineStr">
        <is>
          <t xml:space="preserve">Kotak FMP Series 242 - Direct Plan  -Growth Option</t>
        </is>
      </c>
      <c r="C7489" t="inlineStr">
        <is>
          <t xml:space="preserve">INF174KA1483</t>
        </is>
      </c>
    </row>
    <row r="7490">
      <c r="A7490" t="inlineStr">
        <is>
          <t xml:space="preserve">Kotak Mahindra Mutual Fund</t>
        </is>
      </c>
      <c r="B7490" t="inlineStr">
        <is>
          <t xml:space="preserve">Kotak FMP Series 242 - Direct Plan - Payout of Income Distribution cum capital withdrawal Option</t>
        </is>
      </c>
      <c r="C7490" t="inlineStr">
        <is>
          <t xml:space="preserve">INF174KA1491</t>
        </is>
      </c>
    </row>
    <row r="7491">
      <c r="A7491" t="inlineStr">
        <is>
          <t xml:space="preserve">Kotak Mahindra Mutual Fund</t>
        </is>
      </c>
      <c r="B7491" t="inlineStr">
        <is>
          <t xml:space="preserve">Kotak FMP Series 242 - Regular Growth</t>
        </is>
      </c>
      <c r="C7491" t="inlineStr">
        <is>
          <t xml:space="preserve">INF174KA1467</t>
        </is>
      </c>
    </row>
    <row r="7492">
      <c r="A7492" t="inlineStr">
        <is>
          <t xml:space="preserve">Kotak Mahindra Mutual Fund</t>
        </is>
      </c>
      <c r="B7492" t="inlineStr">
        <is>
          <t xml:space="preserve">Kotak FMP Series 242 -Regular Plan -Payout of Income Distribution cum capital withdrawal Option</t>
        </is>
      </c>
      <c r="C7492" t="inlineStr">
        <is>
          <t xml:space="preserve">INF174KA1475</t>
        </is>
      </c>
    </row>
    <row r="7493">
      <c r="A7493" t="inlineStr">
        <is>
          <t xml:space="preserve">Kotak Mahindra Mutual Fund</t>
        </is>
      </c>
      <c r="B7493" t="inlineStr">
        <is>
          <t xml:space="preserve">Kotak FMP Series 243 - Regular Plan -Payout of Income Distribution cum capital withdrawal Option</t>
        </is>
      </c>
      <c r="C7493" t="inlineStr">
        <is>
          <t xml:space="preserve">INF174KA1558</t>
        </is>
      </c>
    </row>
    <row r="7494">
      <c r="A7494" t="inlineStr">
        <is>
          <t xml:space="preserve">Kotak Mahindra Mutual Fund</t>
        </is>
      </c>
      <c r="B7494" t="inlineStr">
        <is>
          <t xml:space="preserve">Kotak FMP Series 243-Direct Plan - Payout of Income Distribution cum capital withdrawal Option</t>
        </is>
      </c>
      <c r="C7494" t="inlineStr">
        <is>
          <t xml:space="preserve">INF174KA1574</t>
        </is>
      </c>
    </row>
    <row r="7495">
      <c r="A7495" t="inlineStr">
        <is>
          <t xml:space="preserve">Kotak Mahindra Mutual Fund</t>
        </is>
      </c>
      <c r="B7495" t="inlineStr">
        <is>
          <t xml:space="preserve">Kotak FMP Series 243-Direct Plan -Growth Option</t>
        </is>
      </c>
      <c r="C7495" t="inlineStr">
        <is>
          <t xml:space="preserve">INF174KA1566</t>
        </is>
      </c>
    </row>
    <row r="7496">
      <c r="A7496" t="inlineStr">
        <is>
          <t xml:space="preserve">Kotak Mahindra Mutual Fund</t>
        </is>
      </c>
      <c r="B7496" t="inlineStr">
        <is>
          <t xml:space="preserve">Kotak FMP Series 243-Regular Plan-Growth Option</t>
        </is>
      </c>
      <c r="C7496" t="inlineStr">
        <is>
          <t xml:space="preserve">INF174KA1541</t>
        </is>
      </c>
    </row>
    <row r="7497">
      <c r="A7497" t="inlineStr">
        <is>
          <t xml:space="preserve">Kotak Mahindra Mutual Fund</t>
        </is>
      </c>
      <c r="B7497" t="inlineStr">
        <is>
          <t xml:space="preserve">Kotak FMP Series 245 -Regular Plan-Payout of Income Distribution cum capital withdrawal Option</t>
        </is>
      </c>
      <c r="C7497" t="inlineStr">
        <is>
          <t xml:space="preserve">INF174KA1632</t>
        </is>
      </c>
    </row>
    <row r="7498">
      <c r="A7498" t="inlineStr">
        <is>
          <t xml:space="preserve">Kotak Mahindra Mutual Fund</t>
        </is>
      </c>
      <c r="B7498" t="inlineStr">
        <is>
          <t xml:space="preserve">Kotak FMP Series 245-Direct Plan-Growth Option</t>
        </is>
      </c>
      <c r="C7498" t="inlineStr">
        <is>
          <t xml:space="preserve">INF174KA1640</t>
        </is>
      </c>
    </row>
    <row r="7499">
      <c r="A7499" t="inlineStr">
        <is>
          <t xml:space="preserve">Kotak Mahindra Mutual Fund</t>
        </is>
      </c>
      <c r="B7499" t="inlineStr">
        <is>
          <t xml:space="preserve">Kotak FMP Series 245-Direct Plan-Payout of Income Distribution cum capital withdrawal Option</t>
        </is>
      </c>
      <c r="C7499" t="inlineStr">
        <is>
          <t xml:space="preserve">INF174KA1657</t>
        </is>
      </c>
    </row>
    <row r="7500">
      <c r="A7500" t="inlineStr">
        <is>
          <t xml:space="preserve">Kotak Mahindra Mutual Fund</t>
        </is>
      </c>
      <c r="B7500" t="inlineStr">
        <is>
          <t xml:space="preserve">Kotak FMP Series 245-Regular Plan-Growth Option</t>
        </is>
      </c>
      <c r="C7500" t="inlineStr">
        <is>
          <t xml:space="preserve">INF174KA1624</t>
        </is>
      </c>
    </row>
    <row r="7501">
      <c r="A7501" t="inlineStr">
        <is>
          <t xml:space="preserve">Kotak Mahindra Mutual Fund</t>
        </is>
      </c>
      <c r="B7501" t="inlineStr">
        <is>
          <t xml:space="preserve">Kotak FMP Series 246 - Direct Plan - Growth Option</t>
        </is>
      </c>
      <c r="C7501" t="inlineStr">
        <is>
          <t xml:space="preserve">INF174KA1681</t>
        </is>
      </c>
    </row>
    <row r="7502">
      <c r="A7502" t="inlineStr">
        <is>
          <t xml:space="preserve">Kotak Mahindra Mutual Fund</t>
        </is>
      </c>
      <c r="B7502" t="inlineStr">
        <is>
          <t xml:space="preserve">Kotak FMP Series 246 - Regular Plan - Payout of Income Distribution cum capital withdrawal Option</t>
        </is>
      </c>
      <c r="C7502" t="inlineStr">
        <is>
          <t xml:space="preserve">INF174KA1673</t>
        </is>
      </c>
    </row>
    <row r="7503">
      <c r="A7503" t="inlineStr">
        <is>
          <t xml:space="preserve">Kotak Mahindra Mutual Fund</t>
        </is>
      </c>
      <c r="B7503" t="inlineStr">
        <is>
          <t xml:space="preserve">Kotak FMP Series 246 -Direct plan - Payout of Income Distribution cum capital withdrawal Option</t>
        </is>
      </c>
      <c r="C7503" t="inlineStr">
        <is>
          <t xml:space="preserve">INF174KA1699</t>
        </is>
      </c>
    </row>
    <row r="7504">
      <c r="A7504" t="inlineStr">
        <is>
          <t xml:space="preserve">Kotak Mahindra Mutual Fund</t>
        </is>
      </c>
      <c r="B7504" t="inlineStr">
        <is>
          <t xml:space="preserve">Kotak FMP Series 246 -Regular Plan - Growth oPtion</t>
        </is>
      </c>
      <c r="C7504" t="inlineStr">
        <is>
          <t xml:space="preserve">INF174KA1665</t>
        </is>
      </c>
    </row>
    <row r="7505">
      <c r="A7505" t="inlineStr">
        <is>
          <t xml:space="preserve">Kotak Mahindra Mutual Fund</t>
        </is>
      </c>
      <c r="B7505" t="inlineStr">
        <is>
          <t xml:space="preserve">Kotak FMP Series 247 - Regular Plan -Payout of Income Distribution cum capital withdrawal Option</t>
        </is>
      </c>
      <c r="C7505" t="inlineStr">
        <is>
          <t xml:space="preserve">INF174KA1715</t>
        </is>
      </c>
    </row>
    <row r="7506">
      <c r="A7506" t="inlineStr">
        <is>
          <t xml:space="preserve">Kotak Mahindra Mutual Fund</t>
        </is>
      </c>
      <c r="B7506" t="inlineStr">
        <is>
          <t xml:space="preserve">Kotak FMP Series 247 -Direct Plan -Growth option</t>
        </is>
      </c>
      <c r="C7506" t="inlineStr">
        <is>
          <t xml:space="preserve">INF174KA1723</t>
        </is>
      </c>
    </row>
    <row r="7507">
      <c r="A7507" t="inlineStr">
        <is>
          <t xml:space="preserve">Kotak Mahindra Mutual Fund</t>
        </is>
      </c>
      <c r="B7507" t="inlineStr">
        <is>
          <t xml:space="preserve">Kotak FMP Series 247 -Regular Plan - Growth option</t>
        </is>
      </c>
      <c r="C7507" t="inlineStr">
        <is>
          <t xml:space="preserve">INF174KA1707</t>
        </is>
      </c>
    </row>
    <row r="7508">
      <c r="A7508" t="inlineStr">
        <is>
          <t xml:space="preserve">Kotak Mahindra Mutual Fund</t>
        </is>
      </c>
      <c r="B7508" t="inlineStr">
        <is>
          <t xml:space="preserve">Kotak FMP Series 248 - Direct Plan -Growth Option</t>
        </is>
      </c>
      <c r="C7508" t="inlineStr">
        <is>
          <t xml:space="preserve">INF174KA1764</t>
        </is>
      </c>
    </row>
    <row r="7509">
      <c r="A7509" t="inlineStr">
        <is>
          <t xml:space="preserve">Kotak Mahindra Mutual Fund</t>
        </is>
      </c>
      <c r="B7509" t="inlineStr">
        <is>
          <t xml:space="preserve">Kotak FMP Series 248 - Direct Plan -Payout of Income Distribution cum capital withdrawal Option</t>
        </is>
      </c>
      <c r="C7509" t="inlineStr">
        <is>
          <t xml:space="preserve">INF174KA1772</t>
        </is>
      </c>
    </row>
    <row r="7510">
      <c r="A7510" t="inlineStr">
        <is>
          <t xml:space="preserve">Kotak Mahindra Mutual Fund</t>
        </is>
      </c>
      <c r="B7510" t="inlineStr">
        <is>
          <t xml:space="preserve">Kotak FMP Series 248 -Regular Plan - Growth Option</t>
        </is>
      </c>
      <c r="C7510" t="inlineStr">
        <is>
          <t xml:space="preserve">INF174KA1749</t>
        </is>
      </c>
    </row>
    <row r="7511">
      <c r="A7511" t="inlineStr">
        <is>
          <t xml:space="preserve">Kotak Mahindra Mutual Fund</t>
        </is>
      </c>
      <c r="B7511" t="inlineStr">
        <is>
          <t xml:space="preserve">Kotak FMP Series 248- Regular Plan - Payout of Income Distribution cum capital withdrawal Option</t>
        </is>
      </c>
      <c r="C7511" t="inlineStr">
        <is>
          <t xml:space="preserve">INF174KA1756</t>
        </is>
      </c>
    </row>
    <row r="7512">
      <c r="A7512" t="inlineStr">
        <is>
          <t xml:space="preserve">Kotak Mahindra Mutual Fund</t>
        </is>
      </c>
      <c r="B7512" t="inlineStr">
        <is>
          <t xml:space="preserve">Kotak FMP Series 250-Direct Plan-Growth Option</t>
        </is>
      </c>
      <c r="C7512" t="inlineStr">
        <is>
          <t xml:space="preserve">INF174KA1848</t>
        </is>
      </c>
    </row>
    <row r="7513">
      <c r="A7513" t="inlineStr">
        <is>
          <t xml:space="preserve">Kotak Mahindra Mutual Fund</t>
        </is>
      </c>
      <c r="B7513" t="inlineStr">
        <is>
          <t xml:space="preserve">Kotak FMP Series 250-Regular plan-growth option</t>
        </is>
      </c>
      <c r="C7513" t="inlineStr">
        <is>
          <t xml:space="preserve">INF174KA1822</t>
        </is>
      </c>
    </row>
    <row r="7514">
      <c r="A7514" t="inlineStr">
        <is>
          <t xml:space="preserve">Kotak Mahindra Mutual Fund</t>
        </is>
      </c>
      <c r="B7514" t="inlineStr">
        <is>
          <t xml:space="preserve">Kotak FMP Series 250-regular plan-Payout of Income Distribution cum capital withdrawal Option</t>
        </is>
      </c>
      <c r="C7514" t="inlineStr">
        <is>
          <t xml:space="preserve">INF174KA1830</t>
        </is>
      </c>
    </row>
    <row r="7515">
      <c r="A7515" t="inlineStr">
        <is>
          <t xml:space="preserve">Kotak Mahindra Mutual Fund</t>
        </is>
      </c>
      <c r="B7515" t="inlineStr">
        <is>
          <t xml:space="preserve">Kotak FMP Series 251-1265 days-Direct Paln-Gwoth option</t>
        </is>
      </c>
      <c r="C7515" t="inlineStr">
        <is>
          <t xml:space="preserve">INF174KA1AA2</t>
        </is>
      </c>
    </row>
    <row r="7516">
      <c r="A7516" t="inlineStr">
        <is>
          <t xml:space="preserve">Kotak Mahindra Mutual Fund</t>
        </is>
      </c>
      <c r="B7516" t="inlineStr">
        <is>
          <t xml:space="preserve">Kotak Fmp series 251-1265 days-Direct Plan-Payout of Income Distribution cum capital withdrawal option</t>
        </is>
      </c>
      <c r="C7516" t="inlineStr">
        <is>
          <t xml:space="preserve">INF174KA1AB0</t>
        </is>
      </c>
    </row>
    <row r="7517">
      <c r="A7517" t="inlineStr">
        <is>
          <t xml:space="preserve">Kotak Mahindra Mutual Fund</t>
        </is>
      </c>
      <c r="B7517" t="inlineStr">
        <is>
          <t xml:space="preserve">Kotak FMP Series 251-1265 days-Regular Plan-Growth Option</t>
        </is>
      </c>
      <c r="C7517" t="inlineStr">
        <is>
          <t xml:space="preserve">INF174KA1988</t>
        </is>
      </c>
    </row>
    <row r="7518">
      <c r="A7518" t="inlineStr">
        <is>
          <t xml:space="preserve">Kotak Mahindra Mutual Fund</t>
        </is>
      </c>
      <c r="B7518" t="inlineStr">
        <is>
          <t xml:space="preserve">Kotak FMP Series 252-1261 days Direct plan-Growth option</t>
        </is>
      </c>
      <c r="C7518" t="inlineStr">
        <is>
          <t xml:space="preserve">INF174KA1AE4</t>
        </is>
      </c>
    </row>
    <row r="7519">
      <c r="A7519" t="inlineStr">
        <is>
          <t xml:space="preserve">Kotak Mahindra Mutual Fund</t>
        </is>
      </c>
      <c r="B7519" t="inlineStr">
        <is>
          <t xml:space="preserve">Kotak FMP Series 252-1261 days-Regular Plan-Payout of Income Distribution cum capital withdrawal option</t>
        </is>
      </c>
      <c r="C7519" t="inlineStr">
        <is>
          <t xml:space="preserve">INF174KA1AD6</t>
        </is>
      </c>
    </row>
    <row r="7520">
      <c r="A7520" t="inlineStr">
        <is>
          <t xml:space="preserve">Kotak Mahindra Mutual Fund</t>
        </is>
      </c>
      <c r="B7520" t="inlineStr">
        <is>
          <t xml:space="preserve">Kotak FMP Series 252-1261days-Regular Plan-Growth Option</t>
        </is>
      </c>
      <c r="C7520" t="inlineStr">
        <is>
          <t xml:space="preserve">INF174KA1AC8</t>
        </is>
      </c>
    </row>
    <row r="7521">
      <c r="A7521" t="inlineStr">
        <is>
          <t xml:space="preserve">Kotak Mahindra Mutual Fund</t>
        </is>
      </c>
      <c r="B7521" t="inlineStr">
        <is>
          <t xml:space="preserve">Kotak FMP Series 253-1260 days -Regular paln-Payout of Income Distribution cum capital withdrawal option</t>
        </is>
      </c>
      <c r="C7521" t="inlineStr">
        <is>
          <t xml:space="preserve">INF174KA1AH7</t>
        </is>
      </c>
    </row>
    <row r="7522">
      <c r="A7522" t="inlineStr">
        <is>
          <t xml:space="preserve">Kotak Mahindra Mutual Fund</t>
        </is>
      </c>
      <c r="B7522" t="inlineStr">
        <is>
          <t xml:space="preserve">Kotak FMP Series 253-1260 days-direct paln-Payout of Income Distribution cum capital withdrawal option</t>
        </is>
      </c>
      <c r="C7522" t="inlineStr">
        <is>
          <t xml:space="preserve">INF174KA1AJ3</t>
        </is>
      </c>
    </row>
    <row r="7523">
      <c r="A7523" t="inlineStr">
        <is>
          <t xml:space="preserve">Kotak Mahindra Mutual Fund</t>
        </is>
      </c>
      <c r="B7523" t="inlineStr">
        <is>
          <t xml:space="preserve">Kotak FMP Series 253-1260 days-direct plan-growth option</t>
        </is>
      </c>
      <c r="C7523" t="inlineStr">
        <is>
          <t xml:space="preserve">INF174KA1AI5</t>
        </is>
      </c>
    </row>
    <row r="7524">
      <c r="A7524" t="inlineStr">
        <is>
          <t xml:space="preserve">Kotak Mahindra Mutual Fund</t>
        </is>
      </c>
      <c r="B7524" t="inlineStr">
        <is>
          <t xml:space="preserve">Kotak FMP Series 253-1260 days-Regular plan-Growth option</t>
        </is>
      </c>
      <c r="C7524" t="inlineStr">
        <is>
          <t xml:space="preserve">INF174KA1AG9</t>
        </is>
      </c>
    </row>
    <row r="7525">
      <c r="A7525" t="inlineStr">
        <is>
          <t xml:space="preserve">Kotak Mahindra Mutual Fund</t>
        </is>
      </c>
      <c r="B7525" t="inlineStr">
        <is>
          <t xml:space="preserve">Kotak FMP Series 254-Direct Plan-Growth Option</t>
        </is>
      </c>
      <c r="C7525" t="inlineStr">
        <is>
          <t xml:space="preserve">INF174KA1AM7</t>
        </is>
      </c>
    </row>
    <row r="7526">
      <c r="A7526" t="inlineStr">
        <is>
          <t xml:space="preserve">Kotak Mahindra Mutual Fund</t>
        </is>
      </c>
      <c r="B7526" t="inlineStr">
        <is>
          <t xml:space="preserve">Kotak FMP Series 254-Regular Plan-Growth Option</t>
        </is>
      </c>
      <c r="C7526" t="inlineStr">
        <is>
          <t xml:space="preserve">INF174KA1AK1</t>
        </is>
      </c>
    </row>
    <row r="7527">
      <c r="A7527" t="inlineStr">
        <is>
          <t xml:space="preserve">Kotak Mahindra Mutual Fund</t>
        </is>
      </c>
      <c r="B7527" t="inlineStr">
        <is>
          <t xml:space="preserve">Kotak FMP Series 255-Direct Plan-Growth n</t>
        </is>
      </c>
      <c r="C7527" t="inlineStr">
        <is>
          <t xml:space="preserve">INF174KA1AQ8</t>
        </is>
      </c>
    </row>
    <row r="7528">
      <c r="A7528" t="inlineStr">
        <is>
          <t xml:space="preserve">Kotak Mahindra Mutual Fund</t>
        </is>
      </c>
      <c r="B7528" t="inlineStr">
        <is>
          <t xml:space="preserve">Kotak FMP Series 255-Regular Plan-Growth Option</t>
        </is>
      </c>
      <c r="C7528" t="inlineStr">
        <is>
          <t xml:space="preserve">INF174KA1AO3</t>
        </is>
      </c>
    </row>
    <row r="7529">
      <c r="A7529" t="inlineStr">
        <is>
          <t xml:space="preserve">Kotak Mahindra Mutual Fund</t>
        </is>
      </c>
      <c r="B7529" t="inlineStr">
        <is>
          <t xml:space="preserve">Kotak FMP Series 255-Regular Plan-Payout of Income Distribution cum capital withdrawal option</t>
        </is>
      </c>
      <c r="C7529" t="inlineStr">
        <is>
          <t xml:space="preserve">INF174KA1AP0</t>
        </is>
      </c>
    </row>
    <row r="7530">
      <c r="A7530" t="inlineStr">
        <is>
          <t xml:space="preserve">Kotak Mahindra Mutual Fund</t>
        </is>
      </c>
      <c r="B7530" t="inlineStr">
        <is>
          <t xml:space="preserve">Kotak FMP Series 256-Direct Plan-Growth Option</t>
        </is>
      </c>
      <c r="C7530" t="inlineStr">
        <is>
          <t xml:space="preserve">INF174KA1AU0</t>
        </is>
      </c>
    </row>
    <row r="7531">
      <c r="A7531" t="inlineStr">
        <is>
          <t xml:space="preserve">Kotak Mahindra Mutual Fund</t>
        </is>
      </c>
      <c r="B7531" t="inlineStr">
        <is>
          <t xml:space="preserve">Kotak FMP Series 256-Direct Plan-Payout of Income Distribution cum capital withdrawal option</t>
        </is>
      </c>
      <c r="C7531" t="inlineStr">
        <is>
          <t xml:space="preserve">INF174KA1AV8</t>
        </is>
      </c>
    </row>
    <row r="7532">
      <c r="A7532" t="inlineStr">
        <is>
          <t xml:space="preserve">Kotak Mahindra Mutual Fund</t>
        </is>
      </c>
      <c r="B7532" t="inlineStr">
        <is>
          <t xml:space="preserve">Kotak FMP Series 256-Regular Plan-Growth Option</t>
        </is>
      </c>
      <c r="C7532" t="inlineStr">
        <is>
          <t xml:space="preserve">INF174KA1AS4</t>
        </is>
      </c>
    </row>
    <row r="7533">
      <c r="A7533" t="inlineStr">
        <is>
          <t xml:space="preserve">Kotak Mahindra Mutual Fund</t>
        </is>
      </c>
      <c r="B7533" t="inlineStr">
        <is>
          <t xml:space="preserve">Kotak FMP Series 256-Regular Plan-Payout of Income Distribution cum capital withdrawal option</t>
        </is>
      </c>
      <c r="C7533" t="inlineStr">
        <is>
          <t xml:space="preserve">INF174KA1AT2</t>
        </is>
      </c>
    </row>
    <row r="7534">
      <c r="A7534" t="inlineStr">
        <is>
          <t xml:space="preserve">Kotak Mahindra Mutual Fund</t>
        </is>
      </c>
      <c r="B7534" t="inlineStr">
        <is>
          <t xml:space="preserve">Kotak FMP Series 257-Direct plan-Growth Option</t>
        </is>
      </c>
      <c r="C7534" t="inlineStr">
        <is>
          <t xml:space="preserve">INF174KA1AY2</t>
        </is>
      </c>
    </row>
    <row r="7535">
      <c r="A7535" t="inlineStr">
        <is>
          <t xml:space="preserve">Kotak Mahindra Mutual Fund</t>
        </is>
      </c>
      <c r="B7535" t="inlineStr">
        <is>
          <t xml:space="preserve">Kotak FMP Series 257-Direct Plan-Payout of Income Distribution cum capital withdrawal option</t>
        </is>
      </c>
      <c r="C7535" t="inlineStr">
        <is>
          <t xml:space="preserve">INF174KA1AZ9</t>
        </is>
      </c>
    </row>
    <row r="7536">
      <c r="A7536" t="inlineStr">
        <is>
          <t xml:space="preserve">Kotak Mahindra Mutual Fund</t>
        </is>
      </c>
      <c r="B7536" t="inlineStr">
        <is>
          <t xml:space="preserve">Kotak FMP Series 257-Regular Plan-Growth Option</t>
        </is>
      </c>
      <c r="C7536" t="inlineStr">
        <is>
          <t xml:space="preserve">INF174KA1AW6</t>
        </is>
      </c>
    </row>
    <row r="7537">
      <c r="A7537" t="inlineStr">
        <is>
          <t xml:space="preserve">Kotak Mahindra Mutual Fund</t>
        </is>
      </c>
      <c r="B7537" t="inlineStr">
        <is>
          <t xml:space="preserve">Kotak FMP Series 257-Regular Plan-Payout of Income Distribution cum capital withdrawal option</t>
        </is>
      </c>
      <c r="C7537" t="inlineStr">
        <is>
          <t xml:space="preserve">INF174KA1AX4</t>
        </is>
      </c>
    </row>
    <row r="7538">
      <c r="A7538" t="inlineStr">
        <is>
          <t xml:space="preserve">Kotak Mahindra Mutual Fund</t>
        </is>
      </c>
      <c r="B7538" t="inlineStr">
        <is>
          <t xml:space="preserve">kotak FMP Series 259 -Direct Plan-Growth Option</t>
        </is>
      </c>
      <c r="C7538" t="inlineStr">
        <is>
          <t xml:space="preserve">INF174KA1BO1</t>
        </is>
      </c>
    </row>
    <row r="7539">
      <c r="A7539" t="inlineStr">
        <is>
          <t xml:space="preserve">Kotak Mahindra Mutual Fund</t>
        </is>
      </c>
      <c r="B7539" t="inlineStr">
        <is>
          <t xml:space="preserve">kotak FMP Series 259-Regular Plan-Growth Option</t>
        </is>
      </c>
      <c r="C7539" t="inlineStr">
        <is>
          <t xml:space="preserve">INF174KA1BM5</t>
        </is>
      </c>
    </row>
    <row r="7540">
      <c r="A7540" t="inlineStr">
        <is>
          <t xml:space="preserve">Kotak Mahindra Mutual Fund</t>
        </is>
      </c>
      <c r="B7540" t="inlineStr">
        <is>
          <t xml:space="preserve">kotak FMP Series 259-Regular Plan-Payout of Income Distribution cum capital withdrawal option</t>
        </is>
      </c>
      <c r="C7540" t="inlineStr">
        <is>
          <t xml:space="preserve">INF174KA1BN3</t>
        </is>
      </c>
    </row>
    <row r="7541">
      <c r="A7541" t="inlineStr">
        <is>
          <t xml:space="preserve">Kotak Mahindra Mutual Fund</t>
        </is>
      </c>
      <c r="B7541" t="inlineStr">
        <is>
          <t xml:space="preserve">kotak FMP Series 261-Direct Plan-Growth Option</t>
        </is>
      </c>
      <c r="C7541" t="inlineStr">
        <is>
          <t xml:space="preserve">INF174KA1BW4</t>
        </is>
      </c>
    </row>
    <row r="7542">
      <c r="A7542" t="inlineStr">
        <is>
          <t xml:space="preserve">Kotak Mahindra Mutual Fund</t>
        </is>
      </c>
      <c r="B7542" t="inlineStr">
        <is>
          <t xml:space="preserve">kotak FMP Series 261-direct plan-Payout of Income Distribution cum capital withdrawal option</t>
        </is>
      </c>
      <c r="C7542" t="inlineStr">
        <is>
          <t xml:space="preserve">INF174KA1BX2</t>
        </is>
      </c>
    </row>
    <row r="7543">
      <c r="A7543" t="inlineStr">
        <is>
          <t xml:space="preserve">Kotak Mahindra Mutual Fund</t>
        </is>
      </c>
      <c r="B7543" t="inlineStr">
        <is>
          <t xml:space="preserve">kotak FMP Series 261-Regular Plan-Growth Option</t>
        </is>
      </c>
      <c r="C7543" t="inlineStr">
        <is>
          <t xml:space="preserve">INF174KA1BU8</t>
        </is>
      </c>
    </row>
    <row r="7544">
      <c r="A7544" t="inlineStr">
        <is>
          <t xml:space="preserve">Kotak Mahindra Mutual Fund</t>
        </is>
      </c>
      <c r="B7544" t="inlineStr">
        <is>
          <t xml:space="preserve">kotak FMP Series 261-Regular Plan-Payout of Income Distribution cum capital withdrawal option</t>
        </is>
      </c>
      <c r="C7544" t="inlineStr">
        <is>
          <t xml:space="preserve">INF174KA1BV6</t>
        </is>
      </c>
    </row>
    <row r="7545">
      <c r="A7545" t="inlineStr">
        <is>
          <t xml:space="preserve">Kotak Mahindra Mutual Fund</t>
        </is>
      </c>
      <c r="B7545" t="inlineStr">
        <is>
          <t xml:space="preserve">Kotak FMP Series 263-1203 days- Direct Plan- Growth</t>
        </is>
      </c>
      <c r="C7545" t="inlineStr">
        <is>
          <t xml:space="preserve">INF174KA1CO9</t>
        </is>
      </c>
    </row>
    <row r="7546">
      <c r="A7546" t="inlineStr">
        <is>
          <t xml:space="preserve">Kotak Mahindra Mutual Fund</t>
        </is>
      </c>
      <c r="B7546" t="inlineStr">
        <is>
          <t xml:space="preserve">Kotak FMP Series 263-1203 days- Regular plan- Growth</t>
        </is>
      </c>
      <c r="C7546" t="inlineStr">
        <is>
          <t xml:space="preserve">INF174KA1CM3</t>
        </is>
      </c>
    </row>
    <row r="7547">
      <c r="A7547" t="inlineStr">
        <is>
          <t xml:space="preserve">Kotak Mahindra Mutual Fund</t>
        </is>
      </c>
      <c r="B7547" t="inlineStr">
        <is>
          <t xml:space="preserve">Kotak FMP Series 263-1203 days- Regular plan- Payout of Income Distribution cum capital withdrawal option</t>
        </is>
      </c>
      <c r="C7547" t="inlineStr">
        <is>
          <t xml:space="preserve">INF174KA1CN1</t>
        </is>
      </c>
    </row>
    <row r="7548">
      <c r="A7548" t="inlineStr">
        <is>
          <t xml:space="preserve">Kotak Mahindra Mutual Fund</t>
        </is>
      </c>
      <c r="B7548" t="inlineStr">
        <is>
          <t xml:space="preserve">Kotak FMP Series 265-Direct Plan-Growth Option</t>
        </is>
      </c>
      <c r="C7548" t="inlineStr">
        <is>
          <t xml:space="preserve">INF174KA1CW2</t>
        </is>
      </c>
    </row>
    <row r="7549">
      <c r="A7549" t="inlineStr">
        <is>
          <t xml:space="preserve">Kotak Mahindra Mutual Fund</t>
        </is>
      </c>
      <c r="B7549" t="inlineStr">
        <is>
          <t xml:space="preserve">Kotak FMP Series 265-Regular Plan-Growth Option</t>
        </is>
      </c>
      <c r="C7549" t="inlineStr">
        <is>
          <t xml:space="preserve">INF174KA1CU6</t>
        </is>
      </c>
    </row>
    <row r="7550">
      <c r="A7550" t="inlineStr">
        <is>
          <t xml:space="preserve">Kotak Mahindra Mutual Fund</t>
        </is>
      </c>
      <c r="B7550" t="inlineStr">
        <is>
          <t xml:space="preserve">Kotak FMP Series 267-Direct PLan-Growth Option</t>
        </is>
      </c>
      <c r="C7550" t="inlineStr">
        <is>
          <t xml:space="preserve">INF174KA1DK5</t>
        </is>
      </c>
    </row>
    <row r="7551">
      <c r="A7551" t="inlineStr">
        <is>
          <t xml:space="preserve">Kotak Mahindra Mutual Fund</t>
        </is>
      </c>
      <c r="B7551" t="inlineStr">
        <is>
          <t xml:space="preserve">Kotak FMP Series 267-Regular Plan-Growth Option</t>
        </is>
      </c>
      <c r="C7551" t="inlineStr">
        <is>
          <t xml:space="preserve">INF174KA1DI9</t>
        </is>
      </c>
    </row>
    <row r="7552">
      <c r="A7552" t="inlineStr">
        <is>
          <t xml:space="preserve">Kotak Mahindra Mutual Fund</t>
        </is>
      </c>
      <c r="B7552" t="inlineStr">
        <is>
          <t xml:space="preserve">Kotak FMP series 267-Regular Plan-Payout of Income Distribution cum capital withdrawal option</t>
        </is>
      </c>
      <c r="C7552" t="inlineStr">
        <is>
          <t xml:space="preserve">INF174KA1DJ7</t>
        </is>
      </c>
    </row>
    <row r="7553">
      <c r="A7553" t="inlineStr">
        <is>
          <t xml:space="preserve">Kotak Mahindra Mutual Fund</t>
        </is>
      </c>
      <c r="B7553" t="inlineStr">
        <is>
          <t xml:space="preserve">Kotak FMP Series 292 - Direct Plan - Growth</t>
        </is>
      </c>
      <c r="C7553" t="inlineStr">
        <is>
          <t xml:space="preserve">INF174KA1HM2</t>
        </is>
      </c>
    </row>
    <row r="7554">
      <c r="A7554" t="inlineStr">
        <is>
          <t xml:space="preserve">Kotak Mahindra Mutual Fund</t>
        </is>
      </c>
      <c r="B7554" t="inlineStr">
        <is>
          <t xml:space="preserve">Kotak FMP Series 292 - Direct Plan - IDCW Payout</t>
        </is>
      </c>
      <c r="C7554" t="inlineStr">
        <is>
          <t xml:space="preserve">INF174KA1HN0</t>
        </is>
      </c>
    </row>
    <row r="7555">
      <c r="A7555" t="inlineStr">
        <is>
          <t xml:space="preserve">Kotak Mahindra Mutual Fund</t>
        </is>
      </c>
      <c r="B7555" t="inlineStr">
        <is>
          <t xml:space="preserve">Kotak FMP Series 292 - Regular Plan - Growth</t>
        </is>
      </c>
      <c r="C7555" t="inlineStr">
        <is>
          <t xml:space="preserve">INF174KA1HK6</t>
        </is>
      </c>
    </row>
    <row r="7556">
      <c r="A7556" t="inlineStr">
        <is>
          <t xml:space="preserve">Kotak Mahindra Mutual Fund</t>
        </is>
      </c>
      <c r="B7556" t="inlineStr">
        <is>
          <t xml:space="preserve">Kotak FMP Series 292 - Regular Plan - IDCW Payout</t>
        </is>
      </c>
      <c r="C7556" t="inlineStr">
        <is>
          <t xml:space="preserve">INF174KA1HL4</t>
        </is>
      </c>
    </row>
    <row r="7557">
      <c r="A7557" t="inlineStr">
        <is>
          <t xml:space="preserve">Kotak Mahindra Mutual Fund</t>
        </is>
      </c>
      <c r="B7557" t="inlineStr">
        <is>
          <t xml:space="preserve">Kotak FMP Series 294-105 days - Regular Plan - IDCW Payout</t>
        </is>
      </c>
      <c r="C7557" t="inlineStr">
        <is>
          <t xml:space="preserve">INF174KA1IV1</t>
        </is>
      </c>
    </row>
    <row r="7558">
      <c r="A7558" t="inlineStr">
        <is>
          <t xml:space="preserve">Kotak Mahindra Mutual Fund</t>
        </is>
      </c>
      <c r="B7558" t="inlineStr">
        <is>
          <t xml:space="preserve">Kotak FMP Series 294-105 days-Regular Plan-Growth</t>
        </is>
      </c>
      <c r="C7558" t="inlineStr">
        <is>
          <t xml:space="preserve">INF174KA1IU3</t>
        </is>
      </c>
    </row>
    <row r="7559">
      <c r="A7559" t="inlineStr">
        <is>
          <t xml:space="preserve">Kotak Mahindra Mutual Fund</t>
        </is>
      </c>
      <c r="B7559" t="inlineStr">
        <is>
          <t xml:space="preserve">Kotak FMP Series 294-Direct Plan-IDCW Payout</t>
        </is>
      </c>
      <c r="C7559" t="inlineStr">
        <is>
          <t xml:space="preserve">INF174KA1IX7</t>
        </is>
      </c>
    </row>
    <row r="7560">
      <c r="A7560" t="inlineStr">
        <is>
          <t xml:space="preserve">Kotak Mahindra Mutual Fund</t>
        </is>
      </c>
      <c r="B7560" t="inlineStr">
        <is>
          <t xml:space="preserve">Kotak FMP Series 296-Direct Plan-Growth</t>
        </is>
      </c>
      <c r="C7560" t="inlineStr">
        <is>
          <t xml:space="preserve">INF174KA1JI6</t>
        </is>
      </c>
    </row>
    <row r="7561">
      <c r="A7561" t="inlineStr">
        <is>
          <t xml:space="preserve">Kotak Mahindra Mutual Fund</t>
        </is>
      </c>
      <c r="B7561" t="inlineStr">
        <is>
          <t xml:space="preserve">Kotak FMP Series 296-Direct Plan-IDCW Payout</t>
        </is>
      </c>
      <c r="C7561" t="inlineStr">
        <is>
          <t xml:space="preserve">INF174KA1JJ4</t>
        </is>
      </c>
    </row>
    <row r="7562">
      <c r="A7562" t="inlineStr">
        <is>
          <t xml:space="preserve">Kotak Mahindra Mutual Fund</t>
        </is>
      </c>
      <c r="B7562" t="inlineStr">
        <is>
          <t xml:space="preserve">Kotak FMP Series 296-Regular Plan-Growth</t>
        </is>
      </c>
      <c r="C7562" t="inlineStr">
        <is>
          <t xml:space="preserve">INF174KA1JG0</t>
        </is>
      </c>
    </row>
    <row r="7563">
      <c r="A7563" t="inlineStr">
        <is>
          <t xml:space="preserve">Kotak Mahindra Mutual Fund</t>
        </is>
      </c>
      <c r="B7563" t="inlineStr">
        <is>
          <t xml:space="preserve">Kotak FMP Series 296-Regular Plan-IDCW Payout</t>
        </is>
      </c>
      <c r="C7563" t="inlineStr">
        <is>
          <t xml:space="preserve">INF174KA1JH8</t>
        </is>
      </c>
    </row>
    <row r="7564">
      <c r="A7564" t="inlineStr">
        <is>
          <t xml:space="preserve">Kotak Mahindra Mutual Fund</t>
        </is>
      </c>
      <c r="B7564" t="inlineStr">
        <is>
          <t xml:space="preserve">Kotak FMP Series 297-Direct Plan- Payout of IDCW</t>
        </is>
      </c>
      <c r="C7564" t="inlineStr">
        <is>
          <t xml:space="preserve">INF174KA1KF0</t>
        </is>
      </c>
    </row>
    <row r="7565">
      <c r="A7565" t="inlineStr">
        <is>
          <t xml:space="preserve">Kotak Mahindra Mutual Fund</t>
        </is>
      </c>
      <c r="B7565" t="inlineStr">
        <is>
          <t xml:space="preserve">Kotak FMP Series 297-Direct Plan-Growth</t>
        </is>
      </c>
      <c r="C7565" t="inlineStr">
        <is>
          <t xml:space="preserve">INF174KA1KE3</t>
        </is>
      </c>
    </row>
    <row r="7566">
      <c r="A7566" t="inlineStr">
        <is>
          <t xml:space="preserve">Kotak Mahindra Mutual Fund</t>
        </is>
      </c>
      <c r="B7566" t="inlineStr">
        <is>
          <t xml:space="preserve">Kotak FMP Series 297-Regular Plan- Payout of IDCW</t>
        </is>
      </c>
      <c r="C7566" t="inlineStr">
        <is>
          <t xml:space="preserve">INF174KA1KD5</t>
        </is>
      </c>
    </row>
    <row r="7567">
      <c r="A7567" t="inlineStr">
        <is>
          <t xml:space="preserve">Kotak Mahindra Mutual Fund</t>
        </is>
      </c>
      <c r="B7567" t="inlineStr">
        <is>
          <t xml:space="preserve">Kotak FMP Series 297-Regular Plan-Growth</t>
        </is>
      </c>
      <c r="C7567" t="inlineStr">
        <is>
          <t xml:space="preserve">INF174KA1KC7</t>
        </is>
      </c>
    </row>
    <row r="7568">
      <c r="A7568" t="inlineStr">
        <is>
          <t xml:space="preserve">Kotak Mahindra Mutual Fund</t>
        </is>
      </c>
      <c r="B7568" t="inlineStr">
        <is>
          <t xml:space="preserve">Kotak FMP Series 299 - Direct Plan - Growth</t>
        </is>
      </c>
      <c r="C7568" t="inlineStr">
        <is>
          <t xml:space="preserve">INF174KA1KS3</t>
        </is>
      </c>
    </row>
    <row r="7569">
      <c r="A7569" t="inlineStr">
        <is>
          <t xml:space="preserve">Kotak Mahindra Mutual Fund</t>
        </is>
      </c>
      <c r="B7569" t="inlineStr">
        <is>
          <t xml:space="preserve">Kotak FMP Series 299 - Regular Plan - Growth</t>
        </is>
      </c>
      <c r="C7569" t="inlineStr">
        <is>
          <t xml:space="preserve">INF174KA1KQ7</t>
        </is>
      </c>
    </row>
    <row r="7570">
      <c r="A7570" t="inlineStr">
        <is>
          <t xml:space="preserve">Kotak Mahindra Mutual Fund</t>
        </is>
      </c>
      <c r="B7570" t="inlineStr">
        <is>
          <t xml:space="preserve">Kotak FMP Series 299 - Regular Plan - IDCW Payout</t>
        </is>
      </c>
      <c r="C7570" t="inlineStr">
        <is>
          <t xml:space="preserve">INF174KA1KR5</t>
        </is>
      </c>
    </row>
    <row r="7571">
      <c r="A7571" t="inlineStr">
        <is>
          <t xml:space="preserve">Kotak Mahindra Mutual Fund</t>
        </is>
      </c>
      <c r="B7571" t="inlineStr">
        <is>
          <t xml:space="preserve">Kotak FMP Series 300 - Direct Plan - Growth</t>
        </is>
      </c>
      <c r="C7571" t="inlineStr">
        <is>
          <t xml:space="preserve">INF174KA1KX3</t>
        </is>
      </c>
    </row>
    <row r="7572">
      <c r="A7572" t="inlineStr">
        <is>
          <t xml:space="preserve">Kotak Mahindra Mutual Fund</t>
        </is>
      </c>
      <c r="B7572" t="inlineStr">
        <is>
          <t xml:space="preserve">Kotak FMP Series 300 - Direct Plan - IDCW Payout</t>
        </is>
      </c>
      <c r="C7572" t="inlineStr">
        <is>
          <t xml:space="preserve">INF174KA1KY1</t>
        </is>
      </c>
    </row>
    <row r="7573">
      <c r="A7573" t="inlineStr">
        <is>
          <t xml:space="preserve">Kotak Mahindra Mutual Fund</t>
        </is>
      </c>
      <c r="B7573" t="inlineStr">
        <is>
          <t xml:space="preserve">Kotak FMP Series 300 - Regular Plan - Growth</t>
        </is>
      </c>
      <c r="C7573" t="inlineStr">
        <is>
          <t xml:space="preserve">INF174KA1KV7</t>
        </is>
      </c>
    </row>
    <row r="7574">
      <c r="A7574" t="inlineStr">
        <is>
          <t xml:space="preserve">Kotak Mahindra Mutual Fund</t>
        </is>
      </c>
      <c r="B7574" t="inlineStr">
        <is>
          <t xml:space="preserve">Kotak FMP Series 300 - Regular Plan - IDCW Payout</t>
        </is>
      </c>
      <c r="C7574" t="inlineStr">
        <is>
          <t xml:space="preserve">INF174KA1KW5</t>
        </is>
      </c>
    </row>
    <row r="7575">
      <c r="A7575" t="inlineStr">
        <is>
          <t xml:space="preserve">Kotak Mahindra Mutual Fund</t>
        </is>
      </c>
      <c r="B7575" t="inlineStr">
        <is>
          <t xml:space="preserve">Kotak FMP Series 302 - Direct Plan - Growth</t>
        </is>
      </c>
      <c r="C7575" t="inlineStr">
        <is>
          <t xml:space="preserve">INF174KA1LH4</t>
        </is>
      </c>
    </row>
    <row r="7576">
      <c r="A7576" t="inlineStr">
        <is>
          <t xml:space="preserve">Kotak Mahindra Mutual Fund</t>
        </is>
      </c>
      <c r="B7576" t="inlineStr">
        <is>
          <t xml:space="preserve">Kotak FMP Series 302 - Direct Plan - IDCW</t>
        </is>
      </c>
      <c r="C7576" t="inlineStr">
        <is>
          <t xml:space="preserve">INF174KA1LI2</t>
        </is>
      </c>
    </row>
    <row r="7577">
      <c r="A7577" t="inlineStr">
        <is>
          <t xml:space="preserve">Kotak Mahindra Mutual Fund</t>
        </is>
      </c>
      <c r="B7577" t="inlineStr">
        <is>
          <t xml:space="preserve">Kotak FMP Series 302 - Regular Plan - Growth</t>
        </is>
      </c>
      <c r="C7577" t="inlineStr">
        <is>
          <t xml:space="preserve">INF174KA1LF8</t>
        </is>
      </c>
    </row>
    <row r="7578">
      <c r="A7578" t="inlineStr">
        <is>
          <t xml:space="preserve">Kotak Mahindra Mutual Fund</t>
        </is>
      </c>
      <c r="B7578" t="inlineStr">
        <is>
          <t xml:space="preserve">Kotak FMP Series 302 - Regular Plan - IDCW</t>
        </is>
      </c>
      <c r="C7578" t="inlineStr">
        <is>
          <t xml:space="preserve">INF174KA1LG6</t>
        </is>
      </c>
    </row>
    <row r="7579">
      <c r="A7579" t="inlineStr">
        <is>
          <t xml:space="preserve">Kotak Mahindra Mutual Fund</t>
        </is>
      </c>
      <c r="B7579" t="inlineStr">
        <is>
          <t xml:space="preserve">Kotak FMP Series 303 - Direct Plan - Growth</t>
        </is>
      </c>
      <c r="C7579" t="inlineStr">
        <is>
          <t xml:space="preserve">INF174KA1LL6</t>
        </is>
      </c>
    </row>
    <row r="7580">
      <c r="A7580" t="inlineStr">
        <is>
          <t xml:space="preserve">Kotak Mahindra Mutual Fund</t>
        </is>
      </c>
      <c r="B7580" t="inlineStr">
        <is>
          <t xml:space="preserve">Kotak FMP Series 303 - Direct Plan - IDCW</t>
        </is>
      </c>
      <c r="C7580" t="inlineStr">
        <is>
          <t xml:space="preserve">INF174KA1LM4</t>
        </is>
      </c>
    </row>
    <row r="7581">
      <c r="A7581" t="inlineStr">
        <is>
          <t xml:space="preserve">Kotak Mahindra Mutual Fund</t>
        </is>
      </c>
      <c r="B7581" t="inlineStr">
        <is>
          <t xml:space="preserve">Kotak FMP Series 303 - Regular Plan - Growth</t>
        </is>
      </c>
      <c r="C7581" t="inlineStr">
        <is>
          <t xml:space="preserve">INF174KA1LJ0</t>
        </is>
      </c>
    </row>
    <row r="7582">
      <c r="A7582" t="inlineStr">
        <is>
          <t xml:space="preserve">Kotak Mahindra Mutual Fund</t>
        </is>
      </c>
      <c r="B7582" t="inlineStr">
        <is>
          <t xml:space="preserve">Kotak FMP Series 303 - Regular Plan - IDCW</t>
        </is>
      </c>
      <c r="C7582" t="inlineStr">
        <is>
          <t xml:space="preserve">INF174KA1LK8</t>
        </is>
      </c>
    </row>
    <row r="7583">
      <c r="A7583" t="inlineStr">
        <is>
          <t xml:space="preserve">Kotak Mahindra Mutual Fund</t>
        </is>
      </c>
      <c r="B7583" t="inlineStr">
        <is>
          <t xml:space="preserve">Kotak FMP Series 304-Direct Plan-Growth Option</t>
        </is>
      </c>
      <c r="C7583" t="inlineStr">
        <is>
          <t xml:space="preserve">INF174KA1LP7</t>
        </is>
      </c>
    </row>
    <row r="7584">
      <c r="A7584" t="inlineStr">
        <is>
          <t xml:space="preserve">Kotak Mahindra Mutual Fund</t>
        </is>
      </c>
      <c r="B7584" t="inlineStr">
        <is>
          <t xml:space="preserve">Kotak FMP Series 304-Direct Plan-Payout of IDCW</t>
        </is>
      </c>
      <c r="C7584" t="inlineStr">
        <is>
          <t xml:space="preserve">INF174KA1LQ5</t>
        </is>
      </c>
    </row>
    <row r="7585">
      <c r="A7585" t="inlineStr">
        <is>
          <t xml:space="preserve">Kotak Mahindra Mutual Fund</t>
        </is>
      </c>
      <c r="B7585" t="inlineStr">
        <is>
          <t xml:space="preserve">Kotak FMP Series 304-Regular Plan-Growth Option</t>
        </is>
      </c>
      <c r="C7585" t="inlineStr">
        <is>
          <t xml:space="preserve">INF174KA1LN2</t>
        </is>
      </c>
    </row>
    <row r="7586">
      <c r="A7586" t="inlineStr">
        <is>
          <t xml:space="preserve">Kotak Mahindra Mutual Fund</t>
        </is>
      </c>
      <c r="B7586" t="inlineStr">
        <is>
          <t xml:space="preserve">Kotak FMP Series 304-Regular Plan-Payout of IDCW</t>
        </is>
      </c>
      <c r="C7586" t="inlineStr">
        <is>
          <t xml:space="preserve">INF174KA1LO0</t>
        </is>
      </c>
    </row>
    <row r="7587">
      <c r="A7587" t="inlineStr">
        <is>
          <t xml:space="preserve">Kotak Mahindra Mutual Fund</t>
        </is>
      </c>
      <c r="B7587" t="inlineStr">
        <is>
          <t xml:space="preserve">Kotak FMP Series 305 - Direct Plan - Growth</t>
        </is>
      </c>
      <c r="C7587" t="inlineStr">
        <is>
          <t xml:space="preserve">INF174KA1LT9</t>
        </is>
      </c>
    </row>
    <row r="7588">
      <c r="A7588" t="inlineStr">
        <is>
          <t xml:space="preserve">Kotak Mahindra Mutual Fund</t>
        </is>
      </c>
      <c r="B7588" t="inlineStr">
        <is>
          <t xml:space="preserve">Kotak FMP Series 305 - Direct Plan - IDCW</t>
        </is>
      </c>
      <c r="C7588" t="inlineStr">
        <is>
          <t xml:space="preserve">INF174KA1LU7</t>
        </is>
      </c>
    </row>
    <row r="7589">
      <c r="A7589" t="inlineStr">
        <is>
          <t xml:space="preserve">Kotak Mahindra Mutual Fund</t>
        </is>
      </c>
      <c r="B7589" t="inlineStr">
        <is>
          <t xml:space="preserve">Kotak FMP Series 305 - Regular Plan - Growth</t>
        </is>
      </c>
      <c r="C7589" t="inlineStr">
        <is>
          <t xml:space="preserve">INF174KA1LR3</t>
        </is>
      </c>
    </row>
    <row r="7590">
      <c r="A7590" t="inlineStr">
        <is>
          <t xml:space="preserve">Kotak Mahindra Mutual Fund</t>
        </is>
      </c>
      <c r="B7590" t="inlineStr">
        <is>
          <t xml:space="preserve">Kotak FMP Series 305 - Regular Plan - IDCW</t>
        </is>
      </c>
      <c r="C7590" t="inlineStr">
        <is>
          <t xml:space="preserve">INF174KA1LS1</t>
        </is>
      </c>
    </row>
    <row r="7591">
      <c r="A7591" t="inlineStr">
        <is>
          <t xml:space="preserve">Kotak Mahindra Mutual Fund</t>
        </is>
      </c>
      <c r="B7591" t="inlineStr">
        <is>
          <t xml:space="preserve">Kotak FMP Series 306 - Direct Plan - Growth</t>
        </is>
      </c>
      <c r="C7591" t="inlineStr">
        <is>
          <t xml:space="preserve">INF174KA1LY9</t>
        </is>
      </c>
    </row>
    <row r="7592">
      <c r="A7592" t="inlineStr">
        <is>
          <t xml:space="preserve">Kotak Mahindra Mutual Fund</t>
        </is>
      </c>
      <c r="B7592" t="inlineStr">
        <is>
          <t xml:space="preserve">Kotak FMP Series 306 - Direct Plan - IDCW Payout</t>
        </is>
      </c>
      <c r="C7592" t="inlineStr">
        <is>
          <t xml:space="preserve">INF174KA1LZ6</t>
        </is>
      </c>
    </row>
    <row r="7593">
      <c r="A7593" t="inlineStr">
        <is>
          <t xml:space="preserve">Kotak Mahindra Mutual Fund</t>
        </is>
      </c>
      <c r="B7593" t="inlineStr">
        <is>
          <t xml:space="preserve">Kotak FMP Series 306 - Regular Plan - Growth</t>
        </is>
      </c>
      <c r="C7593" t="inlineStr">
        <is>
          <t xml:space="preserve">INF174KA1LW3</t>
        </is>
      </c>
    </row>
    <row r="7594">
      <c r="A7594" t="inlineStr">
        <is>
          <t xml:space="preserve">Kotak Mahindra Mutual Fund</t>
        </is>
      </c>
      <c r="B7594" t="inlineStr">
        <is>
          <t xml:space="preserve">Kotak FMP Series 306 - Regular Plan - IDCW Payout</t>
        </is>
      </c>
      <c r="C7594" t="inlineStr">
        <is>
          <t xml:space="preserve">INF174KA1LX1</t>
        </is>
      </c>
    </row>
    <row r="7595">
      <c r="A7595" t="inlineStr">
        <is>
          <t xml:space="preserve">Kotak Mahindra Mutual Fund</t>
        </is>
      </c>
      <c r="B7595" t="inlineStr">
        <is>
          <t xml:space="preserve">Kotak FMP Series 307 - Direct Plan - Growth</t>
        </is>
      </c>
      <c r="C7595" t="inlineStr">
        <is>
          <t xml:space="preserve">INF174KA1MO8</t>
        </is>
      </c>
    </row>
    <row r="7596">
      <c r="A7596" t="inlineStr">
        <is>
          <t xml:space="preserve">Kotak Mahindra Mutual Fund</t>
        </is>
      </c>
      <c r="B7596" t="inlineStr">
        <is>
          <t xml:space="preserve">Kotak FMP Series 307 - Direct Plan - IDCW Payout</t>
        </is>
      </c>
      <c r="C7596" t="inlineStr">
        <is>
          <t xml:space="preserve">INF174KA1MP5</t>
        </is>
      </c>
    </row>
    <row r="7597">
      <c r="A7597" t="inlineStr">
        <is>
          <t xml:space="preserve">Kotak Mahindra Mutual Fund</t>
        </is>
      </c>
      <c r="B7597" t="inlineStr">
        <is>
          <t xml:space="preserve">Kotak FMP Series 307 - Regular Plan - Growth</t>
        </is>
      </c>
      <c r="C7597" t="inlineStr">
        <is>
          <t xml:space="preserve">INF174KA1MM2</t>
        </is>
      </c>
    </row>
    <row r="7598">
      <c r="A7598" t="inlineStr">
        <is>
          <t xml:space="preserve">Kotak Mahindra Mutual Fund</t>
        </is>
      </c>
      <c r="B7598" t="inlineStr">
        <is>
          <t xml:space="preserve">Kotak FMP Series 307 - Regular Plan - IDCW Payout</t>
        </is>
      </c>
      <c r="C7598" t="inlineStr">
        <is>
          <t xml:space="preserve">INF174KA1MN0</t>
        </is>
      </c>
    </row>
    <row r="7599">
      <c r="A7599" t="inlineStr">
        <is>
          <t xml:space="preserve">Kotak Mahindra Mutual Fund</t>
        </is>
      </c>
      <c r="B7599" t="inlineStr">
        <is>
          <t xml:space="preserve">Kotak FMP Series 308 - Direct Plan - Growth</t>
        </is>
      </c>
      <c r="C7599" t="inlineStr">
        <is>
          <t xml:space="preserve">INF174KA1NG2</t>
        </is>
      </c>
    </row>
    <row r="7600">
      <c r="A7600" t="inlineStr">
        <is>
          <t xml:space="preserve">Kotak Mahindra Mutual Fund</t>
        </is>
      </c>
      <c r="B7600" t="inlineStr">
        <is>
          <t xml:space="preserve">Kotak FMP Series 308 - Direct Plan - IDCW Payout</t>
        </is>
      </c>
      <c r="C7600" t="inlineStr">
        <is>
          <t xml:space="preserve">INF174KA1NH0</t>
        </is>
      </c>
    </row>
    <row r="7601">
      <c r="A7601" t="inlineStr">
        <is>
          <t xml:space="preserve">Kotak Mahindra Mutual Fund</t>
        </is>
      </c>
      <c r="B7601" t="inlineStr">
        <is>
          <t xml:space="preserve">Kotak FMP Series 308 - Regular Plan - Growth</t>
        </is>
      </c>
      <c r="C7601" t="inlineStr">
        <is>
          <t xml:space="preserve">INF174KA1NE7</t>
        </is>
      </c>
    </row>
    <row r="7602">
      <c r="A7602" t="inlineStr">
        <is>
          <t xml:space="preserve">Kotak Mahindra Mutual Fund</t>
        </is>
      </c>
      <c r="B7602" t="inlineStr">
        <is>
          <t xml:space="preserve">Kotak FMP Series 308 - Regular Plan - IDCW Payout</t>
        </is>
      </c>
      <c r="C7602" t="inlineStr">
        <is>
          <t xml:space="preserve">INF174KA1NF4</t>
        </is>
      </c>
    </row>
    <row r="7603">
      <c r="A7603" t="inlineStr">
        <is>
          <t xml:space="preserve">Kotak Mahindra Mutual Fund</t>
        </is>
      </c>
      <c r="B7603" t="inlineStr">
        <is>
          <t xml:space="preserve">Kotak FMP Series 309 - Direct Plan - Growth</t>
        </is>
      </c>
      <c r="C7603" t="inlineStr">
        <is>
          <t xml:space="preserve">INF174KA1NK4</t>
        </is>
      </c>
    </row>
    <row r="7604">
      <c r="A7604" t="inlineStr">
        <is>
          <t xml:space="preserve">Kotak Mahindra Mutual Fund</t>
        </is>
      </c>
      <c r="B7604" t="inlineStr">
        <is>
          <t xml:space="preserve">Kotak FMP Series 309 - Regular Plan - Growth</t>
        </is>
      </c>
      <c r="C7604" t="inlineStr">
        <is>
          <t xml:space="preserve">INF174KA1NI8</t>
        </is>
      </c>
    </row>
    <row r="7605">
      <c r="A7605" t="inlineStr">
        <is>
          <t xml:space="preserve">Kotak Mahindra Mutual Fund</t>
        </is>
      </c>
      <c r="B7605" t="inlineStr">
        <is>
          <t xml:space="preserve">Kotak FMP Series 309 - Regular Plan - IDCW Payout</t>
        </is>
      </c>
      <c r="C7605" t="inlineStr">
        <is>
          <t xml:space="preserve">INF174KA1NJ6</t>
        </is>
      </c>
    </row>
    <row r="7606">
      <c r="A7606" t="inlineStr">
        <is>
          <t xml:space="preserve">Kotak Mahindra Mutual Fund</t>
        </is>
      </c>
      <c r="B7606" t="inlineStr">
        <is>
          <t xml:space="preserve">Kotak FMP Series 310 - Direct Plan - Growth Option</t>
        </is>
      </c>
      <c r="C7606" t="inlineStr">
        <is>
          <t xml:space="preserve">INF174KA1NO6</t>
        </is>
      </c>
    </row>
    <row r="7607">
      <c r="A7607" t="inlineStr">
        <is>
          <t xml:space="preserve">Kotak Mahindra Mutual Fund</t>
        </is>
      </c>
      <c r="B7607" t="inlineStr">
        <is>
          <t xml:space="preserve">Kotak FMP Series 310 - Regular Plan - Growth Option</t>
        </is>
      </c>
      <c r="C7607" t="inlineStr">
        <is>
          <t xml:space="preserve">INF174KA1NM0</t>
        </is>
      </c>
    </row>
    <row r="7608">
      <c r="A7608" t="inlineStr">
        <is>
          <t xml:space="preserve">Kotak Mahindra Mutual Fund</t>
        </is>
      </c>
      <c r="B7608" t="inlineStr">
        <is>
          <t xml:space="preserve">Kotak FMP Series 310 - Regular Plan - IDCW Payout option</t>
        </is>
      </c>
      <c r="C7608" t="inlineStr">
        <is>
          <t xml:space="preserve">INF174KA1NN8</t>
        </is>
      </c>
    </row>
    <row r="7609">
      <c r="A7609" t="inlineStr">
        <is>
          <t xml:space="preserve">Kotak Mahindra Mutual Fund</t>
        </is>
      </c>
      <c r="B7609" t="inlineStr">
        <is>
          <t xml:space="preserve">Kotak FMP Series 311 - Direct Plan - Growth Option</t>
        </is>
      </c>
      <c r="C7609" t="inlineStr">
        <is>
          <t xml:space="preserve">INF174KA1NS7</t>
        </is>
      </c>
    </row>
    <row r="7610">
      <c r="A7610" t="inlineStr">
        <is>
          <t xml:space="preserve">Kotak Mahindra Mutual Fund</t>
        </is>
      </c>
      <c r="B7610" t="inlineStr">
        <is>
          <t xml:space="preserve">Kotak FMP Series 311 - Direct Plan - IDCW Option</t>
        </is>
      </c>
      <c r="C7610" t="inlineStr">
        <is>
          <t xml:space="preserve">INF174KA1NT5</t>
        </is>
      </c>
    </row>
    <row r="7611">
      <c r="A7611" t="inlineStr">
        <is>
          <t xml:space="preserve">Kotak Mahindra Mutual Fund</t>
        </is>
      </c>
      <c r="B7611" t="inlineStr">
        <is>
          <t xml:space="preserve">Kotak FMP Series 311 - Regular Plan - Growth Option</t>
        </is>
      </c>
      <c r="C7611" t="inlineStr">
        <is>
          <t xml:space="preserve">INF174KA1NQ1</t>
        </is>
      </c>
    </row>
    <row r="7612">
      <c r="A7612" t="inlineStr">
        <is>
          <t xml:space="preserve">Kotak Mahindra Mutual Fund</t>
        </is>
      </c>
      <c r="B7612" t="inlineStr">
        <is>
          <t xml:space="preserve">Kotak FMP Series 311 - Regular Plan - IDCW Option</t>
        </is>
      </c>
      <c r="C7612" t="inlineStr">
        <is>
          <t xml:space="preserve">INF174KA1NR9</t>
        </is>
      </c>
    </row>
    <row r="7613">
      <c r="A7613" t="inlineStr">
        <is>
          <t xml:space="preserve">Kotak Mahindra Mutual Fund</t>
        </is>
      </c>
      <c r="B7613" t="inlineStr">
        <is>
          <t xml:space="preserve">Kotak FMP Series 323 - Direct Plan - Growth Option</t>
        </is>
      </c>
      <c r="C7613" t="inlineStr">
        <is>
          <t xml:space="preserve">INF174KA1PU8</t>
        </is>
      </c>
    </row>
    <row r="7614">
      <c r="A7614" t="inlineStr">
        <is>
          <t xml:space="preserve">Kotak Mahindra Mutual Fund</t>
        </is>
      </c>
      <c r="B7614" t="inlineStr">
        <is>
          <t xml:space="preserve">Kotak FMP Series 323 - Direct Plan - IDCW Option</t>
        </is>
      </c>
      <c r="C7614" t="inlineStr">
        <is>
          <t xml:space="preserve">INF174KA1PV6</t>
        </is>
      </c>
    </row>
    <row r="7615">
      <c r="A7615" t="inlineStr">
        <is>
          <t xml:space="preserve">Kotak Mahindra Mutual Fund</t>
        </is>
      </c>
      <c r="B7615" t="inlineStr">
        <is>
          <t xml:space="preserve">Kotak FMP Series 323 - Regular Plan - Growth Option</t>
        </is>
      </c>
      <c r="C7615" t="inlineStr">
        <is>
          <t xml:space="preserve">INF174KA1PS2</t>
        </is>
      </c>
    </row>
    <row r="7616">
      <c r="A7616" t="inlineStr">
        <is>
          <t xml:space="preserve">Kotak Mahindra Mutual Fund</t>
        </is>
      </c>
      <c r="B7616" t="inlineStr">
        <is>
          <t xml:space="preserve">Kotak FMP Series 323 - Regular Plan - IDCW Option</t>
        </is>
      </c>
      <c r="C7616" t="inlineStr">
        <is>
          <t xml:space="preserve">INF174KA1PT0</t>
        </is>
      </c>
    </row>
    <row r="7617">
      <c r="A7617" t="inlineStr">
        <is>
          <t xml:space="preserve">Kotak Mahindra Mutual Fund</t>
        </is>
      </c>
      <c r="B7617" t="inlineStr">
        <is>
          <t xml:space="preserve">Kotak FMP Series 324 - Direct Plan - Growth Option</t>
        </is>
      </c>
      <c r="C7617" t="inlineStr">
        <is>
          <t xml:space="preserve">INF174KA1QE0</t>
        </is>
      </c>
    </row>
    <row r="7618">
      <c r="A7618" t="inlineStr">
        <is>
          <t xml:space="preserve">Kotak Mahindra Mutual Fund</t>
        </is>
      </c>
      <c r="B7618" t="inlineStr">
        <is>
          <t xml:space="preserve">Kotak FMP Series 324 - Direct Plan - IDCW Option</t>
        </is>
      </c>
      <c r="C7618" t="inlineStr">
        <is>
          <t xml:space="preserve">INF174KA1QF7</t>
        </is>
      </c>
    </row>
    <row r="7619">
      <c r="A7619" t="inlineStr">
        <is>
          <t xml:space="preserve">Kotak Mahindra Mutual Fund</t>
        </is>
      </c>
      <c r="B7619" t="inlineStr">
        <is>
          <t xml:space="preserve">Kotak FMP Series 324 - Regular Plan - Growth Option</t>
        </is>
      </c>
      <c r="C7619" t="inlineStr">
        <is>
          <t xml:space="preserve">INF174KA1QC4</t>
        </is>
      </c>
    </row>
    <row r="7620">
      <c r="A7620" t="inlineStr">
        <is>
          <t xml:space="preserve">Kotak Mahindra Mutual Fund</t>
        </is>
      </c>
      <c r="B7620" t="inlineStr">
        <is>
          <t xml:space="preserve">Kotak FMP Series 324 - Regular Plan - IDCW Option</t>
        </is>
      </c>
      <c r="C7620" t="inlineStr">
        <is>
          <t xml:space="preserve">INF174KA1QD2</t>
        </is>
      </c>
    </row>
    <row r="7621">
      <c r="A7621" t="inlineStr">
        <is>
          <t xml:space="preserve">Kotak Mahindra Mutual Fund</t>
        </is>
      </c>
      <c r="B7621" t="inlineStr">
        <is>
          <t xml:space="preserve">Kotak FMP Series 325 - Direct Plan - Growth Option</t>
        </is>
      </c>
      <c r="C7621" t="inlineStr">
        <is>
          <t xml:space="preserve">INF174KA1QI1</t>
        </is>
      </c>
    </row>
    <row r="7622">
      <c r="A7622" t="inlineStr">
        <is>
          <t xml:space="preserve">Kotak Mahindra Mutual Fund</t>
        </is>
      </c>
      <c r="B7622" t="inlineStr">
        <is>
          <t xml:space="preserve">Kotak FMP Series 325 - Direct Plan - IDCW Option</t>
        </is>
      </c>
      <c r="C7622" t="inlineStr">
        <is>
          <t xml:space="preserve">INF174KA1QJ9</t>
        </is>
      </c>
    </row>
    <row r="7623">
      <c r="A7623" t="inlineStr">
        <is>
          <t xml:space="preserve">Kotak Mahindra Mutual Fund</t>
        </is>
      </c>
      <c r="B7623" t="inlineStr">
        <is>
          <t xml:space="preserve">Kotak FMP Series 325 - Regular Plan - Growth Option</t>
        </is>
      </c>
      <c r="C7623" t="inlineStr">
        <is>
          <t xml:space="preserve">INF174KA1QG5</t>
        </is>
      </c>
    </row>
    <row r="7624">
      <c r="A7624" t="inlineStr">
        <is>
          <t xml:space="preserve">Kotak Mahindra Mutual Fund</t>
        </is>
      </c>
      <c r="B7624" t="inlineStr">
        <is>
          <t xml:space="preserve">Kotak FMP Series 325 - Regular Plan - IDCW Option</t>
        </is>
      </c>
      <c r="C7624" t="inlineStr">
        <is>
          <t xml:space="preserve">INF174KA1QH3</t>
        </is>
      </c>
    </row>
    <row r="7625">
      <c r="A7625" t="inlineStr">
        <is>
          <t xml:space="preserve">Kotak Mahindra Mutual Fund</t>
        </is>
      </c>
      <c r="B7625" t="inlineStr">
        <is>
          <t xml:space="preserve">Kotak FMP Series 326 - Direct Plan - Growth Option</t>
        </is>
      </c>
      <c r="C7625" t="inlineStr">
        <is>
          <t xml:space="preserve">INF174KA1QM3</t>
        </is>
      </c>
    </row>
    <row r="7626">
      <c r="A7626" t="inlineStr">
        <is>
          <t xml:space="preserve">Kotak Mahindra Mutual Fund</t>
        </is>
      </c>
      <c r="B7626" t="inlineStr">
        <is>
          <t xml:space="preserve">Kotak FMP Series 326 - Direct Plan - IDCW Payout Option</t>
        </is>
      </c>
      <c r="C7626" t="inlineStr">
        <is>
          <t xml:space="preserve">INF174KA1QN1</t>
        </is>
      </c>
    </row>
    <row r="7627">
      <c r="A7627" t="inlineStr">
        <is>
          <t xml:space="preserve">Kotak Mahindra Mutual Fund</t>
        </is>
      </c>
      <c r="B7627" t="inlineStr">
        <is>
          <t xml:space="preserve">Kotak FMP Series 326 - Regular Plan - Growth Option</t>
        </is>
      </c>
      <c r="C7627" t="inlineStr">
        <is>
          <t xml:space="preserve">INF174KA1QK7</t>
        </is>
      </c>
    </row>
    <row r="7628">
      <c r="A7628" t="inlineStr">
        <is>
          <t xml:space="preserve">Kotak Mahindra Mutual Fund</t>
        </is>
      </c>
      <c r="B7628" t="inlineStr">
        <is>
          <t xml:space="preserve">Kotak FMP Series 326 - Regular Plan - IDCW Payout Option</t>
        </is>
      </c>
      <c r="C7628" t="inlineStr">
        <is>
          <t xml:space="preserve">INF174KA1QL5</t>
        </is>
      </c>
    </row>
    <row r="7629">
      <c r="A7629" t="inlineStr">
        <is>
          <t xml:space="preserve">Kotak Mahindra Mutual Fund</t>
        </is>
      </c>
      <c r="B7629" t="inlineStr">
        <is>
          <t xml:space="preserve">Kotak FMP Series 327 - Direct Plan - Growth Option</t>
        </is>
      </c>
      <c r="C7629" t="inlineStr">
        <is>
          <t xml:space="preserve">INF174KA1QQ4</t>
        </is>
      </c>
    </row>
    <row r="7630">
      <c r="A7630" t="inlineStr">
        <is>
          <t xml:space="preserve">Kotak Mahindra Mutual Fund</t>
        </is>
      </c>
      <c r="B7630" t="inlineStr">
        <is>
          <t xml:space="preserve">Kotak FMP Series 327 - Direct Plan - IDCW Option</t>
        </is>
      </c>
      <c r="C7630" t="inlineStr">
        <is>
          <t xml:space="preserve">INF174KA1QR2</t>
        </is>
      </c>
    </row>
    <row r="7631">
      <c r="A7631" t="inlineStr">
        <is>
          <t xml:space="preserve">Kotak Mahindra Mutual Fund</t>
        </is>
      </c>
      <c r="B7631" t="inlineStr">
        <is>
          <t xml:space="preserve">Kotak FMP Series 327 - Regular Plan - Growth Option</t>
        </is>
      </c>
      <c r="C7631" t="inlineStr">
        <is>
          <t xml:space="preserve">INF174KA1QO9</t>
        </is>
      </c>
    </row>
    <row r="7632">
      <c r="A7632" t="inlineStr">
        <is>
          <t xml:space="preserve">Kotak Mahindra Mutual Fund</t>
        </is>
      </c>
      <c r="B7632" t="inlineStr">
        <is>
          <t xml:space="preserve">Kotak FMP Series 327 - Regular Plan - IDCW Option</t>
        </is>
      </c>
      <c r="C7632" t="inlineStr">
        <is>
          <t xml:space="preserve">INF174KA1QP6</t>
        </is>
      </c>
    </row>
    <row r="7633">
      <c r="A7633" t="inlineStr">
        <is>
          <t xml:space="preserve">Kotak Mahindra Mutual Fund</t>
        </is>
      </c>
      <c r="B7633" t="inlineStr">
        <is>
          <t xml:space="preserve">Kotak FMP Series-294-105 days-Direct Plan- Growth</t>
        </is>
      </c>
      <c r="C7633" t="inlineStr">
        <is>
          <t xml:space="preserve">INF174KA1IW9</t>
        </is>
      </c>
    </row>
    <row r="7634">
      <c r="A7634" t="inlineStr">
        <is>
          <t xml:space="preserve">Kotak Mahindra Mutual Fund</t>
        </is>
      </c>
      <c r="B7634" t="inlineStr">
        <is>
          <t xml:space="preserve">Kotak Focused Fund- Direct Plan- Growth option</t>
        </is>
      </c>
      <c r="C7634" t="inlineStr">
        <is>
          <t xml:space="preserve">INF174KA1EN7</t>
        </is>
      </c>
    </row>
    <row r="7635">
      <c r="A7635" t="inlineStr">
        <is>
          <t xml:space="preserve">Kotak Mahindra Mutual Fund</t>
        </is>
      </c>
      <c r="B7635" t="inlineStr">
        <is>
          <t xml:space="preserve">Kotak Focused Fund- Regular plan _ Growth Option</t>
        </is>
      </c>
      <c r="C7635" t="inlineStr">
        <is>
          <t xml:space="preserve">INF174KA1EK3</t>
        </is>
      </c>
    </row>
    <row r="7636">
      <c r="A7636" t="inlineStr">
        <is>
          <t xml:space="preserve">Kotak Mahindra Mutual Fund</t>
        </is>
      </c>
      <c r="B7636" t="inlineStr">
        <is>
          <t xml:space="preserve">Kotak Focused Fund- Regular Plan-Income Distribution cum capital withdrawal option</t>
        </is>
      </c>
      <c r="C7636" t="inlineStr">
        <is>
          <t xml:space="preserve">INF174KA1EM9</t>
        </is>
      </c>
    </row>
    <row r="7637">
      <c r="A7637" t="inlineStr">
        <is>
          <t xml:space="preserve">Kotak Mahindra Mutual Fund</t>
        </is>
      </c>
      <c r="B7637" t="inlineStr">
        <is>
          <t xml:space="preserve">Kotak Focused Fund-Direct Plan- Income Distribution cum capital withdrawal option</t>
        </is>
      </c>
      <c r="C7637" t="inlineStr">
        <is>
          <t xml:space="preserve">INF174KA1EP2</t>
        </is>
      </c>
    </row>
    <row r="7638">
      <c r="A7638" t="inlineStr">
        <is>
          <t xml:space="preserve">Kotak Mahindra Mutual Fund</t>
        </is>
      </c>
      <c r="B7638" t="inlineStr">
        <is>
          <t xml:space="preserve">Kotak Gilt-Investment  Provident Fund and Trust-Growth</t>
        </is>
      </c>
      <c r="C7638" t="inlineStr">
        <is>
          <t xml:space="preserve">INF174K01FL9</t>
        </is>
      </c>
    </row>
    <row r="7639">
      <c r="A7639" t="inlineStr">
        <is>
          <t xml:space="preserve">Kotak Mahindra Mutual Fund</t>
        </is>
      </c>
      <c r="B7639" t="inlineStr">
        <is>
          <t xml:space="preserve">Kotak Gilt-Investment  Provident Fund and Trust-Growth - Direct</t>
        </is>
      </c>
      <c r="C7639" t="inlineStr">
        <is>
          <t xml:space="preserve">INF174K01KM7</t>
        </is>
      </c>
    </row>
    <row r="7640">
      <c r="A7640" t="inlineStr">
        <is>
          <t xml:space="preserve">Kotak Mahindra Mutual Fund</t>
        </is>
      </c>
      <c r="B7640" t="inlineStr">
        <is>
          <t xml:space="preserve">Kotak Gilt-Investment  Provident Fund and Trust-Payout of Income Distribution cum capital withdrawal option</t>
        </is>
      </c>
      <c r="C7640" t="inlineStr">
        <is>
          <t xml:space="preserve">INF174K01FM7</t>
        </is>
      </c>
    </row>
    <row r="7641">
      <c r="A7641" t="inlineStr">
        <is>
          <t xml:space="preserve">Kotak Mahindra Mutual Fund</t>
        </is>
      </c>
      <c r="B7641" t="inlineStr">
        <is>
          <t xml:space="preserve">Kotak Gilt-Investment Regular-Growth</t>
        </is>
      </c>
      <c r="C7641" t="inlineStr">
        <is>
          <t xml:space="preserve">INF174K01FI5</t>
        </is>
      </c>
    </row>
    <row r="7642">
      <c r="A7642" t="inlineStr">
        <is>
          <t xml:space="preserve">Kotak Mahindra Mutual Fund</t>
        </is>
      </c>
      <c r="B7642" t="inlineStr">
        <is>
          <t xml:space="preserve">Kotak Gilt-Investment Regular-Growth - Direct</t>
        </is>
      </c>
      <c r="C7642" t="inlineStr">
        <is>
          <t xml:space="preserve">INF174K01KE4</t>
        </is>
      </c>
    </row>
    <row r="7643">
      <c r="A7643" t="inlineStr">
        <is>
          <t xml:space="preserve">Kotak Mahindra Mutual Fund</t>
        </is>
      </c>
      <c r="B7643" t="inlineStr">
        <is>
          <t xml:space="preserve">Kotak Gilt-Investment Regular-Payout of Income Distribution cum capital withdrawal option</t>
        </is>
      </c>
      <c r="C7643" t="inlineStr">
        <is>
          <t xml:space="preserve">INF174K01FK1</t>
        </is>
      </c>
    </row>
    <row r="7644">
      <c r="A7644" t="inlineStr">
        <is>
          <t xml:space="preserve">Kotak Mahindra Mutual Fund</t>
        </is>
      </c>
      <c r="B7644" t="inlineStr">
        <is>
          <t xml:space="preserve">Kotak Gilt-Investment Regular-Payout of Income Distribution cum capital withdrawal option - Direct</t>
        </is>
      </c>
      <c r="C7644" t="inlineStr">
        <is>
          <t xml:space="preserve">INF174K01KF1</t>
        </is>
      </c>
    </row>
    <row r="7645">
      <c r="A7645" t="inlineStr">
        <is>
          <t xml:space="preserve">Kotak Mahindra Mutual Fund</t>
        </is>
      </c>
      <c r="B7645" t="inlineStr">
        <is>
          <t xml:space="preserve">Kotak Global Emerging Market overseas Equity Omni FOF - Growth - Direct</t>
        </is>
      </c>
      <c r="C7645" t="inlineStr">
        <is>
          <t xml:space="preserve">INF174K01LW4</t>
        </is>
      </c>
    </row>
    <row r="7646">
      <c r="A7646" t="inlineStr">
        <is>
          <t xml:space="preserve">Kotak Mahindra Mutual Fund</t>
        </is>
      </c>
      <c r="B7646" t="inlineStr">
        <is>
          <t xml:space="preserve">Kotak Global Emerging Market Overseas Equity Omni FOF - Payout of Income Distribution cum capital withdrawal option</t>
        </is>
      </c>
      <c r="C7646" t="inlineStr">
        <is>
          <t xml:space="preserve">INF174K01DX9</t>
        </is>
      </c>
    </row>
    <row r="7647">
      <c r="A7647" t="inlineStr">
        <is>
          <t xml:space="preserve">Kotak Mahindra Mutual Fund</t>
        </is>
      </c>
      <c r="B7647" t="inlineStr">
        <is>
          <t xml:space="preserve">Kotak Global Emerging Market Overseas Equity Omni FOF - Payout of Income Distribution cum capital withdrawal option - Direct</t>
        </is>
      </c>
      <c r="C7647" t="inlineStr">
        <is>
          <t xml:space="preserve">INF174K01LX2</t>
        </is>
      </c>
    </row>
    <row r="7648">
      <c r="A7648" t="inlineStr">
        <is>
          <t xml:space="preserve">Kotak Mahindra Mutual Fund</t>
        </is>
      </c>
      <c r="B7648" t="inlineStr">
        <is>
          <t xml:space="preserve">Kotak Global Emerging Market Overseas Equity Omni FOF- Growth</t>
        </is>
      </c>
      <c r="C7648" t="inlineStr">
        <is>
          <t xml:space="preserve">INF174K01DV3</t>
        </is>
      </c>
    </row>
    <row r="7649">
      <c r="A7649" t="inlineStr">
        <is>
          <t xml:space="preserve">Kotak Mahindra Mutual Fund</t>
        </is>
      </c>
      <c r="B7649" t="inlineStr">
        <is>
          <t xml:space="preserve">Kotak Global Innovation Overseas Equity Omni FOF - Regular Plan -IDCW Option</t>
        </is>
      </c>
      <c r="C7649" t="inlineStr">
        <is>
          <t xml:space="preserve">INF174KA1HE9</t>
        </is>
      </c>
    </row>
    <row r="7650">
      <c r="A7650" t="inlineStr">
        <is>
          <t xml:space="preserve">Kotak Mahindra Mutual Fund</t>
        </is>
      </c>
      <c r="B7650" t="inlineStr">
        <is>
          <t xml:space="preserve">Kotak Global Innovation Overseas Equity Omni FOF - Regular Plan-Growth</t>
        </is>
      </c>
      <c r="C7650" t="inlineStr">
        <is>
          <t xml:space="preserve">INF174KA1HD1</t>
        </is>
      </c>
    </row>
    <row r="7651">
      <c r="A7651" t="inlineStr">
        <is>
          <t xml:space="preserve">Kotak Mahindra Mutual Fund</t>
        </is>
      </c>
      <c r="B7651" t="inlineStr">
        <is>
          <t xml:space="preserve">Kotak Global Innovation Overseas Equity Omni FOF- Direct Plan - IDCW Option</t>
        </is>
      </c>
      <c r="C7651" t="inlineStr">
        <is>
          <t xml:space="preserve">INF174KA1HH2</t>
        </is>
      </c>
    </row>
    <row r="7652">
      <c r="A7652" t="inlineStr">
        <is>
          <t xml:space="preserve">Kotak Mahindra Mutual Fund</t>
        </is>
      </c>
      <c r="B7652" t="inlineStr">
        <is>
          <t xml:space="preserve">Kotak Global Innovation Overseas Equity Omni FOF- Direct Plan -Growth</t>
        </is>
      </c>
      <c r="C7652" t="inlineStr">
        <is>
          <t xml:space="preserve">INF174KA1HG4</t>
        </is>
      </c>
    </row>
    <row r="7653">
      <c r="A7653" t="inlineStr">
        <is>
          <t xml:space="preserve">Kotak Mahindra Mutual Fund</t>
        </is>
      </c>
      <c r="B7653" t="inlineStr">
        <is>
          <t xml:space="preserve">KOTAK GOLD ETF</t>
        </is>
      </c>
      <c r="C7653" t="inlineStr">
        <is>
          <t xml:space="preserve">INF174KA1HJ8</t>
        </is>
      </c>
    </row>
    <row r="7654">
      <c r="A7654" t="inlineStr">
        <is>
          <t xml:space="preserve">Kotak Mahindra Mutual Fund</t>
        </is>
      </c>
      <c r="B7654" t="inlineStr">
        <is>
          <t xml:space="preserve">Kotak Gold Fund Growth</t>
        </is>
      </c>
      <c r="C7654" t="inlineStr">
        <is>
          <t xml:space="preserve">INF174K01AT3</t>
        </is>
      </c>
    </row>
    <row r="7655">
      <c r="A7655" t="inlineStr">
        <is>
          <t xml:space="preserve">Kotak Mahindra Mutual Fund</t>
        </is>
      </c>
      <c r="B7655" t="inlineStr">
        <is>
          <t xml:space="preserve">Kotak Gold Fund Growth - Direct</t>
        </is>
      </c>
      <c r="C7655" t="inlineStr">
        <is>
          <t xml:space="preserve">INF174K01MP6</t>
        </is>
      </c>
    </row>
    <row r="7656">
      <c r="A7656" t="inlineStr">
        <is>
          <t xml:space="preserve">Kotak Mahindra Mutual Fund</t>
        </is>
      </c>
      <c r="B7656" t="inlineStr">
        <is>
          <t xml:space="preserve">Kotak Gold Fund Payout of Income Distribution cum capital withdrawal option</t>
        </is>
      </c>
      <c r="C7656" t="inlineStr">
        <is>
          <t xml:space="preserve">INF174K01AU1</t>
        </is>
      </c>
    </row>
    <row r="7657">
      <c r="A7657" t="inlineStr">
        <is>
          <t xml:space="preserve">Kotak Mahindra Mutual Fund</t>
        </is>
      </c>
      <c r="B7657" t="inlineStr">
        <is>
          <t xml:space="preserve">Kotak Gold Fund Payout of Income Distribution cum capital withdrawal option- Direct</t>
        </is>
      </c>
      <c r="C7657" t="inlineStr">
        <is>
          <t xml:space="preserve">INF174K01MQ4</t>
        </is>
      </c>
    </row>
    <row r="7658">
      <c r="A7658" t="inlineStr">
        <is>
          <t xml:space="preserve">Kotak Mahindra Mutual Fund</t>
        </is>
      </c>
      <c r="B7658" t="inlineStr">
        <is>
          <t xml:space="preserve">Kotak Gold Silver Passive FOF - Direct Plan - Growth</t>
        </is>
      </c>
      <c r="C7658" t="inlineStr">
        <is>
          <t xml:space="preserve">INF174KA1XT4</t>
        </is>
      </c>
    </row>
    <row r="7659">
      <c r="A7659" t="inlineStr">
        <is>
          <t xml:space="preserve">Kotak Mahindra Mutual Fund</t>
        </is>
      </c>
      <c r="B7659" t="inlineStr">
        <is>
          <t xml:space="preserve">Kotak Gold Silver Passive FOF - Regular Plan - Growth</t>
        </is>
      </c>
      <c r="C7659" t="inlineStr">
        <is>
          <t xml:space="preserve">INF174KA1XU2</t>
        </is>
      </c>
    </row>
    <row r="7660">
      <c r="A7660" t="inlineStr">
        <is>
          <t xml:space="preserve">Kotak Mahindra Mutual Fund</t>
        </is>
      </c>
      <c r="B7660" t="inlineStr">
        <is>
          <t xml:space="preserve">Kotak Healthcare Fund - Direct Plan - Growth Option</t>
        </is>
      </c>
      <c r="C7660" t="inlineStr">
        <is>
          <t xml:space="preserve">INF174KA1PZ7</t>
        </is>
      </c>
    </row>
    <row r="7661">
      <c r="A7661" t="inlineStr">
        <is>
          <t xml:space="preserve">Kotak Mahindra Mutual Fund</t>
        </is>
      </c>
      <c r="B7661" t="inlineStr">
        <is>
          <t xml:space="preserve">Kotak Healthcare Fund - Direct Plan - IDCW Option</t>
        </is>
      </c>
      <c r="C7661" t="inlineStr">
        <is>
          <t xml:space="preserve">INF174KA1QA8</t>
        </is>
      </c>
    </row>
    <row r="7662">
      <c r="A7662" t="inlineStr">
        <is>
          <t xml:space="preserve">Kotak Mahindra Mutual Fund</t>
        </is>
      </c>
      <c r="B7662" t="inlineStr">
        <is>
          <t xml:space="preserve">Kotak Healthcare Fund - Regular Plan - Growth Option</t>
        </is>
      </c>
      <c r="C7662" t="inlineStr">
        <is>
          <t xml:space="preserve">INF174KA1PW4</t>
        </is>
      </c>
    </row>
    <row r="7663">
      <c r="A7663" t="inlineStr">
        <is>
          <t xml:space="preserve">Kotak Mahindra Mutual Fund</t>
        </is>
      </c>
      <c r="B7663" t="inlineStr">
        <is>
          <t xml:space="preserve">Kotak Healthcare Fund - Regular Plan - IDCW Option</t>
        </is>
      </c>
      <c r="C7663" t="inlineStr">
        <is>
          <t xml:space="preserve">INF174KA1PX2</t>
        </is>
      </c>
    </row>
    <row r="7664">
      <c r="A7664" t="inlineStr">
        <is>
          <t xml:space="preserve">Kotak Mahindra Mutual Fund</t>
        </is>
      </c>
      <c r="B7664" t="inlineStr">
        <is>
          <t xml:space="preserve">Kotak Hybrid Fixed Term Plan Series 2 - Direct Plan - Diviedend</t>
        </is>
      </c>
      <c r="C7664" t="inlineStr">
        <is>
          <t xml:space="preserve">INF174K01TK2</t>
        </is>
      </c>
    </row>
    <row r="7665">
      <c r="A7665" t="inlineStr">
        <is>
          <t xml:space="preserve">Kotak Mahindra Mutual Fund</t>
        </is>
      </c>
      <c r="B7665" t="inlineStr">
        <is>
          <t xml:space="preserve">Kotak Hybrid Fixed Term Plan Series 2 - Direct Plan - Growth</t>
        </is>
      </c>
      <c r="C7665" t="inlineStr">
        <is>
          <t xml:space="preserve">INF174K01TJ4</t>
        </is>
      </c>
    </row>
    <row r="7666">
      <c r="A7666" t="inlineStr">
        <is>
          <t xml:space="preserve">Kotak Mahindra Mutual Fund</t>
        </is>
      </c>
      <c r="B7666" t="inlineStr">
        <is>
          <t xml:space="preserve">Kotak Hybrid Fixed Term Plan Series 2 - Regular Plan - Dividend</t>
        </is>
      </c>
      <c r="C7666" t="inlineStr">
        <is>
          <t xml:space="preserve">INF174K01TI6</t>
        </is>
      </c>
    </row>
    <row r="7667">
      <c r="A7667" t="inlineStr">
        <is>
          <t xml:space="preserve">Kotak Mahindra Mutual Fund</t>
        </is>
      </c>
      <c r="B7667" t="inlineStr">
        <is>
          <t xml:space="preserve">Kotak Hybrid Fixed Term Plan Series 2 - Regular Plan - Growth</t>
        </is>
      </c>
      <c r="C7667" t="inlineStr">
        <is>
          <t xml:space="preserve">INF174K01TH8</t>
        </is>
      </c>
    </row>
    <row r="7668">
      <c r="A7668" t="inlineStr">
        <is>
          <t xml:space="preserve">Kotak Mahindra Mutual Fund</t>
        </is>
      </c>
      <c r="B7668" t="inlineStr">
        <is>
          <t xml:space="preserve">Kotak Income Plus Arbitrage Omni  FOF-Regular Plan-Growth</t>
        </is>
      </c>
      <c r="C7668" t="inlineStr">
        <is>
          <t xml:space="preserve">INF174KA1KG8</t>
        </is>
      </c>
    </row>
    <row r="7669">
      <c r="A7669" t="inlineStr">
        <is>
          <t xml:space="preserve">Kotak Mahindra Mutual Fund</t>
        </is>
      </c>
      <c r="B7669" t="inlineStr">
        <is>
          <t xml:space="preserve">Kotak Income Plus Arbitrage Omni FOF-Direct Plan-Growth</t>
        </is>
      </c>
      <c r="C7669" t="inlineStr">
        <is>
          <t xml:space="preserve">INF174KA1KJ2</t>
        </is>
      </c>
    </row>
    <row r="7670">
      <c r="A7670" t="inlineStr">
        <is>
          <t xml:space="preserve">Kotak Mahindra Mutual Fund</t>
        </is>
      </c>
      <c r="B7670" t="inlineStr">
        <is>
          <t xml:space="preserve">Kotak Income Plus Arbitrage Omni FOF-Direct Plan-IDCW</t>
        </is>
      </c>
      <c r="C7670" t="inlineStr">
        <is>
          <t xml:space="preserve">INF174KA1KK0</t>
        </is>
      </c>
    </row>
    <row r="7671">
      <c r="A7671" t="inlineStr">
        <is>
          <t xml:space="preserve">Kotak Mahindra Mutual Fund</t>
        </is>
      </c>
      <c r="B7671" t="inlineStr">
        <is>
          <t xml:space="preserve">Kotak Income Plus Arbitrage Omni FOF-Regular Plan-IDCW</t>
        </is>
      </c>
      <c r="C7671" t="inlineStr">
        <is>
          <t xml:space="preserve">INF174KA1KH6</t>
        </is>
      </c>
    </row>
    <row r="7672">
      <c r="A7672" t="inlineStr">
        <is>
          <t xml:space="preserve">Kotak Mahindra Mutual Fund</t>
        </is>
      </c>
      <c r="B7672" t="inlineStr">
        <is>
          <t xml:space="preserve">Kotak India Gorwth Fund - Series I - Direct Plan - Dividend</t>
        </is>
      </c>
      <c r="C7672" t="inlineStr">
        <is>
          <t xml:space="preserve">INF174K01P57</t>
        </is>
      </c>
    </row>
    <row r="7673">
      <c r="A7673" t="inlineStr">
        <is>
          <t xml:space="preserve">Kotak Mahindra Mutual Fund</t>
        </is>
      </c>
      <c r="B7673" t="inlineStr">
        <is>
          <t xml:space="preserve">Kotak India Gorwth Fund - Series I - Direct Plan - Growth</t>
        </is>
      </c>
      <c r="C7673" t="inlineStr">
        <is>
          <t xml:space="preserve">INF174K01P40</t>
        </is>
      </c>
    </row>
    <row r="7674">
      <c r="A7674" t="inlineStr">
        <is>
          <t xml:space="preserve">Kotak Mahindra Mutual Fund</t>
        </is>
      </c>
      <c r="B7674" t="inlineStr">
        <is>
          <t xml:space="preserve">Kotak India Gorwth Fund - Series I - Regular Plan - Dividend</t>
        </is>
      </c>
      <c r="C7674" t="inlineStr">
        <is>
          <t xml:space="preserve">INF174K01P32</t>
        </is>
      </c>
    </row>
    <row r="7675">
      <c r="A7675" t="inlineStr">
        <is>
          <t xml:space="preserve">Kotak Mahindra Mutual Fund</t>
        </is>
      </c>
      <c r="B7675" t="inlineStr">
        <is>
          <t xml:space="preserve">Kotak India Gorwth Fund - Series I - Regular Plan - Growth</t>
        </is>
      </c>
      <c r="C7675" t="inlineStr">
        <is>
          <t xml:space="preserve">INF174K01P24</t>
        </is>
      </c>
    </row>
    <row r="7676">
      <c r="A7676" t="inlineStr">
        <is>
          <t xml:space="preserve">Kotak Mahindra Mutual Fund</t>
        </is>
      </c>
      <c r="B7676" t="inlineStr">
        <is>
          <t xml:space="preserve">Kotak India Growth Fund Series 4 - Regular Plan- Growth option</t>
        </is>
      </c>
      <c r="C7676" t="inlineStr">
        <is>
          <t xml:space="preserve">INF174KA1GD3</t>
        </is>
      </c>
    </row>
    <row r="7677">
      <c r="A7677" t="inlineStr">
        <is>
          <t xml:space="preserve">Kotak Mahindra Mutual Fund</t>
        </is>
      </c>
      <c r="B7677" t="inlineStr">
        <is>
          <t xml:space="preserve">Kotak India Growth Fund Series 4-Direct Plan - Growth Option</t>
        </is>
      </c>
      <c r="C7677" t="inlineStr">
        <is>
          <t xml:space="preserve">INF174KA1GF8</t>
        </is>
      </c>
    </row>
    <row r="7678">
      <c r="A7678" t="inlineStr">
        <is>
          <t xml:space="preserve">Kotak Mahindra Mutual Fund</t>
        </is>
      </c>
      <c r="B7678" t="inlineStr">
        <is>
          <t xml:space="preserve">Kotak India Growth Fund Series 4-Direct Plan-ayout of Income Distribution cum capital withdrawal option</t>
        </is>
      </c>
      <c r="C7678" t="inlineStr">
        <is>
          <t xml:space="preserve">INF174KA1GG6</t>
        </is>
      </c>
    </row>
    <row r="7679">
      <c r="A7679" t="inlineStr">
        <is>
          <t xml:space="preserve">Kotak Mahindra Mutual Fund</t>
        </is>
      </c>
      <c r="B7679" t="inlineStr">
        <is>
          <t xml:space="preserve">Kotak India Growth Fund Series 4-Regular Plan-ayout of Income Distribution cum capital withdrawal option</t>
        </is>
      </c>
      <c r="C7679" t="inlineStr">
        <is>
          <t xml:space="preserve">INF174KA1GE1</t>
        </is>
      </c>
    </row>
    <row r="7680">
      <c r="A7680" t="inlineStr">
        <is>
          <t xml:space="preserve">Kotak Mahindra Mutual Fund</t>
        </is>
      </c>
      <c r="B7680" t="inlineStr">
        <is>
          <t xml:space="preserve">Kotak India Growth Fund Series 5-Direct PLan-ayout of Income Distribution cum capital withdrawal option</t>
        </is>
      </c>
      <c r="C7680" t="inlineStr">
        <is>
          <t xml:space="preserve">INF174K014X0</t>
        </is>
      </c>
    </row>
    <row r="7681">
      <c r="A7681" t="inlineStr">
        <is>
          <t xml:space="preserve">Kotak Mahindra Mutual Fund</t>
        </is>
      </c>
      <c r="B7681" t="inlineStr">
        <is>
          <t xml:space="preserve">Kotak India Growth Fund Series 5-Direct Plan-Growth Option</t>
        </is>
      </c>
      <c r="C7681" t="inlineStr">
        <is>
          <t xml:space="preserve">INF174K013X2</t>
        </is>
      </c>
    </row>
    <row r="7682">
      <c r="A7682" t="inlineStr">
        <is>
          <t xml:space="preserve">Kotak Mahindra Mutual Fund</t>
        </is>
      </c>
      <c r="B7682" t="inlineStr">
        <is>
          <t xml:space="preserve">Kotak India Growth Fund Series 5-Regular Plan-ayout of Income Distribution cum capital withdrawal option</t>
        </is>
      </c>
      <c r="C7682" t="inlineStr">
        <is>
          <t xml:space="preserve">INF174K012X4</t>
        </is>
      </c>
    </row>
    <row r="7683">
      <c r="A7683" t="inlineStr">
        <is>
          <t xml:space="preserve">Kotak Mahindra Mutual Fund</t>
        </is>
      </c>
      <c r="B7683" t="inlineStr">
        <is>
          <t xml:space="preserve">Kotak India Growth Fund Series 5-Regular Plan-Growth Option</t>
        </is>
      </c>
      <c r="C7683" t="inlineStr">
        <is>
          <t xml:space="preserve">INF174K011X6</t>
        </is>
      </c>
    </row>
    <row r="7684">
      <c r="A7684" t="inlineStr">
        <is>
          <t xml:space="preserve">Kotak Mahindra Mutual Fund</t>
        </is>
      </c>
      <c r="B7684" t="inlineStr">
        <is>
          <t xml:space="preserve">Kotak India Growth Fund Series 7 - Direct Plan - Growth Option</t>
        </is>
      </c>
      <c r="C7684" t="inlineStr">
        <is>
          <t xml:space="preserve">INF174KA1525</t>
        </is>
      </c>
    </row>
    <row r="7685">
      <c r="A7685" t="inlineStr">
        <is>
          <t xml:space="preserve">Kotak Mahindra Mutual Fund</t>
        </is>
      </c>
      <c r="B7685" t="inlineStr">
        <is>
          <t xml:space="preserve">Kotak India Growth Fund Series 7 - Regular Plan - ayout of Income Distribution cum capital withdrawal option</t>
        </is>
      </c>
      <c r="C7685" t="inlineStr">
        <is>
          <t xml:space="preserve">INF174KA1517</t>
        </is>
      </c>
    </row>
    <row r="7686">
      <c r="A7686" t="inlineStr">
        <is>
          <t xml:space="preserve">Kotak Mahindra Mutual Fund</t>
        </is>
      </c>
      <c r="B7686" t="inlineStr">
        <is>
          <t xml:space="preserve">Kotak India Growth Fund Series 7 - Regular Plan - Growth Option</t>
        </is>
      </c>
      <c r="C7686" t="inlineStr">
        <is>
          <t xml:space="preserve">INF174KA1509</t>
        </is>
      </c>
    </row>
    <row r="7687">
      <c r="A7687" t="inlineStr">
        <is>
          <t xml:space="preserve">Kotak Mahindra Mutual Fund</t>
        </is>
      </c>
      <c r="B7687" t="inlineStr">
        <is>
          <t xml:space="preserve">Kotak India Growth Fund Series 7 -Direct Plan  -ayout of Income Distribution cum capital withdrawal option</t>
        </is>
      </c>
      <c r="C7687" t="inlineStr">
        <is>
          <t xml:space="preserve">INF174KA1533</t>
        </is>
      </c>
    </row>
    <row r="7688">
      <c r="A7688" t="inlineStr">
        <is>
          <t xml:space="preserve">Kotak Mahindra Mutual Fund</t>
        </is>
      </c>
      <c r="B7688" t="inlineStr">
        <is>
          <t xml:space="preserve">Kotak Infrastructure &amp; Economic Reform Fund - Standard Plan-Growth</t>
        </is>
      </c>
      <c r="C7688" t="inlineStr">
        <is>
          <t xml:space="preserve">INF178L01095</t>
        </is>
      </c>
    </row>
    <row r="7689">
      <c r="A7689" t="inlineStr">
        <is>
          <t xml:space="preserve">Kotak Mahindra Mutual Fund</t>
        </is>
      </c>
      <c r="B7689" t="inlineStr">
        <is>
          <t xml:space="preserve">Kotak Infrastructure &amp; Economic Reform Fund - Standard Plan-Payout of Income Distribution cum capital withdrawal option</t>
        </is>
      </c>
      <c r="C7689" t="inlineStr">
        <is>
          <t xml:space="preserve">INF178L01079</t>
        </is>
      </c>
    </row>
    <row r="7690">
      <c r="A7690" t="inlineStr">
        <is>
          <t xml:space="preserve">Kotak Mahindra Mutual Fund</t>
        </is>
      </c>
      <c r="B7690" t="inlineStr">
        <is>
          <t xml:space="preserve">Kotak Infrastructure &amp; Economic Reform Fund- Direct Plan- Growth Option</t>
        </is>
      </c>
      <c r="C7690" t="inlineStr">
        <is>
          <t xml:space="preserve">INF178L01AL9</t>
        </is>
      </c>
    </row>
    <row r="7691">
      <c r="A7691" t="inlineStr">
        <is>
          <t xml:space="preserve">Kotak Mahindra Mutual Fund</t>
        </is>
      </c>
      <c r="B7691" t="inlineStr">
        <is>
          <t xml:space="preserve">Kotak Infrastructure &amp; Economic Reform Fund- Direct Plan- Payout of Income Distribution cum capital withdrawal option</t>
        </is>
      </c>
      <c r="C7691" t="inlineStr">
        <is>
          <t xml:space="preserve">INF178L01AK1</t>
        </is>
      </c>
    </row>
    <row r="7692">
      <c r="A7692" t="inlineStr">
        <is>
          <t xml:space="preserve">Kotak Mahindra Mutual Fund</t>
        </is>
      </c>
      <c r="B7692" t="inlineStr">
        <is>
          <t xml:space="preserve">Kotak International REIT Overseas Equity Omni FOF - Direct Plan - Growth</t>
        </is>
      </c>
      <c r="C7692" t="inlineStr">
        <is>
          <t xml:space="preserve">INF174KA1FO2</t>
        </is>
      </c>
    </row>
    <row r="7693">
      <c r="A7693" t="inlineStr">
        <is>
          <t xml:space="preserve">Kotak Mahindra Mutual Fund</t>
        </is>
      </c>
      <c r="B7693" t="inlineStr">
        <is>
          <t xml:space="preserve">Kotak International REIT Overseas Equity Omni FOF - Direct Plan - Payout of Income Distribution cum capital withdrawal option</t>
        </is>
      </c>
      <c r="C7693" t="inlineStr">
        <is>
          <t xml:space="preserve">INF174KA1FN4</t>
        </is>
      </c>
    </row>
    <row r="7694">
      <c r="A7694" t="inlineStr">
        <is>
          <t xml:space="preserve">Kotak Mahindra Mutual Fund</t>
        </is>
      </c>
      <c r="B7694" t="inlineStr">
        <is>
          <t xml:space="preserve">Kotak International REIT Overseas Equity Omni FOF - Regular Plan - Growth</t>
        </is>
      </c>
      <c r="C7694" t="inlineStr">
        <is>
          <t xml:space="preserve">INF174KA1FL8</t>
        </is>
      </c>
    </row>
    <row r="7695">
      <c r="A7695" t="inlineStr">
        <is>
          <t xml:space="preserve">Kotak Mahindra Mutual Fund</t>
        </is>
      </c>
      <c r="B7695" t="inlineStr">
        <is>
          <t xml:space="preserve">Kotak International REIT Overseas Equity Omni FOF - Regular Plan - Payout of Income Distribution cum capital withdrawal option</t>
        </is>
      </c>
      <c r="C7695" t="inlineStr">
        <is>
          <t xml:space="preserve">INF174KA1FK0</t>
        </is>
      </c>
    </row>
    <row r="7696">
      <c r="A7696" t="inlineStr">
        <is>
          <t xml:space="preserve">Kotak Mahindra Mutual Fund</t>
        </is>
      </c>
      <c r="B7696" t="inlineStr">
        <is>
          <t xml:space="preserve">Kotak Large &amp; Midcap Fund - Direct- Growth</t>
        </is>
      </c>
      <c r="C7696" t="inlineStr">
        <is>
          <t xml:space="preserve">INF174K01LF9</t>
        </is>
      </c>
    </row>
    <row r="7697">
      <c r="A7697" t="inlineStr">
        <is>
          <t xml:space="preserve">Kotak Mahindra Mutual Fund</t>
        </is>
      </c>
      <c r="B7697" t="inlineStr">
        <is>
          <t xml:space="preserve">Kotak Large &amp; Midcap Fund - Growth-Regular</t>
        </is>
      </c>
      <c r="C7697" t="inlineStr">
        <is>
          <t xml:space="preserve">INF174K01187</t>
        </is>
      </c>
    </row>
    <row r="7698">
      <c r="A7698" t="inlineStr">
        <is>
          <t xml:space="preserve">Kotak Mahindra Mutual Fund</t>
        </is>
      </c>
      <c r="B7698" t="inlineStr">
        <is>
          <t xml:space="preserve">Kotak Large &amp; Midcap Fund - IDCW-Direct</t>
        </is>
      </c>
      <c r="C7698" t="inlineStr">
        <is>
          <t xml:space="preserve">INF174K01LG7</t>
        </is>
      </c>
    </row>
    <row r="7699">
      <c r="A7699" t="inlineStr">
        <is>
          <t xml:space="preserve">Kotak Mahindra Mutual Fund</t>
        </is>
      </c>
      <c r="B7699" t="inlineStr">
        <is>
          <t xml:space="preserve">Kotak Large &amp; Midcap Fund - IDCW-Regular</t>
        </is>
      </c>
      <c r="C7699" t="inlineStr">
        <is>
          <t xml:space="preserve">INF174K01203</t>
        </is>
      </c>
    </row>
    <row r="7700">
      <c r="A7700" t="inlineStr">
        <is>
          <t xml:space="preserve">Kotak Mahindra Mutual Fund</t>
        </is>
      </c>
      <c r="B7700" t="inlineStr">
        <is>
          <t xml:space="preserve">Kotak Large Cap  Fund - Growth - Direct</t>
        </is>
      </c>
      <c r="C7700" t="inlineStr">
        <is>
          <t xml:space="preserve">INF174K01KW6</t>
        </is>
      </c>
    </row>
    <row r="7701">
      <c r="A7701" t="inlineStr">
        <is>
          <t xml:space="preserve">Kotak Mahindra Mutual Fund</t>
        </is>
      </c>
      <c r="B7701" t="inlineStr">
        <is>
          <t xml:space="preserve">Kotak Large Cap Fund - Growth</t>
        </is>
      </c>
      <c r="C7701" t="inlineStr">
        <is>
          <t xml:space="preserve">INF174K01153</t>
        </is>
      </c>
    </row>
    <row r="7702">
      <c r="A7702" t="inlineStr">
        <is>
          <t xml:space="preserve">Kotak Mahindra Mutual Fund</t>
        </is>
      </c>
      <c r="B7702" t="inlineStr">
        <is>
          <t xml:space="preserve">Kotak Large Cap Fund - Payout of Income Distribution cum capital withdrawal option - Direct</t>
        </is>
      </c>
      <c r="C7702" t="inlineStr">
        <is>
          <t xml:space="preserve">INF174K01KY2</t>
        </is>
      </c>
    </row>
    <row r="7703">
      <c r="A7703" t="inlineStr">
        <is>
          <t xml:space="preserve">Kotak Mahindra Mutual Fund</t>
        </is>
      </c>
      <c r="B7703" t="inlineStr">
        <is>
          <t xml:space="preserve">Kotak Large Cap Fund - Payout of Income Distribution cumcapital withdrawal option</t>
        </is>
      </c>
      <c r="C7703" t="inlineStr">
        <is>
          <t xml:space="preserve">INF174K01179</t>
        </is>
      </c>
    </row>
    <row r="7704">
      <c r="A7704" t="inlineStr">
        <is>
          <t xml:space="preserve">Kotak Mahindra Mutual Fund</t>
        </is>
      </c>
      <c r="B7704" t="inlineStr">
        <is>
          <t xml:space="preserve">Kotak Liquid Fund - Direct Plan - Daily Reinvestment of Income Distribution cum capital withdrawal option</t>
        </is>
      </c>
      <c r="C7704" t="inlineStr">
        <is>
          <t xml:space="preserve">INF174K01NH1</t>
        </is>
      </c>
    </row>
    <row r="7705">
      <c r="A7705" t="inlineStr">
        <is>
          <t xml:space="preserve">Kotak Mahindra Mutual Fund</t>
        </is>
      </c>
      <c r="B7705" t="inlineStr">
        <is>
          <t xml:space="preserve">Kotak Liquid Fund - Direct Plan - Growth</t>
        </is>
      </c>
      <c r="C7705" t="inlineStr">
        <is>
          <t xml:space="preserve">INF174K01NE8</t>
        </is>
      </c>
    </row>
    <row r="7706">
      <c r="A7706" t="inlineStr">
        <is>
          <t xml:space="preserve">Kotak Mahindra Mutual Fund</t>
        </is>
      </c>
      <c r="B7706" t="inlineStr">
        <is>
          <t xml:space="preserve">Kotak Liquid Fund - Direct Plan - Weekly - Reinvestment &amp; Payout of Income Distribution cum capital withdrawal option</t>
        </is>
      </c>
      <c r="C7706" t="inlineStr">
        <is>
          <t xml:space="preserve">INF174KA1WL3</t>
        </is>
      </c>
    </row>
    <row r="7707">
      <c r="A7707" t="inlineStr">
        <is>
          <t xml:space="preserve">Kotak Mahindra Mutual Fund</t>
        </is>
      </c>
      <c r="B7707" t="inlineStr">
        <is>
          <t xml:space="preserve">Kotak Liquid Fund - Regular  - Daily Reinvestment of Income Distribution cum capital withdrawal option</t>
        </is>
      </c>
      <c r="C7707" t="inlineStr">
        <is>
          <t xml:space="preserve">INF174K01NL3</t>
        </is>
      </c>
    </row>
    <row r="7708">
      <c r="A7708" t="inlineStr">
        <is>
          <t xml:space="preserve">Kotak Mahindra Mutual Fund</t>
        </is>
      </c>
      <c r="B7708" t="inlineStr">
        <is>
          <t xml:space="preserve">Kotak Liquid Fund - Regular Plan - Growth</t>
        </is>
      </c>
      <c r="C7708" t="inlineStr">
        <is>
          <t xml:space="preserve">INF174K01NI9</t>
        </is>
      </c>
    </row>
    <row r="7709">
      <c r="A7709" t="inlineStr">
        <is>
          <t xml:space="preserve">Kotak Mahindra Mutual Fund</t>
        </is>
      </c>
      <c r="B7709" t="inlineStr">
        <is>
          <t xml:space="preserve">Kotak Liquid Fund - Regular Plan - Weekly - Reinvestment &amp; Payout of Income Distribution cum capital withdrawal option</t>
        </is>
      </c>
      <c r="C7709" t="inlineStr">
        <is>
          <t xml:space="preserve">INF174KA1WK5</t>
        </is>
      </c>
    </row>
    <row r="7710">
      <c r="A7710" t="inlineStr">
        <is>
          <t xml:space="preserve">Kotak Mahindra Mutual Fund</t>
        </is>
      </c>
      <c r="B7710" t="inlineStr">
        <is>
          <t xml:space="preserve">Kotak Long Duration Fund - Direct Plan - Growth</t>
        </is>
      </c>
      <c r="C7710" t="inlineStr">
        <is>
          <t xml:space="preserve">INF174KA1RF5</t>
        </is>
      </c>
    </row>
    <row r="7711">
      <c r="A7711" t="inlineStr">
        <is>
          <t xml:space="preserve">Kotak Mahindra Mutual Fund</t>
        </is>
      </c>
      <c r="B7711" t="inlineStr">
        <is>
          <t xml:space="preserve">Kotak Long Duration Fund - Direct Plan - IDCW</t>
        </is>
      </c>
      <c r="C7711" t="inlineStr">
        <is>
          <t xml:space="preserve">INF174KA1RG3</t>
        </is>
      </c>
    </row>
    <row r="7712">
      <c r="A7712" t="inlineStr">
        <is>
          <t xml:space="preserve">Kotak Mahindra Mutual Fund</t>
        </is>
      </c>
      <c r="B7712" t="inlineStr">
        <is>
          <t xml:space="preserve">Kotak Long Duration Fund - Regular Plan - Growth</t>
        </is>
      </c>
      <c r="C7712" t="inlineStr">
        <is>
          <t xml:space="preserve">INF174KA1RC2</t>
        </is>
      </c>
    </row>
    <row r="7713">
      <c r="A7713" t="inlineStr">
        <is>
          <t xml:space="preserve">Kotak Mahindra Mutual Fund</t>
        </is>
      </c>
      <c r="B7713" t="inlineStr">
        <is>
          <t xml:space="preserve">Kotak Long Duration Fund - Regular Plan - IDCW</t>
        </is>
      </c>
      <c r="C7713" t="inlineStr">
        <is>
          <t xml:space="preserve">INF174KA1RD0</t>
        </is>
      </c>
    </row>
    <row r="7714">
      <c r="A7714" t="inlineStr">
        <is>
          <t xml:space="preserve">Kotak Mahindra Mutual Fund</t>
        </is>
      </c>
      <c r="B7714" t="inlineStr">
        <is>
          <t xml:space="preserve">Kotak Low Duration Fund - Direct Plan - Monthly - Reinvestment &amp; Payout of Income Distribution cum Capital Withdrawal Option</t>
        </is>
      </c>
      <c r="C7714" t="inlineStr">
        <is>
          <t xml:space="preserve">INF174KA1A03</t>
        </is>
      </c>
    </row>
    <row r="7715">
      <c r="A7715" t="inlineStr">
        <is>
          <t xml:space="preserve">Kotak Mahindra Mutual Fund</t>
        </is>
      </c>
      <c r="B7715" t="inlineStr">
        <is>
          <t xml:space="preserve">Kotak Low Duration Fund - Direct Plan - Weekly - Reinvestment &amp; Payout of Income Distribution cum Capital Withdrawal Option</t>
        </is>
      </c>
      <c r="C7715" t="inlineStr">
        <is>
          <t xml:space="preserve">INF174KA1ZW3</t>
        </is>
      </c>
    </row>
    <row r="7716">
      <c r="A7716" t="inlineStr">
        <is>
          <t xml:space="preserve">Kotak Mahindra Mutual Fund</t>
        </is>
      </c>
      <c r="B7716" t="inlineStr">
        <is>
          <t xml:space="preserve">Kotak Low Duration Fund - Direct Plan- Standard Income Distribution cum capital withdrawal option</t>
        </is>
      </c>
      <c r="C7716" t="inlineStr">
        <is>
          <t xml:space="preserve">INF178L01AZ9</t>
        </is>
      </c>
    </row>
    <row r="7717">
      <c r="A7717" t="inlineStr">
        <is>
          <t xml:space="preserve">Kotak Mahindra Mutual Fund</t>
        </is>
      </c>
      <c r="B7717" t="inlineStr">
        <is>
          <t xml:space="preserve">Kotak Low Duration Fund - Regular Plan - Monthly - Reinvestment &amp; Payout of Income Distribution cum Capital Withdrawal Option</t>
        </is>
      </c>
      <c r="C7717" t="inlineStr">
        <is>
          <t xml:space="preserve">INF174KA1ZZ6</t>
        </is>
      </c>
    </row>
    <row r="7718">
      <c r="A7718" t="inlineStr">
        <is>
          <t xml:space="preserve">Kotak Mahindra Mutual Fund</t>
        </is>
      </c>
      <c r="B7718" t="inlineStr">
        <is>
          <t xml:space="preserve">Kotak Low Duration Fund- Direct Plan- Growth Option</t>
        </is>
      </c>
      <c r="C7718" t="inlineStr">
        <is>
          <t xml:space="preserve">INF178L01AX4</t>
        </is>
      </c>
    </row>
    <row r="7719">
      <c r="A7719" t="inlineStr">
        <is>
          <t xml:space="preserve">Kotak Mahindra Mutual Fund</t>
        </is>
      </c>
      <c r="B7719" t="inlineStr">
        <is>
          <t xml:space="preserve">Kotak Low Duration Fund- Regular Plan-Growth Option</t>
        </is>
      </c>
      <c r="C7719" t="inlineStr">
        <is>
          <t xml:space="preserve">INF178L01202</t>
        </is>
      </c>
    </row>
    <row r="7720">
      <c r="A7720" t="inlineStr">
        <is>
          <t xml:space="preserve">Kotak Mahindra Mutual Fund</t>
        </is>
      </c>
      <c r="B7720" t="inlineStr">
        <is>
          <t xml:space="preserve">Kotak Low Duration Fund- Regular Plan-Standard Income Distribution cum capital withdrawal option</t>
        </is>
      </c>
      <c r="C7720" t="inlineStr">
        <is>
          <t xml:space="preserve">INF178L01210</t>
        </is>
      </c>
    </row>
    <row r="7721">
      <c r="A7721" t="inlineStr">
        <is>
          <t xml:space="preserve">Kotak Mahindra Mutual Fund</t>
        </is>
      </c>
      <c r="B7721" t="inlineStr">
        <is>
          <t xml:space="preserve">Kotak Manufacture in India Fund - Direct Plan Growth</t>
        </is>
      </c>
      <c r="C7721" t="inlineStr">
        <is>
          <t xml:space="preserve">INF174KA1IF4</t>
        </is>
      </c>
    </row>
    <row r="7722">
      <c r="A7722" t="inlineStr">
        <is>
          <t xml:space="preserve">Kotak Mahindra Mutual Fund</t>
        </is>
      </c>
      <c r="B7722" t="inlineStr">
        <is>
          <t xml:space="preserve">Kotak Manufacture in India Fund - Direct Plan IDCW Option</t>
        </is>
      </c>
      <c r="C7722" t="inlineStr">
        <is>
          <t xml:space="preserve">INF174KA1IG2</t>
        </is>
      </c>
    </row>
    <row r="7723">
      <c r="A7723" t="inlineStr">
        <is>
          <t xml:space="preserve">Kotak Mahindra Mutual Fund</t>
        </is>
      </c>
      <c r="B7723" t="inlineStr">
        <is>
          <t xml:space="preserve">Kotak Manufacture in India Fund - Regular Plan Growth</t>
        </is>
      </c>
      <c r="C7723" t="inlineStr">
        <is>
          <t xml:space="preserve">INF174KA1IC1</t>
        </is>
      </c>
    </row>
    <row r="7724">
      <c r="A7724" t="inlineStr">
        <is>
          <t xml:space="preserve">Kotak Mahindra Mutual Fund</t>
        </is>
      </c>
      <c r="B7724" t="inlineStr">
        <is>
          <t xml:space="preserve">Kotak Manufacture in India Fund - Regular Plan IDCW Option</t>
        </is>
      </c>
      <c r="C7724" t="inlineStr">
        <is>
          <t xml:space="preserve">INF174KA1ID9</t>
        </is>
      </c>
    </row>
    <row r="7725">
      <c r="A7725" t="inlineStr">
        <is>
          <t xml:space="preserve">Kotak Mahindra Mutual Fund</t>
        </is>
      </c>
      <c r="B7725" t="inlineStr">
        <is>
          <t xml:space="preserve">Kotak Medium Term Fund - Direct - Standard Income Distribution cum capital withdrawal option</t>
        </is>
      </c>
      <c r="C7725" t="inlineStr">
        <is>
          <t xml:space="preserve">INF174K01VS1</t>
        </is>
      </c>
    </row>
    <row r="7726">
      <c r="A7726" t="inlineStr">
        <is>
          <t xml:space="preserve">Kotak Mahindra Mutual Fund</t>
        </is>
      </c>
      <c r="B7726" t="inlineStr">
        <is>
          <t xml:space="preserve">Kotak Medium Term Fund - Direct Growth</t>
        </is>
      </c>
      <c r="C7726" t="inlineStr">
        <is>
          <t xml:space="preserve">INF174K01VQ5</t>
        </is>
      </c>
    </row>
    <row r="7727">
      <c r="A7727" t="inlineStr">
        <is>
          <t xml:space="preserve">Kotak Mahindra Mutual Fund</t>
        </is>
      </c>
      <c r="B7727" t="inlineStr">
        <is>
          <t xml:space="preserve">Kotak Medium Term Fund - Growth</t>
        </is>
      </c>
      <c r="C7727" t="inlineStr">
        <is>
          <t xml:space="preserve">INF174K01VL6</t>
        </is>
      </c>
    </row>
    <row r="7728">
      <c r="A7728" t="inlineStr">
        <is>
          <t xml:space="preserve">Kotak Mahindra Mutual Fund</t>
        </is>
      </c>
      <c r="B7728" t="inlineStr">
        <is>
          <t xml:space="preserve">Kotak Medium Term Fund - Standard Income Distribution cum capital withdrawal option</t>
        </is>
      </c>
      <c r="C7728" t="inlineStr">
        <is>
          <t xml:space="preserve">INF174K01VN2</t>
        </is>
      </c>
    </row>
    <row r="7729">
      <c r="A7729" t="inlineStr">
        <is>
          <t xml:space="preserve">Kotak Mahindra Mutual Fund</t>
        </is>
      </c>
      <c r="B7729" t="inlineStr">
        <is>
          <t xml:space="preserve">Kotak Midcap Fund  - Direct Plan - IDCW - Payout &amp; Re-investment of Income Distribution cum capital withdrawal option</t>
        </is>
      </c>
      <c r="C7729" t="inlineStr">
        <is>
          <t xml:space="preserve">INF174K01LU8</t>
        </is>
      </c>
    </row>
    <row r="7730">
      <c r="A7730" t="inlineStr">
        <is>
          <t xml:space="preserve">Kotak Mahindra Mutual Fund</t>
        </is>
      </c>
      <c r="B7730" t="inlineStr">
        <is>
          <t xml:space="preserve">Kotak Midcap Fund - Direct Plan - Growth</t>
        </is>
      </c>
      <c r="C7730" t="inlineStr">
        <is>
          <t xml:space="preserve">INF174K01LT0</t>
        </is>
      </c>
    </row>
    <row r="7731">
      <c r="A7731" t="inlineStr">
        <is>
          <t xml:space="preserve">Kotak Mahindra Mutual Fund</t>
        </is>
      </c>
      <c r="B7731" t="inlineStr">
        <is>
          <t xml:space="preserve">Kotak Midcap Fund - Regular Plan - Growth</t>
        </is>
      </c>
      <c r="C7731" t="inlineStr">
        <is>
          <t xml:space="preserve">INF174K01DS9</t>
        </is>
      </c>
    </row>
    <row r="7732">
      <c r="A7732" t="inlineStr">
        <is>
          <t xml:space="preserve">Kotak Mahindra Mutual Fund</t>
        </is>
      </c>
      <c r="B7732" t="inlineStr">
        <is>
          <t xml:space="preserve">Kotak Midcap Fund - Regular Plan - IDCW -Payout &amp; Re-investment of Income Distribution cum capital withdrawal option</t>
        </is>
      </c>
      <c r="C7732" t="inlineStr">
        <is>
          <t xml:space="preserve">INF174K01DU5</t>
        </is>
      </c>
    </row>
    <row r="7733">
      <c r="A7733" t="inlineStr">
        <is>
          <t xml:space="preserve">Kotak Mahindra Mutual Fund</t>
        </is>
      </c>
      <c r="B7733" t="inlineStr">
        <is>
          <t xml:space="preserve">Kotak MNC Fund-Direct Plan-Growth</t>
        </is>
      </c>
      <c r="C7733" t="inlineStr">
        <is>
          <t xml:space="preserve">INF174KA1TG9</t>
        </is>
      </c>
    </row>
    <row r="7734">
      <c r="A7734" t="inlineStr">
        <is>
          <t xml:space="preserve">Kotak Mahindra Mutual Fund</t>
        </is>
      </c>
      <c r="B7734" t="inlineStr">
        <is>
          <t xml:space="preserve">Kotak MNC Fund-Direct Plan-IDCW Option</t>
        </is>
      </c>
      <c r="C7734" t="inlineStr">
        <is>
          <t xml:space="preserve">INF174KA1TH7</t>
        </is>
      </c>
    </row>
    <row r="7735">
      <c r="A7735" t="inlineStr">
        <is>
          <t xml:space="preserve">Kotak Mahindra Mutual Fund</t>
        </is>
      </c>
      <c r="B7735" t="inlineStr">
        <is>
          <t xml:space="preserve">Kotak MNC Fund-Regular Plan- Growth</t>
        </is>
      </c>
      <c r="C7735" t="inlineStr">
        <is>
          <t xml:space="preserve">INF174KA1TJ3</t>
        </is>
      </c>
    </row>
    <row r="7736">
      <c r="A7736" t="inlineStr">
        <is>
          <t xml:space="preserve">Kotak Mahindra Mutual Fund</t>
        </is>
      </c>
      <c r="B7736" t="inlineStr">
        <is>
          <t xml:space="preserve">KotaK MNC Fund-Regular Plan-IDCW OPTION</t>
        </is>
      </c>
      <c r="C7736" t="inlineStr">
        <is>
          <t xml:space="preserve">INF174KA1TK1</t>
        </is>
      </c>
    </row>
    <row r="7737">
      <c r="A7737" t="inlineStr">
        <is>
          <t xml:space="preserve">Kotak Mahindra Mutual Fund</t>
        </is>
      </c>
      <c r="B7737" t="inlineStr">
        <is>
          <t xml:space="preserve">Kotak Money Market Fund - (Growth)</t>
        </is>
      </c>
      <c r="C7737" t="inlineStr">
        <is>
          <t xml:space="preserve">INF174K01NA6</t>
        </is>
      </c>
    </row>
    <row r="7738">
      <c r="A7738" t="inlineStr">
        <is>
          <t xml:space="preserve">Kotak Mahindra Mutual Fund</t>
        </is>
      </c>
      <c r="B7738" t="inlineStr">
        <is>
          <t xml:space="preserve">Kotak Money Market Fund - (Growth) - Direct</t>
        </is>
      </c>
      <c r="C7738" t="inlineStr">
        <is>
          <t xml:space="preserve">INF174K01MW2</t>
        </is>
      </c>
    </row>
    <row r="7739">
      <c r="A7739" t="inlineStr">
        <is>
          <t xml:space="preserve">Kotak Mahindra Mutual Fund</t>
        </is>
      </c>
      <c r="B7739" t="inlineStr">
        <is>
          <t xml:space="preserve">Kotak Money market Fund - (Monthly Payout of Income Distribution cum capital withdrawal option)</t>
        </is>
      </c>
      <c r="C7739" t="inlineStr">
        <is>
          <t xml:space="preserve">INF174K018O0</t>
        </is>
      </c>
    </row>
    <row r="7740">
      <c r="A7740" t="inlineStr">
        <is>
          <t xml:space="preserve">Kotak Mahindra Mutual Fund</t>
        </is>
      </c>
      <c r="B7740" t="inlineStr">
        <is>
          <t xml:space="preserve">Kotak Money Market Fund - (Monthly Payout of Income Distribution cum capital withdrawal option) - Direct</t>
        </is>
      </c>
      <c r="C7740" t="inlineStr">
        <is>
          <t xml:space="preserve">INF174K019O8</t>
        </is>
      </c>
    </row>
    <row r="7741">
      <c r="A7741" t="inlineStr">
        <is>
          <t xml:space="preserve">Kotak Mahindra Mutual Fund</t>
        </is>
      </c>
      <c r="B7741" t="inlineStr">
        <is>
          <t xml:space="preserve">Kotak Monthly Interval Plan Series 4-Direct Plan- Dividend Reinvestment</t>
        </is>
      </c>
      <c r="C7741" t="inlineStr">
        <is>
          <t xml:space="preserve">INF174KA1DD0</t>
        </is>
      </c>
    </row>
    <row r="7742">
      <c r="A7742" t="inlineStr">
        <is>
          <t xml:space="preserve">Kotak Mahindra Mutual Fund</t>
        </is>
      </c>
      <c r="B7742" t="inlineStr">
        <is>
          <t xml:space="preserve">Kotak Monthly Interval Plan Series 4-Direct Plan- Growth</t>
        </is>
      </c>
      <c r="C7742" t="inlineStr">
        <is>
          <t xml:space="preserve">INF174KA1DB4</t>
        </is>
      </c>
    </row>
    <row r="7743">
      <c r="A7743" t="inlineStr">
        <is>
          <t xml:space="preserve">Kotak Mahindra Mutual Fund</t>
        </is>
      </c>
      <c r="B7743" t="inlineStr">
        <is>
          <t xml:space="preserve">Kotak Monthly Interval Plan Series 4-Regular Plan- Dividend Reinvestment</t>
        </is>
      </c>
      <c r="C7743" t="inlineStr">
        <is>
          <t xml:space="preserve">INF174KA1DC2</t>
        </is>
      </c>
    </row>
    <row r="7744">
      <c r="A7744" t="inlineStr">
        <is>
          <t xml:space="preserve">Kotak Mahindra Mutual Fund</t>
        </is>
      </c>
      <c r="B7744" t="inlineStr">
        <is>
          <t xml:space="preserve">Kotak Monthly Interval Plan Series 4-Regular Plan- Growth</t>
        </is>
      </c>
      <c r="C7744" t="inlineStr">
        <is>
          <t xml:space="preserve">INF174KA1CZ5</t>
        </is>
      </c>
    </row>
    <row r="7745">
      <c r="A7745" t="inlineStr">
        <is>
          <t xml:space="preserve">Kotak Mahindra Mutual Fund</t>
        </is>
      </c>
      <c r="B7745" t="inlineStr">
        <is>
          <t xml:space="preserve">Kotak MSCI India ETF</t>
        </is>
      </c>
      <c r="C7745" t="inlineStr">
        <is>
          <t xml:space="preserve">INF174KA1VD2</t>
        </is>
      </c>
    </row>
    <row r="7746">
      <c r="A7746" t="inlineStr">
        <is>
          <t xml:space="preserve">Kotak Mahindra Mutual Fund</t>
        </is>
      </c>
      <c r="B7746" t="inlineStr">
        <is>
          <t xml:space="preserve">Kotak Multi Asset Active FOF - Direct - Growth</t>
        </is>
      </c>
      <c r="C7746" t="inlineStr">
        <is>
          <t xml:space="preserve">INF174KA1ZO0</t>
        </is>
      </c>
    </row>
    <row r="7747">
      <c r="A7747" t="inlineStr">
        <is>
          <t xml:space="preserve">Kotak Mahindra Mutual Fund</t>
        </is>
      </c>
      <c r="B7747" t="inlineStr">
        <is>
          <t xml:space="preserve">Kotak Multi Asset Active FOF - Direct - IDCW</t>
        </is>
      </c>
      <c r="C7747" t="inlineStr">
        <is>
          <t xml:space="preserve">INF174KA1ZP7</t>
        </is>
      </c>
    </row>
    <row r="7748">
      <c r="A7748" t="inlineStr">
        <is>
          <t xml:space="preserve">Kotak Mahindra Mutual Fund</t>
        </is>
      </c>
      <c r="B7748" t="inlineStr">
        <is>
          <t xml:space="preserve">Kotak Multi Asset Active FOF - Regular - Growth</t>
        </is>
      </c>
      <c r="C7748" t="inlineStr">
        <is>
          <t xml:space="preserve">INF174KA1ZR3</t>
        </is>
      </c>
    </row>
    <row r="7749">
      <c r="A7749" t="inlineStr">
        <is>
          <t xml:space="preserve">Kotak Mahindra Mutual Fund</t>
        </is>
      </c>
      <c r="B7749" t="inlineStr">
        <is>
          <t xml:space="preserve">Kotak Multi Asset Active FOF - Regular- IDCW</t>
        </is>
      </c>
      <c r="C7749" t="inlineStr">
        <is>
          <t xml:space="preserve">INF174KA1ZS1</t>
        </is>
      </c>
    </row>
    <row r="7750">
      <c r="A7750" t="inlineStr">
        <is>
          <t xml:space="preserve">Kotak Mahindra Mutual Fund</t>
        </is>
      </c>
      <c r="B7750" t="inlineStr">
        <is>
          <t xml:space="preserve">Kotak Multi Asset Allocation Fund - Direct Plan - Growth Option</t>
        </is>
      </c>
      <c r="C7750" t="inlineStr">
        <is>
          <t xml:space="preserve">INF174KA1PD4</t>
        </is>
      </c>
    </row>
    <row r="7751">
      <c r="A7751" t="inlineStr">
        <is>
          <t xml:space="preserve">Kotak Mahindra Mutual Fund</t>
        </is>
      </c>
      <c r="B7751" t="inlineStr">
        <is>
          <t xml:space="preserve">Kotak Multi Asset Allocation Fund - Direct Plan - IDCW Option</t>
        </is>
      </c>
      <c r="C7751" t="inlineStr">
        <is>
          <t xml:space="preserve">INF174KA1PE2</t>
        </is>
      </c>
    </row>
    <row r="7752">
      <c r="A7752" t="inlineStr">
        <is>
          <t xml:space="preserve">Kotak Mahindra Mutual Fund</t>
        </is>
      </c>
      <c r="B7752" t="inlineStr">
        <is>
          <t xml:space="preserve">Kotak Multi Asset Allocation Fund - Regular Plan - Growth Option</t>
        </is>
      </c>
      <c r="C7752" t="inlineStr">
        <is>
          <t xml:space="preserve">INF174KA1PA0</t>
        </is>
      </c>
    </row>
    <row r="7753">
      <c r="A7753" t="inlineStr">
        <is>
          <t xml:space="preserve">Kotak Mahindra Mutual Fund</t>
        </is>
      </c>
      <c r="B7753" t="inlineStr">
        <is>
          <t xml:space="preserve">Kotak Multi Asset Allocation Fund - Regular Plan - IDCW Option</t>
        </is>
      </c>
      <c r="C7753" t="inlineStr">
        <is>
          <t xml:space="preserve">INF174KA1PB8</t>
        </is>
      </c>
    </row>
    <row r="7754">
      <c r="A7754" t="inlineStr">
        <is>
          <t xml:space="preserve">Kotak Mahindra Mutual Fund</t>
        </is>
      </c>
      <c r="B7754" t="inlineStr">
        <is>
          <t xml:space="preserve">Kotak Multi Asset Omni FOF - Direct Growth - Direct</t>
        </is>
      </c>
      <c r="C7754" t="inlineStr">
        <is>
          <t xml:space="preserve">INF174K01LN3</t>
        </is>
      </c>
    </row>
    <row r="7755">
      <c r="A7755" t="inlineStr">
        <is>
          <t xml:space="preserve">Kotak Mahindra Mutual Fund</t>
        </is>
      </c>
      <c r="B7755" t="inlineStr">
        <is>
          <t xml:space="preserve">Kotak Multi Asset Omni FOF - Direct Payout of Income Distribution cum capital withdrawal option</t>
        </is>
      </c>
      <c r="C7755" t="inlineStr">
        <is>
          <t xml:space="preserve">INF174K01LO1</t>
        </is>
      </c>
    </row>
    <row r="7756">
      <c r="A7756" t="inlineStr">
        <is>
          <t xml:space="preserve">Kotak Mahindra Mutual Fund</t>
        </is>
      </c>
      <c r="B7756" t="inlineStr">
        <is>
          <t xml:space="preserve">Kotak Multi Asset Omni FOF - Growth- Regular</t>
        </is>
      </c>
      <c r="C7756" t="inlineStr">
        <is>
          <t xml:space="preserve">INF174K01468</t>
        </is>
      </c>
    </row>
    <row r="7757">
      <c r="A7757" t="inlineStr">
        <is>
          <t xml:space="preserve">Kotak Mahindra Mutual Fund</t>
        </is>
      </c>
      <c r="B7757" t="inlineStr">
        <is>
          <t xml:space="preserve">Kotak Multi Asset Omni FOF - Payout of Income Distribution cum capital withdrawal option</t>
        </is>
      </c>
      <c r="C7757" t="inlineStr">
        <is>
          <t xml:space="preserve">INF174K01484</t>
        </is>
      </c>
    </row>
    <row r="7758">
      <c r="A7758" t="inlineStr">
        <is>
          <t xml:space="preserve">Kotak Mahindra Mutual Fund</t>
        </is>
      </c>
      <c r="B7758" t="inlineStr">
        <is>
          <t xml:space="preserve">Kotak Multi Factor Passive FOF - Direct- Growth</t>
        </is>
      </c>
      <c r="C7758" t="inlineStr">
        <is>
          <t xml:space="preserve">INF174KA1ZG6</t>
        </is>
      </c>
    </row>
    <row r="7759">
      <c r="A7759" t="inlineStr">
        <is>
          <t xml:space="preserve">Kotak Mahindra Mutual Fund</t>
        </is>
      </c>
      <c r="B7759" t="inlineStr">
        <is>
          <t xml:space="preserve">Kotak Multi Factor Passive FOF - Regular- Growth</t>
        </is>
      </c>
      <c r="C7759" t="inlineStr">
        <is>
          <t xml:space="preserve">INF174KA1ZH4</t>
        </is>
      </c>
    </row>
    <row r="7760">
      <c r="A7760" t="inlineStr">
        <is>
          <t xml:space="preserve">Kotak Mahindra Mutual Fund</t>
        </is>
      </c>
      <c r="B7760" t="inlineStr">
        <is>
          <t xml:space="preserve">Kotak Multicap Fund- Regular Plan -IDCW Option</t>
        </is>
      </c>
      <c r="C7760" t="inlineStr">
        <is>
          <t xml:space="preserve">INF174KA1HT7</t>
        </is>
      </c>
    </row>
    <row r="7761">
      <c r="A7761" t="inlineStr">
        <is>
          <t xml:space="preserve">Kotak Mahindra Mutual Fund</t>
        </is>
      </c>
      <c r="B7761" t="inlineStr">
        <is>
          <t xml:space="preserve">Kotak Multicap Fund-Direct Plan-Growth</t>
        </is>
      </c>
      <c r="C7761" t="inlineStr">
        <is>
          <t xml:space="preserve">INF174KA1HV3</t>
        </is>
      </c>
    </row>
    <row r="7762">
      <c r="A7762" t="inlineStr">
        <is>
          <t xml:space="preserve">Kotak Mahindra Mutual Fund</t>
        </is>
      </c>
      <c r="B7762" t="inlineStr">
        <is>
          <t xml:space="preserve">Kotak Multicap Fund-Direct Plan-IDCW Option</t>
        </is>
      </c>
      <c r="C7762" t="inlineStr">
        <is>
          <t xml:space="preserve">INF174KA1HW1</t>
        </is>
      </c>
    </row>
    <row r="7763">
      <c r="A7763" t="inlineStr">
        <is>
          <t xml:space="preserve">Kotak Mahindra Mutual Fund</t>
        </is>
      </c>
      <c r="B7763" t="inlineStr">
        <is>
          <t xml:space="preserve">Kotak Multicap Fund-Regular Plan-Growth</t>
        </is>
      </c>
      <c r="C7763" t="inlineStr">
        <is>
          <t xml:space="preserve">INF174KA1HS9</t>
        </is>
      </c>
    </row>
    <row r="7764">
      <c r="A7764" t="inlineStr">
        <is>
          <t xml:space="preserve">Kotak Mahindra Mutual Fund</t>
        </is>
      </c>
      <c r="B7764" t="inlineStr">
        <is>
          <t xml:space="preserve">Kotak Nifty 100 Equal Weight ETF</t>
        </is>
      </c>
      <c r="C7764" t="inlineStr">
        <is>
          <t xml:space="preserve">INF174KA1UW4</t>
        </is>
      </c>
    </row>
    <row r="7765">
      <c r="A7765" t="inlineStr">
        <is>
          <t xml:space="preserve">Kotak Mahindra Mutual Fund</t>
        </is>
      </c>
      <c r="B7765" t="inlineStr">
        <is>
          <t xml:space="preserve">Kotak Nifty 100 Equal Weight Index Fund - Direct Plan - Growth</t>
        </is>
      </c>
      <c r="C7765" t="inlineStr">
        <is>
          <t xml:space="preserve">INF174KA1TY2</t>
        </is>
      </c>
    </row>
    <row r="7766">
      <c r="A7766" t="inlineStr">
        <is>
          <t xml:space="preserve">Kotak Mahindra Mutual Fund</t>
        </is>
      </c>
      <c r="B7766" t="inlineStr">
        <is>
          <t xml:space="preserve">Kotak Nifty 100 Equal Weight index Fund - Direct Plan - IDCW Option</t>
        </is>
      </c>
      <c r="C7766" t="inlineStr">
        <is>
          <t xml:space="preserve">INF174KA1TZ9</t>
        </is>
      </c>
    </row>
    <row r="7767">
      <c r="A7767" t="inlineStr">
        <is>
          <t xml:space="preserve">Kotak Mahindra Mutual Fund</t>
        </is>
      </c>
      <c r="B7767" t="inlineStr">
        <is>
          <t xml:space="preserve">Kotak Nifty 100 Equal Weight Index Fund - Regular Plan - Growth</t>
        </is>
      </c>
      <c r="C7767" t="inlineStr">
        <is>
          <t xml:space="preserve">INF174KA1UB8</t>
        </is>
      </c>
    </row>
    <row r="7768">
      <c r="A7768" t="inlineStr">
        <is>
          <t xml:space="preserve">Kotak Mahindra Mutual Fund</t>
        </is>
      </c>
      <c r="B7768" t="inlineStr">
        <is>
          <t xml:space="preserve">Kotak Nifty 100 Equal Weight Index Fund - Regular Plan - IDCW Option</t>
        </is>
      </c>
      <c r="C7768" t="inlineStr">
        <is>
          <t xml:space="preserve">INF174KA1UC6</t>
        </is>
      </c>
    </row>
    <row r="7769">
      <c r="A7769" t="inlineStr">
        <is>
          <t xml:space="preserve">Kotak Mahindra Mutual Fund</t>
        </is>
      </c>
      <c r="B7769" t="inlineStr">
        <is>
          <t xml:space="preserve">Kotak Nifty 100 Low Volatility 30 ETF</t>
        </is>
      </c>
      <c r="C7769" t="inlineStr">
        <is>
          <t xml:space="preserve">INF174KA1IY5</t>
        </is>
      </c>
    </row>
    <row r="7770">
      <c r="A7770" t="inlineStr">
        <is>
          <t xml:space="preserve">Kotak Mahindra Mutual Fund</t>
        </is>
      </c>
      <c r="B7770" t="inlineStr">
        <is>
          <t xml:space="preserve">Kotak NIFTY 100 Low Volatility 30 Index Fund - Direct plan - Growth option</t>
        </is>
      </c>
      <c r="C7770" t="inlineStr">
        <is>
          <t xml:space="preserve">INF174KA1RZ3</t>
        </is>
      </c>
    </row>
    <row r="7771">
      <c r="A7771" t="inlineStr">
        <is>
          <t xml:space="preserve">Kotak Mahindra Mutual Fund</t>
        </is>
      </c>
      <c r="B7771" t="inlineStr">
        <is>
          <t xml:space="preserve">Kotak NIFTY 100 Low Volatility 30 Index Fund - Direct plan - IDCW option</t>
        </is>
      </c>
      <c r="C7771" t="inlineStr">
        <is>
          <t xml:space="preserve">INF174KA1SA4</t>
        </is>
      </c>
    </row>
    <row r="7772">
      <c r="A7772" t="inlineStr">
        <is>
          <t xml:space="preserve">Kotak Mahindra Mutual Fund</t>
        </is>
      </c>
      <c r="B7772" t="inlineStr">
        <is>
          <t xml:space="preserve">Kotak NIFTY 100 Low Volatility 30 Index Fund - Regular plan - Growth option</t>
        </is>
      </c>
      <c r="C7772" t="inlineStr">
        <is>
          <t xml:space="preserve">INF174KA1RW0</t>
        </is>
      </c>
    </row>
    <row r="7773">
      <c r="A7773" t="inlineStr">
        <is>
          <t xml:space="preserve">Kotak Mahindra Mutual Fund</t>
        </is>
      </c>
      <c r="B7773" t="inlineStr">
        <is>
          <t xml:space="preserve">Kotak NIFTY 100 Low Volatility 30 Index Fund - Regular plan - IDCW option</t>
        </is>
      </c>
      <c r="C7773" t="inlineStr">
        <is>
          <t xml:space="preserve">INF174KA1RX8</t>
        </is>
      </c>
    </row>
    <row r="7774">
      <c r="A7774" t="inlineStr">
        <is>
          <t xml:space="preserve">Kotak Mahindra Mutual Fund</t>
        </is>
      </c>
      <c r="B7774" t="inlineStr">
        <is>
          <t xml:space="preserve">Kotak Nifty 1D Rate Liquid ETF</t>
        </is>
      </c>
      <c r="C7774" t="inlineStr">
        <is>
          <t xml:space="preserve">INF174KA1LV5</t>
        </is>
      </c>
    </row>
    <row r="7775">
      <c r="A7775" t="inlineStr">
        <is>
          <t xml:space="preserve">Kotak Mahindra Mutual Fund</t>
        </is>
      </c>
      <c r="B7775" t="inlineStr">
        <is>
          <t xml:space="preserve">Kotak Nifty 200 Momentum 30 ETF</t>
        </is>
      </c>
      <c r="C7775" t="inlineStr">
        <is>
          <t xml:space="preserve">INF174KA1XS6</t>
        </is>
      </c>
    </row>
    <row r="7776">
      <c r="A7776" t="inlineStr">
        <is>
          <t xml:space="preserve">Kotak Mahindra Mutual Fund</t>
        </is>
      </c>
      <c r="B7776" t="inlineStr">
        <is>
          <t xml:space="preserve">Kotak Nifty 200 Momentum 30 Index Fund - Direct Plan - Growth Option</t>
        </is>
      </c>
      <c r="C7776" t="inlineStr">
        <is>
          <t xml:space="preserve">INF174KA1OB1</t>
        </is>
      </c>
    </row>
    <row r="7777">
      <c r="A7777" t="inlineStr">
        <is>
          <t xml:space="preserve">Kotak Mahindra Mutual Fund</t>
        </is>
      </c>
      <c r="B7777" t="inlineStr">
        <is>
          <t xml:space="preserve">Kotak Nifty 200 Momentum 30 Index Fund - Direct Plan - IDCW Payout</t>
        </is>
      </c>
      <c r="C7777" t="inlineStr">
        <is>
          <t xml:space="preserve">INF174KA1OC9</t>
        </is>
      </c>
    </row>
    <row r="7778">
      <c r="A7778" t="inlineStr">
        <is>
          <t xml:space="preserve">Kotak Mahindra Mutual Fund</t>
        </is>
      </c>
      <c r="B7778" t="inlineStr">
        <is>
          <t xml:space="preserve">Kotak Nifty 200 Momentum 30 Index Fund - Regular Plan - Growth Option</t>
        </is>
      </c>
      <c r="C7778" t="inlineStr">
        <is>
          <t xml:space="preserve">INF174KA1NY5</t>
        </is>
      </c>
    </row>
    <row r="7779">
      <c r="A7779" t="inlineStr">
        <is>
          <t xml:space="preserve">Kotak Mahindra Mutual Fund</t>
        </is>
      </c>
      <c r="B7779" t="inlineStr">
        <is>
          <t xml:space="preserve">Kotak Nifty 200 Momentum 30 Index Fund - Regular Plan - IDCW Payout</t>
        </is>
      </c>
      <c r="C7779" t="inlineStr">
        <is>
          <t xml:space="preserve">INF174KA1NZ2</t>
        </is>
      </c>
    </row>
    <row r="7780">
      <c r="A7780" t="inlineStr">
        <is>
          <t xml:space="preserve">Kotak Mahindra Mutual Fund</t>
        </is>
      </c>
      <c r="B7780" t="inlineStr">
        <is>
          <t xml:space="preserve">KOTAK NIFTY 200 QUALITY 30 INDEX FUND - DIRECT PLAN - GROWTH</t>
        </is>
      </c>
      <c r="C7780" t="inlineStr">
        <is>
          <t xml:space="preserve">INF174KA1WN9</t>
        </is>
      </c>
    </row>
    <row r="7781">
      <c r="A7781" t="inlineStr">
        <is>
          <t xml:space="preserve">Kotak Mahindra Mutual Fund</t>
        </is>
      </c>
      <c r="B7781" t="inlineStr">
        <is>
          <t xml:space="preserve">KOTAK NIFTY 200 QUALITY 30 INDEX FUND - DIRECT PLAN - IDCW - PAYOUT AND REINVESTMENT</t>
        </is>
      </c>
      <c r="C7781" t="inlineStr">
        <is>
          <t xml:space="preserve">INF174KA1WO7</t>
        </is>
      </c>
    </row>
    <row r="7782">
      <c r="A7782" t="inlineStr">
        <is>
          <t xml:space="preserve">Kotak Mahindra Mutual Fund</t>
        </is>
      </c>
      <c r="B7782" t="inlineStr">
        <is>
          <t xml:space="preserve">KOTAK NIFTY 200 QUALITY 30 INDEX FUND - REGULAR PLAN - GROWTH</t>
        </is>
      </c>
      <c r="C7782" t="inlineStr">
        <is>
          <t xml:space="preserve">INF174KA1WQ2</t>
        </is>
      </c>
    </row>
    <row r="7783">
      <c r="A7783" t="inlineStr">
        <is>
          <t xml:space="preserve">Kotak Mahindra Mutual Fund</t>
        </is>
      </c>
      <c r="B7783" t="inlineStr">
        <is>
          <t xml:space="preserve">KOTAK NIFTY 200 QUALITY 30 INDEX FUND - REGULAR PLAN - IDCW - PAYOUT AND REINVESTMENT</t>
        </is>
      </c>
      <c r="C7783" t="inlineStr">
        <is>
          <t xml:space="preserve">INF174KA1WR0</t>
        </is>
      </c>
    </row>
    <row r="7784">
      <c r="A7784" t="inlineStr">
        <is>
          <t xml:space="preserve">Kotak Mahindra Mutual Fund</t>
        </is>
      </c>
      <c r="B7784" t="inlineStr">
        <is>
          <t xml:space="preserve">Kotak Nifty 50 Equal Weight Index Fund - Direct Plan - Growth</t>
        </is>
      </c>
      <c r="C7784" t="inlineStr">
        <is>
          <t xml:space="preserve">INF174KA1UE2</t>
        </is>
      </c>
    </row>
    <row r="7785">
      <c r="A7785" t="inlineStr">
        <is>
          <t xml:space="preserve">Kotak Mahindra Mutual Fund</t>
        </is>
      </c>
      <c r="B7785" t="inlineStr">
        <is>
          <t xml:space="preserve">Kotak Nifty 50 Equal Weight Index Fund - Direct Plan - IDCW Option</t>
        </is>
      </c>
      <c r="C7785" t="inlineStr">
        <is>
          <t xml:space="preserve">INF174KA1UF9</t>
        </is>
      </c>
    </row>
    <row r="7786">
      <c r="A7786" t="inlineStr">
        <is>
          <t xml:space="preserve">Kotak Mahindra Mutual Fund</t>
        </is>
      </c>
      <c r="B7786" t="inlineStr">
        <is>
          <t xml:space="preserve">Kotak Nifty 50 Equal Weight Index Fund - Regular Plan - Growth</t>
        </is>
      </c>
      <c r="C7786" t="inlineStr">
        <is>
          <t xml:space="preserve">INF174KA1UH5</t>
        </is>
      </c>
    </row>
    <row r="7787">
      <c r="A7787" t="inlineStr">
        <is>
          <t xml:space="preserve">Kotak Mahindra Mutual Fund</t>
        </is>
      </c>
      <c r="B7787" t="inlineStr">
        <is>
          <t xml:space="preserve">Kotak Nifty 50 Equal Weight Index Fund - Regular Plan - IDCW Option</t>
        </is>
      </c>
      <c r="C7787" t="inlineStr">
        <is>
          <t xml:space="preserve">INF174KA1UI3</t>
        </is>
      </c>
    </row>
    <row r="7788">
      <c r="A7788" t="inlineStr">
        <is>
          <t xml:space="preserve">Kotak Mahindra Mutual Fund</t>
        </is>
      </c>
      <c r="B7788" t="inlineStr">
        <is>
          <t xml:space="preserve">Kotak Nifty 50 ETF</t>
        </is>
      </c>
      <c r="C7788" t="inlineStr">
        <is>
          <t xml:space="preserve">INF174K014P6</t>
        </is>
      </c>
    </row>
    <row r="7789">
      <c r="A7789" t="inlineStr">
        <is>
          <t xml:space="preserve">Kotak Mahindra Mutual Fund</t>
        </is>
      </c>
      <c r="B7789" t="inlineStr">
        <is>
          <t xml:space="preserve">Kotak Nifty 50 Index Fund - Direct Plan-Growth</t>
        </is>
      </c>
      <c r="C7789" t="inlineStr">
        <is>
          <t xml:space="preserve">INF174KA1HA7</t>
        </is>
      </c>
    </row>
    <row r="7790">
      <c r="A7790" t="inlineStr">
        <is>
          <t xml:space="preserve">Kotak Mahindra Mutual Fund</t>
        </is>
      </c>
      <c r="B7790" t="inlineStr">
        <is>
          <t xml:space="preserve">Kotak Nifty 50 Index Fund - Direct Plan-IDCW Payout</t>
        </is>
      </c>
      <c r="C7790" t="inlineStr">
        <is>
          <t xml:space="preserve">INF174KA1HB5</t>
        </is>
      </c>
    </row>
    <row r="7791">
      <c r="A7791" t="inlineStr">
        <is>
          <t xml:space="preserve">Kotak Mahindra Mutual Fund</t>
        </is>
      </c>
      <c r="B7791" t="inlineStr">
        <is>
          <t xml:space="preserve">Kotak Nifty 50 Index Fund - Regular Plan-Growth</t>
        </is>
      </c>
      <c r="C7791" t="inlineStr">
        <is>
          <t xml:space="preserve">INF174KA1GX1</t>
        </is>
      </c>
    </row>
    <row r="7792">
      <c r="A7792" t="inlineStr">
        <is>
          <t xml:space="preserve">Kotak Mahindra Mutual Fund</t>
        </is>
      </c>
      <c r="B7792" t="inlineStr">
        <is>
          <t xml:space="preserve">Kotak Nifty 50 Index Fund - Regular Plan-IDCW Payout</t>
        </is>
      </c>
      <c r="C7792" t="inlineStr">
        <is>
          <t xml:space="preserve">INF174KA1GY9</t>
        </is>
      </c>
    </row>
    <row r="7793">
      <c r="A7793" t="inlineStr">
        <is>
          <t xml:space="preserve">Kotak Mahindra Mutual Fund</t>
        </is>
      </c>
      <c r="B7793" t="inlineStr">
        <is>
          <t xml:space="preserve">Kotak Nifty 50 Value 20 ETF - Payout of Income Distribution cum capital withdrawal option</t>
        </is>
      </c>
      <c r="C7793" t="inlineStr">
        <is>
          <t xml:space="preserve">INF174KA1ZE1</t>
        </is>
      </c>
    </row>
    <row r="7794">
      <c r="A7794" t="inlineStr">
        <is>
          <t xml:space="preserve">Kotak Mahindra Mutual Fund</t>
        </is>
      </c>
      <c r="B7794" t="inlineStr">
        <is>
          <t xml:space="preserve">Kotak Nifty AAA Bond Financial Services Mar 2028 Index Fund - Direct Plan - Growth</t>
        </is>
      </c>
      <c r="C7794" t="inlineStr">
        <is>
          <t xml:space="preserve">INF174KA1WY6</t>
        </is>
      </c>
    </row>
    <row r="7795">
      <c r="A7795" t="inlineStr">
        <is>
          <t xml:space="preserve">Kotak Mahindra Mutual Fund</t>
        </is>
      </c>
      <c r="B7795" t="inlineStr">
        <is>
          <t xml:space="preserve">Kotak Nifty AAA Bond Financial Services Mar 2028 Index Fund - Direct Plan - IDCW - Payout &amp; Reinvestment</t>
        </is>
      </c>
      <c r="C7795" t="inlineStr">
        <is>
          <t xml:space="preserve">INF174KA1WZ3</t>
        </is>
      </c>
    </row>
    <row r="7796">
      <c r="A7796" t="inlineStr">
        <is>
          <t xml:space="preserve">Kotak Mahindra Mutual Fund</t>
        </is>
      </c>
      <c r="B7796" t="inlineStr">
        <is>
          <t xml:space="preserve">Kotak Nifty AAA Bond Financial Services Mar 2028 Index Fund - Regular Plan - Growth</t>
        </is>
      </c>
      <c r="C7796" t="inlineStr">
        <is>
          <t xml:space="preserve">INF174KA1WV2</t>
        </is>
      </c>
    </row>
    <row r="7797">
      <c r="A7797" t="inlineStr">
        <is>
          <t xml:space="preserve">Kotak Mahindra Mutual Fund</t>
        </is>
      </c>
      <c r="B7797" t="inlineStr">
        <is>
          <t xml:space="preserve">Kotak Nifty AAA Bond Financial Services Mar 2028 Index Fund - Regular Plan - IDCW - Payout &amp; Reinvestment</t>
        </is>
      </c>
      <c r="C7797" t="inlineStr">
        <is>
          <t xml:space="preserve">INF174KA1WW0</t>
        </is>
      </c>
    </row>
    <row r="7798">
      <c r="A7798" t="inlineStr">
        <is>
          <t xml:space="preserve">Kotak Mahindra Mutual Fund</t>
        </is>
      </c>
      <c r="B7798" t="inlineStr">
        <is>
          <t xml:space="preserve">Kotak Nifty Alpha 50 ETF</t>
        </is>
      </c>
      <c r="C7798" t="inlineStr">
        <is>
          <t xml:space="preserve">INF174KA1IA5</t>
        </is>
      </c>
    </row>
    <row r="7799">
      <c r="A7799" t="inlineStr">
        <is>
          <t xml:space="preserve">Kotak Mahindra Mutual Fund</t>
        </is>
      </c>
      <c r="B7799" t="inlineStr">
        <is>
          <t xml:space="preserve">Kotak Nifty Alpha 50 Index Fund - Direct Plan - Growth</t>
        </is>
      </c>
      <c r="C7799" t="inlineStr">
        <is>
          <t xml:space="preserve">INF174KA1XG1</t>
        </is>
      </c>
    </row>
    <row r="7800">
      <c r="A7800" t="inlineStr">
        <is>
          <t xml:space="preserve">Kotak Mahindra Mutual Fund</t>
        </is>
      </c>
      <c r="B7800" t="inlineStr">
        <is>
          <t xml:space="preserve">Kotak Nifty Alpha 50 Index Fund - Direct Plan - IDCW - Payout &amp; Reinvestment</t>
        </is>
      </c>
      <c r="C7800" t="inlineStr">
        <is>
          <t xml:space="preserve">INF174KA1XH9</t>
        </is>
      </c>
    </row>
    <row r="7801">
      <c r="A7801" t="inlineStr">
        <is>
          <t xml:space="preserve">Kotak Mahindra Mutual Fund</t>
        </is>
      </c>
      <c r="B7801" t="inlineStr">
        <is>
          <t xml:space="preserve">Kotak Nifty Alpha 50 Index Fund - Regular Plan - Growth</t>
        </is>
      </c>
      <c r="C7801" t="inlineStr">
        <is>
          <t xml:space="preserve">INF174KA1XJ5</t>
        </is>
      </c>
    </row>
    <row r="7802">
      <c r="A7802" t="inlineStr">
        <is>
          <t xml:space="preserve">Kotak Mahindra Mutual Fund</t>
        </is>
      </c>
      <c r="B7802" t="inlineStr">
        <is>
          <t xml:space="preserve">Kotak Nifty Alpha 50 Index Fund - Regular Plan - IDCW - Payout &amp; Reinvestment</t>
        </is>
      </c>
      <c r="C7802" t="inlineStr">
        <is>
          <t xml:space="preserve">INF174KA1XK3</t>
        </is>
      </c>
    </row>
    <row r="7803">
      <c r="A7803" t="inlineStr">
        <is>
          <t xml:space="preserve">Kotak Mahindra Mutual Fund</t>
        </is>
      </c>
      <c r="B7803" t="inlineStr">
        <is>
          <t xml:space="preserve">Kotak Nifty Alpha Low Volatility 30 Index Fund - Direct- Growth</t>
        </is>
      </c>
      <c r="C7803" t="inlineStr">
        <is>
          <t xml:space="preserve">INF174KA1A29</t>
        </is>
      </c>
    </row>
    <row r="7804">
      <c r="A7804" t="inlineStr">
        <is>
          <t xml:space="preserve">Kotak Mahindra Mutual Fund</t>
        </is>
      </c>
      <c r="B7804" t="inlineStr">
        <is>
          <t xml:space="preserve">Kotak Nifty Alpha Low Volatility 30 Index Fund - Direct- IDCW</t>
        </is>
      </c>
      <c r="C7804" t="inlineStr">
        <is>
          <t xml:space="preserve">INF174KA1A37</t>
        </is>
      </c>
    </row>
    <row r="7805">
      <c r="A7805" t="inlineStr">
        <is>
          <t xml:space="preserve">Kotak Mahindra Mutual Fund</t>
        </is>
      </c>
      <c r="B7805" t="inlineStr">
        <is>
          <t xml:space="preserve">Kotak Nifty Alpha Low Volatility 30 Index Fund - Regular - Growth</t>
        </is>
      </c>
      <c r="C7805" t="inlineStr">
        <is>
          <t xml:space="preserve">INF174KA1A52</t>
        </is>
      </c>
    </row>
    <row r="7806">
      <c r="A7806" t="inlineStr">
        <is>
          <t xml:space="preserve">Kotak Mahindra Mutual Fund</t>
        </is>
      </c>
      <c r="B7806" t="inlineStr">
        <is>
          <t xml:space="preserve">Kotak Nifty Alpha Low Volatility 30 Index Fund - Regular - IDCW</t>
        </is>
      </c>
      <c r="C7806" t="inlineStr">
        <is>
          <t xml:space="preserve">INF174KA1A60</t>
        </is>
      </c>
    </row>
    <row r="7807">
      <c r="A7807" t="inlineStr">
        <is>
          <t xml:space="preserve">Kotak Mahindra Mutual Fund</t>
        </is>
      </c>
      <c r="B7807" t="inlineStr">
        <is>
          <t xml:space="preserve">Kotak Nifty Bank ETF</t>
        </is>
      </c>
      <c r="C7807" t="inlineStr">
        <is>
          <t xml:space="preserve">INF174KA1ZB7</t>
        </is>
      </c>
    </row>
    <row r="7808">
      <c r="A7808" t="inlineStr">
        <is>
          <t xml:space="preserve">Kotak Mahindra Mutual Fund</t>
        </is>
      </c>
      <c r="B7808" t="inlineStr">
        <is>
          <t xml:space="preserve">Kotak Nifty Chemicals ETF</t>
        </is>
      </c>
      <c r="C7808" t="inlineStr">
        <is>
          <t xml:space="preserve">INF174KA1XV0</t>
        </is>
      </c>
    </row>
    <row r="7809">
      <c r="A7809" t="inlineStr">
        <is>
          <t xml:space="preserve">Kotak Mahindra Mutual Fund</t>
        </is>
      </c>
      <c r="B7809" t="inlineStr">
        <is>
          <t xml:space="preserve">Kotak Nifty Commodities Index Fund-Direct Growth</t>
        </is>
      </c>
      <c r="C7809" t="inlineStr">
        <is>
          <t xml:space="preserve">INF174KA1VE0</t>
        </is>
      </c>
    </row>
    <row r="7810">
      <c r="A7810" t="inlineStr">
        <is>
          <t xml:space="preserve">Kotak Mahindra Mutual Fund</t>
        </is>
      </c>
      <c r="B7810" t="inlineStr">
        <is>
          <t xml:space="preserve">KOTAK NIFTY COMMODITIES INDEX FUND-DIRECT-IDCW-PAYOUT &amp; REINVESTMENT</t>
        </is>
      </c>
      <c r="C7810" t="inlineStr">
        <is>
          <t xml:space="preserve">INF174KA1VF7</t>
        </is>
      </c>
    </row>
    <row r="7811">
      <c r="A7811" t="inlineStr">
        <is>
          <t xml:space="preserve">Kotak Mahindra Mutual Fund</t>
        </is>
      </c>
      <c r="B7811" t="inlineStr">
        <is>
          <t xml:space="preserve">KOTAK NIFTY COMMODITIES INDEX FUND-REGULAR GROWTH</t>
        </is>
      </c>
      <c r="C7811" t="inlineStr">
        <is>
          <t xml:space="preserve">INF174KA1VH3</t>
        </is>
      </c>
    </row>
    <row r="7812">
      <c r="A7812" t="inlineStr">
        <is>
          <t xml:space="preserve">Kotak Mahindra Mutual Fund</t>
        </is>
      </c>
      <c r="B7812" t="inlineStr">
        <is>
          <t xml:space="preserve">KOTAK NIFTY COMMODITIES INDEX FUND-REGULAR-IDCW-PAYOUT &amp; REINVESTMENT</t>
        </is>
      </c>
      <c r="C7812" t="inlineStr">
        <is>
          <t xml:space="preserve">INF174KA1VI1</t>
        </is>
      </c>
    </row>
    <row r="7813">
      <c r="A7813" t="inlineStr">
        <is>
          <t xml:space="preserve">Kotak Mahindra Mutual Fund</t>
        </is>
      </c>
      <c r="B7813" t="inlineStr">
        <is>
          <t xml:space="preserve">Kotak Nifty Financial Services Ex-Bank Index Fund - Direct Plan - Growth option</t>
        </is>
      </c>
      <c r="C7813" t="inlineStr">
        <is>
          <t xml:space="preserve">INF174KA1OR7</t>
        </is>
      </c>
    </row>
    <row r="7814">
      <c r="A7814" t="inlineStr">
        <is>
          <t xml:space="preserve">Kotak Mahindra Mutual Fund</t>
        </is>
      </c>
      <c r="B7814" t="inlineStr">
        <is>
          <t xml:space="preserve">Kotak Nifty Financial Services Ex-Bank Index Fund - Direct Plan - IDCW option</t>
        </is>
      </c>
      <c r="C7814" t="inlineStr">
        <is>
          <t xml:space="preserve">INF174KA1OS5</t>
        </is>
      </c>
    </row>
    <row r="7815">
      <c r="A7815" t="inlineStr">
        <is>
          <t xml:space="preserve">Kotak Mahindra Mutual Fund</t>
        </is>
      </c>
      <c r="B7815" t="inlineStr">
        <is>
          <t xml:space="preserve">Kotak Nifty Financial Services Ex-Bank Index Fund - Regular Plan - Growth option</t>
        </is>
      </c>
      <c r="C7815" t="inlineStr">
        <is>
          <t xml:space="preserve">INF174KA1OO4</t>
        </is>
      </c>
    </row>
    <row r="7816">
      <c r="A7816" t="inlineStr">
        <is>
          <t xml:space="preserve">Kotak Mahindra Mutual Fund</t>
        </is>
      </c>
      <c r="B7816" t="inlineStr">
        <is>
          <t xml:space="preserve">Kotak Nifty Financial Services Ex-Bank Index Fund - Regular Plan - IDCW option</t>
        </is>
      </c>
      <c r="C7816" t="inlineStr">
        <is>
          <t xml:space="preserve">INF174KA1OP1</t>
        </is>
      </c>
    </row>
    <row r="7817">
      <c r="A7817" t="inlineStr">
        <is>
          <t xml:space="preserve">Kotak Mahindra Mutual Fund</t>
        </is>
      </c>
      <c r="B7817" t="inlineStr">
        <is>
          <t xml:space="preserve">Kotak Nifty G-Sec July 2033 Index Fund - Direct Plan - Growth</t>
        </is>
      </c>
      <c r="C7817" t="inlineStr">
        <is>
          <t xml:space="preserve">INF174KA1PJ1</t>
        </is>
      </c>
    </row>
    <row r="7818">
      <c r="A7818" t="inlineStr">
        <is>
          <t xml:space="preserve">Kotak Mahindra Mutual Fund</t>
        </is>
      </c>
      <c r="B7818" t="inlineStr">
        <is>
          <t xml:space="preserve">Kotak Nifty G-Sec July 2033 Index Fund - Direct Plan - IDCW Payout</t>
        </is>
      </c>
      <c r="C7818" t="inlineStr">
        <is>
          <t xml:space="preserve">INF174KA1PK9</t>
        </is>
      </c>
    </row>
    <row r="7819">
      <c r="A7819" t="inlineStr">
        <is>
          <t xml:space="preserve">Kotak Mahindra Mutual Fund</t>
        </is>
      </c>
      <c r="B7819" t="inlineStr">
        <is>
          <t xml:space="preserve">Kotak Nifty G-Sec July 2033 Index Fund - Regular Plan - Growth</t>
        </is>
      </c>
      <c r="C7819" t="inlineStr">
        <is>
          <t xml:space="preserve">INF174KA1PG7</t>
        </is>
      </c>
    </row>
    <row r="7820">
      <c r="A7820" t="inlineStr">
        <is>
          <t xml:space="preserve">Kotak Mahindra Mutual Fund</t>
        </is>
      </c>
      <c r="B7820" t="inlineStr">
        <is>
          <t xml:space="preserve">Kotak Nifty G-Sec July 2033 Index Fund - Regular Plan - IDCW Payout</t>
        </is>
      </c>
      <c r="C7820" t="inlineStr">
        <is>
          <t xml:space="preserve">INF174KA1PH5</t>
        </is>
      </c>
    </row>
    <row r="7821">
      <c r="A7821" t="inlineStr">
        <is>
          <t xml:space="preserve">Kotak Mahindra Mutual Fund</t>
        </is>
      </c>
      <c r="B7821" t="inlineStr">
        <is>
          <t xml:space="preserve">Kotak Nifty India Consumption ETF</t>
        </is>
      </c>
      <c r="C7821" t="inlineStr">
        <is>
          <t xml:space="preserve">INF174KA1ZF8</t>
        </is>
      </c>
    </row>
    <row r="7822">
      <c r="A7822" t="inlineStr">
        <is>
          <t xml:space="preserve">Kotak Mahindra Mutual Fund</t>
        </is>
      </c>
      <c r="B7822" t="inlineStr">
        <is>
          <t xml:space="preserve">Kotak Nifty India Tourism Index Fund-Direct Plan-IDCW Option</t>
        </is>
      </c>
      <c r="C7822" t="inlineStr">
        <is>
          <t xml:space="preserve">INF174KA1TA2</t>
        </is>
      </c>
    </row>
    <row r="7823">
      <c r="A7823" t="inlineStr">
        <is>
          <t xml:space="preserve">Kotak Mahindra Mutual Fund</t>
        </is>
      </c>
      <c r="B7823" t="inlineStr">
        <is>
          <t xml:space="preserve">Kotak Nifty India Tourism Index Fund-Direct-Growth Option</t>
        </is>
      </c>
      <c r="C7823" t="inlineStr">
        <is>
          <t xml:space="preserve">INF174KA1SZ1</t>
        </is>
      </c>
    </row>
    <row r="7824">
      <c r="A7824" t="inlineStr">
        <is>
          <t xml:space="preserve">Kotak Mahindra Mutual Fund</t>
        </is>
      </c>
      <c r="B7824" t="inlineStr">
        <is>
          <t xml:space="preserve">Kotak Nifty India Tourism Index Fund-Regular plan-Growth</t>
        </is>
      </c>
      <c r="C7824" t="inlineStr">
        <is>
          <t xml:space="preserve">INF174KA1TC8</t>
        </is>
      </c>
    </row>
    <row r="7825">
      <c r="A7825" t="inlineStr">
        <is>
          <t xml:space="preserve">Kotak Mahindra Mutual Fund</t>
        </is>
      </c>
      <c r="B7825" t="inlineStr">
        <is>
          <t xml:space="preserve">Kotak Nifty India Tourism Index Fund-Regular Plan-IDCW Option</t>
        </is>
      </c>
      <c r="C7825" t="inlineStr">
        <is>
          <t xml:space="preserve">INF174KA1TD6</t>
        </is>
      </c>
    </row>
    <row r="7826">
      <c r="A7826" t="inlineStr">
        <is>
          <t xml:space="preserve">Kotak Mahindra Mutual Fund</t>
        </is>
      </c>
      <c r="B7826" t="inlineStr">
        <is>
          <t xml:space="preserve">Kotak Nifty IT ETF</t>
        </is>
      </c>
      <c r="C7826" t="inlineStr">
        <is>
          <t xml:space="preserve">INF174KA1GC5</t>
        </is>
      </c>
    </row>
    <row r="7827">
      <c r="A7827" t="inlineStr">
        <is>
          <t xml:space="preserve">Kotak Mahindra Mutual Fund</t>
        </is>
      </c>
      <c r="B7827" t="inlineStr">
        <is>
          <t xml:space="preserve">Kotak Nifty Midcap 150 ETF</t>
        </is>
      </c>
      <c r="C7827" t="inlineStr">
        <is>
          <t xml:space="preserve">INF174KA1VW2</t>
        </is>
      </c>
    </row>
    <row r="7828">
      <c r="A7828" t="inlineStr">
        <is>
          <t xml:space="preserve">Kotak Mahindra Mutual Fund</t>
        </is>
      </c>
      <c r="B7828" t="inlineStr">
        <is>
          <t xml:space="preserve">KOTAK NIFTY MIDCAP 150 INDEX FUND-DIRECT PLAN-GROWTH</t>
        </is>
      </c>
      <c r="C7828" t="inlineStr">
        <is>
          <t xml:space="preserve">INF174KA1VQ4</t>
        </is>
      </c>
    </row>
    <row r="7829">
      <c r="A7829" t="inlineStr">
        <is>
          <t xml:space="preserve">Kotak Mahindra Mutual Fund</t>
        </is>
      </c>
      <c r="B7829" t="inlineStr">
        <is>
          <t xml:space="preserve">KOTAK NIFTY MIDCAP 150 INDEX FUND-DIRECT PLAN-IDCW-PAYOUT AND REINVESTMENT</t>
        </is>
      </c>
      <c r="C7829" t="inlineStr">
        <is>
          <t xml:space="preserve">INF174KA1VR2</t>
        </is>
      </c>
    </row>
    <row r="7830">
      <c r="A7830" t="inlineStr">
        <is>
          <t xml:space="preserve">Kotak Mahindra Mutual Fund</t>
        </is>
      </c>
      <c r="B7830" t="inlineStr">
        <is>
          <t xml:space="preserve">KOTAK NIFTY MIDCAP 150 INDEX FUND-REGULAR PLAN-GROWTH</t>
        </is>
      </c>
      <c r="C7830" t="inlineStr">
        <is>
          <t xml:space="preserve">INF174KA1VT8</t>
        </is>
      </c>
    </row>
    <row r="7831">
      <c r="A7831" t="inlineStr">
        <is>
          <t xml:space="preserve">Kotak Mahindra Mutual Fund</t>
        </is>
      </c>
      <c r="B7831" t="inlineStr">
        <is>
          <t xml:space="preserve">KOTAK NIFTY MIDCAP 150 INDEX FUND-REGULAR PLAN-IDCW PAYOUT AND REINVESTMENT</t>
        </is>
      </c>
      <c r="C7831" t="inlineStr">
        <is>
          <t xml:space="preserve">INF174KA1VU6</t>
        </is>
      </c>
    </row>
    <row r="7832">
      <c r="A7832" t="inlineStr">
        <is>
          <t xml:space="preserve">Kotak Mahindra Mutual Fund</t>
        </is>
      </c>
      <c r="B7832" t="inlineStr">
        <is>
          <t xml:space="preserve">Kotak Nifty Midcap 150 Momentum 50 Index Fund-Direct Plan-Growth</t>
        </is>
      </c>
      <c r="C7832" t="inlineStr">
        <is>
          <t xml:space="preserve">INF174KA1TM7</t>
        </is>
      </c>
    </row>
    <row r="7833">
      <c r="A7833" t="inlineStr">
        <is>
          <t xml:space="preserve">Kotak Mahindra Mutual Fund</t>
        </is>
      </c>
      <c r="B7833" t="inlineStr">
        <is>
          <t xml:space="preserve">Kotak Nifty Midcap 150 Momentum 50 Index Fund-Direct Plan-IDCW option</t>
        </is>
      </c>
      <c r="C7833" t="inlineStr">
        <is>
          <t xml:space="preserve">INF174KA1TN5</t>
        </is>
      </c>
    </row>
    <row r="7834">
      <c r="A7834" t="inlineStr">
        <is>
          <t xml:space="preserve">Kotak Mahindra Mutual Fund</t>
        </is>
      </c>
      <c r="B7834" t="inlineStr">
        <is>
          <t xml:space="preserve">Kotak Nifty Midcap 150 Momentum 50 Index Fund-Regular Plan-Growth</t>
        </is>
      </c>
      <c r="C7834" t="inlineStr">
        <is>
          <t xml:space="preserve">INF174KA1TP0</t>
        </is>
      </c>
    </row>
    <row r="7835">
      <c r="A7835" t="inlineStr">
        <is>
          <t xml:space="preserve">Kotak Mahindra Mutual Fund</t>
        </is>
      </c>
      <c r="B7835" t="inlineStr">
        <is>
          <t xml:space="preserve">Kotak Nifty Midcap 150 Momentum 50 Index Fund-Regular plan-IDCW option</t>
        </is>
      </c>
      <c r="C7835" t="inlineStr">
        <is>
          <t xml:space="preserve">INF174KA1TQ8</t>
        </is>
      </c>
    </row>
    <row r="7836">
      <c r="A7836" t="inlineStr">
        <is>
          <t xml:space="preserve">Kotak Mahindra Mutual Fund</t>
        </is>
      </c>
      <c r="B7836" t="inlineStr">
        <is>
          <t xml:space="preserve">Kotak Nifty Midcap 50 ETF</t>
        </is>
      </c>
      <c r="C7836" t="inlineStr">
        <is>
          <t xml:space="preserve">INF174KA1ZC5</t>
        </is>
      </c>
    </row>
    <row r="7837">
      <c r="A7837" t="inlineStr">
        <is>
          <t xml:space="preserve">Kotak Mahindra Mutual Fund</t>
        </is>
      </c>
      <c r="B7837" t="inlineStr">
        <is>
          <t xml:space="preserve">KOTAK NIFTY MIDCAP 50 INDEX FUND-DIRECT PLAN- GROWTH</t>
        </is>
      </c>
      <c r="C7837" t="inlineStr">
        <is>
          <t xml:space="preserve">INF174KA1SR8</t>
        </is>
      </c>
    </row>
    <row r="7838">
      <c r="A7838" t="inlineStr">
        <is>
          <t xml:space="preserve">Kotak Mahindra Mutual Fund</t>
        </is>
      </c>
      <c r="B7838" t="inlineStr">
        <is>
          <t xml:space="preserve">KOTAK NIFTY MIDCAP 50 INDEX FUND-DIRECT PLAN-IDCW PAYOUT AND REINVESTMENT</t>
        </is>
      </c>
      <c r="C7838" t="inlineStr">
        <is>
          <t xml:space="preserve">INF174KA1SS6</t>
        </is>
      </c>
    </row>
    <row r="7839">
      <c r="A7839" t="inlineStr">
        <is>
          <t xml:space="preserve">Kotak Mahindra Mutual Fund</t>
        </is>
      </c>
      <c r="B7839" t="inlineStr">
        <is>
          <t xml:space="preserve">KOTAK NIFTY MIDCAP 50 INDEX FUND-REGULAR PLAN-GROWTH</t>
        </is>
      </c>
      <c r="C7839" t="inlineStr">
        <is>
          <t xml:space="preserve">INF174KA1SO5</t>
        </is>
      </c>
    </row>
    <row r="7840">
      <c r="A7840" t="inlineStr">
        <is>
          <t xml:space="preserve">Kotak Mahindra Mutual Fund</t>
        </is>
      </c>
      <c r="B7840" t="inlineStr">
        <is>
          <t xml:space="preserve">KOTAK NIFTY MIDCAP 50 INDEX FUND-REGULAR PLAN-IDCW PAYOUT AND REINVESTMENT</t>
        </is>
      </c>
      <c r="C7840" t="inlineStr">
        <is>
          <t xml:space="preserve">INF174KA1SP2</t>
        </is>
      </c>
    </row>
    <row r="7841">
      <c r="A7841" t="inlineStr">
        <is>
          <t xml:space="preserve">Kotak Mahindra Mutual Fund</t>
        </is>
      </c>
      <c r="B7841" t="inlineStr">
        <is>
          <t xml:space="preserve">Kotak Nifty MNC ETF</t>
        </is>
      </c>
      <c r="C7841" t="inlineStr">
        <is>
          <t xml:space="preserve">INF174KA1JF2</t>
        </is>
      </c>
    </row>
    <row r="7842">
      <c r="A7842" t="inlineStr">
        <is>
          <t xml:space="preserve">Kotak Mahindra Mutual Fund</t>
        </is>
      </c>
      <c r="B7842" t="inlineStr">
        <is>
          <t xml:space="preserve">Kotak Nifty Next 50 ETF</t>
        </is>
      </c>
      <c r="C7842" t="inlineStr">
        <is>
          <t xml:space="preserve">INF174KA1YO3</t>
        </is>
      </c>
    </row>
    <row r="7843">
      <c r="A7843" t="inlineStr">
        <is>
          <t xml:space="preserve">Kotak Mahindra Mutual Fund</t>
        </is>
      </c>
      <c r="B7843" t="inlineStr">
        <is>
          <t xml:space="preserve">Kotak Nifty Next 50 Index Fund - Direct Plan - Growth Option</t>
        </is>
      </c>
      <c r="C7843" t="inlineStr">
        <is>
          <t xml:space="preserve">INF174KA1GA9</t>
        </is>
      </c>
    </row>
    <row r="7844">
      <c r="A7844" t="inlineStr">
        <is>
          <t xml:space="preserve">Kotak Mahindra Mutual Fund</t>
        </is>
      </c>
      <c r="B7844" t="inlineStr">
        <is>
          <t xml:space="preserve">Kotak Nifty Next 50 Index Fund - Direct Plan -Payout of Income Distribution cum capital withdrawal option</t>
        </is>
      </c>
      <c r="C7844" t="inlineStr">
        <is>
          <t xml:space="preserve">INF174KA1FZ8</t>
        </is>
      </c>
    </row>
    <row r="7845">
      <c r="A7845" t="inlineStr">
        <is>
          <t xml:space="preserve">Kotak Mahindra Mutual Fund</t>
        </is>
      </c>
      <c r="B7845" t="inlineStr">
        <is>
          <t xml:space="preserve">Kotak Nifty Next 50 Index Fund - Regular Plan - Growth Option</t>
        </is>
      </c>
      <c r="C7845" t="inlineStr">
        <is>
          <t xml:space="preserve">INF174KA1FX3</t>
        </is>
      </c>
    </row>
    <row r="7846">
      <c r="A7846" t="inlineStr">
        <is>
          <t xml:space="preserve">Kotak Mahindra Mutual Fund</t>
        </is>
      </c>
      <c r="B7846" t="inlineStr">
        <is>
          <t xml:space="preserve">Kotak Nifty Next 50 Index Fund - Regular Plan - Payout of Income Distribution cum capital withdrawal option</t>
        </is>
      </c>
      <c r="C7846" t="inlineStr">
        <is>
          <t xml:space="preserve">INF174KA1FW5</t>
        </is>
      </c>
    </row>
    <row r="7847">
      <c r="A7847" t="inlineStr">
        <is>
          <t xml:space="preserve">Kotak Mahindra Mutual Fund</t>
        </is>
      </c>
      <c r="B7847" t="inlineStr">
        <is>
          <t xml:space="preserve">Kotak Nifty PSU Bank ETF</t>
        </is>
      </c>
      <c r="C7847" t="inlineStr">
        <is>
          <t xml:space="preserve">INF174KA1A86</t>
        </is>
      </c>
    </row>
    <row r="7848">
      <c r="A7848" t="inlineStr">
        <is>
          <t xml:space="preserve">Kotak Mahindra Mutual Fund</t>
        </is>
      </c>
      <c r="B7848" t="inlineStr">
        <is>
          <t xml:space="preserve">Kotak Nifty SDL Apr  2027 Top 12 Equal Weight Index Fund-Direct Plan-Growth</t>
        </is>
      </c>
      <c r="C7848" t="inlineStr">
        <is>
          <t xml:space="preserve">INF174KA1IL2</t>
        </is>
      </c>
    </row>
    <row r="7849">
      <c r="A7849" t="inlineStr">
        <is>
          <t xml:space="preserve">Kotak Mahindra Mutual Fund</t>
        </is>
      </c>
      <c r="B7849" t="inlineStr">
        <is>
          <t xml:space="preserve">Kotak Nifty SDL Apr  2027 Top 12 Equal Weight Index Fund-Regular Plan- Growth</t>
        </is>
      </c>
      <c r="C7849" t="inlineStr">
        <is>
          <t xml:space="preserve">INF174KA1II8</t>
        </is>
      </c>
    </row>
    <row r="7850">
      <c r="A7850" t="inlineStr">
        <is>
          <t xml:space="preserve">Kotak Mahindra Mutual Fund</t>
        </is>
      </c>
      <c r="B7850" t="inlineStr">
        <is>
          <t xml:space="preserve">Kotak Nifty SDL Apr  2027 Top 12 Equal Weight Index Fund-Regular Plan-IDCW Option</t>
        </is>
      </c>
      <c r="C7850" t="inlineStr">
        <is>
          <t xml:space="preserve">INF174KA1IJ6</t>
        </is>
      </c>
    </row>
    <row r="7851">
      <c r="A7851" t="inlineStr">
        <is>
          <t xml:space="preserve">Kotak Mahindra Mutual Fund</t>
        </is>
      </c>
      <c r="B7851" t="inlineStr">
        <is>
          <t xml:space="preserve">Kotak Nifty SDL Apr 2027 Top 12 Equal Weight Index Fund-Direct Plan-IDCW Option</t>
        </is>
      </c>
      <c r="C7851" t="inlineStr">
        <is>
          <t xml:space="preserve">INF174KA1IM0</t>
        </is>
      </c>
    </row>
    <row r="7852">
      <c r="A7852" t="inlineStr">
        <is>
          <t xml:space="preserve">Kotak Mahindra Mutual Fund</t>
        </is>
      </c>
      <c r="B7852" t="inlineStr">
        <is>
          <t xml:space="preserve">Kotak Nifty SDL Apr 2032 Top 12 Equal Weight Index Fund-Direct Plan- Growth</t>
        </is>
      </c>
      <c r="C7852" t="inlineStr">
        <is>
          <t xml:space="preserve">INF174KA1IR9</t>
        </is>
      </c>
    </row>
    <row r="7853">
      <c r="A7853" t="inlineStr">
        <is>
          <t xml:space="preserve">Kotak Mahindra Mutual Fund</t>
        </is>
      </c>
      <c r="B7853" t="inlineStr">
        <is>
          <t xml:space="preserve">Kotak Nifty SDL Apr 2032 Top 12 Equal Weight Index Fund-Direct Plan-IDCW Option</t>
        </is>
      </c>
      <c r="C7853" t="inlineStr">
        <is>
          <t xml:space="preserve">INF174KA1IS7</t>
        </is>
      </c>
    </row>
    <row r="7854">
      <c r="A7854" t="inlineStr">
        <is>
          <t xml:space="preserve">Kotak Mahindra Mutual Fund</t>
        </is>
      </c>
      <c r="B7854" t="inlineStr">
        <is>
          <t xml:space="preserve">Kotak Nifty SDL Apr 2032 Top 12 Equal Weight Index Fund-Regular Plan-Growth</t>
        </is>
      </c>
      <c r="C7854" t="inlineStr">
        <is>
          <t xml:space="preserve">INF174KA1IO6</t>
        </is>
      </c>
    </row>
    <row r="7855">
      <c r="A7855" t="inlineStr">
        <is>
          <t xml:space="preserve">Kotak Mahindra Mutual Fund</t>
        </is>
      </c>
      <c r="B7855" t="inlineStr">
        <is>
          <t xml:space="preserve">Kotak Nifty SDL Apr 2032 Top 12 Equal Weight Index Fund-Regular Plan-IDCW Option</t>
        </is>
      </c>
      <c r="C7855" t="inlineStr">
        <is>
          <t xml:space="preserve">INF174KA1IP3</t>
        </is>
      </c>
    </row>
    <row r="7856">
      <c r="A7856" t="inlineStr">
        <is>
          <t xml:space="preserve">Kotak Mahindra Mutual Fund</t>
        </is>
      </c>
      <c r="B7856" t="inlineStr">
        <is>
          <t xml:space="preserve">Kotak Nifty SDL Jul 2026 Index Fund Direct Plan Growth</t>
        </is>
      </c>
      <c r="C7856" t="inlineStr">
        <is>
          <t xml:space="preserve">INF174KA1LC5</t>
        </is>
      </c>
    </row>
    <row r="7857">
      <c r="A7857" t="inlineStr">
        <is>
          <t xml:space="preserve">Kotak Mahindra Mutual Fund</t>
        </is>
      </c>
      <c r="B7857" t="inlineStr">
        <is>
          <t xml:space="preserve">Kotak Nifty SDL Jul 2026 Index Fund Direct Plan IDCW</t>
        </is>
      </c>
      <c r="C7857" t="inlineStr">
        <is>
          <t xml:space="preserve">INF174KA1LD3</t>
        </is>
      </c>
    </row>
    <row r="7858">
      <c r="A7858" t="inlineStr">
        <is>
          <t xml:space="preserve">Kotak Mahindra Mutual Fund</t>
        </is>
      </c>
      <c r="B7858" t="inlineStr">
        <is>
          <t xml:space="preserve">Kotak Nifty SDL Jul 2026 Index Fund Regular Plan Growth</t>
        </is>
      </c>
      <c r="C7858" t="inlineStr">
        <is>
          <t xml:space="preserve">INF174KA1KZ8</t>
        </is>
      </c>
    </row>
    <row r="7859">
      <c r="A7859" t="inlineStr">
        <is>
          <t xml:space="preserve">Kotak Mahindra Mutual Fund</t>
        </is>
      </c>
      <c r="B7859" t="inlineStr">
        <is>
          <t xml:space="preserve">Kotak Nifty SDL Jul 2026 Index Fund Regular Plan IDCW</t>
        </is>
      </c>
      <c r="C7859" t="inlineStr">
        <is>
          <t xml:space="preserve">INF174KA1LA9</t>
        </is>
      </c>
    </row>
    <row r="7860">
      <c r="A7860" t="inlineStr">
        <is>
          <t xml:space="preserve">Kotak Mahindra Mutual Fund</t>
        </is>
      </c>
      <c r="B7860" t="inlineStr">
        <is>
          <t xml:space="preserve">Kotak Nifty SDL Jul 2033 Index Fund Direct Plan Growth Option</t>
        </is>
      </c>
      <c r="C7860" t="inlineStr">
        <is>
          <t xml:space="preserve">INF174KA1MJ8</t>
        </is>
      </c>
    </row>
    <row r="7861">
      <c r="A7861" t="inlineStr">
        <is>
          <t xml:space="preserve">Kotak Mahindra Mutual Fund</t>
        </is>
      </c>
      <c r="B7861" t="inlineStr">
        <is>
          <t xml:space="preserve">Kotak Nifty SDL Jul 2033 Index Fund Direct Plan IDCW</t>
        </is>
      </c>
      <c r="C7861" t="inlineStr">
        <is>
          <t xml:space="preserve">INF174KA1MK6</t>
        </is>
      </c>
    </row>
    <row r="7862">
      <c r="A7862" t="inlineStr">
        <is>
          <t xml:space="preserve">Kotak Mahindra Mutual Fund</t>
        </is>
      </c>
      <c r="B7862" t="inlineStr">
        <is>
          <t xml:space="preserve">Kotak Nifty SDL Jul 2033 Index Fund Regular Plan Growth Option</t>
        </is>
      </c>
      <c r="C7862" t="inlineStr">
        <is>
          <t xml:space="preserve">INF174KA1MG4</t>
        </is>
      </c>
    </row>
    <row r="7863">
      <c r="A7863" t="inlineStr">
        <is>
          <t xml:space="preserve">Kotak Mahindra Mutual Fund</t>
        </is>
      </c>
      <c r="B7863" t="inlineStr">
        <is>
          <t xml:space="preserve">Kotak Nifty SDL Jul 2033 Index Fund Regular Plan IDCW</t>
        </is>
      </c>
      <c r="C7863" t="inlineStr">
        <is>
          <t xml:space="preserve">INF174KA1MH2</t>
        </is>
      </c>
    </row>
    <row r="7864">
      <c r="A7864" t="inlineStr">
        <is>
          <t xml:space="preserve">Kotak Mahindra Mutual Fund</t>
        </is>
      </c>
      <c r="B7864" t="inlineStr">
        <is>
          <t xml:space="preserve">Kotak Nifty SDL Plus AAA PSU Bond Jul 2028 60:40 Index Fund Direct Plan - Growth</t>
        </is>
      </c>
      <c r="C7864" t="inlineStr">
        <is>
          <t xml:space="preserve">INF174KA1JT3</t>
        </is>
      </c>
    </row>
    <row r="7865">
      <c r="A7865" t="inlineStr">
        <is>
          <t xml:space="preserve">Kotak Mahindra Mutual Fund</t>
        </is>
      </c>
      <c r="B7865" t="inlineStr">
        <is>
          <t xml:space="preserve">Kotak Nifty SDL Plus AAA PSU Bond Jul 2028 60:40 Index Fund Direct Plan - IDCW</t>
        </is>
      </c>
      <c r="C7865" t="inlineStr">
        <is>
          <t xml:space="preserve">INF174KA1JU1</t>
        </is>
      </c>
    </row>
    <row r="7866">
      <c r="A7866" t="inlineStr">
        <is>
          <t xml:space="preserve">Kotak Mahindra Mutual Fund</t>
        </is>
      </c>
      <c r="B7866" t="inlineStr">
        <is>
          <t xml:space="preserve">Kotak Nifty SDL Plus AAA PSU Bond Jul 2028 60:40 Index Fund Regular Plan - Growth</t>
        </is>
      </c>
      <c r="C7866" t="inlineStr">
        <is>
          <t xml:space="preserve">INF174KA1JQ9</t>
        </is>
      </c>
    </row>
    <row r="7867">
      <c r="A7867" t="inlineStr">
        <is>
          <t xml:space="preserve">Kotak Mahindra Mutual Fund</t>
        </is>
      </c>
      <c r="B7867" t="inlineStr">
        <is>
          <t xml:space="preserve">Kotak Nifty SDL Plus AAA PSU Bond Jul 2028 60:40 Index Fund Regular Plan - IDCW</t>
        </is>
      </c>
      <c r="C7867" t="inlineStr">
        <is>
          <t xml:space="preserve">INF174KA1JR7</t>
        </is>
      </c>
    </row>
    <row r="7868">
      <c r="A7868" t="inlineStr">
        <is>
          <t xml:space="preserve">Kotak Mahindra Mutual Fund</t>
        </is>
      </c>
      <c r="B7868" t="inlineStr">
        <is>
          <t xml:space="preserve">Kotak Nifty SmallCap 250 Index Fund - Direct - IDCW</t>
        </is>
      </c>
      <c r="C7868" t="inlineStr">
        <is>
          <t xml:space="preserve">INF174KA1UL7</t>
        </is>
      </c>
    </row>
    <row r="7869">
      <c r="A7869" t="inlineStr">
        <is>
          <t xml:space="preserve">Kotak Mahindra Mutual Fund</t>
        </is>
      </c>
      <c r="B7869" t="inlineStr">
        <is>
          <t xml:space="preserve">Kotak Nifty SmallCap 250 Index Fund- Direct - Growth</t>
        </is>
      </c>
      <c r="C7869" t="inlineStr">
        <is>
          <t xml:space="preserve">INF174KA1UK9</t>
        </is>
      </c>
    </row>
    <row r="7870">
      <c r="A7870" t="inlineStr">
        <is>
          <t xml:space="preserve">Kotak Mahindra Mutual Fund</t>
        </is>
      </c>
      <c r="B7870" t="inlineStr">
        <is>
          <t xml:space="preserve">Kotak Nifty SmallCap 250 Index Fund- Regular - Growth</t>
        </is>
      </c>
      <c r="C7870" t="inlineStr">
        <is>
          <t xml:space="preserve">INF174KA1UN3</t>
        </is>
      </c>
    </row>
    <row r="7871">
      <c r="A7871" t="inlineStr">
        <is>
          <t xml:space="preserve">Kotak Mahindra Mutual Fund</t>
        </is>
      </c>
      <c r="B7871" t="inlineStr">
        <is>
          <t xml:space="preserve">Kotak Nifty SmallCap 250 Index Fund- Regular - IDCW</t>
        </is>
      </c>
      <c r="C7871" t="inlineStr">
        <is>
          <t xml:space="preserve">INF174KA1UO1</t>
        </is>
      </c>
    </row>
    <row r="7872">
      <c r="A7872" t="inlineStr">
        <is>
          <t xml:space="preserve">Kotak Mahindra Mutual Fund</t>
        </is>
      </c>
      <c r="B7872" t="inlineStr">
        <is>
          <t xml:space="preserve">Kotak Nifty Smallcap 50 Index Fund - Direct Plan - Growth</t>
        </is>
      </c>
      <c r="C7872" t="inlineStr">
        <is>
          <t xml:space="preserve">INF174KA1NB3</t>
        </is>
      </c>
    </row>
    <row r="7873">
      <c r="A7873" t="inlineStr">
        <is>
          <t xml:space="preserve">Kotak Mahindra Mutual Fund</t>
        </is>
      </c>
      <c r="B7873" t="inlineStr">
        <is>
          <t xml:space="preserve">Kotak Nifty Smallcap 50 Index Fund - Direct Plan - IDCW</t>
        </is>
      </c>
      <c r="C7873" t="inlineStr">
        <is>
          <t xml:space="preserve">INF174KA1NC1</t>
        </is>
      </c>
    </row>
    <row r="7874">
      <c r="A7874" t="inlineStr">
        <is>
          <t xml:space="preserve">Kotak Mahindra Mutual Fund</t>
        </is>
      </c>
      <c r="B7874" t="inlineStr">
        <is>
          <t xml:space="preserve">Kotak Nifty Smallcap 50 Index Fund - Regular Plan - Growth</t>
        </is>
      </c>
      <c r="C7874" t="inlineStr">
        <is>
          <t xml:space="preserve">INF174KA1MY7</t>
        </is>
      </c>
    </row>
    <row r="7875">
      <c r="A7875" t="inlineStr">
        <is>
          <t xml:space="preserve">Kotak Mahindra Mutual Fund</t>
        </is>
      </c>
      <c r="B7875" t="inlineStr">
        <is>
          <t xml:space="preserve">Kotak Nifty Smallcap 50 Index Fund - Regular Plan - IDCW</t>
        </is>
      </c>
      <c r="C7875" t="inlineStr">
        <is>
          <t xml:space="preserve">INF174KA1MZ4</t>
        </is>
      </c>
    </row>
    <row r="7876">
      <c r="A7876" t="inlineStr">
        <is>
          <t xml:space="preserve">Kotak Mahindra Mutual Fund</t>
        </is>
      </c>
      <c r="B7876" t="inlineStr">
        <is>
          <t xml:space="preserve">Kotak Nifty Top 10 Equal Weight Index Fund-Direct Plan-Growth</t>
        </is>
      </c>
      <c r="C7876" t="inlineStr">
        <is>
          <t xml:space="preserve">INF174KA1WD0</t>
        </is>
      </c>
    </row>
    <row r="7877">
      <c r="A7877" t="inlineStr">
        <is>
          <t xml:space="preserve">Kotak Mahindra Mutual Fund</t>
        </is>
      </c>
      <c r="B7877" t="inlineStr">
        <is>
          <t xml:space="preserve">Kotak Nifty Top 10 Equal Weight Index Fund-Direct Plan-IDCW-Payout and Reinvestment</t>
        </is>
      </c>
      <c r="C7877" t="inlineStr">
        <is>
          <t xml:space="preserve">INF174KA1WE8</t>
        </is>
      </c>
    </row>
    <row r="7878">
      <c r="A7878" t="inlineStr">
        <is>
          <t xml:space="preserve">Kotak Mahindra Mutual Fund</t>
        </is>
      </c>
      <c r="B7878" t="inlineStr">
        <is>
          <t xml:space="preserve">Kotak Nifty Top 10 Equal Weight Index Fund-Regular Plan-Growth</t>
        </is>
      </c>
      <c r="C7878" t="inlineStr">
        <is>
          <t xml:space="preserve">INF174KA1WG3</t>
        </is>
      </c>
    </row>
    <row r="7879">
      <c r="A7879" t="inlineStr">
        <is>
          <t xml:space="preserve">Kotak Mahindra Mutual Fund</t>
        </is>
      </c>
      <c r="B7879" t="inlineStr">
        <is>
          <t xml:space="preserve">Kotak Nifty Top 10 Equal Weight Index Fund-Regular Plan-IDCW Payout and Reinvestment</t>
        </is>
      </c>
      <c r="C7879" t="inlineStr">
        <is>
          <t xml:space="preserve">INF174KA1WH1</t>
        </is>
      </c>
    </row>
    <row r="7880">
      <c r="A7880" t="inlineStr">
        <is>
          <t xml:space="preserve">Kotak Mahindra Mutual Fund</t>
        </is>
      </c>
      <c r="B7880" t="inlineStr">
        <is>
          <t xml:space="preserve">Kotak Nifty200 Quality 30 ETF</t>
        </is>
      </c>
      <c r="C7880" t="inlineStr">
        <is>
          <t xml:space="preserve">INF174KA1WT6</t>
        </is>
      </c>
    </row>
    <row r="7881">
      <c r="A7881" t="inlineStr">
        <is>
          <t xml:space="preserve">Kotak Mahindra Mutual Fund</t>
        </is>
      </c>
      <c r="B7881" t="inlineStr">
        <is>
          <t xml:space="preserve">Kotak Nifty200 Value 30 Index Fund - Direct - Growth</t>
        </is>
      </c>
      <c r="C7881" t="inlineStr">
        <is>
          <t xml:space="preserve">INF174KA1YP0</t>
        </is>
      </c>
    </row>
    <row r="7882">
      <c r="A7882" t="inlineStr">
        <is>
          <t xml:space="preserve">Kotak Mahindra Mutual Fund</t>
        </is>
      </c>
      <c r="B7882" t="inlineStr">
        <is>
          <t xml:space="preserve">Kotak Nifty200 Value 30 Index Fund - Direct - IDCW</t>
        </is>
      </c>
      <c r="C7882" t="inlineStr">
        <is>
          <t xml:space="preserve">INF174KA1YQ8</t>
        </is>
      </c>
    </row>
    <row r="7883">
      <c r="A7883" t="inlineStr">
        <is>
          <t xml:space="preserve">Kotak Mahindra Mutual Fund</t>
        </is>
      </c>
      <c r="B7883" t="inlineStr">
        <is>
          <t xml:space="preserve">Kotak Nifty200 Value 30 Index Fund - Regular - Growth</t>
        </is>
      </c>
      <c r="C7883" t="inlineStr">
        <is>
          <t xml:space="preserve">INF174KA1YS4</t>
        </is>
      </c>
    </row>
    <row r="7884">
      <c r="A7884" t="inlineStr">
        <is>
          <t xml:space="preserve">Kotak Mahindra Mutual Fund</t>
        </is>
      </c>
      <c r="B7884" t="inlineStr">
        <is>
          <t xml:space="preserve">Kotak Nifty200 Value 30 Index Fund - Regular - IDCW</t>
        </is>
      </c>
      <c r="C7884" t="inlineStr">
        <is>
          <t xml:space="preserve">INF174KA1YT2</t>
        </is>
      </c>
    </row>
    <row r="7885">
      <c r="A7885" t="inlineStr">
        <is>
          <t xml:space="preserve">Kotak Mahindra Mutual Fund</t>
        </is>
      </c>
      <c r="B7885" t="inlineStr">
        <is>
          <t xml:space="preserve">Kotak Nifty500 Momentum 50 Index Fund - Direct Plan - Growth</t>
        </is>
      </c>
      <c r="C7885" t="inlineStr">
        <is>
          <t xml:space="preserve">INF174KA1YC8</t>
        </is>
      </c>
    </row>
    <row r="7886">
      <c r="A7886" t="inlineStr">
        <is>
          <t xml:space="preserve">Kotak Mahindra Mutual Fund</t>
        </is>
      </c>
      <c r="B7886" t="inlineStr">
        <is>
          <t xml:space="preserve">Kotak Nifty500 Momentum 50 Index Fund - Direct Plan - IDCW - Payout &amp; Investment</t>
        </is>
      </c>
      <c r="C7886" t="inlineStr">
        <is>
          <t xml:space="preserve">INF174KA1YD6</t>
        </is>
      </c>
    </row>
    <row r="7887">
      <c r="A7887" t="inlineStr">
        <is>
          <t xml:space="preserve">Kotak Mahindra Mutual Fund</t>
        </is>
      </c>
      <c r="B7887" t="inlineStr">
        <is>
          <t xml:space="preserve">Kotak Nifty500 Momentum 50 Index Fund - Regular Plan - Growth</t>
        </is>
      </c>
      <c r="C7887" t="inlineStr">
        <is>
          <t xml:space="preserve">INF174KA1YF1</t>
        </is>
      </c>
    </row>
    <row r="7888">
      <c r="A7888" t="inlineStr">
        <is>
          <t xml:space="preserve">Kotak Mahindra Mutual Fund</t>
        </is>
      </c>
      <c r="B7888" t="inlineStr">
        <is>
          <t xml:space="preserve">Kotak Nifty500 Momentum 50 Index Fund - Regular Plan - IDCW - Payout &amp; Reinvestment</t>
        </is>
      </c>
      <c r="C7888" t="inlineStr">
        <is>
          <t xml:space="preserve">INF174KA1YG9</t>
        </is>
      </c>
    </row>
    <row r="7889">
      <c r="A7889" t="inlineStr">
        <is>
          <t xml:space="preserve">Kotak Mahindra Mutual Fund</t>
        </is>
      </c>
      <c r="B7889" t="inlineStr">
        <is>
          <t xml:space="preserve">Kotak Overnight Fund -Direct Plan-Growth Option</t>
        </is>
      </c>
      <c r="C7889" t="inlineStr">
        <is>
          <t xml:space="preserve">INF174KA1BF9</t>
        </is>
      </c>
    </row>
    <row r="7890">
      <c r="A7890" t="inlineStr">
        <is>
          <t xml:space="preserve">Kotak Mahindra Mutual Fund</t>
        </is>
      </c>
      <c r="B7890" t="inlineStr">
        <is>
          <t xml:space="preserve">Kotak Overnight Fund -Regular plan-Growth Option</t>
        </is>
      </c>
      <c r="C7890" t="inlineStr">
        <is>
          <t xml:space="preserve">INF174KA1BC6</t>
        </is>
      </c>
    </row>
    <row r="7891">
      <c r="A7891" t="inlineStr">
        <is>
          <t xml:space="preserve">Kotak Mahindra Mutual Fund</t>
        </is>
      </c>
      <c r="B7891" t="inlineStr">
        <is>
          <t xml:space="preserve">Kotak Overnight Fund-Direct Plan- Daily Reinvestment of Income Distribution cum capital withdrawal option</t>
        </is>
      </c>
      <c r="C7891" t="inlineStr">
        <is>
          <t xml:space="preserve">INF174KA1BE2</t>
        </is>
      </c>
    </row>
    <row r="7892">
      <c r="A7892" t="inlineStr">
        <is>
          <t xml:space="preserve">Kotak Mahindra Mutual Fund</t>
        </is>
      </c>
      <c r="B7892" t="inlineStr">
        <is>
          <t xml:space="preserve">Kotak Overnight Fund-Regular Plan- Daily Reinvestment of Income Distribution cum capital withdrawal option</t>
        </is>
      </c>
      <c r="C7892" t="inlineStr">
        <is>
          <t xml:space="preserve">INF174KA1BB8</t>
        </is>
      </c>
    </row>
    <row r="7893">
      <c r="A7893" t="inlineStr">
        <is>
          <t xml:space="preserve">Kotak Mahindra Mutual Fund</t>
        </is>
      </c>
      <c r="B7893" t="inlineStr">
        <is>
          <t xml:space="preserve">Kotak Pioneer Fund- Direct Plan- Growth Option</t>
        </is>
      </c>
      <c r="C7893" t="inlineStr">
        <is>
          <t xml:space="preserve">INF174KA1EZ1</t>
        </is>
      </c>
    </row>
    <row r="7894">
      <c r="A7894" t="inlineStr">
        <is>
          <t xml:space="preserve">Kotak Mahindra Mutual Fund</t>
        </is>
      </c>
      <c r="B7894" t="inlineStr">
        <is>
          <t xml:space="preserve">Kotak Pioneer Fund- Regular Plan- Growth Option</t>
        </is>
      </c>
      <c r="C7894" t="inlineStr">
        <is>
          <t xml:space="preserve">INF174KA1EW8</t>
        </is>
      </c>
    </row>
    <row r="7895">
      <c r="A7895" t="inlineStr">
        <is>
          <t xml:space="preserve">Kotak Mahindra Mutual Fund</t>
        </is>
      </c>
      <c r="B7895" t="inlineStr">
        <is>
          <t xml:space="preserve">Kotak Pioneer Fund- Regular Plan- Reinvestment of Income Distribution cum capital withdrawal option</t>
        </is>
      </c>
      <c r="C7895" t="inlineStr">
        <is>
          <t xml:space="preserve">INF174KA1EU2</t>
        </is>
      </c>
    </row>
    <row r="7896">
      <c r="A7896" t="inlineStr">
        <is>
          <t xml:space="preserve">Kotak Mahindra Mutual Fund</t>
        </is>
      </c>
      <c r="B7896" t="inlineStr">
        <is>
          <t xml:space="preserve">Kotak Pioneer Fund-Direct Plan-Reinvestment of Income Distribution cum capital withdrawal option</t>
        </is>
      </c>
      <c r="C7896" t="inlineStr">
        <is>
          <t xml:space="preserve">INF174KA1EX6</t>
        </is>
      </c>
    </row>
    <row r="7897">
      <c r="A7897" t="inlineStr">
        <is>
          <t xml:space="preserve">Kotak Mahindra Mutual Fund</t>
        </is>
      </c>
      <c r="B7897" t="inlineStr">
        <is>
          <t xml:space="preserve">Kotak Quality Overseas Equity Omni FOF - Direct Plan - Growth-</t>
        </is>
      </c>
      <c r="C7897" t="inlineStr">
        <is>
          <t xml:space="preserve">INF174KA1ZI2</t>
        </is>
      </c>
    </row>
    <row r="7898">
      <c r="A7898" t="inlineStr">
        <is>
          <t xml:space="preserve">Kotak Mahindra Mutual Fund</t>
        </is>
      </c>
      <c r="B7898" t="inlineStr">
        <is>
          <t xml:space="preserve">Kotak Quality Overseas Equity Omni FOF - Direct Plan - IDCW</t>
        </is>
      </c>
      <c r="C7898" t="inlineStr">
        <is>
          <t xml:space="preserve">INF174KA1ZJ0</t>
        </is>
      </c>
    </row>
    <row r="7899">
      <c r="A7899" t="inlineStr">
        <is>
          <t xml:space="preserve">Kotak Mahindra Mutual Fund</t>
        </is>
      </c>
      <c r="B7899" t="inlineStr">
        <is>
          <t xml:space="preserve">Kotak Quality Overseas Equity Omni FOF - Regular Plan - Growth</t>
        </is>
      </c>
      <c r="C7899" t="inlineStr">
        <is>
          <t xml:space="preserve">INF174KA1ZL6</t>
        </is>
      </c>
    </row>
    <row r="7900">
      <c r="A7900" t="inlineStr">
        <is>
          <t xml:space="preserve">Kotak Mahindra Mutual Fund</t>
        </is>
      </c>
      <c r="B7900" t="inlineStr">
        <is>
          <t xml:space="preserve">Kotak Quality Overseas Equity Omni FOF - Regular Plan - IDCW</t>
        </is>
      </c>
      <c r="C7900" t="inlineStr">
        <is>
          <t xml:space="preserve">INF174KA1ZM4</t>
        </is>
      </c>
    </row>
    <row r="7901">
      <c r="A7901" t="inlineStr">
        <is>
          <t xml:space="preserve">Kotak Mahindra Mutual Fund</t>
        </is>
      </c>
      <c r="B7901" t="inlineStr">
        <is>
          <t xml:space="preserve">Kotak Quant Fund - Direct Plan - Growth Option</t>
        </is>
      </c>
      <c r="C7901" t="inlineStr">
        <is>
          <t xml:space="preserve">INF174KA1OL0</t>
        </is>
      </c>
    </row>
    <row r="7902">
      <c r="A7902" t="inlineStr">
        <is>
          <t xml:space="preserve">Kotak Mahindra Mutual Fund</t>
        </is>
      </c>
      <c r="B7902" t="inlineStr">
        <is>
          <t xml:space="preserve">Kotak Quant Fund - Direct plan - IDCW Payout</t>
        </is>
      </c>
      <c r="C7902" t="inlineStr">
        <is>
          <t xml:space="preserve">INF174KA1OM8</t>
        </is>
      </c>
    </row>
    <row r="7903">
      <c r="A7903" t="inlineStr">
        <is>
          <t xml:space="preserve">Kotak Mahindra Mutual Fund</t>
        </is>
      </c>
      <c r="B7903" t="inlineStr">
        <is>
          <t xml:space="preserve">Kotak Quant Fund - Regular Plan - Growth Option</t>
        </is>
      </c>
      <c r="C7903" t="inlineStr">
        <is>
          <t xml:space="preserve">INF174KA1OI6</t>
        </is>
      </c>
    </row>
    <row r="7904">
      <c r="A7904" t="inlineStr">
        <is>
          <t xml:space="preserve">Kotak Mahindra Mutual Fund</t>
        </is>
      </c>
      <c r="B7904" t="inlineStr">
        <is>
          <t xml:space="preserve">Kotak Quant Fund - Regular Plan - IDCW Payout</t>
        </is>
      </c>
      <c r="C7904" t="inlineStr">
        <is>
          <t xml:space="preserve">INF174KA1OJ4</t>
        </is>
      </c>
    </row>
    <row r="7905">
      <c r="A7905" t="inlineStr">
        <is>
          <t xml:space="preserve">Kotak Mahindra Mutual Fund</t>
        </is>
      </c>
      <c r="B7905" t="inlineStr">
        <is>
          <t xml:space="preserve">Kotak Quarterly Interval Plan Series 12-Direct Plan-Growth</t>
        </is>
      </c>
      <c r="C7905" t="inlineStr">
        <is>
          <t xml:space="preserve">INF174KA1913</t>
        </is>
      </c>
    </row>
    <row r="7906">
      <c r="A7906" t="inlineStr">
        <is>
          <t xml:space="preserve">Kotak Mahindra Mutual Fund</t>
        </is>
      </c>
      <c r="B7906" t="inlineStr">
        <is>
          <t xml:space="preserve">Kotak Quarterly Interval Plan Series 12-Regular Plan-Dividend Payout</t>
        </is>
      </c>
      <c r="C7906" t="inlineStr">
        <is>
          <t xml:space="preserve">INF174KA1863</t>
        </is>
      </c>
    </row>
    <row r="7907">
      <c r="A7907" t="inlineStr">
        <is>
          <t xml:space="preserve">Kotak Mahindra Mutual Fund</t>
        </is>
      </c>
      <c r="B7907" t="inlineStr">
        <is>
          <t xml:space="preserve">Kotak Quarterly Interval Plan Series 12-Regular Plan-Growth</t>
        </is>
      </c>
      <c r="C7907" t="inlineStr">
        <is>
          <t xml:space="preserve">INF174KA1889</t>
        </is>
      </c>
    </row>
    <row r="7908">
      <c r="A7908" t="inlineStr">
        <is>
          <t xml:space="preserve">Kotak Mahindra Mutual Fund</t>
        </is>
      </c>
      <c r="B7908" t="inlineStr">
        <is>
          <t xml:space="preserve">Kotak Quarterly Interval Plan Series13- Direct Plan- Dividend Payout</t>
        </is>
      </c>
      <c r="C7908" t="inlineStr">
        <is>
          <t xml:space="preserve">INF174KA1CI1</t>
        </is>
      </c>
    </row>
    <row r="7909">
      <c r="A7909" t="inlineStr">
        <is>
          <t xml:space="preserve">Kotak Mahindra Mutual Fund</t>
        </is>
      </c>
      <c r="B7909" t="inlineStr">
        <is>
          <t xml:space="preserve">Kotak Quarterly Interval Plan Series13- Direct Plan- Growth</t>
        </is>
      </c>
      <c r="C7909" t="inlineStr">
        <is>
          <t xml:space="preserve">INF174KA1CJ9</t>
        </is>
      </c>
    </row>
    <row r="7910">
      <c r="A7910" t="inlineStr">
        <is>
          <t xml:space="preserve">Kotak Mahindra Mutual Fund</t>
        </is>
      </c>
      <c r="B7910" t="inlineStr">
        <is>
          <t xml:space="preserve">Kotak Quarterly Interval Plan Series13- Regular Plan- Dividend Payout</t>
        </is>
      </c>
      <c r="C7910" t="inlineStr">
        <is>
          <t xml:space="preserve">INF174KA1CG5</t>
        </is>
      </c>
    </row>
    <row r="7911">
      <c r="A7911" t="inlineStr">
        <is>
          <t xml:space="preserve">Kotak Mahindra Mutual Fund</t>
        </is>
      </c>
      <c r="B7911" t="inlineStr">
        <is>
          <t xml:space="preserve">Kotak Quarterly Interval Plan Series13- Regular Plan- Growth</t>
        </is>
      </c>
      <c r="C7911" t="inlineStr">
        <is>
          <t xml:space="preserve">INF174KA1CH3</t>
        </is>
      </c>
    </row>
    <row r="7912">
      <c r="A7912" t="inlineStr">
        <is>
          <t xml:space="preserve">Kotak Mahindra Mutual Fund</t>
        </is>
      </c>
      <c r="B7912" t="inlineStr">
        <is>
          <t xml:space="preserve">Kotak Rural Opportunities Fund - Direct Plan - Growth</t>
        </is>
      </c>
      <c r="C7912" t="inlineStr">
        <is>
          <t xml:space="preserve">INF174KA1XW8</t>
        </is>
      </c>
    </row>
    <row r="7913">
      <c r="A7913" t="inlineStr">
        <is>
          <t xml:space="preserve">Kotak Mahindra Mutual Fund</t>
        </is>
      </c>
      <c r="B7913" t="inlineStr">
        <is>
          <t xml:space="preserve">Kotak Rural Opportunities Fund - Direct Plan - IDCW Divdend - Payouout &amp; Reinvestment</t>
        </is>
      </c>
      <c r="C7913" t="inlineStr">
        <is>
          <t xml:space="preserve">INF174KA1XX6</t>
        </is>
      </c>
    </row>
    <row r="7914">
      <c r="A7914" t="inlineStr">
        <is>
          <t xml:space="preserve">Kotak Mahindra Mutual Fund</t>
        </is>
      </c>
      <c r="B7914" t="inlineStr">
        <is>
          <t xml:space="preserve">Kotak Rural Opportunities Fund - Regular Plan - Growth</t>
        </is>
      </c>
      <c r="C7914" t="inlineStr">
        <is>
          <t xml:space="preserve">INF174KA1XZ1</t>
        </is>
      </c>
    </row>
    <row r="7915">
      <c r="A7915" t="inlineStr">
        <is>
          <t xml:space="preserve">Kotak Mahindra Mutual Fund</t>
        </is>
      </c>
      <c r="B7915" t="inlineStr">
        <is>
          <t xml:space="preserve">Kotak Rural Opportunities Fund - Regular Plan - IDCW Dividend - Payout &amp; Reinvestment</t>
        </is>
      </c>
      <c r="C7915" t="inlineStr">
        <is>
          <t xml:space="preserve">INF174KA1YA2</t>
        </is>
      </c>
    </row>
    <row r="7916">
      <c r="A7916" t="inlineStr">
        <is>
          <t xml:space="preserve">Kotak Mahindra Mutual Fund</t>
        </is>
      </c>
      <c r="B7916" t="inlineStr">
        <is>
          <t xml:space="preserve">Kotak Savings Fund -Growth</t>
        </is>
      </c>
      <c r="C7916" t="inlineStr">
        <is>
          <t xml:space="preserve">INF174K01FD6</t>
        </is>
      </c>
    </row>
    <row r="7917">
      <c r="A7917" t="inlineStr">
        <is>
          <t xml:space="preserve">Kotak Mahindra Mutual Fund</t>
        </is>
      </c>
      <c r="B7917" t="inlineStr">
        <is>
          <t xml:space="preserve">Kotak Savings Fund -Monthly Payout of Income Distribution cum capital withdrawal option</t>
        </is>
      </c>
      <c r="C7917" t="inlineStr">
        <is>
          <t xml:space="preserve">INF174K01FH7</t>
        </is>
      </c>
    </row>
    <row r="7918">
      <c r="A7918" t="inlineStr">
        <is>
          <t xml:space="preserve">Kotak Mahindra Mutual Fund</t>
        </is>
      </c>
      <c r="B7918" t="inlineStr">
        <is>
          <t xml:space="preserve">Kotak Savings Fund-Growth - Direct</t>
        </is>
      </c>
      <c r="C7918" t="inlineStr">
        <is>
          <t xml:space="preserve">INF174K01JP2</t>
        </is>
      </c>
    </row>
    <row r="7919">
      <c r="A7919" t="inlineStr">
        <is>
          <t xml:space="preserve">Kotak Mahindra Mutual Fund</t>
        </is>
      </c>
      <c r="B7919" t="inlineStr">
        <is>
          <t xml:space="preserve">Kotak Savings Fund-Monthly Payout of Income Distribution cum capital withdrawal option - Direct</t>
        </is>
      </c>
      <c r="C7919" t="inlineStr">
        <is>
          <t xml:space="preserve">INF174K01JQ0</t>
        </is>
      </c>
    </row>
    <row r="7920">
      <c r="A7920" t="inlineStr">
        <is>
          <t xml:space="preserve">Kotak Mahindra Mutual Fund</t>
        </is>
      </c>
      <c r="B7920" t="inlineStr">
        <is>
          <t xml:space="preserve">Kotak Services Fund - Direct - Growth</t>
        </is>
      </c>
      <c r="C7920" t="inlineStr">
        <is>
          <t xml:space="preserve">INF174KA1YV8</t>
        </is>
      </c>
    </row>
    <row r="7921">
      <c r="A7921" t="inlineStr">
        <is>
          <t xml:space="preserve">Kotak Mahindra Mutual Fund</t>
        </is>
      </c>
      <c r="B7921" t="inlineStr">
        <is>
          <t xml:space="preserve">Kotak Services Fund - Direct - IDCW</t>
        </is>
      </c>
      <c r="C7921" t="inlineStr">
        <is>
          <t xml:space="preserve">INF174KA1YW6</t>
        </is>
      </c>
    </row>
    <row r="7922">
      <c r="A7922" t="inlineStr">
        <is>
          <t xml:space="preserve">Kotak Mahindra Mutual Fund</t>
        </is>
      </c>
      <c r="B7922" t="inlineStr">
        <is>
          <t xml:space="preserve">Kotak Services Fund - Regular - Growth</t>
        </is>
      </c>
      <c r="C7922" t="inlineStr">
        <is>
          <t xml:space="preserve">INF174KA1YY2</t>
        </is>
      </c>
    </row>
    <row r="7923">
      <c r="A7923" t="inlineStr">
        <is>
          <t xml:space="preserve">Kotak Mahindra Mutual Fund</t>
        </is>
      </c>
      <c r="B7923" t="inlineStr">
        <is>
          <t xml:space="preserve">Kotak Services Fund - Regular - IDCW</t>
        </is>
      </c>
      <c r="C7923" t="inlineStr">
        <is>
          <t xml:space="preserve">INF174KA1YZ9</t>
        </is>
      </c>
    </row>
    <row r="7924">
      <c r="A7924" t="inlineStr">
        <is>
          <t xml:space="preserve">Kotak Mahindra Mutual Fund</t>
        </is>
      </c>
      <c r="B7924" t="inlineStr">
        <is>
          <t xml:space="preserve">Kotak Silver ETF</t>
        </is>
      </c>
      <c r="C7924" t="inlineStr">
        <is>
          <t xml:space="preserve">INF174KA1ZD3</t>
        </is>
      </c>
    </row>
    <row r="7925">
      <c r="A7925" t="inlineStr">
        <is>
          <t xml:space="preserve">Kotak Mahindra Mutual Fund</t>
        </is>
      </c>
      <c r="B7925" t="inlineStr">
        <is>
          <t xml:space="preserve">Kotak Silver ETF Fund of Fund - Direct Plan - Growth Option</t>
        </is>
      </c>
      <c r="C7925" t="inlineStr">
        <is>
          <t xml:space="preserve">INF174KA1MQ3</t>
        </is>
      </c>
    </row>
    <row r="7926">
      <c r="A7926" t="inlineStr">
        <is>
          <t xml:space="preserve">Kotak Mahindra Mutual Fund</t>
        </is>
      </c>
      <c r="B7926" t="inlineStr">
        <is>
          <t xml:space="preserve">Kotak Silver ETF Fund of Fund - Regular Plan - Growth Option</t>
        </is>
      </c>
      <c r="C7926" t="inlineStr">
        <is>
          <t xml:space="preserve">INF174KA1MR1</t>
        </is>
      </c>
    </row>
    <row r="7927">
      <c r="A7927" t="inlineStr">
        <is>
          <t xml:space="preserve">Kotak Mahindra Mutual Fund</t>
        </is>
      </c>
      <c r="B7927" t="inlineStr">
        <is>
          <t xml:space="preserve">Kotak Special Opportunities Fund - Direct Plan - Growth Option</t>
        </is>
      </c>
      <c r="C7927" t="inlineStr">
        <is>
          <t xml:space="preserve">INF174KA1SF3</t>
        </is>
      </c>
    </row>
    <row r="7928">
      <c r="A7928" t="inlineStr">
        <is>
          <t xml:space="preserve">Kotak Mahindra Mutual Fund</t>
        </is>
      </c>
      <c r="B7928" t="inlineStr">
        <is>
          <t xml:space="preserve">Kotak Special Opportunities Fund - Direct Plan - IDCW Payout Option</t>
        </is>
      </c>
      <c r="C7928" t="inlineStr">
        <is>
          <t xml:space="preserve">INF174KA1SG1</t>
        </is>
      </c>
    </row>
    <row r="7929">
      <c r="A7929" t="inlineStr">
        <is>
          <t xml:space="preserve">Kotak Mahindra Mutual Fund</t>
        </is>
      </c>
      <c r="B7929" t="inlineStr">
        <is>
          <t xml:space="preserve">Kotak Special Opportunities Fund - Regular Plan - Growth Option</t>
        </is>
      </c>
      <c r="C7929" t="inlineStr">
        <is>
          <t xml:space="preserve">INF174KA1SC0</t>
        </is>
      </c>
    </row>
    <row r="7930">
      <c r="A7930" t="inlineStr">
        <is>
          <t xml:space="preserve">Kotak Mahindra Mutual Fund</t>
        </is>
      </c>
      <c r="B7930" t="inlineStr">
        <is>
          <t xml:space="preserve">Kotak Special Opportunities Fund - Regular Plan - IDCW Option</t>
        </is>
      </c>
      <c r="C7930" t="inlineStr">
        <is>
          <t xml:space="preserve">INF174KA1SD8</t>
        </is>
      </c>
    </row>
    <row r="7931">
      <c r="A7931" t="inlineStr">
        <is>
          <t xml:space="preserve">Kotak Mahindra Mutual Fund</t>
        </is>
      </c>
      <c r="B7931" t="inlineStr">
        <is>
          <t xml:space="preserve">Kotak Technology Fund - Direct Plan - Growth Option</t>
        </is>
      </c>
      <c r="C7931" t="inlineStr">
        <is>
          <t xml:space="preserve">INF174KA1QZ5</t>
        </is>
      </c>
    </row>
    <row r="7932">
      <c r="A7932" t="inlineStr">
        <is>
          <t xml:space="preserve">Kotak Mahindra Mutual Fund</t>
        </is>
      </c>
      <c r="B7932" t="inlineStr">
        <is>
          <t xml:space="preserve">Kotak Technology Fund - Direct Plan - IDCW Option</t>
        </is>
      </c>
      <c r="C7932" t="inlineStr">
        <is>
          <t xml:space="preserve">INF174KA1RA6</t>
        </is>
      </c>
    </row>
    <row r="7933">
      <c r="A7933" t="inlineStr">
        <is>
          <t xml:space="preserve">Kotak Mahindra Mutual Fund</t>
        </is>
      </c>
      <c r="B7933" t="inlineStr">
        <is>
          <t xml:space="preserve">Kotak Technology Fund - Regular Plan - Growth Option</t>
        </is>
      </c>
      <c r="C7933" t="inlineStr">
        <is>
          <t xml:space="preserve">INF174KA1QW2</t>
        </is>
      </c>
    </row>
    <row r="7934">
      <c r="A7934" t="inlineStr">
        <is>
          <t xml:space="preserve">Kotak Mahindra Mutual Fund</t>
        </is>
      </c>
      <c r="B7934" t="inlineStr">
        <is>
          <t xml:space="preserve">Kotak Technology Fund - Regular Plan - IDCW Option</t>
        </is>
      </c>
      <c r="C7934" t="inlineStr">
        <is>
          <t xml:space="preserve">INF174KA1QX0</t>
        </is>
      </c>
    </row>
    <row r="7935">
      <c r="A7935" t="inlineStr">
        <is>
          <t xml:space="preserve">Kotak Mahindra Mutual Fund</t>
        </is>
      </c>
      <c r="B7935" t="inlineStr">
        <is>
          <t xml:space="preserve">Kotak Transportation &amp; Logistics Fund-Direct -IDCW-PAYOUT &amp; REINVESTMENT</t>
        </is>
      </c>
      <c r="C7935" t="inlineStr">
        <is>
          <t xml:space="preserve">INF174KA1TT2</t>
        </is>
      </c>
    </row>
    <row r="7936">
      <c r="A7936" t="inlineStr">
        <is>
          <t xml:space="preserve">Kotak Mahindra Mutual Fund</t>
        </is>
      </c>
      <c r="B7936" t="inlineStr">
        <is>
          <t xml:space="preserve">Kotak Transportation &amp; Logistics Fund-Direct Growth</t>
        </is>
      </c>
      <c r="C7936" t="inlineStr">
        <is>
          <t xml:space="preserve">INF174KA1TS4</t>
        </is>
      </c>
    </row>
    <row r="7937">
      <c r="A7937" t="inlineStr">
        <is>
          <t xml:space="preserve">Kotak Mahindra Mutual Fund</t>
        </is>
      </c>
      <c r="B7937" t="inlineStr">
        <is>
          <t xml:space="preserve">Kotak Transportation &amp; Logistics Fund-Regular-Growth</t>
        </is>
      </c>
      <c r="C7937" t="inlineStr">
        <is>
          <t xml:space="preserve">INF174KA1TV8</t>
        </is>
      </c>
    </row>
    <row r="7938">
      <c r="A7938" t="inlineStr">
        <is>
          <t xml:space="preserve">Kotak Mahindra Mutual Fund</t>
        </is>
      </c>
      <c r="B7938" t="inlineStr">
        <is>
          <t xml:space="preserve">Kotak Transportation &amp; Logistics Fund-Regular-IDCW Payout &amp; Reinvestment</t>
        </is>
      </c>
      <c r="C7938" t="inlineStr">
        <is>
          <t xml:space="preserve">INF174KA1TW6</t>
        </is>
      </c>
    </row>
    <row r="7939">
      <c r="A7939" t="inlineStr">
        <is>
          <t xml:space="preserve">Kotak Mahindra Mutual Fund</t>
        </is>
      </c>
      <c r="B7939" t="inlineStr">
        <is>
          <t xml:space="preserve">Kotak Treasury Advantage Fund -Daily Reinvestment of Income Distribution cum capital withdrawal option</t>
        </is>
      </c>
      <c r="C7939" t="inlineStr">
        <is>
          <t xml:space="preserve">INF174K01FE4</t>
        </is>
      </c>
    </row>
    <row r="7940">
      <c r="A7940" t="inlineStr">
        <is>
          <t xml:space="preserve">Kotak Mahindra Mutual Fund</t>
        </is>
      </c>
      <c r="B7940" t="inlineStr">
        <is>
          <t xml:space="preserve">Kotak Treasury Advantage Fund -Daily Reinvestment of Income Distribution cum capital withdrawal option - Direct</t>
        </is>
      </c>
      <c r="C7940" t="inlineStr">
        <is>
          <t xml:space="preserve">INF174K01JT4</t>
        </is>
      </c>
    </row>
    <row r="7941">
      <c r="A7941" t="inlineStr">
        <is>
          <t xml:space="preserve">Kotak Mahindra Mutual Fund</t>
        </is>
      </c>
      <c r="B7941" t="inlineStr">
        <is>
          <t xml:space="preserve">Kotak US Equity Fund - Direct Plan - Dividend option</t>
        </is>
      </c>
      <c r="C7941" t="inlineStr">
        <is>
          <t xml:space="preserve">INF178L01CM3</t>
        </is>
      </c>
    </row>
    <row r="7942">
      <c r="A7942" t="inlineStr">
        <is>
          <t xml:space="preserve">Kotak Mahindra Mutual Fund</t>
        </is>
      </c>
      <c r="B7942" t="inlineStr">
        <is>
          <t xml:space="preserve">Kotak US Equity Fund - Direct Plan - Growth option</t>
        </is>
      </c>
      <c r="C7942" t="inlineStr">
        <is>
          <t xml:space="preserve">INF178L01CL5</t>
        </is>
      </c>
    </row>
    <row r="7943">
      <c r="A7943" t="inlineStr">
        <is>
          <t xml:space="preserve">Kotak Mahindra Mutual Fund</t>
        </is>
      </c>
      <c r="B7943" t="inlineStr">
        <is>
          <t xml:space="preserve">Kotak US Equity Fund - Standard Plan - Dividend option</t>
        </is>
      </c>
      <c r="C7943" t="inlineStr">
        <is>
          <t xml:space="preserve">INF178L01CJ9</t>
        </is>
      </c>
    </row>
    <row r="7944">
      <c r="A7944" t="inlineStr">
        <is>
          <t xml:space="preserve">Kotak Mahindra Mutual Fund</t>
        </is>
      </c>
      <c r="B7944" t="inlineStr">
        <is>
          <t xml:space="preserve">Kotak US Equity Fund - Standard Plan - Growth option</t>
        </is>
      </c>
      <c r="C7944" t="inlineStr">
        <is>
          <t xml:space="preserve">INF178L01CI1</t>
        </is>
      </c>
    </row>
    <row r="7945">
      <c r="A7945" t="inlineStr">
        <is>
          <t xml:space="preserve">Kotak Mahindra Mutual Fund</t>
        </is>
      </c>
      <c r="B7945" t="inlineStr">
        <is>
          <t xml:space="preserve">Kotak US Specific Equity Passive FOF - Regular Plan - Growth</t>
        </is>
      </c>
      <c r="C7945" t="inlineStr">
        <is>
          <t xml:space="preserve">INF174KA1FR5</t>
        </is>
      </c>
    </row>
    <row r="7946">
      <c r="A7946" t="inlineStr">
        <is>
          <t xml:space="preserve">Kotak Mahindra Mutual Fund</t>
        </is>
      </c>
      <c r="B7946" t="inlineStr">
        <is>
          <t xml:space="preserve">Kotak US Specific Equity Passive FOF- Direct Plan - Growth</t>
        </is>
      </c>
      <c r="C7946" t="inlineStr">
        <is>
          <t xml:space="preserve">INF174KA1FQ7</t>
        </is>
      </c>
    </row>
    <row r="7947">
      <c r="A7947" t="inlineStr">
        <is>
          <t xml:space="preserve">Kotak Mahindra Mutual Fund</t>
        </is>
      </c>
      <c r="B7947" t="inlineStr">
        <is>
          <t xml:space="preserve">Kotak World Gold Fund - Standard Plan - Dividend Option</t>
        </is>
      </c>
      <c r="C7947" t="inlineStr">
        <is>
          <t xml:space="preserve">INF178L01145</t>
        </is>
      </c>
    </row>
    <row r="7948">
      <c r="A7948" t="inlineStr">
        <is>
          <t xml:space="preserve">Kotak Mahindra Mutual Fund</t>
        </is>
      </c>
      <c r="B7948" t="inlineStr">
        <is>
          <t xml:space="preserve">Kotak World Gold Fund - Standard Plan - Growth Option</t>
        </is>
      </c>
      <c r="C7948" t="inlineStr">
        <is>
          <t xml:space="preserve">INF178L01152</t>
        </is>
      </c>
    </row>
    <row r="7949">
      <c r="A7949" t="inlineStr">
        <is>
          <t xml:space="preserve">Kotak Mahindra Mutual Fund</t>
        </is>
      </c>
      <c r="B7949" t="inlineStr">
        <is>
          <t xml:space="preserve">Kotak World Gold Fund- Direct Plan- Dividend Option</t>
        </is>
      </c>
      <c r="C7949" t="inlineStr">
        <is>
          <t xml:space="preserve">INF178L01AM7</t>
        </is>
      </c>
    </row>
    <row r="7950">
      <c r="A7950" t="inlineStr">
        <is>
          <t xml:space="preserve">Kotak Mahindra Mutual Fund</t>
        </is>
      </c>
      <c r="B7950" t="inlineStr">
        <is>
          <t xml:space="preserve">Kotak World Gold Fund- Direct Plan- Growth Option</t>
        </is>
      </c>
      <c r="C7950" t="inlineStr">
        <is>
          <t xml:space="preserve">INF178L01AO3</t>
        </is>
      </c>
    </row>
    <row r="7951">
      <c r="A7951" t="inlineStr">
        <is>
          <t xml:space="preserve">Kotak Mahindra Mutual Fund</t>
        </is>
      </c>
      <c r="B7951" t="inlineStr">
        <is>
          <t xml:space="preserve">Kotak-Small Cap Fund - Growth</t>
        </is>
      </c>
      <c r="C7951" t="inlineStr">
        <is>
          <t xml:space="preserve">INF174K01211</t>
        </is>
      </c>
    </row>
    <row r="7952">
      <c r="A7952" t="inlineStr">
        <is>
          <t xml:space="preserve">Kotak Mahindra Mutual Fund</t>
        </is>
      </c>
      <c r="B7952" t="inlineStr">
        <is>
          <t xml:space="preserve">Kotak-Small Cap Fund - Growth - Direct</t>
        </is>
      </c>
      <c r="C7952" t="inlineStr">
        <is>
          <t xml:space="preserve">INF174K01KT2</t>
        </is>
      </c>
    </row>
    <row r="7953">
      <c r="A7953" t="inlineStr">
        <is>
          <t xml:space="preserve">Kotak Mahindra Mutual Fund</t>
        </is>
      </c>
      <c r="B7953" t="inlineStr">
        <is>
          <t xml:space="preserve">Kotak-Small Cap Fund - Payout of Income Distribution cum capital withdrawal option</t>
        </is>
      </c>
      <c r="C7953" t="inlineStr">
        <is>
          <t xml:space="preserve">INF174K01237</t>
        </is>
      </c>
    </row>
    <row r="7954">
      <c r="A7954" t="inlineStr">
        <is>
          <t xml:space="preserve">Kotak Mahindra Mutual Fund</t>
        </is>
      </c>
      <c r="B7954" t="inlineStr">
        <is>
          <t xml:space="preserve">Kotak-Small Cap Fund - Payout of Income Distribution cum capital withdrawal option - Direct</t>
        </is>
      </c>
      <c r="C7954" t="inlineStr">
        <is>
          <t xml:space="preserve">INF174K01KU0</t>
        </is>
      </c>
    </row>
    <row r="7955">
      <c r="A7955" t="inlineStr">
        <is>
          <t xml:space="preserve">Kotak Mahindra Mutual Fund</t>
        </is>
      </c>
      <c r="B7955" t="inlineStr">
        <is>
          <t xml:space="preserve">Kotka FMP Series 212-Direct plan -Payout of Income Distribution cum capital withdrawal option</t>
        </is>
      </c>
      <c r="C7955" t="inlineStr">
        <is>
          <t xml:space="preserve">INF174K010R0</t>
        </is>
      </c>
    </row>
    <row r="7956">
      <c r="A7956" t="inlineStr">
        <is>
          <t xml:space="preserve">Kotak Mahindra Mutual Fund</t>
        </is>
      </c>
      <c r="B7956" t="inlineStr">
        <is>
          <t xml:space="preserve">Kotka FMP Series 215-Regular Plan-Growth Option</t>
        </is>
      </c>
      <c r="C7956" t="inlineStr">
        <is>
          <t xml:space="preserve">INF174K019R1</t>
        </is>
      </c>
    </row>
    <row r="7957">
      <c r="A7957" t="inlineStr">
        <is>
          <t xml:space="preserve">Kotak Mahindra Mutual Fund</t>
        </is>
      </c>
      <c r="B7957" t="inlineStr">
        <is>
          <t xml:space="preserve">Kotka FMP Series 219-Direct Plan-Growth Option</t>
        </is>
      </c>
      <c r="C7957" t="inlineStr">
        <is>
          <t xml:space="preserve">INF174K015U3</t>
        </is>
      </c>
    </row>
    <row r="7958">
      <c r="A7958" t="inlineStr">
        <is>
          <t xml:space="preserve">LIC Mutual Fund</t>
        </is>
      </c>
      <c r="B7958" t="inlineStr">
        <is>
          <t xml:space="preserve">LIC MF Aggressive Hybrid Fund-Direct Plan-Growth</t>
        </is>
      </c>
      <c r="C7958" t="inlineStr">
        <is>
          <t xml:space="preserve">INF767K01ED0</t>
        </is>
      </c>
    </row>
    <row r="7959">
      <c r="A7959" t="inlineStr">
        <is>
          <t xml:space="preserve">LIC Mutual Fund</t>
        </is>
      </c>
      <c r="B7959" t="inlineStr">
        <is>
          <t xml:space="preserve">LIC MF Aggressive Hybrid Fund-Direct Plan-IDCW</t>
        </is>
      </c>
      <c r="C7959" t="inlineStr">
        <is>
          <t xml:space="preserve">INF767K01EC2</t>
        </is>
      </c>
    </row>
    <row r="7960">
      <c r="A7960" t="inlineStr">
        <is>
          <t xml:space="preserve">LIC Mutual Fund</t>
        </is>
      </c>
      <c r="B7960" t="inlineStr">
        <is>
          <t xml:space="preserve">LIC MF Aggressive Hybrid Fund-Regular Plan-Growth</t>
        </is>
      </c>
      <c r="C7960" t="inlineStr">
        <is>
          <t xml:space="preserve">INF767K01030</t>
        </is>
      </c>
    </row>
    <row r="7961">
      <c r="A7961" t="inlineStr">
        <is>
          <t xml:space="preserve">LIC Mutual Fund</t>
        </is>
      </c>
      <c r="B7961" t="inlineStr">
        <is>
          <t xml:space="preserve">LIC MF Aggressive Hybrid Fund-Regular Plan-IDCW</t>
        </is>
      </c>
      <c r="C7961" t="inlineStr">
        <is>
          <t xml:space="preserve">INF767K01022</t>
        </is>
      </c>
    </row>
    <row r="7962">
      <c r="A7962" t="inlineStr">
        <is>
          <t xml:space="preserve">LIC Mutual Fund</t>
        </is>
      </c>
      <c r="B7962" t="inlineStr">
        <is>
          <t xml:space="preserve">LIC MF Arbitrage Fund-Direct Plan-Growth</t>
        </is>
      </c>
      <c r="C7962" t="inlineStr">
        <is>
          <t xml:space="preserve">INF767K01PP0</t>
        </is>
      </c>
    </row>
    <row r="7963">
      <c r="A7963" t="inlineStr">
        <is>
          <t xml:space="preserve">LIC Mutual Fund</t>
        </is>
      </c>
      <c r="B7963" t="inlineStr">
        <is>
          <t xml:space="preserve">LIC MF Arbitrage Fund-Direct Plan-Monthly IDCW</t>
        </is>
      </c>
      <c r="C7963" t="inlineStr">
        <is>
          <t xml:space="preserve">INF767K01PR6</t>
        </is>
      </c>
    </row>
    <row r="7964">
      <c r="A7964" t="inlineStr">
        <is>
          <t xml:space="preserve">LIC Mutual Fund</t>
        </is>
      </c>
      <c r="B7964" t="inlineStr">
        <is>
          <t xml:space="preserve">LIC MF Arbitrage Fund-Direct Plan-Weekly IDCW</t>
        </is>
      </c>
      <c r="C7964" t="inlineStr">
        <is>
          <t xml:space="preserve">INF767K01PQ8</t>
        </is>
      </c>
    </row>
    <row r="7965">
      <c r="A7965" t="inlineStr">
        <is>
          <t xml:space="preserve">LIC Mutual Fund</t>
        </is>
      </c>
      <c r="B7965" t="inlineStr">
        <is>
          <t xml:space="preserve">LIC MF Arbitrage Fund-Regular Plan-Growth</t>
        </is>
      </c>
      <c r="C7965" t="inlineStr">
        <is>
          <t xml:space="preserve">INF767K01PL9</t>
        </is>
      </c>
    </row>
    <row r="7966">
      <c r="A7966" t="inlineStr">
        <is>
          <t xml:space="preserve">LIC Mutual Fund</t>
        </is>
      </c>
      <c r="B7966" t="inlineStr">
        <is>
          <t xml:space="preserve">LIC MF Arbitrage Fund-Regular Plan-Monthly IDCW</t>
        </is>
      </c>
      <c r="C7966" t="inlineStr">
        <is>
          <t xml:space="preserve">INF767K01PN5</t>
        </is>
      </c>
    </row>
    <row r="7967">
      <c r="A7967" t="inlineStr">
        <is>
          <t xml:space="preserve">LIC Mutual Fund</t>
        </is>
      </c>
      <c r="B7967" t="inlineStr">
        <is>
          <t xml:space="preserve">LIC MF Arbitrage Fund-Regular Plan-Weekly IDCW</t>
        </is>
      </c>
      <c r="C7967" t="inlineStr">
        <is>
          <t xml:space="preserve">INF767K01PM7</t>
        </is>
      </c>
    </row>
    <row r="7968">
      <c r="A7968" t="inlineStr">
        <is>
          <t xml:space="preserve">LIC Mutual Fund</t>
        </is>
      </c>
      <c r="B7968" t="inlineStr">
        <is>
          <t xml:space="preserve">LIC MF Balanced Advantage Fund-Direct Plan-Growth</t>
        </is>
      </c>
      <c r="C7968" t="inlineStr">
        <is>
          <t xml:space="preserve">INF767K01QY0</t>
        </is>
      </c>
    </row>
    <row r="7969">
      <c r="A7969" t="inlineStr">
        <is>
          <t xml:space="preserve">LIC Mutual Fund</t>
        </is>
      </c>
      <c r="B7969" t="inlineStr">
        <is>
          <t xml:space="preserve">LIC MF Balanced Advantage Fund-Direct Plan-IDCW</t>
        </is>
      </c>
      <c r="C7969" t="inlineStr">
        <is>
          <t xml:space="preserve">INF767K01QZ7</t>
        </is>
      </c>
    </row>
    <row r="7970">
      <c r="A7970" t="inlineStr">
        <is>
          <t xml:space="preserve">LIC Mutual Fund</t>
        </is>
      </c>
      <c r="B7970" t="inlineStr">
        <is>
          <t xml:space="preserve">LIC MF Balanced Advantage Fund-Regular Plan-Growth</t>
        </is>
      </c>
      <c r="C7970" t="inlineStr">
        <is>
          <t xml:space="preserve">INF767K01QV6</t>
        </is>
      </c>
    </row>
    <row r="7971">
      <c r="A7971" t="inlineStr">
        <is>
          <t xml:space="preserve">LIC Mutual Fund</t>
        </is>
      </c>
      <c r="B7971" t="inlineStr">
        <is>
          <t xml:space="preserve">LIC MF Balanced Advantage Fund-Regular Plan-IDCW</t>
        </is>
      </c>
      <c r="C7971" t="inlineStr">
        <is>
          <t xml:space="preserve">INF767K01QW4</t>
        </is>
      </c>
    </row>
    <row r="7972">
      <c r="A7972" t="inlineStr">
        <is>
          <t xml:space="preserve">LIC Mutual Fund</t>
        </is>
      </c>
      <c r="B7972" t="inlineStr">
        <is>
          <t xml:space="preserve">LIC MF Banking &amp; PSU Fund-Direct Plan-Daily IDCW</t>
        </is>
      </c>
      <c r="C7972" t="inlineStr">
        <is>
          <t xml:space="preserve">INF767K01GJ2</t>
        </is>
      </c>
    </row>
    <row r="7973">
      <c r="A7973" t="inlineStr">
        <is>
          <t xml:space="preserve">LIC Mutual Fund</t>
        </is>
      </c>
      <c r="B7973" t="inlineStr">
        <is>
          <t xml:space="preserve">LIC MF Banking &amp; PSU Fund-Direct Plan-Growth</t>
        </is>
      </c>
      <c r="C7973" t="inlineStr">
        <is>
          <t xml:space="preserve">INF767K01GI4</t>
        </is>
      </c>
    </row>
    <row r="7974">
      <c r="A7974" t="inlineStr">
        <is>
          <t xml:space="preserve">LIC Mutual Fund</t>
        </is>
      </c>
      <c r="B7974" t="inlineStr">
        <is>
          <t xml:space="preserve">LIC MF Banking &amp; PSU Fund-Direct Plan-Monthly IDCW</t>
        </is>
      </c>
      <c r="C7974" t="inlineStr">
        <is>
          <t xml:space="preserve">INF767K01GK0</t>
        </is>
      </c>
    </row>
    <row r="7975">
      <c r="A7975" t="inlineStr">
        <is>
          <t xml:space="preserve">LIC Mutual Fund</t>
        </is>
      </c>
      <c r="B7975" t="inlineStr">
        <is>
          <t xml:space="preserve">LIC MF Banking &amp; PSU Fund-Direct Plan-Weekly IDCW</t>
        </is>
      </c>
      <c r="C7975" t="inlineStr">
        <is>
          <t xml:space="preserve">INF767K01GL8</t>
        </is>
      </c>
    </row>
    <row r="7976">
      <c r="A7976" t="inlineStr">
        <is>
          <t xml:space="preserve">LIC Mutual Fund</t>
        </is>
      </c>
      <c r="B7976" t="inlineStr">
        <is>
          <t xml:space="preserve">LIC MF Banking &amp; PSU Fund-Regular Plan-Daily IDCW</t>
        </is>
      </c>
      <c r="C7976" t="inlineStr">
        <is>
          <t xml:space="preserve">INF767K01519</t>
        </is>
      </c>
    </row>
    <row r="7977">
      <c r="A7977" t="inlineStr">
        <is>
          <t xml:space="preserve">LIC Mutual Fund</t>
        </is>
      </c>
      <c r="B7977" t="inlineStr">
        <is>
          <t xml:space="preserve">LIC MF Banking &amp; PSU Fund-Regular Plan-Growth</t>
        </is>
      </c>
      <c r="C7977" t="inlineStr">
        <is>
          <t xml:space="preserve">INF767K01535</t>
        </is>
      </c>
    </row>
    <row r="7978">
      <c r="A7978" t="inlineStr">
        <is>
          <t xml:space="preserve">LIC Mutual Fund</t>
        </is>
      </c>
      <c r="B7978" t="inlineStr">
        <is>
          <t xml:space="preserve">LIC MF Banking &amp; PSU Fund-Regular Plan-Monthly IDCW</t>
        </is>
      </c>
      <c r="C7978" t="inlineStr">
        <is>
          <t xml:space="preserve">INF767K01543</t>
        </is>
      </c>
    </row>
    <row r="7979">
      <c r="A7979" t="inlineStr">
        <is>
          <t xml:space="preserve">LIC Mutual Fund</t>
        </is>
      </c>
      <c r="B7979" t="inlineStr">
        <is>
          <t xml:space="preserve">LIC MF Banking &amp; PSU Fund-Regular Plan-Weekly IDCW</t>
        </is>
      </c>
      <c r="C7979" t="inlineStr">
        <is>
          <t xml:space="preserve">INF767K01568</t>
        </is>
      </c>
    </row>
    <row r="7980">
      <c r="A7980" t="inlineStr">
        <is>
          <t xml:space="preserve">LIC Mutual Fund</t>
        </is>
      </c>
      <c r="B7980" t="inlineStr">
        <is>
          <t xml:space="preserve">LIC MF Banking and Financial Services Fund-Direct Plan-Growth</t>
        </is>
      </c>
      <c r="C7980" t="inlineStr">
        <is>
          <t xml:space="preserve">INF767K01NK6</t>
        </is>
      </c>
    </row>
    <row r="7981">
      <c r="A7981" t="inlineStr">
        <is>
          <t xml:space="preserve">LIC Mutual Fund</t>
        </is>
      </c>
      <c r="B7981" t="inlineStr">
        <is>
          <t xml:space="preserve">LIC MF Banking and Financial Services Fund-Direct Plan-IDCW</t>
        </is>
      </c>
      <c r="C7981" t="inlineStr">
        <is>
          <t xml:space="preserve">INF767K01NJ8</t>
        </is>
      </c>
    </row>
    <row r="7982">
      <c r="A7982" t="inlineStr">
        <is>
          <t xml:space="preserve">LIC Mutual Fund</t>
        </is>
      </c>
      <c r="B7982" t="inlineStr">
        <is>
          <t xml:space="preserve">LIC MF Banking and Financial Services Fund-Regular Plan-Growth</t>
        </is>
      </c>
      <c r="C7982" t="inlineStr">
        <is>
          <t xml:space="preserve">INF767K01NH2</t>
        </is>
      </c>
    </row>
    <row r="7983">
      <c r="A7983" t="inlineStr">
        <is>
          <t xml:space="preserve">LIC Mutual Fund</t>
        </is>
      </c>
      <c r="B7983" t="inlineStr">
        <is>
          <t xml:space="preserve">LIC MF Banking and Financial Services Fund-Regular Plan-IDCW</t>
        </is>
      </c>
      <c r="C7983" t="inlineStr">
        <is>
          <t xml:space="preserve">INF767K01NG4</t>
        </is>
      </c>
    </row>
    <row r="7984">
      <c r="A7984" t="inlineStr">
        <is>
          <t xml:space="preserve">LIC Mutual Fund</t>
        </is>
      </c>
      <c r="B7984" t="inlineStr">
        <is>
          <t xml:space="preserve">LIC MF BSE Sensex ETF</t>
        </is>
      </c>
      <c r="C7984" t="inlineStr">
        <is>
          <t xml:space="preserve">INF767K01OT5</t>
        </is>
      </c>
    </row>
    <row r="7985">
      <c r="A7985" t="inlineStr">
        <is>
          <t xml:space="preserve">LIC Mutual Fund</t>
        </is>
      </c>
      <c r="B7985" t="inlineStr">
        <is>
          <t xml:space="preserve">LIC MF BSE Sensex Index Fund-Direct Plan-Growth</t>
        </is>
      </c>
      <c r="C7985" t="inlineStr">
        <is>
          <t xml:space="preserve">INF767K01FJ4</t>
        </is>
      </c>
    </row>
    <row r="7986">
      <c r="A7986" t="inlineStr">
        <is>
          <t xml:space="preserve">LIC Mutual Fund</t>
        </is>
      </c>
      <c r="B7986" t="inlineStr">
        <is>
          <t xml:space="preserve">LIC MF BSE Sensex Index Fund-Direct Plan-IDCW</t>
        </is>
      </c>
      <c r="C7986" t="inlineStr">
        <is>
          <t xml:space="preserve">INF767K01FI6</t>
        </is>
      </c>
    </row>
    <row r="7987">
      <c r="A7987" t="inlineStr">
        <is>
          <t xml:space="preserve">LIC Mutual Fund</t>
        </is>
      </c>
      <c r="B7987" t="inlineStr">
        <is>
          <t xml:space="preserve">LIC MF BSE Sensex Index Fund-Regular Plan-Growth</t>
        </is>
      </c>
      <c r="C7987" t="inlineStr">
        <is>
          <t xml:space="preserve">INF767K01139</t>
        </is>
      </c>
    </row>
    <row r="7988">
      <c r="A7988" t="inlineStr">
        <is>
          <t xml:space="preserve">LIC Mutual Fund</t>
        </is>
      </c>
      <c r="B7988" t="inlineStr">
        <is>
          <t xml:space="preserve">LIC MF BSE Sensex Index Fund-Regular Plan-IDCW</t>
        </is>
      </c>
      <c r="C7988" t="inlineStr">
        <is>
          <t xml:space="preserve">INF767K01121</t>
        </is>
      </c>
    </row>
    <row r="7989">
      <c r="A7989" t="inlineStr">
        <is>
          <t xml:space="preserve">LIC Mutual Fund</t>
        </is>
      </c>
      <c r="B7989" t="inlineStr">
        <is>
          <t xml:space="preserve">LIC MF Children's Fund-Direct Plan-Growth</t>
        </is>
      </c>
      <c r="C7989" t="inlineStr">
        <is>
          <t xml:space="preserve">INF767K01FB1</t>
        </is>
      </c>
    </row>
    <row r="7990">
      <c r="A7990" t="inlineStr">
        <is>
          <t xml:space="preserve">LIC Mutual Fund</t>
        </is>
      </c>
      <c r="B7990" t="inlineStr">
        <is>
          <t xml:space="preserve">LIC MF Children's Fund-Regular Plan-Growth</t>
        </is>
      </c>
      <c r="C7990" t="inlineStr">
        <is>
          <t xml:space="preserve">INF767K01048</t>
        </is>
      </c>
    </row>
    <row r="7991">
      <c r="A7991" t="inlineStr">
        <is>
          <t xml:space="preserve">LIC Mutual Fund</t>
        </is>
      </c>
      <c r="B7991" t="inlineStr">
        <is>
          <t xml:space="preserve">LIC MF Conservative Hybrid Fund-Direct Plan-Growth</t>
        </is>
      </c>
      <c r="C7991" t="inlineStr">
        <is>
          <t xml:space="preserve">INF767K01EO7</t>
        </is>
      </c>
    </row>
    <row r="7992">
      <c r="A7992" t="inlineStr">
        <is>
          <t xml:space="preserve">LIC Mutual Fund</t>
        </is>
      </c>
      <c r="B7992" t="inlineStr">
        <is>
          <t xml:space="preserve">LIC MF Conservative Hybrid Fund-Direct Plan-Monthly IDCW</t>
        </is>
      </c>
      <c r="C7992" t="inlineStr">
        <is>
          <t xml:space="preserve">INF767K01EP4</t>
        </is>
      </c>
    </row>
    <row r="7993">
      <c r="A7993" t="inlineStr">
        <is>
          <t xml:space="preserve">LIC Mutual Fund</t>
        </is>
      </c>
      <c r="B7993" t="inlineStr">
        <is>
          <t xml:space="preserve">LIC MF Conservative Hybrid Fund-Direct Plan-Quarterly IDCW</t>
        </is>
      </c>
      <c r="C7993" t="inlineStr">
        <is>
          <t xml:space="preserve">INF767K01EQ2</t>
        </is>
      </c>
    </row>
    <row r="7994">
      <c r="A7994" t="inlineStr">
        <is>
          <t xml:space="preserve">LIC Mutual Fund</t>
        </is>
      </c>
      <c r="B7994" t="inlineStr">
        <is>
          <t xml:space="preserve">LIC MF Conservative Hybrid Fund-Direct Plan-Yearly IDCW</t>
        </is>
      </c>
      <c r="C7994" t="inlineStr">
        <is>
          <t xml:space="preserve">INF767K01ER0</t>
        </is>
      </c>
    </row>
    <row r="7995">
      <c r="A7995" t="inlineStr">
        <is>
          <t xml:space="preserve">LIC Mutual Fund</t>
        </is>
      </c>
      <c r="B7995" t="inlineStr">
        <is>
          <t xml:space="preserve">LIC MF Conservative Hybrid Fund-Regular Plan-Growth</t>
        </is>
      </c>
      <c r="C7995" t="inlineStr">
        <is>
          <t xml:space="preserve">INF767K01808</t>
        </is>
      </c>
    </row>
    <row r="7996">
      <c r="A7996" t="inlineStr">
        <is>
          <t xml:space="preserve">LIC Mutual Fund</t>
        </is>
      </c>
      <c r="B7996" t="inlineStr">
        <is>
          <t xml:space="preserve">LIC MF Conservative Hybrid Fund-Regular Plan-Monthly IDCW</t>
        </is>
      </c>
      <c r="C7996" t="inlineStr">
        <is>
          <t xml:space="preserve">INF767K01816</t>
        </is>
      </c>
    </row>
    <row r="7997">
      <c r="A7997" t="inlineStr">
        <is>
          <t xml:space="preserve">LIC Mutual Fund</t>
        </is>
      </c>
      <c r="B7997" t="inlineStr">
        <is>
          <t xml:space="preserve">LIC MF Conservative Hybrid Fund-Regular Plan-Quarterly IDCW</t>
        </is>
      </c>
      <c r="C7997" t="inlineStr">
        <is>
          <t xml:space="preserve">INF767K01832</t>
        </is>
      </c>
    </row>
    <row r="7998">
      <c r="A7998" t="inlineStr">
        <is>
          <t xml:space="preserve">LIC Mutual Fund</t>
        </is>
      </c>
      <c r="B7998" t="inlineStr">
        <is>
          <t xml:space="preserve">LIC MF Conservative Hybrid Fund-Regular Plan-Yearly IDCW</t>
        </is>
      </c>
      <c r="C7998" t="inlineStr">
        <is>
          <t xml:space="preserve">INF767K01857</t>
        </is>
      </c>
    </row>
    <row r="7999">
      <c r="A7999" t="inlineStr">
        <is>
          <t xml:space="preserve">LIC Mutual Fund</t>
        </is>
      </c>
      <c r="B7999" t="inlineStr">
        <is>
          <t xml:space="preserve">LIC MF Consumption Fund-Direct Plan-Growth</t>
        </is>
      </c>
      <c r="C7999" t="inlineStr">
        <is>
          <t xml:space="preserve">INF767K01SD0</t>
        </is>
      </c>
    </row>
    <row r="8000">
      <c r="A8000" t="inlineStr">
        <is>
          <t xml:space="preserve">LIC Mutual Fund</t>
        </is>
      </c>
      <c r="B8000" t="inlineStr">
        <is>
          <t xml:space="preserve">LIC MF Consumption Fund-Direct Plan-IDCW</t>
        </is>
      </c>
      <c r="C8000" t="inlineStr">
        <is>
          <t xml:space="preserve">INF767K01SF5</t>
        </is>
      </c>
    </row>
    <row r="8001">
      <c r="A8001" t="inlineStr">
        <is>
          <t xml:space="preserve">LIC Mutual Fund</t>
        </is>
      </c>
      <c r="B8001" t="inlineStr">
        <is>
          <t xml:space="preserve">LIC MF Consumption Fund-Regular Plan-Growth</t>
        </is>
      </c>
      <c r="C8001" t="inlineStr">
        <is>
          <t xml:space="preserve">INF767K01SA6</t>
        </is>
      </c>
    </row>
    <row r="8002">
      <c r="A8002" t="inlineStr">
        <is>
          <t xml:space="preserve">LIC Mutual Fund</t>
        </is>
      </c>
      <c r="B8002" t="inlineStr">
        <is>
          <t xml:space="preserve">LIC MF Consumption Fund-Regular Plan-IDCW</t>
        </is>
      </c>
      <c r="C8002" t="inlineStr">
        <is>
          <t xml:space="preserve">INF767K01SC2</t>
        </is>
      </c>
    </row>
    <row r="8003">
      <c r="A8003" t="inlineStr">
        <is>
          <t xml:space="preserve">LIC Mutual Fund</t>
        </is>
      </c>
      <c r="B8003" t="inlineStr">
        <is>
          <t xml:space="preserve">LIC MF Dividend Yield Fund-Direct Plan-Growth</t>
        </is>
      </c>
      <c r="C8003" t="inlineStr">
        <is>
          <t xml:space="preserve">INF397L01LC1</t>
        </is>
      </c>
    </row>
    <row r="8004">
      <c r="A8004" t="inlineStr">
        <is>
          <t xml:space="preserve">LIC Mutual Fund</t>
        </is>
      </c>
      <c r="B8004" t="inlineStr">
        <is>
          <t xml:space="preserve">LIC MF Dividend Yield Fund-Direct Plan-IDCW</t>
        </is>
      </c>
      <c r="C8004" t="inlineStr">
        <is>
          <t xml:space="preserve">INF397L01KZ4</t>
        </is>
      </c>
    </row>
    <row r="8005">
      <c r="A8005" t="inlineStr">
        <is>
          <t xml:space="preserve">LIC Mutual Fund</t>
        </is>
      </c>
      <c r="B8005" t="inlineStr">
        <is>
          <t xml:space="preserve">LIC MF Dividend Yield Fund-Regular Plan-Growth</t>
        </is>
      </c>
      <c r="C8005" t="inlineStr">
        <is>
          <t xml:space="preserve">INF397L01KY7</t>
        </is>
      </c>
    </row>
    <row r="8006">
      <c r="A8006" t="inlineStr">
        <is>
          <t xml:space="preserve">LIC Mutual Fund</t>
        </is>
      </c>
      <c r="B8006" t="inlineStr">
        <is>
          <t xml:space="preserve">LIC MF Dividend Yield Fund-Regular Plan-IDCW</t>
        </is>
      </c>
      <c r="C8006" t="inlineStr">
        <is>
          <t xml:space="preserve">INF397L01KV3</t>
        </is>
      </c>
    </row>
    <row r="8007">
      <c r="A8007" t="inlineStr">
        <is>
          <t xml:space="preserve">LIC Mutual Fund</t>
        </is>
      </c>
      <c r="B8007" t="inlineStr">
        <is>
          <t xml:space="preserve">LIC MF ELSS Tax Saver-Direct Plan-Growth</t>
        </is>
      </c>
      <c r="C8007" t="inlineStr">
        <is>
          <t xml:space="preserve">INF767K01EM1</t>
        </is>
      </c>
    </row>
    <row r="8008">
      <c r="A8008" t="inlineStr">
        <is>
          <t xml:space="preserve">LIC Mutual Fund</t>
        </is>
      </c>
      <c r="B8008" t="inlineStr">
        <is>
          <t xml:space="preserve">LIC MF ELSS Tax Saver-Direct Plan-IDCW</t>
        </is>
      </c>
      <c r="C8008" t="inlineStr">
        <is>
          <t xml:space="preserve">INF767K01EL3</t>
        </is>
      </c>
    </row>
    <row r="8009">
      <c r="A8009" t="inlineStr">
        <is>
          <t xml:space="preserve">LIC Mutual Fund</t>
        </is>
      </c>
      <c r="B8009" t="inlineStr">
        <is>
          <t xml:space="preserve">LIC MF ELSS Tax Saver-Regular Plan-Growth</t>
        </is>
      </c>
      <c r="C8009" t="inlineStr">
        <is>
          <t xml:space="preserve">INF767K01956</t>
        </is>
      </c>
    </row>
    <row r="8010">
      <c r="A8010" t="inlineStr">
        <is>
          <t xml:space="preserve">LIC Mutual Fund</t>
        </is>
      </c>
      <c r="B8010" t="inlineStr">
        <is>
          <t xml:space="preserve">LIC MF ELSS Tax Saver-Regular Plan-IDCW</t>
        </is>
      </c>
      <c r="C8010" t="inlineStr">
        <is>
          <t xml:space="preserve">INF767K01931</t>
        </is>
      </c>
    </row>
    <row r="8011">
      <c r="A8011" t="inlineStr">
        <is>
          <t xml:space="preserve">LIC Mutual Fund</t>
        </is>
      </c>
      <c r="B8011" t="inlineStr">
        <is>
          <t xml:space="preserve">LIC MF Equity Savings Fund-Direct Plan-Growth</t>
        </is>
      </c>
      <c r="C8011" t="inlineStr">
        <is>
          <t xml:space="preserve">INF397L01AZ5</t>
        </is>
      </c>
    </row>
    <row r="8012">
      <c r="A8012" t="inlineStr">
        <is>
          <t xml:space="preserve">LIC Mutual Fund</t>
        </is>
      </c>
      <c r="B8012" t="inlineStr">
        <is>
          <t xml:space="preserve">LIC MF Equity Savings Fund-Direct Plan-Monthly IDCW</t>
        </is>
      </c>
      <c r="C8012" t="inlineStr">
        <is>
          <t xml:space="preserve">INF397L01BA6</t>
        </is>
      </c>
    </row>
    <row r="8013">
      <c r="A8013" t="inlineStr">
        <is>
          <t xml:space="preserve">LIC Mutual Fund</t>
        </is>
      </c>
      <c r="B8013" t="inlineStr">
        <is>
          <t xml:space="preserve">LIC MF Equity Savings Fund-Direct Plan-Quarterly IDCW</t>
        </is>
      </c>
      <c r="C8013" t="inlineStr">
        <is>
          <t xml:space="preserve">INF397L01BD0</t>
        </is>
      </c>
    </row>
    <row r="8014">
      <c r="A8014" t="inlineStr">
        <is>
          <t xml:space="preserve">LIC Mutual Fund</t>
        </is>
      </c>
      <c r="B8014" t="inlineStr">
        <is>
          <t xml:space="preserve">LIC MF Equity Savings Fund-Regular Plan-Growth</t>
        </is>
      </c>
      <c r="C8014" t="inlineStr">
        <is>
          <t xml:space="preserve">INF397L01315</t>
        </is>
      </c>
    </row>
    <row r="8015">
      <c r="A8015" t="inlineStr">
        <is>
          <t xml:space="preserve">LIC Mutual Fund</t>
        </is>
      </c>
      <c r="B8015" t="inlineStr">
        <is>
          <t xml:space="preserve">LIC MF Equity Savings Fund-Regular Plan-Monthly IDCW</t>
        </is>
      </c>
      <c r="C8015" t="inlineStr">
        <is>
          <t xml:space="preserve">INF397L01257</t>
        </is>
      </c>
    </row>
    <row r="8016">
      <c r="A8016" t="inlineStr">
        <is>
          <t xml:space="preserve">LIC Mutual Fund</t>
        </is>
      </c>
      <c r="B8016" t="inlineStr">
        <is>
          <t xml:space="preserve">LIC MF Equity Savings Fund-Regular Plan-Quarterly IDCW</t>
        </is>
      </c>
      <c r="C8016" t="inlineStr">
        <is>
          <t xml:space="preserve">INF397L01281</t>
        </is>
      </c>
    </row>
    <row r="8017">
      <c r="A8017" t="inlineStr">
        <is>
          <t xml:space="preserve">LIC Mutual Fund</t>
        </is>
      </c>
      <c r="B8017" t="inlineStr">
        <is>
          <t xml:space="preserve">LIC MF Flexi Cap Fund-Direct Plan-Growth</t>
        </is>
      </c>
      <c r="C8017" t="inlineStr">
        <is>
          <t xml:space="preserve">INF767K01EG3</t>
        </is>
      </c>
    </row>
    <row r="8018">
      <c r="A8018" t="inlineStr">
        <is>
          <t xml:space="preserve">LIC Mutual Fund</t>
        </is>
      </c>
      <c r="B8018" t="inlineStr">
        <is>
          <t xml:space="preserve">LIC MF Flexi Cap Fund-Direct Plan-IDCW</t>
        </is>
      </c>
      <c r="C8018" t="inlineStr">
        <is>
          <t xml:space="preserve">INF767K01EF5</t>
        </is>
      </c>
    </row>
    <row r="8019">
      <c r="A8019" t="inlineStr">
        <is>
          <t xml:space="preserve">LIC Mutual Fund</t>
        </is>
      </c>
      <c r="B8019" t="inlineStr">
        <is>
          <t xml:space="preserve">LIC MF Flexi Cap Fund-Regular Plan-Growth</t>
        </is>
      </c>
      <c r="C8019" t="inlineStr">
        <is>
          <t xml:space="preserve">INF767K01071</t>
        </is>
      </c>
    </row>
    <row r="8020">
      <c r="A8020" t="inlineStr">
        <is>
          <t xml:space="preserve">LIC Mutual Fund</t>
        </is>
      </c>
      <c r="B8020" t="inlineStr">
        <is>
          <t xml:space="preserve">LIC MF Flexi Cap Fund-Regular Plan-IDCW</t>
        </is>
      </c>
      <c r="C8020" t="inlineStr">
        <is>
          <t xml:space="preserve">INF767K01063</t>
        </is>
      </c>
    </row>
    <row r="8021">
      <c r="A8021" t="inlineStr">
        <is>
          <t xml:space="preserve">LIC Mutual Fund</t>
        </is>
      </c>
      <c r="B8021" t="inlineStr">
        <is>
          <t xml:space="preserve">LIC MF Focused Fund-Direct Plan-Growth</t>
        </is>
      </c>
      <c r="C8021" t="inlineStr">
        <is>
          <t xml:space="preserve">INF397L01KA7</t>
        </is>
      </c>
    </row>
    <row r="8022">
      <c r="A8022" t="inlineStr">
        <is>
          <t xml:space="preserve">LIC Mutual Fund</t>
        </is>
      </c>
      <c r="B8022" t="inlineStr">
        <is>
          <t xml:space="preserve">LIC MF Focused Fund-Direct Plan-IDCW</t>
        </is>
      </c>
      <c r="C8022" t="inlineStr">
        <is>
          <t xml:space="preserve">INF397L01JX1</t>
        </is>
      </c>
    </row>
    <row r="8023">
      <c r="A8023" t="inlineStr">
        <is>
          <t xml:space="preserve">LIC Mutual Fund</t>
        </is>
      </c>
      <c r="B8023" t="inlineStr">
        <is>
          <t xml:space="preserve">LIC MF Focused Fund-Regular Plan-Growth</t>
        </is>
      </c>
      <c r="C8023" t="inlineStr">
        <is>
          <t xml:space="preserve">INF397L01KE9</t>
        </is>
      </c>
    </row>
    <row r="8024">
      <c r="A8024" t="inlineStr">
        <is>
          <t xml:space="preserve">LIC Mutual Fund</t>
        </is>
      </c>
      <c r="B8024" t="inlineStr">
        <is>
          <t xml:space="preserve">LIC MF Focused Fund-Regular Plan-IDCW</t>
        </is>
      </c>
      <c r="C8024" t="inlineStr">
        <is>
          <t xml:space="preserve">INF397L01KB5</t>
        </is>
      </c>
    </row>
    <row r="8025">
      <c r="A8025" t="inlineStr">
        <is>
          <t xml:space="preserve">LIC Mutual Fund</t>
        </is>
      </c>
      <c r="B8025" t="inlineStr">
        <is>
          <t xml:space="preserve">LIC MF Gilt Fund-Direct Plan-Growth</t>
        </is>
      </c>
      <c r="C8025" t="inlineStr">
        <is>
          <t xml:space="preserve">INF767K01EZ3</t>
        </is>
      </c>
    </row>
    <row r="8026">
      <c r="A8026" t="inlineStr">
        <is>
          <t xml:space="preserve">LIC Mutual Fund</t>
        </is>
      </c>
      <c r="B8026" t="inlineStr">
        <is>
          <t xml:space="preserve">LIC MF Gilt Fund-Direct Plan-IDCW</t>
        </is>
      </c>
      <c r="C8026" t="inlineStr">
        <is>
          <t xml:space="preserve">INF767K01EY6</t>
        </is>
      </c>
    </row>
    <row r="8027">
      <c r="A8027" t="inlineStr">
        <is>
          <t xml:space="preserve">LIC Mutual Fund</t>
        </is>
      </c>
      <c r="B8027" t="inlineStr">
        <is>
          <t xml:space="preserve">LIC MF Gilt Fund-PF Plan-Growth</t>
        </is>
      </c>
      <c r="C8027" t="inlineStr">
        <is>
          <t xml:space="preserve">INF767K01733</t>
        </is>
      </c>
    </row>
    <row r="8028">
      <c r="A8028" t="inlineStr">
        <is>
          <t xml:space="preserve">LIC Mutual Fund</t>
        </is>
      </c>
      <c r="B8028" t="inlineStr">
        <is>
          <t xml:space="preserve">LIC MF Gilt Fund-PF Plan-IDCW</t>
        </is>
      </c>
      <c r="C8028" t="inlineStr">
        <is>
          <t xml:space="preserve">INF767K01717</t>
        </is>
      </c>
    </row>
    <row r="8029">
      <c r="A8029" t="inlineStr">
        <is>
          <t xml:space="preserve">LIC Mutual Fund</t>
        </is>
      </c>
      <c r="B8029" t="inlineStr">
        <is>
          <t xml:space="preserve">LIC MF Gilt Fund-Regular Plan-Growth</t>
        </is>
      </c>
      <c r="C8029" t="inlineStr">
        <is>
          <t xml:space="preserve">INF767K01709</t>
        </is>
      </c>
    </row>
    <row r="8030">
      <c r="A8030" t="inlineStr">
        <is>
          <t xml:space="preserve">LIC Mutual Fund</t>
        </is>
      </c>
      <c r="B8030" t="inlineStr">
        <is>
          <t xml:space="preserve">LIC MF Gilt Fund-Regular Plan-IDCW</t>
        </is>
      </c>
      <c r="C8030" t="inlineStr">
        <is>
          <t xml:space="preserve">INF767K01683</t>
        </is>
      </c>
    </row>
    <row r="8031">
      <c r="A8031" t="inlineStr">
        <is>
          <t xml:space="preserve">LIC Mutual Fund</t>
        </is>
      </c>
      <c r="B8031" t="inlineStr">
        <is>
          <t xml:space="preserve">LIC MF Gold ETF Fund of Fund-Direct Plan-Growth</t>
        </is>
      </c>
      <c r="C8031" t="inlineStr">
        <is>
          <t xml:space="preserve">INF397L01BU4</t>
        </is>
      </c>
    </row>
    <row r="8032">
      <c r="A8032" t="inlineStr">
        <is>
          <t xml:space="preserve">LIC Mutual Fund</t>
        </is>
      </c>
      <c r="B8032" t="inlineStr">
        <is>
          <t xml:space="preserve">LIC MF Gold ETF Fund of Fund-Regular Plan-Growth</t>
        </is>
      </c>
      <c r="C8032" t="inlineStr">
        <is>
          <t xml:space="preserve">INF397L01992</t>
        </is>
      </c>
    </row>
    <row r="8033">
      <c r="A8033" t="inlineStr">
        <is>
          <t xml:space="preserve">LIC Mutual Fund</t>
        </is>
      </c>
      <c r="B8033" t="inlineStr">
        <is>
          <t xml:space="preserve">LIC MF Gold Exchange Traded Fund</t>
        </is>
      </c>
      <c r="C8033" t="inlineStr">
        <is>
          <t xml:space="preserve">INF767K01SM1</t>
        </is>
      </c>
    </row>
    <row r="8034">
      <c r="A8034" t="inlineStr">
        <is>
          <t xml:space="preserve">LIC Mutual Fund</t>
        </is>
      </c>
      <c r="B8034" t="inlineStr">
        <is>
          <t xml:space="preserve">LIC MF Healthcare Fund-Direct Plan-Growth</t>
        </is>
      </c>
      <c r="C8034" t="inlineStr">
        <is>
          <t xml:space="preserve">INF397L01LK4</t>
        </is>
      </c>
    </row>
    <row r="8035">
      <c r="A8035" t="inlineStr">
        <is>
          <t xml:space="preserve">LIC Mutual Fund</t>
        </is>
      </c>
      <c r="B8035" t="inlineStr">
        <is>
          <t xml:space="preserve">LIC MF Healthcare Fund-Direct Plan-IDCW</t>
        </is>
      </c>
      <c r="C8035" t="inlineStr">
        <is>
          <t xml:space="preserve">INF397L01LH0</t>
        </is>
      </c>
    </row>
    <row r="8036">
      <c r="A8036" t="inlineStr">
        <is>
          <t xml:space="preserve">LIC Mutual Fund</t>
        </is>
      </c>
      <c r="B8036" t="inlineStr">
        <is>
          <t xml:space="preserve">LIC MF Healthcare Fund-Regular Plan-Growth</t>
        </is>
      </c>
      <c r="C8036" t="inlineStr">
        <is>
          <t xml:space="preserve">INF397L01LG2</t>
        </is>
      </c>
    </row>
    <row r="8037">
      <c r="A8037" t="inlineStr">
        <is>
          <t xml:space="preserve">LIC Mutual Fund</t>
        </is>
      </c>
      <c r="B8037" t="inlineStr">
        <is>
          <t xml:space="preserve">LIC MF Healthcare Fund-Regular Plan-IDCW</t>
        </is>
      </c>
      <c r="C8037" t="inlineStr">
        <is>
          <t xml:space="preserve">INF397L01LD9</t>
        </is>
      </c>
    </row>
    <row r="8038">
      <c r="A8038" t="inlineStr">
        <is>
          <t xml:space="preserve">LIC Mutual Fund</t>
        </is>
      </c>
      <c r="B8038" t="inlineStr">
        <is>
          <t xml:space="preserve">LIC MF Infrastructure Fund-Direct Plan-Growth</t>
        </is>
      </c>
      <c r="C8038" t="inlineStr">
        <is>
          <t xml:space="preserve">INF767K01GW5</t>
        </is>
      </c>
    </row>
    <row r="8039">
      <c r="A8039" t="inlineStr">
        <is>
          <t xml:space="preserve">LIC Mutual Fund</t>
        </is>
      </c>
      <c r="B8039" t="inlineStr">
        <is>
          <t xml:space="preserve">LIC MF Infrastructure Fund-Direct Plan-IDCW</t>
        </is>
      </c>
      <c r="C8039" t="inlineStr">
        <is>
          <t xml:space="preserve">INF767K01GV7</t>
        </is>
      </c>
    </row>
    <row r="8040">
      <c r="A8040" t="inlineStr">
        <is>
          <t xml:space="preserve">LIC Mutual Fund</t>
        </is>
      </c>
      <c r="B8040" t="inlineStr">
        <is>
          <t xml:space="preserve">LIC MF Infrastructure Fund-Regular Plan-Growth</t>
        </is>
      </c>
      <c r="C8040" t="inlineStr">
        <is>
          <t xml:space="preserve">INF767K01501</t>
        </is>
      </c>
    </row>
    <row r="8041">
      <c r="A8041" t="inlineStr">
        <is>
          <t xml:space="preserve">LIC Mutual Fund</t>
        </is>
      </c>
      <c r="B8041" t="inlineStr">
        <is>
          <t xml:space="preserve">LIC MF Infrastructure Fund-Regular Plan-IDCW</t>
        </is>
      </c>
      <c r="C8041" t="inlineStr">
        <is>
          <t xml:space="preserve">INF767K01485</t>
        </is>
      </c>
    </row>
    <row r="8042">
      <c r="A8042" t="inlineStr">
        <is>
          <t xml:space="preserve">LIC Mutual Fund</t>
        </is>
      </c>
      <c r="B8042" t="inlineStr">
        <is>
          <t xml:space="preserve">LIC MF Large &amp; Mid Cap Fund-Direct Plan-Growth</t>
        </is>
      </c>
      <c r="C8042" t="inlineStr">
        <is>
          <t xml:space="preserve">INF767K01NE9</t>
        </is>
      </c>
    </row>
    <row r="8043">
      <c r="A8043" t="inlineStr">
        <is>
          <t xml:space="preserve">LIC Mutual Fund</t>
        </is>
      </c>
      <c r="B8043" t="inlineStr">
        <is>
          <t xml:space="preserve">LIC MF Large &amp; Mid Cap Fund-Direct Plan-IDCW</t>
        </is>
      </c>
      <c r="C8043" t="inlineStr">
        <is>
          <t xml:space="preserve">INF767K01ND1</t>
        </is>
      </c>
    </row>
    <row r="8044">
      <c r="A8044" t="inlineStr">
        <is>
          <t xml:space="preserve">LIC Mutual Fund</t>
        </is>
      </c>
      <c r="B8044" t="inlineStr">
        <is>
          <t xml:space="preserve">LIC MF Large &amp; Mid Cap Fund-Regular Plan-Growth</t>
        </is>
      </c>
      <c r="C8044" t="inlineStr">
        <is>
          <t xml:space="preserve">INF767K01NB5</t>
        </is>
      </c>
    </row>
    <row r="8045">
      <c r="A8045" t="inlineStr">
        <is>
          <t xml:space="preserve">LIC Mutual Fund</t>
        </is>
      </c>
      <c r="B8045" t="inlineStr">
        <is>
          <t xml:space="preserve">LIC MF Large &amp; Mid Cap Fund-Regular Plan-IDCW</t>
        </is>
      </c>
      <c r="C8045" t="inlineStr">
        <is>
          <t xml:space="preserve">INF767K01NA7</t>
        </is>
      </c>
    </row>
    <row r="8046">
      <c r="A8046" t="inlineStr">
        <is>
          <t xml:space="preserve">LIC Mutual Fund</t>
        </is>
      </c>
      <c r="B8046" t="inlineStr">
        <is>
          <t xml:space="preserve">LIC MF Large Cap Fund-Direct Plan-Growth</t>
        </is>
      </c>
      <c r="C8046" t="inlineStr">
        <is>
          <t xml:space="preserve">INF767K01EJ7</t>
        </is>
      </c>
    </row>
    <row r="8047">
      <c r="A8047" t="inlineStr">
        <is>
          <t xml:space="preserve">LIC Mutual Fund</t>
        </is>
      </c>
      <c r="B8047" t="inlineStr">
        <is>
          <t xml:space="preserve">LIC MF Large Cap Fund-Direct Plan-IDCW</t>
        </is>
      </c>
      <c r="C8047" t="inlineStr">
        <is>
          <t xml:space="preserve">INF767K01EI9</t>
        </is>
      </c>
    </row>
    <row r="8048">
      <c r="A8048" t="inlineStr">
        <is>
          <t xml:space="preserve">LIC Mutual Fund</t>
        </is>
      </c>
      <c r="B8048" t="inlineStr">
        <is>
          <t xml:space="preserve">LIC MF Large Cap Fund-Regular Plan-Growth</t>
        </is>
      </c>
      <c r="C8048" t="inlineStr">
        <is>
          <t xml:space="preserve">INF767K01105</t>
        </is>
      </c>
    </row>
    <row r="8049">
      <c r="A8049" t="inlineStr">
        <is>
          <t xml:space="preserve">LIC Mutual Fund</t>
        </is>
      </c>
      <c r="B8049" t="inlineStr">
        <is>
          <t xml:space="preserve">LIC MF Large Cap Fund-Regular Plan-IDCW</t>
        </is>
      </c>
      <c r="C8049" t="inlineStr">
        <is>
          <t xml:space="preserve">INF767K01097</t>
        </is>
      </c>
    </row>
    <row r="8050">
      <c r="A8050" t="inlineStr">
        <is>
          <t xml:space="preserve">LIC Mutual Fund</t>
        </is>
      </c>
      <c r="B8050" t="inlineStr">
        <is>
          <t xml:space="preserve">LIC MF Liquid Fund-Direct Plan-Daily IDCW</t>
        </is>
      </c>
      <c r="C8050" t="inlineStr">
        <is>
          <t xml:space="preserve">INF767K01DL5</t>
        </is>
      </c>
    </row>
    <row r="8051">
      <c r="A8051" t="inlineStr">
        <is>
          <t xml:space="preserve">LIC Mutual Fund</t>
        </is>
      </c>
      <c r="B8051" t="inlineStr">
        <is>
          <t xml:space="preserve">LIC MF Liquid Fund-Direct Plan-Growth</t>
        </is>
      </c>
      <c r="C8051" t="inlineStr">
        <is>
          <t xml:space="preserve">INF767K01DN1</t>
        </is>
      </c>
    </row>
    <row r="8052">
      <c r="A8052" t="inlineStr">
        <is>
          <t xml:space="preserve">LIC Mutual Fund</t>
        </is>
      </c>
      <c r="B8052" t="inlineStr">
        <is>
          <t xml:space="preserve">LIC MF Liquid Fund-Direct Plan-Monthly IDCW</t>
        </is>
      </c>
      <c r="C8052" t="inlineStr">
        <is>
          <t xml:space="preserve">INF397L01AK7</t>
        </is>
      </c>
    </row>
    <row r="8053">
      <c r="A8053" t="inlineStr">
        <is>
          <t xml:space="preserve">LIC Mutual Fund</t>
        </is>
      </c>
      <c r="B8053" t="inlineStr">
        <is>
          <t xml:space="preserve">LIC MF Liquid Fund-Direct Plan-Weekly IDCW</t>
        </is>
      </c>
      <c r="C8053" t="inlineStr">
        <is>
          <t xml:space="preserve">INF397L01AM3</t>
        </is>
      </c>
    </row>
    <row r="8054">
      <c r="A8054" t="inlineStr">
        <is>
          <t xml:space="preserve">LIC Mutual Fund</t>
        </is>
      </c>
      <c r="B8054" t="inlineStr">
        <is>
          <t xml:space="preserve">LIC MF Liquid Fund-Regular Plan-Daily IDCW</t>
        </is>
      </c>
      <c r="C8054" t="inlineStr">
        <is>
          <t xml:space="preserve">INF767K01IQ3</t>
        </is>
      </c>
    </row>
    <row r="8055">
      <c r="A8055" t="inlineStr">
        <is>
          <t xml:space="preserve">LIC Mutual Fund</t>
        </is>
      </c>
      <c r="B8055" t="inlineStr">
        <is>
          <t xml:space="preserve">LIC MF Liquid Fund-Regular Plan-Growth</t>
        </is>
      </c>
      <c r="C8055" t="inlineStr">
        <is>
          <t xml:space="preserve">INF767K01IS9</t>
        </is>
      </c>
    </row>
    <row r="8056">
      <c r="A8056" t="inlineStr">
        <is>
          <t xml:space="preserve">LIC Mutual Fund</t>
        </is>
      </c>
      <c r="B8056" t="inlineStr">
        <is>
          <t xml:space="preserve">LIC MF Liquid Fund-Regular Plan-Monthly IDCW</t>
        </is>
      </c>
      <c r="C8056" t="inlineStr">
        <is>
          <t xml:space="preserve">INF397L01976</t>
        </is>
      </c>
    </row>
    <row r="8057">
      <c r="A8057" t="inlineStr">
        <is>
          <t xml:space="preserve">LIC Mutual Fund</t>
        </is>
      </c>
      <c r="B8057" t="inlineStr">
        <is>
          <t xml:space="preserve">LIC MF Liquid Fund-Regular Plan-Weekly IDCW</t>
        </is>
      </c>
      <c r="C8057" t="inlineStr">
        <is>
          <t xml:space="preserve">INF397L01950</t>
        </is>
      </c>
    </row>
    <row r="8058">
      <c r="A8058" t="inlineStr">
        <is>
          <t xml:space="preserve">LIC Mutual Fund</t>
        </is>
      </c>
      <c r="B8058" t="inlineStr">
        <is>
          <t xml:space="preserve">LIC MF Low Duration Fund-Direct Plan-Daily IDCW</t>
        </is>
      </c>
      <c r="C8058" t="inlineStr">
        <is>
          <t xml:space="preserve">INF767K01FL0</t>
        </is>
      </c>
    </row>
    <row r="8059">
      <c r="A8059" t="inlineStr">
        <is>
          <t xml:space="preserve">LIC Mutual Fund</t>
        </is>
      </c>
      <c r="B8059" t="inlineStr">
        <is>
          <t xml:space="preserve">LIC MF Low Duration Fund-Direct Plan-Growth</t>
        </is>
      </c>
      <c r="C8059" t="inlineStr">
        <is>
          <t xml:space="preserve">INF767K01FM8</t>
        </is>
      </c>
    </row>
    <row r="8060">
      <c r="A8060" t="inlineStr">
        <is>
          <t xml:space="preserve">LIC Mutual Fund</t>
        </is>
      </c>
      <c r="B8060" t="inlineStr">
        <is>
          <t xml:space="preserve">LIC MF Low Duration Fund-Direct Plan-Monthly IDCW</t>
        </is>
      </c>
      <c r="C8060" t="inlineStr">
        <is>
          <t xml:space="preserve">INF767K01FP1</t>
        </is>
      </c>
    </row>
    <row r="8061">
      <c r="A8061" t="inlineStr">
        <is>
          <t xml:space="preserve">LIC Mutual Fund</t>
        </is>
      </c>
      <c r="B8061" t="inlineStr">
        <is>
          <t xml:space="preserve">LIC MF Low Duration Fund-Direct Plan-Weekly IDCW</t>
        </is>
      </c>
      <c r="C8061" t="inlineStr">
        <is>
          <t xml:space="preserve">INF767K01JJ6</t>
        </is>
      </c>
    </row>
    <row r="8062">
      <c r="A8062" t="inlineStr">
        <is>
          <t xml:space="preserve">LIC Mutual Fund</t>
        </is>
      </c>
      <c r="B8062" t="inlineStr">
        <is>
          <t xml:space="preserve">LIC MF Low Duration Fund-Regular Plan-Daily IDCW</t>
        </is>
      </c>
      <c r="C8062" t="inlineStr">
        <is>
          <t xml:space="preserve">INF767K01AK3</t>
        </is>
      </c>
    </row>
    <row r="8063">
      <c r="A8063" t="inlineStr">
        <is>
          <t xml:space="preserve">LIC Mutual Fund</t>
        </is>
      </c>
      <c r="B8063" t="inlineStr">
        <is>
          <t xml:space="preserve">LIC MF Low Duration Fund-Regular Plan-Growth</t>
        </is>
      </c>
      <c r="C8063" t="inlineStr">
        <is>
          <t xml:space="preserve">INF767K01AO5</t>
        </is>
      </c>
    </row>
    <row r="8064">
      <c r="A8064" t="inlineStr">
        <is>
          <t xml:space="preserve">LIC Mutual Fund</t>
        </is>
      </c>
      <c r="B8064" t="inlineStr">
        <is>
          <t xml:space="preserve">LIC MF Low Duration Fund-Regular Plan-Monthly IDCW</t>
        </is>
      </c>
      <c r="C8064" t="inlineStr">
        <is>
          <t xml:space="preserve">INF767K01AM9</t>
        </is>
      </c>
    </row>
    <row r="8065">
      <c r="A8065" t="inlineStr">
        <is>
          <t xml:space="preserve">LIC Mutual Fund</t>
        </is>
      </c>
      <c r="B8065" t="inlineStr">
        <is>
          <t xml:space="preserve">LIC MF Low Duration Fund-Regular Plan-Weekly IDCW</t>
        </is>
      </c>
      <c r="C8065" t="inlineStr">
        <is>
          <t xml:space="preserve">INF767K01AP2</t>
        </is>
      </c>
    </row>
    <row r="8066">
      <c r="A8066" t="inlineStr">
        <is>
          <t xml:space="preserve">LIC Mutual Fund</t>
        </is>
      </c>
      <c r="B8066" t="inlineStr">
        <is>
          <t xml:space="preserve">LIC MF Manufacturing Fund-Direct Plan-Growth</t>
        </is>
      </c>
      <c r="C8066" t="inlineStr">
        <is>
          <t xml:space="preserve">INF767K01RR2</t>
        </is>
      </c>
    </row>
    <row r="8067">
      <c r="A8067" t="inlineStr">
        <is>
          <t xml:space="preserve">LIC Mutual Fund</t>
        </is>
      </c>
      <c r="B8067" t="inlineStr">
        <is>
          <t xml:space="preserve">LIC MF Manufacturing Fund-Direct Plan-IDCW</t>
        </is>
      </c>
      <c r="C8067" t="inlineStr">
        <is>
          <t xml:space="preserve">INF767K01RT8</t>
        </is>
      </c>
    </row>
    <row r="8068">
      <c r="A8068" t="inlineStr">
        <is>
          <t xml:space="preserve">LIC Mutual Fund</t>
        </is>
      </c>
      <c r="B8068" t="inlineStr">
        <is>
          <t xml:space="preserve">LIC MF Manufacturing Fund-Regular Plan-Growth</t>
        </is>
      </c>
      <c r="C8068" t="inlineStr">
        <is>
          <t xml:space="preserve">INF767K01RO9</t>
        </is>
      </c>
    </row>
    <row r="8069">
      <c r="A8069" t="inlineStr">
        <is>
          <t xml:space="preserve">LIC Mutual Fund</t>
        </is>
      </c>
      <c r="B8069" t="inlineStr">
        <is>
          <t xml:space="preserve">LIC MF Manufacturing Fund-Regular Plan-IDCW</t>
        </is>
      </c>
      <c r="C8069" t="inlineStr">
        <is>
          <t xml:space="preserve">INF767K01RQ4</t>
        </is>
      </c>
    </row>
    <row r="8070">
      <c r="A8070" t="inlineStr">
        <is>
          <t xml:space="preserve">LIC Mutual Fund</t>
        </is>
      </c>
      <c r="B8070" t="inlineStr">
        <is>
          <t xml:space="preserve">LIC MF Medium to Long Duration Fund-Direct Plan-Annual IDCW</t>
        </is>
      </c>
      <c r="C8070" t="inlineStr">
        <is>
          <t xml:space="preserve">INF397L01GD9</t>
        </is>
      </c>
    </row>
    <row r="8071">
      <c r="A8071" t="inlineStr">
        <is>
          <t xml:space="preserve">LIC Mutual Fund</t>
        </is>
      </c>
      <c r="B8071" t="inlineStr">
        <is>
          <t xml:space="preserve">LIC MF Medium to Long Duration Fund-Direct Plan-Growth</t>
        </is>
      </c>
      <c r="C8071" t="inlineStr">
        <is>
          <t xml:space="preserve">INF767K01EW0</t>
        </is>
      </c>
    </row>
    <row r="8072">
      <c r="A8072" t="inlineStr">
        <is>
          <t xml:space="preserve">LIC Mutual Fund</t>
        </is>
      </c>
      <c r="B8072" t="inlineStr">
        <is>
          <t xml:space="preserve">LIC MF Medium to Long Duration Fund-Direct Plan-IDCW</t>
        </is>
      </c>
      <c r="C8072" t="inlineStr">
        <is>
          <t xml:space="preserve">INF767K01EV2</t>
        </is>
      </c>
    </row>
    <row r="8073">
      <c r="A8073" t="inlineStr">
        <is>
          <t xml:space="preserve">LIC Mutual Fund</t>
        </is>
      </c>
      <c r="B8073" t="inlineStr">
        <is>
          <t xml:space="preserve">LIC MF Medium to Long Duration Fund-Direct Plan-Quarterly IDCW</t>
        </is>
      </c>
      <c r="C8073" t="inlineStr">
        <is>
          <t xml:space="preserve">INF397L01GA5</t>
        </is>
      </c>
    </row>
    <row r="8074">
      <c r="A8074" t="inlineStr">
        <is>
          <t xml:space="preserve">LIC Mutual Fund</t>
        </is>
      </c>
      <c r="B8074" t="inlineStr">
        <is>
          <t xml:space="preserve">LIC MF Medium to Long Duration Fund-Regular Plan-Annual IDCW</t>
        </is>
      </c>
      <c r="C8074" t="inlineStr">
        <is>
          <t xml:space="preserve">INF397L01FX9</t>
        </is>
      </c>
    </row>
    <row r="8075">
      <c r="A8075" t="inlineStr">
        <is>
          <t xml:space="preserve">LIC Mutual Fund</t>
        </is>
      </c>
      <c r="B8075" t="inlineStr">
        <is>
          <t xml:space="preserve">LIC MF Medium to Long Duration Fund-Regular Plan-Growth</t>
        </is>
      </c>
      <c r="C8075" t="inlineStr">
        <is>
          <t xml:space="preserve">INF767K01923</t>
        </is>
      </c>
    </row>
    <row r="8076">
      <c r="A8076" t="inlineStr">
        <is>
          <t xml:space="preserve">LIC Mutual Fund</t>
        </is>
      </c>
      <c r="B8076" t="inlineStr">
        <is>
          <t xml:space="preserve">LIC MF Medium to Long Duration Fund-Regular Plan-IDCW</t>
        </is>
      </c>
      <c r="C8076" t="inlineStr">
        <is>
          <t xml:space="preserve">INF767K01907</t>
        </is>
      </c>
    </row>
    <row r="8077">
      <c r="A8077" t="inlineStr">
        <is>
          <t xml:space="preserve">LIC Mutual Fund</t>
        </is>
      </c>
      <c r="B8077" t="inlineStr">
        <is>
          <t xml:space="preserve">LIC MF Medium to Long Duration Fund-Regular Plan-Quarterly IDCW</t>
        </is>
      </c>
      <c r="C8077" t="inlineStr">
        <is>
          <t xml:space="preserve">INF397L01FU5</t>
        </is>
      </c>
    </row>
    <row r="8078">
      <c r="A8078" t="inlineStr">
        <is>
          <t xml:space="preserve">LIC Mutual Fund</t>
        </is>
      </c>
      <c r="B8078" t="inlineStr">
        <is>
          <t xml:space="preserve">LIC MF Mid Cap Fund-Direct Plan-Growth</t>
        </is>
      </c>
      <c r="C8078" t="inlineStr">
        <is>
          <t xml:space="preserve">INF397L01JK8</t>
        </is>
      </c>
    </row>
    <row r="8079">
      <c r="A8079" t="inlineStr">
        <is>
          <t xml:space="preserve">LIC Mutual Fund</t>
        </is>
      </c>
      <c r="B8079" t="inlineStr">
        <is>
          <t xml:space="preserve">LIC MF Mid Cap Fund-Direct Plan-IDCW</t>
        </is>
      </c>
      <c r="C8079" t="inlineStr">
        <is>
          <t xml:space="preserve">INF397L01JH4</t>
        </is>
      </c>
    </row>
    <row r="8080">
      <c r="A8080" t="inlineStr">
        <is>
          <t xml:space="preserve">LIC Mutual Fund</t>
        </is>
      </c>
      <c r="B8080" t="inlineStr">
        <is>
          <t xml:space="preserve">LIC MF Mid Cap Fund-Regular Plan-Growth</t>
        </is>
      </c>
      <c r="C8080" t="inlineStr">
        <is>
          <t xml:space="preserve">INF397L01JO0</t>
        </is>
      </c>
    </row>
    <row r="8081">
      <c r="A8081" t="inlineStr">
        <is>
          <t xml:space="preserve">LIC Mutual Fund</t>
        </is>
      </c>
      <c r="B8081" t="inlineStr">
        <is>
          <t xml:space="preserve">LIC MF Mid Cap Fund-Regular Plan-IDCW</t>
        </is>
      </c>
      <c r="C8081" t="inlineStr">
        <is>
          <t xml:space="preserve">INF397L01JL6</t>
        </is>
      </c>
    </row>
    <row r="8082">
      <c r="A8082" t="inlineStr">
        <is>
          <t xml:space="preserve">LIC Mutual Fund</t>
        </is>
      </c>
      <c r="B8082" t="inlineStr">
        <is>
          <t xml:space="preserve">LIC MF Money Market Fund-Direct Plan-Growth</t>
        </is>
      </c>
      <c r="C8082" t="inlineStr">
        <is>
          <t xml:space="preserve">INF767K01RE0</t>
        </is>
      </c>
    </row>
    <row r="8083">
      <c r="A8083" t="inlineStr">
        <is>
          <t xml:space="preserve">LIC Mutual Fund</t>
        </is>
      </c>
      <c r="B8083" t="inlineStr">
        <is>
          <t xml:space="preserve">LIC MF Money Market Fund-Direct Plan-IDCW</t>
        </is>
      </c>
      <c r="C8083" t="inlineStr">
        <is>
          <t xml:space="preserve">INF767K01RF7</t>
        </is>
      </c>
    </row>
    <row r="8084">
      <c r="A8084" t="inlineStr">
        <is>
          <t xml:space="preserve">LIC Mutual Fund</t>
        </is>
      </c>
      <c r="B8084" t="inlineStr">
        <is>
          <t xml:space="preserve">LIC MF Money Market Fund-Regular Plan-Growth</t>
        </is>
      </c>
      <c r="C8084" t="inlineStr">
        <is>
          <t xml:space="preserve">INF767K01RB6</t>
        </is>
      </c>
    </row>
    <row r="8085">
      <c r="A8085" t="inlineStr">
        <is>
          <t xml:space="preserve">LIC Mutual Fund</t>
        </is>
      </c>
      <c r="B8085" t="inlineStr">
        <is>
          <t xml:space="preserve">LIC MF Money Market Fund-Regular Plan-IDCW</t>
        </is>
      </c>
      <c r="C8085" t="inlineStr">
        <is>
          <t xml:space="preserve">INF767K01RC4</t>
        </is>
      </c>
    </row>
    <row r="8086">
      <c r="A8086" t="inlineStr">
        <is>
          <t xml:space="preserve">LIC Mutual Fund</t>
        </is>
      </c>
      <c r="B8086" t="inlineStr">
        <is>
          <t xml:space="preserve">LIC MF Multi Asset Allocation Fund-Direct Plan-Growth</t>
        </is>
      </c>
      <c r="C8086" t="inlineStr">
        <is>
          <t xml:space="preserve">INF767K01RZ5</t>
        </is>
      </c>
    </row>
    <row r="8087">
      <c r="A8087" t="inlineStr">
        <is>
          <t xml:space="preserve">LIC Mutual Fund</t>
        </is>
      </c>
      <c r="B8087" t="inlineStr">
        <is>
          <t xml:space="preserve">LIC MF Multi Asset Allocation Fund-Direct Plan-IDCW</t>
        </is>
      </c>
      <c r="C8087" t="inlineStr">
        <is>
          <t xml:space="preserve">INF767K01RY8</t>
        </is>
      </c>
    </row>
    <row r="8088">
      <c r="A8088" t="inlineStr">
        <is>
          <t xml:space="preserve">LIC Mutual Fund</t>
        </is>
      </c>
      <c r="B8088" t="inlineStr">
        <is>
          <t xml:space="preserve">LIC MF Multi Asset Allocation Fund-Regular Plan-Growth</t>
        </is>
      </c>
      <c r="C8088" t="inlineStr">
        <is>
          <t xml:space="preserve">INF767K01RW2</t>
        </is>
      </c>
    </row>
    <row r="8089">
      <c r="A8089" t="inlineStr">
        <is>
          <t xml:space="preserve">LIC Mutual Fund</t>
        </is>
      </c>
      <c r="B8089" t="inlineStr">
        <is>
          <t xml:space="preserve">LIC MF Multi Asset Allocation Fund-Regular Plan-IDCW</t>
        </is>
      </c>
      <c r="C8089" t="inlineStr">
        <is>
          <t xml:space="preserve">INF767K01RV4</t>
        </is>
      </c>
    </row>
    <row r="8090">
      <c r="A8090" t="inlineStr">
        <is>
          <t xml:space="preserve">LIC Mutual Fund</t>
        </is>
      </c>
      <c r="B8090" t="inlineStr">
        <is>
          <t xml:space="preserve">LIC MF Multi Cap Fund-Direct Plan-Growth</t>
        </is>
      </c>
      <c r="C8090" t="inlineStr">
        <is>
          <t xml:space="preserve">INF767K01RK7</t>
        </is>
      </c>
    </row>
    <row r="8091">
      <c r="A8091" t="inlineStr">
        <is>
          <t xml:space="preserve">LIC Mutual Fund</t>
        </is>
      </c>
      <c r="B8091" t="inlineStr">
        <is>
          <t xml:space="preserve">LIC MF Multi Cap Fund-Direct Plan-IDCW</t>
        </is>
      </c>
      <c r="C8091" t="inlineStr">
        <is>
          <t xml:space="preserve">INF767K01RL5</t>
        </is>
      </c>
    </row>
    <row r="8092">
      <c r="A8092" t="inlineStr">
        <is>
          <t xml:space="preserve">LIC Mutual Fund</t>
        </is>
      </c>
      <c r="B8092" t="inlineStr">
        <is>
          <t xml:space="preserve">LIC MF Multi Cap Fund-Regular Plan-Growth</t>
        </is>
      </c>
      <c r="C8092" t="inlineStr">
        <is>
          <t xml:space="preserve">INF767K01RH3</t>
        </is>
      </c>
    </row>
    <row r="8093">
      <c r="A8093" t="inlineStr">
        <is>
          <t xml:space="preserve">LIC Mutual Fund</t>
        </is>
      </c>
      <c r="B8093" t="inlineStr">
        <is>
          <t xml:space="preserve">LIC MF Multi Cap Fund-Regular Plan-IDCW</t>
        </is>
      </c>
      <c r="C8093" t="inlineStr">
        <is>
          <t xml:space="preserve">INF767K01RI1</t>
        </is>
      </c>
    </row>
    <row r="8094">
      <c r="A8094" t="inlineStr">
        <is>
          <t xml:space="preserve">LIC Mutual Fund</t>
        </is>
      </c>
      <c r="B8094" t="inlineStr">
        <is>
          <t xml:space="preserve">LIC MF Nifty 100 ETF</t>
        </is>
      </c>
      <c r="C8094" t="inlineStr">
        <is>
          <t xml:space="preserve">INF767K01PC8</t>
        </is>
      </c>
    </row>
    <row r="8095">
      <c r="A8095" t="inlineStr">
        <is>
          <t xml:space="preserve">LIC Mutual Fund</t>
        </is>
      </c>
      <c r="B8095" t="inlineStr">
        <is>
          <t xml:space="preserve">LIC MF Nifty 50 ETF</t>
        </is>
      </c>
      <c r="C8095" t="inlineStr">
        <is>
          <t xml:space="preserve">INF767K01OS7</t>
        </is>
      </c>
    </row>
    <row r="8096">
      <c r="A8096" t="inlineStr">
        <is>
          <t xml:space="preserve">LIC Mutual Fund</t>
        </is>
      </c>
      <c r="B8096" t="inlineStr">
        <is>
          <t xml:space="preserve">LIC MF Nifty 50 Index Fund-Direct Plan-Growth</t>
        </is>
      </c>
      <c r="C8096" t="inlineStr">
        <is>
          <t xml:space="preserve">INF767K01FF2</t>
        </is>
      </c>
    </row>
    <row r="8097">
      <c r="A8097" t="inlineStr">
        <is>
          <t xml:space="preserve">LIC Mutual Fund</t>
        </is>
      </c>
      <c r="B8097" t="inlineStr">
        <is>
          <t xml:space="preserve">LIC MF Nifty 50 Index Fund-Direct Plan-IDCW</t>
        </is>
      </c>
      <c r="C8097" t="inlineStr">
        <is>
          <t xml:space="preserve">INF767K01FG0</t>
        </is>
      </c>
    </row>
    <row r="8098">
      <c r="A8098" t="inlineStr">
        <is>
          <t xml:space="preserve">LIC Mutual Fund</t>
        </is>
      </c>
      <c r="B8098" t="inlineStr">
        <is>
          <t xml:space="preserve">LIC MF Nifty 50 Index Fund-Regular Plan-Growth</t>
        </is>
      </c>
      <c r="C8098" t="inlineStr">
        <is>
          <t xml:space="preserve">INF767K01162</t>
        </is>
      </c>
    </row>
    <row r="8099">
      <c r="A8099" t="inlineStr">
        <is>
          <t xml:space="preserve">LIC Mutual Fund</t>
        </is>
      </c>
      <c r="B8099" t="inlineStr">
        <is>
          <t xml:space="preserve">LIC MF Nifty 50 Index Fund-Regular Plan-IDCW</t>
        </is>
      </c>
      <c r="C8099" t="inlineStr">
        <is>
          <t xml:space="preserve">INF767K01154</t>
        </is>
      </c>
    </row>
    <row r="8100">
      <c r="A8100" t="inlineStr">
        <is>
          <t xml:space="preserve">LIC Mutual Fund</t>
        </is>
      </c>
      <c r="B8100" t="inlineStr">
        <is>
          <t xml:space="preserve">LIC MF Nifty 8-13 yr G-Sec ETF</t>
        </is>
      </c>
      <c r="C8100" t="inlineStr">
        <is>
          <t xml:space="preserve">INF767K01MV5</t>
        </is>
      </c>
    </row>
    <row r="8101">
      <c r="A8101" t="inlineStr">
        <is>
          <t xml:space="preserve">LIC Mutual Fund</t>
        </is>
      </c>
      <c r="B8101" t="inlineStr">
        <is>
          <t xml:space="preserve">LIC MF Nifty Midcap 100 ETF</t>
        </is>
      </c>
      <c r="C8101" t="inlineStr">
        <is>
          <t xml:space="preserve">INF767K01RN1</t>
        </is>
      </c>
    </row>
    <row r="8102">
      <c r="A8102" t="inlineStr">
        <is>
          <t xml:space="preserve">LIC Mutual Fund</t>
        </is>
      </c>
      <c r="B8102" t="inlineStr">
        <is>
          <t xml:space="preserve">LIC MF Nifty Next 50 Index Fund-Direct Plan-Growth</t>
        </is>
      </c>
      <c r="C8102" t="inlineStr">
        <is>
          <t xml:space="preserve">INF397L01AW2</t>
        </is>
      </c>
    </row>
    <row r="8103">
      <c r="A8103" t="inlineStr">
        <is>
          <t xml:space="preserve">LIC Mutual Fund</t>
        </is>
      </c>
      <c r="B8103" t="inlineStr">
        <is>
          <t xml:space="preserve">LIC MF Nifty Next 50 Index Fund-Direct Plan-IDCW</t>
        </is>
      </c>
      <c r="C8103" t="inlineStr">
        <is>
          <t xml:space="preserve">INF397L01AY8</t>
        </is>
      </c>
    </row>
    <row r="8104">
      <c r="A8104" t="inlineStr">
        <is>
          <t xml:space="preserve">LIC Mutual Fund</t>
        </is>
      </c>
      <c r="B8104" t="inlineStr">
        <is>
          <t xml:space="preserve">LIC MF Nifty Next 50 Index Fund-Regular Plan-Growth</t>
        </is>
      </c>
      <c r="C8104" t="inlineStr">
        <is>
          <t xml:space="preserve">INF397L01174</t>
        </is>
      </c>
    </row>
    <row r="8105">
      <c r="A8105" t="inlineStr">
        <is>
          <t xml:space="preserve">LIC Mutual Fund</t>
        </is>
      </c>
      <c r="B8105" t="inlineStr">
        <is>
          <t xml:space="preserve">LIC MF Nifty Next 50 Index Fund-Regular Plan-IDCW</t>
        </is>
      </c>
      <c r="C8105" t="inlineStr">
        <is>
          <t xml:space="preserve">INF397L01166</t>
        </is>
      </c>
    </row>
    <row r="8106">
      <c r="A8106" t="inlineStr">
        <is>
          <t xml:space="preserve">LIC Mutual Fund</t>
        </is>
      </c>
      <c r="B8106" t="inlineStr">
        <is>
          <t xml:space="preserve">LIC MF Overnight Fund-Direct Plan-Daily IDCW</t>
        </is>
      </c>
      <c r="C8106" t="inlineStr">
        <is>
          <t xml:space="preserve">INF767K01QG7</t>
        </is>
      </c>
    </row>
    <row r="8107">
      <c r="A8107" t="inlineStr">
        <is>
          <t xml:space="preserve">LIC Mutual Fund</t>
        </is>
      </c>
      <c r="B8107" t="inlineStr">
        <is>
          <t xml:space="preserve">LIC MF Overnight Fund-Direct Plan-Growth</t>
        </is>
      </c>
      <c r="C8107" t="inlineStr">
        <is>
          <t xml:space="preserve">INF767K01QI3</t>
        </is>
      </c>
    </row>
    <row r="8108">
      <c r="A8108" t="inlineStr">
        <is>
          <t xml:space="preserve">LIC Mutual Fund</t>
        </is>
      </c>
      <c r="B8108" t="inlineStr">
        <is>
          <t xml:space="preserve">LIC MF Overnight Fund-Direct Plan-IDCW</t>
        </is>
      </c>
      <c r="C8108" t="inlineStr">
        <is>
          <t xml:space="preserve">INF767K01QE2</t>
        </is>
      </c>
    </row>
    <row r="8109">
      <c r="A8109" t="inlineStr">
        <is>
          <t xml:space="preserve">LIC Mutual Fund</t>
        </is>
      </c>
      <c r="B8109" t="inlineStr">
        <is>
          <t xml:space="preserve">LIC MF Overnight Fund-Direct Plan-Weekly IDCW</t>
        </is>
      </c>
      <c r="C8109" t="inlineStr">
        <is>
          <t xml:space="preserve">INF767K01QH5</t>
        </is>
      </c>
    </row>
    <row r="8110">
      <c r="A8110" t="inlineStr">
        <is>
          <t xml:space="preserve">LIC Mutual Fund</t>
        </is>
      </c>
      <c r="B8110" t="inlineStr">
        <is>
          <t xml:space="preserve">LIC MF Overnight Fund-Regular Plan-Daily IDCW</t>
        </is>
      </c>
      <c r="C8110" t="inlineStr">
        <is>
          <t xml:space="preserve">INF767K01QB8</t>
        </is>
      </c>
    </row>
    <row r="8111">
      <c r="A8111" t="inlineStr">
        <is>
          <t xml:space="preserve">LIC Mutual Fund</t>
        </is>
      </c>
      <c r="B8111" t="inlineStr">
        <is>
          <t xml:space="preserve">LIC MF Overnight Fund-Regular Plan-Growth</t>
        </is>
      </c>
      <c r="C8111" t="inlineStr">
        <is>
          <t xml:space="preserve">INF767K01QD4</t>
        </is>
      </c>
    </row>
    <row r="8112">
      <c r="A8112" t="inlineStr">
        <is>
          <t xml:space="preserve">LIC Mutual Fund</t>
        </is>
      </c>
      <c r="B8112" t="inlineStr">
        <is>
          <t xml:space="preserve">LIC MF Overnight Fund-Regular Plan-IDCW</t>
        </is>
      </c>
      <c r="C8112" t="inlineStr">
        <is>
          <t xml:space="preserve">INF767K01PZ9</t>
        </is>
      </c>
    </row>
    <row r="8113">
      <c r="A8113" t="inlineStr">
        <is>
          <t xml:space="preserve">LIC Mutual Fund</t>
        </is>
      </c>
      <c r="B8113" t="inlineStr">
        <is>
          <t xml:space="preserve">LIC MF Overnight Fund-Regular Plan-Weekly IDCW</t>
        </is>
      </c>
      <c r="C8113" t="inlineStr">
        <is>
          <t xml:space="preserve">INF767K01QC6</t>
        </is>
      </c>
    </row>
    <row r="8114">
      <c r="A8114" t="inlineStr">
        <is>
          <t xml:space="preserve">LIC Mutual Fund</t>
        </is>
      </c>
      <c r="B8114" t="inlineStr">
        <is>
          <t xml:space="preserve">LIC MF Short Duration Fund-Direct Plan-Growth</t>
        </is>
      </c>
      <c r="C8114" t="inlineStr">
        <is>
          <t xml:space="preserve">INF767K01PW6</t>
        </is>
      </c>
    </row>
    <row r="8115">
      <c r="A8115" t="inlineStr">
        <is>
          <t xml:space="preserve">LIC Mutual Fund</t>
        </is>
      </c>
      <c r="B8115" t="inlineStr">
        <is>
          <t xml:space="preserve">LIC MF Short Duration Fund-Direct Plan-IDCW</t>
        </is>
      </c>
      <c r="C8115" t="inlineStr">
        <is>
          <t xml:space="preserve">INF767K01PX4</t>
        </is>
      </c>
    </row>
    <row r="8116">
      <c r="A8116" t="inlineStr">
        <is>
          <t xml:space="preserve">LIC Mutual Fund</t>
        </is>
      </c>
      <c r="B8116" t="inlineStr">
        <is>
          <t xml:space="preserve">LIC MF Short Duration Fund-Direct Plan-Monthly IDCW</t>
        </is>
      </c>
      <c r="C8116" t="inlineStr">
        <is>
          <t xml:space="preserve">INF397L01BH1</t>
        </is>
      </c>
    </row>
    <row r="8117">
      <c r="A8117" t="inlineStr">
        <is>
          <t xml:space="preserve">LIC Mutual Fund</t>
        </is>
      </c>
      <c r="B8117" t="inlineStr">
        <is>
          <t xml:space="preserve">LIC MF Short Duration Fund-Direct Plan-Weekly IDCW</t>
        </is>
      </c>
      <c r="C8117" t="inlineStr">
        <is>
          <t xml:space="preserve">INF397L01BK5</t>
        </is>
      </c>
    </row>
    <row r="8118">
      <c r="A8118" t="inlineStr">
        <is>
          <t xml:space="preserve">LIC Mutual Fund</t>
        </is>
      </c>
      <c r="B8118" t="inlineStr">
        <is>
          <t xml:space="preserve">LIC MF Short Duration Fund-Regular Plan-Growth</t>
        </is>
      </c>
      <c r="C8118" t="inlineStr">
        <is>
          <t xml:space="preserve">INF767K01PT2</t>
        </is>
      </c>
    </row>
    <row r="8119">
      <c r="A8119" t="inlineStr">
        <is>
          <t xml:space="preserve">LIC Mutual Fund</t>
        </is>
      </c>
      <c r="B8119" t="inlineStr">
        <is>
          <t xml:space="preserve">LIC MF Short Duration Fund-Regular Plan-IDCW</t>
        </is>
      </c>
      <c r="C8119" t="inlineStr">
        <is>
          <t xml:space="preserve">INF767K01PU0</t>
        </is>
      </c>
    </row>
    <row r="8120">
      <c r="A8120" t="inlineStr">
        <is>
          <t xml:space="preserve">LIC Mutual Fund</t>
        </is>
      </c>
      <c r="B8120" t="inlineStr">
        <is>
          <t xml:space="preserve">LIC MF Short Duration Fund-Regular Plan-Monthly IDCW</t>
        </is>
      </c>
      <c r="C8120" t="inlineStr">
        <is>
          <t xml:space="preserve">INF397L01406</t>
        </is>
      </c>
    </row>
    <row r="8121">
      <c r="A8121" t="inlineStr">
        <is>
          <t xml:space="preserve">LIC Mutual Fund</t>
        </is>
      </c>
      <c r="B8121" t="inlineStr">
        <is>
          <t xml:space="preserve">LIC MF Short Duration Fund-Regular Plan-Weekly IDCW</t>
        </is>
      </c>
      <c r="C8121" t="inlineStr">
        <is>
          <t xml:space="preserve">INF397L01430</t>
        </is>
      </c>
    </row>
    <row r="8122">
      <c r="A8122" t="inlineStr">
        <is>
          <t xml:space="preserve">LIC Mutual Fund</t>
        </is>
      </c>
      <c r="B8122" t="inlineStr">
        <is>
          <t xml:space="preserve">LIC MF Small Cap Fund-Direct Plan-Growth</t>
        </is>
      </c>
      <c r="C8122" t="inlineStr">
        <is>
          <t xml:space="preserve">INF397L01JS1</t>
        </is>
      </c>
    </row>
    <row r="8123">
      <c r="A8123" t="inlineStr">
        <is>
          <t xml:space="preserve">LIC Mutual Fund</t>
        </is>
      </c>
      <c r="B8123" t="inlineStr">
        <is>
          <t xml:space="preserve">LIC MF Small Cap Fund-Direct Plan-IDCW</t>
        </is>
      </c>
      <c r="C8123" t="inlineStr">
        <is>
          <t xml:space="preserve">INF397L01JP7</t>
        </is>
      </c>
    </row>
    <row r="8124">
      <c r="A8124" t="inlineStr">
        <is>
          <t xml:space="preserve">LIC Mutual Fund</t>
        </is>
      </c>
      <c r="B8124" t="inlineStr">
        <is>
          <t xml:space="preserve">LIC MF Small Cap Fund-Regular Plan-Growth</t>
        </is>
      </c>
      <c r="C8124" t="inlineStr">
        <is>
          <t xml:space="preserve">INF397L01JW3</t>
        </is>
      </c>
    </row>
    <row r="8125">
      <c r="A8125" t="inlineStr">
        <is>
          <t xml:space="preserve">LIC Mutual Fund</t>
        </is>
      </c>
      <c r="B8125" t="inlineStr">
        <is>
          <t xml:space="preserve">LIC MF Small Cap Fund-Regular Plan-IDCW</t>
        </is>
      </c>
      <c r="C8125" t="inlineStr">
        <is>
          <t xml:space="preserve">INF397L01JT9</t>
        </is>
      </c>
    </row>
    <row r="8126">
      <c r="A8126" t="inlineStr">
        <is>
          <t xml:space="preserve">LIC Mutual Fund</t>
        </is>
      </c>
      <c r="B8126" t="inlineStr">
        <is>
          <t xml:space="preserve">LIC MF Technology Fund-Direct Plan-Growth</t>
        </is>
      </c>
      <c r="C8126" t="inlineStr">
        <is>
          <t xml:space="preserve">INF767K01SJ7</t>
        </is>
      </c>
    </row>
    <row r="8127">
      <c r="A8127" t="inlineStr">
        <is>
          <t xml:space="preserve">LIC Mutual Fund</t>
        </is>
      </c>
      <c r="B8127" t="inlineStr">
        <is>
          <t xml:space="preserve">LIC MF Technology Fund-Direct Plan-IDCW</t>
        </is>
      </c>
      <c r="C8127" t="inlineStr">
        <is>
          <t xml:space="preserve">INF767K01SL3</t>
        </is>
      </c>
    </row>
    <row r="8128">
      <c r="A8128" t="inlineStr">
        <is>
          <t xml:space="preserve">LIC Mutual Fund</t>
        </is>
      </c>
      <c r="B8128" t="inlineStr">
        <is>
          <t xml:space="preserve">LIC MF Technology Fund-Regular Plan-Growth</t>
        </is>
      </c>
      <c r="C8128" t="inlineStr">
        <is>
          <t xml:space="preserve">INF767K01SG3</t>
        </is>
      </c>
    </row>
    <row r="8129">
      <c r="A8129" t="inlineStr">
        <is>
          <t xml:space="preserve">LIC Mutual Fund</t>
        </is>
      </c>
      <c r="B8129" t="inlineStr">
        <is>
          <t xml:space="preserve">LIC MF Technology Fund-Regular Plan-IDCW</t>
        </is>
      </c>
      <c r="C8129" t="inlineStr">
        <is>
          <t xml:space="preserve">INF767K01SI9</t>
        </is>
      </c>
    </row>
    <row r="8130">
      <c r="A8130" t="inlineStr">
        <is>
          <t xml:space="preserve">LIC Mutual Fund</t>
        </is>
      </c>
      <c r="B8130" t="inlineStr">
        <is>
          <t xml:space="preserve">LIC MF ULIS (10 Yrs. Regular Premium Reducing Cover Half-Yearly)-Direct Plan-IDCW Reinvestment</t>
        </is>
      </c>
      <c r="C8130" t="inlineStr">
        <is>
          <t xml:space="preserve">INF767K01DR2</t>
        </is>
      </c>
    </row>
    <row r="8131">
      <c r="A8131" t="inlineStr">
        <is>
          <t xml:space="preserve">LIC Mutual Fund</t>
        </is>
      </c>
      <c r="B8131" t="inlineStr">
        <is>
          <t xml:space="preserve">LIC MF ULIS (10 Yrs. Regular Premium Reducing Cover Half-Yearly)-Regular Plan-IDCW Reinvestment</t>
        </is>
      </c>
      <c r="C8131" t="inlineStr">
        <is>
          <t xml:space="preserve">INF767K01998</t>
        </is>
      </c>
    </row>
    <row r="8132">
      <c r="A8132" t="inlineStr">
        <is>
          <t xml:space="preserve">LIC Mutual Fund</t>
        </is>
      </c>
      <c r="B8132" t="inlineStr">
        <is>
          <t xml:space="preserve">LIC MF ULIS (10 Yrs. Regular Premium Reducing Cover Monthly)-Direct Plan-IDCW Reinvestment</t>
        </is>
      </c>
      <c r="C8132" t="inlineStr">
        <is>
          <t xml:space="preserve">INF767K01DQ4</t>
        </is>
      </c>
    </row>
    <row r="8133">
      <c r="A8133" t="inlineStr">
        <is>
          <t xml:space="preserve">LIC Mutual Fund</t>
        </is>
      </c>
      <c r="B8133" t="inlineStr">
        <is>
          <t xml:space="preserve">LIC MF ULIS (10 Yrs. Regular Premium Reducing Cover Monthly)-Regular Plan-IDCW Reinvestment</t>
        </is>
      </c>
      <c r="C8133" t="inlineStr">
        <is>
          <t xml:space="preserve">INF767K01980</t>
        </is>
      </c>
    </row>
    <row r="8134">
      <c r="A8134" t="inlineStr">
        <is>
          <t xml:space="preserve">LIC Mutual Fund</t>
        </is>
      </c>
      <c r="B8134" t="inlineStr">
        <is>
          <t xml:space="preserve">LIC MF ULIS (10 Yrs. Regular Premium Reducing Cover Quarterly)-Direct Plan-IDCW Reinvestment</t>
        </is>
      </c>
      <c r="C8134" t="inlineStr">
        <is>
          <t xml:space="preserve">INF767K01OY5</t>
        </is>
      </c>
    </row>
    <row r="8135">
      <c r="A8135" t="inlineStr">
        <is>
          <t xml:space="preserve">LIC Mutual Fund</t>
        </is>
      </c>
      <c r="B8135" t="inlineStr">
        <is>
          <t xml:space="preserve">LIC MF ULIS (10 Yrs. Regular Premium Reducing Cover Quarterly)-Regular Plan-IDCW Reinvestment</t>
        </is>
      </c>
      <c r="C8135" t="inlineStr">
        <is>
          <t xml:space="preserve">INF767K01OV1</t>
        </is>
      </c>
    </row>
    <row r="8136">
      <c r="A8136" t="inlineStr">
        <is>
          <t xml:space="preserve">LIC Mutual Fund</t>
        </is>
      </c>
      <c r="B8136" t="inlineStr">
        <is>
          <t xml:space="preserve">LIC MF ULIS (10 Yrs. Regular Premium Reducing Cover Yearly)-Direct Plan-IDCW Reinvestment</t>
        </is>
      </c>
      <c r="C8136" t="inlineStr">
        <is>
          <t xml:space="preserve">INF767K01DS0</t>
        </is>
      </c>
    </row>
    <row r="8137">
      <c r="A8137" t="inlineStr">
        <is>
          <t xml:space="preserve">LIC Mutual Fund</t>
        </is>
      </c>
      <c r="B8137" t="inlineStr">
        <is>
          <t xml:space="preserve">LIC MF ULIS (10 Yrs. Regular Premium Reducing Cover Yearly)-Regular Plan-IDCW Reinvestment</t>
        </is>
      </c>
      <c r="C8137" t="inlineStr">
        <is>
          <t xml:space="preserve">INF767K01AA4</t>
        </is>
      </c>
    </row>
    <row r="8138">
      <c r="A8138" t="inlineStr">
        <is>
          <t xml:space="preserve">LIC Mutual Fund</t>
        </is>
      </c>
      <c r="B8138" t="inlineStr">
        <is>
          <t xml:space="preserve">LIC MF ULIS (10 Yrs. Regular Premium Uniform Cover Half-Yearly)-Direct Plan-IDCW Reinvestment</t>
        </is>
      </c>
      <c r="C8138" t="inlineStr">
        <is>
          <t xml:space="preserve">INF767K01DU6</t>
        </is>
      </c>
    </row>
    <row r="8139">
      <c r="A8139" t="inlineStr">
        <is>
          <t xml:space="preserve">LIC Mutual Fund</t>
        </is>
      </c>
      <c r="B8139" t="inlineStr">
        <is>
          <t xml:space="preserve">LIC MF ULIS (10 Yrs. Regular Premium Uniform Cover Half-Yearly)-Regular Plan-IDCW Reinvestment</t>
        </is>
      </c>
      <c r="C8139" t="inlineStr">
        <is>
          <t xml:space="preserve">INF767K01AC0</t>
        </is>
      </c>
    </row>
    <row r="8140">
      <c r="A8140" t="inlineStr">
        <is>
          <t xml:space="preserve">LIC Mutual Fund</t>
        </is>
      </c>
      <c r="B8140" t="inlineStr">
        <is>
          <t xml:space="preserve">LIC MF ULIS (10 Yrs. Regular Premium Uniform Cover Monthly)-Direct Plan-IDCW Reinvestment</t>
        </is>
      </c>
      <c r="C8140" t="inlineStr">
        <is>
          <t xml:space="preserve">INF767K01DT8</t>
        </is>
      </c>
    </row>
    <row r="8141">
      <c r="A8141" t="inlineStr">
        <is>
          <t xml:space="preserve">LIC Mutual Fund</t>
        </is>
      </c>
      <c r="B8141" t="inlineStr">
        <is>
          <t xml:space="preserve">LIC MF ULIS (10 Yrs. Regular Premium Uniform Cover Monthly)-Regular Plan-IDCW Reinvestment</t>
        </is>
      </c>
      <c r="C8141" t="inlineStr">
        <is>
          <t xml:space="preserve">INF767K01AB2</t>
        </is>
      </c>
    </row>
    <row r="8142">
      <c r="A8142" t="inlineStr">
        <is>
          <t xml:space="preserve">LIC Mutual Fund</t>
        </is>
      </c>
      <c r="B8142" t="inlineStr">
        <is>
          <t xml:space="preserve">LIC MF ULIS (10 Yrs. Regular Premium Uniform Cover Quarterly)-Direct Plan-IDCW Reinvestment</t>
        </is>
      </c>
      <c r="C8142" t="inlineStr">
        <is>
          <t xml:space="preserve">INF767K01PB0</t>
        </is>
      </c>
    </row>
    <row r="8143">
      <c r="A8143" t="inlineStr">
        <is>
          <t xml:space="preserve">LIC Mutual Fund</t>
        </is>
      </c>
      <c r="B8143" t="inlineStr">
        <is>
          <t xml:space="preserve">LIC MF ULIS (10 Yrs. Regular Premium Uniform Cover Quarterly)-Regular Plan-IDCW Reinvestment</t>
        </is>
      </c>
      <c r="C8143" t="inlineStr">
        <is>
          <t xml:space="preserve">INF767K01PA2</t>
        </is>
      </c>
    </row>
    <row r="8144">
      <c r="A8144" t="inlineStr">
        <is>
          <t xml:space="preserve">LIC Mutual Fund</t>
        </is>
      </c>
      <c r="B8144" t="inlineStr">
        <is>
          <t xml:space="preserve">LIC MF ULIS (10 Yrs. Regular Premium Uniform Cover Yearly)-Direct Plan-IDCW Reinvestment</t>
        </is>
      </c>
      <c r="C8144" t="inlineStr">
        <is>
          <t xml:space="preserve">INF767K01DV4</t>
        </is>
      </c>
    </row>
    <row r="8145">
      <c r="A8145" t="inlineStr">
        <is>
          <t xml:space="preserve">LIC Mutual Fund</t>
        </is>
      </c>
      <c r="B8145" t="inlineStr">
        <is>
          <t xml:space="preserve">LIC MF ULIS (10 Yrs. Regular Premium Uniform Cover Yearly)-Regular Plan-IDCW Reinvestment</t>
        </is>
      </c>
      <c r="C8145" t="inlineStr">
        <is>
          <t xml:space="preserve">INF767K01AD8</t>
        </is>
      </c>
    </row>
    <row r="8146">
      <c r="A8146" t="inlineStr">
        <is>
          <t xml:space="preserve">LIC Mutual Fund</t>
        </is>
      </c>
      <c r="B8146" t="inlineStr">
        <is>
          <t xml:space="preserve">LIC MF ULIS (10 Yrs. Single Premium)-Direct Plan-IDCW Reinvestment</t>
        </is>
      </c>
      <c r="C8146" t="inlineStr">
        <is>
          <t xml:space="preserve">INF767K01DP6</t>
        </is>
      </c>
    </row>
    <row r="8147">
      <c r="A8147" t="inlineStr">
        <is>
          <t xml:space="preserve">LIC Mutual Fund</t>
        </is>
      </c>
      <c r="B8147" t="inlineStr">
        <is>
          <t xml:space="preserve">LIC MF ULIS (10 Yrs. Single Premium)-Regular Plan-IDCW Reinvestment</t>
        </is>
      </c>
      <c r="C8147" t="inlineStr">
        <is>
          <t xml:space="preserve">INF767K01972</t>
        </is>
      </c>
    </row>
    <row r="8148">
      <c r="A8148" t="inlineStr">
        <is>
          <t xml:space="preserve">LIC Mutual Fund</t>
        </is>
      </c>
      <c r="B8148" t="inlineStr">
        <is>
          <t xml:space="preserve">LIC MF ULIS (15 Yrs. Regular Premium Reducing Cover Half-Yearly)-Direct Plan-IDCW Reinvestment</t>
        </is>
      </c>
      <c r="C8148" t="inlineStr">
        <is>
          <t xml:space="preserve">INF767K01DX0</t>
        </is>
      </c>
    </row>
    <row r="8149">
      <c r="A8149" t="inlineStr">
        <is>
          <t xml:space="preserve">LIC Mutual Fund</t>
        </is>
      </c>
      <c r="B8149" t="inlineStr">
        <is>
          <t xml:space="preserve">LIC MF ULIS (15 Yrs. Regular Premium Reducing Cover Half-Yearly)-Regular Plan-IDCW Reinvestment</t>
        </is>
      </c>
      <c r="C8149" t="inlineStr">
        <is>
          <t xml:space="preserve">INF767K01AF3</t>
        </is>
      </c>
    </row>
    <row r="8150">
      <c r="A8150" t="inlineStr">
        <is>
          <t xml:space="preserve">LIC Mutual Fund</t>
        </is>
      </c>
      <c r="B8150" t="inlineStr">
        <is>
          <t xml:space="preserve">LIC MF ULIS (15 Yrs. Regular Premium Reducing Cover Monthly)-Direct Plan-IDCW Reinvestment</t>
        </is>
      </c>
      <c r="C8150" t="inlineStr">
        <is>
          <t xml:space="preserve">INF767K01DW2</t>
        </is>
      </c>
    </row>
    <row r="8151">
      <c r="A8151" t="inlineStr">
        <is>
          <t xml:space="preserve">LIC Mutual Fund</t>
        </is>
      </c>
      <c r="B8151" t="inlineStr">
        <is>
          <t xml:space="preserve">LIC MF ULIS (15 Yrs. Regular Premium Reducing Cover Monthly)-Regular Plan-IDCW Reinvestment</t>
        </is>
      </c>
      <c r="C8151" t="inlineStr">
        <is>
          <t xml:space="preserve">INF767K01AE6</t>
        </is>
      </c>
    </row>
    <row r="8152">
      <c r="A8152" t="inlineStr">
        <is>
          <t xml:space="preserve">LIC Mutual Fund</t>
        </is>
      </c>
      <c r="B8152" t="inlineStr">
        <is>
          <t xml:space="preserve">LIC MF ULIS (15 Yrs. Regular Premium Reducing Cover Quarterly)-Direct Plan-IDCW Reinvestment</t>
        </is>
      </c>
      <c r="C8152" t="inlineStr">
        <is>
          <t xml:space="preserve">INF767K01OX7</t>
        </is>
      </c>
    </row>
    <row r="8153">
      <c r="A8153" t="inlineStr">
        <is>
          <t xml:space="preserve">LIC Mutual Fund</t>
        </is>
      </c>
      <c r="B8153" t="inlineStr">
        <is>
          <t xml:space="preserve">LIC MF ULIS (15 Yrs. Regular Premium Reducing Cover Quarterly)-Regular Plan-IDCW Reinvestment</t>
        </is>
      </c>
      <c r="C8153" t="inlineStr">
        <is>
          <t xml:space="preserve">INF767K01OU3</t>
        </is>
      </c>
    </row>
    <row r="8154">
      <c r="A8154" t="inlineStr">
        <is>
          <t xml:space="preserve">LIC Mutual Fund</t>
        </is>
      </c>
      <c r="B8154" t="inlineStr">
        <is>
          <t xml:space="preserve">LIC MF ULIS (15 Yrs. Regular Premium Reducing Cover Yearly)-Direct Plan-IDCW Reinvestment</t>
        </is>
      </c>
      <c r="C8154" t="inlineStr">
        <is>
          <t xml:space="preserve">INF767K01DY8</t>
        </is>
      </c>
    </row>
    <row r="8155">
      <c r="A8155" t="inlineStr">
        <is>
          <t xml:space="preserve">LIC Mutual Fund</t>
        </is>
      </c>
      <c r="B8155" t="inlineStr">
        <is>
          <t xml:space="preserve">LIC MF ULIS (15 Yrs. Regular Premium Reducing Cover Yearly)-Regular Plan-IDCW Reinvestment</t>
        </is>
      </c>
      <c r="C8155" t="inlineStr">
        <is>
          <t xml:space="preserve">INF767K01AG1</t>
        </is>
      </c>
    </row>
    <row r="8156">
      <c r="A8156" t="inlineStr">
        <is>
          <t xml:space="preserve">LIC Mutual Fund</t>
        </is>
      </c>
      <c r="B8156" t="inlineStr">
        <is>
          <t xml:space="preserve">LIC MF ULIS (15 Yrs. Regular Premium Uniform Cover Half-Yearly)-Direct Plan-IDCW Reinvestment</t>
        </is>
      </c>
      <c r="C8156" t="inlineStr">
        <is>
          <t xml:space="preserve">INF767K01EA6</t>
        </is>
      </c>
    </row>
    <row r="8157">
      <c r="A8157" t="inlineStr">
        <is>
          <t xml:space="preserve">LIC Mutual Fund</t>
        </is>
      </c>
      <c r="B8157" t="inlineStr">
        <is>
          <t xml:space="preserve">LIC MF ULIS (15 Yrs. Regular Premium Uniform Cover Half-Yearly)-Regular Plan-IDCW Reinvestment</t>
        </is>
      </c>
      <c r="C8157" t="inlineStr">
        <is>
          <t xml:space="preserve">INF767K01AI7</t>
        </is>
      </c>
    </row>
    <row r="8158">
      <c r="A8158" t="inlineStr">
        <is>
          <t xml:space="preserve">LIC Mutual Fund</t>
        </is>
      </c>
      <c r="B8158" t="inlineStr">
        <is>
          <t xml:space="preserve">LIC MF ULIS (15 Yrs. Regular Premium Uniform Cover Monthly)-Direct Plan-IDCW Reinvestment</t>
        </is>
      </c>
      <c r="C8158" t="inlineStr">
        <is>
          <t xml:space="preserve">INF767K01DZ5</t>
        </is>
      </c>
    </row>
    <row r="8159">
      <c r="A8159" t="inlineStr">
        <is>
          <t xml:space="preserve">LIC Mutual Fund</t>
        </is>
      </c>
      <c r="B8159" t="inlineStr">
        <is>
          <t xml:space="preserve">LIC MF ULIS (15 Yrs. Regular Premium Uniform Cover Monthly)-Regular Plan-IDCW Reinvestment</t>
        </is>
      </c>
      <c r="C8159" t="inlineStr">
        <is>
          <t xml:space="preserve">INF767K01AH9</t>
        </is>
      </c>
    </row>
    <row r="8160">
      <c r="A8160" t="inlineStr">
        <is>
          <t xml:space="preserve">LIC Mutual Fund</t>
        </is>
      </c>
      <c r="B8160" t="inlineStr">
        <is>
          <t xml:space="preserve">LIC MF ULIS (15 Yrs. Regular Premium Uniform Cover Quarterly)-Direct Plan-IDCW Reinvestment</t>
        </is>
      </c>
      <c r="C8160" t="inlineStr">
        <is>
          <t xml:space="preserve">INF767K01OZ2</t>
        </is>
      </c>
    </row>
    <row r="8161">
      <c r="A8161" t="inlineStr">
        <is>
          <t xml:space="preserve">LIC Mutual Fund</t>
        </is>
      </c>
      <c r="B8161" t="inlineStr">
        <is>
          <t xml:space="preserve">LIC MF ULIS (15 Yrs. Regular Premium Uniform Cover Quarterly)-Regular Plan-IDCW Reinvestment</t>
        </is>
      </c>
      <c r="C8161" t="inlineStr">
        <is>
          <t xml:space="preserve">INF767K01OW9</t>
        </is>
      </c>
    </row>
    <row r="8162">
      <c r="A8162" t="inlineStr">
        <is>
          <t xml:space="preserve">LIC Mutual Fund</t>
        </is>
      </c>
      <c r="B8162" t="inlineStr">
        <is>
          <t xml:space="preserve">LIC MF ULIS (15 Yrs. Regular Premium Uniform Cover Yearly)-Direct Plan-IDCW Reinvestment</t>
        </is>
      </c>
      <c r="C8162" t="inlineStr">
        <is>
          <t xml:space="preserve">INF767K01EB4</t>
        </is>
      </c>
    </row>
    <row r="8163">
      <c r="A8163" t="inlineStr">
        <is>
          <t xml:space="preserve">LIC Mutual Fund</t>
        </is>
      </c>
      <c r="B8163" t="inlineStr">
        <is>
          <t xml:space="preserve">LIC MF ULIS (15Yrs. Regular Premium Uniform Cover Yearly)-Regular Plan-IDCW Reinvestment</t>
        </is>
      </c>
      <c r="C8163" t="inlineStr">
        <is>
          <t xml:space="preserve">INF767K01AJ5</t>
        </is>
      </c>
    </row>
    <row r="8164">
      <c r="A8164" t="inlineStr">
        <is>
          <t xml:space="preserve">LIC Mutual Fund</t>
        </is>
      </c>
      <c r="B8164" t="inlineStr">
        <is>
          <t xml:space="preserve">LIC MF ULIS (5 Yrs. Single Premium)-Direct Plan-IDCW Reinvestment</t>
        </is>
      </c>
      <c r="C8164" t="inlineStr">
        <is>
          <t xml:space="preserve">INF767K01DO9</t>
        </is>
      </c>
    </row>
    <row r="8165">
      <c r="A8165" t="inlineStr">
        <is>
          <t xml:space="preserve">LIC Mutual Fund</t>
        </is>
      </c>
      <c r="B8165" t="inlineStr">
        <is>
          <t xml:space="preserve">LIC MF ULIS (5 Yrs. Single Premium)-Regular Plan-IDCW Reinvestment</t>
        </is>
      </c>
      <c r="C8165" t="inlineStr">
        <is>
          <t xml:space="preserve">INF767K01964</t>
        </is>
      </c>
    </row>
    <row r="8166">
      <c r="A8166" t="inlineStr">
        <is>
          <t xml:space="preserve">LIC Mutual Fund</t>
        </is>
      </c>
      <c r="B8166" t="inlineStr">
        <is>
          <t xml:space="preserve">LIC MF Ultra Short Duration Fund-Direct Plan-Daily IDCW</t>
        </is>
      </c>
      <c r="C8166" t="inlineStr">
        <is>
          <t xml:space="preserve">INF767K01QP8</t>
        </is>
      </c>
    </row>
    <row r="8167">
      <c r="A8167" t="inlineStr">
        <is>
          <t xml:space="preserve">LIC Mutual Fund</t>
        </is>
      </c>
      <c r="B8167" t="inlineStr">
        <is>
          <t xml:space="preserve">LIC MF Ultra Short Duration Fund-Direct Plan-Growth</t>
        </is>
      </c>
      <c r="C8167" t="inlineStr">
        <is>
          <t xml:space="preserve">INF767K01QU8</t>
        </is>
      </c>
    </row>
    <row r="8168">
      <c r="A8168" t="inlineStr">
        <is>
          <t xml:space="preserve">LIC Mutual Fund</t>
        </is>
      </c>
      <c r="B8168" t="inlineStr">
        <is>
          <t xml:space="preserve">LIC MF Ultra Short Duration Fund-Direct Plan-Monthly IDCW</t>
        </is>
      </c>
      <c r="C8168" t="inlineStr">
        <is>
          <t xml:space="preserve">INF767K01QT0</t>
        </is>
      </c>
    </row>
    <row r="8169">
      <c r="A8169" t="inlineStr">
        <is>
          <t xml:space="preserve">LIC Mutual Fund</t>
        </is>
      </c>
      <c r="B8169" t="inlineStr">
        <is>
          <t xml:space="preserve">LIC MF Ultra Short Duration Fund-Direct Plan-Weekly IDCW</t>
        </is>
      </c>
      <c r="C8169" t="inlineStr">
        <is>
          <t xml:space="preserve">INF767K01QR4</t>
        </is>
      </c>
    </row>
    <row r="8170">
      <c r="A8170" t="inlineStr">
        <is>
          <t xml:space="preserve">LIC Mutual Fund</t>
        </is>
      </c>
      <c r="B8170" t="inlineStr">
        <is>
          <t xml:space="preserve">LIC MF Ultra Short Duration Fund-Regular Plan-Daily IDCW</t>
        </is>
      </c>
      <c r="C8170" t="inlineStr">
        <is>
          <t xml:space="preserve">INF767K01QJ1</t>
        </is>
      </c>
    </row>
    <row r="8171">
      <c r="A8171" t="inlineStr">
        <is>
          <t xml:space="preserve">LIC Mutual Fund</t>
        </is>
      </c>
      <c r="B8171" t="inlineStr">
        <is>
          <t xml:space="preserve">LIC MF Ultra Short Duration Fund-Regular Plan-Growth</t>
        </is>
      </c>
      <c r="C8171" t="inlineStr">
        <is>
          <t xml:space="preserve">INF767K01QO1</t>
        </is>
      </c>
    </row>
    <row r="8172">
      <c r="A8172" t="inlineStr">
        <is>
          <t xml:space="preserve">LIC Mutual Fund</t>
        </is>
      </c>
      <c r="B8172" t="inlineStr">
        <is>
          <t xml:space="preserve">LIC MF Ultra Short Duration Fund-Regular Plan-Monthly IDCW</t>
        </is>
      </c>
      <c r="C8172" t="inlineStr">
        <is>
          <t xml:space="preserve">INF767K01QN3</t>
        </is>
      </c>
    </row>
    <row r="8173">
      <c r="A8173" t="inlineStr">
        <is>
          <t xml:space="preserve">LIC Mutual Fund</t>
        </is>
      </c>
      <c r="B8173" t="inlineStr">
        <is>
          <t xml:space="preserve">LIC MF Ultra Short Duration Fund-Regular Plan-Weekly IDCW</t>
        </is>
      </c>
      <c r="C8173" t="inlineStr">
        <is>
          <t xml:space="preserve">INF767K01QL7</t>
        </is>
      </c>
    </row>
    <row r="8174">
      <c r="A8174" t="inlineStr">
        <is>
          <t xml:space="preserve">LIC Mutual Fund</t>
        </is>
      </c>
      <c r="B8174" t="inlineStr">
        <is>
          <t xml:space="preserve">LIC MF Value Fund-Direct Plan-Growth</t>
        </is>
      </c>
      <c r="C8174" t="inlineStr">
        <is>
          <t xml:space="preserve">INF397L01KU5</t>
        </is>
      </c>
    </row>
    <row r="8175">
      <c r="A8175" t="inlineStr">
        <is>
          <t xml:space="preserve">LIC Mutual Fund</t>
        </is>
      </c>
      <c r="B8175" t="inlineStr">
        <is>
          <t xml:space="preserve">LIC MF Value Fund-Direct Plan-IDCW</t>
        </is>
      </c>
      <c r="C8175" t="inlineStr">
        <is>
          <t xml:space="preserve">INF397L01KR1</t>
        </is>
      </c>
    </row>
    <row r="8176">
      <c r="A8176" t="inlineStr">
        <is>
          <t xml:space="preserve">LIC Mutual Fund</t>
        </is>
      </c>
      <c r="B8176" t="inlineStr">
        <is>
          <t xml:space="preserve">LIC MF Value Fund-Regular Plan-Growth</t>
        </is>
      </c>
      <c r="C8176" t="inlineStr">
        <is>
          <t xml:space="preserve">INF397L01KQ3</t>
        </is>
      </c>
    </row>
    <row r="8177">
      <c r="A8177" t="inlineStr">
        <is>
          <t xml:space="preserve">LIC Mutual Fund</t>
        </is>
      </c>
      <c r="B8177" t="inlineStr">
        <is>
          <t xml:space="preserve">LIC MF Value Fund-Regular Plan-IDCW</t>
        </is>
      </c>
      <c r="C8177" t="inlineStr">
        <is>
          <t xml:space="preserve">INF397L01KN0</t>
        </is>
      </c>
    </row>
    <row r="8178">
      <c r="A8178" t="inlineStr">
        <is>
          <t xml:space="preserve">Mahindra Manulife Mutual Fund</t>
        </is>
      </c>
      <c r="B8178" t="inlineStr">
        <is>
          <t xml:space="preserve">Mahindra Manulife Aggressive Hybrid Fund - Direct Plan - Monthly IDCW</t>
        </is>
      </c>
      <c r="C8178" t="inlineStr">
        <is>
          <t xml:space="preserve">INF174V01804</t>
        </is>
      </c>
    </row>
    <row r="8179">
      <c r="A8179" t="inlineStr">
        <is>
          <t xml:space="preserve">Mahindra Manulife Mutual Fund</t>
        </is>
      </c>
      <c r="B8179" t="inlineStr">
        <is>
          <t xml:space="preserve">Mahindra Manulife Aggressive Hybrid Fund - Direct Plan -Growth</t>
        </is>
      </c>
      <c r="C8179" t="inlineStr">
        <is>
          <t xml:space="preserve">INF174V01788</t>
        </is>
      </c>
    </row>
    <row r="8180">
      <c r="A8180" t="inlineStr">
        <is>
          <t xml:space="preserve">Mahindra Manulife Mutual Fund</t>
        </is>
      </c>
      <c r="B8180" t="inlineStr">
        <is>
          <t xml:space="preserve">Mahindra Manulife Aggressive Hybrid Fund - Regular Plan - Growth</t>
        </is>
      </c>
      <c r="C8180" t="inlineStr">
        <is>
          <t xml:space="preserve">INF174V01754</t>
        </is>
      </c>
    </row>
    <row r="8181">
      <c r="A8181" t="inlineStr">
        <is>
          <t xml:space="preserve">Mahindra Manulife Mutual Fund</t>
        </is>
      </c>
      <c r="B8181" t="inlineStr">
        <is>
          <t xml:space="preserve">Mahindra Manulife Aggressive Hybrid Fund - Regular Plan - Monthly IDCW</t>
        </is>
      </c>
      <c r="C8181" t="inlineStr">
        <is>
          <t xml:space="preserve">INF174V01770</t>
        </is>
      </c>
    </row>
    <row r="8182">
      <c r="A8182" t="inlineStr">
        <is>
          <t xml:space="preserve">Mahindra Manulife Mutual Fund</t>
        </is>
      </c>
      <c r="B8182" t="inlineStr">
        <is>
          <t xml:space="preserve">Mahindra Manulife Arbitrage Fund - Direct Plan - IDCW</t>
        </is>
      </c>
      <c r="C8182" t="inlineStr">
        <is>
          <t xml:space="preserve">INF174V01AC6</t>
        </is>
      </c>
    </row>
    <row r="8183">
      <c r="A8183" t="inlineStr">
        <is>
          <t xml:space="preserve">Mahindra Manulife Mutual Fund</t>
        </is>
      </c>
      <c r="B8183" t="inlineStr">
        <is>
          <t xml:space="preserve">Mahindra Manulife Arbitrage Fund - Direct Plan -Growth</t>
        </is>
      </c>
      <c r="C8183" t="inlineStr">
        <is>
          <t xml:space="preserve">INF174V01AA0</t>
        </is>
      </c>
    </row>
    <row r="8184">
      <c r="A8184" t="inlineStr">
        <is>
          <t xml:space="preserve">Mahindra Manulife Mutual Fund</t>
        </is>
      </c>
      <c r="B8184" t="inlineStr">
        <is>
          <t xml:space="preserve">Mahindra Manulife Arbitrage Fund - Regular Plan - Growth</t>
        </is>
      </c>
      <c r="C8184" t="inlineStr">
        <is>
          <t xml:space="preserve">INF174V01978</t>
        </is>
      </c>
    </row>
    <row r="8185">
      <c r="A8185" t="inlineStr">
        <is>
          <t xml:space="preserve">Mahindra Manulife Mutual Fund</t>
        </is>
      </c>
      <c r="B8185" t="inlineStr">
        <is>
          <t xml:space="preserve">Mahindra Manulife Arbitrage Fund - Regular Plan - IDCW</t>
        </is>
      </c>
      <c r="C8185" t="inlineStr">
        <is>
          <t xml:space="preserve">INF174V01994</t>
        </is>
      </c>
    </row>
    <row r="8186">
      <c r="A8186" t="inlineStr">
        <is>
          <t xml:space="preserve">Mahindra Manulife Mutual Fund</t>
        </is>
      </c>
      <c r="B8186" t="inlineStr">
        <is>
          <t xml:space="preserve">Mahindra Manulife Asia Pacific REITs FOF - Direct Plan - Growth</t>
        </is>
      </c>
      <c r="C8186" t="inlineStr">
        <is>
          <t xml:space="preserve">INF174V01AY0</t>
        </is>
      </c>
    </row>
    <row r="8187">
      <c r="A8187" t="inlineStr">
        <is>
          <t xml:space="preserve">Mahindra Manulife Mutual Fund</t>
        </is>
      </c>
      <c r="B8187" t="inlineStr">
        <is>
          <t xml:space="preserve">Mahindra Manulife Asia Pacific REITs FOF - Direct Plan - IDCW</t>
        </is>
      </c>
      <c r="C8187" t="inlineStr">
        <is>
          <t xml:space="preserve">INF174V01BA8</t>
        </is>
      </c>
    </row>
    <row r="8188">
      <c r="A8188" t="inlineStr">
        <is>
          <t xml:space="preserve">Mahindra Manulife Mutual Fund</t>
        </is>
      </c>
      <c r="B8188" t="inlineStr">
        <is>
          <t xml:space="preserve">Mahindra Manulife Asia Pacific REITs FOF - Regular Plan - Growth</t>
        </is>
      </c>
      <c r="C8188" t="inlineStr">
        <is>
          <t xml:space="preserve">INF174V01AV6</t>
        </is>
      </c>
    </row>
    <row r="8189">
      <c r="A8189" t="inlineStr">
        <is>
          <t xml:space="preserve">Mahindra Manulife Mutual Fund</t>
        </is>
      </c>
      <c r="B8189" t="inlineStr">
        <is>
          <t xml:space="preserve">Mahindra Manulife Asia Pacific REITs FOF - Regular Plan - IDCW</t>
        </is>
      </c>
      <c r="C8189" t="inlineStr">
        <is>
          <t xml:space="preserve">INF174V01AX2</t>
        </is>
      </c>
    </row>
    <row r="8190">
      <c r="A8190" t="inlineStr">
        <is>
          <t xml:space="preserve">Mahindra Manulife Mutual Fund</t>
        </is>
      </c>
      <c r="B8190" t="inlineStr">
        <is>
          <t xml:space="preserve">Mahindra Manulife Balanced Advantage Fund - Direct Plan - Growth</t>
        </is>
      </c>
      <c r="C8190" t="inlineStr">
        <is>
          <t xml:space="preserve">INF174V01BE0</t>
        </is>
      </c>
    </row>
    <row r="8191">
      <c r="A8191" t="inlineStr">
        <is>
          <t xml:space="preserve">Mahindra Manulife Mutual Fund</t>
        </is>
      </c>
      <c r="B8191" t="inlineStr">
        <is>
          <t xml:space="preserve">Mahindra Manulife Balanced Advantage Fund - Direct Plan - IDCW</t>
        </is>
      </c>
      <c r="C8191" t="inlineStr">
        <is>
          <t xml:space="preserve">INF174V01BF7</t>
        </is>
      </c>
    </row>
    <row r="8192">
      <c r="A8192" t="inlineStr">
        <is>
          <t xml:space="preserve">Mahindra Manulife Mutual Fund</t>
        </is>
      </c>
      <c r="B8192" t="inlineStr">
        <is>
          <t xml:space="preserve">Mahindra Manulife Balanced Advantage Fund - Regular Plan - Growth</t>
        </is>
      </c>
      <c r="C8192" t="inlineStr">
        <is>
          <t xml:space="preserve">INF174V01BB6</t>
        </is>
      </c>
    </row>
    <row r="8193">
      <c r="A8193" t="inlineStr">
        <is>
          <t xml:space="preserve">Mahindra Manulife Mutual Fund</t>
        </is>
      </c>
      <c r="B8193" t="inlineStr">
        <is>
          <t xml:space="preserve">Mahindra Manulife Balanced Advantage Fund - Regular Plan - IDCW</t>
        </is>
      </c>
      <c r="C8193" t="inlineStr">
        <is>
          <t xml:space="preserve">INF174V01BC4</t>
        </is>
      </c>
    </row>
    <row r="8194">
      <c r="A8194" t="inlineStr">
        <is>
          <t xml:space="preserve">Mahindra Manulife Mutual Fund</t>
        </is>
      </c>
      <c r="B8194" t="inlineStr">
        <is>
          <t xml:space="preserve">Mahindra Manulife Banking &amp; Financial Services Fund - Direct - Growth</t>
        </is>
      </c>
      <c r="C8194" t="inlineStr">
        <is>
          <t xml:space="preserve">INF174V01CO7</t>
        </is>
      </c>
    </row>
    <row r="8195">
      <c r="A8195" t="inlineStr">
        <is>
          <t xml:space="preserve">Mahindra Manulife Mutual Fund</t>
        </is>
      </c>
      <c r="B8195" t="inlineStr">
        <is>
          <t xml:space="preserve">Mahindra Manulife Banking &amp; Financial Services Fund - Direct - IDCW</t>
        </is>
      </c>
      <c r="C8195" t="inlineStr">
        <is>
          <t xml:space="preserve">INF174V01CQ2</t>
        </is>
      </c>
    </row>
    <row r="8196">
      <c r="A8196" t="inlineStr">
        <is>
          <t xml:space="preserve">Mahindra Manulife Mutual Fund</t>
        </is>
      </c>
      <c r="B8196" t="inlineStr">
        <is>
          <t xml:space="preserve">Mahindra Manulife Banking &amp; Financial Services Fund - Regular - Growth</t>
        </is>
      </c>
      <c r="C8196" t="inlineStr">
        <is>
          <t xml:space="preserve">INF174V01CL3</t>
        </is>
      </c>
    </row>
    <row r="8197">
      <c r="A8197" t="inlineStr">
        <is>
          <t xml:space="preserve">Mahindra Manulife Mutual Fund</t>
        </is>
      </c>
      <c r="B8197" t="inlineStr">
        <is>
          <t xml:space="preserve">Mahindra Manulife Banking &amp; Financial Services Fund - Regular - IDCW</t>
        </is>
      </c>
      <c r="C8197" t="inlineStr">
        <is>
          <t xml:space="preserve">INF174V01CN9</t>
        </is>
      </c>
    </row>
    <row r="8198">
      <c r="A8198" t="inlineStr">
        <is>
          <t xml:space="preserve">Mahindra Manulife Mutual Fund</t>
        </is>
      </c>
      <c r="B8198" t="inlineStr">
        <is>
          <t xml:space="preserve">Mahindra Manulife Business Cycle Fund - Direct Plan - Growth</t>
        </is>
      </c>
      <c r="C8198" t="inlineStr">
        <is>
          <t xml:space="preserve">INF174V01BQ4</t>
        </is>
      </c>
    </row>
    <row r="8199">
      <c r="A8199" t="inlineStr">
        <is>
          <t xml:space="preserve">Mahindra Manulife Mutual Fund</t>
        </is>
      </c>
      <c r="B8199" t="inlineStr">
        <is>
          <t xml:space="preserve">Mahindra Manulife Business Cycle Fund - Direct Plan - IDCW</t>
        </is>
      </c>
      <c r="C8199" t="inlineStr">
        <is>
          <t xml:space="preserve">INF174V01BR2</t>
        </is>
      </c>
    </row>
    <row r="8200">
      <c r="A8200" t="inlineStr">
        <is>
          <t xml:space="preserve">Mahindra Manulife Mutual Fund</t>
        </is>
      </c>
      <c r="B8200" t="inlineStr">
        <is>
          <t xml:space="preserve">Mahindra Manulife Business Cycle Fund - Regular Plan - IDCW</t>
        </is>
      </c>
      <c r="C8200" t="inlineStr">
        <is>
          <t xml:space="preserve">INF174V01BO9</t>
        </is>
      </c>
    </row>
    <row r="8201">
      <c r="A8201" t="inlineStr">
        <is>
          <t xml:space="preserve">Mahindra Manulife Mutual Fund</t>
        </is>
      </c>
      <c r="B8201" t="inlineStr">
        <is>
          <t xml:space="preserve">Mahindra Manulife Business Cycle Fund-  Regular Plan - Growth</t>
        </is>
      </c>
      <c r="C8201" t="inlineStr">
        <is>
          <t xml:space="preserve">INF174V01BN1</t>
        </is>
      </c>
    </row>
    <row r="8202">
      <c r="A8202" t="inlineStr">
        <is>
          <t xml:space="preserve">Mahindra Manulife Mutual Fund</t>
        </is>
      </c>
      <c r="B8202" t="inlineStr">
        <is>
          <t xml:space="preserve">Mahindra Manulife Consumption Fund - Direct Plan - IDCW</t>
        </is>
      </c>
      <c r="C8202" t="inlineStr">
        <is>
          <t xml:space="preserve">INF174V01689</t>
        </is>
      </c>
    </row>
    <row r="8203">
      <c r="A8203" t="inlineStr">
        <is>
          <t xml:space="preserve">Mahindra Manulife Mutual Fund</t>
        </is>
      </c>
      <c r="B8203" t="inlineStr">
        <is>
          <t xml:space="preserve">Mahindra Manulife Consumption Fund - Direct Plan -Growth</t>
        </is>
      </c>
      <c r="C8203" t="inlineStr">
        <is>
          <t xml:space="preserve">INF174V01663</t>
        </is>
      </c>
    </row>
    <row r="8204">
      <c r="A8204" t="inlineStr">
        <is>
          <t xml:space="preserve">Mahindra Manulife Mutual Fund</t>
        </is>
      </c>
      <c r="B8204" t="inlineStr">
        <is>
          <t xml:space="preserve">Mahindra Manulife Consumption Fund - Regular Plan - IDCW</t>
        </is>
      </c>
      <c r="C8204" t="inlineStr">
        <is>
          <t xml:space="preserve">INF174V01655</t>
        </is>
      </c>
    </row>
    <row r="8205">
      <c r="A8205" t="inlineStr">
        <is>
          <t xml:space="preserve">Mahindra Manulife Mutual Fund</t>
        </is>
      </c>
      <c r="B8205" t="inlineStr">
        <is>
          <t xml:space="preserve">Mahindra Manulife Consumption Fund- Regular Plan - Growth</t>
        </is>
      </c>
      <c r="C8205" t="inlineStr">
        <is>
          <t xml:space="preserve">INF174V01630</t>
        </is>
      </c>
    </row>
    <row r="8206">
      <c r="A8206" t="inlineStr">
        <is>
          <t xml:space="preserve">Mahindra Manulife Mutual Fund</t>
        </is>
      </c>
      <c r="B8206" t="inlineStr">
        <is>
          <t xml:space="preserve">Mahindra Manulife Dynamic Bond Fund - Direct Plan - Growth</t>
        </is>
      </c>
      <c r="C8206" t="inlineStr">
        <is>
          <t xml:space="preserve">INF174V01580</t>
        </is>
      </c>
    </row>
    <row r="8207">
      <c r="A8207" t="inlineStr">
        <is>
          <t xml:space="preserve">Mahindra Manulife Mutual Fund</t>
        </is>
      </c>
      <c r="B8207" t="inlineStr">
        <is>
          <t xml:space="preserve">Mahindra Manulife Dynamic Bond Fund - Direct Plan - IDCW</t>
        </is>
      </c>
      <c r="C8207" t="inlineStr">
        <is>
          <t xml:space="preserve">INF174V01606</t>
        </is>
      </c>
    </row>
    <row r="8208">
      <c r="A8208" t="inlineStr">
        <is>
          <t xml:space="preserve">Mahindra Manulife Mutual Fund</t>
        </is>
      </c>
      <c r="B8208" t="inlineStr">
        <is>
          <t xml:space="preserve">Mahindra Manulife Dynamic Bond Fund - Direct Plan - Quarterly IDCW</t>
        </is>
      </c>
      <c r="C8208" t="inlineStr">
        <is>
          <t xml:space="preserve">INF174V01622</t>
        </is>
      </c>
    </row>
    <row r="8209">
      <c r="A8209" t="inlineStr">
        <is>
          <t xml:space="preserve">Mahindra Manulife Mutual Fund</t>
        </is>
      </c>
      <c r="B8209" t="inlineStr">
        <is>
          <t xml:space="preserve">Mahindra Manulife Dynamic Bond Fund - Regular Plan - Growth</t>
        </is>
      </c>
      <c r="C8209" t="inlineStr">
        <is>
          <t xml:space="preserve">INF174V01531</t>
        </is>
      </c>
    </row>
    <row r="8210">
      <c r="A8210" t="inlineStr">
        <is>
          <t xml:space="preserve">Mahindra Manulife Mutual Fund</t>
        </is>
      </c>
      <c r="B8210" t="inlineStr">
        <is>
          <t xml:space="preserve">Mahindra Manulife Dynamic Bond Fund - Regular Plan - IDCW</t>
        </is>
      </c>
      <c r="C8210" t="inlineStr">
        <is>
          <t xml:space="preserve">INF174V01556</t>
        </is>
      </c>
    </row>
    <row r="8211">
      <c r="A8211" t="inlineStr">
        <is>
          <t xml:space="preserve">Mahindra Manulife Mutual Fund</t>
        </is>
      </c>
      <c r="B8211" t="inlineStr">
        <is>
          <t xml:space="preserve">Mahindra Manulife Dynamic Bond Fund - Regular Plan - Quarterly IDCW</t>
        </is>
      </c>
      <c r="C8211" t="inlineStr">
        <is>
          <t xml:space="preserve">INF174V01572</t>
        </is>
      </c>
    </row>
    <row r="8212">
      <c r="A8212" t="inlineStr">
        <is>
          <t xml:space="preserve">Mahindra Manulife Mutual Fund</t>
        </is>
      </c>
      <c r="B8212" t="inlineStr">
        <is>
          <t xml:space="preserve">Mahindra Manulife ELSS Tax Saver Fund - Direct Plan -Growth</t>
        </is>
      </c>
      <c r="C8212" t="inlineStr">
        <is>
          <t xml:space="preserve">INF174V01093</t>
        </is>
      </c>
    </row>
    <row r="8213">
      <c r="A8213" t="inlineStr">
        <is>
          <t xml:space="preserve">Mahindra Manulife Mutual Fund</t>
        </is>
      </c>
      <c r="B8213" t="inlineStr">
        <is>
          <t xml:space="preserve">Mahindra Manulife ELSS Tax Saver Fund - Regular Plan - IDCW</t>
        </is>
      </c>
      <c r="C8213" t="inlineStr">
        <is>
          <t xml:space="preserve">INF174V01085</t>
        </is>
      </c>
    </row>
    <row r="8214">
      <c r="A8214" t="inlineStr">
        <is>
          <t xml:space="preserve">Mahindra Manulife Mutual Fund</t>
        </is>
      </c>
      <c r="B8214" t="inlineStr">
        <is>
          <t xml:space="preserve">Mahindra Manulife ELSS Tax Saver Fund- Direct Plan - IDCW</t>
        </is>
      </c>
      <c r="C8214" t="inlineStr">
        <is>
          <t xml:space="preserve">INF174V01101</t>
        </is>
      </c>
    </row>
    <row r="8215">
      <c r="A8215" t="inlineStr">
        <is>
          <t xml:space="preserve">Mahindra Manulife Mutual Fund</t>
        </is>
      </c>
      <c r="B8215" t="inlineStr">
        <is>
          <t xml:space="preserve">Mahindra Manulife ELSS Tax Saver Fund- Regular Plan - Growth</t>
        </is>
      </c>
      <c r="C8215" t="inlineStr">
        <is>
          <t xml:space="preserve">INF174V01077</t>
        </is>
      </c>
    </row>
    <row r="8216">
      <c r="A8216" t="inlineStr">
        <is>
          <t xml:space="preserve">Mahindra Manulife Mutual Fund</t>
        </is>
      </c>
      <c r="B8216" t="inlineStr">
        <is>
          <t xml:space="preserve">Mahindra Manulife Equity Savings Fund - Direct Plan -Growth</t>
        </is>
      </c>
      <c r="C8216" t="inlineStr">
        <is>
          <t xml:space="preserve">INF174V01184</t>
        </is>
      </c>
    </row>
    <row r="8217">
      <c r="A8217" t="inlineStr">
        <is>
          <t xml:space="preserve">Mahindra Manulife Mutual Fund</t>
        </is>
      </c>
      <c r="B8217" t="inlineStr">
        <is>
          <t xml:space="preserve">Mahindra Manulife Equity Savings Fund - Regular Plan - Growth</t>
        </is>
      </c>
      <c r="C8217" t="inlineStr">
        <is>
          <t xml:space="preserve">INF174V01150</t>
        </is>
      </c>
    </row>
    <row r="8218">
      <c r="A8218" t="inlineStr">
        <is>
          <t xml:space="preserve">Mahindra Manulife Mutual Fund</t>
        </is>
      </c>
      <c r="B8218" t="inlineStr">
        <is>
          <t xml:space="preserve">Mahindra Manulife Equity Savings Fund -Direct Plan -Quarterly IDCW</t>
        </is>
      </c>
      <c r="C8218" t="inlineStr">
        <is>
          <t xml:space="preserve">INF174V01192</t>
        </is>
      </c>
    </row>
    <row r="8219">
      <c r="A8219" t="inlineStr">
        <is>
          <t xml:space="preserve">Mahindra Manulife Mutual Fund</t>
        </is>
      </c>
      <c r="B8219" t="inlineStr">
        <is>
          <t xml:space="preserve">Mahindra Manulife Equity Savings Fund -Regular Plan -Quarterly IDCW</t>
        </is>
      </c>
      <c r="C8219" t="inlineStr">
        <is>
          <t xml:space="preserve">INF174V01168</t>
        </is>
      </c>
    </row>
    <row r="8220">
      <c r="A8220" t="inlineStr">
        <is>
          <t xml:space="preserve">Mahindra Manulife Mutual Fund</t>
        </is>
      </c>
      <c r="B8220" t="inlineStr">
        <is>
          <t xml:space="preserve">Mahindra Manulife Flexi Cap Fund - Direct Plan -Growth</t>
        </is>
      </c>
      <c r="C8220" t="inlineStr">
        <is>
          <t xml:space="preserve">INF174V01AS2</t>
        </is>
      </c>
    </row>
    <row r="8221">
      <c r="A8221" t="inlineStr">
        <is>
          <t xml:space="preserve">Mahindra Manulife Mutual Fund</t>
        </is>
      </c>
      <c r="B8221" t="inlineStr">
        <is>
          <t xml:space="preserve">Mahindra Manulife Flexi Cap Fund - Direct Plan -IDCW</t>
        </is>
      </c>
      <c r="C8221" t="inlineStr">
        <is>
          <t xml:space="preserve">INF174V01AU8</t>
        </is>
      </c>
    </row>
    <row r="8222">
      <c r="A8222" t="inlineStr">
        <is>
          <t xml:space="preserve">Mahindra Manulife Mutual Fund</t>
        </is>
      </c>
      <c r="B8222" t="inlineStr">
        <is>
          <t xml:space="preserve">Mahindra Manulife Flexi Cap Fund - Regular Plan -Growth</t>
        </is>
      </c>
      <c r="C8222" t="inlineStr">
        <is>
          <t xml:space="preserve">INF174V01AP8</t>
        </is>
      </c>
    </row>
    <row r="8223">
      <c r="A8223" t="inlineStr">
        <is>
          <t xml:space="preserve">Mahindra Manulife Mutual Fund</t>
        </is>
      </c>
      <c r="B8223" t="inlineStr">
        <is>
          <t xml:space="preserve">Mahindra Manulife Flexi Cap Fund - Regular Plan -IDCW</t>
        </is>
      </c>
      <c r="C8223" t="inlineStr">
        <is>
          <t xml:space="preserve">INF174V01AR4</t>
        </is>
      </c>
    </row>
    <row r="8224">
      <c r="A8224" t="inlineStr">
        <is>
          <t xml:space="preserve">Mahindra Manulife Mutual Fund</t>
        </is>
      </c>
      <c r="B8224" t="inlineStr">
        <is>
          <t xml:space="preserve">Mahindra Manulife Focused Fund - Direct Plan - IDCW</t>
        </is>
      </c>
      <c r="C8224" t="inlineStr">
        <is>
          <t xml:space="preserve">INF174V01AI3</t>
        </is>
      </c>
    </row>
    <row r="8225">
      <c r="A8225" t="inlineStr">
        <is>
          <t xml:space="preserve">Mahindra Manulife Mutual Fund</t>
        </is>
      </c>
      <c r="B8225" t="inlineStr">
        <is>
          <t xml:space="preserve">Mahindra Manulife Focused Fund - Direct Plan -Growth</t>
        </is>
      </c>
      <c r="C8225" t="inlineStr">
        <is>
          <t xml:space="preserve">INF174V01AG7</t>
        </is>
      </c>
    </row>
    <row r="8226">
      <c r="A8226" t="inlineStr">
        <is>
          <t xml:space="preserve">Mahindra Manulife Mutual Fund</t>
        </is>
      </c>
      <c r="B8226" t="inlineStr">
        <is>
          <t xml:space="preserve">Mahindra Manulife Focused Fund - Regular Plan - Growth</t>
        </is>
      </c>
      <c r="C8226" t="inlineStr">
        <is>
          <t xml:space="preserve">INF174V01AD4</t>
        </is>
      </c>
    </row>
    <row r="8227">
      <c r="A8227" t="inlineStr">
        <is>
          <t xml:space="preserve">Mahindra Manulife Mutual Fund</t>
        </is>
      </c>
      <c r="B8227" t="inlineStr">
        <is>
          <t xml:space="preserve">Mahindra Manulife Focused Fund - Regular Plan - IDCW</t>
        </is>
      </c>
      <c r="C8227" t="inlineStr">
        <is>
          <t xml:space="preserve">INF174V01AF9</t>
        </is>
      </c>
    </row>
    <row r="8228">
      <c r="A8228" t="inlineStr">
        <is>
          <t xml:space="preserve">Mahindra Manulife Mutual Fund</t>
        </is>
      </c>
      <c r="B8228" t="inlineStr">
        <is>
          <t xml:space="preserve">Mahindra Manulife Income Plus Arbitrage Active FOF  - Direct - Growth</t>
        </is>
      </c>
      <c r="C8228" t="inlineStr">
        <is>
          <t xml:space="preserve">INF174V01CU4</t>
        </is>
      </c>
    </row>
    <row r="8229">
      <c r="A8229" t="inlineStr">
        <is>
          <t xml:space="preserve">Mahindra Manulife Mutual Fund</t>
        </is>
      </c>
      <c r="B8229" t="inlineStr">
        <is>
          <t xml:space="preserve">Mahindra Manulife Income Plus Arbitrage Active FOF - Direct - IDCW</t>
        </is>
      </c>
      <c r="C8229" t="inlineStr">
        <is>
          <t xml:space="preserve">INF174V01CV2</t>
        </is>
      </c>
    </row>
    <row r="8230">
      <c r="A8230" t="inlineStr">
        <is>
          <t xml:space="preserve">Mahindra Manulife Mutual Fund</t>
        </is>
      </c>
      <c r="B8230" t="inlineStr">
        <is>
          <t xml:space="preserve">Mahindra Manulife Income Plus Arbitrage Active FOF - Regular - Growth</t>
        </is>
      </c>
      <c r="C8230" t="inlineStr">
        <is>
          <t xml:space="preserve">INF174V01CR0</t>
        </is>
      </c>
    </row>
    <row r="8231">
      <c r="A8231" t="inlineStr">
        <is>
          <t xml:space="preserve">Mahindra Manulife Mutual Fund</t>
        </is>
      </c>
      <c r="B8231" t="inlineStr">
        <is>
          <t xml:space="preserve">Mahindra Manulife Income Plus Arbitrage Active FOF - Regular - IDCW</t>
        </is>
      </c>
      <c r="C8231" t="inlineStr">
        <is>
          <t xml:space="preserve">INF174V01CS8</t>
        </is>
      </c>
    </row>
    <row r="8232">
      <c r="A8232" t="inlineStr">
        <is>
          <t xml:space="preserve">Mahindra Manulife Mutual Fund</t>
        </is>
      </c>
      <c r="B8232" t="inlineStr">
        <is>
          <t xml:space="preserve">Mahindra Manulife Innovation Opportunities Fund - Direct - Growth</t>
        </is>
      </c>
      <c r="C8232" t="inlineStr">
        <is>
          <t xml:space="preserve">INF174V01DA4</t>
        </is>
      </c>
    </row>
    <row r="8233">
      <c r="A8233" t="inlineStr">
        <is>
          <t xml:space="preserve">Mahindra Manulife Mutual Fund</t>
        </is>
      </c>
      <c r="B8233" t="inlineStr">
        <is>
          <t xml:space="preserve">Mahindra Manulife Innovation Opportunities Fund - Direct - IDCW</t>
        </is>
      </c>
      <c r="C8233" t="inlineStr">
        <is>
          <t xml:space="preserve">INF174V01DC0</t>
        </is>
      </c>
    </row>
    <row r="8234">
      <c r="A8234" t="inlineStr">
        <is>
          <t xml:space="preserve">Mahindra Manulife Mutual Fund</t>
        </is>
      </c>
      <c r="B8234" t="inlineStr">
        <is>
          <t xml:space="preserve">Mahindra Manulife Innovation Opportunities Fund - Regular - Growth</t>
        </is>
      </c>
      <c r="C8234" t="inlineStr">
        <is>
          <t xml:space="preserve">INF174V01CX8</t>
        </is>
      </c>
    </row>
    <row r="8235">
      <c r="A8235" t="inlineStr">
        <is>
          <t xml:space="preserve">Mahindra Manulife Mutual Fund</t>
        </is>
      </c>
      <c r="B8235" t="inlineStr">
        <is>
          <t xml:space="preserve">Mahindra Manulife Innovation Opportunities Fund - Regular - IDCW</t>
        </is>
      </c>
      <c r="C8235" t="inlineStr">
        <is>
          <t xml:space="preserve">INF174V01CZ3</t>
        </is>
      </c>
    </row>
    <row r="8236">
      <c r="A8236" t="inlineStr">
        <is>
          <t xml:space="preserve">Mahindra Manulife Mutual Fund</t>
        </is>
      </c>
      <c r="B8236" t="inlineStr">
        <is>
          <t xml:space="preserve">Mahindra Manulife Large &amp; Mid Cap Fund - Direct Plan - IDCW</t>
        </is>
      </c>
      <c r="C8236" t="inlineStr">
        <is>
          <t xml:space="preserve">INF174V01960</t>
        </is>
      </c>
    </row>
    <row r="8237">
      <c r="A8237" t="inlineStr">
        <is>
          <t xml:space="preserve">Mahindra Manulife Mutual Fund</t>
        </is>
      </c>
      <c r="B8237" t="inlineStr">
        <is>
          <t xml:space="preserve">Mahindra Manulife Large &amp; Mid Cap Fund - Direct Plan -Growth</t>
        </is>
      </c>
      <c r="C8237" t="inlineStr">
        <is>
          <t xml:space="preserve">INF174V01945</t>
        </is>
      </c>
    </row>
    <row r="8238">
      <c r="A8238" t="inlineStr">
        <is>
          <t xml:space="preserve">Mahindra Manulife Mutual Fund</t>
        </is>
      </c>
      <c r="B8238" t="inlineStr">
        <is>
          <t xml:space="preserve">Mahindra Manulife Large &amp; Mid Cap Fund - Regular Plan - Growth</t>
        </is>
      </c>
      <c r="C8238" t="inlineStr">
        <is>
          <t xml:space="preserve">INF174V01911</t>
        </is>
      </c>
    </row>
    <row r="8239">
      <c r="A8239" t="inlineStr">
        <is>
          <t xml:space="preserve">Mahindra Manulife Mutual Fund</t>
        </is>
      </c>
      <c r="B8239" t="inlineStr">
        <is>
          <t xml:space="preserve">Mahindra Manulife Large &amp; Mid Cap Fund - Regular Plan - IDCW</t>
        </is>
      </c>
      <c r="C8239" t="inlineStr">
        <is>
          <t xml:space="preserve">INF174V01937</t>
        </is>
      </c>
    </row>
    <row r="8240">
      <c r="A8240" t="inlineStr">
        <is>
          <t xml:space="preserve">Mahindra Manulife Mutual Fund</t>
        </is>
      </c>
      <c r="B8240" t="inlineStr">
        <is>
          <t xml:space="preserve">Mahindra Manulife Large Cap Fund - Direct Plan - IDCW</t>
        </is>
      </c>
      <c r="C8240" t="inlineStr">
        <is>
          <t xml:space="preserve">INF174V01747</t>
        </is>
      </c>
    </row>
    <row r="8241">
      <c r="A8241" t="inlineStr">
        <is>
          <t xml:space="preserve">Mahindra Manulife Mutual Fund</t>
        </is>
      </c>
      <c r="B8241" t="inlineStr">
        <is>
          <t xml:space="preserve">Mahindra Manulife Large Cap Fund - Direct Plan -Growth</t>
        </is>
      </c>
      <c r="C8241" t="inlineStr">
        <is>
          <t xml:space="preserve">INF174V01721</t>
        </is>
      </c>
    </row>
    <row r="8242">
      <c r="A8242" t="inlineStr">
        <is>
          <t xml:space="preserve">Mahindra Manulife Mutual Fund</t>
        </is>
      </c>
      <c r="B8242" t="inlineStr">
        <is>
          <t xml:space="preserve">Mahindra Manulife Large Cap Fund - Regular Plan - Growth</t>
        </is>
      </c>
      <c r="C8242" t="inlineStr">
        <is>
          <t xml:space="preserve">INF174V01697</t>
        </is>
      </c>
    </row>
    <row r="8243">
      <c r="A8243" t="inlineStr">
        <is>
          <t xml:space="preserve">Mahindra Manulife Mutual Fund</t>
        </is>
      </c>
      <c r="B8243" t="inlineStr">
        <is>
          <t xml:space="preserve">Mahindra Manulife Large Cap Fund - Regular Plan - IDCW</t>
        </is>
      </c>
      <c r="C8243" t="inlineStr">
        <is>
          <t xml:space="preserve">INF174V01713</t>
        </is>
      </c>
    </row>
    <row r="8244">
      <c r="A8244" t="inlineStr">
        <is>
          <t xml:space="preserve">Mahindra Manulife Mutual Fund</t>
        </is>
      </c>
      <c r="B8244" t="inlineStr">
        <is>
          <t xml:space="preserve">Mahindra Manulife Liquid Fund - Direct Plan - Daily IDCW</t>
        </is>
      </c>
      <c r="C8244" t="inlineStr">
        <is>
          <t xml:space="preserve">INF174V01051</t>
        </is>
      </c>
    </row>
    <row r="8245">
      <c r="A8245" t="inlineStr">
        <is>
          <t xml:space="preserve">Mahindra Manulife Mutual Fund</t>
        </is>
      </c>
      <c r="B8245" t="inlineStr">
        <is>
          <t xml:space="preserve">Mahindra Manulife Liquid Fund - Direct Plan - Weekly IDCW</t>
        </is>
      </c>
      <c r="C8245" t="inlineStr">
        <is>
          <t xml:space="preserve">INF174V01069</t>
        </is>
      </c>
    </row>
    <row r="8246">
      <c r="A8246" t="inlineStr">
        <is>
          <t xml:space="preserve">Mahindra Manulife Mutual Fund</t>
        </is>
      </c>
      <c r="B8246" t="inlineStr">
        <is>
          <t xml:space="preserve">Mahindra Manulife Liquid Fund - Direct Plan -Growth</t>
        </is>
      </c>
      <c r="C8246" t="inlineStr">
        <is>
          <t xml:space="preserve">INF174V01044</t>
        </is>
      </c>
    </row>
    <row r="8247">
      <c r="A8247" t="inlineStr">
        <is>
          <t xml:space="preserve">Mahindra Manulife Mutual Fund</t>
        </is>
      </c>
      <c r="B8247" t="inlineStr">
        <is>
          <t xml:space="preserve">Mahindra Manulife Liquid Fund - Regular Plan - Daily IDCW</t>
        </is>
      </c>
      <c r="C8247" t="inlineStr">
        <is>
          <t xml:space="preserve">INF174V01028</t>
        </is>
      </c>
    </row>
    <row r="8248">
      <c r="A8248" t="inlineStr">
        <is>
          <t xml:space="preserve">Mahindra Manulife Mutual Fund</t>
        </is>
      </c>
      <c r="B8248" t="inlineStr">
        <is>
          <t xml:space="preserve">Mahindra Manulife Liquid Fund - Regular Plan - Growth</t>
        </is>
      </c>
      <c r="C8248" t="inlineStr">
        <is>
          <t xml:space="preserve">INF174V01010</t>
        </is>
      </c>
    </row>
    <row r="8249">
      <c r="A8249" t="inlineStr">
        <is>
          <t xml:space="preserve">Mahindra Manulife Mutual Fund</t>
        </is>
      </c>
      <c r="B8249" t="inlineStr">
        <is>
          <t xml:space="preserve">Mahindra Manulife Liquid Fund - Regular Plan - Weekly IDCW</t>
        </is>
      </c>
      <c r="C8249" t="inlineStr">
        <is>
          <t xml:space="preserve">INF174V01036</t>
        </is>
      </c>
    </row>
    <row r="8250">
      <c r="A8250" t="inlineStr">
        <is>
          <t xml:space="preserve">Mahindra Manulife Mutual Fund</t>
        </is>
      </c>
      <c r="B8250" t="inlineStr">
        <is>
          <t xml:space="preserve">Mahindra Manulife Low Duration Fund - Direct Plan - Daily IDCW</t>
        </is>
      </c>
      <c r="C8250" t="inlineStr">
        <is>
          <t xml:space="preserve">INF174V01275</t>
        </is>
      </c>
    </row>
    <row r="8251">
      <c r="A8251" t="inlineStr">
        <is>
          <t xml:space="preserve">Mahindra Manulife Mutual Fund</t>
        </is>
      </c>
      <c r="B8251" t="inlineStr">
        <is>
          <t xml:space="preserve">Mahindra Manulife Low Duration Fund - Direct Plan - Monthly IDCW</t>
        </is>
      </c>
      <c r="C8251" t="inlineStr">
        <is>
          <t xml:space="preserve">INF174V01309</t>
        </is>
      </c>
    </row>
    <row r="8252">
      <c r="A8252" t="inlineStr">
        <is>
          <t xml:space="preserve">Mahindra Manulife Mutual Fund</t>
        </is>
      </c>
      <c r="B8252" t="inlineStr">
        <is>
          <t xml:space="preserve">Mahindra Manulife Low Duration Fund - Direct Plan - Weekly IDCW</t>
        </is>
      </c>
      <c r="C8252" t="inlineStr">
        <is>
          <t xml:space="preserve">INF174V01283</t>
        </is>
      </c>
    </row>
    <row r="8253">
      <c r="A8253" t="inlineStr">
        <is>
          <t xml:space="preserve">Mahindra Manulife Mutual Fund</t>
        </is>
      </c>
      <c r="B8253" t="inlineStr">
        <is>
          <t xml:space="preserve">Mahindra Manulife Low Duration Fund - Direct Plan -Growth</t>
        </is>
      </c>
      <c r="C8253" t="inlineStr">
        <is>
          <t xml:space="preserve">INF174V01267</t>
        </is>
      </c>
    </row>
    <row r="8254">
      <c r="A8254" t="inlineStr">
        <is>
          <t xml:space="preserve">Mahindra Manulife Mutual Fund</t>
        </is>
      </c>
      <c r="B8254" t="inlineStr">
        <is>
          <t xml:space="preserve">Mahindra Manulife Low Duration Fund - Regular Plan - Daily IDCW</t>
        </is>
      </c>
      <c r="C8254" t="inlineStr">
        <is>
          <t xml:space="preserve">INF174V01226</t>
        </is>
      </c>
    </row>
    <row r="8255">
      <c r="A8255" t="inlineStr">
        <is>
          <t xml:space="preserve">Mahindra Manulife Mutual Fund</t>
        </is>
      </c>
      <c r="B8255" t="inlineStr">
        <is>
          <t xml:space="preserve">Mahindra Manulife Low Duration Fund - Regular Plan - Growth</t>
        </is>
      </c>
      <c r="C8255" t="inlineStr">
        <is>
          <t xml:space="preserve">INF174V01218</t>
        </is>
      </c>
    </row>
    <row r="8256">
      <c r="A8256" t="inlineStr">
        <is>
          <t xml:space="preserve">Mahindra Manulife Mutual Fund</t>
        </is>
      </c>
      <c r="B8256" t="inlineStr">
        <is>
          <t xml:space="preserve">Mahindra Manulife Low Duration Fund - Regular Plan - Monthly IDCW</t>
        </is>
      </c>
      <c r="C8256" t="inlineStr">
        <is>
          <t xml:space="preserve">INF174V01259</t>
        </is>
      </c>
    </row>
    <row r="8257">
      <c r="A8257" t="inlineStr">
        <is>
          <t xml:space="preserve">Mahindra Manulife Mutual Fund</t>
        </is>
      </c>
      <c r="B8257" t="inlineStr">
        <is>
          <t xml:space="preserve">Mahindra Manulife Low Duration Fund - Regular Plan - Weekly IDCW</t>
        </is>
      </c>
      <c r="C8257" t="inlineStr">
        <is>
          <t xml:space="preserve">INF174V01234</t>
        </is>
      </c>
    </row>
    <row r="8258">
      <c r="A8258" t="inlineStr">
        <is>
          <t xml:space="preserve">Mahindra Manulife Mutual Fund</t>
        </is>
      </c>
      <c r="B8258" t="inlineStr">
        <is>
          <t xml:space="preserve">Mahindra Manulife Manufacturing Fund - Direct Plan - Growth</t>
        </is>
      </c>
      <c r="C8258" t="inlineStr">
        <is>
          <t xml:space="preserve">INF174V01CC2</t>
        </is>
      </c>
    </row>
    <row r="8259">
      <c r="A8259" t="inlineStr">
        <is>
          <t xml:space="preserve">Mahindra Manulife Mutual Fund</t>
        </is>
      </c>
      <c r="B8259" t="inlineStr">
        <is>
          <t xml:space="preserve">Mahindra Manulife Manufacturing Fund - Direct Plan - IDCW</t>
        </is>
      </c>
      <c r="C8259" t="inlineStr">
        <is>
          <t xml:space="preserve">INF174V01CD0</t>
        </is>
      </c>
    </row>
    <row r="8260">
      <c r="A8260" t="inlineStr">
        <is>
          <t xml:space="preserve">Mahindra Manulife Mutual Fund</t>
        </is>
      </c>
      <c r="B8260" t="inlineStr">
        <is>
          <t xml:space="preserve">Mahindra Manulife Manufacturing Fund - Regular Plan - Growth</t>
        </is>
      </c>
      <c r="C8260" t="inlineStr">
        <is>
          <t xml:space="preserve">INF174V01BZ5</t>
        </is>
      </c>
    </row>
    <row r="8261">
      <c r="A8261" t="inlineStr">
        <is>
          <t xml:space="preserve">Mahindra Manulife Mutual Fund</t>
        </is>
      </c>
      <c r="B8261" t="inlineStr">
        <is>
          <t xml:space="preserve">Mahindra Manulife Manufacturing Fund - Regular Plan - IDCW</t>
        </is>
      </c>
      <c r="C8261" t="inlineStr">
        <is>
          <t xml:space="preserve">INF174V01CA6</t>
        </is>
      </c>
    </row>
    <row r="8262">
      <c r="A8262" t="inlineStr">
        <is>
          <t xml:space="preserve">Mahindra Manulife Mutual Fund</t>
        </is>
      </c>
      <c r="B8262" t="inlineStr">
        <is>
          <t xml:space="preserve">Mahindra Manulife Mid Cap Fund - Direct Plan - IDCW</t>
        </is>
      </c>
      <c r="C8262" t="inlineStr">
        <is>
          <t xml:space="preserve">INF174V01523</t>
        </is>
      </c>
    </row>
    <row r="8263">
      <c r="A8263" t="inlineStr">
        <is>
          <t xml:space="preserve">Mahindra Manulife Mutual Fund</t>
        </is>
      </c>
      <c r="B8263" t="inlineStr">
        <is>
          <t xml:space="preserve">Mahindra Manulife Mid Cap Fund - Direct Plan -Growth</t>
        </is>
      </c>
      <c r="C8263" t="inlineStr">
        <is>
          <t xml:space="preserve">INF174V01507</t>
        </is>
      </c>
    </row>
    <row r="8264">
      <c r="A8264" t="inlineStr">
        <is>
          <t xml:space="preserve">Mahindra Manulife Mutual Fund</t>
        </is>
      </c>
      <c r="B8264" t="inlineStr">
        <is>
          <t xml:space="preserve">Mahindra Manulife Mid Cap Fund - Regular Plan - Growth</t>
        </is>
      </c>
      <c r="C8264" t="inlineStr">
        <is>
          <t xml:space="preserve">INF174V01473</t>
        </is>
      </c>
    </row>
    <row r="8265">
      <c r="A8265" t="inlineStr">
        <is>
          <t xml:space="preserve">Mahindra Manulife Mutual Fund</t>
        </is>
      </c>
      <c r="B8265" t="inlineStr">
        <is>
          <t xml:space="preserve">Mahindra Manulife Mid Cap Fund- Regular Plan - IDCW</t>
        </is>
      </c>
      <c r="C8265" t="inlineStr">
        <is>
          <t xml:space="preserve">INF174V01499</t>
        </is>
      </c>
    </row>
    <row r="8266">
      <c r="A8266" t="inlineStr">
        <is>
          <t xml:space="preserve">Mahindra Manulife Mutual Fund</t>
        </is>
      </c>
      <c r="B8266" t="inlineStr">
        <is>
          <t xml:space="preserve">Mahindra Manulife Multi Asset Allocation Fund - Direct Plan - IDCW</t>
        </is>
      </c>
      <c r="C8266" t="inlineStr">
        <is>
          <t xml:space="preserve">INF174V01BX0</t>
        </is>
      </c>
    </row>
    <row r="8267">
      <c r="A8267" t="inlineStr">
        <is>
          <t xml:space="preserve">Mahindra Manulife Mutual Fund</t>
        </is>
      </c>
      <c r="B8267" t="inlineStr">
        <is>
          <t xml:space="preserve">Mahindra Manulife Multi Asset allocation Fund - Regular Plan - IDCW</t>
        </is>
      </c>
      <c r="C8267" t="inlineStr">
        <is>
          <t xml:space="preserve">INF174V01BU6</t>
        </is>
      </c>
    </row>
    <row r="8268">
      <c r="A8268" t="inlineStr">
        <is>
          <t xml:space="preserve">Mahindra Manulife Mutual Fund</t>
        </is>
      </c>
      <c r="B8268" t="inlineStr">
        <is>
          <t xml:space="preserve">Mahindra Manulife Multi Asset Allocation Fund- Direct Plan - Growth</t>
        </is>
      </c>
      <c r="C8268" t="inlineStr">
        <is>
          <t xml:space="preserve">INF174V01BW2</t>
        </is>
      </c>
    </row>
    <row r="8269">
      <c r="A8269" t="inlineStr">
        <is>
          <t xml:space="preserve">Mahindra Manulife Mutual Fund</t>
        </is>
      </c>
      <c r="B8269" t="inlineStr">
        <is>
          <t xml:space="preserve">Mahindra Manulife Multi Asset Allocation Fund- Regular Plan - Growth</t>
        </is>
      </c>
      <c r="C8269" t="inlineStr">
        <is>
          <t xml:space="preserve">INF174V01BT8</t>
        </is>
      </c>
    </row>
    <row r="8270">
      <c r="A8270" t="inlineStr">
        <is>
          <t xml:space="preserve">Mahindra Manulife Mutual Fund</t>
        </is>
      </c>
      <c r="B8270" t="inlineStr">
        <is>
          <t xml:space="preserve">Mahindra Manulife Multi Cap Fund - Direct Plan - IDCW</t>
        </is>
      </c>
      <c r="C8270" t="inlineStr">
        <is>
          <t xml:space="preserve">INF174V01366</t>
        </is>
      </c>
    </row>
    <row r="8271">
      <c r="A8271" t="inlineStr">
        <is>
          <t xml:space="preserve">Mahindra Manulife Mutual Fund</t>
        </is>
      </c>
      <c r="B8271" t="inlineStr">
        <is>
          <t xml:space="preserve">Mahindra Manulife Multi Cap Fund - Direct Plan -Growth</t>
        </is>
      </c>
      <c r="C8271" t="inlineStr">
        <is>
          <t xml:space="preserve">INF174V01341</t>
        </is>
      </c>
    </row>
    <row r="8272">
      <c r="A8272" t="inlineStr">
        <is>
          <t xml:space="preserve">Mahindra Manulife Mutual Fund</t>
        </is>
      </c>
      <c r="B8272" t="inlineStr">
        <is>
          <t xml:space="preserve">Mahindra Manulife Multi Cap Fund - Regular Plan - Growth</t>
        </is>
      </c>
      <c r="C8272" t="inlineStr">
        <is>
          <t xml:space="preserve">INF174V01317</t>
        </is>
      </c>
    </row>
    <row r="8273">
      <c r="A8273" t="inlineStr">
        <is>
          <t xml:space="preserve">Mahindra Manulife Mutual Fund</t>
        </is>
      </c>
      <c r="B8273" t="inlineStr">
        <is>
          <t xml:space="preserve">Mahindra Manulife Multi Cap Fund - Regular Plan - IDCW</t>
        </is>
      </c>
      <c r="C8273" t="inlineStr">
        <is>
          <t xml:space="preserve">INF174V01333</t>
        </is>
      </c>
    </row>
    <row r="8274">
      <c r="A8274" t="inlineStr">
        <is>
          <t xml:space="preserve">Mahindra Manulife Mutual Fund</t>
        </is>
      </c>
      <c r="B8274" t="inlineStr">
        <is>
          <t xml:space="preserve">Mahindra Manulife Overnight Fund - Direct Plan - Daily IDCW</t>
        </is>
      </c>
      <c r="C8274" t="inlineStr">
        <is>
          <t xml:space="preserve">INF174V01846</t>
        </is>
      </c>
    </row>
    <row r="8275">
      <c r="A8275" t="inlineStr">
        <is>
          <t xml:space="preserve">Mahindra Manulife Mutual Fund</t>
        </is>
      </c>
      <c r="B8275" t="inlineStr">
        <is>
          <t xml:space="preserve">Mahindra Manulife Overnight Fund - Direct Plan -Growth</t>
        </is>
      </c>
      <c r="C8275" t="inlineStr">
        <is>
          <t xml:space="preserve">INF174V01838</t>
        </is>
      </c>
    </row>
    <row r="8276">
      <c r="A8276" t="inlineStr">
        <is>
          <t xml:space="preserve">Mahindra Manulife Mutual Fund</t>
        </is>
      </c>
      <c r="B8276" t="inlineStr">
        <is>
          <t xml:space="preserve">Mahindra Manulife Overnight Fund - Regular Plan - Daily IDCW</t>
        </is>
      </c>
      <c r="C8276" t="inlineStr">
        <is>
          <t xml:space="preserve">INF174V01820</t>
        </is>
      </c>
    </row>
    <row r="8277">
      <c r="A8277" t="inlineStr">
        <is>
          <t xml:space="preserve">Mahindra Manulife Mutual Fund</t>
        </is>
      </c>
      <c r="B8277" t="inlineStr">
        <is>
          <t xml:space="preserve">Mahindra Manulife Overnight Fund - Regular Plan - Growth</t>
        </is>
      </c>
      <c r="C8277" t="inlineStr">
        <is>
          <t xml:space="preserve">INF174V01812</t>
        </is>
      </c>
    </row>
    <row r="8278">
      <c r="A8278" t="inlineStr">
        <is>
          <t xml:space="preserve">Mahindra Manulife Mutual Fund</t>
        </is>
      </c>
      <c r="B8278" t="inlineStr">
        <is>
          <t xml:space="preserve">Mahindra Manulife Short Duration Fund - Direct Plan - IDCW</t>
        </is>
      </c>
      <c r="C8278" t="inlineStr">
        <is>
          <t xml:space="preserve">INF174V01AO1</t>
        </is>
      </c>
    </row>
    <row r="8279">
      <c r="A8279" t="inlineStr">
        <is>
          <t xml:space="preserve">Mahindra Manulife Mutual Fund</t>
        </is>
      </c>
      <c r="B8279" t="inlineStr">
        <is>
          <t xml:space="preserve">Mahindra Manulife Short Duration Fund - Direct Plan -Growth</t>
        </is>
      </c>
      <c r="C8279" t="inlineStr">
        <is>
          <t xml:space="preserve">INF174V01AM5</t>
        </is>
      </c>
    </row>
    <row r="8280">
      <c r="A8280" t="inlineStr">
        <is>
          <t xml:space="preserve">Mahindra Manulife Mutual Fund</t>
        </is>
      </c>
      <c r="B8280" t="inlineStr">
        <is>
          <t xml:space="preserve">Mahindra Manulife Short Duration Fund - Regular Plan - Growth</t>
        </is>
      </c>
      <c r="C8280" t="inlineStr">
        <is>
          <t xml:space="preserve">INF174V01AJ1</t>
        </is>
      </c>
    </row>
    <row r="8281">
      <c r="A8281" t="inlineStr">
        <is>
          <t xml:space="preserve">Mahindra Manulife Mutual Fund</t>
        </is>
      </c>
      <c r="B8281" t="inlineStr">
        <is>
          <t xml:space="preserve">Mahindra Manulife Short Duration Fund - Regular Plan - IDCW</t>
        </is>
      </c>
      <c r="C8281" t="inlineStr">
        <is>
          <t xml:space="preserve">INF174V01AL7</t>
        </is>
      </c>
    </row>
    <row r="8282">
      <c r="A8282" t="inlineStr">
        <is>
          <t xml:space="preserve">Mahindra Manulife Mutual Fund</t>
        </is>
      </c>
      <c r="B8282" t="inlineStr">
        <is>
          <t xml:space="preserve">Mahindra Manulife Small Cap Fund - Direct Plan - Growth</t>
        </is>
      </c>
      <c r="C8282" t="inlineStr">
        <is>
          <t xml:space="preserve">INF174V01BK7</t>
        </is>
      </c>
    </row>
    <row r="8283">
      <c r="A8283" t="inlineStr">
        <is>
          <t xml:space="preserve">Mahindra Manulife Mutual Fund</t>
        </is>
      </c>
      <c r="B8283" t="inlineStr">
        <is>
          <t xml:space="preserve">Mahindra Manulife Small Cap Fund - Direct Plan - IDCW</t>
        </is>
      </c>
      <c r="C8283" t="inlineStr">
        <is>
          <t xml:space="preserve">INF174V01BL5</t>
        </is>
      </c>
    </row>
    <row r="8284">
      <c r="A8284" t="inlineStr">
        <is>
          <t xml:space="preserve">Mahindra Manulife Mutual Fund</t>
        </is>
      </c>
      <c r="B8284" t="inlineStr">
        <is>
          <t xml:space="preserve">Mahindra Manulife Small Cap Fund - Regular Plan - Growth</t>
        </is>
      </c>
      <c r="C8284" t="inlineStr">
        <is>
          <t xml:space="preserve">INF174V01BH3</t>
        </is>
      </c>
    </row>
    <row r="8285">
      <c r="A8285" t="inlineStr">
        <is>
          <t xml:space="preserve">Mahindra Manulife Mutual Fund</t>
        </is>
      </c>
      <c r="B8285" t="inlineStr">
        <is>
          <t xml:space="preserve">Mahindra Manulife Small Cap Fund - Regular Plan - IDCW</t>
        </is>
      </c>
      <c r="C8285" t="inlineStr">
        <is>
          <t xml:space="preserve">INF174V01BI1</t>
        </is>
      </c>
    </row>
    <row r="8286">
      <c r="A8286" t="inlineStr">
        <is>
          <t xml:space="preserve">Mahindra Manulife Mutual Fund</t>
        </is>
      </c>
      <c r="B8286" t="inlineStr">
        <is>
          <t xml:space="preserve">Mahindra Manulife Ultra Short Duration Fund - Direct Plan - Daily IDCW</t>
        </is>
      </c>
      <c r="C8286" t="inlineStr">
        <is>
          <t xml:space="preserve">INF174V01895</t>
        </is>
      </c>
    </row>
    <row r="8287">
      <c r="A8287" t="inlineStr">
        <is>
          <t xml:space="preserve">Mahindra Manulife Mutual Fund</t>
        </is>
      </c>
      <c r="B8287" t="inlineStr">
        <is>
          <t xml:space="preserve">Mahindra Manulife Ultra Short Duration Fund - Direct Plan - Weekly IDCW</t>
        </is>
      </c>
      <c r="C8287" t="inlineStr">
        <is>
          <t xml:space="preserve">INF174V01903</t>
        </is>
      </c>
    </row>
    <row r="8288">
      <c r="A8288" t="inlineStr">
        <is>
          <t xml:space="preserve">Mahindra Manulife Mutual Fund</t>
        </is>
      </c>
      <c r="B8288" t="inlineStr">
        <is>
          <t xml:space="preserve">Mahindra Manulife Ultra Short Duration Fund - Direct Plan -Growth</t>
        </is>
      </c>
      <c r="C8288" t="inlineStr">
        <is>
          <t xml:space="preserve">INF174V01887</t>
        </is>
      </c>
    </row>
    <row r="8289">
      <c r="A8289" t="inlineStr">
        <is>
          <t xml:space="preserve">Mahindra Manulife Mutual Fund</t>
        </is>
      </c>
      <c r="B8289" t="inlineStr">
        <is>
          <t xml:space="preserve">Mahindra Manulife Ultra Short Duration Fund - Regular Plan - Daily IDCW</t>
        </is>
      </c>
      <c r="C8289" t="inlineStr">
        <is>
          <t xml:space="preserve">INF174V01861</t>
        </is>
      </c>
    </row>
    <row r="8290">
      <c r="A8290" t="inlineStr">
        <is>
          <t xml:space="preserve">Mahindra Manulife Mutual Fund</t>
        </is>
      </c>
      <c r="B8290" t="inlineStr">
        <is>
          <t xml:space="preserve">Mahindra Manulife Ultra Short Duration Fund - Regular Plan - Growth</t>
        </is>
      </c>
      <c r="C8290" t="inlineStr">
        <is>
          <t xml:space="preserve">INF174V01853</t>
        </is>
      </c>
    </row>
    <row r="8291">
      <c r="A8291" t="inlineStr">
        <is>
          <t xml:space="preserve">Mahindra Manulife Mutual Fund</t>
        </is>
      </c>
      <c r="B8291" t="inlineStr">
        <is>
          <t xml:space="preserve">Mahindra Manulife Ultra Short Duration Fund - Regular Plan - Weekly IDCW</t>
        </is>
      </c>
      <c r="C8291" t="inlineStr">
        <is>
          <t xml:space="preserve">INF174V01879</t>
        </is>
      </c>
    </row>
    <row r="8292">
      <c r="A8292" t="inlineStr">
        <is>
          <t xml:space="preserve">Mahindra Manulife Mutual Fund</t>
        </is>
      </c>
      <c r="B8292" t="inlineStr">
        <is>
          <t xml:space="preserve">Mahindra Manulife Value Fund - Direct Plan - Growth</t>
        </is>
      </c>
      <c r="C8292" t="inlineStr">
        <is>
          <t xml:space="preserve">INF174V01CI9</t>
        </is>
      </c>
    </row>
    <row r="8293">
      <c r="A8293" t="inlineStr">
        <is>
          <t xml:space="preserve">Mahindra Manulife Mutual Fund</t>
        </is>
      </c>
      <c r="B8293" t="inlineStr">
        <is>
          <t xml:space="preserve">Mahindra Manulife Value Fund - Direct Plan - IDCW</t>
        </is>
      </c>
      <c r="C8293" t="inlineStr">
        <is>
          <t xml:space="preserve">INF174V01CJ7</t>
        </is>
      </c>
    </row>
    <row r="8294">
      <c r="A8294" t="inlineStr">
        <is>
          <t xml:space="preserve">Mahindra Manulife Mutual Fund</t>
        </is>
      </c>
      <c r="B8294" t="inlineStr">
        <is>
          <t xml:space="preserve">Mahindra Manulife Value Fund - Regular Plan - Growth</t>
        </is>
      </c>
      <c r="C8294" t="inlineStr">
        <is>
          <t xml:space="preserve">INF174V01CF5</t>
        </is>
      </c>
    </row>
    <row r="8295">
      <c r="A8295" t="inlineStr">
        <is>
          <t xml:space="preserve">Mahindra Manulife Mutual Fund</t>
        </is>
      </c>
      <c r="B8295" t="inlineStr">
        <is>
          <t xml:space="preserve">Mahindra Manulife Value Fund - Regular Plan - IDCW</t>
        </is>
      </c>
      <c r="C8295" t="inlineStr">
        <is>
          <t xml:space="preserve">INF174V01CH1</t>
        </is>
      </c>
    </row>
    <row r="8296">
      <c r="A8296" t="inlineStr">
        <is>
          <t xml:space="preserve">Mirae Asset Mutual Fund</t>
        </is>
      </c>
      <c r="B8296" t="inlineStr">
        <is>
          <t xml:space="preserve">Mirae Asset Aggressive Hybrid Fund - Direct Plan - Growth</t>
        </is>
      </c>
      <c r="C8296" t="inlineStr">
        <is>
          <t xml:space="preserve">INF769K01DH9</t>
        </is>
      </c>
    </row>
    <row r="8297">
      <c r="A8297" t="inlineStr">
        <is>
          <t xml:space="preserve">Mirae Asset Mutual Fund</t>
        </is>
      </c>
      <c r="B8297" t="inlineStr">
        <is>
          <t xml:space="preserve">Mirae Asset Aggressive Hybrid Fund - Direct Plan - IDCW</t>
        </is>
      </c>
      <c r="C8297" t="inlineStr">
        <is>
          <t xml:space="preserve">INF769K01DI7</t>
        </is>
      </c>
    </row>
    <row r="8298">
      <c r="A8298" t="inlineStr">
        <is>
          <t xml:space="preserve">Mirae Asset Mutual Fund</t>
        </is>
      </c>
      <c r="B8298" t="inlineStr">
        <is>
          <t xml:space="preserve">Mirae Asset Aggressive Hybrid Fund - Regular Plan - Growth</t>
        </is>
      </c>
      <c r="C8298" t="inlineStr">
        <is>
          <t xml:space="preserve">INF769K01DE6</t>
        </is>
      </c>
    </row>
    <row r="8299">
      <c r="A8299" t="inlineStr">
        <is>
          <t xml:space="preserve">Mirae Asset Mutual Fund</t>
        </is>
      </c>
      <c r="B8299" t="inlineStr">
        <is>
          <t xml:space="preserve">Mirae Asset Aggressive Hybrid Fund - Regular Plan - IDCW</t>
        </is>
      </c>
      <c r="C8299" t="inlineStr">
        <is>
          <t xml:space="preserve">INF769K01DF3</t>
        </is>
      </c>
    </row>
    <row r="8300">
      <c r="A8300" t="inlineStr">
        <is>
          <t xml:space="preserve">Mirae Asset Mutual Fund</t>
        </is>
      </c>
      <c r="B8300" t="inlineStr">
        <is>
          <t xml:space="preserve">Mirae Asset Arbitrage Fund Direct Growth</t>
        </is>
      </c>
      <c r="C8300" t="inlineStr">
        <is>
          <t xml:space="preserve">INF769K01FS1</t>
        </is>
      </c>
    </row>
    <row r="8301">
      <c r="A8301" t="inlineStr">
        <is>
          <t xml:space="preserve">Mirae Asset Mutual Fund</t>
        </is>
      </c>
      <c r="B8301" t="inlineStr">
        <is>
          <t xml:space="preserve">Mirae Asset Arbitrage Fund Direct IDCW</t>
        </is>
      </c>
      <c r="C8301" t="inlineStr">
        <is>
          <t xml:space="preserve">INF769K01FR3</t>
        </is>
      </c>
    </row>
    <row r="8302">
      <c r="A8302" t="inlineStr">
        <is>
          <t xml:space="preserve">Mirae Asset Mutual Fund</t>
        </is>
      </c>
      <c r="B8302" t="inlineStr">
        <is>
          <t xml:space="preserve">Mirae Asset Arbitrage Fund Regular Growth</t>
        </is>
      </c>
      <c r="C8302" t="inlineStr">
        <is>
          <t xml:space="preserve">INF769K01FP7</t>
        </is>
      </c>
    </row>
    <row r="8303">
      <c r="A8303" t="inlineStr">
        <is>
          <t xml:space="preserve">Mirae Asset Mutual Fund</t>
        </is>
      </c>
      <c r="B8303" t="inlineStr">
        <is>
          <t xml:space="preserve">Mirae Asset Arbitrage Fund Regular IDCW</t>
        </is>
      </c>
      <c r="C8303" t="inlineStr">
        <is>
          <t xml:space="preserve">INF769K01FO0</t>
        </is>
      </c>
    </row>
    <row r="8304">
      <c r="A8304" t="inlineStr">
        <is>
          <t xml:space="preserve">Mirae Asset Mutual Fund</t>
        </is>
      </c>
      <c r="B8304" t="inlineStr">
        <is>
          <t xml:space="preserve">Mirae Asset Balanced Advantage Fund Direct Plan- Growth</t>
        </is>
      </c>
      <c r="C8304" t="inlineStr">
        <is>
          <t xml:space="preserve">INF769K01IN6</t>
        </is>
      </c>
    </row>
    <row r="8305">
      <c r="A8305" t="inlineStr">
        <is>
          <t xml:space="preserve">Mirae Asset Mutual Fund</t>
        </is>
      </c>
      <c r="B8305" t="inlineStr">
        <is>
          <t xml:space="preserve">Mirae Asset Balanced Advantage Fund Direct Plan- IDCW</t>
        </is>
      </c>
      <c r="C8305" t="inlineStr">
        <is>
          <t xml:space="preserve">INF769K01IM8</t>
        </is>
      </c>
    </row>
    <row r="8306">
      <c r="A8306" t="inlineStr">
        <is>
          <t xml:space="preserve">Mirae Asset Mutual Fund</t>
        </is>
      </c>
      <c r="B8306" t="inlineStr">
        <is>
          <t xml:space="preserve">Mirae Asset Balanced Advantage Fund Regular Plan IDCW</t>
        </is>
      </c>
      <c r="C8306" t="inlineStr">
        <is>
          <t xml:space="preserve">INF769K01IJ4</t>
        </is>
      </c>
    </row>
    <row r="8307">
      <c r="A8307" t="inlineStr">
        <is>
          <t xml:space="preserve">Mirae Asset Mutual Fund</t>
        </is>
      </c>
      <c r="B8307" t="inlineStr">
        <is>
          <t xml:space="preserve">Mirae Asset Balanced Advantage Fund Regular Plan- Growth</t>
        </is>
      </c>
      <c r="C8307" t="inlineStr">
        <is>
          <t xml:space="preserve">INF769K01IK2</t>
        </is>
      </c>
    </row>
    <row r="8308">
      <c r="A8308" t="inlineStr">
        <is>
          <t xml:space="preserve">Mirae Asset Mutual Fund</t>
        </is>
      </c>
      <c r="B8308" t="inlineStr">
        <is>
          <t xml:space="preserve">Mirae Asset Banking and Financial Services Fund Direct  IDCW</t>
        </is>
      </c>
      <c r="C8308" t="inlineStr">
        <is>
          <t xml:space="preserve">INF769K01GW1</t>
        </is>
      </c>
    </row>
    <row r="8309">
      <c r="A8309" t="inlineStr">
        <is>
          <t xml:space="preserve">Mirae Asset Mutual Fund</t>
        </is>
      </c>
      <c r="B8309" t="inlineStr">
        <is>
          <t xml:space="preserve">Mirae Asset Banking and Financial Services Fund Direct Growth</t>
        </is>
      </c>
      <c r="C8309" t="inlineStr">
        <is>
          <t xml:space="preserve">INF769K01GX9</t>
        </is>
      </c>
    </row>
    <row r="8310">
      <c r="A8310" t="inlineStr">
        <is>
          <t xml:space="preserve">Mirae Asset Mutual Fund</t>
        </is>
      </c>
      <c r="B8310" t="inlineStr">
        <is>
          <t xml:space="preserve">Mirae Asset Banking and Financial Services Fund Regular Growth</t>
        </is>
      </c>
      <c r="C8310" t="inlineStr">
        <is>
          <t xml:space="preserve">INF769K01GU5</t>
        </is>
      </c>
    </row>
    <row r="8311">
      <c r="A8311" t="inlineStr">
        <is>
          <t xml:space="preserve">Mirae Asset Mutual Fund</t>
        </is>
      </c>
      <c r="B8311" t="inlineStr">
        <is>
          <t xml:space="preserve">Mirae Asset Banking and Financial Services Fund Regular IDCW</t>
        </is>
      </c>
      <c r="C8311" t="inlineStr">
        <is>
          <t xml:space="preserve">INF769K01GT7</t>
        </is>
      </c>
    </row>
    <row r="8312">
      <c r="A8312" t="inlineStr">
        <is>
          <t xml:space="preserve">Mirae Asset Mutual Fund</t>
        </is>
      </c>
      <c r="B8312" t="inlineStr">
        <is>
          <t xml:space="preserve">Mirae Asset Banking and PSU Fund - Direct Plan - Growth</t>
        </is>
      </c>
      <c r="C8312" t="inlineStr">
        <is>
          <t xml:space="preserve">INF769K01FY9</t>
        </is>
      </c>
    </row>
    <row r="8313">
      <c r="A8313" t="inlineStr">
        <is>
          <t xml:space="preserve">Mirae Asset Mutual Fund</t>
        </is>
      </c>
      <c r="B8313" t="inlineStr">
        <is>
          <t xml:space="preserve">Mirae Asset Banking and PSU Fund - Direct Plan - IDCW</t>
        </is>
      </c>
      <c r="C8313" t="inlineStr">
        <is>
          <t xml:space="preserve">INF769K01FX1</t>
        </is>
      </c>
    </row>
    <row r="8314">
      <c r="A8314" t="inlineStr">
        <is>
          <t xml:space="preserve">Mirae Asset Mutual Fund</t>
        </is>
      </c>
      <c r="B8314" t="inlineStr">
        <is>
          <t xml:space="preserve">Mirae Asset Banking and PSU Fund - Regular Plan - Growth</t>
        </is>
      </c>
      <c r="C8314" t="inlineStr">
        <is>
          <t xml:space="preserve">INF769K01FV5</t>
        </is>
      </c>
    </row>
    <row r="8315">
      <c r="A8315" t="inlineStr">
        <is>
          <t xml:space="preserve">Mirae Asset Mutual Fund</t>
        </is>
      </c>
      <c r="B8315" t="inlineStr">
        <is>
          <t xml:space="preserve">Mirae Asset Banking and PSU Fund - Regular plan - IDCW</t>
        </is>
      </c>
      <c r="C8315" t="inlineStr">
        <is>
          <t xml:space="preserve">INF769K01FU7</t>
        </is>
      </c>
    </row>
    <row r="8316">
      <c r="A8316" t="inlineStr">
        <is>
          <t xml:space="preserve">Mirae Asset Mutual Fund</t>
        </is>
      </c>
      <c r="B8316" t="inlineStr">
        <is>
          <t xml:space="preserve">Mirae Asset BSE 200 Equal Weight ETF</t>
        </is>
      </c>
      <c r="C8316" t="inlineStr">
        <is>
          <t xml:space="preserve">INF769K01OA1</t>
        </is>
      </c>
    </row>
    <row r="8317">
      <c r="A8317" t="inlineStr">
        <is>
          <t xml:space="preserve">Mirae Asset Mutual Fund</t>
        </is>
      </c>
      <c r="B8317" t="inlineStr">
        <is>
          <t xml:space="preserve">Mirae Asset BSE 200 Equal Weight ETF Fund of Fund - Direct Plan - Growth</t>
        </is>
      </c>
      <c r="C8317" t="inlineStr">
        <is>
          <t xml:space="preserve">INF769K01OE3</t>
        </is>
      </c>
    </row>
    <row r="8318">
      <c r="A8318" t="inlineStr">
        <is>
          <t xml:space="preserve">Mirae Asset Mutual Fund</t>
        </is>
      </c>
      <c r="B8318" t="inlineStr">
        <is>
          <t xml:space="preserve">Mirae Asset BSE 200 Equal Weight ETF Fund of Fund - Direct Plan - IDCW</t>
        </is>
      </c>
      <c r="C8318" t="inlineStr">
        <is>
          <t xml:space="preserve">INF769K01OG8</t>
        </is>
      </c>
    </row>
    <row r="8319">
      <c r="A8319" t="inlineStr">
        <is>
          <t xml:space="preserve">Mirae Asset Mutual Fund</t>
        </is>
      </c>
      <c r="B8319" t="inlineStr">
        <is>
          <t xml:space="preserve">Mirae Asset BSE 200 Equal Weight ETF Fund of Fund - Regular Plan - Growth</t>
        </is>
      </c>
      <c r="C8319" t="inlineStr">
        <is>
          <t xml:space="preserve">INF769K01OB9</t>
        </is>
      </c>
    </row>
    <row r="8320">
      <c r="A8320" t="inlineStr">
        <is>
          <t xml:space="preserve">Mirae Asset Mutual Fund</t>
        </is>
      </c>
      <c r="B8320" t="inlineStr">
        <is>
          <t xml:space="preserve">Mirae Asset BSE 200 Equal Weight ETF Fund of Fund - Regular Plan - IDCW</t>
        </is>
      </c>
      <c r="C8320" t="inlineStr">
        <is>
          <t xml:space="preserve">INF769K01OD5</t>
        </is>
      </c>
    </row>
    <row r="8321">
      <c r="A8321" t="inlineStr">
        <is>
          <t xml:space="preserve">Mirae Asset Mutual Fund</t>
        </is>
      </c>
      <c r="B8321" t="inlineStr">
        <is>
          <t xml:space="preserve">Mirae Asset BSE 500 Dividend Leaders 50 ETF</t>
        </is>
      </c>
      <c r="C8321" t="inlineStr">
        <is>
          <t xml:space="preserve">INF769K01PY8</t>
        </is>
      </c>
    </row>
    <row r="8322">
      <c r="A8322" t="inlineStr">
        <is>
          <t xml:space="preserve">Mirae Asset Mutual Fund</t>
        </is>
      </c>
      <c r="B8322" t="inlineStr">
        <is>
          <t xml:space="preserve">Mirae Asset BSE India Defence ETF</t>
        </is>
      </c>
      <c r="C8322" t="inlineStr">
        <is>
          <t xml:space="preserve">INF769K01QC2</t>
        </is>
      </c>
    </row>
    <row r="8323">
      <c r="A8323" t="inlineStr">
        <is>
          <t xml:space="preserve">Mirae Asset Mutual Fund</t>
        </is>
      </c>
      <c r="B8323" t="inlineStr">
        <is>
          <t xml:space="preserve">Mirae Asset BSE India Defence ETF FOF - Direct Plan - Growth</t>
        </is>
      </c>
      <c r="C8323" t="inlineStr">
        <is>
          <t xml:space="preserve">INF769K01QG3</t>
        </is>
      </c>
    </row>
    <row r="8324">
      <c r="A8324" t="inlineStr">
        <is>
          <t xml:space="preserve">Mirae Asset Mutual Fund</t>
        </is>
      </c>
      <c r="B8324" t="inlineStr">
        <is>
          <t xml:space="preserve">Mirae Asset BSE India Defence ETF FOF - Direct Plan - IDCW</t>
        </is>
      </c>
      <c r="C8324" t="inlineStr">
        <is>
          <t xml:space="preserve">INF769K01QI9</t>
        </is>
      </c>
    </row>
    <row r="8325">
      <c r="A8325" t="inlineStr">
        <is>
          <t xml:space="preserve">Mirae Asset Mutual Fund</t>
        </is>
      </c>
      <c r="B8325" t="inlineStr">
        <is>
          <t xml:space="preserve">Mirae Asset BSE India Defence ETF FOF - Regular Plan - Growth</t>
        </is>
      </c>
      <c r="C8325" t="inlineStr">
        <is>
          <t xml:space="preserve">INF769K01QD0</t>
        </is>
      </c>
    </row>
    <row r="8326">
      <c r="A8326" t="inlineStr">
        <is>
          <t xml:space="preserve">Mirae Asset Mutual Fund</t>
        </is>
      </c>
      <c r="B8326" t="inlineStr">
        <is>
          <t xml:space="preserve">Mirae Asset BSE India Defence ETF FOF - Regular Plan - IDCW</t>
        </is>
      </c>
      <c r="C8326" t="inlineStr">
        <is>
          <t xml:space="preserve">INF769K01QF5</t>
        </is>
      </c>
    </row>
    <row r="8327">
      <c r="A8327" t="inlineStr">
        <is>
          <t xml:space="preserve">Mirae Asset Mutual Fund</t>
        </is>
      </c>
      <c r="B8327" t="inlineStr">
        <is>
          <t xml:space="preserve">Mirae Asset BSE Select IPO ETF</t>
        </is>
      </c>
      <c r="C8327" t="inlineStr">
        <is>
          <t xml:space="preserve">INF769K01ON4</t>
        </is>
      </c>
    </row>
    <row r="8328">
      <c r="A8328" t="inlineStr">
        <is>
          <t xml:space="preserve">Mirae Asset Mutual Fund</t>
        </is>
      </c>
      <c r="B8328" t="inlineStr">
        <is>
          <t xml:space="preserve">Mirae Asset BSE Select IPO ETF Fund of Fund - Direct Plan - Growth</t>
        </is>
      </c>
      <c r="C8328" t="inlineStr">
        <is>
          <t xml:space="preserve">INF769K01OK0</t>
        </is>
      </c>
    </row>
    <row r="8329">
      <c r="A8329" t="inlineStr">
        <is>
          <t xml:space="preserve">Mirae Asset Mutual Fund</t>
        </is>
      </c>
      <c r="B8329" t="inlineStr">
        <is>
          <t xml:space="preserve">Mirae Asset BSE Select IPO ETF Fund of Fund - Direct Plan - IDCW</t>
        </is>
      </c>
      <c r="C8329" t="inlineStr">
        <is>
          <t xml:space="preserve">INF769K01OM6</t>
        </is>
      </c>
    </row>
    <row r="8330">
      <c r="A8330" t="inlineStr">
        <is>
          <t xml:space="preserve">Mirae Asset Mutual Fund</t>
        </is>
      </c>
      <c r="B8330" t="inlineStr">
        <is>
          <t xml:space="preserve">Mirae Asset BSE Select IPO ETF Fund of Fund - Regular Plan - Growth</t>
        </is>
      </c>
      <c r="C8330" t="inlineStr">
        <is>
          <t xml:space="preserve">INF769K01OH6</t>
        </is>
      </c>
    </row>
    <row r="8331">
      <c r="A8331" t="inlineStr">
        <is>
          <t xml:space="preserve">Mirae Asset Mutual Fund</t>
        </is>
      </c>
      <c r="B8331" t="inlineStr">
        <is>
          <t xml:space="preserve">Mirae Asset BSE Select IPO ETF Fund of Fund - Regular Plan - IDCW</t>
        </is>
      </c>
      <c r="C8331" t="inlineStr">
        <is>
          <t xml:space="preserve">INF769K01OJ2</t>
        </is>
      </c>
    </row>
    <row r="8332">
      <c r="A8332" t="inlineStr">
        <is>
          <t xml:space="preserve">Mirae Asset Mutual Fund</t>
        </is>
      </c>
      <c r="B8332" t="inlineStr">
        <is>
          <t xml:space="preserve">Mirae Asset BSE Sensex ETF</t>
        </is>
      </c>
      <c r="C8332" t="inlineStr">
        <is>
          <t xml:space="preserve">INF769K01KT9</t>
        </is>
      </c>
    </row>
    <row r="8333">
      <c r="A8333" t="inlineStr">
        <is>
          <t xml:space="preserve">Mirae Asset Mutual Fund</t>
        </is>
      </c>
      <c r="B8333" t="inlineStr">
        <is>
          <t xml:space="preserve">Mirae Asset Corporate Bond Fund Direct Growth Plan</t>
        </is>
      </c>
      <c r="C8333" t="inlineStr">
        <is>
          <t xml:space="preserve">INF769K01HD9</t>
        </is>
      </c>
    </row>
    <row r="8334">
      <c r="A8334" t="inlineStr">
        <is>
          <t xml:space="preserve">Mirae Asset Mutual Fund</t>
        </is>
      </c>
      <c r="B8334" t="inlineStr">
        <is>
          <t xml:space="preserve">Mirae Asset Corporate Bond Fund Direct IDCW</t>
        </is>
      </c>
      <c r="C8334" t="inlineStr">
        <is>
          <t xml:space="preserve">INF769K01HC1</t>
        </is>
      </c>
    </row>
    <row r="8335">
      <c r="A8335" t="inlineStr">
        <is>
          <t xml:space="preserve">Mirae Asset Mutual Fund</t>
        </is>
      </c>
      <c r="B8335" t="inlineStr">
        <is>
          <t xml:space="preserve">Mirae Asset Corporate Bond Fund Regular Growth</t>
        </is>
      </c>
      <c r="C8335" t="inlineStr">
        <is>
          <t xml:space="preserve">INF769K01HA5</t>
        </is>
      </c>
    </row>
    <row r="8336">
      <c r="A8336" t="inlineStr">
        <is>
          <t xml:space="preserve">Mirae Asset Mutual Fund</t>
        </is>
      </c>
      <c r="B8336" t="inlineStr">
        <is>
          <t xml:space="preserve">Mirae Asset Corporate Bond Fund Regular IDCW</t>
        </is>
      </c>
      <c r="C8336" t="inlineStr">
        <is>
          <t xml:space="preserve">INF769K01GZ4</t>
        </is>
      </c>
    </row>
    <row r="8337">
      <c r="A8337" t="inlineStr">
        <is>
          <t xml:space="preserve">Mirae Asset Mutual Fund</t>
        </is>
      </c>
      <c r="B8337" t="inlineStr">
        <is>
          <t xml:space="preserve">Mirae Asset CRISIL IBX Gilt Index - April 2033 Index Fund - Direct Plan - Growth</t>
        </is>
      </c>
      <c r="C8337" t="inlineStr">
        <is>
          <t xml:space="preserve">INF769K01IX5</t>
        </is>
      </c>
    </row>
    <row r="8338">
      <c r="A8338" t="inlineStr">
        <is>
          <t xml:space="preserve">Mirae Asset Mutual Fund</t>
        </is>
      </c>
      <c r="B8338" t="inlineStr">
        <is>
          <t xml:space="preserve">Mirae Asset CRISIL IBX Gilt Index - April 2033 Index Fund - Direct Plan - IDCW</t>
        </is>
      </c>
      <c r="C8338" t="inlineStr">
        <is>
          <t xml:space="preserve">INF769K01IW7</t>
        </is>
      </c>
    </row>
    <row r="8339">
      <c r="A8339" t="inlineStr">
        <is>
          <t xml:space="preserve">Mirae Asset Mutual Fund</t>
        </is>
      </c>
      <c r="B8339" t="inlineStr">
        <is>
          <t xml:space="preserve">Mirae Asset CRISIL IBX Gilt Index - April 2033 Index Fund - Regular Plan - Growth</t>
        </is>
      </c>
      <c r="C8339" t="inlineStr">
        <is>
          <t xml:space="preserve">INF769K01IU1</t>
        </is>
      </c>
    </row>
    <row r="8340">
      <c r="A8340" t="inlineStr">
        <is>
          <t xml:space="preserve">Mirae Asset Mutual Fund</t>
        </is>
      </c>
      <c r="B8340" t="inlineStr">
        <is>
          <t xml:space="preserve">Mirae Asset CRISIL IBX Gilt Index - April 2033 Index Fund - Regular Plan - IDCW</t>
        </is>
      </c>
      <c r="C8340" t="inlineStr">
        <is>
          <t xml:space="preserve">INF769K01IT3</t>
        </is>
      </c>
    </row>
    <row r="8341">
      <c r="A8341" t="inlineStr">
        <is>
          <t xml:space="preserve">Mirae Asset Mutual Fund</t>
        </is>
      </c>
      <c r="B8341" t="inlineStr">
        <is>
          <t xml:space="preserve">Mirae Asset CRISIL-IBX Financial Services 9-12 Months Debt Index Fund - Direct Plan - Growth</t>
        </is>
      </c>
      <c r="C8341" t="inlineStr">
        <is>
          <t xml:space="preserve">INF769K01OS3</t>
        </is>
      </c>
    </row>
    <row r="8342">
      <c r="A8342" t="inlineStr">
        <is>
          <t xml:space="preserve">Mirae Asset Mutual Fund</t>
        </is>
      </c>
      <c r="B8342" t="inlineStr">
        <is>
          <t xml:space="preserve">Mirae Asset CRISIL-IBX Financial Services 9-12 Months Debt Index Fund - Direct Plan - IDCW</t>
        </is>
      </c>
      <c r="C8342" t="inlineStr">
        <is>
          <t xml:space="preserve">INF769K01OU9</t>
        </is>
      </c>
    </row>
    <row r="8343">
      <c r="A8343" t="inlineStr">
        <is>
          <t xml:space="preserve">Mirae Asset Mutual Fund</t>
        </is>
      </c>
      <c r="B8343" t="inlineStr">
        <is>
          <t xml:space="preserve">Mirae Asset CRISIL-IBX Financial Services 9-12 Months Debt Index Fund - Regular Plan - Growth</t>
        </is>
      </c>
      <c r="C8343" t="inlineStr">
        <is>
          <t xml:space="preserve">INF769K01OP9</t>
        </is>
      </c>
    </row>
    <row r="8344">
      <c r="A8344" t="inlineStr">
        <is>
          <t xml:space="preserve">Mirae Asset Mutual Fund</t>
        </is>
      </c>
      <c r="B8344" t="inlineStr">
        <is>
          <t xml:space="preserve">Mirae Asset CRISIL-IBX Financial Services 9-12 Months Debt Index Fund - Regular Plan - IDCW</t>
        </is>
      </c>
      <c r="C8344" t="inlineStr">
        <is>
          <t xml:space="preserve">INF769K01OR5</t>
        </is>
      </c>
    </row>
    <row r="8345">
      <c r="A8345" t="inlineStr">
        <is>
          <t xml:space="preserve">Mirae Asset Mutual Fund</t>
        </is>
      </c>
      <c r="B8345" t="inlineStr">
        <is>
          <t xml:space="preserve">Mirae Asset Diversified Equity Allocator Passive FOF - Direct Plan - Growth</t>
        </is>
      </c>
      <c r="C8345" t="inlineStr">
        <is>
          <t xml:space="preserve">INF769K01GE9</t>
        </is>
      </c>
    </row>
    <row r="8346">
      <c r="A8346" t="inlineStr">
        <is>
          <t xml:space="preserve">Mirae Asset Mutual Fund</t>
        </is>
      </c>
      <c r="B8346" t="inlineStr">
        <is>
          <t xml:space="preserve">Mirae Asset Diversified Equity Allocator Passive FOF - Direct Plan - IDCW</t>
        </is>
      </c>
      <c r="C8346" t="inlineStr">
        <is>
          <t xml:space="preserve">INF769K01GD1</t>
        </is>
      </c>
    </row>
    <row r="8347">
      <c r="A8347" t="inlineStr">
        <is>
          <t xml:space="preserve">Mirae Asset Mutual Fund</t>
        </is>
      </c>
      <c r="B8347" t="inlineStr">
        <is>
          <t xml:space="preserve">Mirae Asset Diversified Equity Allocator Passive FOF - Regular Plan - Growth</t>
        </is>
      </c>
      <c r="C8347" t="inlineStr">
        <is>
          <t xml:space="preserve">INF769K01GB5</t>
        </is>
      </c>
    </row>
    <row r="8348">
      <c r="A8348" t="inlineStr">
        <is>
          <t xml:space="preserve">Mirae Asset Mutual Fund</t>
        </is>
      </c>
      <c r="B8348" t="inlineStr">
        <is>
          <t xml:space="preserve">Mirae Asset Diversified Equity Allocator Passive FOF - Regular Plan - IDCW</t>
        </is>
      </c>
      <c r="C8348" t="inlineStr">
        <is>
          <t xml:space="preserve">INF769K01GA7</t>
        </is>
      </c>
    </row>
    <row r="8349">
      <c r="A8349" t="inlineStr">
        <is>
          <t xml:space="preserve">Mirae Asset Mutual Fund</t>
        </is>
      </c>
      <c r="B8349" t="inlineStr">
        <is>
          <t xml:space="preserve">Mirae Asset Dynamic Bond Fund -Direct Plan -Growth</t>
        </is>
      </c>
      <c r="C8349" t="inlineStr">
        <is>
          <t xml:space="preserve">INF769K01DR8</t>
        </is>
      </c>
    </row>
    <row r="8350">
      <c r="A8350" t="inlineStr">
        <is>
          <t xml:space="preserve">Mirae Asset Mutual Fund</t>
        </is>
      </c>
      <c r="B8350" t="inlineStr">
        <is>
          <t xml:space="preserve">Mirae Asset Dynamic Bond Fund Direct IDCW</t>
        </is>
      </c>
      <c r="C8350" t="inlineStr">
        <is>
          <t xml:space="preserve">INF769K01DS6</t>
        </is>
      </c>
    </row>
    <row r="8351">
      <c r="A8351" t="inlineStr">
        <is>
          <t xml:space="preserve">Mirae Asset Mutual Fund</t>
        </is>
      </c>
      <c r="B8351" t="inlineStr">
        <is>
          <t xml:space="preserve">Mirae Asset Dynamic Bond Fund Regular IDCW</t>
        </is>
      </c>
      <c r="C8351" t="inlineStr">
        <is>
          <t xml:space="preserve">INF769K01DP2</t>
        </is>
      </c>
    </row>
    <row r="8352">
      <c r="A8352" t="inlineStr">
        <is>
          <t xml:space="preserve">Mirae Asset Mutual Fund</t>
        </is>
      </c>
      <c r="B8352" t="inlineStr">
        <is>
          <t xml:space="preserve">Mirae Asset Dynamic Bond Fund-Regular Plan Growth</t>
        </is>
      </c>
      <c r="C8352" t="inlineStr">
        <is>
          <t xml:space="preserve">INF769K01DO5</t>
        </is>
      </c>
    </row>
    <row r="8353">
      <c r="A8353" t="inlineStr">
        <is>
          <t xml:space="preserve">Mirae Asset Mutual Fund</t>
        </is>
      </c>
      <c r="B8353" t="inlineStr">
        <is>
          <t xml:space="preserve">Mirae Asset ELSS Tax Saver Fund - Direct Plan - Growth</t>
        </is>
      </c>
      <c r="C8353" t="inlineStr">
        <is>
          <t xml:space="preserve">INF769K01DM9</t>
        </is>
      </c>
    </row>
    <row r="8354">
      <c r="A8354" t="inlineStr">
        <is>
          <t xml:space="preserve">Mirae Asset Mutual Fund</t>
        </is>
      </c>
      <c r="B8354" t="inlineStr">
        <is>
          <t xml:space="preserve">Mirae Asset ELSS Tax Saver Fund - Direct Plan - IDCW</t>
        </is>
      </c>
      <c r="C8354" t="inlineStr">
        <is>
          <t xml:space="preserve">INF769K01DN7</t>
        </is>
      </c>
    </row>
    <row r="8355">
      <c r="A8355" t="inlineStr">
        <is>
          <t xml:space="preserve">Mirae Asset Mutual Fund</t>
        </is>
      </c>
      <c r="B8355" t="inlineStr">
        <is>
          <t xml:space="preserve">Mirae Asset ELSS Tax Saver Fund - Regular Plan - Growth</t>
        </is>
      </c>
      <c r="C8355" t="inlineStr">
        <is>
          <t xml:space="preserve">INF769K01DK3</t>
        </is>
      </c>
    </row>
    <row r="8356">
      <c r="A8356" t="inlineStr">
        <is>
          <t xml:space="preserve">Mirae Asset Mutual Fund</t>
        </is>
      </c>
      <c r="B8356" t="inlineStr">
        <is>
          <t xml:space="preserve">Mirae Asset ELSS Tax Saver Fund - Regular Plan - IDCW</t>
        </is>
      </c>
      <c r="C8356" t="inlineStr">
        <is>
          <t xml:space="preserve">INF769K01DL1</t>
        </is>
      </c>
    </row>
    <row r="8357">
      <c r="A8357" t="inlineStr">
        <is>
          <t xml:space="preserve">Mirae Asset Mutual Fund</t>
        </is>
      </c>
      <c r="B8357" t="inlineStr">
        <is>
          <t xml:space="preserve">Mirae Asset Equity Savings Fund Direct IDCW</t>
        </is>
      </c>
      <c r="C8357" t="inlineStr">
        <is>
          <t xml:space="preserve">INF769K01EJ3</t>
        </is>
      </c>
    </row>
    <row r="8358">
      <c r="A8358" t="inlineStr">
        <is>
          <t xml:space="preserve">Mirae Asset Mutual Fund</t>
        </is>
      </c>
      <c r="B8358" t="inlineStr">
        <is>
          <t xml:space="preserve">Mirae Asset Equity Savings Fund Regular IDCW</t>
        </is>
      </c>
      <c r="C8358" t="inlineStr">
        <is>
          <t xml:space="preserve">INF769K01EH7</t>
        </is>
      </c>
    </row>
    <row r="8359">
      <c r="A8359" t="inlineStr">
        <is>
          <t xml:space="preserve">Mirae Asset Mutual Fund</t>
        </is>
      </c>
      <c r="B8359" t="inlineStr">
        <is>
          <t xml:space="preserve">Mirae Asset Equity Savings Fund- Direct Plan- Growth</t>
        </is>
      </c>
      <c r="C8359" t="inlineStr">
        <is>
          <t xml:space="preserve">INF769K01EK1</t>
        </is>
      </c>
    </row>
    <row r="8360">
      <c r="A8360" t="inlineStr">
        <is>
          <t xml:space="preserve">Mirae Asset Mutual Fund</t>
        </is>
      </c>
      <c r="B8360" t="inlineStr">
        <is>
          <t xml:space="preserve">Mirae Asset Equity Savings Fund- Regular Plan- Growth</t>
        </is>
      </c>
      <c r="C8360" t="inlineStr">
        <is>
          <t xml:space="preserve">INF769K01EI5</t>
        </is>
      </c>
    </row>
    <row r="8361">
      <c r="A8361" t="inlineStr">
        <is>
          <t xml:space="preserve">Mirae Asset Mutual Fund</t>
        </is>
      </c>
      <c r="B8361" t="inlineStr">
        <is>
          <t xml:space="preserve">Mirae Asset Flexi Cap Fund - Direct Plan -  IDCW</t>
        </is>
      </c>
      <c r="C8361" t="inlineStr">
        <is>
          <t xml:space="preserve">INF769K01JI4</t>
        </is>
      </c>
    </row>
    <row r="8362">
      <c r="A8362" t="inlineStr">
        <is>
          <t xml:space="preserve">Mirae Asset Mutual Fund</t>
        </is>
      </c>
      <c r="B8362" t="inlineStr">
        <is>
          <t xml:space="preserve">Mirae Asset Flexi Cap Fund - Direct Plan - Growth</t>
        </is>
      </c>
      <c r="C8362" t="inlineStr">
        <is>
          <t xml:space="preserve">INF769K01JJ2</t>
        </is>
      </c>
    </row>
    <row r="8363">
      <c r="A8363" t="inlineStr">
        <is>
          <t xml:space="preserve">Mirae Asset Mutual Fund</t>
        </is>
      </c>
      <c r="B8363" t="inlineStr">
        <is>
          <t xml:space="preserve">Mirae Asset Flexi Cap Fund - Regular Plan - Growth</t>
        </is>
      </c>
      <c r="C8363" t="inlineStr">
        <is>
          <t xml:space="preserve">INF769K01JG8</t>
        </is>
      </c>
    </row>
    <row r="8364">
      <c r="A8364" t="inlineStr">
        <is>
          <t xml:space="preserve">Mirae Asset Mutual Fund</t>
        </is>
      </c>
      <c r="B8364" t="inlineStr">
        <is>
          <t xml:space="preserve">Mirae Asset Flexi Cap Fund - Regular Plan - IDCW</t>
        </is>
      </c>
      <c r="C8364" t="inlineStr">
        <is>
          <t xml:space="preserve">INF769K01JF0</t>
        </is>
      </c>
    </row>
    <row r="8365">
      <c r="A8365" t="inlineStr">
        <is>
          <t xml:space="preserve">Mirae Asset Mutual Fund</t>
        </is>
      </c>
      <c r="B8365" t="inlineStr">
        <is>
          <t xml:space="preserve">Mirae Asset Focused Fund Direct IDCW</t>
        </is>
      </c>
      <c r="C8365" t="inlineStr">
        <is>
          <t xml:space="preserve">INF769K01ET2</t>
        </is>
      </c>
    </row>
    <row r="8366">
      <c r="A8366" t="inlineStr">
        <is>
          <t xml:space="preserve">Mirae Asset Mutual Fund</t>
        </is>
      </c>
      <c r="B8366" t="inlineStr">
        <is>
          <t xml:space="preserve">Mirae Asset Focused Fund Direct Plan Growth</t>
        </is>
      </c>
      <c r="C8366" t="inlineStr">
        <is>
          <t xml:space="preserve">INF769K01EU0</t>
        </is>
      </c>
    </row>
    <row r="8367">
      <c r="A8367" t="inlineStr">
        <is>
          <t xml:space="preserve">Mirae Asset Mutual Fund</t>
        </is>
      </c>
      <c r="B8367" t="inlineStr">
        <is>
          <t xml:space="preserve">Mirae Asset Focused Fund Regular IDCW</t>
        </is>
      </c>
      <c r="C8367" t="inlineStr">
        <is>
          <t xml:space="preserve">INF769K01ER6</t>
        </is>
      </c>
    </row>
    <row r="8368">
      <c r="A8368" t="inlineStr">
        <is>
          <t xml:space="preserve">Mirae Asset Mutual Fund</t>
        </is>
      </c>
      <c r="B8368" t="inlineStr">
        <is>
          <t xml:space="preserve">Mirae Asset Focused Fund Regular Plan Growth</t>
        </is>
      </c>
      <c r="C8368" t="inlineStr">
        <is>
          <t xml:space="preserve">INF769K01ES4</t>
        </is>
      </c>
    </row>
    <row r="8369">
      <c r="A8369" t="inlineStr">
        <is>
          <t xml:space="preserve">Mirae Asset Mutual Fund</t>
        </is>
      </c>
      <c r="B8369" t="inlineStr">
        <is>
          <t xml:space="preserve">Mirae Asset Global Electric &amp; Autonomous Vehicles Equity Passive FOF - Direct Plan - Growth</t>
        </is>
      </c>
      <c r="C8369" t="inlineStr">
        <is>
          <t xml:space="preserve">INF769K01IQ9</t>
        </is>
      </c>
    </row>
    <row r="8370">
      <c r="A8370" t="inlineStr">
        <is>
          <t xml:space="preserve">Mirae Asset Mutual Fund</t>
        </is>
      </c>
      <c r="B8370" t="inlineStr">
        <is>
          <t xml:space="preserve">Mirae Asset Global Electric &amp; Autonomous Vehicles Equity Passive FOF - Regular Plan - Growth</t>
        </is>
      </c>
      <c r="C8370" t="inlineStr">
        <is>
          <t xml:space="preserve">INF769K01IP1</t>
        </is>
      </c>
    </row>
    <row r="8371">
      <c r="A8371" t="inlineStr">
        <is>
          <t xml:space="preserve">Mirae Asset Mutual Fund</t>
        </is>
      </c>
      <c r="B8371" t="inlineStr">
        <is>
          <t xml:space="preserve">Mirae Asset Global X Artificial Intelligence &amp; Technology ETF Fund of Fund - Direct Plan- Growth</t>
        </is>
      </c>
      <c r="C8371" t="inlineStr">
        <is>
          <t xml:space="preserve">INF769K01IS5</t>
        </is>
      </c>
    </row>
    <row r="8372">
      <c r="A8372" t="inlineStr">
        <is>
          <t xml:space="preserve">Mirae Asset Mutual Fund</t>
        </is>
      </c>
      <c r="B8372" t="inlineStr">
        <is>
          <t xml:space="preserve">Mirae Asset Global X Artificial Intelligence &amp; Technology ETF Fund of Fund - Regular Plan - Growth</t>
        </is>
      </c>
      <c r="C8372" t="inlineStr">
        <is>
          <t xml:space="preserve">INF769K01IR7</t>
        </is>
      </c>
    </row>
    <row r="8373">
      <c r="A8373" t="inlineStr">
        <is>
          <t xml:space="preserve">Mirae Asset Mutual Fund</t>
        </is>
      </c>
      <c r="B8373" t="inlineStr">
        <is>
          <t xml:space="preserve">Mirae Asset Gold ETF</t>
        </is>
      </c>
      <c r="C8373" t="inlineStr">
        <is>
          <t xml:space="preserve">INF769K01JP9</t>
        </is>
      </c>
    </row>
    <row r="8374">
      <c r="A8374" t="inlineStr">
        <is>
          <t xml:space="preserve">Mirae Asset Mutual Fund</t>
        </is>
      </c>
      <c r="B8374" t="inlineStr">
        <is>
          <t xml:space="preserve">Mirae Asset Gold ETF Fund of Fund - Direct Plan - Growth</t>
        </is>
      </c>
      <c r="C8374" t="inlineStr">
        <is>
          <t xml:space="preserve">INF769K01MV1</t>
        </is>
      </c>
    </row>
    <row r="8375">
      <c r="A8375" t="inlineStr">
        <is>
          <t xml:space="preserve">Mirae Asset Mutual Fund</t>
        </is>
      </c>
      <c r="B8375" t="inlineStr">
        <is>
          <t xml:space="preserve">Mirae Asset Gold ETF Fund of Fund - Direct Plan - IDCW</t>
        </is>
      </c>
      <c r="C8375" t="inlineStr">
        <is>
          <t xml:space="preserve">INF769K01MW9</t>
        </is>
      </c>
    </row>
    <row r="8376">
      <c r="A8376" t="inlineStr">
        <is>
          <t xml:space="preserve">Mirae Asset Mutual Fund</t>
        </is>
      </c>
      <c r="B8376" t="inlineStr">
        <is>
          <t xml:space="preserve">Mirae Asset Gold ETF Fund of Fund - Regular Plan - Growth</t>
        </is>
      </c>
      <c r="C8376" t="inlineStr">
        <is>
          <t xml:space="preserve">INF769K01MS7</t>
        </is>
      </c>
    </row>
    <row r="8377">
      <c r="A8377" t="inlineStr">
        <is>
          <t xml:space="preserve">Mirae Asset Mutual Fund</t>
        </is>
      </c>
      <c r="B8377" t="inlineStr">
        <is>
          <t xml:space="preserve">Mirae Asset Gold ETF Fund of Fund - Regular Plan - IDCW</t>
        </is>
      </c>
      <c r="C8377" t="inlineStr">
        <is>
          <t xml:space="preserve">INF769K01MT5</t>
        </is>
      </c>
    </row>
    <row r="8378">
      <c r="A8378" t="inlineStr">
        <is>
          <t xml:space="preserve">Mirae Asset Mutual Fund</t>
        </is>
      </c>
      <c r="B8378" t="inlineStr">
        <is>
          <t xml:space="preserve">Mirae Asset Gold Silver Passive FoF - Direct Plan - Growth</t>
        </is>
      </c>
      <c r="C8378" t="inlineStr">
        <is>
          <t xml:space="preserve">INF769K01PM3</t>
        </is>
      </c>
    </row>
    <row r="8379">
      <c r="A8379" t="inlineStr">
        <is>
          <t xml:space="preserve">Mirae Asset Mutual Fund</t>
        </is>
      </c>
      <c r="B8379" t="inlineStr">
        <is>
          <t xml:space="preserve">Mirae Asset Gold Silver Passive FoF - Direct Plan - IDCW</t>
        </is>
      </c>
      <c r="C8379" t="inlineStr">
        <is>
          <t xml:space="preserve">INF769K01PO9</t>
        </is>
      </c>
    </row>
    <row r="8380">
      <c r="A8380" t="inlineStr">
        <is>
          <t xml:space="preserve">Mirae Asset Mutual Fund</t>
        </is>
      </c>
      <c r="B8380" t="inlineStr">
        <is>
          <t xml:space="preserve">Mirae Asset Gold Silver Passive FoF - Regular Plan - Growth</t>
        </is>
      </c>
      <c r="C8380" t="inlineStr">
        <is>
          <t xml:space="preserve">INF769K01PP6</t>
        </is>
      </c>
    </row>
    <row r="8381">
      <c r="A8381" t="inlineStr">
        <is>
          <t xml:space="preserve">Mirae Asset Mutual Fund</t>
        </is>
      </c>
      <c r="B8381" t="inlineStr">
        <is>
          <t xml:space="preserve">Mirae Asset Gold Silver Passive FoF - Regular Plan - IDCW</t>
        </is>
      </c>
      <c r="C8381" t="inlineStr">
        <is>
          <t xml:space="preserve">INF769K01PL5</t>
        </is>
      </c>
    </row>
    <row r="8382">
      <c r="A8382" t="inlineStr">
        <is>
          <t xml:space="preserve">Mirae Asset Mutual Fund</t>
        </is>
      </c>
      <c r="B8382" t="inlineStr">
        <is>
          <t xml:space="preserve">Mirae Asset Great Consumer Fund - Direct Plan - Growth</t>
        </is>
      </c>
      <c r="C8382" t="inlineStr">
        <is>
          <t xml:space="preserve">INF769K01BL5</t>
        </is>
      </c>
    </row>
    <row r="8383">
      <c r="A8383" t="inlineStr">
        <is>
          <t xml:space="preserve">Mirae Asset Mutual Fund</t>
        </is>
      </c>
      <c r="B8383" t="inlineStr">
        <is>
          <t xml:space="preserve">Mirae Asset Great Consumer Fund - Regular Plan - Growth option</t>
        </is>
      </c>
      <c r="C8383" t="inlineStr">
        <is>
          <t xml:space="preserve">INF769K01135</t>
        </is>
      </c>
    </row>
    <row r="8384">
      <c r="A8384" t="inlineStr">
        <is>
          <t xml:space="preserve">Mirae Asset Mutual Fund</t>
        </is>
      </c>
      <c r="B8384" t="inlineStr">
        <is>
          <t xml:space="preserve">Mirae Asset Great Consumer Fund Direct IDCW</t>
        </is>
      </c>
      <c r="C8384" t="inlineStr">
        <is>
          <t xml:space="preserve">INF769K01BM3</t>
        </is>
      </c>
    </row>
    <row r="8385">
      <c r="A8385" t="inlineStr">
        <is>
          <t xml:space="preserve">Mirae Asset Mutual Fund</t>
        </is>
      </c>
      <c r="B8385" t="inlineStr">
        <is>
          <t xml:space="preserve">Mirae Asset Great Consumer Fund Regular IDCW</t>
        </is>
      </c>
      <c r="C8385" t="inlineStr">
        <is>
          <t xml:space="preserve">INF769K01150</t>
        </is>
      </c>
    </row>
    <row r="8386">
      <c r="A8386" t="inlineStr">
        <is>
          <t xml:space="preserve">Mirae Asset Mutual Fund</t>
        </is>
      </c>
      <c r="B8386" t="inlineStr">
        <is>
          <t xml:space="preserve">Mirae Asset Hang Seng TECH ETF</t>
        </is>
      </c>
      <c r="C8386" t="inlineStr">
        <is>
          <t xml:space="preserve">INF769K01HS7</t>
        </is>
      </c>
    </row>
    <row r="8387">
      <c r="A8387" t="inlineStr">
        <is>
          <t xml:space="preserve">Mirae Asset Mutual Fund</t>
        </is>
      </c>
      <c r="B8387" t="inlineStr">
        <is>
          <t xml:space="preserve">Mirae Asset Hang Seng TECH ETF Fund of Fund Regular Plan - Growth Option</t>
        </is>
      </c>
      <c r="C8387" t="inlineStr">
        <is>
          <t xml:space="preserve">INF769K01HT5</t>
        </is>
      </c>
    </row>
    <row r="8388">
      <c r="A8388" t="inlineStr">
        <is>
          <t xml:space="preserve">Mirae Asset Mutual Fund</t>
        </is>
      </c>
      <c r="B8388" t="inlineStr">
        <is>
          <t xml:space="preserve">Mirae Asset Healthcare Fund -Regular Growth</t>
        </is>
      </c>
      <c r="C8388" t="inlineStr">
        <is>
          <t xml:space="preserve">INF769K01EA2</t>
        </is>
      </c>
    </row>
    <row r="8389">
      <c r="A8389" t="inlineStr">
        <is>
          <t xml:space="preserve">Mirae Asset Mutual Fund</t>
        </is>
      </c>
      <c r="B8389" t="inlineStr">
        <is>
          <t xml:space="preserve">Mirae Asset Healthcare Fund Direct Growth</t>
        </is>
      </c>
      <c r="C8389" t="inlineStr">
        <is>
          <t xml:space="preserve">INF769K01ED6</t>
        </is>
      </c>
    </row>
    <row r="8390">
      <c r="A8390" t="inlineStr">
        <is>
          <t xml:space="preserve">Mirae Asset Mutual Fund</t>
        </is>
      </c>
      <c r="B8390" t="inlineStr">
        <is>
          <t xml:space="preserve">Mirae Asset Healthcare Fund Direct IDCW</t>
        </is>
      </c>
      <c r="C8390" t="inlineStr">
        <is>
          <t xml:space="preserve">INF769K01EE4</t>
        </is>
      </c>
    </row>
    <row r="8391">
      <c r="A8391" t="inlineStr">
        <is>
          <t xml:space="preserve">Mirae Asset Mutual Fund</t>
        </is>
      </c>
      <c r="B8391" t="inlineStr">
        <is>
          <t xml:space="preserve">Mirae Asset Healthcare Fund Regular IDCW</t>
        </is>
      </c>
      <c r="C8391" t="inlineStr">
        <is>
          <t xml:space="preserve">INF769K01EB0</t>
        </is>
      </c>
    </row>
    <row r="8392">
      <c r="A8392" t="inlineStr">
        <is>
          <t xml:space="preserve">Mirae Asset Mutual Fund</t>
        </is>
      </c>
      <c r="B8392" t="inlineStr">
        <is>
          <t xml:space="preserve">Mirae Asset Income plus Arbitrage Active FOF - Direct Plan - Growth</t>
        </is>
      </c>
      <c r="C8392" t="inlineStr">
        <is>
          <t xml:space="preserve">INF769K01OY1</t>
        </is>
      </c>
    </row>
    <row r="8393">
      <c r="A8393" t="inlineStr">
        <is>
          <t xml:space="preserve">Mirae Asset Mutual Fund</t>
        </is>
      </c>
      <c r="B8393" t="inlineStr">
        <is>
          <t xml:space="preserve">Mirae Asset Income plus Arbitrage Active FOF - Direct Plan - IDCW</t>
        </is>
      </c>
      <c r="C8393" t="inlineStr">
        <is>
          <t xml:space="preserve">INF769K01PA8</t>
        </is>
      </c>
    </row>
    <row r="8394">
      <c r="A8394" t="inlineStr">
        <is>
          <t xml:space="preserve">Mirae Asset Mutual Fund</t>
        </is>
      </c>
      <c r="B8394" t="inlineStr">
        <is>
          <t xml:space="preserve">Mirae Asset Income plus Arbitrage Active FOF - Regular Plan - Growth</t>
        </is>
      </c>
      <c r="C8394" t="inlineStr">
        <is>
          <t xml:space="preserve">INF769K01OV7</t>
        </is>
      </c>
    </row>
    <row r="8395">
      <c r="A8395" t="inlineStr">
        <is>
          <t xml:space="preserve">Mirae Asset Mutual Fund</t>
        </is>
      </c>
      <c r="B8395" t="inlineStr">
        <is>
          <t xml:space="preserve">Mirae Asset Income plus Arbitrage Active FOF - Regular Plan - IDCW</t>
        </is>
      </c>
      <c r="C8395" t="inlineStr">
        <is>
          <t xml:space="preserve">INF769K01OX3</t>
        </is>
      </c>
    </row>
    <row r="8396">
      <c r="A8396" t="inlineStr">
        <is>
          <t xml:space="preserve">Mirae Asset Mutual Fund</t>
        </is>
      </c>
      <c r="B8396" t="inlineStr">
        <is>
          <t xml:space="preserve">Mirae Asset Infrastructure Fund - Direct Plan - Growth</t>
        </is>
      </c>
      <c r="C8396" t="inlineStr">
        <is>
          <t xml:space="preserve">INF769K01PV4</t>
        </is>
      </c>
    </row>
    <row r="8397">
      <c r="A8397" t="inlineStr">
        <is>
          <t xml:space="preserve">Mirae Asset Mutual Fund</t>
        </is>
      </c>
      <c r="B8397" t="inlineStr">
        <is>
          <t xml:space="preserve">Mirae Asset Infrastructure Fund - Direct Plan - IDCW</t>
        </is>
      </c>
      <c r="C8397" t="inlineStr">
        <is>
          <t xml:space="preserve">INF769K01PX0</t>
        </is>
      </c>
    </row>
    <row r="8398">
      <c r="A8398" t="inlineStr">
        <is>
          <t xml:space="preserve">Mirae Asset Mutual Fund</t>
        </is>
      </c>
      <c r="B8398" t="inlineStr">
        <is>
          <t xml:space="preserve">Mirae Asset Infrastructure Fund - Regular Plan - Growth</t>
        </is>
      </c>
      <c r="C8398" t="inlineStr">
        <is>
          <t xml:space="preserve">INF769K01PS0</t>
        </is>
      </c>
    </row>
    <row r="8399">
      <c r="A8399" t="inlineStr">
        <is>
          <t xml:space="preserve">Mirae Asset Mutual Fund</t>
        </is>
      </c>
      <c r="B8399" t="inlineStr">
        <is>
          <t xml:space="preserve">Mirae Asset Infrastructure Fund - Regular Plan - IDCW</t>
        </is>
      </c>
      <c r="C8399" t="inlineStr">
        <is>
          <t xml:space="preserve">INF769K01PU6</t>
        </is>
      </c>
    </row>
    <row r="8400">
      <c r="A8400" t="inlineStr">
        <is>
          <t xml:space="preserve">Mirae Asset Mutual Fund</t>
        </is>
      </c>
      <c r="B8400" t="inlineStr">
        <is>
          <t xml:space="preserve">Mirae Asset Large &amp; Midcap Fund - Direct Plan - Growth</t>
        </is>
      </c>
      <c r="C8400" t="inlineStr">
        <is>
          <t xml:space="preserve">INF769K01BI1</t>
        </is>
      </c>
    </row>
    <row r="8401">
      <c r="A8401" t="inlineStr">
        <is>
          <t xml:space="preserve">Mirae Asset Mutual Fund</t>
        </is>
      </c>
      <c r="B8401" t="inlineStr">
        <is>
          <t xml:space="preserve">Mirae Asset Large &amp; Midcap Fund - Direct Plan - IDCW</t>
        </is>
      </c>
      <c r="C8401" t="inlineStr">
        <is>
          <t xml:space="preserve">INF769K01BJ9</t>
        </is>
      </c>
    </row>
    <row r="8402">
      <c r="A8402" t="inlineStr">
        <is>
          <t xml:space="preserve">Mirae Asset Mutual Fund</t>
        </is>
      </c>
      <c r="B8402" t="inlineStr">
        <is>
          <t xml:space="preserve">Mirae Asset Large &amp; Midcap Fund - Regular Plan - Growth</t>
        </is>
      </c>
      <c r="C8402" t="inlineStr">
        <is>
          <t xml:space="preserve">INF769K01101</t>
        </is>
      </c>
    </row>
    <row r="8403">
      <c r="A8403" t="inlineStr">
        <is>
          <t xml:space="preserve">Mirae Asset Mutual Fund</t>
        </is>
      </c>
      <c r="B8403" t="inlineStr">
        <is>
          <t xml:space="preserve">Mirae Asset Large &amp; Midcap Fund - Regular Plan - IDCW</t>
        </is>
      </c>
      <c r="C8403" t="inlineStr">
        <is>
          <t xml:space="preserve">INF769K01127</t>
        </is>
      </c>
    </row>
    <row r="8404">
      <c r="A8404" t="inlineStr">
        <is>
          <t xml:space="preserve">Mirae Asset Mutual Fund</t>
        </is>
      </c>
      <c r="B8404" t="inlineStr">
        <is>
          <t xml:space="preserve">Mirae Asset Large Cap Fund - Direct Plan - Growth</t>
        </is>
      </c>
      <c r="C8404" t="inlineStr">
        <is>
          <t xml:space="preserve">INF769K01AX2</t>
        </is>
      </c>
    </row>
    <row r="8405">
      <c r="A8405" t="inlineStr">
        <is>
          <t xml:space="preserve">Mirae Asset Mutual Fund</t>
        </is>
      </c>
      <c r="B8405" t="inlineStr">
        <is>
          <t xml:space="preserve">Mirae Asset Large Cap Fund - Growth Plan</t>
        </is>
      </c>
      <c r="C8405" t="inlineStr">
        <is>
          <t xml:space="preserve">INF769K01010</t>
        </is>
      </c>
    </row>
    <row r="8406">
      <c r="A8406" t="inlineStr">
        <is>
          <t xml:space="preserve">Mirae Asset Mutual Fund</t>
        </is>
      </c>
      <c r="B8406" t="inlineStr">
        <is>
          <t xml:space="preserve">Mirae Asset Large Cap Fund Direct IDCW</t>
        </is>
      </c>
      <c r="C8406" t="inlineStr">
        <is>
          <t xml:space="preserve">INF769K01AY0</t>
        </is>
      </c>
    </row>
    <row r="8407">
      <c r="A8407" t="inlineStr">
        <is>
          <t xml:space="preserve">Mirae Asset Mutual Fund</t>
        </is>
      </c>
      <c r="B8407" t="inlineStr">
        <is>
          <t xml:space="preserve">Mirae Asset Large Cap Fund Regular IDCW</t>
        </is>
      </c>
      <c r="C8407" t="inlineStr">
        <is>
          <t xml:space="preserve">INF769K01036</t>
        </is>
      </c>
    </row>
    <row r="8408">
      <c r="A8408" t="inlineStr">
        <is>
          <t xml:space="preserve">Mirae Asset Mutual Fund</t>
        </is>
      </c>
      <c r="B8408" t="inlineStr">
        <is>
          <t xml:space="preserve">Mirae Asset Liquid Fund - Direct Plan - Growth</t>
        </is>
      </c>
      <c r="C8408" t="inlineStr">
        <is>
          <t xml:space="preserve">INF769K01CM1</t>
        </is>
      </c>
    </row>
    <row r="8409">
      <c r="A8409" t="inlineStr">
        <is>
          <t xml:space="preserve">Mirae Asset Mutual Fund</t>
        </is>
      </c>
      <c r="B8409" t="inlineStr">
        <is>
          <t xml:space="preserve">Mirae Asset Liquid Fund - Direct Plan - Weekly IDCW</t>
        </is>
      </c>
      <c r="C8409" t="inlineStr">
        <is>
          <t xml:space="preserve">INF769K01PD2</t>
        </is>
      </c>
    </row>
    <row r="8410">
      <c r="A8410" t="inlineStr">
        <is>
          <t xml:space="preserve">Mirae Asset Mutual Fund</t>
        </is>
      </c>
      <c r="B8410" t="inlineStr">
        <is>
          <t xml:space="preserve">Mirae Asset Liquid Fund - Direct Plan -Daily IDCW</t>
        </is>
      </c>
      <c r="C8410" t="inlineStr">
        <is>
          <t xml:space="preserve">INF769K01CO7</t>
        </is>
      </c>
    </row>
    <row r="8411">
      <c r="A8411" t="inlineStr">
        <is>
          <t xml:space="preserve">Mirae Asset Mutual Fund</t>
        </is>
      </c>
      <c r="B8411" t="inlineStr">
        <is>
          <t xml:space="preserve">Mirae Asset Liquid Fund - Direct Plan -Monthly IDCW</t>
        </is>
      </c>
      <c r="C8411" t="inlineStr">
        <is>
          <t xml:space="preserve">INF769K01CN9</t>
        </is>
      </c>
    </row>
    <row r="8412">
      <c r="A8412" t="inlineStr">
        <is>
          <t xml:space="preserve">Mirae Asset Mutual Fund</t>
        </is>
      </c>
      <c r="B8412" t="inlineStr">
        <is>
          <t xml:space="preserve">Mirae Asset Liquid Fund - Regular - Daily IDCW</t>
        </is>
      </c>
      <c r="C8412" t="inlineStr">
        <is>
          <t xml:space="preserve">INF769K01804</t>
        </is>
      </c>
    </row>
    <row r="8413">
      <c r="A8413" t="inlineStr">
        <is>
          <t xml:space="preserve">Mirae Asset Mutual Fund</t>
        </is>
      </c>
      <c r="B8413" t="inlineStr">
        <is>
          <t xml:space="preserve">Mirae Asset Liquid Fund - Regular Plan - Growth</t>
        </is>
      </c>
      <c r="C8413" t="inlineStr">
        <is>
          <t xml:space="preserve">INF769K01788</t>
        </is>
      </c>
    </row>
    <row r="8414">
      <c r="A8414" t="inlineStr">
        <is>
          <t xml:space="preserve">Mirae Asset Mutual Fund</t>
        </is>
      </c>
      <c r="B8414" t="inlineStr">
        <is>
          <t xml:space="preserve">Mirae Asset Liquid Fund - Regular Plan - Monthly IDCW</t>
        </is>
      </c>
      <c r="C8414" t="inlineStr">
        <is>
          <t xml:space="preserve">INF769K01838</t>
        </is>
      </c>
    </row>
    <row r="8415">
      <c r="A8415" t="inlineStr">
        <is>
          <t xml:space="preserve">Mirae Asset Mutual Fund</t>
        </is>
      </c>
      <c r="B8415" t="inlineStr">
        <is>
          <t xml:space="preserve">Mirae Asset Liquid Fund - Regular Plan - Weekly IDCW</t>
        </is>
      </c>
      <c r="C8415" t="inlineStr">
        <is>
          <t xml:space="preserve">INF769K01PC4</t>
        </is>
      </c>
    </row>
    <row r="8416">
      <c r="A8416" t="inlineStr">
        <is>
          <t xml:space="preserve">Mirae Asset Mutual Fund</t>
        </is>
      </c>
      <c r="B8416" t="inlineStr">
        <is>
          <t xml:space="preserve">Mirae Asset Long Duration Fund - Direct Plan - Growth</t>
        </is>
      </c>
      <c r="C8416" t="inlineStr">
        <is>
          <t xml:space="preserve">INF769K01NC9</t>
        </is>
      </c>
    </row>
    <row r="8417">
      <c r="A8417" t="inlineStr">
        <is>
          <t xml:space="preserve">Mirae Asset Mutual Fund</t>
        </is>
      </c>
      <c r="B8417" t="inlineStr">
        <is>
          <t xml:space="preserve">Mirae Asset Long Duration Fund - Direct Plan - IDCW</t>
        </is>
      </c>
      <c r="C8417" t="inlineStr">
        <is>
          <t xml:space="preserve">INF769K01ND7</t>
        </is>
      </c>
    </row>
    <row r="8418">
      <c r="A8418" t="inlineStr">
        <is>
          <t xml:space="preserve">Mirae Asset Mutual Fund</t>
        </is>
      </c>
      <c r="B8418" t="inlineStr">
        <is>
          <t xml:space="preserve">Mirae Asset Long Duration Fund - Regular Plan - Growth</t>
        </is>
      </c>
      <c r="C8418" t="inlineStr">
        <is>
          <t xml:space="preserve">INF769K01MZ2</t>
        </is>
      </c>
    </row>
    <row r="8419">
      <c r="A8419" t="inlineStr">
        <is>
          <t xml:space="preserve">Mirae Asset Mutual Fund</t>
        </is>
      </c>
      <c r="B8419" t="inlineStr">
        <is>
          <t xml:space="preserve">Mirae Asset Long Duration Fund - Regular Plan - IDCW</t>
        </is>
      </c>
      <c r="C8419" t="inlineStr">
        <is>
          <t xml:space="preserve">INF769K01NA3</t>
        </is>
      </c>
    </row>
    <row r="8420">
      <c r="A8420" t="inlineStr">
        <is>
          <t xml:space="preserve">Mirae Asset Mutual Fund</t>
        </is>
      </c>
      <c r="B8420" t="inlineStr">
        <is>
          <t xml:space="preserve">Mirae Asset Low Duration Fund - Direct Plan - Daily IDCW</t>
        </is>
      </c>
      <c r="C8420" t="inlineStr">
        <is>
          <t xml:space="preserve">INF769K01BR2</t>
        </is>
      </c>
    </row>
    <row r="8421">
      <c r="A8421" t="inlineStr">
        <is>
          <t xml:space="preserve">Mirae Asset Mutual Fund</t>
        </is>
      </c>
      <c r="B8421" t="inlineStr">
        <is>
          <t xml:space="preserve">Mirae Asset Low Duration Fund - Direct Plan - Growth</t>
        </is>
      </c>
      <c r="C8421" t="inlineStr">
        <is>
          <t xml:space="preserve">INF769K01BO9</t>
        </is>
      </c>
    </row>
    <row r="8422">
      <c r="A8422" t="inlineStr">
        <is>
          <t xml:space="preserve">Mirae Asset Mutual Fund</t>
        </is>
      </c>
      <c r="B8422" t="inlineStr">
        <is>
          <t xml:space="preserve">Mirae Asset Low Duration Fund - Direct Plan - Monthly IDCW</t>
        </is>
      </c>
      <c r="C8422" t="inlineStr">
        <is>
          <t xml:space="preserve">INF769K01BP6</t>
        </is>
      </c>
    </row>
    <row r="8423">
      <c r="A8423" t="inlineStr">
        <is>
          <t xml:space="preserve">Mirae Asset Mutual Fund</t>
        </is>
      </c>
      <c r="B8423" t="inlineStr">
        <is>
          <t xml:space="preserve">Mirae Asset Low Duration Fund - Direct Plan - Quarterly IDCW</t>
        </is>
      </c>
      <c r="C8423" t="inlineStr">
        <is>
          <t xml:space="preserve">INF769K01BQ4</t>
        </is>
      </c>
    </row>
    <row r="8424">
      <c r="A8424" t="inlineStr">
        <is>
          <t xml:space="preserve">Mirae Asset Mutual Fund</t>
        </is>
      </c>
      <c r="B8424" t="inlineStr">
        <is>
          <t xml:space="preserve">Mirae Asset Low Duration Fund - Direct Plan - Weekly IDCW</t>
        </is>
      </c>
      <c r="C8424" t="inlineStr">
        <is>
          <t xml:space="preserve">INF769K01BS0</t>
        </is>
      </c>
    </row>
    <row r="8425">
      <c r="A8425" t="inlineStr">
        <is>
          <t xml:space="preserve">Mirae Asset Mutual Fund</t>
        </is>
      </c>
      <c r="B8425" t="inlineStr">
        <is>
          <t xml:space="preserve">Mirae Asset Low Duration Fund - Regular Plan - Daily IDCW</t>
        </is>
      </c>
      <c r="C8425" t="inlineStr">
        <is>
          <t xml:space="preserve">INF769K01986</t>
        </is>
      </c>
    </row>
    <row r="8426">
      <c r="A8426" t="inlineStr">
        <is>
          <t xml:space="preserve">Mirae Asset Mutual Fund</t>
        </is>
      </c>
      <c r="B8426" t="inlineStr">
        <is>
          <t xml:space="preserve">Mirae Asset Low Duration Fund - Regular Plan - Growth</t>
        </is>
      </c>
      <c r="C8426" t="inlineStr">
        <is>
          <t xml:space="preserve">INF769K01937</t>
        </is>
      </c>
    </row>
    <row r="8427">
      <c r="A8427" t="inlineStr">
        <is>
          <t xml:space="preserve">Mirae Asset Mutual Fund</t>
        </is>
      </c>
      <c r="B8427" t="inlineStr">
        <is>
          <t xml:space="preserve">Mirae Asset Low Duration Fund - Regular Plan - Monthly IDCW</t>
        </is>
      </c>
      <c r="C8427" t="inlineStr">
        <is>
          <t xml:space="preserve">INF769K01960</t>
        </is>
      </c>
    </row>
    <row r="8428">
      <c r="A8428" t="inlineStr">
        <is>
          <t xml:space="preserve">Mirae Asset Mutual Fund</t>
        </is>
      </c>
      <c r="B8428" t="inlineStr">
        <is>
          <t xml:space="preserve">Mirae Asset Low Duration Fund - Regular Plan - Quarterly IDCW</t>
        </is>
      </c>
      <c r="C8428" t="inlineStr">
        <is>
          <t xml:space="preserve">INF769K01978</t>
        </is>
      </c>
    </row>
    <row r="8429">
      <c r="A8429" t="inlineStr">
        <is>
          <t xml:space="preserve">Mirae Asset Mutual Fund</t>
        </is>
      </c>
      <c r="B8429" t="inlineStr">
        <is>
          <t xml:space="preserve">Mirae Asset Low Duration Fund - Regular Plan - Weekly IDCW</t>
        </is>
      </c>
      <c r="C8429" t="inlineStr">
        <is>
          <t xml:space="preserve">INF769K01994</t>
        </is>
      </c>
    </row>
    <row r="8430">
      <c r="A8430" t="inlineStr">
        <is>
          <t xml:space="preserve">Mirae Asset Mutual Fund</t>
        </is>
      </c>
      <c r="B8430" t="inlineStr">
        <is>
          <t xml:space="preserve">Mirae Asset Midcap Fund - Regular Plan-Growth Option</t>
        </is>
      </c>
      <c r="C8430" t="inlineStr">
        <is>
          <t xml:space="preserve">INF769K01EY2</t>
        </is>
      </c>
    </row>
    <row r="8431">
      <c r="A8431" t="inlineStr">
        <is>
          <t xml:space="preserve">Mirae Asset Mutual Fund</t>
        </is>
      </c>
      <c r="B8431" t="inlineStr">
        <is>
          <t xml:space="preserve">Mirae Asset Midcap Fund Direct IDCW</t>
        </is>
      </c>
      <c r="C8431" t="inlineStr">
        <is>
          <t xml:space="preserve">INF769K01EZ9</t>
        </is>
      </c>
    </row>
    <row r="8432">
      <c r="A8432" t="inlineStr">
        <is>
          <t xml:space="preserve">Mirae Asset Mutual Fund</t>
        </is>
      </c>
      <c r="B8432" t="inlineStr">
        <is>
          <t xml:space="preserve">Mirae Asset Midcap Fund Regular IDCW</t>
        </is>
      </c>
      <c r="C8432" t="inlineStr">
        <is>
          <t xml:space="preserve">INF769K01EX4</t>
        </is>
      </c>
    </row>
    <row r="8433">
      <c r="A8433" t="inlineStr">
        <is>
          <t xml:space="preserve">Mirae Asset Mutual Fund</t>
        </is>
      </c>
      <c r="B8433" t="inlineStr">
        <is>
          <t xml:space="preserve">Mirae Asset Midcap Fund- Direct Growth Option</t>
        </is>
      </c>
      <c r="C8433" t="inlineStr">
        <is>
          <t xml:space="preserve">INF769K01FA9</t>
        </is>
      </c>
    </row>
    <row r="8434">
      <c r="A8434" t="inlineStr">
        <is>
          <t xml:space="preserve">Mirae Asset Mutual Fund</t>
        </is>
      </c>
      <c r="B8434" t="inlineStr">
        <is>
          <t xml:space="preserve">Mirae Asset Money Market Fund - Direct Plan - Weekly IDCW</t>
        </is>
      </c>
      <c r="C8434" t="inlineStr">
        <is>
          <t xml:space="preserve">INF769K01RA4</t>
        </is>
      </c>
    </row>
    <row r="8435">
      <c r="A8435" t="inlineStr">
        <is>
          <t xml:space="preserve">Mirae Asset Mutual Fund</t>
        </is>
      </c>
      <c r="B8435" t="inlineStr">
        <is>
          <t xml:space="preserve">Mirae Asset Money Market Fund Direct Growth</t>
        </is>
      </c>
      <c r="C8435" t="inlineStr">
        <is>
          <t xml:space="preserve">INF769K01HN8</t>
        </is>
      </c>
    </row>
    <row r="8436">
      <c r="A8436" t="inlineStr">
        <is>
          <t xml:space="preserve">Mirae Asset Mutual Fund</t>
        </is>
      </c>
      <c r="B8436" t="inlineStr">
        <is>
          <t xml:space="preserve">Mirae Asset Money Market Fund Direct IDCW</t>
        </is>
      </c>
      <c r="C8436" t="inlineStr">
        <is>
          <t xml:space="preserve">INF769K01HM0</t>
        </is>
      </c>
    </row>
    <row r="8437">
      <c r="A8437" t="inlineStr">
        <is>
          <t xml:space="preserve">Mirae Asset Mutual Fund</t>
        </is>
      </c>
      <c r="B8437" t="inlineStr">
        <is>
          <t xml:space="preserve">Mirae Asset Money Market Fund Regular Growth</t>
        </is>
      </c>
      <c r="C8437" t="inlineStr">
        <is>
          <t xml:space="preserve">INF769K01HK4</t>
        </is>
      </c>
    </row>
    <row r="8438">
      <c r="A8438" t="inlineStr">
        <is>
          <t xml:space="preserve">Mirae Asset Mutual Fund</t>
        </is>
      </c>
      <c r="B8438" t="inlineStr">
        <is>
          <t xml:space="preserve">Mirae Asset Money Market Fund Regular IDCW</t>
        </is>
      </c>
      <c r="C8438" t="inlineStr">
        <is>
          <t xml:space="preserve">INF769K01HJ6</t>
        </is>
      </c>
    </row>
    <row r="8439">
      <c r="A8439" t="inlineStr">
        <is>
          <t xml:space="preserve">Mirae Asset Mutual Fund</t>
        </is>
      </c>
      <c r="B8439" t="inlineStr">
        <is>
          <t xml:space="preserve">Mirae Asset Multi Asset Allocation Fund - Direct Plan - Growth</t>
        </is>
      </c>
      <c r="C8439" t="inlineStr">
        <is>
          <t xml:space="preserve">INF769K01KZ6</t>
        </is>
      </c>
    </row>
    <row r="8440">
      <c r="A8440" t="inlineStr">
        <is>
          <t xml:space="preserve">Mirae Asset Mutual Fund</t>
        </is>
      </c>
      <c r="B8440" t="inlineStr">
        <is>
          <t xml:space="preserve">Mirae Asset Multi Asset Allocation Fund - Direct Plan - IDCW</t>
        </is>
      </c>
      <c r="C8440" t="inlineStr">
        <is>
          <t xml:space="preserve">INF769K01LA7</t>
        </is>
      </c>
    </row>
    <row r="8441">
      <c r="A8441" t="inlineStr">
        <is>
          <t xml:space="preserve">Mirae Asset Mutual Fund</t>
        </is>
      </c>
      <c r="B8441" t="inlineStr">
        <is>
          <t xml:space="preserve">Mirae Asset Multi Asset Allocation Fund - Regular Plan - Growth</t>
        </is>
      </c>
      <c r="C8441" t="inlineStr">
        <is>
          <t xml:space="preserve">INF769K01KW3</t>
        </is>
      </c>
    </row>
    <row r="8442">
      <c r="A8442" t="inlineStr">
        <is>
          <t xml:space="preserve">Mirae Asset Mutual Fund</t>
        </is>
      </c>
      <c r="B8442" t="inlineStr">
        <is>
          <t xml:space="preserve">Mirae Asset Multi Asset Allocation Fund - Regular Plan - IDCW</t>
        </is>
      </c>
      <c r="C8442" t="inlineStr">
        <is>
          <t xml:space="preserve">INF769K01KX1</t>
        </is>
      </c>
    </row>
    <row r="8443">
      <c r="A8443" t="inlineStr">
        <is>
          <t xml:space="preserve">Mirae Asset Mutual Fund</t>
        </is>
      </c>
      <c r="B8443" t="inlineStr">
        <is>
          <t xml:space="preserve">Mirae Asset Multi Factor Passive FOF - Direct Plan - Growth</t>
        </is>
      </c>
      <c r="C8443" t="inlineStr">
        <is>
          <t xml:space="preserve">INF769K01PH3</t>
        </is>
      </c>
    </row>
    <row r="8444">
      <c r="A8444" t="inlineStr">
        <is>
          <t xml:space="preserve">Mirae Asset Mutual Fund</t>
        </is>
      </c>
      <c r="B8444" t="inlineStr">
        <is>
          <t xml:space="preserve">Mirae Asset Multi Factor Passive FOF - Direct Plan - IDCW</t>
        </is>
      </c>
      <c r="C8444" t="inlineStr">
        <is>
          <t xml:space="preserve">INF769K01PJ9</t>
        </is>
      </c>
    </row>
    <row r="8445">
      <c r="A8445" t="inlineStr">
        <is>
          <t xml:space="preserve">Mirae Asset Mutual Fund</t>
        </is>
      </c>
      <c r="B8445" t="inlineStr">
        <is>
          <t xml:space="preserve">Mirae Asset Multi Factor Passive FOF - Regular Plan - Growth</t>
        </is>
      </c>
      <c r="C8445" t="inlineStr">
        <is>
          <t xml:space="preserve">INF769K01PE0</t>
        </is>
      </c>
    </row>
    <row r="8446">
      <c r="A8446" t="inlineStr">
        <is>
          <t xml:space="preserve">Mirae Asset Mutual Fund</t>
        </is>
      </c>
      <c r="B8446" t="inlineStr">
        <is>
          <t xml:space="preserve">Mirae Asset Multi Factor Passive FOF - Regular Plan - IDCW</t>
        </is>
      </c>
      <c r="C8446" t="inlineStr">
        <is>
          <t xml:space="preserve">INF769K01PG5</t>
        </is>
      </c>
    </row>
    <row r="8447">
      <c r="A8447" t="inlineStr">
        <is>
          <t xml:space="preserve">Mirae Asset Mutual Fund</t>
        </is>
      </c>
      <c r="B8447" t="inlineStr">
        <is>
          <t xml:space="preserve">Mirae Asset Multicap Fund - Direct Plan - Growth</t>
        </is>
      </c>
      <c r="C8447" t="inlineStr">
        <is>
          <t xml:space="preserve">INF769K01KK8</t>
        </is>
      </c>
    </row>
    <row r="8448">
      <c r="A8448" t="inlineStr">
        <is>
          <t xml:space="preserve">Mirae Asset Mutual Fund</t>
        </is>
      </c>
      <c r="B8448" t="inlineStr">
        <is>
          <t xml:space="preserve">Mirae Asset Multicap Fund - Direct Plan - IDCW</t>
        </is>
      </c>
      <c r="C8448" t="inlineStr">
        <is>
          <t xml:space="preserve">INF769K01KL6</t>
        </is>
      </c>
    </row>
    <row r="8449">
      <c r="A8449" t="inlineStr">
        <is>
          <t xml:space="preserve">Mirae Asset Mutual Fund</t>
        </is>
      </c>
      <c r="B8449" t="inlineStr">
        <is>
          <t xml:space="preserve">Mirae Asset Multicap Fund - Regular Plan - Growth</t>
        </is>
      </c>
      <c r="C8449" t="inlineStr">
        <is>
          <t xml:space="preserve">INF769K01KH4</t>
        </is>
      </c>
    </row>
    <row r="8450">
      <c r="A8450" t="inlineStr">
        <is>
          <t xml:space="preserve">Mirae Asset Mutual Fund</t>
        </is>
      </c>
      <c r="B8450" t="inlineStr">
        <is>
          <t xml:space="preserve">Mirae Asset Multicap Fund - Regular Plan - IDCW</t>
        </is>
      </c>
      <c r="C8450" t="inlineStr">
        <is>
          <t xml:space="preserve">INF769K01KI2</t>
        </is>
      </c>
    </row>
    <row r="8451">
      <c r="A8451" t="inlineStr">
        <is>
          <t xml:space="preserve">Mirae Asset Mutual Fund</t>
        </is>
      </c>
      <c r="B8451" t="inlineStr">
        <is>
          <t xml:space="preserve">Mirae Asset Nifty 100 ESG Sector Leaders ETF</t>
        </is>
      </c>
      <c r="C8451" t="inlineStr">
        <is>
          <t xml:space="preserve">INF769K01GS9</t>
        </is>
      </c>
    </row>
    <row r="8452">
      <c r="A8452" t="inlineStr">
        <is>
          <t xml:space="preserve">Mirae Asset Mutual Fund</t>
        </is>
      </c>
      <c r="B8452" t="inlineStr">
        <is>
          <t xml:space="preserve">Mirae Asset Nifty 100 ESG Sector Leaders Fund  of Fund Direct IDCW</t>
        </is>
      </c>
      <c r="C8452" t="inlineStr">
        <is>
          <t xml:space="preserve">INF769K01GP5</t>
        </is>
      </c>
    </row>
    <row r="8453">
      <c r="A8453" t="inlineStr">
        <is>
          <t xml:space="preserve">Mirae Asset Mutual Fund</t>
        </is>
      </c>
      <c r="B8453" t="inlineStr">
        <is>
          <t xml:space="preserve">Mirae Asset Nifty 100 ESG Sector Leaders Fund  of Fund Regular IDCW</t>
        </is>
      </c>
      <c r="C8453" t="inlineStr">
        <is>
          <t xml:space="preserve">INF769K01GM2</t>
        </is>
      </c>
    </row>
    <row r="8454">
      <c r="A8454" t="inlineStr">
        <is>
          <t xml:space="preserve">Mirae Asset Mutual Fund</t>
        </is>
      </c>
      <c r="B8454" t="inlineStr">
        <is>
          <t xml:space="preserve">Mirae Asset Nifty 100 ESG Sector Leaders Fund of Fund Direct Growth</t>
        </is>
      </c>
      <c r="C8454" t="inlineStr">
        <is>
          <t xml:space="preserve">INF769K01GQ3</t>
        </is>
      </c>
    </row>
    <row r="8455">
      <c r="A8455" t="inlineStr">
        <is>
          <t xml:space="preserve">Mirae Asset Mutual Fund</t>
        </is>
      </c>
      <c r="B8455" t="inlineStr">
        <is>
          <t xml:space="preserve">Mirae Asset Nifty 100 ESG Sector Leaders Fund of Fund Regular Growth</t>
        </is>
      </c>
      <c r="C8455" t="inlineStr">
        <is>
          <t xml:space="preserve">INF769K01GN0</t>
        </is>
      </c>
    </row>
    <row r="8456">
      <c r="A8456" t="inlineStr">
        <is>
          <t xml:space="preserve">Mirae Asset Mutual Fund</t>
        </is>
      </c>
      <c r="B8456" t="inlineStr">
        <is>
          <t xml:space="preserve">Mirae Asset Nifty 100 Low Volatility 30 ETF</t>
        </is>
      </c>
      <c r="C8456" t="inlineStr">
        <is>
          <t xml:space="preserve">INF769K01JU9</t>
        </is>
      </c>
    </row>
    <row r="8457">
      <c r="A8457" t="inlineStr">
        <is>
          <t xml:space="preserve">Mirae Asset Mutual Fund</t>
        </is>
      </c>
      <c r="B8457" t="inlineStr">
        <is>
          <t xml:space="preserve">Mirae Asset Nifty 1D Rate Liquid ETF - Growth</t>
        </is>
      </c>
      <c r="C8457" t="inlineStr">
        <is>
          <t xml:space="preserve">INF769K01MY5</t>
        </is>
      </c>
    </row>
    <row r="8458">
      <c r="A8458" t="inlineStr">
        <is>
          <t xml:space="preserve">Mirae Asset Mutual Fund</t>
        </is>
      </c>
      <c r="B8458" t="inlineStr">
        <is>
          <t xml:space="preserve">Mirae Asset Nifty 1D Rate Liquid ETF-IDCW</t>
        </is>
      </c>
      <c r="C8458" t="inlineStr">
        <is>
          <t xml:space="preserve">INF769K01KS1</t>
        </is>
      </c>
    </row>
    <row r="8459">
      <c r="A8459" t="inlineStr">
        <is>
          <t xml:space="preserve">Mirae Asset Mutual Fund</t>
        </is>
      </c>
      <c r="B8459" t="inlineStr">
        <is>
          <t xml:space="preserve">Mirae Asset Nifty 200 Alpha 30 ETF</t>
        </is>
      </c>
      <c r="C8459" t="inlineStr">
        <is>
          <t xml:space="preserve">INF769K01KU7</t>
        </is>
      </c>
    </row>
    <row r="8460">
      <c r="A8460" t="inlineStr">
        <is>
          <t xml:space="preserve">Mirae Asset Mutual Fund</t>
        </is>
      </c>
      <c r="B8460" t="inlineStr">
        <is>
          <t xml:space="preserve">Mirae Asset Nifty 50 Equal Weight ETF</t>
        </is>
      </c>
      <c r="C8460" t="inlineStr">
        <is>
          <t xml:space="preserve">INF769K01OO2</t>
        </is>
      </c>
    </row>
    <row r="8461">
      <c r="A8461" t="inlineStr">
        <is>
          <t xml:space="preserve">Mirae Asset Mutual Fund</t>
        </is>
      </c>
      <c r="B8461" t="inlineStr">
        <is>
          <t xml:space="preserve">Mirae Asset Nifty 50 ETF</t>
        </is>
      </c>
      <c r="C8461" t="inlineStr">
        <is>
          <t xml:space="preserve">INF769K01EG9</t>
        </is>
      </c>
    </row>
    <row r="8462">
      <c r="A8462" t="inlineStr">
        <is>
          <t xml:space="preserve">Mirae Asset Mutual Fund</t>
        </is>
      </c>
      <c r="B8462" t="inlineStr">
        <is>
          <t xml:space="preserve">Mirae Asset Nifty 50 Index Fund - Direct Plan - Growth</t>
        </is>
      </c>
      <c r="C8462" t="inlineStr">
        <is>
          <t xml:space="preserve">INF769K01MQ1</t>
        </is>
      </c>
    </row>
    <row r="8463">
      <c r="A8463" t="inlineStr">
        <is>
          <t xml:space="preserve">Mirae Asset Mutual Fund</t>
        </is>
      </c>
      <c r="B8463" t="inlineStr">
        <is>
          <t xml:space="preserve">Mirae Asset Nifty 50 Index Fund - Direct Plan - IDCW</t>
        </is>
      </c>
      <c r="C8463" t="inlineStr">
        <is>
          <t xml:space="preserve">INF769K01MN8</t>
        </is>
      </c>
    </row>
    <row r="8464">
      <c r="A8464" t="inlineStr">
        <is>
          <t xml:space="preserve">Mirae Asset Mutual Fund</t>
        </is>
      </c>
      <c r="B8464" t="inlineStr">
        <is>
          <t xml:space="preserve">Mirae Asset Nifty 50 Index Fund - Regular Plan - Growth</t>
        </is>
      </c>
      <c r="C8464" t="inlineStr">
        <is>
          <t xml:space="preserve">INF769K01MO6</t>
        </is>
      </c>
    </row>
    <row r="8465">
      <c r="A8465" t="inlineStr">
        <is>
          <t xml:space="preserve">Mirae Asset Mutual Fund</t>
        </is>
      </c>
      <c r="B8465" t="inlineStr">
        <is>
          <t xml:space="preserve">Mirae Asset Nifty 50 Index Fund - Regular Plan - IDCW</t>
        </is>
      </c>
      <c r="C8465" t="inlineStr">
        <is>
          <t xml:space="preserve">INF769K01MP3</t>
        </is>
      </c>
    </row>
    <row r="8466">
      <c r="A8466" t="inlineStr">
        <is>
          <t xml:space="preserve">Mirae Asset Mutual Fund</t>
        </is>
      </c>
      <c r="B8466" t="inlineStr">
        <is>
          <t xml:space="preserve">Mirae Asset Nifty 500 Healthcare ETF</t>
        </is>
      </c>
      <c r="C8466" t="inlineStr">
        <is>
          <t xml:space="preserve">INF769K01QA6</t>
        </is>
      </c>
    </row>
    <row r="8467">
      <c r="A8467" t="inlineStr">
        <is>
          <t xml:space="preserve">Mirae Asset Mutual Fund</t>
        </is>
      </c>
      <c r="B8467" t="inlineStr">
        <is>
          <t xml:space="preserve">Mirae Asset Nifty 500 Value 50 ETF</t>
        </is>
      </c>
      <c r="C8467" t="inlineStr">
        <is>
          <t xml:space="preserve">INF769K01QV2</t>
        </is>
      </c>
    </row>
    <row r="8468">
      <c r="A8468" t="inlineStr">
        <is>
          <t xml:space="preserve">Mirae Asset Mutual Fund</t>
        </is>
      </c>
      <c r="B8468" t="inlineStr">
        <is>
          <t xml:space="preserve">Mirae Asset Nifty 8-13 yr Gsec ETF</t>
        </is>
      </c>
      <c r="C8468" t="inlineStr">
        <is>
          <t xml:space="preserve">INF769K01KF8</t>
        </is>
      </c>
    </row>
    <row r="8469">
      <c r="A8469" t="inlineStr">
        <is>
          <t xml:space="preserve">Mirae Asset Mutual Fund</t>
        </is>
      </c>
      <c r="B8469" t="inlineStr">
        <is>
          <t xml:space="preserve">Mirae Asset Nifty Bank ETF</t>
        </is>
      </c>
      <c r="C8469" t="inlineStr">
        <is>
          <t xml:space="preserve">INF769K01KR3</t>
        </is>
      </c>
    </row>
    <row r="8470">
      <c r="A8470" t="inlineStr">
        <is>
          <t xml:space="preserve">Mirae Asset Mutual Fund</t>
        </is>
      </c>
      <c r="B8470" t="inlineStr">
        <is>
          <t xml:space="preserve">Mirae Asset Nifty Energy ETF</t>
        </is>
      </c>
      <c r="C8470" t="inlineStr">
        <is>
          <t xml:space="preserve">INF769K01PR2</t>
        </is>
      </c>
    </row>
    <row r="8471">
      <c r="A8471" t="inlineStr">
        <is>
          <t xml:space="preserve">Mirae Asset Mutual Fund</t>
        </is>
      </c>
      <c r="B8471" t="inlineStr">
        <is>
          <t xml:space="preserve">Mirae Asset Nifty EV and New Age Automotive ETF</t>
        </is>
      </c>
      <c r="C8471" t="inlineStr">
        <is>
          <t xml:space="preserve">INF769K01LQ3</t>
        </is>
      </c>
    </row>
    <row r="8472">
      <c r="A8472" t="inlineStr">
        <is>
          <t xml:space="preserve">Mirae Asset Mutual Fund</t>
        </is>
      </c>
      <c r="B8472" t="inlineStr">
        <is>
          <t xml:space="preserve">Mirae Asset Nifty Financial Services ETF</t>
        </is>
      </c>
      <c r="C8472" t="inlineStr">
        <is>
          <t xml:space="preserve">INF769K01HI8</t>
        </is>
      </c>
    </row>
    <row r="8473">
      <c r="A8473" t="inlineStr">
        <is>
          <t xml:space="preserve">Mirae Asset Mutual Fund</t>
        </is>
      </c>
      <c r="B8473" t="inlineStr">
        <is>
          <t xml:space="preserve">Mirae Asset Nifty India Infrastructure &amp; Logistics ETF</t>
        </is>
      </c>
      <c r="C8473" t="inlineStr">
        <is>
          <t xml:space="preserve">INF769K01QB4</t>
        </is>
      </c>
    </row>
    <row r="8474">
      <c r="A8474" t="inlineStr">
        <is>
          <t xml:space="preserve">Mirae Asset Mutual Fund</t>
        </is>
      </c>
      <c r="B8474" t="inlineStr">
        <is>
          <t xml:space="preserve">Mirae Asset Nifty India Internet ETF</t>
        </is>
      </c>
      <c r="C8474" t="inlineStr">
        <is>
          <t xml:space="preserve">INF769K01PB6</t>
        </is>
      </c>
    </row>
    <row r="8475">
      <c r="A8475" t="inlineStr">
        <is>
          <t xml:space="preserve">Mirae Asset Mutual Fund</t>
        </is>
      </c>
      <c r="B8475" t="inlineStr">
        <is>
          <t xml:space="preserve">Mirae Asset Nifty India Manufacturing ETF</t>
        </is>
      </c>
      <c r="C8475" t="inlineStr">
        <is>
          <t xml:space="preserve">INF769K01IB1</t>
        </is>
      </c>
    </row>
    <row r="8476">
      <c r="A8476" t="inlineStr">
        <is>
          <t xml:space="preserve">Mirae Asset Mutual Fund</t>
        </is>
      </c>
      <c r="B8476" t="inlineStr">
        <is>
          <t xml:space="preserve">Mirae Asset Nifty India Manufacturing ETF FOF - Direct Plan - Growth</t>
        </is>
      </c>
      <c r="C8476" t="inlineStr">
        <is>
          <t xml:space="preserve">INF769K01HZ2</t>
        </is>
      </c>
    </row>
    <row r="8477">
      <c r="A8477" t="inlineStr">
        <is>
          <t xml:space="preserve">Mirae Asset Mutual Fund</t>
        </is>
      </c>
      <c r="B8477" t="inlineStr">
        <is>
          <t xml:space="preserve">Mirae Asset Nifty India Manufacturing ETF FOF - Direct Plan- IDCW</t>
        </is>
      </c>
      <c r="C8477" t="inlineStr">
        <is>
          <t xml:space="preserve">INF769K01HY5</t>
        </is>
      </c>
    </row>
    <row r="8478">
      <c r="A8478" t="inlineStr">
        <is>
          <t xml:space="preserve">Mirae Asset Mutual Fund</t>
        </is>
      </c>
      <c r="B8478" t="inlineStr">
        <is>
          <t xml:space="preserve">Mirae Asset Nifty India Manufacturing ETF FOF - Regular Plan - Growth</t>
        </is>
      </c>
      <c r="C8478" t="inlineStr">
        <is>
          <t xml:space="preserve">INF769K01HW9</t>
        </is>
      </c>
    </row>
    <row r="8479">
      <c r="A8479" t="inlineStr">
        <is>
          <t xml:space="preserve">Mirae Asset Mutual Fund</t>
        </is>
      </c>
      <c r="B8479" t="inlineStr">
        <is>
          <t xml:space="preserve">Mirae Asset Nifty India Manufacturing ETF FOF - Regular Plan - IDCW</t>
        </is>
      </c>
      <c r="C8479" t="inlineStr">
        <is>
          <t xml:space="preserve">INF769K01HV1</t>
        </is>
      </c>
    </row>
    <row r="8480">
      <c r="A8480" t="inlineStr">
        <is>
          <t xml:space="preserve">Mirae Asset Mutual Fund</t>
        </is>
      </c>
      <c r="B8480" t="inlineStr">
        <is>
          <t xml:space="preserve">Mirae Asset Nifty India New Age Consumption ETF</t>
        </is>
      </c>
      <c r="C8480" t="inlineStr">
        <is>
          <t xml:space="preserve">INF769K01NS5</t>
        </is>
      </c>
    </row>
    <row r="8481">
      <c r="A8481" t="inlineStr">
        <is>
          <t xml:space="preserve">Mirae Asset Mutual Fund</t>
        </is>
      </c>
      <c r="B8481" t="inlineStr">
        <is>
          <t xml:space="preserve">Mirae Asset Nifty India New Age Consumption ETF Fund of Fund - Direct Plan - Growth</t>
        </is>
      </c>
      <c r="C8481" t="inlineStr">
        <is>
          <t xml:space="preserve">INF769K01NP1</t>
        </is>
      </c>
    </row>
    <row r="8482">
      <c r="A8482" t="inlineStr">
        <is>
          <t xml:space="preserve">Mirae Asset Mutual Fund</t>
        </is>
      </c>
      <c r="B8482" t="inlineStr">
        <is>
          <t xml:space="preserve">Mirae Asset Nifty India New Age Consumption ETF Fund of Fund - Direct Plan - IDCW</t>
        </is>
      </c>
      <c r="C8482" t="inlineStr">
        <is>
          <t xml:space="preserve">INF769K01NR7</t>
        </is>
      </c>
    </row>
    <row r="8483">
      <c r="A8483" t="inlineStr">
        <is>
          <t xml:space="preserve">Mirae Asset Mutual Fund</t>
        </is>
      </c>
      <c r="B8483" t="inlineStr">
        <is>
          <t xml:space="preserve">Mirae Asset Nifty India New Age Consumption ETF Fund of Fund - Regular Plan - Growth</t>
        </is>
      </c>
      <c r="C8483" t="inlineStr">
        <is>
          <t xml:space="preserve">INF769K01NM8</t>
        </is>
      </c>
    </row>
    <row r="8484">
      <c r="A8484" t="inlineStr">
        <is>
          <t xml:space="preserve">Mirae Asset Mutual Fund</t>
        </is>
      </c>
      <c r="B8484" t="inlineStr">
        <is>
          <t xml:space="preserve">Mirae Asset Nifty India New Age Consumption ETF Fund of Fund - Regular Plan - IDCW</t>
        </is>
      </c>
      <c r="C8484" t="inlineStr">
        <is>
          <t xml:space="preserve">INF769K01NO4</t>
        </is>
      </c>
    </row>
    <row r="8485">
      <c r="A8485" t="inlineStr">
        <is>
          <t xml:space="preserve">Mirae Asset Mutual Fund</t>
        </is>
      </c>
      <c r="B8485" t="inlineStr">
        <is>
          <t xml:space="preserve">Mirae Asset Nifty IT ETF</t>
        </is>
      </c>
      <c r="C8485" t="inlineStr">
        <is>
          <t xml:space="preserve">INF769K01KV5</t>
        </is>
      </c>
    </row>
    <row r="8486">
      <c r="A8486" t="inlineStr">
        <is>
          <t xml:space="preserve">Mirae Asset Mutual Fund</t>
        </is>
      </c>
      <c r="B8486" t="inlineStr">
        <is>
          <t xml:space="preserve">Mirae Asset Nifty LargeMidcap 250 Index Fund - Direct Plan - Growth</t>
        </is>
      </c>
      <c r="C8486" t="inlineStr">
        <is>
          <t xml:space="preserve">INF769K01MJ6</t>
        </is>
      </c>
    </row>
    <row r="8487">
      <c r="A8487" t="inlineStr">
        <is>
          <t xml:space="preserve">Mirae Asset Mutual Fund</t>
        </is>
      </c>
      <c r="B8487" t="inlineStr">
        <is>
          <t xml:space="preserve">Mirae Asset Nifty LargeMidcap 250 Index Fund - Direct Plan - IDCW</t>
        </is>
      </c>
      <c r="C8487" t="inlineStr">
        <is>
          <t xml:space="preserve">INF769K01ML2</t>
        </is>
      </c>
    </row>
    <row r="8488">
      <c r="A8488" t="inlineStr">
        <is>
          <t xml:space="preserve">Mirae Asset Mutual Fund</t>
        </is>
      </c>
      <c r="B8488" t="inlineStr">
        <is>
          <t xml:space="preserve">Mirae Asset Nifty LargeMidcap 250 Index Fund - Regular Plan - Growth</t>
        </is>
      </c>
      <c r="C8488" t="inlineStr">
        <is>
          <t xml:space="preserve">INF769K01MG2</t>
        </is>
      </c>
    </row>
    <row r="8489">
      <c r="A8489" t="inlineStr">
        <is>
          <t xml:space="preserve">Mirae Asset Mutual Fund</t>
        </is>
      </c>
      <c r="B8489" t="inlineStr">
        <is>
          <t xml:space="preserve">Mirae Asset Nifty LargeMidcap 250 Index Fund - Regular Plan - IDCW</t>
        </is>
      </c>
      <c r="C8489" t="inlineStr">
        <is>
          <t xml:space="preserve">INF769K01MI8</t>
        </is>
      </c>
    </row>
    <row r="8490">
      <c r="A8490" t="inlineStr">
        <is>
          <t xml:space="preserve">Mirae Asset Mutual Fund</t>
        </is>
      </c>
      <c r="B8490" t="inlineStr">
        <is>
          <t xml:space="preserve">Mirae Asset Nifty Metal ETF</t>
        </is>
      </c>
      <c r="C8490" t="inlineStr">
        <is>
          <t xml:space="preserve">INF769K01LY7</t>
        </is>
      </c>
    </row>
    <row r="8491">
      <c r="A8491" t="inlineStr">
        <is>
          <t xml:space="preserve">Mirae Asset Mutual Fund</t>
        </is>
      </c>
      <c r="B8491" t="inlineStr">
        <is>
          <t xml:space="preserve">Mirae Asset Nifty Metal ETF FOF - Direct Plan - Growth</t>
        </is>
      </c>
      <c r="C8491" t="inlineStr">
        <is>
          <t xml:space="preserve">INF769K01QM1</t>
        </is>
      </c>
    </row>
    <row r="8492">
      <c r="A8492" t="inlineStr">
        <is>
          <t xml:space="preserve">Mirae Asset Mutual Fund</t>
        </is>
      </c>
      <c r="B8492" t="inlineStr">
        <is>
          <t xml:space="preserve">Mirae Asset Nifty Metal ETF FOF - Direct Plan - IDCW</t>
        </is>
      </c>
      <c r="C8492" t="inlineStr">
        <is>
          <t xml:space="preserve">INF769K01QO7</t>
        </is>
      </c>
    </row>
    <row r="8493">
      <c r="A8493" t="inlineStr">
        <is>
          <t xml:space="preserve">Mirae Asset Mutual Fund</t>
        </is>
      </c>
      <c r="B8493" t="inlineStr">
        <is>
          <t xml:space="preserve">Mirae Asset Nifty Metal ETF FOF - Regular Plan - Growth</t>
        </is>
      </c>
      <c r="C8493" t="inlineStr">
        <is>
          <t xml:space="preserve">INF769K01QJ7</t>
        </is>
      </c>
    </row>
    <row r="8494">
      <c r="A8494" t="inlineStr">
        <is>
          <t xml:space="preserve">Mirae Asset Mutual Fund</t>
        </is>
      </c>
      <c r="B8494" t="inlineStr">
        <is>
          <t xml:space="preserve">Mirae Asset Nifty Metal ETF FOF - Regular Plan - IDCW</t>
        </is>
      </c>
      <c r="C8494" t="inlineStr">
        <is>
          <t xml:space="preserve">INF769K01QL3</t>
        </is>
      </c>
    </row>
    <row r="8495">
      <c r="A8495" t="inlineStr">
        <is>
          <t xml:space="preserve">Mirae Asset Mutual Fund</t>
        </is>
      </c>
      <c r="B8495" t="inlineStr">
        <is>
          <t xml:space="preserve">Mirae Asset Nifty Midcap 150 ETF</t>
        </is>
      </c>
      <c r="C8495" t="inlineStr">
        <is>
          <t xml:space="preserve">INF769K01IC9</t>
        </is>
      </c>
    </row>
    <row r="8496">
      <c r="A8496" t="inlineStr">
        <is>
          <t xml:space="preserve">Mirae Asset Mutual Fund</t>
        </is>
      </c>
      <c r="B8496" t="inlineStr">
        <is>
          <t xml:space="preserve">Mirae Asset Nifty MidSmallcap400 Momentum Quality 100 ETF</t>
        </is>
      </c>
      <c r="C8496" t="inlineStr">
        <is>
          <t xml:space="preserve">INF769K01LJ8</t>
        </is>
      </c>
    </row>
    <row r="8497">
      <c r="A8497" t="inlineStr">
        <is>
          <t xml:space="preserve">Mirae Asset Mutual Fund</t>
        </is>
      </c>
      <c r="B8497" t="inlineStr">
        <is>
          <t xml:space="preserve">Mirae Asset Nifty MidSmallcap400 Momentum Quality 100 ETF Fund of Fund - Direct Plan - Growth</t>
        </is>
      </c>
      <c r="C8497" t="inlineStr">
        <is>
          <t xml:space="preserve">INF769K01LN0</t>
        </is>
      </c>
    </row>
    <row r="8498">
      <c r="A8498" t="inlineStr">
        <is>
          <t xml:space="preserve">Mirae Asset Mutual Fund</t>
        </is>
      </c>
      <c r="B8498" t="inlineStr">
        <is>
          <t xml:space="preserve">Mirae Asset Nifty MidSmallcap400 Momentum Quality 100 ETF Fund of Fund - Direct Plan - IDCW</t>
        </is>
      </c>
      <c r="C8498" t="inlineStr">
        <is>
          <t xml:space="preserve">INF769K01LO8</t>
        </is>
      </c>
    </row>
    <row r="8499">
      <c r="A8499" t="inlineStr">
        <is>
          <t xml:space="preserve">Mirae Asset Mutual Fund</t>
        </is>
      </c>
      <c r="B8499" t="inlineStr">
        <is>
          <t xml:space="preserve">Mirae Asset Nifty MidSmallcap400 Momentum Quality 100 ETF Fund of Fund - Regular Plan - Growth</t>
        </is>
      </c>
      <c r="C8499" t="inlineStr">
        <is>
          <t xml:space="preserve">INF769K01LK6</t>
        </is>
      </c>
    </row>
    <row r="8500">
      <c r="A8500" t="inlineStr">
        <is>
          <t xml:space="preserve">Mirae Asset Mutual Fund</t>
        </is>
      </c>
      <c r="B8500" t="inlineStr">
        <is>
          <t xml:space="preserve">Mirae Asset Nifty MidSmallcap400 Momentum Quality 100 ETF Fund of Fund - Regular Plan - IDCW</t>
        </is>
      </c>
      <c r="C8500" t="inlineStr">
        <is>
          <t xml:space="preserve">INF769K01LL4</t>
        </is>
      </c>
    </row>
    <row r="8501">
      <c r="A8501" t="inlineStr">
        <is>
          <t xml:space="preserve">Mirae Asset Mutual Fund</t>
        </is>
      </c>
      <c r="B8501" t="inlineStr">
        <is>
          <t xml:space="preserve">Mirae Asset Nifty Next 50 ETF</t>
        </is>
      </c>
      <c r="C8501" t="inlineStr">
        <is>
          <t xml:space="preserve">INF769K01FN2</t>
        </is>
      </c>
    </row>
    <row r="8502">
      <c r="A8502" t="inlineStr">
        <is>
          <t xml:space="preserve">Mirae Asset Mutual Fund</t>
        </is>
      </c>
      <c r="B8502" t="inlineStr">
        <is>
          <t xml:space="preserve">Mirae Asset Nifty PSU Bank ETF</t>
        </is>
      </c>
      <c r="C8502" t="inlineStr">
        <is>
          <t xml:space="preserve">INF769K01LZ4</t>
        </is>
      </c>
    </row>
    <row r="8503">
      <c r="A8503" t="inlineStr">
        <is>
          <t xml:space="preserve">Mirae Asset Mutual Fund</t>
        </is>
      </c>
      <c r="B8503" t="inlineStr">
        <is>
          <t xml:space="preserve">Mirae Asset Nifty SDL Jun 2027 Index Fund - Direct Plan - IDCW</t>
        </is>
      </c>
      <c r="C8503" t="inlineStr">
        <is>
          <t xml:space="preserve">INF769K01IG0</t>
        </is>
      </c>
    </row>
    <row r="8504">
      <c r="A8504" t="inlineStr">
        <is>
          <t xml:space="preserve">Mirae Asset Mutual Fund</t>
        </is>
      </c>
      <c r="B8504" t="inlineStr">
        <is>
          <t xml:space="preserve">Mirae Asset Nifty SDL Jun 2027 Index Fund - Regular Plan - Growth</t>
        </is>
      </c>
      <c r="C8504" t="inlineStr">
        <is>
          <t xml:space="preserve">INF769K01IE5</t>
        </is>
      </c>
    </row>
    <row r="8505">
      <c r="A8505" t="inlineStr">
        <is>
          <t xml:space="preserve">Mirae Asset Mutual Fund</t>
        </is>
      </c>
      <c r="B8505" t="inlineStr">
        <is>
          <t xml:space="preserve">Mirae Asset Nifty SDL Jun 2027 Index Fund - Regular Plan - IDCW</t>
        </is>
      </c>
      <c r="C8505" t="inlineStr">
        <is>
          <t xml:space="preserve">INF769K01ID7</t>
        </is>
      </c>
    </row>
    <row r="8506">
      <c r="A8506" t="inlineStr">
        <is>
          <t xml:space="preserve">Mirae Asset Mutual Fund</t>
        </is>
      </c>
      <c r="B8506" t="inlineStr">
        <is>
          <t xml:space="preserve">Mirae Asset Nifty SDL Jun 2027 Index Fund -Direct Plan - Growth</t>
        </is>
      </c>
      <c r="C8506" t="inlineStr">
        <is>
          <t xml:space="preserve">INF769K01IH8</t>
        </is>
      </c>
    </row>
    <row r="8507">
      <c r="A8507" t="inlineStr">
        <is>
          <t xml:space="preserve">Mirae Asset Mutual Fund</t>
        </is>
      </c>
      <c r="B8507" t="inlineStr">
        <is>
          <t xml:space="preserve">Mirae Asset Nifty SDL June 2028 Index Fund - Direct Plan - Growth</t>
        </is>
      </c>
      <c r="C8507" t="inlineStr">
        <is>
          <t xml:space="preserve">INF769K01JZ8</t>
        </is>
      </c>
    </row>
    <row r="8508">
      <c r="A8508" t="inlineStr">
        <is>
          <t xml:space="preserve">Mirae Asset Mutual Fund</t>
        </is>
      </c>
      <c r="B8508" t="inlineStr">
        <is>
          <t xml:space="preserve">Mirae Asset Nifty SDL June 2028 Index Fund - Direct Plan - IDCW</t>
        </is>
      </c>
      <c r="C8508" t="inlineStr">
        <is>
          <t xml:space="preserve">INF769K01JY1</t>
        </is>
      </c>
    </row>
    <row r="8509">
      <c r="A8509" t="inlineStr">
        <is>
          <t xml:space="preserve">Mirae Asset Mutual Fund</t>
        </is>
      </c>
      <c r="B8509" t="inlineStr">
        <is>
          <t xml:space="preserve">Mirae Asset Nifty SDL June 2028 Index Fund - Regular Plan - IDCW</t>
        </is>
      </c>
      <c r="C8509" t="inlineStr">
        <is>
          <t xml:space="preserve">INF769K01JV7</t>
        </is>
      </c>
    </row>
    <row r="8510">
      <c r="A8510" t="inlineStr">
        <is>
          <t xml:space="preserve">Mirae Asset Mutual Fund</t>
        </is>
      </c>
      <c r="B8510" t="inlineStr">
        <is>
          <t xml:space="preserve">Mirae Asset Nifty SDL June 2028 Index Fund -Regular Plan - Growth</t>
        </is>
      </c>
      <c r="C8510" t="inlineStr">
        <is>
          <t xml:space="preserve">INF769K01JW5</t>
        </is>
      </c>
    </row>
    <row r="8511">
      <c r="A8511" t="inlineStr">
        <is>
          <t xml:space="preserve">Mirae Asset Mutual Fund</t>
        </is>
      </c>
      <c r="B8511" t="inlineStr">
        <is>
          <t xml:space="preserve">Mirae Asset Nifty Smallcap 250 ETF</t>
        </is>
      </c>
      <c r="C8511" t="inlineStr">
        <is>
          <t xml:space="preserve">INF769K01PQ4</t>
        </is>
      </c>
    </row>
    <row r="8512">
      <c r="A8512" t="inlineStr">
        <is>
          <t xml:space="preserve">Mirae Asset Mutual Fund</t>
        </is>
      </c>
      <c r="B8512" t="inlineStr">
        <is>
          <t xml:space="preserve">Mirae Asset Nifty Smallcap 250 Momentum Quality 100 ETF</t>
        </is>
      </c>
      <c r="C8512" t="inlineStr">
        <is>
          <t xml:space="preserve">INF769K01LC3</t>
        </is>
      </c>
    </row>
    <row r="8513">
      <c r="A8513" t="inlineStr">
        <is>
          <t xml:space="preserve">Mirae Asset Mutual Fund</t>
        </is>
      </c>
      <c r="B8513" t="inlineStr">
        <is>
          <t xml:space="preserve">Mirae Asset Nifty Smallcap 250 Momentum Quality 100 ETF Fund of Fund - Direct Plan - Growth</t>
        </is>
      </c>
      <c r="C8513" t="inlineStr">
        <is>
          <t xml:space="preserve">INF769K01LG4</t>
        </is>
      </c>
    </row>
    <row r="8514">
      <c r="A8514" t="inlineStr">
        <is>
          <t xml:space="preserve">Mirae Asset Mutual Fund</t>
        </is>
      </c>
      <c r="B8514" t="inlineStr">
        <is>
          <t xml:space="preserve">Mirae Asset Nifty Smallcap 250 Momentum Quality 100 ETF Fund of Fund - Direct Plan - IDCW</t>
        </is>
      </c>
      <c r="C8514" t="inlineStr">
        <is>
          <t xml:space="preserve">INF769K01LH2</t>
        </is>
      </c>
    </row>
    <row r="8515">
      <c r="A8515" t="inlineStr">
        <is>
          <t xml:space="preserve">Mirae Asset Mutual Fund</t>
        </is>
      </c>
      <c r="B8515" t="inlineStr">
        <is>
          <t xml:space="preserve">Mirae Asset Nifty Smallcap 250 Momentum Quality 100 ETF Fund of Fund - Regular Plan - Growth</t>
        </is>
      </c>
      <c r="C8515" t="inlineStr">
        <is>
          <t xml:space="preserve">INF769K01LD1</t>
        </is>
      </c>
    </row>
    <row r="8516">
      <c r="A8516" t="inlineStr">
        <is>
          <t xml:space="preserve">Mirae Asset Mutual Fund</t>
        </is>
      </c>
      <c r="B8516" t="inlineStr">
        <is>
          <t xml:space="preserve">Mirae Asset Nifty Smallcap 250 Momentum Quality 100 ETF Fund of Fund - Regular Plan - IDCW</t>
        </is>
      </c>
      <c r="C8516" t="inlineStr">
        <is>
          <t xml:space="preserve">INF769K01LE9</t>
        </is>
      </c>
    </row>
    <row r="8517">
      <c r="A8517" t="inlineStr">
        <is>
          <t xml:space="preserve">Mirae Asset Mutual Fund</t>
        </is>
      </c>
      <c r="B8517" t="inlineStr">
        <is>
          <t xml:space="preserve">Mirae Asset Nifty Top 20 Equal Weight ETF</t>
        </is>
      </c>
      <c r="C8517" t="inlineStr">
        <is>
          <t xml:space="preserve">INF769K01PZ5</t>
        </is>
      </c>
    </row>
    <row r="8518">
      <c r="A8518" t="inlineStr">
        <is>
          <t xml:space="preserve">Mirae Asset Mutual Fund</t>
        </is>
      </c>
      <c r="B8518" t="inlineStr">
        <is>
          <t xml:space="preserve">Mirae Asset Nifty Total Market Index Fund - Direct Plan - Growth</t>
        </is>
      </c>
      <c r="C8518" t="inlineStr">
        <is>
          <t xml:space="preserve">INF769K01MD9</t>
        </is>
      </c>
    </row>
    <row r="8519">
      <c r="A8519" t="inlineStr">
        <is>
          <t xml:space="preserve">Mirae Asset Mutual Fund</t>
        </is>
      </c>
      <c r="B8519" t="inlineStr">
        <is>
          <t xml:space="preserve">Mirae Asset Nifty Total Market Index Fund - Direct Plan - IDCW</t>
        </is>
      </c>
      <c r="C8519" t="inlineStr">
        <is>
          <t xml:space="preserve">INF769K01ME7</t>
        </is>
      </c>
    </row>
    <row r="8520">
      <c r="A8520" t="inlineStr">
        <is>
          <t xml:space="preserve">Mirae Asset Mutual Fund</t>
        </is>
      </c>
      <c r="B8520" t="inlineStr">
        <is>
          <t xml:space="preserve">Mirae Asset Nifty Total Market Index Fund - Regular Plan - Growth</t>
        </is>
      </c>
      <c r="C8520" t="inlineStr">
        <is>
          <t xml:space="preserve">INF769K01MA5</t>
        </is>
      </c>
    </row>
    <row r="8521">
      <c r="A8521" t="inlineStr">
        <is>
          <t xml:space="preserve">Mirae Asset Mutual Fund</t>
        </is>
      </c>
      <c r="B8521" t="inlineStr">
        <is>
          <t xml:space="preserve">Mirae Asset Nifty Total Market Index Fund - Regular Plan - IDCW</t>
        </is>
      </c>
      <c r="C8521" t="inlineStr">
        <is>
          <t xml:space="preserve">INF769K01MB3</t>
        </is>
      </c>
    </row>
    <row r="8522">
      <c r="A8522" t="inlineStr">
        <is>
          <t xml:space="preserve">Mirae Asset Mutual Fund</t>
        </is>
      </c>
      <c r="B8522" t="inlineStr">
        <is>
          <t xml:space="preserve">Mirae Asset Nifty200 Alpha 30 ETF Fund of Fund - Direct Plan - Growth</t>
        </is>
      </c>
      <c r="C8522" t="inlineStr">
        <is>
          <t xml:space="preserve">INF769K01LU5</t>
        </is>
      </c>
    </row>
    <row r="8523">
      <c r="A8523" t="inlineStr">
        <is>
          <t xml:space="preserve">Mirae Asset Mutual Fund</t>
        </is>
      </c>
      <c r="B8523" t="inlineStr">
        <is>
          <t xml:space="preserve">Mirae Asset Nifty200 Alpha 30 ETF Fund of Fund - Direct Plan - IDCW</t>
        </is>
      </c>
      <c r="C8523" t="inlineStr">
        <is>
          <t xml:space="preserve">INF769K01LV3</t>
        </is>
      </c>
    </row>
    <row r="8524">
      <c r="A8524" t="inlineStr">
        <is>
          <t xml:space="preserve">Mirae Asset Mutual Fund</t>
        </is>
      </c>
      <c r="B8524" t="inlineStr">
        <is>
          <t xml:space="preserve">Mirae Asset Nifty200 Alpha 30 ETF Fund of Fund - Regular Plan - Growth</t>
        </is>
      </c>
      <c r="C8524" t="inlineStr">
        <is>
          <t xml:space="preserve">INF769K01LR1</t>
        </is>
      </c>
    </row>
    <row r="8525">
      <c r="A8525" t="inlineStr">
        <is>
          <t xml:space="preserve">Mirae Asset Mutual Fund</t>
        </is>
      </c>
      <c r="B8525" t="inlineStr">
        <is>
          <t xml:space="preserve">Mirae Asset Nifty200 Alpha 30 ETF Fund of Fund - Regular Plan - IDCW</t>
        </is>
      </c>
      <c r="C8525" t="inlineStr">
        <is>
          <t xml:space="preserve">INF769K01LS9</t>
        </is>
      </c>
    </row>
    <row r="8526">
      <c r="A8526" t="inlineStr">
        <is>
          <t xml:space="preserve">Mirae Asset Mutual Fund</t>
        </is>
      </c>
      <c r="B8526" t="inlineStr">
        <is>
          <t xml:space="preserve">Mirae Asset Nifty500 Multicap 50:25:25 ETF</t>
        </is>
      </c>
      <c r="C8526" t="inlineStr">
        <is>
          <t xml:space="preserve">INF769K01LX9</t>
        </is>
      </c>
    </row>
    <row r="8527">
      <c r="A8527" t="inlineStr">
        <is>
          <t xml:space="preserve">Mirae Asset Mutual Fund</t>
        </is>
      </c>
      <c r="B8527" t="inlineStr">
        <is>
          <t xml:space="preserve">Mirae Asset NYSE FANG + ETF</t>
        </is>
      </c>
      <c r="C8527" t="inlineStr">
        <is>
          <t xml:space="preserve">INF769K01HF4</t>
        </is>
      </c>
    </row>
    <row r="8528">
      <c r="A8528" t="inlineStr">
        <is>
          <t xml:space="preserve">Mirae Asset Mutual Fund</t>
        </is>
      </c>
      <c r="B8528" t="inlineStr">
        <is>
          <t xml:space="preserve">Mirae Asset NYSE FANG + ETF Fund of Fund Direct Growth</t>
        </is>
      </c>
      <c r="C8528" t="inlineStr">
        <is>
          <t xml:space="preserve">INF769K01HH0</t>
        </is>
      </c>
    </row>
    <row r="8529">
      <c r="A8529" t="inlineStr">
        <is>
          <t xml:space="preserve">Mirae Asset Mutual Fund</t>
        </is>
      </c>
      <c r="B8529" t="inlineStr">
        <is>
          <t xml:space="preserve">Mirae Asset NYSE FANG + ETF Fund of Fund Regular Growth</t>
        </is>
      </c>
      <c r="C8529" t="inlineStr">
        <is>
          <t xml:space="preserve">INF769K01HG2</t>
        </is>
      </c>
    </row>
    <row r="8530">
      <c r="A8530" t="inlineStr">
        <is>
          <t xml:space="preserve">Mirae Asset Mutual Fund</t>
        </is>
      </c>
      <c r="B8530" t="inlineStr">
        <is>
          <t xml:space="preserve">Mirae Asset Overnight Fund Direct Daily IDCW</t>
        </is>
      </c>
      <c r="C8530" t="inlineStr">
        <is>
          <t xml:space="preserve">INF769K01FJ0</t>
        </is>
      </c>
    </row>
    <row r="8531">
      <c r="A8531" t="inlineStr">
        <is>
          <t xml:space="preserve">Mirae Asset Mutual Fund</t>
        </is>
      </c>
      <c r="B8531" t="inlineStr">
        <is>
          <t xml:space="preserve">Mirae Asset Overnight Fund Direct Monthly IDCW</t>
        </is>
      </c>
      <c r="C8531" t="inlineStr">
        <is>
          <t xml:space="preserve">INF769K01FF8</t>
        </is>
      </c>
    </row>
    <row r="8532">
      <c r="A8532" t="inlineStr">
        <is>
          <t xml:space="preserve">Mirae Asset Mutual Fund</t>
        </is>
      </c>
      <c r="B8532" t="inlineStr">
        <is>
          <t xml:space="preserve">Mirae Asset Overnight Fund Direct Plan Growth</t>
        </is>
      </c>
      <c r="C8532" t="inlineStr">
        <is>
          <t xml:space="preserve">INF769K01FG6</t>
        </is>
      </c>
    </row>
    <row r="8533">
      <c r="A8533" t="inlineStr">
        <is>
          <t xml:space="preserve">Mirae Asset Mutual Fund</t>
        </is>
      </c>
      <c r="B8533" t="inlineStr">
        <is>
          <t xml:space="preserve">Mirae Asset Overnight Fund Direct Weekly IDCW</t>
        </is>
      </c>
      <c r="C8533" t="inlineStr">
        <is>
          <t xml:space="preserve">INF769K01FK8</t>
        </is>
      </c>
    </row>
    <row r="8534">
      <c r="A8534" t="inlineStr">
        <is>
          <t xml:space="preserve">Mirae Asset Mutual Fund</t>
        </is>
      </c>
      <c r="B8534" t="inlineStr">
        <is>
          <t xml:space="preserve">Mirae Asset Overnight Fund Regular Daily  IDCW</t>
        </is>
      </c>
      <c r="C8534" t="inlineStr">
        <is>
          <t xml:space="preserve">INF769K01FL6</t>
        </is>
      </c>
    </row>
    <row r="8535">
      <c r="A8535" t="inlineStr">
        <is>
          <t xml:space="preserve">Mirae Asset Mutual Fund</t>
        </is>
      </c>
      <c r="B8535" t="inlineStr">
        <is>
          <t xml:space="preserve">Mirae Asset Overnight Fund Regular Monthly IDCW</t>
        </is>
      </c>
      <c r="C8535" t="inlineStr">
        <is>
          <t xml:space="preserve">INF769K01FD3</t>
        </is>
      </c>
    </row>
    <row r="8536">
      <c r="A8536" t="inlineStr">
        <is>
          <t xml:space="preserve">Mirae Asset Mutual Fund</t>
        </is>
      </c>
      <c r="B8536" t="inlineStr">
        <is>
          <t xml:space="preserve">Mirae Asset Overnight Fund Regular Plan Growth</t>
        </is>
      </c>
      <c r="C8536" t="inlineStr">
        <is>
          <t xml:space="preserve">INF769K01FE1</t>
        </is>
      </c>
    </row>
    <row r="8537">
      <c r="A8537" t="inlineStr">
        <is>
          <t xml:space="preserve">Mirae Asset Mutual Fund</t>
        </is>
      </c>
      <c r="B8537" t="inlineStr">
        <is>
          <t xml:space="preserve">Mirae Asset Overnight Fund Regular Weekly IDCW</t>
        </is>
      </c>
      <c r="C8537" t="inlineStr">
        <is>
          <t xml:space="preserve">INF769K01FM4</t>
        </is>
      </c>
    </row>
    <row r="8538">
      <c r="A8538" t="inlineStr">
        <is>
          <t xml:space="preserve">Mirae Asset Mutual Fund</t>
        </is>
      </c>
      <c r="B8538" t="inlineStr">
        <is>
          <t xml:space="preserve">Mirae Asset S&amp;P 500 Top 50 ETF</t>
        </is>
      </c>
      <c r="C8538" t="inlineStr">
        <is>
          <t xml:space="preserve">INF769K01HP3</t>
        </is>
      </c>
    </row>
    <row r="8539">
      <c r="A8539" t="inlineStr">
        <is>
          <t xml:space="preserve">Mirae Asset Mutual Fund</t>
        </is>
      </c>
      <c r="B8539" t="inlineStr">
        <is>
          <t xml:space="preserve">Mirae Asset S&amp;P 500 Top 50 ETF Fund of Fund Direct Growth</t>
        </is>
      </c>
      <c r="C8539" t="inlineStr">
        <is>
          <t xml:space="preserve">INF769K01HR9</t>
        </is>
      </c>
    </row>
    <row r="8540">
      <c r="A8540" t="inlineStr">
        <is>
          <t xml:space="preserve">Mirae Asset Mutual Fund</t>
        </is>
      </c>
      <c r="B8540" t="inlineStr">
        <is>
          <t xml:space="preserve">Mirae Asset S&amp;P 500 Top 50 ETF Fund of Fund Regular Growth</t>
        </is>
      </c>
      <c r="C8540" t="inlineStr">
        <is>
          <t xml:space="preserve">INF769K01HQ1</t>
        </is>
      </c>
    </row>
    <row r="8541">
      <c r="A8541" t="inlineStr">
        <is>
          <t xml:space="preserve">Mirae Asset Mutual Fund</t>
        </is>
      </c>
      <c r="B8541" t="inlineStr">
        <is>
          <t xml:space="preserve">Mirae Asset Short Duration Fund - Direct Plan - Growth</t>
        </is>
      </c>
      <c r="C8541" t="inlineStr">
        <is>
          <t xml:space="preserve">INF769K01DX6</t>
        </is>
      </c>
    </row>
    <row r="8542">
      <c r="A8542" t="inlineStr">
        <is>
          <t xml:space="preserve">Mirae Asset Mutual Fund</t>
        </is>
      </c>
      <c r="B8542" t="inlineStr">
        <is>
          <t xml:space="preserve">Mirae Asset Short Duration Fund - Direct Plan - IDCW</t>
        </is>
      </c>
      <c r="C8542" t="inlineStr">
        <is>
          <t xml:space="preserve">INF769K01DY4</t>
        </is>
      </c>
    </row>
    <row r="8543">
      <c r="A8543" t="inlineStr">
        <is>
          <t xml:space="preserve">Mirae Asset Mutual Fund</t>
        </is>
      </c>
      <c r="B8543" t="inlineStr">
        <is>
          <t xml:space="preserve">Mirae Asset Short Duration Fund - Regular Plan - Growth</t>
        </is>
      </c>
      <c r="C8543" t="inlineStr">
        <is>
          <t xml:space="preserve">INF769K01DU2</t>
        </is>
      </c>
    </row>
    <row r="8544">
      <c r="A8544" t="inlineStr">
        <is>
          <t xml:space="preserve">Mirae Asset Mutual Fund</t>
        </is>
      </c>
      <c r="B8544" t="inlineStr">
        <is>
          <t xml:space="preserve">Mirae Asset Short Duration Fund - Regular Plan - IDCW</t>
        </is>
      </c>
      <c r="C8544" t="inlineStr">
        <is>
          <t xml:space="preserve">INF769K01DV0</t>
        </is>
      </c>
    </row>
    <row r="8545">
      <c r="A8545" t="inlineStr">
        <is>
          <t xml:space="preserve">Mirae Asset Mutual Fund</t>
        </is>
      </c>
      <c r="B8545" t="inlineStr">
        <is>
          <t xml:space="preserve">Mirae Asset Silver ETF</t>
        </is>
      </c>
      <c r="C8545" t="inlineStr">
        <is>
          <t xml:space="preserve">INF769K01KG6</t>
        </is>
      </c>
    </row>
    <row r="8546">
      <c r="A8546" t="inlineStr">
        <is>
          <t xml:space="preserve">Mirae Asset Mutual Fund</t>
        </is>
      </c>
      <c r="B8546" t="inlineStr">
        <is>
          <t xml:space="preserve">Mirae Asset Silver ETF FOF - Direct Plan - Growth</t>
        </is>
      </c>
      <c r="C8546" t="inlineStr">
        <is>
          <t xml:space="preserve">INF769K01QS8</t>
        </is>
      </c>
    </row>
    <row r="8547">
      <c r="A8547" t="inlineStr">
        <is>
          <t xml:space="preserve">Mirae Asset Mutual Fund</t>
        </is>
      </c>
      <c r="B8547" t="inlineStr">
        <is>
          <t xml:space="preserve">Mirae Asset Silver ETF FOF - Direct Plan - IDCW</t>
        </is>
      </c>
      <c r="C8547" t="inlineStr">
        <is>
          <t xml:space="preserve">INF769K01QT6</t>
        </is>
      </c>
    </row>
    <row r="8548">
      <c r="A8548" t="inlineStr">
        <is>
          <t xml:space="preserve">Mirae Asset Mutual Fund</t>
        </is>
      </c>
      <c r="B8548" t="inlineStr">
        <is>
          <t xml:space="preserve">Mirae Asset Silver ETF FOF - Regular Plan - Growth</t>
        </is>
      </c>
      <c r="C8548" t="inlineStr">
        <is>
          <t xml:space="preserve">INF769K01QP4</t>
        </is>
      </c>
    </row>
    <row r="8549">
      <c r="A8549" t="inlineStr">
        <is>
          <t xml:space="preserve">Mirae Asset Mutual Fund</t>
        </is>
      </c>
      <c r="B8549" t="inlineStr">
        <is>
          <t xml:space="preserve">Mirae Asset Silver ETF FOF - Regular Plan - IDCW</t>
        </is>
      </c>
      <c r="C8549" t="inlineStr">
        <is>
          <t xml:space="preserve">INF769K01QQ2</t>
        </is>
      </c>
    </row>
    <row r="8550">
      <c r="A8550" t="inlineStr">
        <is>
          <t xml:space="preserve">Mirae Asset Mutual Fund</t>
        </is>
      </c>
      <c r="B8550" t="inlineStr">
        <is>
          <t xml:space="preserve">Mirae Asset Small Cap Fund - Direct Plan - Growth</t>
        </is>
      </c>
      <c r="C8550" t="inlineStr">
        <is>
          <t xml:space="preserve">INF769K01NJ4</t>
        </is>
      </c>
    </row>
    <row r="8551">
      <c r="A8551" t="inlineStr">
        <is>
          <t xml:space="preserve">Mirae Asset Mutual Fund</t>
        </is>
      </c>
      <c r="B8551" t="inlineStr">
        <is>
          <t xml:space="preserve">Mirae Asset Small Cap Fund - Direct Plan - IDCW</t>
        </is>
      </c>
      <c r="C8551" t="inlineStr">
        <is>
          <t xml:space="preserve">INF769K01NL0</t>
        </is>
      </c>
    </row>
    <row r="8552">
      <c r="A8552" t="inlineStr">
        <is>
          <t xml:space="preserve">Mirae Asset Mutual Fund</t>
        </is>
      </c>
      <c r="B8552" t="inlineStr">
        <is>
          <t xml:space="preserve">Mirae Asset Small Cap Fund - Regular Plan - Growth</t>
        </is>
      </c>
      <c r="C8552" t="inlineStr">
        <is>
          <t xml:space="preserve">INF769K01NG0</t>
        </is>
      </c>
    </row>
    <row r="8553">
      <c r="A8553" t="inlineStr">
        <is>
          <t xml:space="preserve">Mirae Asset Mutual Fund</t>
        </is>
      </c>
      <c r="B8553" t="inlineStr">
        <is>
          <t xml:space="preserve">Mirae Asset Small Cap Fund - Regular Plan - IDCW</t>
        </is>
      </c>
      <c r="C8553" t="inlineStr">
        <is>
          <t xml:space="preserve">INF769K01NI6</t>
        </is>
      </c>
    </row>
    <row r="8554">
      <c r="A8554" t="inlineStr">
        <is>
          <t xml:space="preserve">Mirae Asset Mutual Fund</t>
        </is>
      </c>
      <c r="B8554" t="inlineStr">
        <is>
          <t xml:space="preserve">Mirae Asset Ultra Short Duration Fund Direct Growth</t>
        </is>
      </c>
      <c r="C8554" t="inlineStr">
        <is>
          <t xml:space="preserve">INF769K01GK6</t>
        </is>
      </c>
    </row>
    <row r="8555">
      <c r="A8555" t="inlineStr">
        <is>
          <t xml:space="preserve">Mirae Asset Mutual Fund</t>
        </is>
      </c>
      <c r="B8555" t="inlineStr">
        <is>
          <t xml:space="preserve">Mirae Asset Ultra Short Duration Fund Direct IDCW</t>
        </is>
      </c>
      <c r="C8555" t="inlineStr">
        <is>
          <t xml:space="preserve">INF769K01GJ8</t>
        </is>
      </c>
    </row>
    <row r="8556">
      <c r="A8556" t="inlineStr">
        <is>
          <t xml:space="preserve">Mirae Asset Mutual Fund</t>
        </is>
      </c>
      <c r="B8556" t="inlineStr">
        <is>
          <t xml:space="preserve">Mirae Asset Ultra Short Duration Fund Regular Growth</t>
        </is>
      </c>
      <c r="C8556" t="inlineStr">
        <is>
          <t xml:space="preserve">INF769K01GH2</t>
        </is>
      </c>
    </row>
    <row r="8557">
      <c r="A8557" t="inlineStr">
        <is>
          <t xml:space="preserve">Mirae Asset Mutual Fund</t>
        </is>
      </c>
      <c r="B8557" t="inlineStr">
        <is>
          <t xml:space="preserve">Mirae Asset Ultra Short Duration Fund Regular IDCW</t>
        </is>
      </c>
      <c r="C8557" t="inlineStr">
        <is>
          <t xml:space="preserve">INF769K01GG4</t>
        </is>
      </c>
    </row>
    <row r="8558">
      <c r="A8558" t="inlineStr">
        <is>
          <t xml:space="preserve">Mirae Asset Mutual Fund</t>
        </is>
      </c>
      <c r="B8558" t="inlineStr">
        <is>
          <t xml:space="preserve">Mirae AssetHang Seng TECH ETF Fund of Fund Direct Plan - Growth Option</t>
        </is>
      </c>
      <c r="C8558" t="inlineStr">
        <is>
          <t xml:space="preserve">INF769K01HU3</t>
        </is>
      </c>
    </row>
    <row r="8559">
      <c r="A8559" t="inlineStr">
        <is>
          <t xml:space="preserve">Motilal Oswal Mutual Fund</t>
        </is>
      </c>
      <c r="B8559" t="inlineStr">
        <is>
          <t xml:space="preserve">Motilal Oswal 5 Year G-Sec Fund Of Fund Direct -Growth</t>
        </is>
      </c>
      <c r="C8559" t="inlineStr">
        <is>
          <t xml:space="preserve">INF247L01AQ1</t>
        </is>
      </c>
    </row>
    <row r="8560">
      <c r="A8560" t="inlineStr">
        <is>
          <t xml:space="preserve">Motilal Oswal Mutual Fund</t>
        </is>
      </c>
      <c r="B8560" t="inlineStr">
        <is>
          <t xml:space="preserve">Motilal Oswal 5 Year G-Sec Fund Of Fund Regular -Growth</t>
        </is>
      </c>
      <c r="C8560" t="inlineStr">
        <is>
          <t xml:space="preserve">INF247L01AR9</t>
        </is>
      </c>
    </row>
    <row r="8561">
      <c r="A8561" t="inlineStr">
        <is>
          <t xml:space="preserve">Motilal Oswal Mutual Fund</t>
        </is>
      </c>
      <c r="B8561" t="inlineStr">
        <is>
          <t xml:space="preserve">Motilal Oswal Active Momentum Fund - Regular- IDCW</t>
        </is>
      </c>
      <c r="C8561" t="inlineStr">
        <is>
          <t xml:space="preserve">INF247L01ET7</t>
        </is>
      </c>
    </row>
    <row r="8562">
      <c r="A8562" t="inlineStr">
        <is>
          <t xml:space="preserve">Motilal Oswal Mutual Fund</t>
        </is>
      </c>
      <c r="B8562" t="inlineStr">
        <is>
          <t xml:space="preserve">Motilal Oswal Active Momentum Fund- Direct-Growth</t>
        </is>
      </c>
      <c r="C8562" t="inlineStr">
        <is>
          <t xml:space="preserve">INF247L01EP5</t>
        </is>
      </c>
    </row>
    <row r="8563">
      <c r="A8563" t="inlineStr">
        <is>
          <t xml:space="preserve">Motilal Oswal Mutual Fund</t>
        </is>
      </c>
      <c r="B8563" t="inlineStr">
        <is>
          <t xml:space="preserve">Motilal Oswal Active Momentum Fund- Direct-IDCW</t>
        </is>
      </c>
      <c r="C8563" t="inlineStr">
        <is>
          <t xml:space="preserve">INF247L01EQ3</t>
        </is>
      </c>
    </row>
    <row r="8564">
      <c r="A8564" t="inlineStr">
        <is>
          <t xml:space="preserve">Motilal Oswal Mutual Fund</t>
        </is>
      </c>
      <c r="B8564" t="inlineStr">
        <is>
          <t xml:space="preserve">Motilal Oswal Active Momentum Fund- Regular- Growth</t>
        </is>
      </c>
      <c r="C8564" t="inlineStr">
        <is>
          <t xml:space="preserve">INF247L01ES9</t>
        </is>
      </c>
    </row>
    <row r="8565">
      <c r="A8565" t="inlineStr">
        <is>
          <t xml:space="preserve">Motilal Oswal Mutual Fund</t>
        </is>
      </c>
      <c r="B8565" t="inlineStr">
        <is>
          <t xml:space="preserve">Motilal Oswal Arbitrage Fund-Direct Plan-Growth</t>
        </is>
      </c>
      <c r="C8565" t="inlineStr">
        <is>
          <t xml:space="preserve">INF247L01ED1</t>
        </is>
      </c>
    </row>
    <row r="8566">
      <c r="A8566" t="inlineStr">
        <is>
          <t xml:space="preserve">Motilal Oswal Mutual Fund</t>
        </is>
      </c>
      <c r="B8566" t="inlineStr">
        <is>
          <t xml:space="preserve">Motilal Oswal Arbitrage Fund-Direct Plan-IDCW</t>
        </is>
      </c>
      <c r="C8566" t="inlineStr">
        <is>
          <t xml:space="preserve">INF247L01EE9</t>
        </is>
      </c>
    </row>
    <row r="8567">
      <c r="A8567" t="inlineStr">
        <is>
          <t xml:space="preserve">Motilal Oswal Mutual Fund</t>
        </is>
      </c>
      <c r="B8567" t="inlineStr">
        <is>
          <t xml:space="preserve">Motilal Oswal Arbitrage Fund-Regular Plan-Growth</t>
        </is>
      </c>
      <c r="C8567" t="inlineStr">
        <is>
          <t xml:space="preserve">INF247L01EG4</t>
        </is>
      </c>
    </row>
    <row r="8568">
      <c r="A8568" t="inlineStr">
        <is>
          <t xml:space="preserve">Motilal Oswal Mutual Fund</t>
        </is>
      </c>
      <c r="B8568" t="inlineStr">
        <is>
          <t xml:space="preserve">Motilal Oswal Arbitrage Fund-Regular Plan-IDCW</t>
        </is>
      </c>
      <c r="C8568" t="inlineStr">
        <is>
          <t xml:space="preserve">INF247L01EH2</t>
        </is>
      </c>
    </row>
    <row r="8569">
      <c r="A8569" t="inlineStr">
        <is>
          <t xml:space="preserve">Motilal Oswal Mutual Fund</t>
        </is>
      </c>
      <c r="B8569" t="inlineStr">
        <is>
          <t xml:space="preserve">Motilal Oswal Asset Allocation FOF- C- Direct Growth</t>
        </is>
      </c>
      <c r="C8569" t="inlineStr">
        <is>
          <t xml:space="preserve">INF247L01AN8</t>
        </is>
      </c>
    </row>
    <row r="8570">
      <c r="A8570" t="inlineStr">
        <is>
          <t xml:space="preserve">Motilal Oswal Mutual Fund</t>
        </is>
      </c>
      <c r="B8570" t="inlineStr">
        <is>
          <t xml:space="preserve">Motilal Oswal Asset Allocation FOF- C- Regular Growth</t>
        </is>
      </c>
      <c r="C8570" t="inlineStr">
        <is>
          <t xml:space="preserve">INF247L01AO6</t>
        </is>
      </c>
    </row>
    <row r="8571">
      <c r="A8571" t="inlineStr">
        <is>
          <t xml:space="preserve">Motilal Oswal Mutual Fund</t>
        </is>
      </c>
      <c r="B8571" t="inlineStr">
        <is>
          <t xml:space="preserve">Motilal Oswal Balanced Advantage Fund  (MOFDYNAMIC) - Direct Plan - Growth Option</t>
        </is>
      </c>
      <c r="C8571" t="inlineStr">
        <is>
          <t xml:space="preserve">INF247L01635</t>
        </is>
      </c>
    </row>
    <row r="8572">
      <c r="A8572" t="inlineStr">
        <is>
          <t xml:space="preserve">Motilal Oswal Mutual Fund</t>
        </is>
      </c>
      <c r="B8572" t="inlineStr">
        <is>
          <t xml:space="preserve">Motilal Oswal Balanced Advantage Fund (MOFDYNAMIC) - Regular Plan - Annual Dividend Payout Option</t>
        </is>
      </c>
      <c r="C8572" t="inlineStr">
        <is>
          <t xml:space="preserve">INF247L01601</t>
        </is>
      </c>
    </row>
    <row r="8573">
      <c r="A8573" t="inlineStr">
        <is>
          <t xml:space="preserve">Motilal Oswal Mutual Fund</t>
        </is>
      </c>
      <c r="B8573" t="inlineStr">
        <is>
          <t xml:space="preserve">Motilal Oswal Balanced Advantage Fund (MOFDYNAMIC) - Regular Plan - Growth Option</t>
        </is>
      </c>
      <c r="C8573" t="inlineStr">
        <is>
          <t xml:space="preserve">INF247L01585</t>
        </is>
      </c>
    </row>
    <row r="8574">
      <c r="A8574" t="inlineStr">
        <is>
          <t xml:space="preserve">Motilal Oswal Mutual Fund</t>
        </is>
      </c>
      <c r="B8574" t="inlineStr">
        <is>
          <t xml:space="preserve">Motilal Oswal Balanced Advantage Fund Direct - Annual IDCW Payout/Reinvestment</t>
        </is>
      </c>
      <c r="C8574" t="inlineStr">
        <is>
          <t xml:space="preserve">INF247L01650</t>
        </is>
      </c>
    </row>
    <row r="8575">
      <c r="A8575" t="inlineStr">
        <is>
          <t xml:space="preserve">Motilal Oswal Mutual Fund</t>
        </is>
      </c>
      <c r="B8575" t="inlineStr">
        <is>
          <t xml:space="preserve">Motilal Oswal Balanced Advantage Fund Direct - Quarterly IDCW Payout/Reinvestment</t>
        </is>
      </c>
      <c r="C8575" t="inlineStr">
        <is>
          <t xml:space="preserve">INF247L01643</t>
        </is>
      </c>
    </row>
    <row r="8576">
      <c r="A8576" t="inlineStr">
        <is>
          <t xml:space="preserve">Motilal Oswal Mutual Fund</t>
        </is>
      </c>
      <c r="B8576" t="inlineStr">
        <is>
          <t xml:space="preserve">Motilal Oswal Balanced Advantage Fund Regular - Quarterly IDCW Payout/Reinvestment</t>
        </is>
      </c>
      <c r="C8576" t="inlineStr">
        <is>
          <t xml:space="preserve">INF247L01593</t>
        </is>
      </c>
    </row>
    <row r="8577">
      <c r="A8577" t="inlineStr">
        <is>
          <t xml:space="preserve">Motilal Oswal Mutual Fund</t>
        </is>
      </c>
      <c r="B8577" t="inlineStr">
        <is>
          <t xml:space="preserve">Motilal Oswal BSE 1000 Index Fund - Direct Plan - Growth</t>
        </is>
      </c>
      <c r="C8577" t="inlineStr">
        <is>
          <t xml:space="preserve">INF247L01FM9</t>
        </is>
      </c>
    </row>
    <row r="8578">
      <c r="A8578" t="inlineStr">
        <is>
          <t xml:space="preserve">Motilal Oswal Mutual Fund</t>
        </is>
      </c>
      <c r="B8578" t="inlineStr">
        <is>
          <t xml:space="preserve">Motilal Oswal BSE 1000 Index Fund - Regular Plan - Growth</t>
        </is>
      </c>
      <c r="C8578" t="inlineStr">
        <is>
          <t xml:space="preserve">INF247L01FN7</t>
        </is>
      </c>
    </row>
    <row r="8579">
      <c r="A8579" t="inlineStr">
        <is>
          <t xml:space="preserve">Motilal Oswal Mutual Fund</t>
        </is>
      </c>
      <c r="B8579" t="inlineStr">
        <is>
          <t xml:space="preserve">Motilal Oswal BSE Clean Environment Index Fund - Direct</t>
        </is>
      </c>
      <c r="C8579" t="inlineStr">
        <is>
          <t xml:space="preserve">INF247L01HC6</t>
        </is>
      </c>
    </row>
    <row r="8580">
      <c r="A8580" t="inlineStr">
        <is>
          <t xml:space="preserve">Motilal Oswal Mutual Fund</t>
        </is>
      </c>
      <c r="B8580" t="inlineStr">
        <is>
          <t xml:space="preserve">Motilal Oswal BSE Clean Environment Index Fund - Growth</t>
        </is>
      </c>
      <c r="C8580" t="inlineStr">
        <is>
          <t xml:space="preserve">INF247L01HD4</t>
        </is>
      </c>
    </row>
    <row r="8581">
      <c r="A8581" t="inlineStr">
        <is>
          <t xml:space="preserve">Motilal Oswal Mutual Fund</t>
        </is>
      </c>
      <c r="B8581" t="inlineStr">
        <is>
          <t xml:space="preserve">Motilal Oswal BSE Enhanced Value ETF</t>
        </is>
      </c>
      <c r="C8581" t="inlineStr">
        <is>
          <t xml:space="preserve">INF247L01BE5</t>
        </is>
      </c>
    </row>
    <row r="8582">
      <c r="A8582" t="inlineStr">
        <is>
          <t xml:space="preserve">Motilal Oswal Mutual Fund</t>
        </is>
      </c>
      <c r="B8582" t="inlineStr">
        <is>
          <t xml:space="preserve">Motilal Oswal BSE Enhanced Value Index Fund-Direct plan</t>
        </is>
      </c>
      <c r="C8582" t="inlineStr">
        <is>
          <t xml:space="preserve">INF247L01BF2</t>
        </is>
      </c>
    </row>
    <row r="8583">
      <c r="A8583" t="inlineStr">
        <is>
          <t xml:space="preserve">Motilal Oswal Mutual Fund</t>
        </is>
      </c>
      <c r="B8583" t="inlineStr">
        <is>
          <t xml:space="preserve">Motilal Oswal BSE Enhanced Value Index Fund-Regular plan</t>
        </is>
      </c>
      <c r="C8583" t="inlineStr">
        <is>
          <t xml:space="preserve">INF247L01BG0</t>
        </is>
      </c>
    </row>
    <row r="8584">
      <c r="A8584" t="inlineStr">
        <is>
          <t xml:space="preserve">Motilal Oswal Mutual Fund</t>
        </is>
      </c>
      <c r="B8584" t="inlineStr">
        <is>
          <t xml:space="preserve">Motilal Oswal BSE Financials ex Bank 30 Index Fund Direct Growth</t>
        </is>
      </c>
      <c r="C8584" t="inlineStr">
        <is>
          <t xml:space="preserve">INF247L01BC9</t>
        </is>
      </c>
    </row>
    <row r="8585">
      <c r="A8585" t="inlineStr">
        <is>
          <t xml:space="preserve">Motilal Oswal Mutual Fund</t>
        </is>
      </c>
      <c r="B8585" t="inlineStr">
        <is>
          <t xml:space="preserve">Motilal Oswal BSE Financials ex Bank 30 Index Fund Regular Growth</t>
        </is>
      </c>
      <c r="C8585" t="inlineStr">
        <is>
          <t xml:space="preserve">INF247L01BD7</t>
        </is>
      </c>
    </row>
    <row r="8586">
      <c r="A8586" t="inlineStr">
        <is>
          <t xml:space="preserve">Motilal Oswal Mutual Fund</t>
        </is>
      </c>
      <c r="B8586" t="inlineStr">
        <is>
          <t xml:space="preserve">Motilal Oswal BSE Healthcare ETF</t>
        </is>
      </c>
      <c r="C8586" t="inlineStr">
        <is>
          <t xml:space="preserve">INF247L01BB1</t>
        </is>
      </c>
    </row>
    <row r="8587">
      <c r="A8587" t="inlineStr">
        <is>
          <t xml:space="preserve">Motilal Oswal Mutual Fund</t>
        </is>
      </c>
      <c r="B8587" t="inlineStr">
        <is>
          <t xml:space="preserve">Motilal Oswal BSE India Infrastructure ETF</t>
        </is>
      </c>
      <c r="C8587" t="inlineStr">
        <is>
          <t xml:space="preserve">INF247L01FL1</t>
        </is>
      </c>
    </row>
    <row r="8588">
      <c r="A8588" t="inlineStr">
        <is>
          <t xml:space="preserve">Motilal Oswal Mutual Fund</t>
        </is>
      </c>
      <c r="B8588" t="inlineStr">
        <is>
          <t xml:space="preserve">Motilal Oswal BSE Low Volatility ETF</t>
        </is>
      </c>
      <c r="C8588" t="inlineStr">
        <is>
          <t xml:space="preserve">INF247L01BL0</t>
        </is>
      </c>
    </row>
    <row r="8589">
      <c r="A8589" t="inlineStr">
        <is>
          <t xml:space="preserve">Motilal Oswal Mutual Fund</t>
        </is>
      </c>
      <c r="B8589" t="inlineStr">
        <is>
          <t xml:space="preserve">Motilal Oswal BSE Low Volatility Index Fund-Direct plan</t>
        </is>
      </c>
      <c r="C8589" t="inlineStr">
        <is>
          <t xml:space="preserve">INF247L01AY5</t>
        </is>
      </c>
    </row>
    <row r="8590">
      <c r="A8590" t="inlineStr">
        <is>
          <t xml:space="preserve">Motilal Oswal Mutual Fund</t>
        </is>
      </c>
      <c r="B8590" t="inlineStr">
        <is>
          <t xml:space="preserve">Motilal Oswal BSE Low Volatility Index Fund-Regular plan</t>
        </is>
      </c>
      <c r="C8590" t="inlineStr">
        <is>
          <t xml:space="preserve">INF247L01AZ2</t>
        </is>
      </c>
    </row>
    <row r="8591">
      <c r="A8591" t="inlineStr">
        <is>
          <t xml:space="preserve">Motilal Oswal Mutual Fund</t>
        </is>
      </c>
      <c r="B8591" t="inlineStr">
        <is>
          <t xml:space="preserve">Motilal Oswal BSE Quality ETF</t>
        </is>
      </c>
      <c r="C8591" t="inlineStr">
        <is>
          <t xml:space="preserve">INF247L01BH8</t>
        </is>
      </c>
    </row>
    <row r="8592">
      <c r="A8592" t="inlineStr">
        <is>
          <t xml:space="preserve">Motilal Oswal Mutual Fund</t>
        </is>
      </c>
      <c r="B8592" t="inlineStr">
        <is>
          <t xml:space="preserve">Motilal Oswal BSE Quality Index Fund-Direct plan</t>
        </is>
      </c>
      <c r="C8592" t="inlineStr">
        <is>
          <t xml:space="preserve">INF247L01BI6</t>
        </is>
      </c>
    </row>
    <row r="8593">
      <c r="A8593" t="inlineStr">
        <is>
          <t xml:space="preserve">Motilal Oswal Mutual Fund</t>
        </is>
      </c>
      <c r="B8593" t="inlineStr">
        <is>
          <t xml:space="preserve">Motilal Oswal BSE Quality Index Fund-Regular plan</t>
        </is>
      </c>
      <c r="C8593" t="inlineStr">
        <is>
          <t xml:space="preserve">INF247L01BJ4</t>
        </is>
      </c>
    </row>
    <row r="8594">
      <c r="A8594" t="inlineStr">
        <is>
          <t xml:space="preserve">Motilal Oswal Mutual Fund</t>
        </is>
      </c>
      <c r="B8594" t="inlineStr">
        <is>
          <t xml:space="preserve">Motilal Oswal BSE Select IPO ETF</t>
        </is>
      </c>
      <c r="C8594" t="inlineStr">
        <is>
          <t xml:space="preserve">INF247L01GI5</t>
        </is>
      </c>
    </row>
    <row r="8595">
      <c r="A8595" t="inlineStr">
        <is>
          <t xml:space="preserve">Motilal Oswal Mutual Fund</t>
        </is>
      </c>
      <c r="B8595" t="inlineStr">
        <is>
          <t xml:space="preserve">Motilal Oswal BSE Top 10 Banks ETF</t>
        </is>
      </c>
      <c r="C8595" t="inlineStr">
        <is>
          <t xml:space="preserve">INF247L01GV8</t>
        </is>
      </c>
    </row>
    <row r="8596">
      <c r="A8596" t="inlineStr">
        <is>
          <t xml:space="preserve">Motilal Oswal Mutual Fund</t>
        </is>
      </c>
      <c r="B8596" t="inlineStr">
        <is>
          <t xml:space="preserve">Motilal Oswal Business Cycle Fund - Direct Plan- Growth</t>
        </is>
      </c>
      <c r="C8596" t="inlineStr">
        <is>
          <t xml:space="preserve">INF247L01DG6</t>
        </is>
      </c>
    </row>
    <row r="8597">
      <c r="A8597" t="inlineStr">
        <is>
          <t xml:space="preserve">Motilal Oswal Mutual Fund</t>
        </is>
      </c>
      <c r="B8597" t="inlineStr">
        <is>
          <t xml:space="preserve">Motilal Oswal Business Cycle Fund - Direct Plan- IDCW</t>
        </is>
      </c>
      <c r="C8597" t="inlineStr">
        <is>
          <t xml:space="preserve">INF247L01DH4</t>
        </is>
      </c>
    </row>
    <row r="8598">
      <c r="A8598" t="inlineStr">
        <is>
          <t xml:space="preserve">Motilal Oswal Mutual Fund</t>
        </is>
      </c>
      <c r="B8598" t="inlineStr">
        <is>
          <t xml:space="preserve">Motilal Oswal Business Cycle Fund-Regular Plan-Growth</t>
        </is>
      </c>
      <c r="C8598" t="inlineStr">
        <is>
          <t xml:space="preserve">INF247L01DD3</t>
        </is>
      </c>
    </row>
    <row r="8599">
      <c r="A8599" t="inlineStr">
        <is>
          <t xml:space="preserve">Motilal Oswal Mutual Fund</t>
        </is>
      </c>
      <c r="B8599" t="inlineStr">
        <is>
          <t xml:space="preserve">Motilal Oswal Business Cycle Fund-Regular Plan-IDCW</t>
        </is>
      </c>
      <c r="C8599" t="inlineStr">
        <is>
          <t xml:space="preserve">INF247L01DE1</t>
        </is>
      </c>
    </row>
    <row r="8600">
      <c r="A8600" t="inlineStr">
        <is>
          <t xml:space="preserve">Motilal Oswal Mutual Fund</t>
        </is>
      </c>
      <c r="B8600" t="inlineStr">
        <is>
          <t xml:space="preserve">Motilal Oswal Consumption Fund-Direct-Growth</t>
        </is>
      </c>
      <c r="C8600" t="inlineStr">
        <is>
          <t xml:space="preserve">INF247L01GA2</t>
        </is>
      </c>
    </row>
    <row r="8601">
      <c r="A8601" t="inlineStr">
        <is>
          <t xml:space="preserve">Motilal Oswal Mutual Fund</t>
        </is>
      </c>
      <c r="B8601" t="inlineStr">
        <is>
          <t xml:space="preserve">Motilal Oswal Consumption Fund-Direct-IDCW</t>
        </is>
      </c>
      <c r="C8601" t="inlineStr">
        <is>
          <t xml:space="preserve">INF247L01GB0</t>
        </is>
      </c>
    </row>
    <row r="8602">
      <c r="A8602" t="inlineStr">
        <is>
          <t xml:space="preserve">Motilal Oswal Mutual Fund</t>
        </is>
      </c>
      <c r="B8602" t="inlineStr">
        <is>
          <t xml:space="preserve">Motilal Oswal Consumption Fund-Regular-Growth</t>
        </is>
      </c>
      <c r="C8602" t="inlineStr">
        <is>
          <t xml:space="preserve">INF247L01GD6</t>
        </is>
      </c>
    </row>
    <row r="8603">
      <c r="A8603" t="inlineStr">
        <is>
          <t xml:space="preserve">Motilal Oswal Mutual Fund</t>
        </is>
      </c>
      <c r="B8603" t="inlineStr">
        <is>
          <t xml:space="preserve">Motilal Oswal Consumption Fund-Regular-IDCW</t>
        </is>
      </c>
      <c r="C8603" t="inlineStr">
        <is>
          <t xml:space="preserve">INF247L01GE4</t>
        </is>
      </c>
    </row>
    <row r="8604">
      <c r="A8604" t="inlineStr">
        <is>
          <t xml:space="preserve">Motilal Oswal Mutual Fund</t>
        </is>
      </c>
      <c r="B8604" t="inlineStr">
        <is>
          <t xml:space="preserve">Motilal Oswal Contra Fund - Direct – Growth</t>
        </is>
      </c>
      <c r="C8604" t="inlineStr">
        <is>
          <t xml:space="preserve">INF247L01GW6</t>
        </is>
      </c>
    </row>
    <row r="8605">
      <c r="A8605" t="inlineStr">
        <is>
          <t xml:space="preserve">Motilal Oswal Mutual Fund</t>
        </is>
      </c>
      <c r="B8605" t="inlineStr">
        <is>
          <t xml:space="preserve">Motilal Oswal Contra Fund - Regular - IDCW</t>
        </is>
      </c>
      <c r="C8605" t="inlineStr">
        <is>
          <t xml:space="preserve">INF247L01HA0</t>
        </is>
      </c>
    </row>
    <row r="8606">
      <c r="A8606" t="inlineStr">
        <is>
          <t xml:space="preserve">Motilal Oswal Mutual Fund</t>
        </is>
      </c>
      <c r="B8606" t="inlineStr">
        <is>
          <t xml:space="preserve">Motilal Oswal Contra Fund - Regular – Growth</t>
        </is>
      </c>
      <c r="C8606" t="inlineStr">
        <is>
          <t xml:space="preserve">INF247L01GZ9</t>
        </is>
      </c>
    </row>
    <row r="8607">
      <c r="A8607" t="inlineStr">
        <is>
          <t xml:space="preserve">Motilal Oswal Mutual Fund</t>
        </is>
      </c>
      <c r="B8607" t="inlineStr">
        <is>
          <t xml:space="preserve">Motilal Oswal Contra Fund – Direct – IDCW</t>
        </is>
      </c>
      <c r="C8607" t="inlineStr">
        <is>
          <t xml:space="preserve">INF247L01GX4</t>
        </is>
      </c>
    </row>
    <row r="8608">
      <c r="A8608" t="inlineStr">
        <is>
          <t xml:space="preserve">Motilal Oswal Mutual Fund</t>
        </is>
      </c>
      <c r="B8608" t="inlineStr">
        <is>
          <t xml:space="preserve">Motilal Oswal Developed Market Ex US ETFs Fund of Funds Direct Plan Growth</t>
        </is>
      </c>
      <c r="C8608" t="inlineStr">
        <is>
          <t xml:space="preserve">INF247L01BT3</t>
        </is>
      </c>
    </row>
    <row r="8609">
      <c r="A8609" t="inlineStr">
        <is>
          <t xml:space="preserve">Motilal Oswal Mutual Fund</t>
        </is>
      </c>
      <c r="B8609" t="inlineStr">
        <is>
          <t xml:space="preserve">Motilal Oswal Developed Market Ex US ETFs Fund of Funds Regular Plan Growth</t>
        </is>
      </c>
      <c r="C8609" t="inlineStr">
        <is>
          <t xml:space="preserve">INF247L01BS5</t>
        </is>
      </c>
    </row>
    <row r="8610">
      <c r="A8610" t="inlineStr">
        <is>
          <t xml:space="preserve">Motilal Oswal Mutual Fund</t>
        </is>
      </c>
      <c r="B8610" t="inlineStr">
        <is>
          <t xml:space="preserve">Motilal Oswal Digital India Fund - Direct Plan - Growth</t>
        </is>
      </c>
      <c r="C8610" t="inlineStr">
        <is>
          <t xml:space="preserve">INF247L01DN2</t>
        </is>
      </c>
    </row>
    <row r="8611">
      <c r="A8611" t="inlineStr">
        <is>
          <t xml:space="preserve">Motilal Oswal Mutual Fund</t>
        </is>
      </c>
      <c r="B8611" t="inlineStr">
        <is>
          <t xml:space="preserve">Motilal Oswal Digital India Fund - Direct Plan- IDCW</t>
        </is>
      </c>
      <c r="C8611" t="inlineStr">
        <is>
          <t xml:space="preserve">INF247L01DO0</t>
        </is>
      </c>
    </row>
    <row r="8612">
      <c r="A8612" t="inlineStr">
        <is>
          <t xml:space="preserve">Motilal Oswal Mutual Fund</t>
        </is>
      </c>
      <c r="B8612" t="inlineStr">
        <is>
          <t xml:space="preserve">Motilal Oswal Digital India Fund - Regular Plan - IDCW</t>
        </is>
      </c>
      <c r="C8612" t="inlineStr">
        <is>
          <t xml:space="preserve">INF247L01DR3</t>
        </is>
      </c>
    </row>
    <row r="8613">
      <c r="A8613" t="inlineStr">
        <is>
          <t xml:space="preserve">Motilal Oswal Mutual Fund</t>
        </is>
      </c>
      <c r="B8613" t="inlineStr">
        <is>
          <t xml:space="preserve">Motilal Oswal Digital India Fund - Regular Plan- Growth</t>
        </is>
      </c>
      <c r="C8613" t="inlineStr">
        <is>
          <t xml:space="preserve">INF247L01DQ5</t>
        </is>
      </c>
    </row>
    <row r="8614">
      <c r="A8614" t="inlineStr">
        <is>
          <t xml:space="preserve">Motilal Oswal Mutual Fund</t>
        </is>
      </c>
      <c r="B8614" t="inlineStr">
        <is>
          <t xml:space="preserve">Motilal Oswal Diversified Equity Flexicap Passive Fund of Funds- Direct - Growth</t>
        </is>
      </c>
      <c r="C8614" t="inlineStr">
        <is>
          <t xml:space="preserve">INF247L01GL9</t>
        </is>
      </c>
    </row>
    <row r="8615">
      <c r="A8615" t="inlineStr">
        <is>
          <t xml:space="preserve">Motilal Oswal Mutual Fund</t>
        </is>
      </c>
      <c r="B8615" t="inlineStr">
        <is>
          <t xml:space="preserve">Motilal Oswal Diversified Equity Flexicap Passive Fund of funds- Regular Growth</t>
        </is>
      </c>
      <c r="C8615" t="inlineStr">
        <is>
          <t xml:space="preserve">INF247L01GM7</t>
        </is>
      </c>
    </row>
    <row r="8616">
      <c r="A8616" t="inlineStr">
        <is>
          <t xml:space="preserve">Motilal Oswal Mutual Fund</t>
        </is>
      </c>
      <c r="B8616" t="inlineStr">
        <is>
          <t xml:space="preserve">Motilal Oswal ELSS Tax Saver Fund - Direct Plan - Growth Option</t>
        </is>
      </c>
      <c r="C8616" t="inlineStr">
        <is>
          <t xml:space="preserve">INF247L01569</t>
        </is>
      </c>
    </row>
    <row r="8617">
      <c r="A8617" t="inlineStr">
        <is>
          <t xml:space="preserve">Motilal Oswal Mutual Fund</t>
        </is>
      </c>
      <c r="B8617" t="inlineStr">
        <is>
          <t xml:space="preserve">Motilal Oswal ELSS Tax Saver Fund - IDCW Payout</t>
        </is>
      </c>
      <c r="C8617" t="inlineStr">
        <is>
          <t xml:space="preserve">INF247L01551</t>
        </is>
      </c>
    </row>
    <row r="8618">
      <c r="A8618" t="inlineStr">
        <is>
          <t xml:space="preserve">Motilal Oswal Mutual Fund</t>
        </is>
      </c>
      <c r="B8618" t="inlineStr">
        <is>
          <t xml:space="preserve">Motilal Oswal ELSS Tax Saver Fund - Regular Plan - Growth Option</t>
        </is>
      </c>
      <c r="C8618" t="inlineStr">
        <is>
          <t xml:space="preserve">INF247L01544</t>
        </is>
      </c>
    </row>
    <row r="8619">
      <c r="A8619" t="inlineStr">
        <is>
          <t xml:space="preserve">Motilal Oswal Mutual Fund</t>
        </is>
      </c>
      <c r="B8619" t="inlineStr">
        <is>
          <t xml:space="preserve">Motilal Oswal ELSS Tax Saver Fund Direct - IDCW Payout</t>
        </is>
      </c>
      <c r="C8619" t="inlineStr">
        <is>
          <t xml:space="preserve">INF247L01577</t>
        </is>
      </c>
    </row>
    <row r="8620">
      <c r="A8620" t="inlineStr">
        <is>
          <t xml:space="preserve">Motilal Oswal Mutual Fund</t>
        </is>
      </c>
      <c r="B8620" t="inlineStr">
        <is>
          <t xml:space="preserve">Motilal Oswal Financial Services Fund- Direct Growth</t>
        </is>
      </c>
      <c r="C8620" t="inlineStr">
        <is>
          <t xml:space="preserve">INF247L01GN5</t>
        </is>
      </c>
    </row>
    <row r="8621">
      <c r="A8621" t="inlineStr">
        <is>
          <t xml:space="preserve">Motilal Oswal Mutual Fund</t>
        </is>
      </c>
      <c r="B8621" t="inlineStr">
        <is>
          <t xml:space="preserve">Motilal Oswal Financial Services Fund- Direct- IDCW</t>
        </is>
      </c>
      <c r="C8621" t="inlineStr">
        <is>
          <t xml:space="preserve">INF247L01GO3</t>
        </is>
      </c>
    </row>
    <row r="8622">
      <c r="A8622" t="inlineStr">
        <is>
          <t xml:space="preserve">Motilal Oswal Mutual Fund</t>
        </is>
      </c>
      <c r="B8622" t="inlineStr">
        <is>
          <t xml:space="preserve">Motilal Oswal Financial Services Fund- Regular-Growth</t>
        </is>
      </c>
      <c r="C8622" t="inlineStr">
        <is>
          <t xml:space="preserve">INF247L01GQ8</t>
        </is>
      </c>
    </row>
    <row r="8623">
      <c r="A8623" t="inlineStr">
        <is>
          <t xml:space="preserve">Motilal Oswal Mutual Fund</t>
        </is>
      </c>
      <c r="B8623" t="inlineStr">
        <is>
          <t xml:space="preserve">Motilal Oswal Financial Services Fund- Regular-IDCW-</t>
        </is>
      </c>
      <c r="C8623" t="inlineStr">
        <is>
          <t xml:space="preserve">INF247L01GR6</t>
        </is>
      </c>
    </row>
    <row r="8624">
      <c r="A8624" t="inlineStr">
        <is>
          <t xml:space="preserve">Motilal Oswal Mutual Fund</t>
        </is>
      </c>
      <c r="B8624" t="inlineStr">
        <is>
          <t xml:space="preserve">Motilal Oswal Flexi Cap Fund Direct - IDCW Payout/Reinvestment</t>
        </is>
      </c>
      <c r="C8624" t="inlineStr">
        <is>
          <t xml:space="preserve">INF247L01528</t>
        </is>
      </c>
    </row>
    <row r="8625">
      <c r="A8625" t="inlineStr">
        <is>
          <t xml:space="preserve">Motilal Oswal Mutual Fund</t>
        </is>
      </c>
      <c r="B8625" t="inlineStr">
        <is>
          <t xml:space="preserve">Motilal Oswal Flexi cap Fund Direct Plan-Growth Option</t>
        </is>
      </c>
      <c r="C8625" t="inlineStr">
        <is>
          <t xml:space="preserve">INF247L01502</t>
        </is>
      </c>
    </row>
    <row r="8626">
      <c r="A8626" t="inlineStr">
        <is>
          <t xml:space="preserve">Motilal Oswal Mutual Fund</t>
        </is>
      </c>
      <c r="B8626" t="inlineStr">
        <is>
          <t xml:space="preserve">Motilal Oswal Flexi cap Fund Regular - IDCW Payout/Reinvestment</t>
        </is>
      </c>
      <c r="C8626" t="inlineStr">
        <is>
          <t xml:space="preserve">INF247L01494</t>
        </is>
      </c>
    </row>
    <row r="8627">
      <c r="A8627" t="inlineStr">
        <is>
          <t xml:space="preserve">Motilal Oswal Mutual Fund</t>
        </is>
      </c>
      <c r="B8627" t="inlineStr">
        <is>
          <t xml:space="preserve">Motilal Oswal Flexi Cap Fund Regular Plan-Growth Option</t>
        </is>
      </c>
      <c r="C8627" t="inlineStr">
        <is>
          <t xml:space="preserve">INF247L01478</t>
        </is>
      </c>
    </row>
    <row r="8628">
      <c r="A8628" t="inlineStr">
        <is>
          <t xml:space="preserve">Motilal Oswal Mutual Fund</t>
        </is>
      </c>
      <c r="B8628" t="inlineStr">
        <is>
          <t xml:space="preserve">Motilal Oswal Focused Fund - Direct Plan Growth Option</t>
        </is>
      </c>
      <c r="C8628" t="inlineStr">
        <is>
          <t xml:space="preserve">INF247L01189</t>
        </is>
      </c>
    </row>
    <row r="8629">
      <c r="A8629" t="inlineStr">
        <is>
          <t xml:space="preserve">Motilal Oswal Mutual Fund</t>
        </is>
      </c>
      <c r="B8629" t="inlineStr">
        <is>
          <t xml:space="preserve">Motilal Oswal Focused Fund - Regular Plan Growth Option</t>
        </is>
      </c>
      <c r="C8629" t="inlineStr">
        <is>
          <t xml:space="preserve">INF247L01155</t>
        </is>
      </c>
    </row>
    <row r="8630">
      <c r="A8630" t="inlineStr">
        <is>
          <t xml:space="preserve">Motilal Oswal Mutual Fund</t>
        </is>
      </c>
      <c r="B8630" t="inlineStr">
        <is>
          <t xml:space="preserve">Motilal Oswal Focused Fund Direct - IDCW Payout/Reinvestment</t>
        </is>
      </c>
      <c r="C8630" t="inlineStr">
        <is>
          <t xml:space="preserve">INF247L01205</t>
        </is>
      </c>
    </row>
    <row r="8631">
      <c r="A8631" t="inlineStr">
        <is>
          <t xml:space="preserve">Motilal Oswal Mutual Fund</t>
        </is>
      </c>
      <c r="B8631" t="inlineStr">
        <is>
          <t xml:space="preserve">Motilal Oswal Focused Fund Regular - IDCW Payout/Reinvestment</t>
        </is>
      </c>
      <c r="C8631" t="inlineStr">
        <is>
          <t xml:space="preserve">INF247L01171</t>
        </is>
      </c>
    </row>
    <row r="8632">
      <c r="A8632" t="inlineStr">
        <is>
          <t xml:space="preserve">Motilal Oswal Mutual Fund</t>
        </is>
      </c>
      <c r="B8632" t="inlineStr">
        <is>
          <t xml:space="preserve">Motilal Oswal Gold and Silver Passive Fund of Funds(Direct Plan)</t>
        </is>
      </c>
      <c r="C8632" t="inlineStr">
        <is>
          <t xml:space="preserve">INF247L01BM8</t>
        </is>
      </c>
    </row>
    <row r="8633">
      <c r="A8633" t="inlineStr">
        <is>
          <t xml:space="preserve">Motilal Oswal Mutual Fund</t>
        </is>
      </c>
      <c r="B8633" t="inlineStr">
        <is>
          <t xml:space="preserve">Motilal Oswal Gold and Silver Passive Fund of Funds(Regular Plan)</t>
        </is>
      </c>
      <c r="C8633" t="inlineStr">
        <is>
          <t xml:space="preserve">INF247L01BN6</t>
        </is>
      </c>
    </row>
    <row r="8634">
      <c r="A8634" t="inlineStr">
        <is>
          <t xml:space="preserve">Motilal Oswal Mutual Fund</t>
        </is>
      </c>
      <c r="B8634" t="inlineStr">
        <is>
          <t xml:space="preserve">Motilal Oswal Gold ETF</t>
        </is>
      </c>
      <c r="C8634" t="inlineStr">
        <is>
          <t xml:space="preserve">INF247L01FY4</t>
        </is>
      </c>
    </row>
    <row r="8635">
      <c r="A8635" t="inlineStr">
        <is>
          <t xml:space="preserve">Motilal Oswal Mutual Fund</t>
        </is>
      </c>
      <c r="B8635" t="inlineStr">
        <is>
          <t xml:space="preserve">Motilal Oswal Infrastructure Fund-Direct-Growth</t>
        </is>
      </c>
      <c r="C8635" t="inlineStr">
        <is>
          <t xml:space="preserve">INF247L01EW1</t>
        </is>
      </c>
    </row>
    <row r="8636">
      <c r="A8636" t="inlineStr">
        <is>
          <t xml:space="preserve">Motilal Oswal Mutual Fund</t>
        </is>
      </c>
      <c r="B8636" t="inlineStr">
        <is>
          <t xml:space="preserve">Motilal Oswal Infrastructure Fund-Direct-IDCW</t>
        </is>
      </c>
      <c r="C8636" t="inlineStr">
        <is>
          <t xml:space="preserve">INF247L01EX9</t>
        </is>
      </c>
    </row>
    <row r="8637">
      <c r="A8637" t="inlineStr">
        <is>
          <t xml:space="preserve">Motilal Oswal Mutual Fund</t>
        </is>
      </c>
      <c r="B8637" t="inlineStr">
        <is>
          <t xml:space="preserve">Motilal Oswal Infrastructure Fund-Regular-Growth</t>
        </is>
      </c>
      <c r="C8637" t="inlineStr">
        <is>
          <t xml:space="preserve">INF247L01EZ4</t>
        </is>
      </c>
    </row>
    <row r="8638">
      <c r="A8638" t="inlineStr">
        <is>
          <t xml:space="preserve">Motilal Oswal Mutual Fund</t>
        </is>
      </c>
      <c r="B8638" t="inlineStr">
        <is>
          <t xml:space="preserve">Motilal Oswal Infrastructure Fund-Regular-IDCW</t>
        </is>
      </c>
      <c r="C8638" t="inlineStr">
        <is>
          <t xml:space="preserve">INF247L01FA4</t>
        </is>
      </c>
    </row>
    <row r="8639">
      <c r="A8639" t="inlineStr">
        <is>
          <t xml:space="preserve">Motilal Oswal Mutual Fund</t>
        </is>
      </c>
      <c r="B8639" t="inlineStr">
        <is>
          <t xml:space="preserve">Motilal Oswal Innovation Opportunities Fund - Direct Plan- Growth</t>
        </is>
      </c>
      <c r="C8639" t="inlineStr">
        <is>
          <t xml:space="preserve">INF247L01EJ8</t>
        </is>
      </c>
    </row>
    <row r="8640">
      <c r="A8640" t="inlineStr">
        <is>
          <t xml:space="preserve">Motilal Oswal Mutual Fund</t>
        </is>
      </c>
      <c r="B8640" t="inlineStr">
        <is>
          <t xml:space="preserve">Motilal Oswal Innovation Opportunities Fund - Direct Plan- IDCW</t>
        </is>
      </c>
      <c r="C8640" t="inlineStr">
        <is>
          <t xml:space="preserve">INF247L01EK6</t>
        </is>
      </c>
    </row>
    <row r="8641">
      <c r="A8641" t="inlineStr">
        <is>
          <t xml:space="preserve">Motilal Oswal Mutual Fund</t>
        </is>
      </c>
      <c r="B8641" t="inlineStr">
        <is>
          <t xml:space="preserve">Motilal Oswal Innovation Opportunities Fund- Regular Plan- Growth</t>
        </is>
      </c>
      <c r="C8641" t="inlineStr">
        <is>
          <t xml:space="preserve">INF247L01EM2</t>
        </is>
      </c>
    </row>
    <row r="8642">
      <c r="A8642" t="inlineStr">
        <is>
          <t xml:space="preserve">Motilal Oswal Mutual Fund</t>
        </is>
      </c>
      <c r="B8642" t="inlineStr">
        <is>
          <t xml:space="preserve">Motilal Oswal Innovation Opportunities Fund- Regular Plan- IDCW</t>
        </is>
      </c>
      <c r="C8642" t="inlineStr">
        <is>
          <t xml:space="preserve">INF247L01EN0</t>
        </is>
      </c>
    </row>
    <row r="8643">
      <c r="A8643" t="inlineStr">
        <is>
          <t xml:space="preserve">Motilal Oswal Mutual Fund</t>
        </is>
      </c>
      <c r="B8643" t="inlineStr">
        <is>
          <t xml:space="preserve">Motilal Oswal Large and Midcap Fund - Direct Plan Growth</t>
        </is>
      </c>
      <c r="C8643" t="inlineStr">
        <is>
          <t xml:space="preserve">INF247L01999</t>
        </is>
      </c>
    </row>
    <row r="8644">
      <c r="A8644" t="inlineStr">
        <is>
          <t xml:space="preserve">Motilal Oswal Mutual Fund</t>
        </is>
      </c>
      <c r="B8644" t="inlineStr">
        <is>
          <t xml:space="preserve">Motilal Oswal Large and Midcap Fund - Regular Plan Growth</t>
        </is>
      </c>
      <c r="C8644" t="inlineStr">
        <is>
          <t xml:space="preserve">INF247L01965</t>
        </is>
      </c>
    </row>
    <row r="8645">
      <c r="A8645" t="inlineStr">
        <is>
          <t xml:space="preserve">Motilal Oswal Mutual Fund</t>
        </is>
      </c>
      <c r="B8645" t="inlineStr">
        <is>
          <t xml:space="preserve">Motilal Oswal Large and Midcap Fund Direct - IDCW Payout/Reinvestment</t>
        </is>
      </c>
      <c r="C8645" t="inlineStr">
        <is>
          <t xml:space="preserve">INF247L01AB3</t>
        </is>
      </c>
    </row>
    <row r="8646">
      <c r="A8646" t="inlineStr">
        <is>
          <t xml:space="preserve">Motilal Oswal Mutual Fund</t>
        </is>
      </c>
      <c r="B8646" t="inlineStr">
        <is>
          <t xml:space="preserve">Motilal Oswal Large and Midcap Fund Regular - IDCW Payout/Reinvestment</t>
        </is>
      </c>
      <c r="C8646" t="inlineStr">
        <is>
          <t xml:space="preserve">INF247L01981</t>
        </is>
      </c>
    </row>
    <row r="8647">
      <c r="A8647" t="inlineStr">
        <is>
          <t xml:space="preserve">Motilal Oswal Mutual Fund</t>
        </is>
      </c>
      <c r="B8647" t="inlineStr">
        <is>
          <t xml:space="preserve">Motilal Oswal Large Cap Direct Plan Growth</t>
        </is>
      </c>
      <c r="C8647" t="inlineStr">
        <is>
          <t xml:space="preserve">INF247L01CE3</t>
        </is>
      </c>
    </row>
    <row r="8648">
      <c r="A8648" t="inlineStr">
        <is>
          <t xml:space="preserve">Motilal Oswal Mutual Fund</t>
        </is>
      </c>
      <c r="B8648" t="inlineStr">
        <is>
          <t xml:space="preserve">Motilal Oswal Large Cap Direct Plan IDCW</t>
        </is>
      </c>
      <c r="C8648" t="inlineStr">
        <is>
          <t xml:space="preserve">INF247L01CF0</t>
        </is>
      </c>
    </row>
    <row r="8649">
      <c r="A8649" t="inlineStr">
        <is>
          <t xml:space="preserve">Motilal Oswal Mutual Fund</t>
        </is>
      </c>
      <c r="B8649" t="inlineStr">
        <is>
          <t xml:space="preserve">Motilal Oswal Large Cap Regular Plan Growth</t>
        </is>
      </c>
      <c r="C8649" t="inlineStr">
        <is>
          <t xml:space="preserve">INF247L01CB9</t>
        </is>
      </c>
    </row>
    <row r="8650">
      <c r="A8650" t="inlineStr">
        <is>
          <t xml:space="preserve">Motilal Oswal Mutual Fund</t>
        </is>
      </c>
      <c r="B8650" t="inlineStr">
        <is>
          <t xml:space="preserve">Motilal Oswal Large Cap Regular Plan IDCW</t>
        </is>
      </c>
      <c r="C8650" t="inlineStr">
        <is>
          <t xml:space="preserve">INF247L01CC7</t>
        </is>
      </c>
    </row>
    <row r="8651">
      <c r="A8651" t="inlineStr">
        <is>
          <t xml:space="preserve">Motilal Oswal Mutual Fund</t>
        </is>
      </c>
      <c r="B8651" t="inlineStr">
        <is>
          <t xml:space="preserve">Motilal Oswal Liquid Fund - Direct Growth</t>
        </is>
      </c>
      <c r="C8651" t="inlineStr">
        <is>
          <t xml:space="preserve">INF247L01734</t>
        </is>
      </c>
    </row>
    <row r="8652">
      <c r="A8652" t="inlineStr">
        <is>
          <t xml:space="preserve">Motilal Oswal Mutual Fund</t>
        </is>
      </c>
      <c r="B8652" t="inlineStr">
        <is>
          <t xml:space="preserve">Motilal Oswal Liquid Fund - Regular Growth</t>
        </is>
      </c>
      <c r="C8652" t="inlineStr">
        <is>
          <t xml:space="preserve">INF247L01726</t>
        </is>
      </c>
    </row>
    <row r="8653">
      <c r="A8653" t="inlineStr">
        <is>
          <t xml:space="preserve">Motilal Oswal Mutual Fund</t>
        </is>
      </c>
      <c r="B8653" t="inlineStr">
        <is>
          <t xml:space="preserve">Motilal Oswal Liquid Fund Direct - IDCW  Quarterly Payout/Reinvestment</t>
        </is>
      </c>
      <c r="C8653" t="inlineStr">
        <is>
          <t xml:space="preserve">INF247L01791</t>
        </is>
      </c>
    </row>
    <row r="8654">
      <c r="A8654" t="inlineStr">
        <is>
          <t xml:space="preserve">Motilal Oswal Mutual Fund</t>
        </is>
      </c>
      <c r="B8654" t="inlineStr">
        <is>
          <t xml:space="preserve">Motilal Oswal Liquid Fund Direct - IDCW Fortnightly Reinvestment</t>
        </is>
      </c>
      <c r="C8654" t="inlineStr">
        <is>
          <t xml:space="preserve">INF247L01759</t>
        </is>
      </c>
    </row>
    <row r="8655">
      <c r="A8655" t="inlineStr">
        <is>
          <t xml:space="preserve">Motilal Oswal Mutual Fund</t>
        </is>
      </c>
      <c r="B8655" t="inlineStr">
        <is>
          <t xml:space="preserve">Motilal Oswal Liquid Fund Direct - IDCW Monthly Payout/Reinvestment</t>
        </is>
      </c>
      <c r="C8655" t="inlineStr">
        <is>
          <t xml:space="preserve">INF247L01775</t>
        </is>
      </c>
    </row>
    <row r="8656">
      <c r="A8656" t="inlineStr">
        <is>
          <t xml:space="preserve">Motilal Oswal Mutual Fund</t>
        </is>
      </c>
      <c r="B8656" t="inlineStr">
        <is>
          <t xml:space="preserve">Motilal Oswal Liquid Fund Direct - IDCW Reinvestment</t>
        </is>
      </c>
      <c r="C8656" t="inlineStr">
        <is>
          <t xml:space="preserve">INF247L01742</t>
        </is>
      </c>
    </row>
    <row r="8657">
      <c r="A8657" t="inlineStr">
        <is>
          <t xml:space="preserve">Motilal Oswal Mutual Fund</t>
        </is>
      </c>
      <c r="B8657" t="inlineStr">
        <is>
          <t xml:space="preserve">Motilal Oswal Liquid Fund Direct - IDCW Weekly Reinvestment</t>
        </is>
      </c>
      <c r="C8657" t="inlineStr">
        <is>
          <t xml:space="preserve">INF247L01809</t>
        </is>
      </c>
    </row>
    <row r="8658">
      <c r="A8658" t="inlineStr">
        <is>
          <t xml:space="preserve">Motilal Oswal Mutual Fund</t>
        </is>
      </c>
      <c r="B8658" t="inlineStr">
        <is>
          <t xml:space="preserve">Motilal Oswal Liquid Fund Regular - IDCW Daily Reinvestment</t>
        </is>
      </c>
      <c r="C8658" t="inlineStr">
        <is>
          <t xml:space="preserve">INF247L01817</t>
        </is>
      </c>
    </row>
    <row r="8659">
      <c r="A8659" t="inlineStr">
        <is>
          <t xml:space="preserve">Motilal Oswal Mutual Fund</t>
        </is>
      </c>
      <c r="B8659" t="inlineStr">
        <is>
          <t xml:space="preserve">Motilal Oswal Liquid Fund Regular - IDCW Fortnightly Reinvestment</t>
        </is>
      </c>
      <c r="C8659" t="inlineStr">
        <is>
          <t xml:space="preserve">INF247L01825</t>
        </is>
      </c>
    </row>
    <row r="8660">
      <c r="A8660" t="inlineStr">
        <is>
          <t xml:space="preserve">Motilal Oswal Mutual Fund</t>
        </is>
      </c>
      <c r="B8660" t="inlineStr">
        <is>
          <t xml:space="preserve">Motilal Oswal Liquid Fund Regular - IDCW Monthly Payout/Reinvestment</t>
        </is>
      </c>
      <c r="C8660" t="inlineStr">
        <is>
          <t xml:space="preserve">INF247L01841</t>
        </is>
      </c>
    </row>
    <row r="8661">
      <c r="A8661" t="inlineStr">
        <is>
          <t xml:space="preserve">Motilal Oswal Mutual Fund</t>
        </is>
      </c>
      <c r="B8661" t="inlineStr">
        <is>
          <t xml:space="preserve">Motilal Oswal Liquid Fund Regular - IDCW Quarterly Payout/Reinvestment</t>
        </is>
      </c>
      <c r="C8661" t="inlineStr">
        <is>
          <t xml:space="preserve">INF247L01866</t>
        </is>
      </c>
    </row>
    <row r="8662">
      <c r="A8662" t="inlineStr">
        <is>
          <t xml:space="preserve">Motilal Oswal Mutual Fund</t>
        </is>
      </c>
      <c r="B8662" t="inlineStr">
        <is>
          <t xml:space="preserve">Motilal Oswal Liquid Fund Regular - IDCW Weekly Reinvestment</t>
        </is>
      </c>
      <c r="C8662" t="inlineStr">
        <is>
          <t xml:space="preserve">INF247L01874</t>
        </is>
      </c>
    </row>
    <row r="8663">
      <c r="A8663" t="inlineStr">
        <is>
          <t xml:space="preserve">Motilal Oswal Mutual Fund</t>
        </is>
      </c>
      <c r="B8663" t="inlineStr">
        <is>
          <t xml:space="preserve">Motilal Oswal Manufacturing Fund - Direct Plan - IDCW</t>
        </is>
      </c>
      <c r="C8663" t="inlineStr">
        <is>
          <t xml:space="preserve">INF247L01DB7</t>
        </is>
      </c>
    </row>
    <row r="8664">
      <c r="A8664" t="inlineStr">
        <is>
          <t xml:space="preserve">Motilal Oswal Mutual Fund</t>
        </is>
      </c>
      <c r="B8664" t="inlineStr">
        <is>
          <t xml:space="preserve">Motilal Oswal Manufacturing Fund - Direct Plan- Growth</t>
        </is>
      </c>
      <c r="C8664" t="inlineStr">
        <is>
          <t xml:space="preserve">INF247L01DA9</t>
        </is>
      </c>
    </row>
    <row r="8665">
      <c r="A8665" t="inlineStr">
        <is>
          <t xml:space="preserve">Motilal Oswal Mutual Fund</t>
        </is>
      </c>
      <c r="B8665" t="inlineStr">
        <is>
          <t xml:space="preserve">Motilal Oswal Manufacturing Fund - Regular Plan - IDCW</t>
        </is>
      </c>
      <c r="C8665" t="inlineStr">
        <is>
          <t xml:space="preserve">INF247L01CY1</t>
        </is>
      </c>
    </row>
    <row r="8666">
      <c r="A8666" t="inlineStr">
        <is>
          <t xml:space="preserve">Motilal Oswal Mutual Fund</t>
        </is>
      </c>
      <c r="B8666" t="inlineStr">
        <is>
          <t xml:space="preserve">Motilal Oswal Midcap Fund-Direct - IDCW Payout/Reinvestment</t>
        </is>
      </c>
      <c r="C8666" t="inlineStr">
        <is>
          <t xml:space="preserve">INF247L01460</t>
        </is>
      </c>
    </row>
    <row r="8667">
      <c r="A8667" t="inlineStr">
        <is>
          <t xml:space="preserve">Motilal Oswal Mutual Fund</t>
        </is>
      </c>
      <c r="B8667" t="inlineStr">
        <is>
          <t xml:space="preserve">Motilal Oswal Midcap Fund-Direct Plan-Growth Option</t>
        </is>
      </c>
      <c r="C8667" t="inlineStr">
        <is>
          <t xml:space="preserve">INF247L01445</t>
        </is>
      </c>
    </row>
    <row r="8668">
      <c r="A8668" t="inlineStr">
        <is>
          <t xml:space="preserve">Motilal Oswal Mutual Fund</t>
        </is>
      </c>
      <c r="B8668" t="inlineStr">
        <is>
          <t xml:space="preserve">Motilal Oswal Midcap Fund-Regular - IDCW Payout/Reinvestment</t>
        </is>
      </c>
      <c r="C8668" t="inlineStr">
        <is>
          <t xml:space="preserve">INF247L01437</t>
        </is>
      </c>
    </row>
    <row r="8669">
      <c r="A8669" t="inlineStr">
        <is>
          <t xml:space="preserve">Motilal Oswal Mutual Fund</t>
        </is>
      </c>
      <c r="B8669" t="inlineStr">
        <is>
          <t xml:space="preserve">Motilal Oswal Midcap Fund-Regular Plan-Growth Option</t>
        </is>
      </c>
      <c r="C8669" t="inlineStr">
        <is>
          <t xml:space="preserve">INF247L01411</t>
        </is>
      </c>
    </row>
    <row r="8670">
      <c r="A8670" t="inlineStr">
        <is>
          <t xml:space="preserve">Motilal Oswal Mutual Fund</t>
        </is>
      </c>
      <c r="B8670" t="inlineStr">
        <is>
          <t xml:space="preserve">Motilal Oswal Multi Asset Passive Fund of Fund - Direct Growth</t>
        </is>
      </c>
      <c r="C8670" t="inlineStr">
        <is>
          <t xml:space="preserve">INF247L01AL2</t>
        </is>
      </c>
    </row>
    <row r="8671">
      <c r="A8671" t="inlineStr">
        <is>
          <t xml:space="preserve">Motilal Oswal Mutual Fund</t>
        </is>
      </c>
      <c r="B8671" t="inlineStr">
        <is>
          <t xml:space="preserve">Motilal Oswal Multi Asset Passive Fund of Fund - Regular Growth</t>
        </is>
      </c>
      <c r="C8671" t="inlineStr">
        <is>
          <t xml:space="preserve">INF247L01AM0</t>
        </is>
      </c>
    </row>
    <row r="8672">
      <c r="A8672" t="inlineStr">
        <is>
          <t xml:space="preserve">Motilal Oswal Mutual Fund</t>
        </is>
      </c>
      <c r="B8672" t="inlineStr">
        <is>
          <t xml:space="preserve">Motilal Oswal Multi Cap Fund Regular Plan Growth</t>
        </is>
      </c>
      <c r="C8672" t="inlineStr">
        <is>
          <t xml:space="preserve">INF247L01CO2</t>
        </is>
      </c>
    </row>
    <row r="8673">
      <c r="A8673" t="inlineStr">
        <is>
          <t xml:space="preserve">Motilal Oswal Mutual Fund</t>
        </is>
      </c>
      <c r="B8673" t="inlineStr">
        <is>
          <t xml:space="preserve">Motilal Oswal Multi Cap Fund Regular Plan IDCW</t>
        </is>
      </c>
      <c r="C8673" t="inlineStr">
        <is>
          <t xml:space="preserve">INF247L01CJ2</t>
        </is>
      </c>
    </row>
    <row r="8674">
      <c r="A8674" t="inlineStr">
        <is>
          <t xml:space="preserve">Motilal Oswal Mutual Fund</t>
        </is>
      </c>
      <c r="B8674" t="inlineStr">
        <is>
          <t xml:space="preserve">Motilal Oswal Multi Cap Fund-Direct Plan Growth</t>
        </is>
      </c>
      <c r="C8674" t="inlineStr">
        <is>
          <t xml:space="preserve">INF247L01CL8</t>
        </is>
      </c>
    </row>
    <row r="8675">
      <c r="A8675" t="inlineStr">
        <is>
          <t xml:space="preserve">Motilal Oswal Mutual Fund</t>
        </is>
      </c>
      <c r="B8675" t="inlineStr">
        <is>
          <t xml:space="preserve">Motilal Oswal Multi Cap Fund-Direct Plan IDCW</t>
        </is>
      </c>
      <c r="C8675" t="inlineStr">
        <is>
          <t xml:space="preserve">INF247L01CM6</t>
        </is>
      </c>
    </row>
    <row r="8676">
      <c r="A8676" t="inlineStr">
        <is>
          <t xml:space="preserve">Motilal Oswal Mutual Fund</t>
        </is>
      </c>
      <c r="B8676" t="inlineStr">
        <is>
          <t xml:space="preserve">Motilal Oswal Multi Factor Passive Fund of Funds - Direct</t>
        </is>
      </c>
      <c r="C8676" t="inlineStr">
        <is>
          <t xml:space="preserve">INF247L01GT2</t>
        </is>
      </c>
    </row>
    <row r="8677">
      <c r="A8677" t="inlineStr">
        <is>
          <t xml:space="preserve">Motilal Oswal Mutual Fund</t>
        </is>
      </c>
      <c r="B8677" t="inlineStr">
        <is>
          <t xml:space="preserve">Motilal Oswal Multi Factor Passive Fund of Funds - Regular</t>
        </is>
      </c>
      <c r="C8677" t="inlineStr">
        <is>
          <t xml:space="preserve">INF247L01GU0</t>
        </is>
      </c>
    </row>
    <row r="8678">
      <c r="A8678" t="inlineStr">
        <is>
          <t xml:space="preserve">Motilal Oswal Mutual Fund</t>
        </is>
      </c>
      <c r="B8678" t="inlineStr">
        <is>
          <t xml:space="preserve">Motilal Oswal Nasdaq 100 ETF (MOFN100)</t>
        </is>
      </c>
      <c r="C8678" t="inlineStr">
        <is>
          <t xml:space="preserve">INF247L01AP3</t>
        </is>
      </c>
    </row>
    <row r="8679">
      <c r="A8679" t="inlineStr">
        <is>
          <t xml:space="preserve">Motilal Oswal Mutual Fund</t>
        </is>
      </c>
      <c r="B8679" t="inlineStr">
        <is>
          <t xml:space="preserve">Motilal Oswal Nasdaq 100 Fund of Fund- Direct Plan Growth</t>
        </is>
      </c>
      <c r="C8679" t="inlineStr">
        <is>
          <t xml:space="preserve">INF247L01718</t>
        </is>
      </c>
    </row>
    <row r="8680">
      <c r="A8680" t="inlineStr">
        <is>
          <t xml:space="preserve">Motilal Oswal Mutual Fund</t>
        </is>
      </c>
      <c r="B8680" t="inlineStr">
        <is>
          <t xml:space="preserve">Motilal Oswal Nasdaq 100 Fund of Fund- Regular Plan Growth</t>
        </is>
      </c>
      <c r="C8680" t="inlineStr">
        <is>
          <t xml:space="preserve">INF247L01700</t>
        </is>
      </c>
    </row>
    <row r="8681">
      <c r="A8681" t="inlineStr">
        <is>
          <t xml:space="preserve">Motilal Oswal Mutual Fund</t>
        </is>
      </c>
      <c r="B8681" t="inlineStr">
        <is>
          <t xml:space="preserve">Motilal Oswal Nasdaq Q50 ETF</t>
        </is>
      </c>
      <c r="C8681" t="inlineStr">
        <is>
          <t xml:space="preserve">INF247L01AU3</t>
        </is>
      </c>
    </row>
    <row r="8682">
      <c r="A8682" t="inlineStr">
        <is>
          <t xml:space="preserve">Motilal Oswal Mutual Fund</t>
        </is>
      </c>
      <c r="B8682" t="inlineStr">
        <is>
          <t xml:space="preserve">Motilal Oswal Nifty 100 ETF</t>
        </is>
      </c>
      <c r="C8682" t="inlineStr">
        <is>
          <t xml:space="preserve">INF247L01GG9</t>
        </is>
      </c>
    </row>
    <row r="8683">
      <c r="A8683" t="inlineStr">
        <is>
          <t xml:space="preserve">Motilal Oswal Mutual Fund</t>
        </is>
      </c>
      <c r="B8683" t="inlineStr">
        <is>
          <t xml:space="preserve">Motilal Oswal Nifty 200 Momentum 30 ETF</t>
        </is>
      </c>
      <c r="C8683" t="inlineStr">
        <is>
          <t xml:space="preserve">INF247L01BK2</t>
        </is>
      </c>
    </row>
    <row r="8684">
      <c r="A8684" t="inlineStr">
        <is>
          <t xml:space="preserve">Motilal Oswal Mutual Fund</t>
        </is>
      </c>
      <c r="B8684" t="inlineStr">
        <is>
          <t xml:space="preserve">Motilal Oswal Nifty 200 Momentum 30 Index Fund-Direct Plan</t>
        </is>
      </c>
      <c r="C8684" t="inlineStr">
        <is>
          <t xml:space="preserve">INF247L01AV1</t>
        </is>
      </c>
    </row>
    <row r="8685">
      <c r="A8685" t="inlineStr">
        <is>
          <t xml:space="preserve">Motilal Oswal Mutual Fund</t>
        </is>
      </c>
      <c r="B8685" t="inlineStr">
        <is>
          <t xml:space="preserve">Motilal Oswal Nifty 200 Momentum 30 Index Fund-Regular Plan</t>
        </is>
      </c>
      <c r="C8685" t="inlineStr">
        <is>
          <t xml:space="preserve">INF247L01AW9</t>
        </is>
      </c>
    </row>
    <row r="8686">
      <c r="A8686" t="inlineStr">
        <is>
          <t xml:space="preserve">Motilal Oswal Mutual Fund</t>
        </is>
      </c>
      <c r="B8686" t="inlineStr">
        <is>
          <t xml:space="preserve">Motilal Oswal Nifty 5 year Benchmark G-sec ETF</t>
        </is>
      </c>
      <c r="C8686" t="inlineStr">
        <is>
          <t xml:space="preserve">INF247L01AK4</t>
        </is>
      </c>
    </row>
    <row r="8687">
      <c r="A8687" t="inlineStr">
        <is>
          <t xml:space="preserve">Motilal Oswal Mutual Fund</t>
        </is>
      </c>
      <c r="B8687" t="inlineStr">
        <is>
          <t xml:space="preserve">MOTILAL OSWAL NIFTY 50 EQUAL WEIGHT ETF</t>
        </is>
      </c>
      <c r="C8687" t="inlineStr">
        <is>
          <t xml:space="preserve">INF247L01FC0</t>
        </is>
      </c>
    </row>
    <row r="8688">
      <c r="A8688" t="inlineStr">
        <is>
          <t xml:space="preserve">Motilal Oswal Mutual Fund</t>
        </is>
      </c>
      <c r="B8688" t="inlineStr">
        <is>
          <t xml:space="preserve">Motilal Oswal Nifty 50 ETF</t>
        </is>
      </c>
      <c r="C8688" t="inlineStr">
        <is>
          <t xml:space="preserve">INF247L01536</t>
        </is>
      </c>
    </row>
    <row r="8689">
      <c r="A8689" t="inlineStr">
        <is>
          <t xml:space="preserve">Motilal Oswal Mutual Fund</t>
        </is>
      </c>
      <c r="B8689" t="inlineStr">
        <is>
          <t xml:space="preserve">Motilal Oswal Nifty 50 Index Fund - Direct plan - Growth</t>
        </is>
      </c>
      <c r="C8689" t="inlineStr">
        <is>
          <t xml:space="preserve">INF247L01AE7</t>
        </is>
      </c>
    </row>
    <row r="8690">
      <c r="A8690" t="inlineStr">
        <is>
          <t xml:space="preserve">Motilal Oswal Mutual Fund</t>
        </is>
      </c>
      <c r="B8690" t="inlineStr">
        <is>
          <t xml:space="preserve">Motilal Oswal Nifty 50 Index Fund - Regular plan - Growth</t>
        </is>
      </c>
      <c r="C8690" t="inlineStr">
        <is>
          <t xml:space="preserve">INF247L01AF4</t>
        </is>
      </c>
    </row>
    <row r="8691">
      <c r="A8691" t="inlineStr">
        <is>
          <t xml:space="preserve">Motilal Oswal Mutual Fund</t>
        </is>
      </c>
      <c r="B8691" t="inlineStr">
        <is>
          <t xml:space="preserve">Motilal Oswal Nifty 500 ETF</t>
        </is>
      </c>
      <c r="C8691" t="inlineStr">
        <is>
          <t xml:space="preserve">INF247L01BU1</t>
        </is>
      </c>
    </row>
    <row r="8692">
      <c r="A8692" t="inlineStr">
        <is>
          <t xml:space="preserve">Motilal Oswal Mutual Fund</t>
        </is>
      </c>
      <c r="B8692" t="inlineStr">
        <is>
          <t xml:space="preserve">Motilal Oswal Nifty 500 Index Fund - Direct Plan</t>
        </is>
      </c>
      <c r="C8692" t="inlineStr">
        <is>
          <t xml:space="preserve">INF247L01957</t>
        </is>
      </c>
    </row>
    <row r="8693">
      <c r="A8693" t="inlineStr">
        <is>
          <t xml:space="preserve">Motilal Oswal Mutual Fund</t>
        </is>
      </c>
      <c r="B8693" t="inlineStr">
        <is>
          <t xml:space="preserve">Motilal Oswal Nifty 500 Index Fund - Regular Plan</t>
        </is>
      </c>
      <c r="C8693" t="inlineStr">
        <is>
          <t xml:space="preserve">INF247L01940</t>
        </is>
      </c>
    </row>
    <row r="8694">
      <c r="A8694" t="inlineStr">
        <is>
          <t xml:space="preserve">Motilal Oswal Mutual Fund</t>
        </is>
      </c>
      <c r="B8694" t="inlineStr">
        <is>
          <t xml:space="preserve">Motilal Oswal Nifty 500 Momentum 50 ETF</t>
        </is>
      </c>
      <c r="C8694" t="inlineStr">
        <is>
          <t xml:space="preserve">INF247L01DK8</t>
        </is>
      </c>
    </row>
    <row r="8695">
      <c r="A8695" t="inlineStr">
        <is>
          <t xml:space="preserve">Motilal Oswal Mutual Fund</t>
        </is>
      </c>
      <c r="B8695" t="inlineStr">
        <is>
          <t xml:space="preserve">Motilal Oswal Nifty 500 Momentum 50 Index Fund-Direct Plan-Growth</t>
        </is>
      </c>
      <c r="C8695" t="inlineStr">
        <is>
          <t xml:space="preserve">INF247L01DL6</t>
        </is>
      </c>
    </row>
    <row r="8696">
      <c r="A8696" t="inlineStr">
        <is>
          <t xml:space="preserve">Motilal Oswal Mutual Fund</t>
        </is>
      </c>
      <c r="B8696" t="inlineStr">
        <is>
          <t xml:space="preserve">Motilal Oswal Nifty 500 Momentum 50 Index Fund-Regular Plan-Growth</t>
        </is>
      </c>
      <c r="C8696" t="inlineStr">
        <is>
          <t xml:space="preserve">INF247L01DM4</t>
        </is>
      </c>
    </row>
    <row r="8697">
      <c r="A8697" t="inlineStr">
        <is>
          <t xml:space="preserve">Motilal Oswal Mutual Fund</t>
        </is>
      </c>
      <c r="B8697" t="inlineStr">
        <is>
          <t xml:space="preserve">Motilal Oswal Nifty Alpha 50 ETF</t>
        </is>
      </c>
      <c r="C8697" t="inlineStr">
        <is>
          <t xml:space="preserve">INF247L01FR8</t>
        </is>
      </c>
    </row>
    <row r="8698">
      <c r="A8698" t="inlineStr">
        <is>
          <t xml:space="preserve">Motilal Oswal Mutual Fund</t>
        </is>
      </c>
      <c r="B8698" t="inlineStr">
        <is>
          <t xml:space="preserve">Motilal Oswal Nifty Bank Index - Regular Plan</t>
        </is>
      </c>
      <c r="C8698" t="inlineStr">
        <is>
          <t xml:space="preserve">INF247L01882</t>
        </is>
      </c>
    </row>
    <row r="8699">
      <c r="A8699" t="inlineStr">
        <is>
          <t xml:space="preserve">Motilal Oswal Mutual Fund</t>
        </is>
      </c>
      <c r="B8699" t="inlineStr">
        <is>
          <t xml:space="preserve">Motilal Oswal Nifty Bank Index Fund - Direct Plan</t>
        </is>
      </c>
      <c r="C8699" t="inlineStr">
        <is>
          <t xml:space="preserve">INF247L01890</t>
        </is>
      </c>
    </row>
    <row r="8700">
      <c r="A8700" t="inlineStr">
        <is>
          <t xml:space="preserve">Motilal Oswal Mutual Fund</t>
        </is>
      </c>
      <c r="B8700" t="inlineStr">
        <is>
          <t xml:space="preserve">Motilal Oswal Nifty Capital Market ETF</t>
        </is>
      </c>
      <c r="C8700" t="inlineStr">
        <is>
          <t xml:space="preserve">INF247L01EV3</t>
        </is>
      </c>
    </row>
    <row r="8701">
      <c r="A8701" t="inlineStr">
        <is>
          <t xml:space="preserve">Motilal Oswal Mutual Fund</t>
        </is>
      </c>
      <c r="B8701" t="inlineStr">
        <is>
          <t xml:space="preserve">Motilal Oswal Nifty Capital Market Index Fund - Direct Plan - Growth</t>
        </is>
      </c>
      <c r="C8701" t="inlineStr">
        <is>
          <t xml:space="preserve">INF247L01EB5</t>
        </is>
      </c>
    </row>
    <row r="8702">
      <c r="A8702" t="inlineStr">
        <is>
          <t xml:space="preserve">Motilal Oswal Mutual Fund</t>
        </is>
      </c>
      <c r="B8702" t="inlineStr">
        <is>
          <t xml:space="preserve">Motilal Oswal Nifty Capital Market Index Fund - Regular Plan - Growth</t>
        </is>
      </c>
      <c r="C8702" t="inlineStr">
        <is>
          <t xml:space="preserve">INF247L01EC3</t>
        </is>
      </c>
    </row>
    <row r="8703">
      <c r="A8703" t="inlineStr">
        <is>
          <t xml:space="preserve">Motilal Oswal Mutual Fund</t>
        </is>
      </c>
      <c r="B8703" t="inlineStr">
        <is>
          <t xml:space="preserve">Motilal Oswal Nifty Energy ETF</t>
        </is>
      </c>
      <c r="C8703" t="inlineStr">
        <is>
          <t xml:space="preserve">INF247L01GH7</t>
        </is>
      </c>
    </row>
    <row r="8704">
      <c r="A8704" t="inlineStr">
        <is>
          <t xml:space="preserve">Motilal Oswal Mutual Fund</t>
        </is>
      </c>
      <c r="B8704" t="inlineStr">
        <is>
          <t xml:space="preserve">Motilal Oswal Nifty India Defence ETF</t>
        </is>
      </c>
      <c r="C8704" t="inlineStr">
        <is>
          <t xml:space="preserve">INF247L01DJ0</t>
        </is>
      </c>
    </row>
    <row r="8705">
      <c r="A8705" t="inlineStr">
        <is>
          <t xml:space="preserve">Motilal Oswal Mutual Fund</t>
        </is>
      </c>
      <c r="B8705" t="inlineStr">
        <is>
          <t xml:space="preserve">Motilal Oswal Nifty India Defence Index Fund Direct Plan Growth</t>
        </is>
      </c>
      <c r="C8705" t="inlineStr">
        <is>
          <t xml:space="preserve">INF247L01CW5</t>
        </is>
      </c>
    </row>
    <row r="8706">
      <c r="A8706" t="inlineStr">
        <is>
          <t xml:space="preserve">Motilal Oswal Mutual Fund</t>
        </is>
      </c>
      <c r="B8706" t="inlineStr">
        <is>
          <t xml:space="preserve">Motilal Oswal Nifty India Defence Index Fund Regular Plan Growth</t>
        </is>
      </c>
      <c r="C8706" t="inlineStr">
        <is>
          <t xml:space="preserve">INF247L01CV7</t>
        </is>
      </c>
    </row>
    <row r="8707">
      <c r="A8707" t="inlineStr">
        <is>
          <t xml:space="preserve">Motilal Oswal Mutual Fund</t>
        </is>
      </c>
      <c r="B8707" t="inlineStr">
        <is>
          <t xml:space="preserve">Motilal Oswal Nifty India Manufacturing ETF</t>
        </is>
      </c>
      <c r="C8707" t="inlineStr">
        <is>
          <t xml:space="preserve">INF247L01FK3</t>
        </is>
      </c>
    </row>
    <row r="8708">
      <c r="A8708" t="inlineStr">
        <is>
          <t xml:space="preserve">Motilal Oswal Mutual Fund</t>
        </is>
      </c>
      <c r="B8708" t="inlineStr">
        <is>
          <t xml:space="preserve">Motilal Oswal Nifty India Tourism ETF</t>
        </is>
      </c>
      <c r="C8708" t="inlineStr">
        <is>
          <t xml:space="preserve">INF247L01FP2</t>
        </is>
      </c>
    </row>
    <row r="8709">
      <c r="A8709" t="inlineStr">
        <is>
          <t xml:space="preserve">Motilal Oswal Mutual Fund</t>
        </is>
      </c>
      <c r="B8709" t="inlineStr">
        <is>
          <t xml:space="preserve">Motilal Oswal Nifty Microcap 250 Index Fund- Direct- Growth Option</t>
        </is>
      </c>
      <c r="C8709" t="inlineStr">
        <is>
          <t xml:space="preserve">INF247L01BQ9</t>
        </is>
      </c>
    </row>
    <row r="8710">
      <c r="A8710" t="inlineStr">
        <is>
          <t xml:space="preserve">Motilal Oswal Mutual Fund</t>
        </is>
      </c>
      <c r="B8710" t="inlineStr">
        <is>
          <t xml:space="preserve">Motilal Oswal Nifty Microcap 250 Index Fund- Regular- Growth Option</t>
        </is>
      </c>
      <c r="C8710" t="inlineStr">
        <is>
          <t xml:space="preserve">INF247L01BR7</t>
        </is>
      </c>
    </row>
    <row r="8711">
      <c r="A8711" t="inlineStr">
        <is>
          <t xml:space="preserve">Motilal Oswal Mutual Fund</t>
        </is>
      </c>
      <c r="B8711" t="inlineStr">
        <is>
          <t xml:space="preserve">Motilal Oswal Nifty Midcap 100 ETF</t>
        </is>
      </c>
      <c r="C8711" t="inlineStr">
        <is>
          <t xml:space="preserve">INF247L01023</t>
        </is>
      </c>
    </row>
    <row r="8712">
      <c r="A8712" t="inlineStr">
        <is>
          <t xml:space="preserve">Motilal Oswal Mutual Fund</t>
        </is>
      </c>
      <c r="B8712" t="inlineStr">
        <is>
          <t xml:space="preserve">Motilal Oswal Nifty Midcap 150 Index Fund - Direct Plan</t>
        </is>
      </c>
      <c r="C8712" t="inlineStr">
        <is>
          <t xml:space="preserve">INF247L01916</t>
        </is>
      </c>
    </row>
    <row r="8713">
      <c r="A8713" t="inlineStr">
        <is>
          <t xml:space="preserve">Motilal Oswal Mutual Fund</t>
        </is>
      </c>
      <c r="B8713" t="inlineStr">
        <is>
          <t xml:space="preserve">Motilal Oswal Nifty Midcap 150 Index Fund - Regular Plan</t>
        </is>
      </c>
      <c r="C8713" t="inlineStr">
        <is>
          <t xml:space="preserve">INF247L01908</t>
        </is>
      </c>
    </row>
    <row r="8714">
      <c r="A8714" t="inlineStr">
        <is>
          <t xml:space="preserve">Motilal Oswal Mutual Fund</t>
        </is>
      </c>
      <c r="B8714" t="inlineStr">
        <is>
          <t xml:space="preserve">Motilal Oswal Nifty Midcap150 Momentum 50 ETF</t>
        </is>
      </c>
      <c r="C8714" t="inlineStr">
        <is>
          <t xml:space="preserve">INF247L01FQ0</t>
        </is>
      </c>
    </row>
    <row r="8715">
      <c r="A8715" t="inlineStr">
        <is>
          <t xml:space="preserve">Motilal Oswal Mutual Fund</t>
        </is>
      </c>
      <c r="B8715" t="inlineStr">
        <is>
          <t xml:space="preserve">Motilal Oswal Nifty MidSmall Financial Services Index Fund - Direct Plan- Growth</t>
        </is>
      </c>
      <c r="C8715" t="inlineStr">
        <is>
          <t xml:space="preserve">INF247L01DW3</t>
        </is>
      </c>
    </row>
    <row r="8716">
      <c r="A8716" t="inlineStr">
        <is>
          <t xml:space="preserve">Motilal Oswal Mutual Fund</t>
        </is>
      </c>
      <c r="B8716" t="inlineStr">
        <is>
          <t xml:space="preserve">Motilal Oswal Nifty MidSmall Financial Services Index Fund-Regular Plan-Growth</t>
        </is>
      </c>
      <c r="C8716" t="inlineStr">
        <is>
          <t xml:space="preserve">INF247L01DX1</t>
        </is>
      </c>
    </row>
    <row r="8717">
      <c r="A8717" t="inlineStr">
        <is>
          <t xml:space="preserve">Motilal Oswal Mutual Fund</t>
        </is>
      </c>
      <c r="B8717" t="inlineStr">
        <is>
          <t xml:space="preserve">Motilal Oswal Nifty MidSmall Healthcare Index Fund- Direct Plan-Growth</t>
        </is>
      </c>
      <c r="C8717" t="inlineStr">
        <is>
          <t xml:space="preserve">INF247L01EA7</t>
        </is>
      </c>
    </row>
    <row r="8718">
      <c r="A8718" t="inlineStr">
        <is>
          <t xml:space="preserve">Motilal Oswal Mutual Fund</t>
        </is>
      </c>
      <c r="B8718" t="inlineStr">
        <is>
          <t xml:space="preserve">Motilal Oswal Nifty MidSmall Healthcare Index Fund-Regular Plan-Growth</t>
        </is>
      </c>
      <c r="C8718" t="inlineStr">
        <is>
          <t xml:space="preserve">INF247L01DT9</t>
        </is>
      </c>
    </row>
    <row r="8719">
      <c r="A8719" t="inlineStr">
        <is>
          <t xml:space="preserve">Motilal Oswal Mutual Fund</t>
        </is>
      </c>
      <c r="B8719" t="inlineStr">
        <is>
          <t xml:space="preserve">Motilal Oswal Nifty MidSmall India Consumption Index Fund - Direct Plan- Growth</t>
        </is>
      </c>
      <c r="C8719" t="inlineStr">
        <is>
          <t xml:space="preserve">INF247L01DU7</t>
        </is>
      </c>
    </row>
    <row r="8720">
      <c r="A8720" t="inlineStr">
        <is>
          <t xml:space="preserve">Motilal Oswal Mutual Fund</t>
        </is>
      </c>
      <c r="B8720" t="inlineStr">
        <is>
          <t xml:space="preserve">Motilal Oswal Nifty MidSmall India Consumption Index Fund-Regular Plan-Growth</t>
        </is>
      </c>
      <c r="C8720" t="inlineStr">
        <is>
          <t xml:space="preserve">INF247L01DV5</t>
        </is>
      </c>
    </row>
    <row r="8721">
      <c r="A8721" t="inlineStr">
        <is>
          <t xml:space="preserve">Motilal Oswal Mutual Fund</t>
        </is>
      </c>
      <c r="B8721" t="inlineStr">
        <is>
          <t xml:space="preserve">Motilal Oswal Nifty MidSmall IT and Telecom Index Fund - Direct Plan- Growth</t>
        </is>
      </c>
      <c r="C8721" t="inlineStr">
        <is>
          <t xml:space="preserve">INF247L01DY9</t>
        </is>
      </c>
    </row>
    <row r="8722">
      <c r="A8722" t="inlineStr">
        <is>
          <t xml:space="preserve">Motilal Oswal Mutual Fund</t>
        </is>
      </c>
      <c r="B8722" t="inlineStr">
        <is>
          <t xml:space="preserve">Motilal Oswal Nifty MidSmall IT and Telecom Index Fund-Regular Plan-Growth</t>
        </is>
      </c>
      <c r="C8722" t="inlineStr">
        <is>
          <t xml:space="preserve">INF247L01DZ6</t>
        </is>
      </c>
    </row>
    <row r="8723">
      <c r="A8723" t="inlineStr">
        <is>
          <t xml:space="preserve">Motilal Oswal Mutual Fund</t>
        </is>
      </c>
      <c r="B8723" t="inlineStr">
        <is>
          <t xml:space="preserve">Motilal Oswal Nifty MNC ETF</t>
        </is>
      </c>
      <c r="C8723" t="inlineStr">
        <is>
          <t xml:space="preserve">INF247L01GK1</t>
        </is>
      </c>
    </row>
    <row r="8724">
      <c r="A8724" t="inlineStr">
        <is>
          <t xml:space="preserve">Motilal Oswal Mutual Fund</t>
        </is>
      </c>
      <c r="B8724" t="inlineStr">
        <is>
          <t xml:space="preserve">MOTILAL OSWAL NIFTY NEXT 50 ETF</t>
        </is>
      </c>
      <c r="C8724" t="inlineStr">
        <is>
          <t xml:space="preserve">INF247L01FD8</t>
        </is>
      </c>
    </row>
    <row r="8725">
      <c r="A8725" t="inlineStr">
        <is>
          <t xml:space="preserve">Motilal Oswal Mutual Fund</t>
        </is>
      </c>
      <c r="B8725" t="inlineStr">
        <is>
          <t xml:space="preserve">Motilal Oswal Nifty Next 50 Index Fund - Direct plan - Growth</t>
        </is>
      </c>
      <c r="C8725" t="inlineStr">
        <is>
          <t xml:space="preserve">INF247L01AC1</t>
        </is>
      </c>
    </row>
    <row r="8726">
      <c r="A8726" t="inlineStr">
        <is>
          <t xml:space="preserve">Motilal Oswal Mutual Fund</t>
        </is>
      </c>
      <c r="B8726" t="inlineStr">
        <is>
          <t xml:space="preserve">Motilal Oswal Nifty Next 50 Index Fund - Regular plan - Growth</t>
        </is>
      </c>
      <c r="C8726" t="inlineStr">
        <is>
          <t xml:space="preserve">INF247L01AD9</t>
        </is>
      </c>
    </row>
    <row r="8727">
      <c r="A8727" t="inlineStr">
        <is>
          <t xml:space="preserve">Motilal Oswal Mutual Fund</t>
        </is>
      </c>
      <c r="B8727" t="inlineStr">
        <is>
          <t xml:space="preserve">Motilal Oswal Nifty PSE ETF</t>
        </is>
      </c>
      <c r="C8727" t="inlineStr">
        <is>
          <t xml:space="preserve">INF247L01FO5</t>
        </is>
      </c>
    </row>
    <row r="8728">
      <c r="A8728" t="inlineStr">
        <is>
          <t xml:space="preserve">Motilal Oswal Mutual Fund</t>
        </is>
      </c>
      <c r="B8728" t="inlineStr">
        <is>
          <t xml:space="preserve">Motilal Oswal Nifty Realty ETF</t>
        </is>
      </c>
      <c r="C8728" t="inlineStr">
        <is>
          <t xml:space="preserve">INF247L01CI4</t>
        </is>
      </c>
    </row>
    <row r="8729">
      <c r="A8729" t="inlineStr">
        <is>
          <t xml:space="preserve">Motilal Oswal Mutual Fund</t>
        </is>
      </c>
      <c r="B8729" t="inlineStr">
        <is>
          <t xml:space="preserve">Motilal Oswal Nifty Services Sector ETF</t>
        </is>
      </c>
      <c r="C8729" t="inlineStr">
        <is>
          <t xml:space="preserve">INF247L01GJ3</t>
        </is>
      </c>
    </row>
    <row r="8730">
      <c r="A8730" t="inlineStr">
        <is>
          <t xml:space="preserve">Motilal Oswal Mutual Fund</t>
        </is>
      </c>
      <c r="B8730" t="inlineStr">
        <is>
          <t xml:space="preserve">Motilal Oswal Nifty Smallcap 250 ETF</t>
        </is>
      </c>
      <c r="C8730" t="inlineStr">
        <is>
          <t xml:space="preserve">INF247L01CH6</t>
        </is>
      </c>
    </row>
    <row r="8731">
      <c r="A8731" t="inlineStr">
        <is>
          <t xml:space="preserve">Motilal Oswal Mutual Fund</t>
        </is>
      </c>
      <c r="B8731" t="inlineStr">
        <is>
          <t xml:space="preserve">Motilal Oswal Nifty Smallcap 250 Index - Regular Plan</t>
        </is>
      </c>
      <c r="C8731" t="inlineStr">
        <is>
          <t xml:space="preserve">INF247L01924</t>
        </is>
      </c>
    </row>
    <row r="8732">
      <c r="A8732" t="inlineStr">
        <is>
          <t xml:space="preserve">Motilal Oswal Mutual Fund</t>
        </is>
      </c>
      <c r="B8732" t="inlineStr">
        <is>
          <t xml:space="preserve">Motilal Oswal Nifty Smallcap 250 Index Fund- Direct Plan</t>
        </is>
      </c>
      <c r="C8732" t="inlineStr">
        <is>
          <t xml:space="preserve">INF247L01932</t>
        </is>
      </c>
    </row>
    <row r="8733">
      <c r="A8733" t="inlineStr">
        <is>
          <t xml:space="preserve">Motilal Oswal Mutual Fund</t>
        </is>
      </c>
      <c r="B8733" t="inlineStr">
        <is>
          <t xml:space="preserve">Motilal Oswal Quant Fund - Direct - Growth</t>
        </is>
      </c>
      <c r="C8733" t="inlineStr">
        <is>
          <t xml:space="preserve">INF247L01CS3</t>
        </is>
      </c>
    </row>
    <row r="8734">
      <c r="A8734" t="inlineStr">
        <is>
          <t xml:space="preserve">Motilal Oswal Mutual Fund</t>
        </is>
      </c>
      <c r="B8734" t="inlineStr">
        <is>
          <t xml:space="preserve">Motilal Oswal Quant Fund - Direct - IDCW</t>
        </is>
      </c>
      <c r="C8734" t="inlineStr">
        <is>
          <t xml:space="preserve">INF247L01CT1</t>
        </is>
      </c>
    </row>
    <row r="8735">
      <c r="A8735" t="inlineStr">
        <is>
          <t xml:space="preserve">Motilal Oswal Mutual Fund</t>
        </is>
      </c>
      <c r="B8735" t="inlineStr">
        <is>
          <t xml:space="preserve">Motilal Oswal Quant Fund - Regular - Growth</t>
        </is>
      </c>
      <c r="C8735" t="inlineStr">
        <is>
          <t xml:space="preserve">INF247L01CP9</t>
        </is>
      </c>
    </row>
    <row r="8736">
      <c r="A8736" t="inlineStr">
        <is>
          <t xml:space="preserve">Motilal Oswal Mutual Fund</t>
        </is>
      </c>
      <c r="B8736" t="inlineStr">
        <is>
          <t xml:space="preserve">Motilal Oswal Quant Fund - Regular - IDCW</t>
        </is>
      </c>
      <c r="C8736" t="inlineStr">
        <is>
          <t xml:space="preserve">INF247L01CQ7</t>
        </is>
      </c>
    </row>
    <row r="8737">
      <c r="A8737" t="inlineStr">
        <is>
          <t xml:space="preserve">Motilal Oswal Mutual Fund</t>
        </is>
      </c>
      <c r="B8737" t="inlineStr">
        <is>
          <t xml:space="preserve">Motilal Oswal S&amp;P 500 Index Fund - Direct Plan Growth</t>
        </is>
      </c>
      <c r="C8737" t="inlineStr">
        <is>
          <t xml:space="preserve">INF247L01AG2</t>
        </is>
      </c>
    </row>
    <row r="8738">
      <c r="A8738" t="inlineStr">
        <is>
          <t xml:space="preserve">Motilal Oswal Mutual Fund</t>
        </is>
      </c>
      <c r="B8738" t="inlineStr">
        <is>
          <t xml:space="preserve">Motilal Oswal S&amp;P 500 Index Fund - Regular Plan Growth</t>
        </is>
      </c>
      <c r="C8738" t="inlineStr">
        <is>
          <t xml:space="preserve">INF247L01AH0</t>
        </is>
      </c>
    </row>
    <row r="8739">
      <c r="A8739" t="inlineStr">
        <is>
          <t xml:space="preserve">Motilal Oswal Mutual Fund</t>
        </is>
      </c>
      <c r="B8739" t="inlineStr">
        <is>
          <t xml:space="preserve">Motilal Oswal Services Fund - Direct Plan - Growth</t>
        </is>
      </c>
      <c r="C8739" t="inlineStr">
        <is>
          <t xml:space="preserve">INF247L01FE6</t>
        </is>
      </c>
    </row>
    <row r="8740">
      <c r="A8740" t="inlineStr">
        <is>
          <t xml:space="preserve">Motilal Oswal Mutual Fund</t>
        </is>
      </c>
      <c r="B8740" t="inlineStr">
        <is>
          <t xml:space="preserve">Motilal Oswal Services Fund - Direct Plan - IDCW</t>
        </is>
      </c>
      <c r="C8740" t="inlineStr">
        <is>
          <t xml:space="preserve">INF247L01FI7</t>
        </is>
      </c>
    </row>
    <row r="8741">
      <c r="A8741" t="inlineStr">
        <is>
          <t xml:space="preserve">Motilal Oswal Mutual Fund</t>
        </is>
      </c>
      <c r="B8741" t="inlineStr">
        <is>
          <t xml:space="preserve">Motilal Oswal Services Fund - Regular Plan - Growth</t>
        </is>
      </c>
      <c r="C8741" t="inlineStr">
        <is>
          <t xml:space="preserve">INF247L01FG1</t>
        </is>
      </c>
    </row>
    <row r="8742">
      <c r="A8742" t="inlineStr">
        <is>
          <t xml:space="preserve">Motilal Oswal Mutual Fund</t>
        </is>
      </c>
      <c r="B8742" t="inlineStr">
        <is>
          <t xml:space="preserve">Motilal Oswal Services Fund - Regular Plan - IDCW</t>
        </is>
      </c>
      <c r="C8742" t="inlineStr">
        <is>
          <t xml:space="preserve">INF247L01FJ5</t>
        </is>
      </c>
    </row>
    <row r="8743">
      <c r="A8743" t="inlineStr">
        <is>
          <t xml:space="preserve">Motilal Oswal Mutual Fund</t>
        </is>
      </c>
      <c r="B8743" t="inlineStr">
        <is>
          <t xml:space="preserve">Motilal Oswal Silver ETF</t>
        </is>
      </c>
      <c r="C8743" t="inlineStr">
        <is>
          <t xml:space="preserve">INF247L01FZ1</t>
        </is>
      </c>
    </row>
    <row r="8744">
      <c r="A8744" t="inlineStr">
        <is>
          <t xml:space="preserve">Motilal Oswal Mutual Fund</t>
        </is>
      </c>
      <c r="B8744" t="inlineStr">
        <is>
          <t xml:space="preserve">Motilal Oswal Small Cap Fund - Direct - Growth</t>
        </is>
      </c>
      <c r="C8744" t="inlineStr">
        <is>
          <t xml:space="preserve">INF247L01BY3</t>
        </is>
      </c>
    </row>
    <row r="8745">
      <c r="A8745" t="inlineStr">
        <is>
          <t xml:space="preserve">Motilal Oswal Mutual Fund</t>
        </is>
      </c>
      <c r="B8745" t="inlineStr">
        <is>
          <t xml:space="preserve">Motilal Oswal Small Cap Fund - Direct IDCW</t>
        </is>
      </c>
      <c r="C8745" t="inlineStr">
        <is>
          <t xml:space="preserve">INF247L01BZ0</t>
        </is>
      </c>
    </row>
    <row r="8746">
      <c r="A8746" t="inlineStr">
        <is>
          <t xml:space="preserve">Motilal Oswal Mutual Fund</t>
        </is>
      </c>
      <c r="B8746" t="inlineStr">
        <is>
          <t xml:space="preserve">Motilal Oswal Small Cap Fund - Regular - Growth</t>
        </is>
      </c>
      <c r="C8746" t="inlineStr">
        <is>
          <t xml:space="preserve">INF247L01BV9</t>
        </is>
      </c>
    </row>
    <row r="8747">
      <c r="A8747" t="inlineStr">
        <is>
          <t xml:space="preserve">Motilal Oswal Mutual Fund</t>
        </is>
      </c>
      <c r="B8747" t="inlineStr">
        <is>
          <t xml:space="preserve">Motilal Oswal Small Cap Fund - Regular - IDCW</t>
        </is>
      </c>
      <c r="C8747" t="inlineStr">
        <is>
          <t xml:space="preserve">INF247L01BW7</t>
        </is>
      </c>
    </row>
    <row r="8748">
      <c r="A8748" t="inlineStr">
        <is>
          <t xml:space="preserve">Motilal Oswal Mutual Fund</t>
        </is>
      </c>
      <c r="B8748" t="inlineStr">
        <is>
          <t xml:space="preserve">Motilal Oswal Special Opportunities Fund - Direct - Growth</t>
        </is>
      </c>
      <c r="C8748" t="inlineStr">
        <is>
          <t xml:space="preserve">INF247L01FS6</t>
        </is>
      </c>
    </row>
    <row r="8749">
      <c r="A8749" t="inlineStr">
        <is>
          <t xml:space="preserve">Motilal Oswal Mutual Fund</t>
        </is>
      </c>
      <c r="B8749" t="inlineStr">
        <is>
          <t xml:space="preserve">Motilal Oswal Special Opportunities Fund - Direct- IDCW</t>
        </is>
      </c>
      <c r="C8749" t="inlineStr">
        <is>
          <t xml:space="preserve">INF247L01FT4</t>
        </is>
      </c>
    </row>
    <row r="8750">
      <c r="A8750" t="inlineStr">
        <is>
          <t xml:space="preserve">Motilal Oswal Mutual Fund</t>
        </is>
      </c>
      <c r="B8750" t="inlineStr">
        <is>
          <t xml:space="preserve">Motilal Oswal Special Opportunities Fund-Regular Plan- IDCW</t>
        </is>
      </c>
      <c r="C8750" t="inlineStr">
        <is>
          <t xml:space="preserve">INF247L01FW8</t>
        </is>
      </c>
    </row>
    <row r="8751">
      <c r="A8751" t="inlineStr">
        <is>
          <t xml:space="preserve">Motilal Oswal Mutual Fund</t>
        </is>
      </c>
      <c r="B8751" t="inlineStr">
        <is>
          <t xml:space="preserve">Motilal Oswal Special Opportunities Fund-Regular Plan-Growth</t>
        </is>
      </c>
      <c r="C8751" t="inlineStr">
        <is>
          <t xml:space="preserve">INF247L01FV0</t>
        </is>
      </c>
    </row>
    <row r="8752">
      <c r="A8752" t="inlineStr">
        <is>
          <t xml:space="preserve">Motilal Oswal Mutual Fund</t>
        </is>
      </c>
      <c r="B8752" t="inlineStr">
        <is>
          <t xml:space="preserve">Motilal Oswal Ultra Short Term Fund (MOFUSTF) -Direct Plan- Growth</t>
        </is>
      </c>
      <c r="C8752" t="inlineStr">
        <is>
          <t xml:space="preserve">INF247L01247</t>
        </is>
      </c>
    </row>
    <row r="8753">
      <c r="A8753" t="inlineStr">
        <is>
          <t xml:space="preserve">Motilal Oswal Mutual Fund</t>
        </is>
      </c>
      <c r="B8753" t="inlineStr">
        <is>
          <t xml:space="preserve">Motilal Oswal Ultra Short Term Fund (MOFUSTF)-Regular Plan- Growth</t>
        </is>
      </c>
      <c r="C8753" t="inlineStr">
        <is>
          <t xml:space="preserve">INF247L01213</t>
        </is>
      </c>
    </row>
    <row r="8754">
      <c r="A8754" t="inlineStr">
        <is>
          <t xml:space="preserve">Motilal Oswal Mutual Fund</t>
        </is>
      </c>
      <c r="B8754" t="inlineStr">
        <is>
          <t xml:space="preserve">Motilal Oswal Ultra Short Term Fund Direct - IDCW Daily Reinvestment</t>
        </is>
      </c>
      <c r="C8754" t="inlineStr">
        <is>
          <t xml:space="preserve">INF247L01346</t>
        </is>
      </c>
    </row>
    <row r="8755">
      <c r="A8755" t="inlineStr">
        <is>
          <t xml:space="preserve">Motilal Oswal Mutual Fund</t>
        </is>
      </c>
      <c r="B8755" t="inlineStr">
        <is>
          <t xml:space="preserve">Motilal Oswal Ultra Short Term Fund Direct - IDCW Fortnightly Reinvestment</t>
        </is>
      </c>
      <c r="C8755" t="inlineStr">
        <is>
          <t xml:space="preserve">INF247L01361</t>
        </is>
      </c>
    </row>
    <row r="8756">
      <c r="A8756" t="inlineStr">
        <is>
          <t xml:space="preserve">Motilal Oswal Mutual Fund</t>
        </is>
      </c>
      <c r="B8756" t="inlineStr">
        <is>
          <t xml:space="preserve">Motilal Oswal Ultra Short Term Fund Direct - IDCW Quarterly Payout/Reinvestment</t>
        </is>
      </c>
      <c r="C8756" t="inlineStr">
        <is>
          <t xml:space="preserve">INF247L01403</t>
        </is>
      </c>
    </row>
    <row r="8757">
      <c r="A8757" t="inlineStr">
        <is>
          <t xml:space="preserve">Motilal Oswal Mutual Fund</t>
        </is>
      </c>
      <c r="B8757" t="inlineStr">
        <is>
          <t xml:space="preserve">Motilal Oswal Ultra Short Term Fund Direct - IDCW Weekly Reinvestment</t>
        </is>
      </c>
      <c r="C8757" t="inlineStr">
        <is>
          <t xml:space="preserve">INF247L01353</t>
        </is>
      </c>
    </row>
    <row r="8758">
      <c r="A8758" t="inlineStr">
        <is>
          <t xml:space="preserve">Motilal Oswal Mutual Fund</t>
        </is>
      </c>
      <c r="B8758" t="inlineStr">
        <is>
          <t xml:space="preserve">Motilal Oswal Ultra Short Term Fund Direct Plan - IDCW Monthly Payout/Reinvestment</t>
        </is>
      </c>
      <c r="C8758" t="inlineStr">
        <is>
          <t xml:space="preserve">INF247L01395</t>
        </is>
      </c>
    </row>
    <row r="8759">
      <c r="A8759" t="inlineStr">
        <is>
          <t xml:space="preserve">Motilal Oswal Mutual Fund</t>
        </is>
      </c>
      <c r="B8759" t="inlineStr">
        <is>
          <t xml:space="preserve">Motilal Oswal Ultra Short Term Fund Regular - IDCW Daily Reinvestment</t>
        </is>
      </c>
      <c r="C8759" t="inlineStr">
        <is>
          <t xml:space="preserve">INF247L01270</t>
        </is>
      </c>
    </row>
    <row r="8760">
      <c r="A8760" t="inlineStr">
        <is>
          <t xml:space="preserve">Motilal Oswal Mutual Fund</t>
        </is>
      </c>
      <c r="B8760" t="inlineStr">
        <is>
          <t xml:space="preserve">Motilal Oswal Ultra Short Term Fund Regular - IDCW Fortnightly Reinvestment</t>
        </is>
      </c>
      <c r="C8760" t="inlineStr">
        <is>
          <t xml:space="preserve">INF247L01296</t>
        </is>
      </c>
    </row>
    <row r="8761">
      <c r="A8761" t="inlineStr">
        <is>
          <t xml:space="preserve">Motilal Oswal Mutual Fund</t>
        </is>
      </c>
      <c r="B8761" t="inlineStr">
        <is>
          <t xml:space="preserve">Motilal Oswal Ultra Short Term Fund Regular - IDCW Monthly Payout/Reinvestment</t>
        </is>
      </c>
      <c r="C8761" t="inlineStr">
        <is>
          <t xml:space="preserve">INF247L01320</t>
        </is>
      </c>
    </row>
    <row r="8762">
      <c r="A8762" t="inlineStr">
        <is>
          <t xml:space="preserve">Motilal Oswal Mutual Fund</t>
        </is>
      </c>
      <c r="B8762" t="inlineStr">
        <is>
          <t xml:space="preserve">Motilal Oswal Ultra Short Term Fund Regular - IDCW Quarterly Payout/Reinvestment</t>
        </is>
      </c>
      <c r="C8762" t="inlineStr">
        <is>
          <t xml:space="preserve">INF247L01338</t>
        </is>
      </c>
    </row>
    <row r="8763">
      <c r="A8763" t="inlineStr">
        <is>
          <t xml:space="preserve">Motilal Oswal Mutual Fund</t>
        </is>
      </c>
      <c r="B8763" t="inlineStr">
        <is>
          <t xml:space="preserve">Motilal Oswal Ultra Short Term Fund Regular - IDCW Weekly Reinvestment</t>
        </is>
      </c>
      <c r="C8763" t="inlineStr">
        <is>
          <t xml:space="preserve">INF247L01288</t>
        </is>
      </c>
    </row>
    <row r="8764">
      <c r="A8764" t="inlineStr">
        <is>
          <t xml:space="preserve">Motilal Oswal Mutual Fund</t>
        </is>
      </c>
      <c r="B8764" t="inlineStr">
        <is>
          <t xml:space="preserve">Motilal Owsal Manufacturing Fund - Regular Plan - Growth</t>
        </is>
      </c>
      <c r="C8764" t="inlineStr">
        <is>
          <t xml:space="preserve">INF247L01CX3</t>
        </is>
      </c>
    </row>
    <row r="8765">
      <c r="A8765" t="inlineStr">
        <is>
          <t xml:space="preserve">Navi Mutual Fund</t>
        </is>
      </c>
      <c r="B8765" t="inlineStr">
        <is>
          <t xml:space="preserve">Navi Aggressive Hybrid Fund - Direct Plan - Growth</t>
        </is>
      </c>
      <c r="C8765" t="inlineStr">
        <is>
          <t xml:space="preserve">INF959L01CX3</t>
        </is>
      </c>
    </row>
    <row r="8766">
      <c r="A8766" t="inlineStr">
        <is>
          <t xml:space="preserve">Navi Mutual Fund</t>
        </is>
      </c>
      <c r="B8766" t="inlineStr">
        <is>
          <t xml:space="preserve">Navi Aggressive Hybrid Fund - Direct Plan Annual IDCW</t>
        </is>
      </c>
      <c r="C8766" t="inlineStr">
        <is>
          <t xml:space="preserve">INF959L01DG6</t>
        </is>
      </c>
    </row>
    <row r="8767">
      <c r="A8767" t="inlineStr">
        <is>
          <t xml:space="preserve">Navi Mutual Fund</t>
        </is>
      </c>
      <c r="B8767" t="inlineStr">
        <is>
          <t xml:space="preserve">Navi Aggressive Hybrid Fund - Direct Plan Half Yearly IDCW</t>
        </is>
      </c>
      <c r="C8767" t="inlineStr">
        <is>
          <t xml:space="preserve">INF959L01DE1</t>
        </is>
      </c>
    </row>
    <row r="8768">
      <c r="A8768" t="inlineStr">
        <is>
          <t xml:space="preserve">Navi Mutual Fund</t>
        </is>
      </c>
      <c r="B8768" t="inlineStr">
        <is>
          <t xml:space="preserve">Navi Aggressive Hybrid Fund - Direct Plan Monthly IDCW</t>
        </is>
      </c>
      <c r="C8768" t="inlineStr">
        <is>
          <t xml:space="preserve">INF959L01DA9</t>
        </is>
      </c>
    </row>
    <row r="8769">
      <c r="A8769" t="inlineStr">
        <is>
          <t xml:space="preserve">Navi Mutual Fund</t>
        </is>
      </c>
      <c r="B8769" t="inlineStr">
        <is>
          <t xml:space="preserve">Navi Aggressive Hybrid Fund - Direct Plan Normal IDCW</t>
        </is>
      </c>
      <c r="C8769" t="inlineStr">
        <is>
          <t xml:space="preserve">INF959L01CY1</t>
        </is>
      </c>
    </row>
    <row r="8770">
      <c r="A8770" t="inlineStr">
        <is>
          <t xml:space="preserve">Navi Mutual Fund</t>
        </is>
      </c>
      <c r="B8770" t="inlineStr">
        <is>
          <t xml:space="preserve">Navi Aggressive Hybrid Fund - Direct Plan Quarterly IDCW</t>
        </is>
      </c>
      <c r="C8770" t="inlineStr">
        <is>
          <t xml:space="preserve">INF959L01DC5</t>
        </is>
      </c>
    </row>
    <row r="8771">
      <c r="A8771" t="inlineStr">
        <is>
          <t xml:space="preserve">Navi Mutual Fund</t>
        </is>
      </c>
      <c r="B8771" t="inlineStr">
        <is>
          <t xml:space="preserve">Navi Aggressive Hybrid Fund - Regular Plan - Growth</t>
        </is>
      </c>
      <c r="C8771" t="inlineStr">
        <is>
          <t xml:space="preserve">INF959L01DI2</t>
        </is>
      </c>
    </row>
    <row r="8772">
      <c r="A8772" t="inlineStr">
        <is>
          <t xml:space="preserve">Navi Mutual Fund</t>
        </is>
      </c>
      <c r="B8772" t="inlineStr">
        <is>
          <t xml:space="preserve">Navi Aggressive Hybrid Fund - Regular Plan Annual IDCW</t>
        </is>
      </c>
      <c r="C8772" t="inlineStr">
        <is>
          <t xml:space="preserve">INF959L01DR3</t>
        </is>
      </c>
    </row>
    <row r="8773">
      <c r="A8773" t="inlineStr">
        <is>
          <t xml:space="preserve">Navi Mutual Fund</t>
        </is>
      </c>
      <c r="B8773" t="inlineStr">
        <is>
          <t xml:space="preserve">Navi Aggressive Hybrid Fund - Regular Plan Half Yearly IDCW</t>
        </is>
      </c>
      <c r="C8773" t="inlineStr">
        <is>
          <t xml:space="preserve">INF959L01DP7</t>
        </is>
      </c>
    </row>
    <row r="8774">
      <c r="A8774" t="inlineStr">
        <is>
          <t xml:space="preserve">Navi Mutual Fund</t>
        </is>
      </c>
      <c r="B8774" t="inlineStr">
        <is>
          <t xml:space="preserve">Navi Aggressive Hybrid Fund - Regular Plan Monthly IDCW</t>
        </is>
      </c>
      <c r="C8774" t="inlineStr">
        <is>
          <t xml:space="preserve">INF959L01DL6</t>
        </is>
      </c>
    </row>
    <row r="8775">
      <c r="A8775" t="inlineStr">
        <is>
          <t xml:space="preserve">Navi Mutual Fund</t>
        </is>
      </c>
      <c r="B8775" t="inlineStr">
        <is>
          <t xml:space="preserve">Navi Aggressive Hybrid Fund - Regular Plan Normal IDCW</t>
        </is>
      </c>
      <c r="C8775" t="inlineStr">
        <is>
          <t xml:space="preserve">INF959L01DJ0</t>
        </is>
      </c>
    </row>
    <row r="8776">
      <c r="A8776" t="inlineStr">
        <is>
          <t xml:space="preserve">Navi Mutual Fund</t>
        </is>
      </c>
      <c r="B8776" t="inlineStr">
        <is>
          <t xml:space="preserve">Navi Aggressive Hybrid Fund - Regular Plan Quarterly IDCW</t>
        </is>
      </c>
      <c r="C8776" t="inlineStr">
        <is>
          <t xml:space="preserve">INF959L01DN2</t>
        </is>
      </c>
    </row>
    <row r="8777">
      <c r="A8777" t="inlineStr">
        <is>
          <t xml:space="preserve">Navi Mutual Fund</t>
        </is>
      </c>
      <c r="B8777" t="inlineStr">
        <is>
          <t xml:space="preserve">NAVI BSE SENSEX INDEX FUND - DIRECT PLAN - GROWTH</t>
        </is>
      </c>
      <c r="C8777" t="inlineStr">
        <is>
          <t xml:space="preserve">INF959L01HK9</t>
        </is>
      </c>
    </row>
    <row r="8778">
      <c r="A8778" t="inlineStr">
        <is>
          <t xml:space="preserve">Navi Mutual Fund</t>
        </is>
      </c>
      <c r="B8778" t="inlineStr">
        <is>
          <t xml:space="preserve">NAVI BSE SENSEX INDEX FUND - REGULAR PLAN - GROWTH</t>
        </is>
      </c>
      <c r="C8778" t="inlineStr">
        <is>
          <t xml:space="preserve">INF959L01HJ1</t>
        </is>
      </c>
    </row>
    <row r="8779">
      <c r="A8779" t="inlineStr">
        <is>
          <t xml:space="preserve">Navi Mutual Fund</t>
        </is>
      </c>
      <c r="B8779" t="inlineStr">
        <is>
          <t xml:space="preserve">Navi ELSS Tax Saver Fund - Direct Plan IDCW Payout</t>
        </is>
      </c>
      <c r="C8779" t="inlineStr">
        <is>
          <t xml:space="preserve">INF959L01CE3</t>
        </is>
      </c>
    </row>
    <row r="8780">
      <c r="A8780" t="inlineStr">
        <is>
          <t xml:space="preserve">Navi Mutual Fund</t>
        </is>
      </c>
      <c r="B8780" t="inlineStr">
        <is>
          <t xml:space="preserve">Navi ELSS Tax Saver Fund - Regular Plan IDCW Payout</t>
        </is>
      </c>
      <c r="C8780" t="inlineStr">
        <is>
          <t xml:space="preserve">INF959L01CG8</t>
        </is>
      </c>
    </row>
    <row r="8781">
      <c r="A8781" t="inlineStr">
        <is>
          <t xml:space="preserve">Navi Mutual Fund</t>
        </is>
      </c>
      <c r="B8781" t="inlineStr">
        <is>
          <t xml:space="preserve">Navi ELSS Tax Saver Fund- Direct Plan- Growth Option</t>
        </is>
      </c>
      <c r="C8781" t="inlineStr">
        <is>
          <t xml:space="preserve">INF959L01CD5</t>
        </is>
      </c>
    </row>
    <row r="8782">
      <c r="A8782" t="inlineStr">
        <is>
          <t xml:space="preserve">Navi Mutual Fund</t>
        </is>
      </c>
      <c r="B8782" t="inlineStr">
        <is>
          <t xml:space="preserve">Navi ELSS Tax Saver Fund- Regular Plan- Growth Option</t>
        </is>
      </c>
      <c r="C8782" t="inlineStr">
        <is>
          <t xml:space="preserve">INF959L01CF0</t>
        </is>
      </c>
    </row>
    <row r="8783">
      <c r="A8783" t="inlineStr">
        <is>
          <t xml:space="preserve">Navi Mutual Fund</t>
        </is>
      </c>
      <c r="B8783" t="inlineStr">
        <is>
          <t xml:space="preserve">NAVI ELSS TAX SAVER NIFTY 50 INDEX FUND - DIRECT PLAN GROWTH</t>
        </is>
      </c>
      <c r="C8783" t="inlineStr">
        <is>
          <t xml:space="preserve">INF959L01GR6</t>
        </is>
      </c>
    </row>
    <row r="8784">
      <c r="A8784" t="inlineStr">
        <is>
          <t xml:space="preserve">Navi Mutual Fund</t>
        </is>
      </c>
      <c r="B8784" t="inlineStr">
        <is>
          <t xml:space="preserve">NAVI ELSS TAX SAVER NIFTY 50 INDEX FUND - DIRECT PLAN IDCW PAYOUT</t>
        </is>
      </c>
      <c r="C8784" t="inlineStr">
        <is>
          <t xml:space="preserve">INF959L01GT2</t>
        </is>
      </c>
    </row>
    <row r="8785">
      <c r="A8785" t="inlineStr">
        <is>
          <t xml:space="preserve">Navi Mutual Fund</t>
        </is>
      </c>
      <c r="B8785" t="inlineStr">
        <is>
          <t xml:space="preserve">NAVI ELSS TAX SAVER NIFTY 50 INDEX FUND - REGULAR PLAN GROWTH</t>
        </is>
      </c>
      <c r="C8785" t="inlineStr">
        <is>
          <t xml:space="preserve">INF959L01GS4</t>
        </is>
      </c>
    </row>
    <row r="8786">
      <c r="A8786" t="inlineStr">
        <is>
          <t xml:space="preserve">Navi Mutual Fund</t>
        </is>
      </c>
      <c r="B8786" t="inlineStr">
        <is>
          <t xml:space="preserve">NAVI ELSS TAX SAVER NIFTY 50 INDEX FUND - REGULAR PLAN IDCW PAYOUT</t>
        </is>
      </c>
      <c r="C8786" t="inlineStr">
        <is>
          <t xml:space="preserve">INF959L01GU0</t>
        </is>
      </c>
    </row>
    <row r="8787">
      <c r="A8787" t="inlineStr">
        <is>
          <t xml:space="preserve">Navi Mutual Fund</t>
        </is>
      </c>
      <c r="B8787" t="inlineStr">
        <is>
          <t xml:space="preserve">Navi Flexi Cap Fund - Direct Plan - Growth</t>
        </is>
      </c>
      <c r="C8787" t="inlineStr">
        <is>
          <t xml:space="preserve">INF959L01DT9</t>
        </is>
      </c>
    </row>
    <row r="8788">
      <c r="A8788" t="inlineStr">
        <is>
          <t xml:space="preserve">Navi Mutual Fund</t>
        </is>
      </c>
      <c r="B8788" t="inlineStr">
        <is>
          <t xml:space="preserve">NAVI FLEXI CAP FUND - DIRECT PLAN ANNUAL IDCW PAYOUT</t>
        </is>
      </c>
      <c r="C8788" t="inlineStr">
        <is>
          <t xml:space="preserve">INF959L01EC3</t>
        </is>
      </c>
    </row>
    <row r="8789">
      <c r="A8789" t="inlineStr">
        <is>
          <t xml:space="preserve">Navi Mutual Fund</t>
        </is>
      </c>
      <c r="B8789" t="inlineStr">
        <is>
          <t xml:space="preserve">NAVI FLEXI CAP FUND - DIRECT PLAN HALF YEARLY IDCW PAYOUT</t>
        </is>
      </c>
      <c r="C8789" t="inlineStr">
        <is>
          <t xml:space="preserve">INF959L01EA7</t>
        </is>
      </c>
    </row>
    <row r="8790">
      <c r="A8790" t="inlineStr">
        <is>
          <t xml:space="preserve">Navi Mutual Fund</t>
        </is>
      </c>
      <c r="B8790" t="inlineStr">
        <is>
          <t xml:space="preserve">NAVI FLEXI CAP FUND - DIRECT PLAN MONTHLY IDCW PAYOUT</t>
        </is>
      </c>
      <c r="C8790" t="inlineStr">
        <is>
          <t xml:space="preserve">INF959L01DW3</t>
        </is>
      </c>
    </row>
    <row r="8791">
      <c r="A8791" t="inlineStr">
        <is>
          <t xml:space="preserve">Navi Mutual Fund</t>
        </is>
      </c>
      <c r="B8791" t="inlineStr">
        <is>
          <t xml:space="preserve">NAVI FLEXI CAP FUND - DIRECT PLAN NORMAL IDCW PAYOUT</t>
        </is>
      </c>
      <c r="C8791" t="inlineStr">
        <is>
          <t xml:space="preserve">INF959L01DU7</t>
        </is>
      </c>
    </row>
    <row r="8792">
      <c r="A8792" t="inlineStr">
        <is>
          <t xml:space="preserve">Navi Mutual Fund</t>
        </is>
      </c>
      <c r="B8792" t="inlineStr">
        <is>
          <t xml:space="preserve">NAVI FLEXI CAP FUND - DIRECT PLAN QUARTERLY IDCW PAYOUT</t>
        </is>
      </c>
      <c r="C8792" t="inlineStr">
        <is>
          <t xml:space="preserve">INF959L01DY9</t>
        </is>
      </c>
    </row>
    <row r="8793">
      <c r="A8793" t="inlineStr">
        <is>
          <t xml:space="preserve">Navi Mutual Fund</t>
        </is>
      </c>
      <c r="B8793" t="inlineStr">
        <is>
          <t xml:space="preserve">Navi Flexi Cap Fund - Regular Plan - Growth</t>
        </is>
      </c>
      <c r="C8793" t="inlineStr">
        <is>
          <t xml:space="preserve">INF959L01EE9</t>
        </is>
      </c>
    </row>
    <row r="8794">
      <c r="A8794" t="inlineStr">
        <is>
          <t xml:space="preserve">Navi Mutual Fund</t>
        </is>
      </c>
      <c r="B8794" t="inlineStr">
        <is>
          <t xml:space="preserve">NAVI FLEXI CAP FUND - REGULAR PLAN ANNUAL IDCW PAYOUT</t>
        </is>
      </c>
      <c r="C8794" t="inlineStr">
        <is>
          <t xml:space="preserve">INF959L01EN0</t>
        </is>
      </c>
    </row>
    <row r="8795">
      <c r="A8795" t="inlineStr">
        <is>
          <t xml:space="preserve">Navi Mutual Fund</t>
        </is>
      </c>
      <c r="B8795" t="inlineStr">
        <is>
          <t xml:space="preserve">NAVI FLEXI CAP FUND - REGULAR PLAN HALF YEARLY IDCW PAYOUT</t>
        </is>
      </c>
      <c r="C8795" t="inlineStr">
        <is>
          <t xml:space="preserve">INF959L01EL4</t>
        </is>
      </c>
    </row>
    <row r="8796">
      <c r="A8796" t="inlineStr">
        <is>
          <t xml:space="preserve">Navi Mutual Fund</t>
        </is>
      </c>
      <c r="B8796" t="inlineStr">
        <is>
          <t xml:space="preserve">NAVI FLEXI CAP FUND - REGULAR PLAN MONTHLY IDCW PAYOUT</t>
        </is>
      </c>
      <c r="C8796" t="inlineStr">
        <is>
          <t xml:space="preserve">INF959L01EH2</t>
        </is>
      </c>
    </row>
    <row r="8797">
      <c r="A8797" t="inlineStr">
        <is>
          <t xml:space="preserve">Navi Mutual Fund</t>
        </is>
      </c>
      <c r="B8797" t="inlineStr">
        <is>
          <t xml:space="preserve">NAVI FLEXI CAP FUND - REGULAR PLAN NORMAL IDCW PAYOUT</t>
        </is>
      </c>
      <c r="C8797" t="inlineStr">
        <is>
          <t xml:space="preserve">INF959L01EF6</t>
        </is>
      </c>
    </row>
    <row r="8798">
      <c r="A8798" t="inlineStr">
        <is>
          <t xml:space="preserve">Navi Mutual Fund</t>
        </is>
      </c>
      <c r="B8798" t="inlineStr">
        <is>
          <t xml:space="preserve">NAVI FLEXI CAP FUND - REGULAR PLAN QUARTERLY IDCW PAYOUT</t>
        </is>
      </c>
      <c r="C8798" t="inlineStr">
        <is>
          <t xml:space="preserve">INF959L01EJ8</t>
        </is>
      </c>
    </row>
    <row r="8799">
      <c r="A8799" t="inlineStr">
        <is>
          <t xml:space="preserve">Navi Mutual Fund</t>
        </is>
      </c>
      <c r="B8799" t="inlineStr">
        <is>
          <t xml:space="preserve">Navi Large &amp; Midcap Fund - Direct Annual IDCW Payout</t>
        </is>
      </c>
      <c r="C8799" t="inlineStr">
        <is>
          <t xml:space="preserve">INF959L01CR5</t>
        </is>
      </c>
    </row>
    <row r="8800">
      <c r="A8800" t="inlineStr">
        <is>
          <t xml:space="preserve">Navi Mutual Fund</t>
        </is>
      </c>
      <c r="B8800" t="inlineStr">
        <is>
          <t xml:space="preserve">Navi Large &amp; Midcap Fund - Direct Half Yearly IDCW Payout</t>
        </is>
      </c>
      <c r="C8800" t="inlineStr">
        <is>
          <t xml:space="preserve">INF959L01CP9</t>
        </is>
      </c>
    </row>
    <row r="8801">
      <c r="A8801" t="inlineStr">
        <is>
          <t xml:space="preserve">Navi Mutual Fund</t>
        </is>
      </c>
      <c r="B8801" t="inlineStr">
        <is>
          <t xml:space="preserve">Navi Large &amp; Midcap Fund - Direct Normal IDCW Payout</t>
        </is>
      </c>
      <c r="C8801" t="inlineStr">
        <is>
          <t xml:space="preserve">INF959L01CI4</t>
        </is>
      </c>
    </row>
    <row r="8802">
      <c r="A8802" t="inlineStr">
        <is>
          <t xml:space="preserve">Navi Mutual Fund</t>
        </is>
      </c>
      <c r="B8802" t="inlineStr">
        <is>
          <t xml:space="preserve">Navi Large &amp; Midcap Fund - Regular Annual IDCW payout</t>
        </is>
      </c>
      <c r="C8802" t="inlineStr">
        <is>
          <t xml:space="preserve">INF959L01CV7</t>
        </is>
      </c>
    </row>
    <row r="8803">
      <c r="A8803" t="inlineStr">
        <is>
          <t xml:space="preserve">Navi Mutual Fund</t>
        </is>
      </c>
      <c r="B8803" t="inlineStr">
        <is>
          <t xml:space="preserve">NAVI Large &amp; Midcap Fund - Regular Half Yearly IDCW Payout</t>
        </is>
      </c>
      <c r="C8803" t="inlineStr">
        <is>
          <t xml:space="preserve">INF959L01CT1</t>
        </is>
      </c>
    </row>
    <row r="8804">
      <c r="A8804" t="inlineStr">
        <is>
          <t xml:space="preserve">Navi Mutual Fund</t>
        </is>
      </c>
      <c r="B8804" t="inlineStr">
        <is>
          <t xml:space="preserve">Navi Large &amp; Midcap Fund - Regular Normal IDCW Payout</t>
        </is>
      </c>
      <c r="C8804" t="inlineStr">
        <is>
          <t xml:space="preserve">INF959L01CL8</t>
        </is>
      </c>
    </row>
    <row r="8805">
      <c r="A8805" t="inlineStr">
        <is>
          <t xml:space="preserve">Navi Mutual Fund</t>
        </is>
      </c>
      <c r="B8805" t="inlineStr">
        <is>
          <t xml:space="preserve">Navi Large &amp; Midcap Fund- Direct Plan- Growth Option</t>
        </is>
      </c>
      <c r="C8805" t="inlineStr">
        <is>
          <t xml:space="preserve">INF959L01CH6</t>
        </is>
      </c>
    </row>
    <row r="8806">
      <c r="A8806" t="inlineStr">
        <is>
          <t xml:space="preserve">Navi Mutual Fund</t>
        </is>
      </c>
      <c r="B8806" t="inlineStr">
        <is>
          <t xml:space="preserve">Navi Large &amp; Midcap Fund- Regular Plan- Growth Option</t>
        </is>
      </c>
      <c r="C8806" t="inlineStr">
        <is>
          <t xml:space="preserve">INF959L01CK0</t>
        </is>
      </c>
    </row>
    <row r="8807">
      <c r="A8807" t="inlineStr">
        <is>
          <t xml:space="preserve">Navi Mutual Fund</t>
        </is>
      </c>
      <c r="B8807" t="inlineStr">
        <is>
          <t xml:space="preserve">Navi Liquid Fund - Direct Plan Daily IDCW - ReInvestment</t>
        </is>
      </c>
      <c r="C8807" t="inlineStr">
        <is>
          <t xml:space="preserve">INF959L01GK1</t>
        </is>
      </c>
    </row>
    <row r="8808">
      <c r="A8808" t="inlineStr">
        <is>
          <t xml:space="preserve">Navi Mutual Fund</t>
        </is>
      </c>
      <c r="B8808" t="inlineStr">
        <is>
          <t xml:space="preserve">Navi Liquid Fund - Direct Plan Monthly IDCW - Payout</t>
        </is>
      </c>
      <c r="C8808" t="inlineStr">
        <is>
          <t xml:space="preserve">INF959L01GG9</t>
        </is>
      </c>
    </row>
    <row r="8809">
      <c r="A8809" t="inlineStr">
        <is>
          <t xml:space="preserve">Navi Mutual Fund</t>
        </is>
      </c>
      <c r="B8809" t="inlineStr">
        <is>
          <t xml:space="preserve">Navi Liquid Fund - Direct Plan Weekly IDCW - Payout</t>
        </is>
      </c>
      <c r="C8809" t="inlineStr">
        <is>
          <t xml:space="preserve">INF959L01GI5</t>
        </is>
      </c>
    </row>
    <row r="8810">
      <c r="A8810" t="inlineStr">
        <is>
          <t xml:space="preserve">Navi Mutual Fund</t>
        </is>
      </c>
      <c r="B8810" t="inlineStr">
        <is>
          <t xml:space="preserve">Navi Liquid Fund - Regular Plan Daily IDCW</t>
        </is>
      </c>
      <c r="C8810" t="inlineStr">
        <is>
          <t xml:space="preserve">INF959L01GM7</t>
        </is>
      </c>
    </row>
    <row r="8811">
      <c r="A8811" t="inlineStr">
        <is>
          <t xml:space="preserve">Navi Mutual Fund</t>
        </is>
      </c>
      <c r="B8811" t="inlineStr">
        <is>
          <t xml:space="preserve">Navi Liquid Fund - Regular Plan Monthly IDCW</t>
        </is>
      </c>
      <c r="C8811" t="inlineStr">
        <is>
          <t xml:space="preserve">INF959L01GN5</t>
        </is>
      </c>
    </row>
    <row r="8812">
      <c r="A8812" t="inlineStr">
        <is>
          <t xml:space="preserve">Navi Mutual Fund</t>
        </is>
      </c>
      <c r="B8812" t="inlineStr">
        <is>
          <t xml:space="preserve">Navi Liquid Fund - Regular Plan Weekly IDCW</t>
        </is>
      </c>
      <c r="C8812" t="inlineStr">
        <is>
          <t xml:space="preserve">INF959L01GP0</t>
        </is>
      </c>
    </row>
    <row r="8813">
      <c r="A8813" t="inlineStr">
        <is>
          <t xml:space="preserve">Navi Mutual Fund</t>
        </is>
      </c>
      <c r="B8813" t="inlineStr">
        <is>
          <t xml:space="preserve">Navi Liquid Fund-Direct Plan-Growth Option</t>
        </is>
      </c>
      <c r="C8813" t="inlineStr">
        <is>
          <t xml:space="preserve">INF959L01GF1</t>
        </is>
      </c>
    </row>
    <row r="8814">
      <c r="A8814" t="inlineStr">
        <is>
          <t xml:space="preserve">Navi Mutual Fund</t>
        </is>
      </c>
      <c r="B8814" t="inlineStr">
        <is>
          <t xml:space="preserve">Navi Liquid Fund-Regular Plan-Growth Option</t>
        </is>
      </c>
      <c r="C8814" t="inlineStr">
        <is>
          <t xml:space="preserve">INF959L01GL9</t>
        </is>
      </c>
    </row>
    <row r="8815">
      <c r="A8815" t="inlineStr">
        <is>
          <t xml:space="preserve">Navi Mutual Fund</t>
        </is>
      </c>
      <c r="B8815" t="inlineStr">
        <is>
          <t xml:space="preserve">Navi Liquid Fund-Unclaimed Redemption and Dividend Plan greater than 3 years</t>
        </is>
      </c>
      <c r="C8815" t="inlineStr">
        <is>
          <t xml:space="preserve">INF959L01CO2</t>
        </is>
      </c>
    </row>
    <row r="8816">
      <c r="A8816" t="inlineStr">
        <is>
          <t xml:space="preserve">Navi Mutual Fund</t>
        </is>
      </c>
      <c r="B8816" t="inlineStr">
        <is>
          <t xml:space="preserve">Navi Liquid Fund-Unclaimed Redemption and Dividend Plan less than 3 years</t>
        </is>
      </c>
      <c r="C8816" t="inlineStr">
        <is>
          <t xml:space="preserve">INF959L01CN4</t>
        </is>
      </c>
    </row>
    <row r="8817">
      <c r="A8817" t="inlineStr">
        <is>
          <t xml:space="preserve">Navi Mutual Fund</t>
        </is>
      </c>
      <c r="B8817" t="inlineStr">
        <is>
          <t xml:space="preserve">Navi NASDAQ100 US Specific Equity Passive FOF- Direct- Growth</t>
        </is>
      </c>
      <c r="C8817" t="inlineStr">
        <is>
          <t xml:space="preserve">INF959L01FZ1</t>
        </is>
      </c>
    </row>
    <row r="8818">
      <c r="A8818" t="inlineStr">
        <is>
          <t xml:space="preserve">Navi Mutual Fund</t>
        </is>
      </c>
      <c r="B8818" t="inlineStr">
        <is>
          <t xml:space="preserve">Navi NASDAQ100 US Specific Equity Passive FOF- Regular- Growth</t>
        </is>
      </c>
      <c r="C8818" t="inlineStr">
        <is>
          <t xml:space="preserve">INF959L01GA2</t>
        </is>
      </c>
    </row>
    <row r="8819">
      <c r="A8819" t="inlineStr">
        <is>
          <t xml:space="preserve">Navi Mutual Fund</t>
        </is>
      </c>
      <c r="B8819" t="inlineStr">
        <is>
          <t xml:space="preserve">Navi Nifty 50 Index Fund-Direct Plan-Growth</t>
        </is>
      </c>
      <c r="C8819" t="inlineStr">
        <is>
          <t xml:space="preserve">INF959L01FP2</t>
        </is>
      </c>
    </row>
    <row r="8820">
      <c r="A8820" t="inlineStr">
        <is>
          <t xml:space="preserve">Navi Mutual Fund</t>
        </is>
      </c>
      <c r="B8820" t="inlineStr">
        <is>
          <t xml:space="preserve">Navi Nifty 50 Index Fund-Regular Plan-Growth</t>
        </is>
      </c>
      <c r="C8820" t="inlineStr">
        <is>
          <t xml:space="preserve">INF959L01FQ0</t>
        </is>
      </c>
    </row>
    <row r="8821">
      <c r="A8821" t="inlineStr">
        <is>
          <t xml:space="preserve">Navi Mutual Fund</t>
        </is>
      </c>
      <c r="B8821" t="inlineStr">
        <is>
          <t xml:space="preserve">NAVI NIFTY 500 MULTICAP 50-25-25 DIRECT PLAN</t>
        </is>
      </c>
      <c r="C8821" t="inlineStr">
        <is>
          <t xml:space="preserve">INF959L01HO1</t>
        </is>
      </c>
    </row>
    <row r="8822">
      <c r="A8822" t="inlineStr">
        <is>
          <t xml:space="preserve">Navi Mutual Fund</t>
        </is>
      </c>
      <c r="B8822" t="inlineStr">
        <is>
          <t xml:space="preserve">NAVI NIFTY 500 MULTICAP 50-25-25 REGULAR PLAN</t>
        </is>
      </c>
      <c r="C8822" t="inlineStr">
        <is>
          <t xml:space="preserve">INF959L01HN3</t>
        </is>
      </c>
    </row>
    <row r="8823">
      <c r="A8823" t="inlineStr">
        <is>
          <t xml:space="preserve">Navi Mutual Fund</t>
        </is>
      </c>
      <c r="B8823" t="inlineStr">
        <is>
          <t xml:space="preserve">Navi Nifty Bank Index Fund- Direct Plan- Growth</t>
        </is>
      </c>
      <c r="C8823" t="inlineStr">
        <is>
          <t xml:space="preserve">INF959L01FT4</t>
        </is>
      </c>
    </row>
    <row r="8824">
      <c r="A8824" t="inlineStr">
        <is>
          <t xml:space="preserve">Navi Mutual Fund</t>
        </is>
      </c>
      <c r="B8824" t="inlineStr">
        <is>
          <t xml:space="preserve">Navi Nifty Bank Index Fund- Regular Plan- Growth</t>
        </is>
      </c>
      <c r="C8824" t="inlineStr">
        <is>
          <t xml:space="preserve">INF959L01FU2</t>
        </is>
      </c>
    </row>
    <row r="8825">
      <c r="A8825" t="inlineStr">
        <is>
          <t xml:space="preserve">Navi Mutual Fund</t>
        </is>
      </c>
      <c r="B8825" t="inlineStr">
        <is>
          <t xml:space="preserve">Navi Nifty India Manufacturing Index Fund- Direct Plan- Growth</t>
        </is>
      </c>
      <c r="C8825" t="inlineStr">
        <is>
          <t xml:space="preserve">INF959L01GD6</t>
        </is>
      </c>
    </row>
    <row r="8826">
      <c r="A8826" t="inlineStr">
        <is>
          <t xml:space="preserve">Navi Mutual Fund</t>
        </is>
      </c>
      <c r="B8826" t="inlineStr">
        <is>
          <t xml:space="preserve">Navi Nifty India Manufacturing Index Fund- Regular Plan- Growth</t>
        </is>
      </c>
      <c r="C8826" t="inlineStr">
        <is>
          <t xml:space="preserve">INF959L01GE4</t>
        </is>
      </c>
    </row>
    <row r="8827">
      <c r="A8827" t="inlineStr">
        <is>
          <t xml:space="preserve">Navi Mutual Fund</t>
        </is>
      </c>
      <c r="B8827" t="inlineStr">
        <is>
          <t xml:space="preserve">Navi Nifty Midcap 150 Index Fund Direct Plan- Growth</t>
        </is>
      </c>
      <c r="C8827" t="inlineStr">
        <is>
          <t xml:space="preserve">INF959L01FX6</t>
        </is>
      </c>
    </row>
    <row r="8828">
      <c r="A8828" t="inlineStr">
        <is>
          <t xml:space="preserve">Navi Mutual Fund</t>
        </is>
      </c>
      <c r="B8828" t="inlineStr">
        <is>
          <t xml:space="preserve">Navi Nifty Midcap 150 Index Fund Regular Plan- Growth</t>
        </is>
      </c>
      <c r="C8828" t="inlineStr">
        <is>
          <t xml:space="preserve">INF959L01FY4</t>
        </is>
      </c>
    </row>
    <row r="8829">
      <c r="A8829" t="inlineStr">
        <is>
          <t xml:space="preserve">Navi Mutual Fund</t>
        </is>
      </c>
      <c r="B8829" t="inlineStr">
        <is>
          <t xml:space="preserve">Navi Nifty Midsmall 400 Index Fund - Regular - Growth</t>
        </is>
      </c>
      <c r="C8829" t="inlineStr">
        <is>
          <t xml:space="preserve">INF959L01HS2</t>
        </is>
      </c>
    </row>
    <row r="8830">
      <c r="A8830" t="inlineStr">
        <is>
          <t xml:space="preserve">Navi Mutual Fund</t>
        </is>
      </c>
      <c r="B8830" t="inlineStr">
        <is>
          <t xml:space="preserve">Navi Nifty midsmallcap 400 Index Fund- Direct - Growth</t>
        </is>
      </c>
      <c r="C8830" t="inlineStr">
        <is>
          <t xml:space="preserve">INF959L01HR4</t>
        </is>
      </c>
    </row>
    <row r="8831">
      <c r="A8831" t="inlineStr">
        <is>
          <t xml:space="preserve">Navi Mutual Fund</t>
        </is>
      </c>
      <c r="B8831" t="inlineStr">
        <is>
          <t xml:space="preserve">Navi Nifty Next 50 Index Fund- Direct Plan- Growth</t>
        </is>
      </c>
      <c r="C8831" t="inlineStr">
        <is>
          <t xml:space="preserve">INF959L01FR8</t>
        </is>
      </c>
    </row>
    <row r="8832">
      <c r="A8832" t="inlineStr">
        <is>
          <t xml:space="preserve">Navi Mutual Fund</t>
        </is>
      </c>
      <c r="B8832" t="inlineStr">
        <is>
          <t xml:space="preserve">Navi Nifty Next 50 Index Fund- Regular Plan- Growth</t>
        </is>
      </c>
      <c r="C8832" t="inlineStr">
        <is>
          <t xml:space="preserve">INF959L01FS6</t>
        </is>
      </c>
    </row>
    <row r="8833">
      <c r="A8833" t="inlineStr">
        <is>
          <t xml:space="preserve">Navi Mutual Fund</t>
        </is>
      </c>
      <c r="B8833" t="inlineStr">
        <is>
          <t xml:space="preserve">Navi Nifty Smallcap 250 Momentum quality index fund- Direct Plan</t>
        </is>
      </c>
      <c r="C8833" t="inlineStr">
        <is>
          <t xml:space="preserve">INF959L01HQ6</t>
        </is>
      </c>
    </row>
    <row r="8834">
      <c r="A8834" t="inlineStr">
        <is>
          <t xml:space="preserve">Navi Mutual Fund</t>
        </is>
      </c>
      <c r="B8834" t="inlineStr">
        <is>
          <t xml:space="preserve">Navi Nifty Smallcap 250 Momentum quality index fund- Regular Plan</t>
        </is>
      </c>
      <c r="C8834" t="inlineStr">
        <is>
          <t xml:space="preserve">INF959L01HP8</t>
        </is>
      </c>
    </row>
    <row r="8835">
      <c r="A8835" t="inlineStr">
        <is>
          <t xml:space="preserve">Navi Mutual Fund</t>
        </is>
      </c>
      <c r="B8835" t="inlineStr">
        <is>
          <t xml:space="preserve">Navi NiftyIT Index Fund - Direct Plan- Growth</t>
        </is>
      </c>
      <c r="C8835" t="inlineStr">
        <is>
          <t xml:space="preserve">INF959L01HM5</t>
        </is>
      </c>
    </row>
    <row r="8836">
      <c r="A8836" t="inlineStr">
        <is>
          <t xml:space="preserve">Navi Mutual Fund</t>
        </is>
      </c>
      <c r="B8836" t="inlineStr">
        <is>
          <t xml:space="preserve">Navi NiftyIT Index Fund - Regular Plan -Growth</t>
        </is>
      </c>
      <c r="C8836" t="inlineStr">
        <is>
          <t xml:space="preserve">INF959L01HL7</t>
        </is>
      </c>
    </row>
    <row r="8837">
      <c r="A8837" t="inlineStr">
        <is>
          <t xml:space="preserve">Navi Mutual Fund</t>
        </is>
      </c>
      <c r="B8837" t="inlineStr">
        <is>
          <t xml:space="preserve">Navi Total Stock Market US Specific Equity Passive FoF- Direct Plan- Growth</t>
        </is>
      </c>
      <c r="C8837" t="inlineStr">
        <is>
          <t xml:space="preserve">INF959L01FV0</t>
        </is>
      </c>
    </row>
    <row r="8838">
      <c r="A8838" t="inlineStr">
        <is>
          <t xml:space="preserve">Navi Mutual Fund</t>
        </is>
      </c>
      <c r="B8838" t="inlineStr">
        <is>
          <t xml:space="preserve">Navi Total Stock Market US Specific Equity Passive FoF- Regular Plan- Growth</t>
        </is>
      </c>
      <c r="C8838" t="inlineStr">
        <is>
          <t xml:space="preserve">INF959L01FW8</t>
        </is>
      </c>
    </row>
    <row r="8839">
      <c r="A8839" t="inlineStr">
        <is>
          <t xml:space="preserve">Nippon India Mutual Fund</t>
        </is>
      </c>
      <c r="B8839" t="inlineStr">
        <is>
          <t xml:space="preserve">NIPPON INDIA - INDIA OPPORTUNITIES FUND - SERIES A - DIRECT Plan - IDCW Option</t>
        </is>
      </c>
      <c r="C8839" t="inlineStr">
        <is>
          <t xml:space="preserve">INF204KB1I57</t>
        </is>
      </c>
    </row>
    <row r="8840">
      <c r="A8840" t="inlineStr">
        <is>
          <t xml:space="preserve">Nippon India Mutual Fund</t>
        </is>
      </c>
      <c r="B8840" t="inlineStr">
        <is>
          <t xml:space="preserve">NIPPON INDIA - INDIA OPPORTUNITIES FUND - SERIES A - IDCW Option</t>
        </is>
      </c>
      <c r="C8840" t="inlineStr">
        <is>
          <t xml:space="preserve">INF204KB1I32</t>
        </is>
      </c>
    </row>
    <row r="8841">
      <c r="A8841" t="inlineStr">
        <is>
          <t xml:space="preserve">Nippon India Mutual Fund</t>
        </is>
      </c>
      <c r="B8841" t="inlineStr">
        <is>
          <t xml:space="preserve">NIPPON INDIA - JAPAN EQUITY FUND - DIRECT Plan - IDCW Option</t>
        </is>
      </c>
      <c r="C8841" t="inlineStr">
        <is>
          <t xml:space="preserve">INF204KA1SM3</t>
        </is>
      </c>
    </row>
    <row r="8842">
      <c r="A8842" t="inlineStr">
        <is>
          <t xml:space="preserve">Nippon India Mutual Fund</t>
        </is>
      </c>
      <c r="B8842" t="inlineStr">
        <is>
          <t xml:space="preserve">NIPPON INDIA - JAPAN EQUITY FUND - IDCW Option</t>
        </is>
      </c>
      <c r="C8842" t="inlineStr">
        <is>
          <t xml:space="preserve">INF204KA1SL5</t>
        </is>
      </c>
    </row>
    <row r="8843">
      <c r="A8843" t="inlineStr">
        <is>
          <t xml:space="preserve">Nippon India Mutual Fund</t>
        </is>
      </c>
      <c r="B8843" t="inlineStr">
        <is>
          <t xml:space="preserve">NIPPON INDIA - US EQUITY OPPORTUNITIES FUND - Direct Plan - IDCW Option</t>
        </is>
      </c>
      <c r="C8843" t="inlineStr">
        <is>
          <t xml:space="preserve">INF204KA16G3</t>
        </is>
      </c>
    </row>
    <row r="8844">
      <c r="A8844" t="inlineStr">
        <is>
          <t xml:space="preserve">Nippon India Mutual Fund</t>
        </is>
      </c>
      <c r="B8844" t="inlineStr">
        <is>
          <t xml:space="preserve">NIPPON INDIA - US EQUITY OPPORTUNITIES FUND - IDCW Option</t>
        </is>
      </c>
      <c r="C8844" t="inlineStr">
        <is>
          <t xml:space="preserve">INF204KA13G0</t>
        </is>
      </c>
    </row>
    <row r="8845">
      <c r="A8845" t="inlineStr">
        <is>
          <t xml:space="preserve">Nippon India Mutual Fund</t>
        </is>
      </c>
      <c r="B8845" t="inlineStr">
        <is>
          <t xml:space="preserve">Nippon India Active Momentum Fund - Regular Plan- Growth Option</t>
        </is>
      </c>
      <c r="C8845" t="inlineStr">
        <is>
          <t xml:space="preserve">INF204KC1EH1</t>
        </is>
      </c>
    </row>
    <row r="8846">
      <c r="A8846" t="inlineStr">
        <is>
          <t xml:space="preserve">Nippon India Mutual Fund</t>
        </is>
      </c>
      <c r="B8846" t="inlineStr">
        <is>
          <t xml:space="preserve">Nippon India Active Momentum Fund- Direct Plan IDCW Option</t>
        </is>
      </c>
      <c r="C8846" t="inlineStr">
        <is>
          <t xml:space="preserve">INF204KC1EL3</t>
        </is>
      </c>
    </row>
    <row r="8847">
      <c r="A8847" t="inlineStr">
        <is>
          <t xml:space="preserve">Nippon India Mutual Fund</t>
        </is>
      </c>
      <c r="B8847" t="inlineStr">
        <is>
          <t xml:space="preserve">Nippon India Active Momentum Fund- Regular Plan- IDCW Option</t>
        </is>
      </c>
      <c r="C8847" t="inlineStr">
        <is>
          <t xml:space="preserve">INF204KC1EI9</t>
        </is>
      </c>
    </row>
    <row r="8848">
      <c r="A8848" t="inlineStr">
        <is>
          <t xml:space="preserve">Nippon India Mutual Fund</t>
        </is>
      </c>
      <c r="B8848" t="inlineStr">
        <is>
          <t xml:space="preserve">Nippon India Active Momentum Fund-Direct Plan - Growth Option</t>
        </is>
      </c>
      <c r="C8848" t="inlineStr">
        <is>
          <t xml:space="preserve">INF204KC1EK5</t>
        </is>
      </c>
    </row>
    <row r="8849">
      <c r="A8849" t="inlineStr">
        <is>
          <t xml:space="preserve">Nippon India Mutual Fund</t>
        </is>
      </c>
      <c r="B8849" t="inlineStr">
        <is>
          <t xml:space="preserve">Nippon India Aggressive  Hybrid Fund - Segregated Portfolio 2 - Direct Plan - Growth Plan</t>
        </is>
      </c>
      <c r="C8849" t="inlineStr">
        <is>
          <t xml:space="preserve">INF204KB13T1</t>
        </is>
      </c>
    </row>
    <row r="8850">
      <c r="A8850" t="inlineStr">
        <is>
          <t xml:space="preserve">Nippon India Mutual Fund</t>
        </is>
      </c>
      <c r="B8850" t="inlineStr">
        <is>
          <t xml:space="preserve">Nippon India Aggressive Hybrid Fund  - Direct Plan Growth Plan</t>
        </is>
      </c>
      <c r="C8850" t="inlineStr">
        <is>
          <t xml:space="preserve">INF204K01B08</t>
        </is>
      </c>
    </row>
    <row r="8851">
      <c r="A8851" t="inlineStr">
        <is>
          <t xml:space="preserve">Nippon India Mutual Fund</t>
        </is>
      </c>
      <c r="B8851" t="inlineStr">
        <is>
          <t xml:space="preserve">NIPPON INDIA AGGRESSIVE HYBRID FUND -  SEGREGATED PORTFOLIO 1 - Direct Plan - IDCW Option</t>
        </is>
      </c>
      <c r="C8851" t="inlineStr">
        <is>
          <t xml:space="preserve">INF204KB19F7</t>
        </is>
      </c>
    </row>
    <row r="8852">
      <c r="A8852" t="inlineStr">
        <is>
          <t xml:space="preserve">Nippon India Mutual Fund</t>
        </is>
      </c>
      <c r="B8852" t="inlineStr">
        <is>
          <t xml:space="preserve">NIPPON INDIA AGGRESSIVE HYBRID FUND -  SEGREGATED PORTFOLIO 1 - Direct Plan - MONTHLY IDCW Option</t>
        </is>
      </c>
      <c r="C8852" t="inlineStr">
        <is>
          <t xml:space="preserve">INF204KB11G2</t>
        </is>
      </c>
    </row>
    <row r="8853">
      <c r="A8853" t="inlineStr">
        <is>
          <t xml:space="preserve">Nippon India Mutual Fund</t>
        </is>
      </c>
      <c r="B8853" t="inlineStr">
        <is>
          <t xml:space="preserve">NIPPON INDIA AGGRESSIVE HYBRID FUND -  SEGREGATED PORTFOLIO 1 - Direct Plan - QUARTERLY IDCW Option</t>
        </is>
      </c>
      <c r="C8853" t="inlineStr">
        <is>
          <t xml:space="preserve">INF204KB17F1</t>
        </is>
      </c>
    </row>
    <row r="8854">
      <c r="A8854" t="inlineStr">
        <is>
          <t xml:space="preserve">Nippon India Mutual Fund</t>
        </is>
      </c>
      <c r="B8854" t="inlineStr">
        <is>
          <t xml:space="preserve">NIPPON INDIA AGGRESSIVE HYBRID FUND -  SEGREGATED PORTFOLIO 1 - IDCW Option</t>
        </is>
      </c>
      <c r="C8854" t="inlineStr">
        <is>
          <t xml:space="preserve">INF204KB16G1</t>
        </is>
      </c>
    </row>
    <row r="8855">
      <c r="A8855" t="inlineStr">
        <is>
          <t xml:space="preserve">Nippon India Mutual Fund</t>
        </is>
      </c>
      <c r="B8855" t="inlineStr">
        <is>
          <t xml:space="preserve">NIPPON INDIA AGGRESSIVE HYBRID FUND -  SEGREGATED PORTFOLIO 1 - MONTHLY IDCW Option</t>
        </is>
      </c>
      <c r="C8855" t="inlineStr">
        <is>
          <t xml:space="preserve">INF204KB18G7</t>
        </is>
      </c>
    </row>
    <row r="8856">
      <c r="A8856" t="inlineStr">
        <is>
          <t xml:space="preserve">Nippon India Mutual Fund</t>
        </is>
      </c>
      <c r="B8856" t="inlineStr">
        <is>
          <t xml:space="preserve">NIPPON INDIA AGGRESSIVE HYBRID FUND -  SEGREGATED PORTFOLIO 1 - QUARTERLY IDCW Option</t>
        </is>
      </c>
      <c r="C8856" t="inlineStr">
        <is>
          <t xml:space="preserve">INF204KB14G6</t>
        </is>
      </c>
    </row>
    <row r="8857">
      <c r="A8857" t="inlineStr">
        <is>
          <t xml:space="preserve">Nippon India Mutual Fund</t>
        </is>
      </c>
      <c r="B8857" t="inlineStr">
        <is>
          <t xml:space="preserve">NIPPON INDIA AGGRESSIVE HYBRID FUND -  SEGREGATED PORTFOLIO 2 - DIRECT Plan - IDCW Option</t>
        </is>
      </c>
      <c r="C8857" t="inlineStr">
        <is>
          <t xml:space="preserve">INF204KB16T4</t>
        </is>
      </c>
    </row>
    <row r="8858">
      <c r="A8858" t="inlineStr">
        <is>
          <t xml:space="preserve">Nippon India Mutual Fund</t>
        </is>
      </c>
      <c r="B8858" t="inlineStr">
        <is>
          <t xml:space="preserve">NIPPON INDIA AGGRESSIVE HYBRID FUND -  SEGREGATED PORTFOLIO 2 - DIRECT Plan - MONTHLY IDCW Option</t>
        </is>
      </c>
      <c r="C8858" t="inlineStr">
        <is>
          <t xml:space="preserve">INF204KB18T0</t>
        </is>
      </c>
    </row>
    <row r="8859">
      <c r="A8859" t="inlineStr">
        <is>
          <t xml:space="preserve">Nippon India Mutual Fund</t>
        </is>
      </c>
      <c r="B8859" t="inlineStr">
        <is>
          <t xml:space="preserve">NIPPON INDIA AGGRESSIVE HYBRID FUND -  SEGREGATED PORTFOLIO 2 - DIRECT Plan - QUARTERLY IDCW Option</t>
        </is>
      </c>
      <c r="C8859" t="inlineStr">
        <is>
          <t xml:space="preserve">INF204KB14T9</t>
        </is>
      </c>
    </row>
    <row r="8860">
      <c r="A8860" t="inlineStr">
        <is>
          <t xml:space="preserve">Nippon India Mutual Fund</t>
        </is>
      </c>
      <c r="B8860" t="inlineStr">
        <is>
          <t xml:space="preserve">NIPPON INDIA AGGRESSIVE HYBRID FUND -  SEGREGATED PORTFOLIO 2 - IDCW Option</t>
        </is>
      </c>
      <c r="C8860" t="inlineStr">
        <is>
          <t xml:space="preserve">INF204KB13U9</t>
        </is>
      </c>
    </row>
    <row r="8861">
      <c r="A8861" t="inlineStr">
        <is>
          <t xml:space="preserve">Nippon India Mutual Fund</t>
        </is>
      </c>
      <c r="B8861" t="inlineStr">
        <is>
          <t xml:space="preserve">NIPPON INDIA AGGRESSIVE HYBRID FUND -  SEGREGATED PORTFOLIO 2 - MONTHLY IDCW Option</t>
        </is>
      </c>
      <c r="C8861" t="inlineStr">
        <is>
          <t xml:space="preserve">INF204KB15U4</t>
        </is>
      </c>
    </row>
    <row r="8862">
      <c r="A8862" t="inlineStr">
        <is>
          <t xml:space="preserve">Nippon India Mutual Fund</t>
        </is>
      </c>
      <c r="B8862" t="inlineStr">
        <is>
          <t xml:space="preserve">NIPPON INDIA AGGRESSIVE HYBRID FUND -  SEGREGATED PORTFOLIO 2 - QUARTERLY IDCW Option</t>
        </is>
      </c>
      <c r="C8862" t="inlineStr">
        <is>
          <t xml:space="preserve">INF204KB11U3</t>
        </is>
      </c>
    </row>
    <row r="8863">
      <c r="A8863" t="inlineStr">
        <is>
          <t xml:space="preserve">Nippon India Mutual Fund</t>
        </is>
      </c>
      <c r="B8863" t="inlineStr">
        <is>
          <t xml:space="preserve">NIPPON INDIA AGGRESSIVE HYBRID FUND - DIRECT Plan - IDCW Option</t>
        </is>
      </c>
      <c r="C8863" t="inlineStr">
        <is>
          <t xml:space="preserve">INF204K01B16</t>
        </is>
      </c>
    </row>
    <row r="8864">
      <c r="A8864" t="inlineStr">
        <is>
          <t xml:space="preserve">Nippon India Mutual Fund</t>
        </is>
      </c>
      <c r="B8864" t="inlineStr">
        <is>
          <t xml:space="preserve">NIPPON INDIA AGGRESSIVE HYBRID FUND - DIRECT Plan - MONTHLY IDCW Option</t>
        </is>
      </c>
      <c r="C8864" t="inlineStr">
        <is>
          <t xml:space="preserve">INF204KB1BD7</t>
        </is>
      </c>
    </row>
    <row r="8865">
      <c r="A8865" t="inlineStr">
        <is>
          <t xml:space="preserve">Nippon India Mutual Fund</t>
        </is>
      </c>
      <c r="B8865" t="inlineStr">
        <is>
          <t xml:space="preserve">NIPPON INDIA AGGRESSIVE HYBRID FUND - DIRECT Plan - QUARTERLY IDCW Option</t>
        </is>
      </c>
      <c r="C8865" t="inlineStr">
        <is>
          <t xml:space="preserve">INF204K011R2</t>
        </is>
      </c>
    </row>
    <row r="8866">
      <c r="A8866" t="inlineStr">
        <is>
          <t xml:space="preserve">Nippon India Mutual Fund</t>
        </is>
      </c>
      <c r="B8866" t="inlineStr">
        <is>
          <t xml:space="preserve">Nippon India Aggressive Hybrid Fund - Growth Plan</t>
        </is>
      </c>
      <c r="C8866" t="inlineStr">
        <is>
          <t xml:space="preserve">INF204K01FW1</t>
        </is>
      </c>
    </row>
    <row r="8867">
      <c r="A8867" t="inlineStr">
        <is>
          <t xml:space="preserve">Nippon India Mutual Fund</t>
        </is>
      </c>
      <c r="B8867" t="inlineStr">
        <is>
          <t xml:space="preserve">NIPPON INDIA AGGRESSIVE HYBRID FUND - IDCW Option</t>
        </is>
      </c>
      <c r="C8867" t="inlineStr">
        <is>
          <t xml:space="preserve">INF204K01FX9</t>
        </is>
      </c>
    </row>
    <row r="8868">
      <c r="A8868" t="inlineStr">
        <is>
          <t xml:space="preserve">Nippon India Mutual Fund</t>
        </is>
      </c>
      <c r="B8868" t="inlineStr">
        <is>
          <t xml:space="preserve">NIPPON INDIA AGGRESSIVE HYBRID FUND - MONTHLY IDCW Option</t>
        </is>
      </c>
      <c r="C8868" t="inlineStr">
        <is>
          <t xml:space="preserve">INF204KB1BF2</t>
        </is>
      </c>
    </row>
    <row r="8869">
      <c r="A8869" t="inlineStr">
        <is>
          <t xml:space="preserve">Nippon India Mutual Fund</t>
        </is>
      </c>
      <c r="B8869" t="inlineStr">
        <is>
          <t xml:space="preserve">NIPPON INDIA AGGRESSIVE HYBRID FUND - QUARTERLY IDCW Option</t>
        </is>
      </c>
      <c r="C8869" t="inlineStr">
        <is>
          <t xml:space="preserve">INF204K013R8</t>
        </is>
      </c>
    </row>
    <row r="8870">
      <c r="A8870" t="inlineStr">
        <is>
          <t xml:space="preserve">Nippon India Mutual Fund</t>
        </is>
      </c>
      <c r="B8870" t="inlineStr">
        <is>
          <t xml:space="preserve">Nippon India Aggressive Hybrid Fund - Segregated Portfolio 1 - Direct Plan - Growth Plan</t>
        </is>
      </c>
      <c r="C8870" t="inlineStr">
        <is>
          <t xml:space="preserve">INF204KB16F3</t>
        </is>
      </c>
    </row>
    <row r="8871">
      <c r="A8871" t="inlineStr">
        <is>
          <t xml:space="preserve">Nippon India Mutual Fund</t>
        </is>
      </c>
      <c r="B8871" t="inlineStr">
        <is>
          <t xml:space="preserve">Nippon India Aggressive Hybrid Fund - Segregated Portfolio 1 - Growth Plan</t>
        </is>
      </c>
      <c r="C8871" t="inlineStr">
        <is>
          <t xml:space="preserve">INF204KB13G8</t>
        </is>
      </c>
    </row>
    <row r="8872">
      <c r="A8872" t="inlineStr">
        <is>
          <t xml:space="preserve">Nippon India Mutual Fund</t>
        </is>
      </c>
      <c r="B8872" t="inlineStr">
        <is>
          <t xml:space="preserve">Nippon India Aggressive Hybrid Fund - Segregated Portfolio 2 - Growth Plan</t>
        </is>
      </c>
      <c r="C8872" t="inlineStr">
        <is>
          <t xml:space="preserve">INF204KB10U5</t>
        </is>
      </c>
    </row>
    <row r="8873">
      <c r="A8873" t="inlineStr">
        <is>
          <t xml:space="preserve">Nippon India Mutual Fund</t>
        </is>
      </c>
      <c r="B8873" t="inlineStr">
        <is>
          <t xml:space="preserve">Nippon India Annual Interval Fund - Series I - Direct Plan Growth Plan - Growth</t>
        </is>
      </c>
      <c r="C8873" t="inlineStr">
        <is>
          <t xml:space="preserve">INF204K01B81</t>
        </is>
      </c>
    </row>
    <row r="8874">
      <c r="A8874" t="inlineStr">
        <is>
          <t xml:space="preserve">Nippon India Mutual Fund</t>
        </is>
      </c>
      <c r="B8874" t="inlineStr">
        <is>
          <t xml:space="preserve">NIPPON INDIA ANNUAL INTERVAL FUND - SERIES I - IDCW Option</t>
        </is>
      </c>
      <c r="C8874" t="inlineStr">
        <is>
          <t xml:space="preserve">INF204K01ED4</t>
        </is>
      </c>
    </row>
    <row r="8875">
      <c r="A8875" t="inlineStr">
        <is>
          <t xml:space="preserve">Nippon India Mutual Fund</t>
        </is>
      </c>
      <c r="B8875" t="inlineStr">
        <is>
          <t xml:space="preserve">NIPPON INDIA ANNUAL INTERVAL FUND - SERIES I - RETAIL Plan - IDCW Option</t>
        </is>
      </c>
      <c r="C8875" t="inlineStr">
        <is>
          <t xml:space="preserve">INF204K01EA0</t>
        </is>
      </c>
    </row>
    <row r="8876">
      <c r="A8876" t="inlineStr">
        <is>
          <t xml:space="preserve">Nippon India Mutual Fund</t>
        </is>
      </c>
      <c r="B8876" t="inlineStr">
        <is>
          <t xml:space="preserve">NIPPON INDIA ARBITRAGE FUND - DIRECT Plan - IDCW Option</t>
        </is>
      </c>
      <c r="C8876" t="inlineStr">
        <is>
          <t xml:space="preserve">INF204K01YA8</t>
        </is>
      </c>
    </row>
    <row r="8877">
      <c r="A8877" t="inlineStr">
        <is>
          <t xml:space="preserve">Nippon India Mutual Fund</t>
        </is>
      </c>
      <c r="B8877" t="inlineStr">
        <is>
          <t xml:space="preserve">NIPPON INDIA ARBITRAGE FUND - DIRECT Plan - MONTHLY IDCW Option</t>
        </is>
      </c>
      <c r="C8877" t="inlineStr">
        <is>
          <t xml:space="preserve">INF204KA1MV7</t>
        </is>
      </c>
    </row>
    <row r="8878">
      <c r="A8878" t="inlineStr">
        <is>
          <t xml:space="preserve">Nippon India Mutual Fund</t>
        </is>
      </c>
      <c r="B8878" t="inlineStr">
        <is>
          <t xml:space="preserve">Nippon India Arbitrage Fund - Direct Plan Growth Plan - Growth Option</t>
        </is>
      </c>
      <c r="C8878" t="inlineStr">
        <is>
          <t xml:space="preserve">INF204K01XZ7</t>
        </is>
      </c>
    </row>
    <row r="8879">
      <c r="A8879" t="inlineStr">
        <is>
          <t xml:space="preserve">Nippon India Mutual Fund</t>
        </is>
      </c>
      <c r="B8879" t="inlineStr">
        <is>
          <t xml:space="preserve">Nippon India Arbitrage Fund - Growth Plan - Growth Option</t>
        </is>
      </c>
      <c r="C8879" t="inlineStr">
        <is>
          <t xml:space="preserve">INF204K01IY1</t>
        </is>
      </c>
    </row>
    <row r="8880">
      <c r="A8880" t="inlineStr">
        <is>
          <t xml:space="preserve">Nippon India Mutual Fund</t>
        </is>
      </c>
      <c r="B8880" t="inlineStr">
        <is>
          <t xml:space="preserve">NIPPON INDIA ARBITRAGE FUND - IDCW Option</t>
        </is>
      </c>
      <c r="C8880" t="inlineStr">
        <is>
          <t xml:space="preserve">INF204K01IZ8</t>
        </is>
      </c>
    </row>
    <row r="8881">
      <c r="A8881" t="inlineStr">
        <is>
          <t xml:space="preserve">Nippon India Mutual Fund</t>
        </is>
      </c>
      <c r="B8881" t="inlineStr">
        <is>
          <t xml:space="preserve">NIPPON INDIA ARBITRAGE FUND - MONTHLY IDCW Option</t>
        </is>
      </c>
      <c r="C8881" t="inlineStr">
        <is>
          <t xml:space="preserve">INF204KA1MT1</t>
        </is>
      </c>
    </row>
    <row r="8882">
      <c r="A8882" t="inlineStr">
        <is>
          <t xml:space="preserve">Nippon India Mutual Fund</t>
        </is>
      </c>
      <c r="B8882" t="inlineStr">
        <is>
          <t xml:space="preserve">NIPPON INDIA BALANCED ADVANTAGE FUND - DIRECT Plan - IDCW Option</t>
        </is>
      </c>
      <c r="C8882" t="inlineStr">
        <is>
          <t xml:space="preserve">INF204K01G78</t>
        </is>
      </c>
    </row>
    <row r="8883">
      <c r="A8883" t="inlineStr">
        <is>
          <t xml:space="preserve">Nippon India Mutual Fund</t>
        </is>
      </c>
      <c r="B8883" t="inlineStr">
        <is>
          <t xml:space="preserve">Nippon India Balanced Advantage Fund - Direct Plan Growth Plan - Bonus Option</t>
        </is>
      </c>
      <c r="C8883" t="inlineStr">
        <is>
          <t xml:space="preserve">INF204K01G60</t>
        </is>
      </c>
    </row>
    <row r="8884">
      <c r="A8884" t="inlineStr">
        <is>
          <t xml:space="preserve">Nippon India Mutual Fund</t>
        </is>
      </c>
      <c r="B8884" t="inlineStr">
        <is>
          <t xml:space="preserve">Nippon India Balanced Advantage Fund - Direct Plan Growth Plan - Growth Option</t>
        </is>
      </c>
      <c r="C8884" t="inlineStr">
        <is>
          <t xml:space="preserve">INF204K01G94</t>
        </is>
      </c>
    </row>
    <row r="8885">
      <c r="A8885" t="inlineStr">
        <is>
          <t xml:space="preserve">Nippon India Mutual Fund</t>
        </is>
      </c>
      <c r="B8885" t="inlineStr">
        <is>
          <t xml:space="preserve">NIPPON INDIA BALANCED ADVANTAGE FUND - IDCW Option</t>
        </is>
      </c>
      <c r="C8885" t="inlineStr">
        <is>
          <t xml:space="preserve">INF204K01570</t>
        </is>
      </c>
    </row>
    <row r="8886">
      <c r="A8886" t="inlineStr">
        <is>
          <t xml:space="preserve">Nippon India Mutual Fund</t>
        </is>
      </c>
      <c r="B8886" t="inlineStr">
        <is>
          <t xml:space="preserve">Nippon India Balanced Advantage Fund-Growth Plan-Bonus Option</t>
        </is>
      </c>
      <c r="C8886" t="inlineStr">
        <is>
          <t xml:space="preserve">INF204K01596</t>
        </is>
      </c>
    </row>
    <row r="8887">
      <c r="A8887" t="inlineStr">
        <is>
          <t xml:space="preserve">Nippon India Mutual Fund</t>
        </is>
      </c>
      <c r="B8887" t="inlineStr">
        <is>
          <t xml:space="preserve">Nippon India Balanced Advantage Fund-Growth Plan-Growth Option</t>
        </is>
      </c>
      <c r="C8887" t="inlineStr">
        <is>
          <t xml:space="preserve">INF204K01604</t>
        </is>
      </c>
    </row>
    <row r="8888">
      <c r="A8888" t="inlineStr">
        <is>
          <t xml:space="preserve">Nippon India Mutual Fund</t>
        </is>
      </c>
      <c r="B8888" t="inlineStr">
        <is>
          <t xml:space="preserve">Nippon India Banking &amp; Financial Services Fund - Direct Plan Growth Plan - Bonus Option</t>
        </is>
      </c>
      <c r="C8888" t="inlineStr">
        <is>
          <t xml:space="preserve">INF204K01D22</t>
        </is>
      </c>
    </row>
    <row r="8889">
      <c r="A8889" t="inlineStr">
        <is>
          <t xml:space="preserve">Nippon India Mutual Fund</t>
        </is>
      </c>
      <c r="B8889" t="inlineStr">
        <is>
          <t xml:space="preserve">Nippon India Banking &amp; Financial Services Fund - Direct Plan Growth Plan - Growth Option</t>
        </is>
      </c>
      <c r="C8889" t="inlineStr">
        <is>
          <t xml:space="preserve">INF204K01XO1</t>
        </is>
      </c>
    </row>
    <row r="8890">
      <c r="A8890" t="inlineStr">
        <is>
          <t xml:space="preserve">Nippon India Mutual Fund</t>
        </is>
      </c>
      <c r="B8890" t="inlineStr">
        <is>
          <t xml:space="preserve">Nippon India Banking &amp; Financial Services Fund - IDCW Option</t>
        </is>
      </c>
      <c r="C8890" t="inlineStr">
        <is>
          <t xml:space="preserve">INF204K01893</t>
        </is>
      </c>
    </row>
    <row r="8891">
      <c r="A8891" t="inlineStr">
        <is>
          <t xml:space="preserve">Nippon India Mutual Fund</t>
        </is>
      </c>
      <c r="B8891" t="inlineStr">
        <is>
          <t xml:space="preserve">Nippon India Banking &amp; Financial Services Fund- DIRECT Plan - IDCW Option</t>
        </is>
      </c>
      <c r="C8891" t="inlineStr">
        <is>
          <t xml:space="preserve">INF204K01XM5</t>
        </is>
      </c>
    </row>
    <row r="8892">
      <c r="A8892" t="inlineStr">
        <is>
          <t xml:space="preserve">Nippon India Mutual Fund</t>
        </is>
      </c>
      <c r="B8892" t="inlineStr">
        <is>
          <t xml:space="preserve">Nippon India Banking &amp; Financial Services Fund-Growth Plan-Bonus Option</t>
        </is>
      </c>
      <c r="C8892" t="inlineStr">
        <is>
          <t xml:space="preserve">INF204K01919</t>
        </is>
      </c>
    </row>
    <row r="8893">
      <c r="A8893" t="inlineStr">
        <is>
          <t xml:space="preserve">Nippon India Mutual Fund</t>
        </is>
      </c>
      <c r="B8893" t="inlineStr">
        <is>
          <t xml:space="preserve">Nippon India Banking &amp; Financial Services Fund-Growth Plan-Growth Option</t>
        </is>
      </c>
      <c r="C8893" t="inlineStr">
        <is>
          <t xml:space="preserve">INF204K01927</t>
        </is>
      </c>
    </row>
    <row r="8894">
      <c r="A8894" t="inlineStr">
        <is>
          <t xml:space="preserve">Nippon India Mutual Fund</t>
        </is>
      </c>
      <c r="B8894" t="inlineStr">
        <is>
          <t xml:space="preserve">NIPPON INDIA BANKING and PSU  FUND - Direct Plan - IDCW Option</t>
        </is>
      </c>
      <c r="C8894" t="inlineStr">
        <is>
          <t xml:space="preserve">INF204KA1U79</t>
        </is>
      </c>
    </row>
    <row r="8895">
      <c r="A8895" t="inlineStr">
        <is>
          <t xml:space="preserve">Nippon India Mutual Fund</t>
        </is>
      </c>
      <c r="B8895" t="inlineStr">
        <is>
          <t xml:space="preserve">NIPPON INDIA BANKING and PSU  FUND - WEEKLY IDCW Option</t>
        </is>
      </c>
      <c r="C8895" t="inlineStr">
        <is>
          <t xml:space="preserve">INF204KA1U12</t>
        </is>
      </c>
    </row>
    <row r="8896">
      <c r="A8896" t="inlineStr">
        <is>
          <t xml:space="preserve">Nippon India Mutual Fund</t>
        </is>
      </c>
      <c r="B8896" t="inlineStr">
        <is>
          <t xml:space="preserve">Nippon India Banking and PSU  Fund- Direct Plan-Growth Plan- Growth Option</t>
        </is>
      </c>
      <c r="C8896" t="inlineStr">
        <is>
          <t xml:space="preserve">INF204KA1U53</t>
        </is>
      </c>
    </row>
    <row r="8897">
      <c r="A8897" t="inlineStr">
        <is>
          <t xml:space="preserve">Nippon India Mutual Fund</t>
        </is>
      </c>
      <c r="B8897" t="inlineStr">
        <is>
          <t xml:space="preserve">NIPPON INDIA BANKING and PSU FUND - Direct Plan - MONTHLY IDCW Option</t>
        </is>
      </c>
      <c r="C8897" t="inlineStr">
        <is>
          <t xml:space="preserve">INF204KA1V37</t>
        </is>
      </c>
    </row>
    <row r="8898">
      <c r="A8898" t="inlineStr">
        <is>
          <t xml:space="preserve">Nippon India Mutual Fund</t>
        </is>
      </c>
      <c r="B8898" t="inlineStr">
        <is>
          <t xml:space="preserve">NIPPON INDIA BANKING and PSU FUND - Direct Plan - QUARTERLY IDCW Option</t>
        </is>
      </c>
      <c r="C8898" t="inlineStr">
        <is>
          <t xml:space="preserve">INF204KA1U95</t>
        </is>
      </c>
    </row>
    <row r="8899">
      <c r="A8899" t="inlineStr">
        <is>
          <t xml:space="preserve">Nippon India Mutual Fund</t>
        </is>
      </c>
      <c r="B8899" t="inlineStr">
        <is>
          <t xml:space="preserve">NIPPON INDIA BANKING and PSU FUND - Direct Plan - WEEKLY IDCW Option</t>
        </is>
      </c>
      <c r="C8899" t="inlineStr">
        <is>
          <t xml:space="preserve">INF204KA1V11</t>
        </is>
      </c>
    </row>
    <row r="8900">
      <c r="A8900" t="inlineStr">
        <is>
          <t xml:space="preserve">Nippon India Mutual Fund</t>
        </is>
      </c>
      <c r="B8900" t="inlineStr">
        <is>
          <t xml:space="preserve">NIPPON INDIA BANKING and PSU FUND - IDCW Option</t>
        </is>
      </c>
      <c r="C8900" t="inlineStr">
        <is>
          <t xml:space="preserve">INF204KA1T72</t>
        </is>
      </c>
    </row>
    <row r="8901">
      <c r="A8901" t="inlineStr">
        <is>
          <t xml:space="preserve">Nippon India Mutual Fund</t>
        </is>
      </c>
      <c r="B8901" t="inlineStr">
        <is>
          <t xml:space="preserve">NIPPON INDIA BANKING and PSU FUND - MONTHLY IDCW Option</t>
        </is>
      </c>
      <c r="C8901" t="inlineStr">
        <is>
          <t xml:space="preserve">INF204KA1U38</t>
        </is>
      </c>
    </row>
    <row r="8902">
      <c r="A8902" t="inlineStr">
        <is>
          <t xml:space="preserve">Nippon India Mutual Fund</t>
        </is>
      </c>
      <c r="B8902" t="inlineStr">
        <is>
          <t xml:space="preserve">NIPPON INDIA BANKING and PSU FUND - QUARTERLY IDCW Option</t>
        </is>
      </c>
      <c r="C8902" t="inlineStr">
        <is>
          <t xml:space="preserve">INF204KA1T98</t>
        </is>
      </c>
    </row>
    <row r="8903">
      <c r="A8903" t="inlineStr">
        <is>
          <t xml:space="preserve">Nippon India Mutual Fund</t>
        </is>
      </c>
      <c r="B8903" t="inlineStr">
        <is>
          <t xml:space="preserve">Nippon India Banking and PSU Fund- Direct Plan-Growth Plan- Bonus Option</t>
        </is>
      </c>
      <c r="C8903" t="inlineStr">
        <is>
          <t xml:space="preserve">INF204KA1U61</t>
        </is>
      </c>
    </row>
    <row r="8904">
      <c r="A8904" t="inlineStr">
        <is>
          <t xml:space="preserve">Nippon India Mutual Fund</t>
        </is>
      </c>
      <c r="B8904" t="inlineStr">
        <is>
          <t xml:space="preserve">Nippon India Banking and PSU Fund- Growth Plan- Bonus Option</t>
        </is>
      </c>
      <c r="C8904" t="inlineStr">
        <is>
          <t xml:space="preserve">INF204KA1T64</t>
        </is>
      </c>
    </row>
    <row r="8905">
      <c r="A8905" t="inlineStr">
        <is>
          <t xml:space="preserve">Nippon India Mutual Fund</t>
        </is>
      </c>
      <c r="B8905" t="inlineStr">
        <is>
          <t xml:space="preserve">Nippon India Banking and PSU Fund- Growth Plan- Growth Option</t>
        </is>
      </c>
      <c r="C8905" t="inlineStr">
        <is>
          <t xml:space="preserve">INF204KA1T56</t>
        </is>
      </c>
    </row>
    <row r="8906">
      <c r="A8906" t="inlineStr">
        <is>
          <t xml:space="preserve">Nippon India Mutual Fund</t>
        </is>
      </c>
      <c r="B8906" t="inlineStr">
        <is>
          <t xml:space="preserve">Nippon India BSE Sensex Next 30 ETF</t>
        </is>
      </c>
      <c r="C8906" t="inlineStr">
        <is>
          <t xml:space="preserve">INF204KC1EZ3</t>
        </is>
      </c>
    </row>
    <row r="8907">
      <c r="A8907" t="inlineStr">
        <is>
          <t xml:space="preserve">Nippon India Mutual Fund</t>
        </is>
      </c>
      <c r="B8907" t="inlineStr">
        <is>
          <t xml:space="preserve">Nippon India BSE Sensex Next 30 Index -Direct Plan - IDCW Payout</t>
        </is>
      </c>
      <c r="C8907" t="inlineStr">
        <is>
          <t xml:space="preserve">INF204KC1FE5</t>
        </is>
      </c>
    </row>
    <row r="8908">
      <c r="A8908" t="inlineStr">
        <is>
          <t xml:space="preserve">Nippon India Mutual Fund</t>
        </is>
      </c>
      <c r="B8908" t="inlineStr">
        <is>
          <t xml:space="preserve">Nippon India BSE Sensex Next 30 Index Fund - Regular Plan-Growth Option</t>
        </is>
      </c>
      <c r="C8908" t="inlineStr">
        <is>
          <t xml:space="preserve">INF204KC1FA3</t>
        </is>
      </c>
    </row>
    <row r="8909">
      <c r="A8909" t="inlineStr">
        <is>
          <t xml:space="preserve">Nippon India Mutual Fund</t>
        </is>
      </c>
      <c r="B8909" t="inlineStr">
        <is>
          <t xml:space="preserve">Nippon India BSE Sensex Next 30 Index Fund -Regular Plan- IDCW Payout</t>
        </is>
      </c>
      <c r="C8909" t="inlineStr">
        <is>
          <t xml:space="preserve">INF204KC1FB1</t>
        </is>
      </c>
    </row>
    <row r="8910">
      <c r="A8910" t="inlineStr">
        <is>
          <t xml:space="preserve">Nippon India Mutual Fund</t>
        </is>
      </c>
      <c r="B8910" t="inlineStr">
        <is>
          <t xml:space="preserve">Nippon India BSE Sensex Next 30 Index Fund- Direct Plan- Growth Option</t>
        </is>
      </c>
      <c r="C8910" t="inlineStr">
        <is>
          <t xml:space="preserve">INF204KC1FD7</t>
        </is>
      </c>
    </row>
    <row r="8911">
      <c r="A8911" t="inlineStr">
        <is>
          <t xml:space="preserve">Nippon India Mutual Fund</t>
        </is>
      </c>
      <c r="B8911" t="inlineStr">
        <is>
          <t xml:space="preserve">Nippon India Capital Builder Fund IV- Series A- Direct Plan-Dividend Payout Option</t>
        </is>
      </c>
      <c r="C8911" t="inlineStr">
        <is>
          <t xml:space="preserve">INF204KB1RR3</t>
        </is>
      </c>
    </row>
    <row r="8912">
      <c r="A8912" t="inlineStr">
        <is>
          <t xml:space="preserve">Nippon India Mutual Fund</t>
        </is>
      </c>
      <c r="B8912" t="inlineStr">
        <is>
          <t xml:space="preserve">Nippon India Capital Builder Fund IV- Series A- Direct Plan-Growth Option</t>
        </is>
      </c>
      <c r="C8912" t="inlineStr">
        <is>
          <t xml:space="preserve">INF204KB1RQ5</t>
        </is>
      </c>
    </row>
    <row r="8913">
      <c r="A8913" t="inlineStr">
        <is>
          <t xml:space="preserve">Nippon India Mutual Fund</t>
        </is>
      </c>
      <c r="B8913" t="inlineStr">
        <is>
          <t xml:space="preserve">Nippon India Capital Builder Fund IV- Series A- Dividend Payout Option</t>
        </is>
      </c>
      <c r="C8913" t="inlineStr">
        <is>
          <t xml:space="preserve">INF204KB1RP7</t>
        </is>
      </c>
    </row>
    <row r="8914">
      <c r="A8914" t="inlineStr">
        <is>
          <t xml:space="preserve">Nippon India Mutual Fund</t>
        </is>
      </c>
      <c r="B8914" t="inlineStr">
        <is>
          <t xml:space="preserve">Nippon India Capital Builder Fund IV- Series A- Growth Option</t>
        </is>
      </c>
      <c r="C8914" t="inlineStr">
        <is>
          <t xml:space="preserve">INF204KB1RO0</t>
        </is>
      </c>
    </row>
    <row r="8915">
      <c r="A8915" t="inlineStr">
        <is>
          <t xml:space="preserve">Nippon India Mutual Fund</t>
        </is>
      </c>
      <c r="B8915" t="inlineStr">
        <is>
          <t xml:space="preserve">Nippon India Capital Builder Fund IV- Series C- Direct Plan-Dividend Payout Option</t>
        </is>
      </c>
      <c r="C8915" t="inlineStr">
        <is>
          <t xml:space="preserve">INF204KB1ST7</t>
        </is>
      </c>
    </row>
    <row r="8916">
      <c r="A8916" t="inlineStr">
        <is>
          <t xml:space="preserve">Nippon India Mutual Fund</t>
        </is>
      </c>
      <c r="B8916" t="inlineStr">
        <is>
          <t xml:space="preserve">Nippon India Capital Builder Fund IV- Series C- Direct Plan-Growth Option</t>
        </is>
      </c>
      <c r="C8916" t="inlineStr">
        <is>
          <t xml:space="preserve">INF204KB1SS9</t>
        </is>
      </c>
    </row>
    <row r="8917">
      <c r="A8917" t="inlineStr">
        <is>
          <t xml:space="preserve">Nippon India Mutual Fund</t>
        </is>
      </c>
      <c r="B8917" t="inlineStr">
        <is>
          <t xml:space="preserve">Nippon India Capital Builder Fund IV- Series C- Dividend Payout Option</t>
        </is>
      </c>
      <c r="C8917" t="inlineStr">
        <is>
          <t xml:space="preserve">INF204KB1SR1</t>
        </is>
      </c>
    </row>
    <row r="8918">
      <c r="A8918" t="inlineStr">
        <is>
          <t xml:space="preserve">Nippon India Mutual Fund</t>
        </is>
      </c>
      <c r="B8918" t="inlineStr">
        <is>
          <t xml:space="preserve">Nippon India Capital Builder Fund IV- Series C- Growth Option</t>
        </is>
      </c>
      <c r="C8918" t="inlineStr">
        <is>
          <t xml:space="preserve">INF204KB1SQ3</t>
        </is>
      </c>
    </row>
    <row r="8919">
      <c r="A8919" t="inlineStr">
        <is>
          <t xml:space="preserve">Nippon India Mutual Fund</t>
        </is>
      </c>
      <c r="B8919" t="inlineStr">
        <is>
          <t xml:space="preserve">Nippon India Capital Builder Fund IV- Series D- Direct Plan- Growth Option</t>
        </is>
      </c>
      <c r="C8919" t="inlineStr">
        <is>
          <t xml:space="preserve">INF204KB1TI8</t>
        </is>
      </c>
    </row>
    <row r="8920">
      <c r="A8920" t="inlineStr">
        <is>
          <t xml:space="preserve">Nippon India Mutual Fund</t>
        </is>
      </c>
      <c r="B8920" t="inlineStr">
        <is>
          <t xml:space="preserve">Nippon India Capital Builder Fund IV- Series D- Direct Plan-Dividend Payout Option</t>
        </is>
      </c>
      <c r="C8920" t="inlineStr">
        <is>
          <t xml:space="preserve">INF204KB1TJ6</t>
        </is>
      </c>
    </row>
    <row r="8921">
      <c r="A8921" t="inlineStr">
        <is>
          <t xml:space="preserve">Nippon India Mutual Fund</t>
        </is>
      </c>
      <c r="B8921" t="inlineStr">
        <is>
          <t xml:space="preserve">Nippon India Capital Builder Fund IV- Series D- Dividend Payout Option</t>
        </is>
      </c>
      <c r="C8921" t="inlineStr">
        <is>
          <t xml:space="preserve">INF204KB1TH0</t>
        </is>
      </c>
    </row>
    <row r="8922">
      <c r="A8922" t="inlineStr">
        <is>
          <t xml:space="preserve">Nippon India Mutual Fund</t>
        </is>
      </c>
      <c r="B8922" t="inlineStr">
        <is>
          <t xml:space="preserve">Nippon India Capital Builder Fund IV- Series D- Growth Option</t>
        </is>
      </c>
      <c r="C8922" t="inlineStr">
        <is>
          <t xml:space="preserve">INF204KB1TG2</t>
        </is>
      </c>
    </row>
    <row r="8923">
      <c r="A8923" t="inlineStr">
        <is>
          <t xml:space="preserve">Nippon India Mutual Fund</t>
        </is>
      </c>
      <c r="B8923" t="inlineStr">
        <is>
          <t xml:space="preserve">NIPPON INDIA CONSERVATIVE HYBRID  FUND -  SEGREGATED PORTFOLIO 2 - DIRECT Plan - MONTHLY IDCW Option</t>
        </is>
      </c>
      <c r="C8923" t="inlineStr">
        <is>
          <t xml:space="preserve">INF204KB15O7</t>
        </is>
      </c>
    </row>
    <row r="8924">
      <c r="A8924" t="inlineStr">
        <is>
          <t xml:space="preserve">Nippon India Mutual Fund</t>
        </is>
      </c>
      <c r="B8924" t="inlineStr">
        <is>
          <t xml:space="preserve">NIPPON INDIA CONSERVATIVE HYBRID  FUND -  SEGREGATED PORTFOLIO 2 - MONTHLY IDCW Option</t>
        </is>
      </c>
      <c r="C8924" t="inlineStr">
        <is>
          <t xml:space="preserve">INF204KB10P5</t>
        </is>
      </c>
    </row>
    <row r="8925">
      <c r="A8925" t="inlineStr">
        <is>
          <t xml:space="preserve">Nippon India Mutual Fund</t>
        </is>
      </c>
      <c r="B8925" t="inlineStr">
        <is>
          <t xml:space="preserve">NIPPON INDIA CONSERVATIVE HYBRID  FUND -  SEGREGATED PORTFOLIO 2 - QUARTERLY IDCW Option</t>
        </is>
      </c>
      <c r="C8925" t="inlineStr">
        <is>
          <t xml:space="preserve">INF204KB12P1</t>
        </is>
      </c>
    </row>
    <row r="8926">
      <c r="A8926" t="inlineStr">
        <is>
          <t xml:space="preserve">Nippon India Mutual Fund</t>
        </is>
      </c>
      <c r="B8926" t="inlineStr">
        <is>
          <t xml:space="preserve">NIPPON INDIA CONSERVATIVE HYBRID  FUND - DIRECT Plan - MONTHLY IDCW Option</t>
        </is>
      </c>
      <c r="C8926" t="inlineStr">
        <is>
          <t xml:space="preserve">INF204K01YW2</t>
        </is>
      </c>
    </row>
    <row r="8927">
      <c r="A8927" t="inlineStr">
        <is>
          <t xml:space="preserve">Nippon India Mutual Fund</t>
        </is>
      </c>
      <c r="B8927" t="inlineStr">
        <is>
          <t xml:space="preserve">NIPPON INDIA CONSERVATIVE HYBRID  FUND - DIRECT Plan - QUARTERLY IDCW Option</t>
        </is>
      </c>
      <c r="C8927" t="inlineStr">
        <is>
          <t xml:space="preserve">INF204K01YY8</t>
        </is>
      </c>
    </row>
    <row r="8928">
      <c r="A8928" t="inlineStr">
        <is>
          <t xml:space="preserve">Nippon India Mutual Fund</t>
        </is>
      </c>
      <c r="B8928" t="inlineStr">
        <is>
          <t xml:space="preserve">Nippon India Conservative Hybrid  Fund - Direct Plan Growth Plan - Growth Option</t>
        </is>
      </c>
      <c r="C8928" t="inlineStr">
        <is>
          <t xml:space="preserve">INF204K01YV4</t>
        </is>
      </c>
    </row>
    <row r="8929">
      <c r="A8929" t="inlineStr">
        <is>
          <t xml:space="preserve">Nippon India Mutual Fund</t>
        </is>
      </c>
      <c r="B8929" t="inlineStr">
        <is>
          <t xml:space="preserve">NIPPON INDIA CONSERVATIVE HYBRID  FUND - MONTHLY IDCW Option</t>
        </is>
      </c>
      <c r="C8929" t="inlineStr">
        <is>
          <t xml:space="preserve">INF204K01FE9</t>
        </is>
      </c>
    </row>
    <row r="8930">
      <c r="A8930" t="inlineStr">
        <is>
          <t xml:space="preserve">Nippon India Mutual Fund</t>
        </is>
      </c>
      <c r="B8930" t="inlineStr">
        <is>
          <t xml:space="preserve">NIPPON INDIA CONSERVATIVE HYBRID  FUND - QUARTERLY IDCW Option</t>
        </is>
      </c>
      <c r="C8930" t="inlineStr">
        <is>
          <t xml:space="preserve">INF204K01FG4</t>
        </is>
      </c>
    </row>
    <row r="8931">
      <c r="A8931" t="inlineStr">
        <is>
          <t xml:space="preserve">Nippon India Mutual Fund</t>
        </is>
      </c>
      <c r="B8931" t="inlineStr">
        <is>
          <t xml:space="preserve">Nippon India Conservative Hybrid  Fund - Segregated Portfolio 1 - Direct Plan Growth Plan - Growth Option</t>
        </is>
      </c>
      <c r="C8931" t="inlineStr">
        <is>
          <t xml:space="preserve">INF204KB12K2</t>
        </is>
      </c>
    </row>
    <row r="8932">
      <c r="A8932" t="inlineStr">
        <is>
          <t xml:space="preserve">Nippon India Mutual Fund</t>
        </is>
      </c>
      <c r="B8932" t="inlineStr">
        <is>
          <t xml:space="preserve">Nippon India Conservative Hybrid  Fund - Segregated Portfolio 1 - Direct Plan Monthly Dividend Plan</t>
        </is>
      </c>
      <c r="C8932" t="inlineStr">
        <is>
          <t xml:space="preserve">INF204KB14K8</t>
        </is>
      </c>
    </row>
    <row r="8933">
      <c r="A8933" t="inlineStr">
        <is>
          <t xml:space="preserve">Nippon India Mutual Fund</t>
        </is>
      </c>
      <c r="B8933" t="inlineStr">
        <is>
          <t xml:space="preserve">Nippon India Conservative Hybrid  Fund - Segregated Portfolio 1 - Growth Plan</t>
        </is>
      </c>
      <c r="C8933" t="inlineStr">
        <is>
          <t xml:space="preserve">INF204KB17K1</t>
        </is>
      </c>
    </row>
    <row r="8934">
      <c r="A8934" t="inlineStr">
        <is>
          <t xml:space="preserve">Nippon India Mutual Fund</t>
        </is>
      </c>
      <c r="B8934" t="inlineStr">
        <is>
          <t xml:space="preserve">Nippon India Conservative Hybrid  Fund - Segregated Portfolio 1 - Monthly Dividend Plan</t>
        </is>
      </c>
      <c r="C8934" t="inlineStr">
        <is>
          <t xml:space="preserve">INF204KB18K9</t>
        </is>
      </c>
    </row>
    <row r="8935">
      <c r="A8935" t="inlineStr">
        <is>
          <t xml:space="preserve">Nippon India Mutual Fund</t>
        </is>
      </c>
      <c r="B8935" t="inlineStr">
        <is>
          <t xml:space="preserve">Nippon India Conservative Hybrid  Fund - Segregated Portfolio 1 - Quarterly Dividend Plan</t>
        </is>
      </c>
      <c r="C8935" t="inlineStr">
        <is>
          <t xml:space="preserve">INF204KB10L4</t>
        </is>
      </c>
    </row>
    <row r="8936">
      <c r="A8936" t="inlineStr">
        <is>
          <t xml:space="preserve">Nippon India Mutual Fund</t>
        </is>
      </c>
      <c r="B8936" t="inlineStr">
        <is>
          <t xml:space="preserve">Nippon India Conservative Hybrid  Fund - Segregated Portfolio 2 - Direct Plan - Growth Plan - Growth Option</t>
        </is>
      </c>
      <c r="C8936" t="inlineStr">
        <is>
          <t xml:space="preserve">INF204KB14O0</t>
        </is>
      </c>
    </row>
    <row r="8937">
      <c r="A8937" t="inlineStr">
        <is>
          <t xml:space="preserve">Nippon India Mutual Fund</t>
        </is>
      </c>
      <c r="B8937" t="inlineStr">
        <is>
          <t xml:space="preserve">Nippon India Conservative Hybrid  Fund - Segregated Portfolio 2 - Growth Plan</t>
        </is>
      </c>
      <c r="C8937" t="inlineStr">
        <is>
          <t xml:space="preserve">INF204KB19O9</t>
        </is>
      </c>
    </row>
    <row r="8938">
      <c r="A8938" t="inlineStr">
        <is>
          <t xml:space="preserve">Nippon India Mutual Fund</t>
        </is>
      </c>
      <c r="B8938" t="inlineStr">
        <is>
          <t xml:space="preserve">Nippon India Conservative Hybrid  Fund-Growth Plan</t>
        </is>
      </c>
      <c r="C8938" t="inlineStr">
        <is>
          <t xml:space="preserve">INF204K01FD1</t>
        </is>
      </c>
    </row>
    <row r="8939">
      <c r="A8939" t="inlineStr">
        <is>
          <t xml:space="preserve">Nippon India Mutual Fund</t>
        </is>
      </c>
      <c r="B8939" t="inlineStr">
        <is>
          <t xml:space="preserve">NIPPON INDIA CONSERVATIVE HYBRID FUND -  SEGREGATED PORTFOLIO 2 - DIRECT Plan - QUARTERLY IDCW Option</t>
        </is>
      </c>
      <c r="C8939" t="inlineStr">
        <is>
          <t xml:space="preserve">INF204KB17O3</t>
        </is>
      </c>
    </row>
    <row r="8940">
      <c r="A8940" t="inlineStr">
        <is>
          <t xml:space="preserve">Nippon India Mutual Fund</t>
        </is>
      </c>
      <c r="B8940" t="inlineStr">
        <is>
          <t xml:space="preserve">Nippon India Conservative Hybrid Fund - Segregated Portfolio 1 - Direct Plan Quarterly Dividend Plan</t>
        </is>
      </c>
      <c r="C8940" t="inlineStr">
        <is>
          <t xml:space="preserve">INF204KB15K5</t>
        </is>
      </c>
    </row>
    <row r="8941">
      <c r="A8941" t="inlineStr">
        <is>
          <t xml:space="preserve">Nippon India Mutual Fund</t>
        </is>
      </c>
      <c r="B8941" t="inlineStr">
        <is>
          <t xml:space="preserve">NIPPON INDIA CONSUMPTION FUND - DIRECT Plan - IDCW Option</t>
        </is>
      </c>
      <c r="C8941" t="inlineStr">
        <is>
          <t xml:space="preserve">INF204K01G37</t>
        </is>
      </c>
    </row>
    <row r="8942">
      <c r="A8942" t="inlineStr">
        <is>
          <t xml:space="preserve">Nippon India Mutual Fund</t>
        </is>
      </c>
      <c r="B8942" t="inlineStr">
        <is>
          <t xml:space="preserve">Nippon India Consumption Fund - Direct Plan Growth Plan - Bonus</t>
        </is>
      </c>
      <c r="C8942" t="inlineStr">
        <is>
          <t xml:space="preserve">INF204K01G29</t>
        </is>
      </c>
    </row>
    <row r="8943">
      <c r="A8943" t="inlineStr">
        <is>
          <t xml:space="preserve">Nippon India Mutual Fund</t>
        </is>
      </c>
      <c r="B8943" t="inlineStr">
        <is>
          <t xml:space="preserve">Nippon India Consumption Fund - Direct Plan Growth Plan - Growth Option</t>
        </is>
      </c>
      <c r="C8943" t="inlineStr">
        <is>
          <t xml:space="preserve">INF204K01G52</t>
        </is>
      </c>
    </row>
    <row r="8944">
      <c r="A8944" t="inlineStr">
        <is>
          <t xml:space="preserve">Nippon India Mutual Fund</t>
        </is>
      </c>
      <c r="B8944" t="inlineStr">
        <is>
          <t xml:space="preserve">NIPPON INDIA CONSUMPTION FUND - IDCW Option</t>
        </is>
      </c>
      <c r="C8944" t="inlineStr">
        <is>
          <t xml:space="preserve">INF204K01AN1</t>
        </is>
      </c>
    </row>
    <row r="8945">
      <c r="A8945" t="inlineStr">
        <is>
          <t xml:space="preserve">Nippon India Mutual Fund</t>
        </is>
      </c>
      <c r="B8945" t="inlineStr">
        <is>
          <t xml:space="preserve">Nippon India Consumption Fund-Growth Plan-Bonus Option</t>
        </is>
      </c>
      <c r="C8945" t="inlineStr">
        <is>
          <t xml:space="preserve">INF204K01AP6</t>
        </is>
      </c>
    </row>
    <row r="8946">
      <c r="A8946" t="inlineStr">
        <is>
          <t xml:space="preserve">Nippon India Mutual Fund</t>
        </is>
      </c>
      <c r="B8946" t="inlineStr">
        <is>
          <t xml:space="preserve">Nippon India Consumption Fund-Growth Plan-Growth Option</t>
        </is>
      </c>
      <c r="C8946" t="inlineStr">
        <is>
          <t xml:space="preserve">INF204K01AQ4</t>
        </is>
      </c>
    </row>
    <row r="8947">
      <c r="A8947" t="inlineStr">
        <is>
          <t xml:space="preserve">Nippon India Mutual Fund</t>
        </is>
      </c>
      <c r="B8947" t="inlineStr">
        <is>
          <t xml:space="preserve">NIPPON INDIA CORPORATE BOND FUND - DAILY IDCW Option</t>
        </is>
      </c>
      <c r="C8947" t="inlineStr">
        <is>
          <t xml:space="preserve">INF204K01EG7</t>
        </is>
      </c>
    </row>
    <row r="8948">
      <c r="A8948" t="inlineStr">
        <is>
          <t xml:space="preserve">Nippon India Mutual Fund</t>
        </is>
      </c>
      <c r="B8948" t="inlineStr">
        <is>
          <t xml:space="preserve">NIPPON INDIA CORPORATE BOND FUND - DIRECT Plan - DAILY IDCW Option</t>
        </is>
      </c>
      <c r="C8948" t="inlineStr">
        <is>
          <t xml:space="preserve">INF204K01C23</t>
        </is>
      </c>
    </row>
    <row r="8949">
      <c r="A8949" t="inlineStr">
        <is>
          <t xml:space="preserve">Nippon India Mutual Fund</t>
        </is>
      </c>
      <c r="B8949" t="inlineStr">
        <is>
          <t xml:space="preserve">NIPPON INDIA CORPORATE BOND FUND - DIRECT Plan - IDCW Option</t>
        </is>
      </c>
      <c r="C8949" t="inlineStr">
        <is>
          <t xml:space="preserve">INF204KA1EO9</t>
        </is>
      </c>
    </row>
    <row r="8950">
      <c r="A8950" t="inlineStr">
        <is>
          <t xml:space="preserve">Nippon India Mutual Fund</t>
        </is>
      </c>
      <c r="B8950" t="inlineStr">
        <is>
          <t xml:space="preserve">NIPPON INDIA CORPORATE BOND FUND - DIRECT Plan - MONTHLY IDCW Option</t>
        </is>
      </c>
      <c r="C8950" t="inlineStr">
        <is>
          <t xml:space="preserve">INF204K01C56</t>
        </is>
      </c>
    </row>
    <row r="8951">
      <c r="A8951" t="inlineStr">
        <is>
          <t xml:space="preserve">Nippon India Mutual Fund</t>
        </is>
      </c>
      <c r="B8951" t="inlineStr">
        <is>
          <t xml:space="preserve">NIPPON INDIA CORPORATE BOND FUND - DIRECT Plan - QUARTERLY IDCW Option</t>
        </is>
      </c>
      <c r="C8951" t="inlineStr">
        <is>
          <t xml:space="preserve">INF204K01C72</t>
        </is>
      </c>
    </row>
    <row r="8952">
      <c r="A8952" t="inlineStr">
        <is>
          <t xml:space="preserve">Nippon India Mutual Fund</t>
        </is>
      </c>
      <c r="B8952" t="inlineStr">
        <is>
          <t xml:space="preserve">NIPPON INDIA CORPORATE BOND FUND - DIRECT Plan - WEEKLY IDCW Option</t>
        </is>
      </c>
      <c r="C8952" t="inlineStr">
        <is>
          <t xml:space="preserve">INF204K01C31</t>
        </is>
      </c>
    </row>
    <row r="8953">
      <c r="A8953" t="inlineStr">
        <is>
          <t xml:space="preserve">Nippon India Mutual Fund</t>
        </is>
      </c>
      <c r="B8953" t="inlineStr">
        <is>
          <t xml:space="preserve">Nippon India Corporate Bond Fund - Direct Plan Growth Plan - Bonus</t>
        </is>
      </c>
      <c r="C8953" t="inlineStr">
        <is>
          <t xml:space="preserve">INF204K01D63</t>
        </is>
      </c>
    </row>
    <row r="8954">
      <c r="A8954" t="inlineStr">
        <is>
          <t xml:space="preserve">Nippon India Mutual Fund</t>
        </is>
      </c>
      <c r="B8954" t="inlineStr">
        <is>
          <t xml:space="preserve">Nippon India Corporate Bond Fund - Direct Plan Growth Plan - Growth Option</t>
        </is>
      </c>
      <c r="C8954" t="inlineStr">
        <is>
          <t xml:space="preserve">INF204K01C15</t>
        </is>
      </c>
    </row>
    <row r="8955">
      <c r="A8955" t="inlineStr">
        <is>
          <t xml:space="preserve">Nippon India Mutual Fund</t>
        </is>
      </c>
      <c r="B8955" t="inlineStr">
        <is>
          <t xml:space="preserve">Nippon India Corporate Bond Fund - Growth Plan - Bonus Option</t>
        </is>
      </c>
      <c r="C8955" t="inlineStr">
        <is>
          <t xml:space="preserve">INF204KA12N8</t>
        </is>
      </c>
    </row>
    <row r="8956">
      <c r="A8956" t="inlineStr">
        <is>
          <t xml:space="preserve">Nippon India Mutual Fund</t>
        </is>
      </c>
      <c r="B8956" t="inlineStr">
        <is>
          <t xml:space="preserve">Nippon India Corporate Bond Fund - Growth Plan - Growth Option</t>
        </is>
      </c>
      <c r="C8956" t="inlineStr">
        <is>
          <t xml:space="preserve">INF204K01EF9</t>
        </is>
      </c>
    </row>
    <row r="8957">
      <c r="A8957" t="inlineStr">
        <is>
          <t xml:space="preserve">Nippon India Mutual Fund</t>
        </is>
      </c>
      <c r="B8957" t="inlineStr">
        <is>
          <t xml:space="preserve">NIPPON INDIA CORPORATE BOND FUND - IDCW Option</t>
        </is>
      </c>
      <c r="C8957" t="inlineStr">
        <is>
          <t xml:space="preserve">INF204KA1EM3</t>
        </is>
      </c>
    </row>
    <row r="8958">
      <c r="A8958" t="inlineStr">
        <is>
          <t xml:space="preserve">Nippon India Mutual Fund</t>
        </is>
      </c>
      <c r="B8958" t="inlineStr">
        <is>
          <t xml:space="preserve">NIPPON INDIA CORPORATE BOND FUND - MONTHLY IDCW Option</t>
        </is>
      </c>
      <c r="C8958" t="inlineStr">
        <is>
          <t xml:space="preserve">INF204K01EJ1</t>
        </is>
      </c>
    </row>
    <row r="8959">
      <c r="A8959" t="inlineStr">
        <is>
          <t xml:space="preserve">Nippon India Mutual Fund</t>
        </is>
      </c>
      <c r="B8959" t="inlineStr">
        <is>
          <t xml:space="preserve">NIPPON INDIA CORPORATE BOND FUND - QUARTERLY IDCW Option</t>
        </is>
      </c>
      <c r="C8959" t="inlineStr">
        <is>
          <t xml:space="preserve">INF204K01EL7</t>
        </is>
      </c>
    </row>
    <row r="8960">
      <c r="A8960" t="inlineStr">
        <is>
          <t xml:space="preserve">Nippon India Mutual Fund</t>
        </is>
      </c>
      <c r="B8960" t="inlineStr">
        <is>
          <t xml:space="preserve">NIPPON INDIA CORPORATE BOND FUND - WEEKLY IDCW Option</t>
        </is>
      </c>
      <c r="C8960" t="inlineStr">
        <is>
          <t xml:space="preserve">INF204K01EH5</t>
        </is>
      </c>
    </row>
    <row r="8961">
      <c r="A8961" t="inlineStr">
        <is>
          <t xml:space="preserve">Nippon India Mutual Fund</t>
        </is>
      </c>
      <c r="B8961" t="inlineStr">
        <is>
          <t xml:space="preserve">Nippon India Credit Risk Fund  - Growth Plan</t>
        </is>
      </c>
      <c r="C8961" t="inlineStr">
        <is>
          <t xml:space="preserve">INF204K01FQ3</t>
        </is>
      </c>
    </row>
    <row r="8962">
      <c r="A8962" t="inlineStr">
        <is>
          <t xml:space="preserve">Nippon India Mutual Fund</t>
        </is>
      </c>
      <c r="B8962" t="inlineStr">
        <is>
          <t xml:space="preserve">Nippon India Credit Risk Fund  - Institutional Growth Plan</t>
        </is>
      </c>
      <c r="C8962" t="inlineStr">
        <is>
          <t xml:space="preserve">INF204K01FT7</t>
        </is>
      </c>
    </row>
    <row r="8963">
      <c r="A8963" t="inlineStr">
        <is>
          <t xml:space="preserve">Nippon India Mutual Fund</t>
        </is>
      </c>
      <c r="B8963" t="inlineStr">
        <is>
          <t xml:space="preserve">NIPPON INDIA CREDIT RISK FUND -  SEGREGATED PORTFOLIO 2 - DIRECT Plan - IDCW Option</t>
        </is>
      </c>
      <c r="C8963" t="inlineStr">
        <is>
          <t xml:space="preserve">INF204KB17P0</t>
        </is>
      </c>
    </row>
    <row r="8964">
      <c r="A8964" t="inlineStr">
        <is>
          <t xml:space="preserve">Nippon India Mutual Fund</t>
        </is>
      </c>
      <c r="B8964" t="inlineStr">
        <is>
          <t xml:space="preserve">NIPPON INDIA CREDIT RISK FUND -  SEGREGATED PORTFOLIO 2 - DIRECT Plan - QUARTERLY IDCW Option</t>
        </is>
      </c>
      <c r="C8964" t="inlineStr">
        <is>
          <t xml:space="preserve">INF204KB15P4</t>
        </is>
      </c>
    </row>
    <row r="8965">
      <c r="A8965" t="inlineStr">
        <is>
          <t xml:space="preserve">Nippon India Mutual Fund</t>
        </is>
      </c>
      <c r="B8965" t="inlineStr">
        <is>
          <t xml:space="preserve">NIPPON INDIA CREDIT RISK FUND -  SEGREGATED PORTFOLIO 2 - IDCW Option</t>
        </is>
      </c>
      <c r="C8965" t="inlineStr">
        <is>
          <t xml:space="preserve">INF204KB13Q7</t>
        </is>
      </c>
    </row>
    <row r="8966">
      <c r="A8966" t="inlineStr">
        <is>
          <t xml:space="preserve">Nippon India Mutual Fund</t>
        </is>
      </c>
      <c r="B8966" t="inlineStr">
        <is>
          <t xml:space="preserve">NIPPON INDIA CREDIT RISK FUND -  SEGREGATED PORTFOLIO 2 - QUARTERLY IDCW Option</t>
        </is>
      </c>
      <c r="C8966" t="inlineStr">
        <is>
          <t xml:space="preserve">INF204KB11Q1</t>
        </is>
      </c>
    </row>
    <row r="8967">
      <c r="A8967" t="inlineStr">
        <is>
          <t xml:space="preserve">Nippon India Mutual Fund</t>
        </is>
      </c>
      <c r="B8967" t="inlineStr">
        <is>
          <t xml:space="preserve">Nippon India Credit Risk Fund - Direct Plan - Growth Plan</t>
        </is>
      </c>
      <c r="C8967" t="inlineStr">
        <is>
          <t xml:space="preserve">INF204K01A74</t>
        </is>
      </c>
    </row>
    <row r="8968">
      <c r="A8968" t="inlineStr">
        <is>
          <t xml:space="preserve">Nippon India Mutual Fund</t>
        </is>
      </c>
      <c r="B8968" t="inlineStr">
        <is>
          <t xml:space="preserve">NIPPON INDIA CREDIT RISK FUND - DIRECT Plan - IDCW Option</t>
        </is>
      </c>
      <c r="C8968" t="inlineStr">
        <is>
          <t xml:space="preserve">INF204KA1WV6</t>
        </is>
      </c>
    </row>
    <row r="8969">
      <c r="A8969" t="inlineStr">
        <is>
          <t xml:space="preserve">Nippon India Mutual Fund</t>
        </is>
      </c>
      <c r="B8969" t="inlineStr">
        <is>
          <t xml:space="preserve">NIPPON INDIA CREDIT RISK FUND - DIRECT Plan - QUARTERLY IDCW Option</t>
        </is>
      </c>
      <c r="C8969" t="inlineStr">
        <is>
          <t xml:space="preserve">INF204K01A82</t>
        </is>
      </c>
    </row>
    <row r="8970">
      <c r="A8970" t="inlineStr">
        <is>
          <t xml:space="preserve">Nippon India Mutual Fund</t>
        </is>
      </c>
      <c r="B8970" t="inlineStr">
        <is>
          <t xml:space="preserve">NIPPON INDIA CREDIT RISK FUND - IDCW Option</t>
        </is>
      </c>
      <c r="C8970" t="inlineStr">
        <is>
          <t xml:space="preserve">INF204KA1WT0</t>
        </is>
      </c>
    </row>
    <row r="8971">
      <c r="A8971" t="inlineStr">
        <is>
          <t xml:space="preserve">Nippon India Mutual Fund</t>
        </is>
      </c>
      <c r="B8971" t="inlineStr">
        <is>
          <t xml:space="preserve">NIPPON INDIA CREDIT RISK FUND - QUARTERLY IDCW Option</t>
        </is>
      </c>
      <c r="C8971" t="inlineStr">
        <is>
          <t xml:space="preserve">INF204K01FR1</t>
        </is>
      </c>
    </row>
    <row r="8972">
      <c r="A8972" t="inlineStr">
        <is>
          <t xml:space="preserve">Nippon India Mutual Fund</t>
        </is>
      </c>
      <c r="B8972" t="inlineStr">
        <is>
          <t xml:space="preserve">Nippon India Credit Risk Fund - Segregated Portfolio 1 - Direct Plan - Growth Plan</t>
        </is>
      </c>
      <c r="C8972" t="inlineStr">
        <is>
          <t xml:space="preserve">INF204KB12L0</t>
        </is>
      </c>
    </row>
    <row r="8973">
      <c r="A8973" t="inlineStr">
        <is>
          <t xml:space="preserve">Nippon India Mutual Fund</t>
        </is>
      </c>
      <c r="B8973" t="inlineStr">
        <is>
          <t xml:space="preserve">NIPPON INDIA CREDIT RISK FUND - SEGREGATED PORTFOLIO 1 - Direct Plan - IDCW Option</t>
        </is>
      </c>
      <c r="C8973" t="inlineStr">
        <is>
          <t xml:space="preserve">INF204KB15L3</t>
        </is>
      </c>
    </row>
    <row r="8974">
      <c r="A8974" t="inlineStr">
        <is>
          <t xml:space="preserve">Nippon India Mutual Fund</t>
        </is>
      </c>
      <c r="B8974" t="inlineStr">
        <is>
          <t xml:space="preserve">NIPPON INDIA CREDIT RISK FUND - SEGREGATED PORTFOLIO 1 - Direct Plan - QUARTERLY IDCW Option</t>
        </is>
      </c>
      <c r="C8974" t="inlineStr">
        <is>
          <t xml:space="preserve">INF204KB13L8</t>
        </is>
      </c>
    </row>
    <row r="8975">
      <c r="A8975" t="inlineStr">
        <is>
          <t xml:space="preserve">Nippon India Mutual Fund</t>
        </is>
      </c>
      <c r="B8975" t="inlineStr">
        <is>
          <t xml:space="preserve">Nippon India Credit Risk Fund - Segregated Portfolio 1 - Growth Plan</t>
        </is>
      </c>
      <c r="C8975" t="inlineStr">
        <is>
          <t xml:space="preserve">INF204KB17L9</t>
        </is>
      </c>
    </row>
    <row r="8976">
      <c r="A8976" t="inlineStr">
        <is>
          <t xml:space="preserve">Nippon India Mutual Fund</t>
        </is>
      </c>
      <c r="B8976" t="inlineStr">
        <is>
          <t xml:space="preserve">NIPPON INDIA CREDIT RISK FUND - SEGREGATED PORTFOLIO 1 - IDCW Option</t>
        </is>
      </c>
      <c r="C8976" t="inlineStr">
        <is>
          <t xml:space="preserve">INF204KB11M0</t>
        </is>
      </c>
    </row>
    <row r="8977">
      <c r="A8977" t="inlineStr">
        <is>
          <t xml:space="preserve">Nippon India Mutual Fund</t>
        </is>
      </c>
      <c r="B8977" t="inlineStr">
        <is>
          <t xml:space="preserve">Nippon India Credit Risk Fund - Segregated Portfolio 1 - Institutional Growth Plan</t>
        </is>
      </c>
      <c r="C8977" t="inlineStr">
        <is>
          <t xml:space="preserve">INF204KB18L7</t>
        </is>
      </c>
    </row>
    <row r="8978">
      <c r="A8978" t="inlineStr">
        <is>
          <t xml:space="preserve">Nippon India Mutual Fund</t>
        </is>
      </c>
      <c r="B8978" t="inlineStr">
        <is>
          <t xml:space="preserve">NIPPON INDIA CREDIT RISK FUND - SEGREGATED PORTFOLIO 1 - QUARTERLY IDCW Option</t>
        </is>
      </c>
      <c r="C8978" t="inlineStr">
        <is>
          <t xml:space="preserve">INF204KB19L5</t>
        </is>
      </c>
    </row>
    <row r="8979">
      <c r="A8979" t="inlineStr">
        <is>
          <t xml:space="preserve">Nippon India Mutual Fund</t>
        </is>
      </c>
      <c r="B8979" t="inlineStr">
        <is>
          <t xml:space="preserve">Nippon India Credit Risk Fund - Segregated Portfolio 2 - Direct Plan - Growth Plan</t>
        </is>
      </c>
      <c r="C8979" t="inlineStr">
        <is>
          <t xml:space="preserve">INF204KB14P7</t>
        </is>
      </c>
    </row>
    <row r="8980">
      <c r="A8980" t="inlineStr">
        <is>
          <t xml:space="preserve">Nippon India Mutual Fund</t>
        </is>
      </c>
      <c r="B8980" t="inlineStr">
        <is>
          <t xml:space="preserve">Nippon India Credit Risk Fund - Segregated Portfolio 2 - Growth Plan</t>
        </is>
      </c>
      <c r="C8980" t="inlineStr">
        <is>
          <t xml:space="preserve">INF204KB19P6</t>
        </is>
      </c>
    </row>
    <row r="8981">
      <c r="A8981" t="inlineStr">
        <is>
          <t xml:space="preserve">Nippon India Mutual Fund</t>
        </is>
      </c>
      <c r="B8981" t="inlineStr">
        <is>
          <t xml:space="preserve">Nippon India Credit Risk Fund - Segregated Portfolio 2 - Institutional Growth Plan</t>
        </is>
      </c>
      <c r="C8981" t="inlineStr">
        <is>
          <t xml:space="preserve">INF204KB10Q3</t>
        </is>
      </c>
    </row>
    <row r="8982">
      <c r="A8982" t="inlineStr">
        <is>
          <t xml:space="preserve">Nippon India Mutual Fund</t>
        </is>
      </c>
      <c r="B8982" t="inlineStr">
        <is>
          <t xml:space="preserve">Nippon India CRISIL - IBX AAA Financial Services - Dec 2026 Index Fund - Direct Plan - Growth Option</t>
        </is>
      </c>
      <c r="C8982" t="inlineStr">
        <is>
          <t xml:space="preserve">INF204KC1DM3</t>
        </is>
      </c>
    </row>
    <row r="8983">
      <c r="A8983" t="inlineStr">
        <is>
          <t xml:space="preserve">Nippon India Mutual Fund</t>
        </is>
      </c>
      <c r="B8983" t="inlineStr">
        <is>
          <t xml:space="preserve">Nippon India CRISIL - IBX AAA Financial Services - Dec 2026 Index Fund - Direct Plan - IDCW Option</t>
        </is>
      </c>
      <c r="C8983" t="inlineStr">
        <is>
          <t xml:space="preserve">INF204KC1DN1</t>
        </is>
      </c>
    </row>
    <row r="8984">
      <c r="A8984" t="inlineStr">
        <is>
          <t xml:space="preserve">Nippon India Mutual Fund</t>
        </is>
      </c>
      <c r="B8984" t="inlineStr">
        <is>
          <t xml:space="preserve">Nippon India CRISIL - IBX AAA Financial Services - Dec 2026 Index Fund - Regular Plan - Growth Option</t>
        </is>
      </c>
      <c r="C8984" t="inlineStr">
        <is>
          <t xml:space="preserve">INF204KC1DJ9</t>
        </is>
      </c>
    </row>
    <row r="8985">
      <c r="A8985" t="inlineStr">
        <is>
          <t xml:space="preserve">Nippon India Mutual Fund</t>
        </is>
      </c>
      <c r="B8985" t="inlineStr">
        <is>
          <t xml:space="preserve">Nippon India CRISIL - IBX AAA Financial Services - Dec 2026 Index Fund - Regular Plan - IDCW Option</t>
        </is>
      </c>
      <c r="C8985" t="inlineStr">
        <is>
          <t xml:space="preserve">INF204KC1DK7</t>
        </is>
      </c>
    </row>
    <row r="8986">
      <c r="A8986" t="inlineStr">
        <is>
          <t xml:space="preserve">Nippon India Mutual Fund</t>
        </is>
      </c>
      <c r="B8986" t="inlineStr">
        <is>
          <t xml:space="preserve">Nippon India CRISIL - IBX AAA Financial Services - Jan 2028 Index Fund - Direct Plan - Growth Option</t>
        </is>
      </c>
      <c r="C8986" t="inlineStr">
        <is>
          <t xml:space="preserve">INF204KC1DS0</t>
        </is>
      </c>
    </row>
    <row r="8987">
      <c r="A8987" t="inlineStr">
        <is>
          <t xml:space="preserve">Nippon India Mutual Fund</t>
        </is>
      </c>
      <c r="B8987" t="inlineStr">
        <is>
          <t xml:space="preserve">Nippon India CRISIL - IBX AAA Financial Services - Jan 2028 Index Fund - Direct Plan - IDCW Option</t>
        </is>
      </c>
      <c r="C8987" t="inlineStr">
        <is>
          <t xml:space="preserve">INF204KC1DT8</t>
        </is>
      </c>
    </row>
    <row r="8988">
      <c r="A8988" t="inlineStr">
        <is>
          <t xml:space="preserve">Nippon India Mutual Fund</t>
        </is>
      </c>
      <c r="B8988" t="inlineStr">
        <is>
          <t xml:space="preserve">Nippon India CRISIL - IBX AAA Financial Services - Jan 2028 Index Fund - Regular Plan - Growth Option</t>
        </is>
      </c>
      <c r="C8988" t="inlineStr">
        <is>
          <t xml:space="preserve">INF204KC1DP6</t>
        </is>
      </c>
    </row>
    <row r="8989">
      <c r="A8989" t="inlineStr">
        <is>
          <t xml:space="preserve">Nippon India Mutual Fund</t>
        </is>
      </c>
      <c r="B8989" t="inlineStr">
        <is>
          <t xml:space="preserve">Nippon India CRISIL - IBX AAA Financial Services - Jan 2028 Index Fund - Regular Plan - IDCW Option</t>
        </is>
      </c>
      <c r="C8989" t="inlineStr">
        <is>
          <t xml:space="preserve">INF204KC1DQ4</t>
        </is>
      </c>
    </row>
    <row r="8990">
      <c r="A8990" t="inlineStr">
        <is>
          <t xml:space="preserve">Nippon India Mutual Fund</t>
        </is>
      </c>
      <c r="B8990" t="inlineStr">
        <is>
          <t xml:space="preserve">Nippon India CRISIL-IBX Financial Services 3-6 Months Debt Index Fund- Direct Plan- Growth Option</t>
        </is>
      </c>
      <c r="C8990" t="inlineStr">
        <is>
          <t xml:space="preserve">INF204KC1GX3</t>
        </is>
      </c>
    </row>
    <row r="8991">
      <c r="A8991" t="inlineStr">
        <is>
          <t xml:space="preserve">Nippon India Mutual Fund</t>
        </is>
      </c>
      <c r="B8991" t="inlineStr">
        <is>
          <t xml:space="preserve">Nippon India CRISIL-IBX Financial Services 3-6 Months Debt Index Fund- Direct Plan-IDCW Option</t>
        </is>
      </c>
      <c r="C8991" t="inlineStr">
        <is>
          <t xml:space="preserve">INF204KC1GY1</t>
        </is>
      </c>
    </row>
    <row r="8992">
      <c r="A8992" t="inlineStr">
        <is>
          <t xml:space="preserve">Nippon India Mutual Fund</t>
        </is>
      </c>
      <c r="B8992" t="inlineStr">
        <is>
          <t xml:space="preserve">Nippon India CRISIL-IBX Financial Services 3-6 Months Debt Index Fund- Regular Plan- Growth Option</t>
        </is>
      </c>
      <c r="C8992" t="inlineStr">
        <is>
          <t xml:space="preserve">INF204KC1GU9</t>
        </is>
      </c>
    </row>
    <row r="8993">
      <c r="A8993" t="inlineStr">
        <is>
          <t xml:space="preserve">Nippon India Mutual Fund</t>
        </is>
      </c>
      <c r="B8993" t="inlineStr">
        <is>
          <t xml:space="preserve">Nippon India CRISIL-IBX Financial Services 3-6 Months Debt Index Fund- Regular Plan- IDCW Option</t>
        </is>
      </c>
      <c r="C8993" t="inlineStr">
        <is>
          <t xml:space="preserve">INF204KC1GV7</t>
        </is>
      </c>
    </row>
    <row r="8994">
      <c r="A8994" t="inlineStr">
        <is>
          <t xml:space="preserve">Nippon India Mutual Fund</t>
        </is>
      </c>
      <c r="B8994" t="inlineStr">
        <is>
          <t xml:space="preserve">Nippon India CRISIL-IBX Financial Services 9-12 Months Debt Index Fund -Direct Plan - Growth Option</t>
        </is>
      </c>
      <c r="C8994" t="inlineStr">
        <is>
          <t xml:space="preserve">INF204KC1GR5</t>
        </is>
      </c>
    </row>
    <row r="8995">
      <c r="A8995" t="inlineStr">
        <is>
          <t xml:space="preserve">Nippon India Mutual Fund</t>
        </is>
      </c>
      <c r="B8995" t="inlineStr">
        <is>
          <t xml:space="preserve">Nippon India CRISIL-IBX Financial Services 9-12 Months Debt Index Fund -Direct Plan-IDCW Option</t>
        </is>
      </c>
      <c r="C8995" t="inlineStr">
        <is>
          <t xml:space="preserve">INF204KC1GS3</t>
        </is>
      </c>
    </row>
    <row r="8996">
      <c r="A8996" t="inlineStr">
        <is>
          <t xml:space="preserve">Nippon India Mutual Fund</t>
        </is>
      </c>
      <c r="B8996" t="inlineStr">
        <is>
          <t xml:space="preserve">Nippon India CRISIL-IBX Financial Services 9-12 Months Debt Index Fund -Regular Plan - Growth Option</t>
        </is>
      </c>
      <c r="C8996" t="inlineStr">
        <is>
          <t xml:space="preserve">INF204KC1GO2</t>
        </is>
      </c>
    </row>
    <row r="8997">
      <c r="A8997" t="inlineStr">
        <is>
          <t xml:space="preserve">Nippon India Mutual Fund</t>
        </is>
      </c>
      <c r="B8997" t="inlineStr">
        <is>
          <t xml:space="preserve">Nippon India CRISIL-IBX Financial Services 9-12 Months Debt Index Fund -Regular Plan - IDCW Option</t>
        </is>
      </c>
      <c r="C8997" t="inlineStr">
        <is>
          <t xml:space="preserve">INF204KC1GP9</t>
        </is>
      </c>
    </row>
    <row r="8998">
      <c r="A8998" t="inlineStr">
        <is>
          <t xml:space="preserve">Nippon India Mutual Fund</t>
        </is>
      </c>
      <c r="B8998" t="inlineStr">
        <is>
          <t xml:space="preserve">Nippon India Diversified Equity Flexicap Passive FoF - Direct Plan - Growth Option</t>
        </is>
      </c>
      <c r="C8998" t="inlineStr">
        <is>
          <t xml:space="preserve">INF204KB16X6</t>
        </is>
      </c>
    </row>
    <row r="8999">
      <c r="A8999" t="inlineStr">
        <is>
          <t xml:space="preserve">Nippon India Mutual Fund</t>
        </is>
      </c>
      <c r="B8999" t="inlineStr">
        <is>
          <t xml:space="preserve">Nippon India Diversified Equity Flexicap Passive FoF - IDCW Option</t>
        </is>
      </c>
      <c r="C8999" t="inlineStr">
        <is>
          <t xml:space="preserve">INF204KB14X1</t>
        </is>
      </c>
    </row>
    <row r="9000">
      <c r="A9000" t="inlineStr">
        <is>
          <t xml:space="preserve">Nippon India Mutual Fund</t>
        </is>
      </c>
      <c r="B9000" t="inlineStr">
        <is>
          <t xml:space="preserve">Nippon India Diversified Equity Flexicap Passive FoF - Regular Plan - Growth Option</t>
        </is>
      </c>
      <c r="C9000" t="inlineStr">
        <is>
          <t xml:space="preserve">INF204KB13X3</t>
        </is>
      </c>
    </row>
    <row r="9001">
      <c r="A9001" t="inlineStr">
        <is>
          <t xml:space="preserve">Nippon India Mutual Fund</t>
        </is>
      </c>
      <c r="B9001" t="inlineStr">
        <is>
          <t xml:space="preserve">Nippon India Diversified Equity Flexicap Passive FoF- DIRECT Plan - IDCW Option</t>
        </is>
      </c>
      <c r="C9001" t="inlineStr">
        <is>
          <t xml:space="preserve">INF204KB17X4</t>
        </is>
      </c>
    </row>
    <row r="9002">
      <c r="A9002" t="inlineStr">
        <is>
          <t xml:space="preserve">Nippon India Mutual Fund</t>
        </is>
      </c>
      <c r="B9002" t="inlineStr">
        <is>
          <t xml:space="preserve">Nippon India Dual Advantage Fixed Tenure Fund - X - Plan C - Direct Plan - Dividend Payout Option</t>
        </is>
      </c>
      <c r="C9002" t="inlineStr">
        <is>
          <t xml:space="preserve">INF204KB1GC8</t>
        </is>
      </c>
    </row>
    <row r="9003">
      <c r="A9003" t="inlineStr">
        <is>
          <t xml:space="preserve">Nippon India Mutual Fund</t>
        </is>
      </c>
      <c r="B9003" t="inlineStr">
        <is>
          <t xml:space="preserve">Nippon India Dual Advantage Fixed Tenure Fund - X - Plan C - Direct Plan - Growth Option</t>
        </is>
      </c>
      <c r="C9003" t="inlineStr">
        <is>
          <t xml:space="preserve">INF204KB1GD6</t>
        </is>
      </c>
    </row>
    <row r="9004">
      <c r="A9004" t="inlineStr">
        <is>
          <t xml:space="preserve">Nippon India Mutual Fund</t>
        </is>
      </c>
      <c r="B9004" t="inlineStr">
        <is>
          <t xml:space="preserve">Nippon India Dual Advantage Fixed Tenure Fund - X - Plan C - Dividend Payout Option</t>
        </is>
      </c>
      <c r="C9004" t="inlineStr">
        <is>
          <t xml:space="preserve">INF204KB1GE4</t>
        </is>
      </c>
    </row>
    <row r="9005">
      <c r="A9005" t="inlineStr">
        <is>
          <t xml:space="preserve">Nippon India Mutual Fund</t>
        </is>
      </c>
      <c r="B9005" t="inlineStr">
        <is>
          <t xml:space="preserve">Nippon India Dual Advantage Fixed Tenure Fund - X - Plan C - Growth Option</t>
        </is>
      </c>
      <c r="C9005" t="inlineStr">
        <is>
          <t xml:space="preserve">INF204KB1GF1</t>
        </is>
      </c>
    </row>
    <row r="9006">
      <c r="A9006" t="inlineStr">
        <is>
          <t xml:space="preserve">Nippon India Mutual Fund</t>
        </is>
      </c>
      <c r="B9006" t="inlineStr">
        <is>
          <t xml:space="preserve">Nippon India Dual Advantage Fixed Tenure Fund IX- Plan D- Direct Plan-Dividend Payout Option</t>
        </is>
      </c>
      <c r="C9006" t="inlineStr">
        <is>
          <t xml:space="preserve">INF204KB1403</t>
        </is>
      </c>
    </row>
    <row r="9007">
      <c r="A9007" t="inlineStr">
        <is>
          <t xml:space="preserve">Nippon India Mutual Fund</t>
        </is>
      </c>
      <c r="B9007" t="inlineStr">
        <is>
          <t xml:space="preserve">Nippon India Dual Advantage Fixed Tenure Fund IX- Plan D- Direct Plan-Growth Option</t>
        </is>
      </c>
      <c r="C9007" t="inlineStr">
        <is>
          <t xml:space="preserve">INF204KB1411</t>
        </is>
      </c>
    </row>
    <row r="9008">
      <c r="A9008" t="inlineStr">
        <is>
          <t xml:space="preserve">Nippon India Mutual Fund</t>
        </is>
      </c>
      <c r="B9008" t="inlineStr">
        <is>
          <t xml:space="preserve">Nippon India Dual Advantage Fixed Tenure Fund IX- Plan D- Dividend Payout Option</t>
        </is>
      </c>
      <c r="C9008" t="inlineStr">
        <is>
          <t xml:space="preserve">INF204KB1429</t>
        </is>
      </c>
    </row>
    <row r="9009">
      <c r="A9009" t="inlineStr">
        <is>
          <t xml:space="preserve">Nippon India Mutual Fund</t>
        </is>
      </c>
      <c r="B9009" t="inlineStr">
        <is>
          <t xml:space="preserve">Nippon India Dual Advantage Fixed Tenure Fund IX- Plan D- Growth Option</t>
        </is>
      </c>
      <c r="C9009" t="inlineStr">
        <is>
          <t xml:space="preserve">INF204KB1437</t>
        </is>
      </c>
    </row>
    <row r="9010">
      <c r="A9010" t="inlineStr">
        <is>
          <t xml:space="preserve">Nippon India Mutual Fund</t>
        </is>
      </c>
      <c r="B9010" t="inlineStr">
        <is>
          <t xml:space="preserve">Nippon India Dual Advantage Fixed Tenure Fund IX- Plan E- Direct Plan-Dividend Payout Option</t>
        </is>
      </c>
      <c r="C9010" t="inlineStr">
        <is>
          <t xml:space="preserve">INF204KB1AJ6</t>
        </is>
      </c>
    </row>
    <row r="9011">
      <c r="A9011" t="inlineStr">
        <is>
          <t xml:space="preserve">Nippon India Mutual Fund</t>
        </is>
      </c>
      <c r="B9011" t="inlineStr">
        <is>
          <t xml:space="preserve">Nippon India Dual Advantage Fixed Tenure Fund IX- Plan E- Direct Plan-Growth Option</t>
        </is>
      </c>
      <c r="C9011" t="inlineStr">
        <is>
          <t xml:space="preserve">INF204KB1AK4</t>
        </is>
      </c>
    </row>
    <row r="9012">
      <c r="A9012" t="inlineStr">
        <is>
          <t xml:space="preserve">Nippon India Mutual Fund</t>
        </is>
      </c>
      <c r="B9012" t="inlineStr">
        <is>
          <t xml:space="preserve">Nippon India Dual Advantage Fixed Tenure Fund IX- Plan E- Dividend Payout Option</t>
        </is>
      </c>
      <c r="C9012" t="inlineStr">
        <is>
          <t xml:space="preserve">INF204KB1AL2</t>
        </is>
      </c>
    </row>
    <row r="9013">
      <c r="A9013" t="inlineStr">
        <is>
          <t xml:space="preserve">Nippon India Mutual Fund</t>
        </is>
      </c>
      <c r="B9013" t="inlineStr">
        <is>
          <t xml:space="preserve">Nippon India Dual Advantage Fixed Tenure Fund IX- Plan E- Growth Option</t>
        </is>
      </c>
      <c r="C9013" t="inlineStr">
        <is>
          <t xml:space="preserve">INF204KB1AM0</t>
        </is>
      </c>
    </row>
    <row r="9014">
      <c r="A9014" t="inlineStr">
        <is>
          <t xml:space="preserve">Nippon India Mutual Fund</t>
        </is>
      </c>
      <c r="B9014" t="inlineStr">
        <is>
          <t xml:space="preserve">Nippon India Dual Advantage Fixed Tenure Fund IX- Plan F-Direct Plan-Dividend Payout Option</t>
        </is>
      </c>
      <c r="C9014" t="inlineStr">
        <is>
          <t xml:space="preserve">INF204KB1AR9</t>
        </is>
      </c>
    </row>
    <row r="9015">
      <c r="A9015" t="inlineStr">
        <is>
          <t xml:space="preserve">Nippon India Mutual Fund</t>
        </is>
      </c>
      <c r="B9015" t="inlineStr">
        <is>
          <t xml:space="preserve">Nippon India Dual Advantage Fixed Tenure Fund IX- Plan F-Direct Plan-Growth Option</t>
        </is>
      </c>
      <c r="C9015" t="inlineStr">
        <is>
          <t xml:space="preserve">INF204KB1AS7</t>
        </is>
      </c>
    </row>
    <row r="9016">
      <c r="A9016" t="inlineStr">
        <is>
          <t xml:space="preserve">Nippon India Mutual Fund</t>
        </is>
      </c>
      <c r="B9016" t="inlineStr">
        <is>
          <t xml:space="preserve">Nippon India Dual Advantage Fixed Tenure Fund IX- Plan F-Dividend Payout Option</t>
        </is>
      </c>
      <c r="C9016" t="inlineStr">
        <is>
          <t xml:space="preserve">INF204KB1AT5</t>
        </is>
      </c>
    </row>
    <row r="9017">
      <c r="A9017" t="inlineStr">
        <is>
          <t xml:space="preserve">Nippon India Mutual Fund</t>
        </is>
      </c>
      <c r="B9017" t="inlineStr">
        <is>
          <t xml:space="preserve">Nippon India Dual Advantage Fixed Tenure Fund IX- Plan F-Growth Option</t>
        </is>
      </c>
      <c r="C9017" t="inlineStr">
        <is>
          <t xml:space="preserve">INF204KB1AU3</t>
        </is>
      </c>
    </row>
    <row r="9018">
      <c r="A9018" t="inlineStr">
        <is>
          <t xml:space="preserve">Nippon India Mutual Fund</t>
        </is>
      </c>
      <c r="B9018" t="inlineStr">
        <is>
          <t xml:space="preserve">Nippon India Dual Advantage Fixed Tenure Fund X- Plan A- Direct Plan- Growth Option</t>
        </is>
      </c>
      <c r="C9018" t="inlineStr">
        <is>
          <t xml:space="preserve">INF204KB1FA4</t>
        </is>
      </c>
    </row>
    <row r="9019">
      <c r="A9019" t="inlineStr">
        <is>
          <t xml:space="preserve">Nippon India Mutual Fund</t>
        </is>
      </c>
      <c r="B9019" t="inlineStr">
        <is>
          <t xml:space="preserve">Nippon India Dual Advantage Fixed Tenure Fund X- Plan A- Direct Plan-Dividend Payout Option</t>
        </is>
      </c>
      <c r="C9019" t="inlineStr">
        <is>
          <t xml:space="preserve">INF204KB1EZ4</t>
        </is>
      </c>
    </row>
    <row r="9020">
      <c r="A9020" t="inlineStr">
        <is>
          <t xml:space="preserve">Nippon India Mutual Fund</t>
        </is>
      </c>
      <c r="B9020" t="inlineStr">
        <is>
          <t xml:space="preserve">Nippon India Dual Advantage Fixed Tenure Fund X- Plan A- Dividend Payout Option</t>
        </is>
      </c>
      <c r="C9020" t="inlineStr">
        <is>
          <t xml:space="preserve">INF204KB1FB2</t>
        </is>
      </c>
    </row>
    <row r="9021">
      <c r="A9021" t="inlineStr">
        <is>
          <t xml:space="preserve">Nippon India Mutual Fund</t>
        </is>
      </c>
      <c r="B9021" t="inlineStr">
        <is>
          <t xml:space="preserve">Nippon India Dual Advantage Fixed Tenure Fund X- Plan A- Growth Option</t>
        </is>
      </c>
      <c r="C9021" t="inlineStr">
        <is>
          <t xml:space="preserve">INF204KB1FC0</t>
        </is>
      </c>
    </row>
    <row r="9022">
      <c r="A9022" t="inlineStr">
        <is>
          <t xml:space="preserve">Nippon India Mutual Fund</t>
        </is>
      </c>
      <c r="B9022" t="inlineStr">
        <is>
          <t xml:space="preserve">Nippon India Dual Advantage Fixed Tenure Fund X- Plan B- Direct Plan- Dividend Payout Option</t>
        </is>
      </c>
      <c r="C9022" t="inlineStr">
        <is>
          <t xml:space="preserve">INF204KB1FE6</t>
        </is>
      </c>
    </row>
    <row r="9023">
      <c r="A9023" t="inlineStr">
        <is>
          <t xml:space="preserve">Nippon India Mutual Fund</t>
        </is>
      </c>
      <c r="B9023" t="inlineStr">
        <is>
          <t xml:space="preserve">Nippon India Dual Advantage Fixed Tenure Fund X- Plan B- Direct Plan-Growth Option</t>
        </is>
      </c>
      <c r="C9023" t="inlineStr">
        <is>
          <t xml:space="preserve">INF204KB1FF3</t>
        </is>
      </c>
    </row>
    <row r="9024">
      <c r="A9024" t="inlineStr">
        <is>
          <t xml:space="preserve">Nippon India Mutual Fund</t>
        </is>
      </c>
      <c r="B9024" t="inlineStr">
        <is>
          <t xml:space="preserve">Nippon India Dual Advantage Fixed Tenure Fund X- Plan B- Dividend Payout Option</t>
        </is>
      </c>
      <c r="C9024" t="inlineStr">
        <is>
          <t xml:space="preserve">INF204KB1FG1</t>
        </is>
      </c>
    </row>
    <row r="9025">
      <c r="A9025" t="inlineStr">
        <is>
          <t xml:space="preserve">Nippon India Mutual Fund</t>
        </is>
      </c>
      <c r="B9025" t="inlineStr">
        <is>
          <t xml:space="preserve">Nippon India Dual Advantage Fixed Tenure Fund X- Plan B- Growth Option</t>
        </is>
      </c>
      <c r="C9025" t="inlineStr">
        <is>
          <t xml:space="preserve">INF204KB1FH9</t>
        </is>
      </c>
    </row>
    <row r="9026">
      <c r="A9026" t="inlineStr">
        <is>
          <t xml:space="preserve">Nippon India Mutual Fund</t>
        </is>
      </c>
      <c r="B9026" t="inlineStr">
        <is>
          <t xml:space="preserve">Nippon India Dual Advantage Fixed Tenure Fund X- Plan D- Direct Plan-Dividend Payout Option</t>
        </is>
      </c>
      <c r="C9026" t="inlineStr">
        <is>
          <t xml:space="preserve">INF204KB1GK1</t>
        </is>
      </c>
    </row>
    <row r="9027">
      <c r="A9027" t="inlineStr">
        <is>
          <t xml:space="preserve">Nippon India Mutual Fund</t>
        </is>
      </c>
      <c r="B9027" t="inlineStr">
        <is>
          <t xml:space="preserve">Nippon India Dual Advantage Fixed Tenure Fund X- Plan D- Direct Plan-Growth Option</t>
        </is>
      </c>
      <c r="C9027" t="inlineStr">
        <is>
          <t xml:space="preserve">INF204KB1GL9</t>
        </is>
      </c>
    </row>
    <row r="9028">
      <c r="A9028" t="inlineStr">
        <is>
          <t xml:space="preserve">Nippon India Mutual Fund</t>
        </is>
      </c>
      <c r="B9028" t="inlineStr">
        <is>
          <t xml:space="preserve">Nippon India Dual Advantage Fixed Tenure Fund X- Plan D- Dividend Payout Option</t>
        </is>
      </c>
      <c r="C9028" t="inlineStr">
        <is>
          <t xml:space="preserve">INF204KB1GM7</t>
        </is>
      </c>
    </row>
    <row r="9029">
      <c r="A9029" t="inlineStr">
        <is>
          <t xml:space="preserve">Nippon India Mutual Fund</t>
        </is>
      </c>
      <c r="B9029" t="inlineStr">
        <is>
          <t xml:space="preserve">Nippon India Dual Advantage Fixed Tenure Fund X- Plan D- Growth Option</t>
        </is>
      </c>
      <c r="C9029" t="inlineStr">
        <is>
          <t xml:space="preserve">INF204KB1GN5</t>
        </is>
      </c>
    </row>
    <row r="9030">
      <c r="A9030" t="inlineStr">
        <is>
          <t xml:space="preserve">Nippon India Mutual Fund</t>
        </is>
      </c>
      <c r="B9030" t="inlineStr">
        <is>
          <t xml:space="preserve">Nippon India Dual Advantage Fixed Tenure Fund X- Plan E- Direct Plan - Growth Option</t>
        </is>
      </c>
      <c r="C9030" t="inlineStr">
        <is>
          <t xml:space="preserve">INF204KB1GP0</t>
        </is>
      </c>
    </row>
    <row r="9031">
      <c r="A9031" t="inlineStr">
        <is>
          <t xml:space="preserve">Nippon India Mutual Fund</t>
        </is>
      </c>
      <c r="B9031" t="inlineStr">
        <is>
          <t xml:space="preserve">Nippon India Dual Advantage Fixed Tenure Fund X- Plan E- Direct Plan- Dividend Payout Option</t>
        </is>
      </c>
      <c r="C9031" t="inlineStr">
        <is>
          <t xml:space="preserve">INF204KB1GO3</t>
        </is>
      </c>
    </row>
    <row r="9032">
      <c r="A9032" t="inlineStr">
        <is>
          <t xml:space="preserve">Nippon India Mutual Fund</t>
        </is>
      </c>
      <c r="B9032" t="inlineStr">
        <is>
          <t xml:space="preserve">Nippon India Dual Advantage Fixed Tenure Fund X- Plan E- Dividend Payout Option</t>
        </is>
      </c>
      <c r="C9032" t="inlineStr">
        <is>
          <t xml:space="preserve">INF204KB1GQ8</t>
        </is>
      </c>
    </row>
    <row r="9033">
      <c r="A9033" t="inlineStr">
        <is>
          <t xml:space="preserve">Nippon India Mutual Fund</t>
        </is>
      </c>
      <c r="B9033" t="inlineStr">
        <is>
          <t xml:space="preserve">Nippon India Dual Advantage Fixed Tenure Fund X- Plan E- Growth Option</t>
        </is>
      </c>
      <c r="C9033" t="inlineStr">
        <is>
          <t xml:space="preserve">INF204KB1GR6</t>
        </is>
      </c>
    </row>
    <row r="9034">
      <c r="A9034" t="inlineStr">
        <is>
          <t xml:space="preserve">Nippon India Mutual Fund</t>
        </is>
      </c>
      <c r="B9034" t="inlineStr">
        <is>
          <t xml:space="preserve">Nippon India Dual Advantage Fixed Tenure Fund X- Plan F- Direct Plan-Dividend Payout Option</t>
        </is>
      </c>
      <c r="C9034" t="inlineStr">
        <is>
          <t xml:space="preserve">INF204KB1GW6</t>
        </is>
      </c>
    </row>
    <row r="9035">
      <c r="A9035" t="inlineStr">
        <is>
          <t xml:space="preserve">Nippon India Mutual Fund</t>
        </is>
      </c>
      <c r="B9035" t="inlineStr">
        <is>
          <t xml:space="preserve">Nippon India Dual Advantage Fixed Tenure Fund X- Plan F- Direct Plan-Growth Option</t>
        </is>
      </c>
      <c r="C9035" t="inlineStr">
        <is>
          <t xml:space="preserve">INF204KB1GX4</t>
        </is>
      </c>
    </row>
    <row r="9036">
      <c r="A9036" t="inlineStr">
        <is>
          <t xml:space="preserve">Nippon India Mutual Fund</t>
        </is>
      </c>
      <c r="B9036" t="inlineStr">
        <is>
          <t xml:space="preserve">Nippon India Dual Advantage Fixed Tenure Fund X- Plan F- Dividend Payout Option</t>
        </is>
      </c>
      <c r="C9036" t="inlineStr">
        <is>
          <t xml:space="preserve">INF204KB1GY2</t>
        </is>
      </c>
    </row>
    <row r="9037">
      <c r="A9037" t="inlineStr">
        <is>
          <t xml:space="preserve">Nippon India Mutual Fund</t>
        </is>
      </c>
      <c r="B9037" t="inlineStr">
        <is>
          <t xml:space="preserve">Nippon India Dual Advantage Fixed Tenure Fund X- Plan F- Growth Option</t>
        </is>
      </c>
      <c r="C9037" t="inlineStr">
        <is>
          <t xml:space="preserve">INF204KB1GZ9</t>
        </is>
      </c>
    </row>
    <row r="9038">
      <c r="A9038" t="inlineStr">
        <is>
          <t xml:space="preserve">Nippon India Mutual Fund</t>
        </is>
      </c>
      <c r="B9038" t="inlineStr">
        <is>
          <t xml:space="preserve">NIPPON INDIA DUAL ADVANTAGE FIXED TENURE FUND XI - PLAN C - DIRECT Plan - IDCW Option</t>
        </is>
      </c>
      <c r="C9038" t="inlineStr">
        <is>
          <t xml:space="preserve">INF204KB1PU1</t>
        </is>
      </c>
    </row>
    <row r="9039">
      <c r="A9039" t="inlineStr">
        <is>
          <t xml:space="preserve">Nippon India Mutual Fund</t>
        </is>
      </c>
      <c r="B9039" t="inlineStr">
        <is>
          <t xml:space="preserve">NIPPON INDIA DUAL ADVANTAGE FIXED TENURE FUND XI - PLAN C - IDCW Option</t>
        </is>
      </c>
      <c r="C9039" t="inlineStr">
        <is>
          <t xml:space="preserve">INF204KB1PW7</t>
        </is>
      </c>
    </row>
    <row r="9040">
      <c r="A9040" t="inlineStr">
        <is>
          <t xml:space="preserve">Nippon India Mutual Fund</t>
        </is>
      </c>
      <c r="B9040" t="inlineStr">
        <is>
          <t xml:space="preserve">NIPPON INDIA DUAL ADVANTAGE FIXED TENURE FUND XI - PLAN D - DIRECT Plan - IDCW Option</t>
        </is>
      </c>
      <c r="C9040" t="inlineStr">
        <is>
          <t xml:space="preserve">INF204KB1QT1</t>
        </is>
      </c>
    </row>
    <row r="9041">
      <c r="A9041" t="inlineStr">
        <is>
          <t xml:space="preserve">Nippon India Mutual Fund</t>
        </is>
      </c>
      <c r="B9041" t="inlineStr">
        <is>
          <t xml:space="preserve">NIPPON INDIA DUAL ADVANTAGE FIXED TENURE FUND XI - PLAN D - IDCW Option</t>
        </is>
      </c>
      <c r="C9041" t="inlineStr">
        <is>
          <t xml:space="preserve">INF204KB1QV7</t>
        </is>
      </c>
    </row>
    <row r="9042">
      <c r="A9042" t="inlineStr">
        <is>
          <t xml:space="preserve">Nippon India Mutual Fund</t>
        </is>
      </c>
      <c r="B9042" t="inlineStr">
        <is>
          <t xml:space="preserve">NIPPON INDIA DUAL ADVANTAGE FIXED TENURE FUND XI - PLAN E - DIRECT Plan - IDCW Option</t>
        </is>
      </c>
      <c r="C9042" t="inlineStr">
        <is>
          <t xml:space="preserve">INF204KB1RK8</t>
        </is>
      </c>
    </row>
    <row r="9043">
      <c r="A9043" t="inlineStr">
        <is>
          <t xml:space="preserve">Nippon India Mutual Fund</t>
        </is>
      </c>
      <c r="B9043" t="inlineStr">
        <is>
          <t xml:space="preserve">NIPPON INDIA DUAL ADVANTAGE FIXED TENURE FUND XI - PLAN E - IDCW Option</t>
        </is>
      </c>
      <c r="C9043" t="inlineStr">
        <is>
          <t xml:space="preserve">INF204KB1RM4</t>
        </is>
      </c>
    </row>
    <row r="9044">
      <c r="A9044" t="inlineStr">
        <is>
          <t xml:space="preserve">Nippon India Mutual Fund</t>
        </is>
      </c>
      <c r="B9044" t="inlineStr">
        <is>
          <t xml:space="preserve">Nippon India Dual Advantage Fixed Tenure Fund XI- Plan A- Direct Plan - Dividend Payout Option</t>
        </is>
      </c>
      <c r="C9044" t="inlineStr">
        <is>
          <t xml:space="preserve">INF204KB1JU4</t>
        </is>
      </c>
    </row>
    <row r="9045">
      <c r="A9045" t="inlineStr">
        <is>
          <t xml:space="preserve">Nippon India Mutual Fund</t>
        </is>
      </c>
      <c r="B9045" t="inlineStr">
        <is>
          <t xml:space="preserve">Nippon India Dual Advantage Fixed Tenure Fund XI- Plan A- Direct Plan- Growth Option</t>
        </is>
      </c>
      <c r="C9045" t="inlineStr">
        <is>
          <t xml:space="preserve">INF204KB1JV2</t>
        </is>
      </c>
    </row>
    <row r="9046">
      <c r="A9046" t="inlineStr">
        <is>
          <t xml:space="preserve">Nippon India Mutual Fund</t>
        </is>
      </c>
      <c r="B9046" t="inlineStr">
        <is>
          <t xml:space="preserve">Nippon India Dual Advantage Fixed Tenure Fund XI- Plan A- Dividend Payout Option</t>
        </is>
      </c>
      <c r="C9046" t="inlineStr">
        <is>
          <t xml:space="preserve">INF204KB1JW0</t>
        </is>
      </c>
    </row>
    <row r="9047">
      <c r="A9047" t="inlineStr">
        <is>
          <t xml:space="preserve">Nippon India Mutual Fund</t>
        </is>
      </c>
      <c r="B9047" t="inlineStr">
        <is>
          <t xml:space="preserve">Nippon India Dual Advantage Fixed Tenure Fund XI- Plan A- Growth Option</t>
        </is>
      </c>
      <c r="C9047" t="inlineStr">
        <is>
          <t xml:space="preserve">INF204KB1JX8</t>
        </is>
      </c>
    </row>
    <row r="9048">
      <c r="A9048" t="inlineStr">
        <is>
          <t xml:space="preserve">Nippon India Mutual Fund</t>
        </is>
      </c>
      <c r="B9048" t="inlineStr">
        <is>
          <t xml:space="preserve">Nippon India Dual Advantage Fixed Tenure Fund XI- Plan B- Direct Plan - Dividend Payout Option</t>
        </is>
      </c>
      <c r="C9048" t="inlineStr">
        <is>
          <t xml:space="preserve">INF204KB1NI1</t>
        </is>
      </c>
    </row>
    <row r="9049">
      <c r="A9049" t="inlineStr">
        <is>
          <t xml:space="preserve">Nippon India Mutual Fund</t>
        </is>
      </c>
      <c r="B9049" t="inlineStr">
        <is>
          <t xml:space="preserve">Nippon India Dual Advantage Fixed Tenure Fund XI- Plan B- Direct Plan- Growth Option</t>
        </is>
      </c>
      <c r="C9049" t="inlineStr">
        <is>
          <t xml:space="preserve">INF204KB1NJ9</t>
        </is>
      </c>
    </row>
    <row r="9050">
      <c r="A9050" t="inlineStr">
        <is>
          <t xml:space="preserve">Nippon India Mutual Fund</t>
        </is>
      </c>
      <c r="B9050" t="inlineStr">
        <is>
          <t xml:space="preserve">Nippon India Dual Advantage Fixed Tenure Fund XI- Plan B- Dividend Payout Option</t>
        </is>
      </c>
      <c r="C9050" t="inlineStr">
        <is>
          <t xml:space="preserve">INF204KB1NK7</t>
        </is>
      </c>
    </row>
    <row r="9051">
      <c r="A9051" t="inlineStr">
        <is>
          <t xml:space="preserve">Nippon India Mutual Fund</t>
        </is>
      </c>
      <c r="B9051" t="inlineStr">
        <is>
          <t xml:space="preserve">Nippon India Dual Advantage Fixed Tenure Fund XI- Plan B- Growth Option</t>
        </is>
      </c>
      <c r="C9051" t="inlineStr">
        <is>
          <t xml:space="preserve">INF204KB1NL5</t>
        </is>
      </c>
    </row>
    <row r="9052">
      <c r="A9052" t="inlineStr">
        <is>
          <t xml:space="preserve">Nippon India Mutual Fund</t>
        </is>
      </c>
      <c r="B9052" t="inlineStr">
        <is>
          <t xml:space="preserve">Nippon India Dual Advantage Fixed Tenure Fund XI- Plan C- Direct Plan- Growth Option</t>
        </is>
      </c>
      <c r="C9052" t="inlineStr">
        <is>
          <t xml:space="preserve">INF204KB1PV9</t>
        </is>
      </c>
    </row>
    <row r="9053">
      <c r="A9053" t="inlineStr">
        <is>
          <t xml:space="preserve">Nippon India Mutual Fund</t>
        </is>
      </c>
      <c r="B9053" t="inlineStr">
        <is>
          <t xml:space="preserve">Nippon India Dual Advantage Fixed Tenure Fund XI- Plan C- Growth Option</t>
        </is>
      </c>
      <c r="C9053" t="inlineStr">
        <is>
          <t xml:space="preserve">INF204KB1PX5</t>
        </is>
      </c>
    </row>
    <row r="9054">
      <c r="A9054" t="inlineStr">
        <is>
          <t xml:space="preserve">Nippon India Mutual Fund</t>
        </is>
      </c>
      <c r="B9054" t="inlineStr">
        <is>
          <t xml:space="preserve">Nippon India Dual Advantage Fixed Tenure Fund XI- Plan D- Direct Plan- Growth Option</t>
        </is>
      </c>
      <c r="C9054" t="inlineStr">
        <is>
          <t xml:space="preserve">INF204KB1QU9</t>
        </is>
      </c>
    </row>
    <row r="9055">
      <c r="A9055" t="inlineStr">
        <is>
          <t xml:space="preserve">Nippon India Mutual Fund</t>
        </is>
      </c>
      <c r="B9055" t="inlineStr">
        <is>
          <t xml:space="preserve">Nippon India Dual Advantage Fixed Tenure Fund XI- Plan D- Growth Option</t>
        </is>
      </c>
      <c r="C9055" t="inlineStr">
        <is>
          <t xml:space="preserve">INF204KB1QW5</t>
        </is>
      </c>
    </row>
    <row r="9056">
      <c r="A9056" t="inlineStr">
        <is>
          <t xml:space="preserve">Nippon India Mutual Fund</t>
        </is>
      </c>
      <c r="B9056" t="inlineStr">
        <is>
          <t xml:space="preserve">Nippon India Dual Advantage Fixed Tenure Fund XI- Plan E- Direct Plan- Growth Option</t>
        </is>
      </c>
      <c r="C9056" t="inlineStr">
        <is>
          <t xml:space="preserve">INF204KB1RL6</t>
        </is>
      </c>
    </row>
    <row r="9057">
      <c r="A9057" t="inlineStr">
        <is>
          <t xml:space="preserve">Nippon India Mutual Fund</t>
        </is>
      </c>
      <c r="B9057" t="inlineStr">
        <is>
          <t xml:space="preserve">Nippon India Dual Advantage Fixed Tenure Fund XI- Plan E- Growth Option</t>
        </is>
      </c>
      <c r="C9057" t="inlineStr">
        <is>
          <t xml:space="preserve">INF204KB1RN2</t>
        </is>
      </c>
    </row>
    <row r="9058">
      <c r="A9058" t="inlineStr">
        <is>
          <t xml:space="preserve">Nippon India Mutual Fund</t>
        </is>
      </c>
      <c r="B9058" t="inlineStr">
        <is>
          <t xml:space="preserve">NIPPON INDIA DUAL ADVANTAGE FIXED TENURE FUND XII - PLAN A - DIRECT Plan - IDCW Option</t>
        </is>
      </c>
      <c r="C9058" t="inlineStr">
        <is>
          <t xml:space="preserve">INF204KB1TK4</t>
        </is>
      </c>
    </row>
    <row r="9059">
      <c r="A9059" t="inlineStr">
        <is>
          <t xml:space="preserve">Nippon India Mutual Fund</t>
        </is>
      </c>
      <c r="B9059" t="inlineStr">
        <is>
          <t xml:space="preserve">NIPPON INDIA DUAL ADVANTAGE FIXED TENURE FUND XII - PLAN A - IDCW Option</t>
        </is>
      </c>
      <c r="C9059" t="inlineStr">
        <is>
          <t xml:space="preserve">INF204KB1TM0</t>
        </is>
      </c>
    </row>
    <row r="9060">
      <c r="A9060" t="inlineStr">
        <is>
          <t xml:space="preserve">Nippon India Mutual Fund</t>
        </is>
      </c>
      <c r="B9060" t="inlineStr">
        <is>
          <t xml:space="preserve">Nippon India Dual Advantage Fixed Tenure Fund XII- Plan A- Direct Plan-Growth Option</t>
        </is>
      </c>
      <c r="C9060" t="inlineStr">
        <is>
          <t xml:space="preserve">INF204KB1TL2</t>
        </is>
      </c>
    </row>
    <row r="9061">
      <c r="A9061" t="inlineStr">
        <is>
          <t xml:space="preserve">Nippon India Mutual Fund</t>
        </is>
      </c>
      <c r="B9061" t="inlineStr">
        <is>
          <t xml:space="preserve">Nippon India Dual Advantage Fixed Tenure Fund XII- Plan A- Growth Option</t>
        </is>
      </c>
      <c r="C9061" t="inlineStr">
        <is>
          <t xml:space="preserve">INF204KB1TN8</t>
        </is>
      </c>
    </row>
    <row r="9062">
      <c r="A9062" t="inlineStr">
        <is>
          <t xml:space="preserve">Nippon India Mutual Fund</t>
        </is>
      </c>
      <c r="B9062" t="inlineStr">
        <is>
          <t xml:space="preserve">NIPPON INDIA DYNAMIC BOND FUND - Direct Plan - IDCW Option</t>
        </is>
      </c>
      <c r="C9062" t="inlineStr">
        <is>
          <t xml:space="preserve">INF204K01A33</t>
        </is>
      </c>
    </row>
    <row r="9063">
      <c r="A9063" t="inlineStr">
        <is>
          <t xml:space="preserve">Nippon India Mutual Fund</t>
        </is>
      </c>
      <c r="B9063" t="inlineStr">
        <is>
          <t xml:space="preserve">NIPPON INDIA DYNAMIC BOND FUND - Direct Plan - QUARTERLY IDCW Option</t>
        </is>
      </c>
      <c r="C9063" t="inlineStr">
        <is>
          <t xml:space="preserve">INF204K01A58</t>
        </is>
      </c>
    </row>
    <row r="9064">
      <c r="A9064" t="inlineStr">
        <is>
          <t xml:space="preserve">Nippon India Mutual Fund</t>
        </is>
      </c>
      <c r="B9064" t="inlineStr">
        <is>
          <t xml:space="preserve">Nippon India Dynamic Bond Fund - Direct Plan Growth Plan - Growth Option</t>
        </is>
      </c>
      <c r="C9064" t="inlineStr">
        <is>
          <t xml:space="preserve">INF204K01A25</t>
        </is>
      </c>
    </row>
    <row r="9065">
      <c r="A9065" t="inlineStr">
        <is>
          <t xml:space="preserve">Nippon India Mutual Fund</t>
        </is>
      </c>
      <c r="B9065" t="inlineStr">
        <is>
          <t xml:space="preserve">NIPPON INDIA DYNAMIC BOND FUND - IDCW Option</t>
        </is>
      </c>
      <c r="C9065" t="inlineStr">
        <is>
          <t xml:space="preserve">INF204K01FJ8</t>
        </is>
      </c>
    </row>
    <row r="9066">
      <c r="A9066" t="inlineStr">
        <is>
          <t xml:space="preserve">Nippon India Mutual Fund</t>
        </is>
      </c>
      <c r="B9066" t="inlineStr">
        <is>
          <t xml:space="preserve">NIPPON INDIA DYNAMIC BOND FUND - QUARTERLY IDCW Option</t>
        </is>
      </c>
      <c r="C9066" t="inlineStr">
        <is>
          <t xml:space="preserve">INF204K01XB8</t>
        </is>
      </c>
    </row>
    <row r="9067">
      <c r="A9067" t="inlineStr">
        <is>
          <t xml:space="preserve">Nippon India Mutual Fund</t>
        </is>
      </c>
      <c r="B9067" t="inlineStr">
        <is>
          <t xml:space="preserve">Nippon India Dynamic Bond Fund-Growth Plan-Growth Option</t>
        </is>
      </c>
      <c r="C9067" t="inlineStr">
        <is>
          <t xml:space="preserve">INF204K01FI0</t>
        </is>
      </c>
    </row>
    <row r="9068">
      <c r="A9068" t="inlineStr">
        <is>
          <t xml:space="preserve">Nippon India Mutual Fund</t>
        </is>
      </c>
      <c r="B9068" t="inlineStr">
        <is>
          <t xml:space="preserve">NIPPON INDIA ELSS TAX SAVER FUND - ANNUAL IDCW Option</t>
        </is>
      </c>
      <c r="C9068" t="inlineStr">
        <is>
          <t xml:space="preserve">INF204KA1E04</t>
        </is>
      </c>
    </row>
    <row r="9069">
      <c r="A9069" t="inlineStr">
        <is>
          <t xml:space="preserve">Nippon India Mutual Fund</t>
        </is>
      </c>
      <c r="B9069" t="inlineStr">
        <is>
          <t xml:space="preserve">NIPPON INDIA ELSS TAX SAVER FUND - DIRECT Plan - ANNUAL IDCW Option</t>
        </is>
      </c>
      <c r="C9069" t="inlineStr">
        <is>
          <t xml:space="preserve">INF204KA1E12</t>
        </is>
      </c>
    </row>
    <row r="9070">
      <c r="A9070" t="inlineStr">
        <is>
          <t xml:space="preserve">Nippon India Mutual Fund</t>
        </is>
      </c>
      <c r="B9070" t="inlineStr">
        <is>
          <t xml:space="preserve">NIPPON INDIA ELSS TAX SAVER FUND - DIRECT Plan - IDCW Option</t>
        </is>
      </c>
      <c r="C9070" t="inlineStr">
        <is>
          <t xml:space="preserve">INF204K01L30</t>
        </is>
      </c>
    </row>
    <row r="9071">
      <c r="A9071" t="inlineStr">
        <is>
          <t xml:space="preserve">Nippon India Mutual Fund</t>
        </is>
      </c>
      <c r="B9071" t="inlineStr">
        <is>
          <t xml:space="preserve">Nippon India ELSS Tax Saver Fund - Direct Plan Growth Plan - Growth Option</t>
        </is>
      </c>
      <c r="C9071" t="inlineStr">
        <is>
          <t xml:space="preserve">INF204K01L55</t>
        </is>
      </c>
    </row>
    <row r="9072">
      <c r="A9072" t="inlineStr">
        <is>
          <t xml:space="preserve">Nippon India Mutual Fund</t>
        </is>
      </c>
      <c r="B9072" t="inlineStr">
        <is>
          <t xml:space="preserve">NIPPON INDIA ELSS TAX SAVER FUND - IDCW Option</t>
        </is>
      </c>
      <c r="C9072" t="inlineStr">
        <is>
          <t xml:space="preserve">INF204K01GL2</t>
        </is>
      </c>
    </row>
    <row r="9073">
      <c r="A9073" t="inlineStr">
        <is>
          <t xml:space="preserve">Nippon India Mutual Fund</t>
        </is>
      </c>
      <c r="B9073" t="inlineStr">
        <is>
          <t xml:space="preserve">Nippon India ELSS Tax Saver Fund-Growth Plan-Growth Option</t>
        </is>
      </c>
      <c r="C9073" t="inlineStr">
        <is>
          <t xml:space="preserve">INF204K01GK4</t>
        </is>
      </c>
    </row>
    <row r="9074">
      <c r="A9074" t="inlineStr">
        <is>
          <t xml:space="preserve">Nippon India Mutual Fund</t>
        </is>
      </c>
      <c r="B9074" t="inlineStr">
        <is>
          <t xml:space="preserve">NIPPON INDIA EQUITY SAVINGS FUND -  SEGREGATED PORTFOLIO 2 - Direct Plan - IDCW Option</t>
        </is>
      </c>
      <c r="C9074" t="inlineStr">
        <is>
          <t xml:space="preserve">INF204KB11S7</t>
        </is>
      </c>
    </row>
    <row r="9075">
      <c r="A9075" t="inlineStr">
        <is>
          <t xml:space="preserve">Nippon India Mutual Fund</t>
        </is>
      </c>
      <c r="B9075" t="inlineStr">
        <is>
          <t xml:space="preserve">NIPPON INDIA EQUITY SAVINGS FUND -  SEGREGATED PORTFOLIO 2 - Direct Plan - MONTHLY IDCW Option</t>
        </is>
      </c>
      <c r="C9075" t="inlineStr">
        <is>
          <t xml:space="preserve">INF204KB13S3</t>
        </is>
      </c>
    </row>
    <row r="9076">
      <c r="A9076" t="inlineStr">
        <is>
          <t xml:space="preserve">Nippon India Mutual Fund</t>
        </is>
      </c>
      <c r="B9076" t="inlineStr">
        <is>
          <t xml:space="preserve">NIPPON INDIA EQUITY SAVINGS FUND -  SEGREGATED PORTFOLIO 2 - Direct Plan - QUARTERLY IDCW Option</t>
        </is>
      </c>
      <c r="C9076" t="inlineStr">
        <is>
          <t xml:space="preserve">INF204KB19R2</t>
        </is>
      </c>
    </row>
    <row r="9077">
      <c r="A9077" t="inlineStr">
        <is>
          <t xml:space="preserve">Nippon India Mutual Fund</t>
        </is>
      </c>
      <c r="B9077" t="inlineStr">
        <is>
          <t xml:space="preserve">NIPPON INDIA EQUITY SAVINGS FUND -  SEGREGATED PORTFOLIO 2 - IDCW Option</t>
        </is>
      </c>
      <c r="C9077" t="inlineStr">
        <is>
          <t xml:space="preserve">INF204KB19S0</t>
        </is>
      </c>
    </row>
    <row r="9078">
      <c r="A9078" t="inlineStr">
        <is>
          <t xml:space="preserve">Nippon India Mutual Fund</t>
        </is>
      </c>
      <c r="B9078" t="inlineStr">
        <is>
          <t xml:space="preserve">NIPPON INDIA EQUITY SAVINGS FUND -  SEGREGATED PORTFOLIO 2 - MONTHLY IDCW Option</t>
        </is>
      </c>
      <c r="C9078" t="inlineStr">
        <is>
          <t xml:space="preserve">INF204KB11T5</t>
        </is>
      </c>
    </row>
    <row r="9079">
      <c r="A9079" t="inlineStr">
        <is>
          <t xml:space="preserve">Nippon India Mutual Fund</t>
        </is>
      </c>
      <c r="B9079" t="inlineStr">
        <is>
          <t xml:space="preserve">NIPPON INDIA EQUITY SAVINGS FUND -  SEGREGATED PORTFOLIO 2 - QUARTERLY IDCW Option</t>
        </is>
      </c>
      <c r="C9079" t="inlineStr">
        <is>
          <t xml:space="preserve">INF204KB17S4</t>
        </is>
      </c>
    </row>
    <row r="9080">
      <c r="A9080" t="inlineStr">
        <is>
          <t xml:space="preserve">Nippon India Mutual Fund</t>
        </is>
      </c>
      <c r="B9080" t="inlineStr">
        <is>
          <t xml:space="preserve">NIPPON INDIA EQUITY SAVINGS FUND - Direct Plan - IDCW Option</t>
        </is>
      </c>
      <c r="C9080" t="inlineStr">
        <is>
          <t xml:space="preserve">INF204KA1W93</t>
        </is>
      </c>
    </row>
    <row r="9081">
      <c r="A9081" t="inlineStr">
        <is>
          <t xml:space="preserve">Nippon India Mutual Fund</t>
        </is>
      </c>
      <c r="B9081" t="inlineStr">
        <is>
          <t xml:space="preserve">NIPPON INDIA EQUITY SAVINGS FUND - Direct Plan - MONTHLY IDCW Option</t>
        </is>
      </c>
      <c r="C9081" t="inlineStr">
        <is>
          <t xml:space="preserve">INF204KA1X35</t>
        </is>
      </c>
    </row>
    <row r="9082">
      <c r="A9082" t="inlineStr">
        <is>
          <t xml:space="preserve">Nippon India Mutual Fund</t>
        </is>
      </c>
      <c r="B9082" t="inlineStr">
        <is>
          <t xml:space="preserve">NIPPON INDIA EQUITY SAVINGS FUND - Direct Plan - QUARTERLY IDCW Option</t>
        </is>
      </c>
      <c r="C9082" t="inlineStr">
        <is>
          <t xml:space="preserve">INF204KA1X19</t>
        </is>
      </c>
    </row>
    <row r="9083">
      <c r="A9083" t="inlineStr">
        <is>
          <t xml:space="preserve">Nippon India Mutual Fund</t>
        </is>
      </c>
      <c r="B9083" t="inlineStr">
        <is>
          <t xml:space="preserve">NIPPON INDIA EQUITY SAVINGS FUND - IDCW Option</t>
        </is>
      </c>
      <c r="C9083" t="inlineStr">
        <is>
          <t xml:space="preserve">INF204KA1W10</t>
        </is>
      </c>
    </row>
    <row r="9084">
      <c r="A9084" t="inlineStr">
        <is>
          <t xml:space="preserve">Nippon India Mutual Fund</t>
        </is>
      </c>
      <c r="B9084" t="inlineStr">
        <is>
          <t xml:space="preserve">NIPPON INDIA EQUITY SAVINGS FUND - MONTHLY IDCW Option</t>
        </is>
      </c>
      <c r="C9084" t="inlineStr">
        <is>
          <t xml:space="preserve">INF204KA1W51</t>
        </is>
      </c>
    </row>
    <row r="9085">
      <c r="A9085" t="inlineStr">
        <is>
          <t xml:space="preserve">Nippon India Mutual Fund</t>
        </is>
      </c>
      <c r="B9085" t="inlineStr">
        <is>
          <t xml:space="preserve">NIPPON INDIA EQUITY SAVINGS FUND - QUARTERLY IDCW Option</t>
        </is>
      </c>
      <c r="C9085" t="inlineStr">
        <is>
          <t xml:space="preserve">INF204KA1W36</t>
        </is>
      </c>
    </row>
    <row r="9086">
      <c r="A9086" t="inlineStr">
        <is>
          <t xml:space="preserve">Nippon India Mutual Fund</t>
        </is>
      </c>
      <c r="B9086" t="inlineStr">
        <is>
          <t xml:space="preserve">Nippon India Equity Savings Fund - Segregated Portfolio 1 - Direct Plan - Growth Plan - Bonus Option</t>
        </is>
      </c>
      <c r="C9086" t="inlineStr">
        <is>
          <t xml:space="preserve">INF204KB10E9</t>
        </is>
      </c>
    </row>
    <row r="9087">
      <c r="A9087" t="inlineStr">
        <is>
          <t xml:space="preserve">Nippon India Mutual Fund</t>
        </is>
      </c>
      <c r="B9087" t="inlineStr">
        <is>
          <t xml:space="preserve">Nippon India Equity Savings Fund - Segregated Portfolio 1 - Direct Plan - Growth Plan - Growth Option</t>
        </is>
      </c>
      <c r="C9087" t="inlineStr">
        <is>
          <t xml:space="preserve">INF204KB11E7</t>
        </is>
      </c>
    </row>
    <row r="9088">
      <c r="A9088" t="inlineStr">
        <is>
          <t xml:space="preserve">Nippon India Mutual Fund</t>
        </is>
      </c>
      <c r="B9088" t="inlineStr">
        <is>
          <t xml:space="preserve">NIPPON INDIA EQUITY SAVINGS FUND - SEGREGATED PORTFOLIO 1 - Direct Plan - IDCW Option</t>
        </is>
      </c>
      <c r="C9088" t="inlineStr">
        <is>
          <t xml:space="preserve">INF204KB14E1</t>
        </is>
      </c>
    </row>
    <row r="9089">
      <c r="A9089" t="inlineStr">
        <is>
          <t xml:space="preserve">Nippon India Mutual Fund</t>
        </is>
      </c>
      <c r="B9089" t="inlineStr">
        <is>
          <t xml:space="preserve">NIPPON INDIA EQUITY SAVINGS FUND - SEGREGATED PORTFOLIO 1 - Direct Plan - MONTHLY IDCW Option</t>
        </is>
      </c>
      <c r="C9089" t="inlineStr">
        <is>
          <t xml:space="preserve">INF204KB16E6</t>
        </is>
      </c>
    </row>
    <row r="9090">
      <c r="A9090" t="inlineStr">
        <is>
          <t xml:space="preserve">Nippon India Mutual Fund</t>
        </is>
      </c>
      <c r="B9090" t="inlineStr">
        <is>
          <t xml:space="preserve">NIPPON INDIA EQUITY SAVINGS FUND - SEGREGATED PORTFOLIO 1 - Direct Plan - QUARTERLY IDCW Option</t>
        </is>
      </c>
      <c r="C9090" t="inlineStr">
        <is>
          <t xml:space="preserve">INF204KB12E5</t>
        </is>
      </c>
    </row>
    <row r="9091">
      <c r="A9091" t="inlineStr">
        <is>
          <t xml:space="preserve">Nippon India Mutual Fund</t>
        </is>
      </c>
      <c r="B9091" t="inlineStr">
        <is>
          <t xml:space="preserve">Nippon India Equity Savings Fund - Segregated Portfolio 1 - Growth Plan - Bonus Option</t>
        </is>
      </c>
      <c r="C9091" t="inlineStr">
        <is>
          <t xml:space="preserve">INF204KB18E2</t>
        </is>
      </c>
    </row>
    <row r="9092">
      <c r="A9092" t="inlineStr">
        <is>
          <t xml:space="preserve">Nippon India Mutual Fund</t>
        </is>
      </c>
      <c r="B9092" t="inlineStr">
        <is>
          <t xml:space="preserve">Nippon India Equity Savings Fund - Segregated Portfolio 1 - Growth Plan - Growth Option</t>
        </is>
      </c>
      <c r="C9092" t="inlineStr">
        <is>
          <t xml:space="preserve">INF204KB19E0</t>
        </is>
      </c>
    </row>
    <row r="9093">
      <c r="A9093" t="inlineStr">
        <is>
          <t xml:space="preserve">Nippon India Mutual Fund</t>
        </is>
      </c>
      <c r="B9093" t="inlineStr">
        <is>
          <t xml:space="preserve">NIPPON INDIA EQUITY SAVINGS FUND - SEGREGATED PORTFOLIO 1 - IDCW Option</t>
        </is>
      </c>
      <c r="C9093" t="inlineStr">
        <is>
          <t xml:space="preserve">INF204KB12F2</t>
        </is>
      </c>
    </row>
    <row r="9094">
      <c r="A9094" t="inlineStr">
        <is>
          <t xml:space="preserve">Nippon India Mutual Fund</t>
        </is>
      </c>
      <c r="B9094" t="inlineStr">
        <is>
          <t xml:space="preserve">NIPPON INDIA EQUITY SAVINGS FUND - SEGREGATED PORTFOLIO 1 - MONTHLY IDCW Option</t>
        </is>
      </c>
      <c r="C9094" t="inlineStr">
        <is>
          <t xml:space="preserve">INF204KB14F8</t>
        </is>
      </c>
    </row>
    <row r="9095">
      <c r="A9095" t="inlineStr">
        <is>
          <t xml:space="preserve">Nippon India Mutual Fund</t>
        </is>
      </c>
      <c r="B9095" t="inlineStr">
        <is>
          <t xml:space="preserve">NIPPON INDIA EQUITY SAVINGS FUND - SEGREGATED PORTFOLIO 1 - QUARTERLY IDCW Option</t>
        </is>
      </c>
      <c r="C9095" t="inlineStr">
        <is>
          <t xml:space="preserve">INF204KB10F6</t>
        </is>
      </c>
    </row>
    <row r="9096">
      <c r="A9096" t="inlineStr">
        <is>
          <t xml:space="preserve">Nippon India Mutual Fund</t>
        </is>
      </c>
      <c r="B9096" t="inlineStr">
        <is>
          <t xml:space="preserve">Nippon India Equity Savings Fund - Segregated Portfolio 2 - Direct Plan - Growth Plan - Bonus Option</t>
        </is>
      </c>
      <c r="C9096" t="inlineStr">
        <is>
          <t xml:space="preserve">INF204KB17R6</t>
        </is>
      </c>
    </row>
    <row r="9097">
      <c r="A9097" t="inlineStr">
        <is>
          <t xml:space="preserve">Nippon India Mutual Fund</t>
        </is>
      </c>
      <c r="B9097" t="inlineStr">
        <is>
          <t xml:space="preserve">Nippon India Equity Savings Fund - Segregated Portfolio 2 - Direct Plan - Growth Plan - Growth Option</t>
        </is>
      </c>
      <c r="C9097" t="inlineStr">
        <is>
          <t xml:space="preserve">INF204KB18R4</t>
        </is>
      </c>
    </row>
    <row r="9098">
      <c r="A9098" t="inlineStr">
        <is>
          <t xml:space="preserve">Nippon India Mutual Fund</t>
        </is>
      </c>
      <c r="B9098" t="inlineStr">
        <is>
          <t xml:space="preserve">Nippon India Equity Savings Fund - Segregated Portfolio 2 - Growth Plan - Bonus Option</t>
        </is>
      </c>
      <c r="C9098" t="inlineStr">
        <is>
          <t xml:space="preserve">INF204KB15S8</t>
        </is>
      </c>
    </row>
    <row r="9099">
      <c r="A9099" t="inlineStr">
        <is>
          <t xml:space="preserve">Nippon India Mutual Fund</t>
        </is>
      </c>
      <c r="B9099" t="inlineStr">
        <is>
          <t xml:space="preserve">Nippon India Equity Savings Fund - Segregated Portfolio 2 - Growth Plan - Growth Option</t>
        </is>
      </c>
      <c r="C9099" t="inlineStr">
        <is>
          <t xml:space="preserve">INF204KB16S6</t>
        </is>
      </c>
    </row>
    <row r="9100">
      <c r="A9100" t="inlineStr">
        <is>
          <t xml:space="preserve">Nippon India Mutual Fund</t>
        </is>
      </c>
      <c r="B9100" t="inlineStr">
        <is>
          <t xml:space="preserve">Nippon India Equity Savings Fund- Direct Plan- Growth Plan- Bonus Option</t>
        </is>
      </c>
      <c r="C9100" t="inlineStr">
        <is>
          <t xml:space="preserve">INF204KA1W85</t>
        </is>
      </c>
    </row>
    <row r="9101">
      <c r="A9101" t="inlineStr">
        <is>
          <t xml:space="preserve">Nippon India Mutual Fund</t>
        </is>
      </c>
      <c r="B9101" t="inlineStr">
        <is>
          <t xml:space="preserve">Nippon India Equity Savings Fund- Direct Plan- Growth Plan-Growth Option</t>
        </is>
      </c>
      <c r="C9101" t="inlineStr">
        <is>
          <t xml:space="preserve">INF204KA1W77</t>
        </is>
      </c>
    </row>
    <row r="9102">
      <c r="A9102" t="inlineStr">
        <is>
          <t xml:space="preserve">Nippon India Mutual Fund</t>
        </is>
      </c>
      <c r="B9102" t="inlineStr">
        <is>
          <t xml:space="preserve">Nippon India Equity Savings Fund- Growth Plan- Bonus Option</t>
        </is>
      </c>
      <c r="C9102" t="inlineStr">
        <is>
          <t xml:space="preserve">INF204KA1W02</t>
        </is>
      </c>
    </row>
    <row r="9103">
      <c r="A9103" t="inlineStr">
        <is>
          <t xml:space="preserve">Nippon India Mutual Fund</t>
        </is>
      </c>
      <c r="B9103" t="inlineStr">
        <is>
          <t xml:space="preserve">Nippon India Equity Savings Fund- Growth Plan- Growth Option</t>
        </is>
      </c>
      <c r="C9103" t="inlineStr">
        <is>
          <t xml:space="preserve">INF204KA1V94</t>
        </is>
      </c>
    </row>
    <row r="9104">
      <c r="A9104" t="inlineStr">
        <is>
          <t xml:space="preserve">Nippon India Mutual Fund</t>
        </is>
      </c>
      <c r="B9104" t="inlineStr">
        <is>
          <t xml:space="preserve">Nippon India ETF BSE Sensex</t>
        </is>
      </c>
      <c r="C9104" t="inlineStr">
        <is>
          <t xml:space="preserve">INF204KA1UN7</t>
        </is>
      </c>
    </row>
    <row r="9105">
      <c r="A9105" t="inlineStr">
        <is>
          <t xml:space="preserve">Nippon India Mutual Fund</t>
        </is>
      </c>
      <c r="B9105" t="inlineStr">
        <is>
          <t xml:space="preserve">Nippon India ETF BSE Sensex Next 50</t>
        </is>
      </c>
      <c r="C9105" t="inlineStr">
        <is>
          <t xml:space="preserve">INF204KB15D0</t>
        </is>
      </c>
    </row>
    <row r="9106">
      <c r="A9106" t="inlineStr">
        <is>
          <t xml:space="preserve">Nippon India Mutual Fund</t>
        </is>
      </c>
      <c r="B9106" t="inlineStr">
        <is>
          <t xml:space="preserve">Nippon India ETF Gold BeES</t>
        </is>
      </c>
      <c r="C9106" t="inlineStr">
        <is>
          <t xml:space="preserve">INF204KB17I5</t>
        </is>
      </c>
    </row>
    <row r="9107">
      <c r="A9107" t="inlineStr">
        <is>
          <t xml:space="preserve">Nippon India Mutual Fund</t>
        </is>
      </c>
      <c r="B9107" t="inlineStr">
        <is>
          <t xml:space="preserve">Nippon India ETF Hang Seng BeES</t>
        </is>
      </c>
      <c r="C9107" t="inlineStr">
        <is>
          <t xml:space="preserve">INF204KB19I1</t>
        </is>
      </c>
    </row>
    <row r="9108">
      <c r="A9108" t="inlineStr">
        <is>
          <t xml:space="preserve">Nippon India Mutual Fund</t>
        </is>
      </c>
      <c r="B9108" t="inlineStr">
        <is>
          <t xml:space="preserve">Nippon India ETF Nifty 100</t>
        </is>
      </c>
      <c r="C9108" t="inlineStr">
        <is>
          <t xml:space="preserve">INF204K014N5</t>
        </is>
      </c>
    </row>
    <row r="9109">
      <c r="A9109" t="inlineStr">
        <is>
          <t xml:space="preserve">Nippon India Mutual Fund</t>
        </is>
      </c>
      <c r="B9109" t="inlineStr">
        <is>
          <t xml:space="preserve">Nippon India ETF Nifty 1D Rate Liquid BeES - DAILY IDCW Option</t>
        </is>
      </c>
      <c r="C9109" t="inlineStr">
        <is>
          <t xml:space="preserve">INF732E01037</t>
        </is>
      </c>
    </row>
    <row r="9110">
      <c r="A9110" t="inlineStr">
        <is>
          <t xml:space="preserve">Nippon India Mutual Fund</t>
        </is>
      </c>
      <c r="B9110" t="inlineStr">
        <is>
          <t xml:space="preserve">Nippon India ETF Nifty 5 yr Benchmark G-Sec</t>
        </is>
      </c>
      <c r="C9110" t="inlineStr">
        <is>
          <t xml:space="preserve">INF204KC1030</t>
        </is>
      </c>
    </row>
    <row r="9111">
      <c r="A9111" t="inlineStr">
        <is>
          <t xml:space="preserve">Nippon India Mutual Fund</t>
        </is>
      </c>
      <c r="B9111" t="inlineStr">
        <is>
          <t xml:space="preserve">Nippon India ETF Nifty 50 BeES</t>
        </is>
      </c>
      <c r="C9111" t="inlineStr">
        <is>
          <t xml:space="preserve">INF204KB14I2</t>
        </is>
      </c>
    </row>
    <row r="9112">
      <c r="A9112" t="inlineStr">
        <is>
          <t xml:space="preserve">Nippon India Mutual Fund</t>
        </is>
      </c>
      <c r="B9112" t="inlineStr">
        <is>
          <t xml:space="preserve">Nippon India ETF Nifty 50 Shariah BeES</t>
        </is>
      </c>
      <c r="C9112" t="inlineStr">
        <is>
          <t xml:space="preserve">INF732E01128</t>
        </is>
      </c>
    </row>
    <row r="9113">
      <c r="A9113" t="inlineStr">
        <is>
          <t xml:space="preserve">Nippon India Mutual Fund</t>
        </is>
      </c>
      <c r="B9113" t="inlineStr">
        <is>
          <t xml:space="preserve">Nippon India ETF Nifty 50 Value 20</t>
        </is>
      </c>
      <c r="C9113" t="inlineStr">
        <is>
          <t xml:space="preserve">INF204KB18I3</t>
        </is>
      </c>
    </row>
    <row r="9114">
      <c r="A9114" t="inlineStr">
        <is>
          <t xml:space="preserve">Nippon India Mutual Fund</t>
        </is>
      </c>
      <c r="B9114" t="inlineStr">
        <is>
          <t xml:space="preserve">Nippon India ETF Nifty 8-13 yr G-Sec Long Term Gilt</t>
        </is>
      </c>
      <c r="C9114" t="inlineStr">
        <is>
          <t xml:space="preserve">INF204KB1882</t>
        </is>
      </c>
    </row>
    <row r="9115">
      <c r="A9115" t="inlineStr">
        <is>
          <t xml:space="preserve">Nippon India Mutual Fund</t>
        </is>
      </c>
      <c r="B9115" t="inlineStr">
        <is>
          <t xml:space="preserve">Nippon India ETF Nifty Bank BeES</t>
        </is>
      </c>
      <c r="C9115" t="inlineStr">
        <is>
          <t xml:space="preserve">INF204KB15I9</t>
        </is>
      </c>
    </row>
    <row r="9116">
      <c r="A9116" t="inlineStr">
        <is>
          <t xml:space="preserve">Nippon India Mutual Fund</t>
        </is>
      </c>
      <c r="B9116" t="inlineStr">
        <is>
          <t xml:space="preserve">Nippon India ETF Nifty Dividend Opportunities 50</t>
        </is>
      </c>
      <c r="C9116" t="inlineStr">
        <is>
          <t xml:space="preserve">INF204KA1MS3</t>
        </is>
      </c>
    </row>
    <row r="9117">
      <c r="A9117" t="inlineStr">
        <is>
          <t xml:space="preserve">Nippon India Mutual Fund</t>
        </is>
      </c>
      <c r="B9117" t="inlineStr">
        <is>
          <t xml:space="preserve">Nippon India ETF Nifty India Consumption</t>
        </is>
      </c>
      <c r="C9117" t="inlineStr">
        <is>
          <t xml:space="preserve">INF204KA1LD7</t>
        </is>
      </c>
    </row>
    <row r="9118">
      <c r="A9118" t="inlineStr">
        <is>
          <t xml:space="preserve">Nippon India Mutual Fund</t>
        </is>
      </c>
      <c r="B9118" t="inlineStr">
        <is>
          <t xml:space="preserve">Nippon India ETF Nifty Infrastructure BeES</t>
        </is>
      </c>
      <c r="C9118" t="inlineStr">
        <is>
          <t xml:space="preserve">INF732E01268</t>
        </is>
      </c>
    </row>
    <row r="9119">
      <c r="A9119" t="inlineStr">
        <is>
          <t xml:space="preserve">Nippon India Mutual Fund</t>
        </is>
      </c>
      <c r="B9119" t="inlineStr">
        <is>
          <t xml:space="preserve">Nippon India ETF Nifty IT</t>
        </is>
      </c>
      <c r="C9119" t="inlineStr">
        <is>
          <t xml:space="preserve">INF204KB15V2</t>
        </is>
      </c>
    </row>
    <row r="9120">
      <c r="A9120" t="inlineStr">
        <is>
          <t xml:space="preserve">Nippon India Mutual Fund</t>
        </is>
      </c>
      <c r="B9120" t="inlineStr">
        <is>
          <t xml:space="preserve">Nippon India ETF Nifty Midcap 150</t>
        </is>
      </c>
      <c r="C9120" t="inlineStr">
        <is>
          <t xml:space="preserve">INF204KB1V68</t>
        </is>
      </c>
    </row>
    <row r="9121">
      <c r="A9121" t="inlineStr">
        <is>
          <t xml:space="preserve">Nippon India Mutual Fund</t>
        </is>
      </c>
      <c r="B9121" t="inlineStr">
        <is>
          <t xml:space="preserve">Nippon India ETF Nifty Next 50 Junior BeES</t>
        </is>
      </c>
      <c r="C9121" t="inlineStr">
        <is>
          <t xml:space="preserve">INF732E01045</t>
        </is>
      </c>
    </row>
    <row r="9122">
      <c r="A9122" t="inlineStr">
        <is>
          <t xml:space="preserve">Nippon India Mutual Fund</t>
        </is>
      </c>
      <c r="B9122" t="inlineStr">
        <is>
          <t xml:space="preserve">Nippon India ETF Nifty PSU Bank BeES</t>
        </is>
      </c>
      <c r="C9122" t="inlineStr">
        <is>
          <t xml:space="preserve">INF204KB16I7</t>
        </is>
      </c>
    </row>
    <row r="9123">
      <c r="A9123" t="inlineStr">
        <is>
          <t xml:space="preserve">Nippon India Mutual Fund</t>
        </is>
      </c>
      <c r="B9123" t="inlineStr">
        <is>
          <t xml:space="preserve">Nippon India ETF Nifty SDL Apr 2026 Top 20 Equal Weight</t>
        </is>
      </c>
      <c r="C9123" t="inlineStr">
        <is>
          <t xml:space="preserve">INF204KC1022</t>
        </is>
      </c>
    </row>
    <row r="9124">
      <c r="A9124" t="inlineStr">
        <is>
          <t xml:space="preserve">Nippon India Mutual Fund</t>
        </is>
      </c>
      <c r="B9124" t="inlineStr">
        <is>
          <t xml:space="preserve">NIPPON INDIA FIXED HORIZON FUND - XLI - SERIES 1 - DIRECT Plan - IDCW Option</t>
        </is>
      </c>
      <c r="C9124" t="inlineStr">
        <is>
          <t xml:space="preserve">INF204KB1Z07</t>
        </is>
      </c>
    </row>
    <row r="9125">
      <c r="A9125" t="inlineStr">
        <is>
          <t xml:space="preserve">Nippon India Mutual Fund</t>
        </is>
      </c>
      <c r="B9125" t="inlineStr">
        <is>
          <t xml:space="preserve">NIPPON INDIA FIXED HORIZON FUND - XLI - SERIES 10 - DIRECT Plan - IDCW Option</t>
        </is>
      </c>
      <c r="C9125" t="inlineStr">
        <is>
          <t xml:space="preserve">INF204KB16C0</t>
        </is>
      </c>
    </row>
    <row r="9126">
      <c r="A9126" t="inlineStr">
        <is>
          <t xml:space="preserve">Nippon India Mutual Fund</t>
        </is>
      </c>
      <c r="B9126" t="inlineStr">
        <is>
          <t xml:space="preserve">NIPPON INDIA FIXED HORIZON FUND - XLI - SERIES 10 - IDCW Option</t>
        </is>
      </c>
      <c r="C9126" t="inlineStr">
        <is>
          <t xml:space="preserve">INF204KB14C5</t>
        </is>
      </c>
    </row>
    <row r="9127">
      <c r="A9127" t="inlineStr">
        <is>
          <t xml:space="preserve">Nippon India Mutual Fund</t>
        </is>
      </c>
      <c r="B9127" t="inlineStr">
        <is>
          <t xml:space="preserve">NIPPON INDIA FIXED HORIZON FUND - XLI - SERIES 11 - DIRECT Plan - IDCW Option</t>
        </is>
      </c>
      <c r="C9127" t="inlineStr">
        <is>
          <t xml:space="preserve">INF204KB10D1</t>
        </is>
      </c>
    </row>
    <row r="9128">
      <c r="A9128" t="inlineStr">
        <is>
          <t xml:space="preserve">Nippon India Mutual Fund</t>
        </is>
      </c>
      <c r="B9128" t="inlineStr">
        <is>
          <t xml:space="preserve">NIPPON INDIA FIXED HORIZON FUND - XLI - SERIES 11 - IDCW Option</t>
        </is>
      </c>
      <c r="C9128" t="inlineStr">
        <is>
          <t xml:space="preserve">INF204KB18C6</t>
        </is>
      </c>
    </row>
    <row r="9129">
      <c r="A9129" t="inlineStr">
        <is>
          <t xml:space="preserve">Nippon India Mutual Fund</t>
        </is>
      </c>
      <c r="B9129" t="inlineStr">
        <is>
          <t xml:space="preserve">NIPPON INDIA FIXED HORIZON FUND - XLI - SERIES 12 - DIRECT Plan - IDCW Option</t>
        </is>
      </c>
      <c r="C9129" t="inlineStr">
        <is>
          <t xml:space="preserve">INF204KB14D3</t>
        </is>
      </c>
    </row>
    <row r="9130">
      <c r="A9130" t="inlineStr">
        <is>
          <t xml:space="preserve">Nippon India Mutual Fund</t>
        </is>
      </c>
      <c r="B9130" t="inlineStr">
        <is>
          <t xml:space="preserve">NIPPON INDIA FIXED HORIZON FUND - XLI - SERIES 12 - IDCW Option</t>
        </is>
      </c>
      <c r="C9130" t="inlineStr">
        <is>
          <t xml:space="preserve">INF204KB12D7</t>
        </is>
      </c>
    </row>
    <row r="9131">
      <c r="A9131" t="inlineStr">
        <is>
          <t xml:space="preserve">Nippon India Mutual Fund</t>
        </is>
      </c>
      <c r="B9131" t="inlineStr">
        <is>
          <t xml:space="preserve">NIPPON INDIA FIXED HORIZON FUND - XLI - SERIES 4 - DIRECT Plan - IDCW Option</t>
        </is>
      </c>
      <c r="C9131" t="inlineStr">
        <is>
          <t xml:space="preserve">INF204KB12A3</t>
        </is>
      </c>
    </row>
    <row r="9132">
      <c r="A9132" t="inlineStr">
        <is>
          <t xml:space="preserve">Nippon India Mutual Fund</t>
        </is>
      </c>
      <c r="B9132" t="inlineStr">
        <is>
          <t xml:space="preserve">NIPPON INDIA FIXED HORIZON FUND - XLI - SERIES 4 - IDCW Option</t>
        </is>
      </c>
      <c r="C9132" t="inlineStr">
        <is>
          <t xml:space="preserve">INF204KB10A7</t>
        </is>
      </c>
    </row>
    <row r="9133">
      <c r="A9133" t="inlineStr">
        <is>
          <t xml:space="preserve">Nippon India Mutual Fund</t>
        </is>
      </c>
      <c r="B9133" t="inlineStr">
        <is>
          <t xml:space="preserve">Nippon India Fixed Horizon Fund - XXV - Series 15 - Direct Plan - Dividend Payout Option</t>
        </is>
      </c>
      <c r="C9133" t="inlineStr">
        <is>
          <t xml:space="preserve">INF204KB1A14</t>
        </is>
      </c>
    </row>
    <row r="9134">
      <c r="A9134" t="inlineStr">
        <is>
          <t xml:space="preserve">Nippon India Mutual Fund</t>
        </is>
      </c>
      <c r="B9134" t="inlineStr">
        <is>
          <t xml:space="preserve">Nippon India Fixed Horizon Fund - XXV - Series 15 - Direct Plan - Growth Option</t>
        </is>
      </c>
      <c r="C9134" t="inlineStr">
        <is>
          <t xml:space="preserve">INF204KB1A06</t>
        </is>
      </c>
    </row>
    <row r="9135">
      <c r="A9135" t="inlineStr">
        <is>
          <t xml:space="preserve">Nippon India Mutual Fund</t>
        </is>
      </c>
      <c r="B9135" t="inlineStr">
        <is>
          <t xml:space="preserve">Nippon India Fixed Horizon Fund - XXV - Series 15 - Dividend Payout Option</t>
        </is>
      </c>
      <c r="C9135" t="inlineStr">
        <is>
          <t xml:space="preserve">INF204KB1ZZ9</t>
        </is>
      </c>
    </row>
    <row r="9136">
      <c r="A9136" t="inlineStr">
        <is>
          <t xml:space="preserve">Nippon India Mutual Fund</t>
        </is>
      </c>
      <c r="B9136" t="inlineStr">
        <is>
          <t xml:space="preserve">Nippon India Fixed Horizon Fund - XXV - Series 15 - Growth Option</t>
        </is>
      </c>
      <c r="C9136" t="inlineStr">
        <is>
          <t xml:space="preserve">INF204KB1ZY2</t>
        </is>
      </c>
    </row>
    <row r="9137">
      <c r="A9137" t="inlineStr">
        <is>
          <t xml:space="preserve">Nippon India Mutual Fund</t>
        </is>
      </c>
      <c r="B9137" t="inlineStr">
        <is>
          <t xml:space="preserve">Nippon India Fixed Horizon Fund - XXXII - Series 9 - Direct Plan - Dividend Payout Option</t>
        </is>
      </c>
      <c r="C9137" t="inlineStr">
        <is>
          <t xml:space="preserve">INF204KB1HP8</t>
        </is>
      </c>
    </row>
    <row r="9138">
      <c r="A9138" t="inlineStr">
        <is>
          <t xml:space="preserve">Nippon India Mutual Fund</t>
        </is>
      </c>
      <c r="B9138" t="inlineStr">
        <is>
          <t xml:space="preserve">Nippon India Fixed Horizon Fund - XXXII - Series 9 - Direct Plan - Growth Option</t>
        </is>
      </c>
      <c r="C9138" t="inlineStr">
        <is>
          <t xml:space="preserve">INF204KB1HO1</t>
        </is>
      </c>
    </row>
    <row r="9139">
      <c r="A9139" t="inlineStr">
        <is>
          <t xml:space="preserve">Nippon India Mutual Fund</t>
        </is>
      </c>
      <c r="B9139" t="inlineStr">
        <is>
          <t xml:space="preserve">Nippon India Fixed Horizon Fund - XXXII - Series 9 - Dividend Payout Option</t>
        </is>
      </c>
      <c r="C9139" t="inlineStr">
        <is>
          <t xml:space="preserve">INF204KB1HN3</t>
        </is>
      </c>
    </row>
    <row r="9140">
      <c r="A9140" t="inlineStr">
        <is>
          <t xml:space="preserve">Nippon India Mutual Fund</t>
        </is>
      </c>
      <c r="B9140" t="inlineStr">
        <is>
          <t xml:space="preserve">Nippon India Fixed Horizon Fund - XXXII - Series 9 - Growth Option</t>
        </is>
      </c>
      <c r="C9140" t="inlineStr">
        <is>
          <t xml:space="preserve">INF204KB1HM5</t>
        </is>
      </c>
    </row>
    <row r="9141">
      <c r="A9141" t="inlineStr">
        <is>
          <t xml:space="preserve">Nippon India Mutual Fund</t>
        </is>
      </c>
      <c r="B9141" t="inlineStr">
        <is>
          <t xml:space="preserve">NIPPON INDIA FIXED HORIZON FUND - XXXIX - SERIES 1 - DIRECT Plan - IDCW Option</t>
        </is>
      </c>
      <c r="C9141" t="inlineStr">
        <is>
          <t xml:space="preserve">INF204KB1G59</t>
        </is>
      </c>
    </row>
    <row r="9142">
      <c r="A9142" t="inlineStr">
        <is>
          <t xml:space="preserve">Nippon India Mutual Fund</t>
        </is>
      </c>
      <c r="B9142" t="inlineStr">
        <is>
          <t xml:space="preserve">NIPPON INDIA FIXED HORIZON FUND - XXXIX - SERIES 1 - IDCW Option</t>
        </is>
      </c>
      <c r="C9142" t="inlineStr">
        <is>
          <t xml:space="preserve">INF204KB1G34</t>
        </is>
      </c>
    </row>
    <row r="9143">
      <c r="A9143" t="inlineStr">
        <is>
          <t xml:space="preserve">Nippon India Mutual Fund</t>
        </is>
      </c>
      <c r="B9143" t="inlineStr">
        <is>
          <t xml:space="preserve">NIPPON INDIA FIXED HORIZON FUND - XXXIX - SERIES 11 - DIRECT Plan - IDCW Option</t>
        </is>
      </c>
      <c r="C9143" t="inlineStr">
        <is>
          <t xml:space="preserve">INF204KB1L78</t>
        </is>
      </c>
    </row>
    <row r="9144">
      <c r="A9144" t="inlineStr">
        <is>
          <t xml:space="preserve">Nippon India Mutual Fund</t>
        </is>
      </c>
      <c r="B9144" t="inlineStr">
        <is>
          <t xml:space="preserve">NIPPON INDIA FIXED HORIZON FUND - XXXIX - SERIES 11 - IDCW Option</t>
        </is>
      </c>
      <c r="C9144" t="inlineStr">
        <is>
          <t xml:space="preserve">INF204KB1L52</t>
        </is>
      </c>
    </row>
    <row r="9145">
      <c r="A9145" t="inlineStr">
        <is>
          <t xml:space="preserve">Nippon India Mutual Fund</t>
        </is>
      </c>
      <c r="B9145" t="inlineStr">
        <is>
          <t xml:space="preserve">NIPPON INDIA FIXED HORIZON FUND - XXXIX - SERIES 14 - DIRECT Plan - IDCW Option</t>
        </is>
      </c>
      <c r="C9145" t="inlineStr">
        <is>
          <t xml:space="preserve">INF204KB1N35</t>
        </is>
      </c>
    </row>
    <row r="9146">
      <c r="A9146" t="inlineStr">
        <is>
          <t xml:space="preserve">Nippon India Mutual Fund</t>
        </is>
      </c>
      <c r="B9146" t="inlineStr">
        <is>
          <t xml:space="preserve">NIPPON INDIA FIXED HORIZON FUND - XXXIX - SERIES 14 - IDCW Option</t>
        </is>
      </c>
      <c r="C9146" t="inlineStr">
        <is>
          <t xml:space="preserve">INF204KB1N19</t>
        </is>
      </c>
    </row>
    <row r="9147">
      <c r="A9147" t="inlineStr">
        <is>
          <t xml:space="preserve">Nippon India Mutual Fund</t>
        </is>
      </c>
      <c r="B9147" t="inlineStr">
        <is>
          <t xml:space="preserve">NIPPON INDIA FIXED HORIZON FUND - XXXIX - SERIES 15 - IDCW Option</t>
        </is>
      </c>
      <c r="C9147" t="inlineStr">
        <is>
          <t xml:space="preserve">INF204KB1N50</t>
        </is>
      </c>
    </row>
    <row r="9148">
      <c r="A9148" t="inlineStr">
        <is>
          <t xml:space="preserve">Nippon India Mutual Fund</t>
        </is>
      </c>
      <c r="B9148" t="inlineStr">
        <is>
          <t xml:space="preserve">NIPPON INDIA FIXED HORIZON FUND - XXXIX - SERIES 2 - DIRECT Plan - IDCW Option</t>
        </is>
      </c>
      <c r="C9148" t="inlineStr">
        <is>
          <t xml:space="preserve">INF204KB1H74</t>
        </is>
      </c>
    </row>
    <row r="9149">
      <c r="A9149" t="inlineStr">
        <is>
          <t xml:space="preserve">Nippon India Mutual Fund</t>
        </is>
      </c>
      <c r="B9149" t="inlineStr">
        <is>
          <t xml:space="preserve">NIPPON INDIA FIXED HORIZON FUND - XXXIX - SERIES 2 - IDCW Option</t>
        </is>
      </c>
      <c r="C9149" t="inlineStr">
        <is>
          <t xml:space="preserve">INF204KB1H58</t>
        </is>
      </c>
    </row>
    <row r="9150">
      <c r="A9150" t="inlineStr">
        <is>
          <t xml:space="preserve">Nippon India Mutual Fund</t>
        </is>
      </c>
      <c r="B9150" t="inlineStr">
        <is>
          <t xml:space="preserve">NIPPON INDIA FIXED HORIZON FUND - XXXIX - SERIES 4 - DIRECT Plan - IDCW Option</t>
        </is>
      </c>
      <c r="C9150" t="inlineStr">
        <is>
          <t xml:space="preserve">INF204KB1I99</t>
        </is>
      </c>
    </row>
    <row r="9151">
      <c r="A9151" t="inlineStr">
        <is>
          <t xml:space="preserve">Nippon India Mutual Fund</t>
        </is>
      </c>
      <c r="B9151" t="inlineStr">
        <is>
          <t xml:space="preserve">NIPPON INDIA FIXED HORIZON FUND - XXXIX - SERIES 4 - IDCW Option</t>
        </is>
      </c>
      <c r="C9151" t="inlineStr">
        <is>
          <t xml:space="preserve">INF204KB1I73</t>
        </is>
      </c>
    </row>
    <row r="9152">
      <c r="A9152" t="inlineStr">
        <is>
          <t xml:space="preserve">Nippon India Mutual Fund</t>
        </is>
      </c>
      <c r="B9152" t="inlineStr">
        <is>
          <t xml:space="preserve">NIPPON INDIA FIXED HORIZON FUND - XXXIX - SERIES 5 - DIRECT Plan - IDCW Option</t>
        </is>
      </c>
      <c r="C9152" t="inlineStr">
        <is>
          <t xml:space="preserve">INF204KB1J31</t>
        </is>
      </c>
    </row>
    <row r="9153">
      <c r="A9153" t="inlineStr">
        <is>
          <t xml:space="preserve">Nippon India Mutual Fund</t>
        </is>
      </c>
      <c r="B9153" t="inlineStr">
        <is>
          <t xml:space="preserve">NIPPON INDIA FIXED HORIZON FUND - XXXIX - SERIES 5 - IDCW Option</t>
        </is>
      </c>
      <c r="C9153" t="inlineStr">
        <is>
          <t xml:space="preserve">INF204KB1J15</t>
        </is>
      </c>
    </row>
    <row r="9154">
      <c r="A9154" t="inlineStr">
        <is>
          <t xml:space="preserve">Nippon India Mutual Fund</t>
        </is>
      </c>
      <c r="B9154" t="inlineStr">
        <is>
          <t xml:space="preserve">NIPPON INDIA FIXED HORIZON FUND - XXXIX - SERIES 8 - DIRECT Plan - IDCW Option</t>
        </is>
      </c>
      <c r="C9154" t="inlineStr">
        <is>
          <t xml:space="preserve">INF204KB1K53</t>
        </is>
      </c>
    </row>
    <row r="9155">
      <c r="A9155" t="inlineStr">
        <is>
          <t xml:space="preserve">Nippon India Mutual Fund</t>
        </is>
      </c>
      <c r="B9155" t="inlineStr">
        <is>
          <t xml:space="preserve">NIPPON INDIA FIXED HORIZON FUND - XXXIX - SERIES 8 - IDCW Option</t>
        </is>
      </c>
      <c r="C9155" t="inlineStr">
        <is>
          <t xml:space="preserve">INF204KB1K38</t>
        </is>
      </c>
    </row>
    <row r="9156">
      <c r="A9156" t="inlineStr">
        <is>
          <t xml:space="preserve">Nippon India Mutual Fund</t>
        </is>
      </c>
      <c r="B9156" t="inlineStr">
        <is>
          <t xml:space="preserve">NIPPON INDIA FIXED HORIZON FUND - XXXIX - SERIES 9 - DIRECT Plan - IDCW Option</t>
        </is>
      </c>
      <c r="C9156" t="inlineStr">
        <is>
          <t xml:space="preserve">INF204KB1K95</t>
        </is>
      </c>
    </row>
    <row r="9157">
      <c r="A9157" t="inlineStr">
        <is>
          <t xml:space="preserve">Nippon India Mutual Fund</t>
        </is>
      </c>
      <c r="B9157" t="inlineStr">
        <is>
          <t xml:space="preserve">NIPPON INDIA FIXED HORIZON FUND - XXXIX - SERIES 9 - IDCW Option</t>
        </is>
      </c>
      <c r="C9157" t="inlineStr">
        <is>
          <t xml:space="preserve">INF204KB1K79</t>
        </is>
      </c>
    </row>
    <row r="9158">
      <c r="A9158" t="inlineStr">
        <is>
          <t xml:space="preserve">Nippon India Mutual Fund</t>
        </is>
      </c>
      <c r="B9158" t="inlineStr">
        <is>
          <t xml:space="preserve">NIPPON INDIA FIXED HORIZON FUND - XXXV - SERIES 11 - DIRECT Plan - IDCW Option</t>
        </is>
      </c>
      <c r="C9158" t="inlineStr">
        <is>
          <t xml:space="preserve">INF204KB1SX9</t>
        </is>
      </c>
    </row>
    <row r="9159">
      <c r="A9159" t="inlineStr">
        <is>
          <t xml:space="preserve">Nippon India Mutual Fund</t>
        </is>
      </c>
      <c r="B9159" t="inlineStr">
        <is>
          <t xml:space="preserve">NIPPON INDIA FIXED HORIZON FUND - XXXV - SERIES 11 - IDCW Option</t>
        </is>
      </c>
      <c r="C9159" t="inlineStr">
        <is>
          <t xml:space="preserve">INF204KB1SV3</t>
        </is>
      </c>
    </row>
    <row r="9160">
      <c r="A9160" t="inlineStr">
        <is>
          <t xml:space="preserve">Nippon India Mutual Fund</t>
        </is>
      </c>
      <c r="B9160" t="inlineStr">
        <is>
          <t xml:space="preserve">NIPPON INDIA FIXED HORIZON FUND - XXXV - SERIES 12 - DIRECT Plan - IDCW Option</t>
        </is>
      </c>
      <c r="C9160" t="inlineStr">
        <is>
          <t xml:space="preserve">INF204KB1TB3</t>
        </is>
      </c>
    </row>
    <row r="9161">
      <c r="A9161" t="inlineStr">
        <is>
          <t xml:space="preserve">Nippon India Mutual Fund</t>
        </is>
      </c>
      <c r="B9161" t="inlineStr">
        <is>
          <t xml:space="preserve">NIPPON INDIA FIXED HORIZON FUND - XXXV - SERIES 13 - DIRECT Plan - IDCW Option</t>
        </is>
      </c>
      <c r="C9161" t="inlineStr">
        <is>
          <t xml:space="preserve">INF204KB1TF4</t>
        </is>
      </c>
    </row>
    <row r="9162">
      <c r="A9162" t="inlineStr">
        <is>
          <t xml:space="preserve">Nippon India Mutual Fund</t>
        </is>
      </c>
      <c r="B9162" t="inlineStr">
        <is>
          <t xml:space="preserve">NIPPON INDIA FIXED HORIZON FUND - XXXV - SERIES 13 - IDCW Option</t>
        </is>
      </c>
      <c r="C9162" t="inlineStr">
        <is>
          <t xml:space="preserve">INF204KB1TD9</t>
        </is>
      </c>
    </row>
    <row r="9163">
      <c r="A9163" t="inlineStr">
        <is>
          <t xml:space="preserve">Nippon India Mutual Fund</t>
        </is>
      </c>
      <c r="B9163" t="inlineStr">
        <is>
          <t xml:space="preserve">NIPPON INDIA FIXED HORIZON FUND - XXXV - SERIES 14 - DIRECT Plan - IDCW Option</t>
        </is>
      </c>
      <c r="C9163" t="inlineStr">
        <is>
          <t xml:space="preserve">INF204KB1TR9</t>
        </is>
      </c>
    </row>
    <row r="9164">
      <c r="A9164" t="inlineStr">
        <is>
          <t xml:space="preserve">Nippon India Mutual Fund</t>
        </is>
      </c>
      <c r="B9164" t="inlineStr">
        <is>
          <t xml:space="preserve">NIPPON INDIA FIXED HORIZON FUND - XXXV - SERIES 14 - IDCW Option</t>
        </is>
      </c>
      <c r="C9164" t="inlineStr">
        <is>
          <t xml:space="preserve">INF204KB1TP3</t>
        </is>
      </c>
    </row>
    <row r="9165">
      <c r="A9165" t="inlineStr">
        <is>
          <t xml:space="preserve">Nippon India Mutual Fund</t>
        </is>
      </c>
      <c r="B9165" t="inlineStr">
        <is>
          <t xml:space="preserve">NIPPON INDIA FIXED HORIZON FUND - XXXV - SERIES 15 - DIRECT Plan - IDCW Option</t>
        </is>
      </c>
      <c r="C9165" t="inlineStr">
        <is>
          <t xml:space="preserve">INF204KB1TV1</t>
        </is>
      </c>
    </row>
    <row r="9166">
      <c r="A9166" t="inlineStr">
        <is>
          <t xml:space="preserve">Nippon India Mutual Fund</t>
        </is>
      </c>
      <c r="B9166" t="inlineStr">
        <is>
          <t xml:space="preserve">NIPPON INDIA FIXED HORIZON FUND - XXXV - SERIES 15 - IDCW Option</t>
        </is>
      </c>
      <c r="C9166" t="inlineStr">
        <is>
          <t xml:space="preserve">INF204KB1TT5</t>
        </is>
      </c>
    </row>
    <row r="9167">
      <c r="A9167" t="inlineStr">
        <is>
          <t xml:space="preserve">Nippon India Mutual Fund</t>
        </is>
      </c>
      <c r="B9167" t="inlineStr">
        <is>
          <t xml:space="preserve">NIPPON INDIA FIXED HORIZON FUND - XXXV - SERIES 16 - DIRECT Plan - IDCW Option</t>
        </is>
      </c>
      <c r="C9167" t="inlineStr">
        <is>
          <t xml:space="preserve">INF204KB1TZ2</t>
        </is>
      </c>
    </row>
    <row r="9168">
      <c r="A9168" t="inlineStr">
        <is>
          <t xml:space="preserve">Nippon India Mutual Fund</t>
        </is>
      </c>
      <c r="B9168" t="inlineStr">
        <is>
          <t xml:space="preserve">NIPPON INDIA FIXED HORIZON FUND - XXXV - SERIES 16 - IDCW Option</t>
        </is>
      </c>
      <c r="C9168" t="inlineStr">
        <is>
          <t xml:space="preserve">INF204KB1TX7</t>
        </is>
      </c>
    </row>
    <row r="9169">
      <c r="A9169" t="inlineStr">
        <is>
          <t xml:space="preserve">Nippon India Mutual Fund</t>
        </is>
      </c>
      <c r="B9169" t="inlineStr">
        <is>
          <t xml:space="preserve">NIPPON INDIA FIXED HORIZON FUND - XXXV - SERIES 6 - DIRECT Plan - IDCW Option</t>
        </is>
      </c>
      <c r="C9169" t="inlineStr">
        <is>
          <t xml:space="preserve">INF204KB1RZ6</t>
        </is>
      </c>
    </row>
    <row r="9170">
      <c r="A9170" t="inlineStr">
        <is>
          <t xml:space="preserve">Nippon India Mutual Fund</t>
        </is>
      </c>
      <c r="B9170" t="inlineStr">
        <is>
          <t xml:space="preserve">NIPPON INDIA FIXED HORIZON FUND - XXXV - SERIES 6 - IDCW Option</t>
        </is>
      </c>
      <c r="C9170" t="inlineStr">
        <is>
          <t xml:space="preserve">INF204KB1RX1</t>
        </is>
      </c>
    </row>
    <row r="9171">
      <c r="A9171" t="inlineStr">
        <is>
          <t xml:space="preserve">Nippon India Mutual Fund</t>
        </is>
      </c>
      <c r="B9171" t="inlineStr">
        <is>
          <t xml:space="preserve">NIPPON INDIA FIXED HORIZON FUND - XXXV - SERIES 9 - DIRECT Plan - IDCW Option</t>
        </is>
      </c>
      <c r="C9171" t="inlineStr">
        <is>
          <t xml:space="preserve">INF204KB1SL4</t>
        </is>
      </c>
    </row>
    <row r="9172">
      <c r="A9172" t="inlineStr">
        <is>
          <t xml:space="preserve">Nippon India Mutual Fund</t>
        </is>
      </c>
      <c r="B9172" t="inlineStr">
        <is>
          <t xml:space="preserve">NIPPON INDIA FIXED HORIZON FUND - XXXV - SERIES 9 - IDCW Option</t>
        </is>
      </c>
      <c r="C9172" t="inlineStr">
        <is>
          <t xml:space="preserve">INF204KB1SJ8</t>
        </is>
      </c>
    </row>
    <row r="9173">
      <c r="A9173" t="inlineStr">
        <is>
          <t xml:space="preserve">Nippon India Mutual Fund</t>
        </is>
      </c>
      <c r="B9173" t="inlineStr">
        <is>
          <t xml:space="preserve">NIPPON INDIA FIXED HORIZON FUND - XXXVI - SERIES 1 - DIRECT Plan - IDCW Option</t>
        </is>
      </c>
      <c r="C9173" t="inlineStr">
        <is>
          <t xml:space="preserve">INF204KB1UH8</t>
        </is>
      </c>
    </row>
    <row r="9174">
      <c r="A9174" t="inlineStr">
        <is>
          <t xml:space="preserve">Nippon India Mutual Fund</t>
        </is>
      </c>
      <c r="B9174" t="inlineStr">
        <is>
          <t xml:space="preserve">NIPPON INDIA FIXED HORIZON FUND - XXXVI - SERIES 1 - IDCW Option</t>
        </is>
      </c>
      <c r="C9174" t="inlineStr">
        <is>
          <t xml:space="preserve">INF204KB1UF2</t>
        </is>
      </c>
    </row>
    <row r="9175">
      <c r="A9175" t="inlineStr">
        <is>
          <t xml:space="preserve">Nippon India Mutual Fund</t>
        </is>
      </c>
      <c r="B9175" t="inlineStr">
        <is>
          <t xml:space="preserve">NIPPON INDIA FIXED HORIZON FUND - XXXVI - SERIES 2 - DIRECT Plan - IDCW Option</t>
        </is>
      </c>
      <c r="C9175" t="inlineStr">
        <is>
          <t xml:space="preserve">INF204KB1UL0</t>
        </is>
      </c>
    </row>
    <row r="9176">
      <c r="A9176" t="inlineStr">
        <is>
          <t xml:space="preserve">Nippon India Mutual Fund</t>
        </is>
      </c>
      <c r="B9176" t="inlineStr">
        <is>
          <t xml:space="preserve">NIPPON INDIA FIXED HORIZON FUND - XXXVI - SERIES 2 - IDCW Option</t>
        </is>
      </c>
      <c r="C9176" t="inlineStr">
        <is>
          <t xml:space="preserve">INF204KB1UJ4</t>
        </is>
      </c>
    </row>
    <row r="9177">
      <c r="A9177" t="inlineStr">
        <is>
          <t xml:space="preserve">Nippon India Mutual Fund</t>
        </is>
      </c>
      <c r="B9177" t="inlineStr">
        <is>
          <t xml:space="preserve">NIPPON INDIA FIXED HORIZON FUND - XXXVI - SERIES 3 - DIRECT Plan - IDCW Option</t>
        </is>
      </c>
      <c r="C9177" t="inlineStr">
        <is>
          <t xml:space="preserve">INF204KB1UP1</t>
        </is>
      </c>
    </row>
    <row r="9178">
      <c r="A9178" t="inlineStr">
        <is>
          <t xml:space="preserve">Nippon India Mutual Fund</t>
        </is>
      </c>
      <c r="B9178" t="inlineStr">
        <is>
          <t xml:space="preserve">NIPPON INDIA FIXED HORIZON FUND - XXXVI - SERIES 3 - IDCW Option</t>
        </is>
      </c>
      <c r="C9178" t="inlineStr">
        <is>
          <t xml:space="preserve">INF204KB1UN6</t>
        </is>
      </c>
    </row>
    <row r="9179">
      <c r="A9179" t="inlineStr">
        <is>
          <t xml:space="preserve">Nippon India Mutual Fund</t>
        </is>
      </c>
      <c r="B9179" t="inlineStr">
        <is>
          <t xml:space="preserve">NIPPON INDIA FIXED HORIZON FUND - XXXVI - SERIES 5 - DIRECT Plan - IDCW Option</t>
        </is>
      </c>
      <c r="C9179" t="inlineStr">
        <is>
          <t xml:space="preserve">INF204KB1UX5</t>
        </is>
      </c>
    </row>
    <row r="9180">
      <c r="A9180" t="inlineStr">
        <is>
          <t xml:space="preserve">Nippon India Mutual Fund</t>
        </is>
      </c>
      <c r="B9180" t="inlineStr">
        <is>
          <t xml:space="preserve">NIPPON INDIA FIXED HORIZON FUND - XXXVI - SERIES 5 - IDCW Option</t>
        </is>
      </c>
      <c r="C9180" t="inlineStr">
        <is>
          <t xml:space="preserve">INF204KB1UV9</t>
        </is>
      </c>
    </row>
    <row r="9181">
      <c r="A9181" t="inlineStr">
        <is>
          <t xml:space="preserve">Nippon India Mutual Fund</t>
        </is>
      </c>
      <c r="B9181" t="inlineStr">
        <is>
          <t xml:space="preserve">NIPPON INDIA FIXED HORIZON FUND - XXXVI - SERIES 6 - DIRECT Plan - IDCW Option</t>
        </is>
      </c>
      <c r="C9181" t="inlineStr">
        <is>
          <t xml:space="preserve">INF204KB1VB9</t>
        </is>
      </c>
    </row>
    <row r="9182">
      <c r="A9182" t="inlineStr">
        <is>
          <t xml:space="preserve">Nippon India Mutual Fund</t>
        </is>
      </c>
      <c r="B9182" t="inlineStr">
        <is>
          <t xml:space="preserve">NIPPON INDIA FIXED HORIZON FUND - XXXVI - SERIES 6 - IDCW Option</t>
        </is>
      </c>
      <c r="C9182" t="inlineStr">
        <is>
          <t xml:space="preserve">INF204KB1UZ0</t>
        </is>
      </c>
    </row>
    <row r="9183">
      <c r="A9183" t="inlineStr">
        <is>
          <t xml:space="preserve">Nippon India Mutual Fund</t>
        </is>
      </c>
      <c r="B9183" t="inlineStr">
        <is>
          <t xml:space="preserve">NIPPON INDIA FIXED HORIZON FUND - XXXVI - SERIES 7 - DIRECT Plan - IDCW Option</t>
        </is>
      </c>
      <c r="C9183" t="inlineStr">
        <is>
          <t xml:space="preserve">INF204KB1VJ2</t>
        </is>
      </c>
    </row>
    <row r="9184">
      <c r="A9184" t="inlineStr">
        <is>
          <t xml:space="preserve">Nippon India Mutual Fund</t>
        </is>
      </c>
      <c r="B9184" t="inlineStr">
        <is>
          <t xml:space="preserve">NIPPON INDIA FIXED HORIZON FUND - XXXVI - SERIES 7 - IDCW Option</t>
        </is>
      </c>
      <c r="C9184" t="inlineStr">
        <is>
          <t xml:space="preserve">INF204KB1VH6</t>
        </is>
      </c>
    </row>
    <row r="9185">
      <c r="A9185" t="inlineStr">
        <is>
          <t xml:space="preserve">Nippon India Mutual Fund</t>
        </is>
      </c>
      <c r="B9185" t="inlineStr">
        <is>
          <t xml:space="preserve">NIPPON INDIA FIXED HORIZON FUND - XXXVI - SERIES 8 - DIRECT Plan - IDCW Option</t>
        </is>
      </c>
      <c r="C9185" t="inlineStr">
        <is>
          <t xml:space="preserve">INF204KB1VN4</t>
        </is>
      </c>
    </row>
    <row r="9186">
      <c r="A9186" t="inlineStr">
        <is>
          <t xml:space="preserve">Nippon India Mutual Fund</t>
        </is>
      </c>
      <c r="B9186" t="inlineStr">
        <is>
          <t xml:space="preserve">NIPPON INDIA FIXED HORIZON FUND - XXXVI - SERIES 8 - IDCW Option</t>
        </is>
      </c>
      <c r="C9186" t="inlineStr">
        <is>
          <t xml:space="preserve">INF204KB1VL8</t>
        </is>
      </c>
    </row>
    <row r="9187">
      <c r="A9187" t="inlineStr">
        <is>
          <t xml:space="preserve">Nippon India Mutual Fund</t>
        </is>
      </c>
      <c r="B9187" t="inlineStr">
        <is>
          <t xml:space="preserve">NIPPON INDIA FIXED HORIZON FUND - XXXVI - SERIES 9 - DIRECT Plan - IDCW Option</t>
        </is>
      </c>
      <c r="C9187" t="inlineStr">
        <is>
          <t xml:space="preserve">INF204KB1XN0</t>
        </is>
      </c>
    </row>
    <row r="9188">
      <c r="A9188" t="inlineStr">
        <is>
          <t xml:space="preserve">Nippon India Mutual Fund</t>
        </is>
      </c>
      <c r="B9188" t="inlineStr">
        <is>
          <t xml:space="preserve">NIPPON INDIA FIXED HORIZON FUND - XXXVII - SERIES 01 - DIRECT Plan - IDCW Option</t>
        </is>
      </c>
      <c r="C9188" t="inlineStr">
        <is>
          <t xml:space="preserve">INF204KB1WD3</t>
        </is>
      </c>
    </row>
    <row r="9189">
      <c r="A9189" t="inlineStr">
        <is>
          <t xml:space="preserve">Nippon India Mutual Fund</t>
        </is>
      </c>
      <c r="B9189" t="inlineStr">
        <is>
          <t xml:space="preserve">NIPPON INDIA FIXED HORIZON FUND - XXXVII - SERIES 01 - IDCW Option</t>
        </is>
      </c>
      <c r="C9189" t="inlineStr">
        <is>
          <t xml:space="preserve">INF204KB1WB7</t>
        </is>
      </c>
    </row>
    <row r="9190">
      <c r="A9190" t="inlineStr">
        <is>
          <t xml:space="preserve">Nippon India Mutual Fund</t>
        </is>
      </c>
      <c r="B9190" t="inlineStr">
        <is>
          <t xml:space="preserve">NIPPON INDIA FIXED HORIZON FUND - XXXVII - SERIES 03 - DIRECT Plan - IDCW Option</t>
        </is>
      </c>
      <c r="C9190" t="inlineStr">
        <is>
          <t xml:space="preserve">INF204KB1WL6</t>
        </is>
      </c>
    </row>
    <row r="9191">
      <c r="A9191" t="inlineStr">
        <is>
          <t xml:space="preserve">Nippon India Mutual Fund</t>
        </is>
      </c>
      <c r="B9191" t="inlineStr">
        <is>
          <t xml:space="preserve">NIPPON INDIA FIXED HORIZON FUND - XXXVII - SERIES 03 - IDCW Option</t>
        </is>
      </c>
      <c r="C9191" t="inlineStr">
        <is>
          <t xml:space="preserve">INF204KB1WJ0</t>
        </is>
      </c>
    </row>
    <row r="9192">
      <c r="A9192" t="inlineStr">
        <is>
          <t xml:space="preserve">Nippon India Mutual Fund</t>
        </is>
      </c>
      <c r="B9192" t="inlineStr">
        <is>
          <t xml:space="preserve">NIPPON INDIA FIXED HORIZON FUND - XXXVII - SERIES 04 - IDCW Option</t>
        </is>
      </c>
      <c r="C9192" t="inlineStr">
        <is>
          <t xml:space="preserve">INF204KB1WN2</t>
        </is>
      </c>
    </row>
    <row r="9193">
      <c r="A9193" t="inlineStr">
        <is>
          <t xml:space="preserve">Nippon India Mutual Fund</t>
        </is>
      </c>
      <c r="B9193" t="inlineStr">
        <is>
          <t xml:space="preserve">NIPPON INDIA FIXED HORIZON FUND - XXXVII - SERIES 05 - DIRECT Plan - IDCW Option</t>
        </is>
      </c>
      <c r="C9193" t="inlineStr">
        <is>
          <t xml:space="preserve">INF204KB1WX1</t>
        </is>
      </c>
    </row>
    <row r="9194">
      <c r="A9194" t="inlineStr">
        <is>
          <t xml:space="preserve">Nippon India Mutual Fund</t>
        </is>
      </c>
      <c r="B9194" t="inlineStr">
        <is>
          <t xml:space="preserve">NIPPON INDIA FIXED HORIZON FUND - XXXVII - SERIES 05 - IDCW Option</t>
        </is>
      </c>
      <c r="C9194" t="inlineStr">
        <is>
          <t xml:space="preserve">INF204KB1WV5</t>
        </is>
      </c>
    </row>
    <row r="9195">
      <c r="A9195" t="inlineStr">
        <is>
          <t xml:space="preserve">Nippon India Mutual Fund</t>
        </is>
      </c>
      <c r="B9195" t="inlineStr">
        <is>
          <t xml:space="preserve">NIPPON INDIA FIXED HORIZON FUND - XXXVII - SERIES 06 - DIRECT Plan - IDCW Option</t>
        </is>
      </c>
      <c r="C9195" t="inlineStr">
        <is>
          <t xml:space="preserve">INF204KB1XB5</t>
        </is>
      </c>
    </row>
    <row r="9196">
      <c r="A9196" t="inlineStr">
        <is>
          <t xml:space="preserve">Nippon India Mutual Fund</t>
        </is>
      </c>
      <c r="B9196" t="inlineStr">
        <is>
          <t xml:space="preserve">NIPPON INDIA FIXED HORIZON FUND - XXXVII - SERIES 06 - IDCW Option</t>
        </is>
      </c>
      <c r="C9196" t="inlineStr">
        <is>
          <t xml:space="preserve">INF204KB1WZ6</t>
        </is>
      </c>
    </row>
    <row r="9197">
      <c r="A9197" t="inlineStr">
        <is>
          <t xml:space="preserve">Nippon India Mutual Fund</t>
        </is>
      </c>
      <c r="B9197" t="inlineStr">
        <is>
          <t xml:space="preserve">NIPPON INDIA FIXED HORIZON FUND - XXXVII - SERIES 09 - DIRECT Plan - IDCW Option</t>
        </is>
      </c>
      <c r="C9197" t="inlineStr">
        <is>
          <t xml:space="preserve">INF204KB1XN0</t>
        </is>
      </c>
    </row>
    <row r="9198">
      <c r="A9198" t="inlineStr">
        <is>
          <t xml:space="preserve">Nippon India Mutual Fund</t>
        </is>
      </c>
      <c r="B9198" t="inlineStr">
        <is>
          <t xml:space="preserve">NIPPON INDIA FIXED HORIZON FUND - XXXVII - SERIES 09 - IDCW Option</t>
        </is>
      </c>
      <c r="C9198" t="inlineStr">
        <is>
          <t xml:space="preserve">INF204KB1XL4</t>
        </is>
      </c>
    </row>
    <row r="9199">
      <c r="A9199" t="inlineStr">
        <is>
          <t xml:space="preserve">Nippon India Mutual Fund</t>
        </is>
      </c>
      <c r="B9199" t="inlineStr">
        <is>
          <t xml:space="preserve">NIPPON INDIA FIXED HORIZON FUND - XXXVII - SERIES 10 - DIRECT Plan - IDCW Option</t>
        </is>
      </c>
      <c r="C9199" t="inlineStr">
        <is>
          <t xml:space="preserve">INF204KB1XR1</t>
        </is>
      </c>
    </row>
    <row r="9200">
      <c r="A9200" t="inlineStr">
        <is>
          <t xml:space="preserve">Nippon India Mutual Fund</t>
        </is>
      </c>
      <c r="B9200" t="inlineStr">
        <is>
          <t xml:space="preserve">NIPPON INDIA FIXED HORIZON FUND - XXXVII - SERIES 12 - IDCW Option</t>
        </is>
      </c>
      <c r="C9200" t="inlineStr">
        <is>
          <t xml:space="preserve">INF204KB1XX9</t>
        </is>
      </c>
    </row>
    <row r="9201">
      <c r="A9201" t="inlineStr">
        <is>
          <t xml:space="preserve">Nippon India Mutual Fund</t>
        </is>
      </c>
      <c r="B9201" t="inlineStr">
        <is>
          <t xml:space="preserve">NIPPON INDIA FIXED HORIZON FUND - XXXVII - SERIES 15 - IDCW Option</t>
        </is>
      </c>
      <c r="C9201" t="inlineStr">
        <is>
          <t xml:space="preserve">INF204KB1YN8</t>
        </is>
      </c>
    </row>
    <row r="9202">
      <c r="A9202" t="inlineStr">
        <is>
          <t xml:space="preserve">Nippon India Mutual Fund</t>
        </is>
      </c>
      <c r="B9202" t="inlineStr">
        <is>
          <t xml:space="preserve">NIPPON INDIA FIXED HORIZON FUND - XXXVIII - SERIES 01 - DIRECT Plan - IDCW Option</t>
        </is>
      </c>
      <c r="C9202" t="inlineStr">
        <is>
          <t xml:space="preserve">INF204KB1A97</t>
        </is>
      </c>
    </row>
    <row r="9203">
      <c r="A9203" t="inlineStr">
        <is>
          <t xml:space="preserve">Nippon India Mutual Fund</t>
        </is>
      </c>
      <c r="B9203" t="inlineStr">
        <is>
          <t xml:space="preserve">NIPPON INDIA FIXED HORIZON FUND - XXXVIII - SERIES 02 - DIRECT Plan - IDCW Option</t>
        </is>
      </c>
      <c r="C9203" t="inlineStr">
        <is>
          <t xml:space="preserve">INF204KB1B39</t>
        </is>
      </c>
    </row>
    <row r="9204">
      <c r="A9204" t="inlineStr">
        <is>
          <t xml:space="preserve">Nippon India Mutual Fund</t>
        </is>
      </c>
      <c r="B9204" t="inlineStr">
        <is>
          <t xml:space="preserve">NIPPON INDIA FIXED HORIZON FUND - XXXVIII - SERIES 02 - IDCW Option</t>
        </is>
      </c>
      <c r="C9204" t="inlineStr">
        <is>
          <t xml:space="preserve">INF204KB1B13</t>
        </is>
      </c>
    </row>
    <row r="9205">
      <c r="A9205" t="inlineStr">
        <is>
          <t xml:space="preserve">Nippon India Mutual Fund</t>
        </is>
      </c>
      <c r="B9205" t="inlineStr">
        <is>
          <t xml:space="preserve">NIPPON INDIA FIXED HORIZON FUND - XXXVIII - SERIES 03 - DIRECT Plan - IDCW Option</t>
        </is>
      </c>
      <c r="C9205" t="inlineStr">
        <is>
          <t xml:space="preserve">INF204KB1B70</t>
        </is>
      </c>
    </row>
    <row r="9206">
      <c r="A9206" t="inlineStr">
        <is>
          <t xml:space="preserve">Nippon India Mutual Fund</t>
        </is>
      </c>
      <c r="B9206" t="inlineStr">
        <is>
          <t xml:space="preserve">NIPPON INDIA FIXED HORIZON FUND - XXXVIII - SERIES 03 - IDCW Option</t>
        </is>
      </c>
      <c r="C9206" t="inlineStr">
        <is>
          <t xml:space="preserve">INF204KB1B54</t>
        </is>
      </c>
    </row>
    <row r="9207">
      <c r="A9207" t="inlineStr">
        <is>
          <t xml:space="preserve">Nippon India Mutual Fund</t>
        </is>
      </c>
      <c r="B9207" t="inlineStr">
        <is>
          <t xml:space="preserve">NIPPON INDIA FIXED HORIZON FUND - XXXVIII - SERIES 05 - DIRECT Plan - IDCW Option</t>
        </is>
      </c>
      <c r="C9207" t="inlineStr">
        <is>
          <t xml:space="preserve">INF204KB1C53</t>
        </is>
      </c>
    </row>
    <row r="9208">
      <c r="A9208" t="inlineStr">
        <is>
          <t xml:space="preserve">Nippon India Mutual Fund</t>
        </is>
      </c>
      <c r="B9208" t="inlineStr">
        <is>
          <t xml:space="preserve">NIPPON INDIA FIXED HORIZON FUND - XXXVIII - SERIES 05 - IDCW Option</t>
        </is>
      </c>
      <c r="C9208" t="inlineStr">
        <is>
          <t xml:space="preserve">INF204KB1C38</t>
        </is>
      </c>
    </row>
    <row r="9209">
      <c r="A9209" t="inlineStr">
        <is>
          <t xml:space="preserve">Nippon India Mutual Fund</t>
        </is>
      </c>
      <c r="B9209" t="inlineStr">
        <is>
          <t xml:space="preserve">NIPPON INDIA FIXED HORIZON FUND - XXXVIII - SERIES 06 - DIRECT Plan - IDCW Option</t>
        </is>
      </c>
      <c r="C9209" t="inlineStr">
        <is>
          <t xml:space="preserve">INF204KB1C95</t>
        </is>
      </c>
    </row>
    <row r="9210">
      <c r="A9210" t="inlineStr">
        <is>
          <t xml:space="preserve">Nippon India Mutual Fund</t>
        </is>
      </c>
      <c r="B9210" t="inlineStr">
        <is>
          <t xml:space="preserve">NIPPON INDIA FIXED HORIZON FUND - XXXVIII - SERIES 06 - IDCW Option</t>
        </is>
      </c>
      <c r="C9210" t="inlineStr">
        <is>
          <t xml:space="preserve">INF204KB1C79</t>
        </is>
      </c>
    </row>
    <row r="9211">
      <c r="A9211" t="inlineStr">
        <is>
          <t xml:space="preserve">Nippon India Mutual Fund</t>
        </is>
      </c>
      <c r="B9211" t="inlineStr">
        <is>
          <t xml:space="preserve">NIPPON INDIA FIXED HORIZON FUND - XXXVIII - SERIES 07 - DIRECT Plan - IDCW Option</t>
        </is>
      </c>
      <c r="C9211" t="inlineStr">
        <is>
          <t xml:space="preserve">INF204KB1D37</t>
        </is>
      </c>
    </row>
    <row r="9212">
      <c r="A9212" t="inlineStr">
        <is>
          <t xml:space="preserve">Nippon India Mutual Fund</t>
        </is>
      </c>
      <c r="B9212" t="inlineStr">
        <is>
          <t xml:space="preserve">NIPPON INDIA FIXED HORIZON FUND - XXXVIII - SERIES 07 - IDCW Option</t>
        </is>
      </c>
      <c r="C9212" t="inlineStr">
        <is>
          <t xml:space="preserve">INF204KB1D11</t>
        </is>
      </c>
    </row>
    <row r="9213">
      <c r="A9213" t="inlineStr">
        <is>
          <t xml:space="preserve">Nippon India Mutual Fund</t>
        </is>
      </c>
      <c r="B9213" t="inlineStr">
        <is>
          <t xml:space="preserve">NIPPON INDIA FIXED HORIZON FUND - XXXVIII - SERIES 10 - DIRECT Plan - IDCW Option</t>
        </is>
      </c>
      <c r="C9213" t="inlineStr">
        <is>
          <t xml:space="preserve">INF204KB1E51</t>
        </is>
      </c>
    </row>
    <row r="9214">
      <c r="A9214" t="inlineStr">
        <is>
          <t xml:space="preserve">Nippon India Mutual Fund</t>
        </is>
      </c>
      <c r="B9214" t="inlineStr">
        <is>
          <t xml:space="preserve">NIPPON INDIA FIXED HORIZON FUND - XXXVIII - SERIES 10 - IDCW Option</t>
        </is>
      </c>
      <c r="C9214" t="inlineStr">
        <is>
          <t xml:space="preserve">INF204KB1E36</t>
        </is>
      </c>
    </row>
    <row r="9215">
      <c r="A9215" t="inlineStr">
        <is>
          <t xml:space="preserve">Nippon India Mutual Fund</t>
        </is>
      </c>
      <c r="B9215" t="inlineStr">
        <is>
          <t xml:space="preserve">NIPPON INDIA FIXED HORIZON FUND - XXXVIII - SERIES 11 - DIRECT Plan - IDCW Option</t>
        </is>
      </c>
      <c r="C9215" t="inlineStr">
        <is>
          <t xml:space="preserve">INF204KB1E93</t>
        </is>
      </c>
    </row>
    <row r="9216">
      <c r="A9216" t="inlineStr">
        <is>
          <t xml:space="preserve">Nippon India Mutual Fund</t>
        </is>
      </c>
      <c r="B9216" t="inlineStr">
        <is>
          <t xml:space="preserve">NIPPON INDIA FIXED HORIZON FUND - XXXVIII - SERIES 11 - IDCW Option</t>
        </is>
      </c>
      <c r="C9216" t="inlineStr">
        <is>
          <t xml:space="preserve">INF204KB1E77</t>
        </is>
      </c>
    </row>
    <row r="9217">
      <c r="A9217" t="inlineStr">
        <is>
          <t xml:space="preserve">Nippon India Mutual Fund</t>
        </is>
      </c>
      <c r="B9217" t="inlineStr">
        <is>
          <t xml:space="preserve">NIPPON INDIA FIXED HORIZON FUND - XXXVIII - SERIES 12 - DIRECT Plan - IDCW Option</t>
        </is>
      </c>
      <c r="C9217" t="inlineStr">
        <is>
          <t xml:space="preserve">INF204KB1F35</t>
        </is>
      </c>
    </row>
    <row r="9218">
      <c r="A9218" t="inlineStr">
        <is>
          <t xml:space="preserve">Nippon India Mutual Fund</t>
        </is>
      </c>
      <c r="B9218" t="inlineStr">
        <is>
          <t xml:space="preserve">NIPPON INDIA FIXED HORIZON FUND - XXXVIII - SERIES 12 - IDCW Option</t>
        </is>
      </c>
      <c r="C9218" t="inlineStr">
        <is>
          <t xml:space="preserve">INF204KB1F19</t>
        </is>
      </c>
    </row>
    <row r="9219">
      <c r="A9219" t="inlineStr">
        <is>
          <t xml:space="preserve">Nippon India Mutual Fund</t>
        </is>
      </c>
      <c r="B9219" t="inlineStr">
        <is>
          <t xml:space="preserve">NIPPON INDIA FIXED HORIZON FUND - XXXVIII - SERIES 14 - DIRECT Plan - IDCW Option</t>
        </is>
      </c>
      <c r="C9219" t="inlineStr">
        <is>
          <t xml:space="preserve">INF204KB1G18</t>
        </is>
      </c>
    </row>
    <row r="9220">
      <c r="A9220" t="inlineStr">
        <is>
          <t xml:space="preserve">Nippon India Mutual Fund</t>
        </is>
      </c>
      <c r="B9220" t="inlineStr">
        <is>
          <t xml:space="preserve">NIPPON INDIA FIXED HORIZON FUND - XXXVIII - SERIES 14 - IDCW Option</t>
        </is>
      </c>
      <c r="C9220" t="inlineStr">
        <is>
          <t xml:space="preserve">INF204KB1F92</t>
        </is>
      </c>
    </row>
    <row r="9221">
      <c r="A9221" t="inlineStr">
        <is>
          <t xml:space="preserve">Nippon India Mutual Fund</t>
        </is>
      </c>
      <c r="B9221" t="inlineStr">
        <is>
          <t xml:space="preserve">NIPPON INDIA FIXED HORIZON FUND - XXXX - SERIES 1 - DIRECT Plan - IDCW Option</t>
        </is>
      </c>
      <c r="C9221" t="inlineStr">
        <is>
          <t xml:space="preserve">INF204KB1O18</t>
        </is>
      </c>
    </row>
    <row r="9222">
      <c r="A9222" t="inlineStr">
        <is>
          <t xml:space="preserve">Nippon India Mutual Fund</t>
        </is>
      </c>
      <c r="B9222" t="inlineStr">
        <is>
          <t xml:space="preserve">NIPPON INDIA FIXED HORIZON FUND - XXXX - SERIES 1 - IDCW Option</t>
        </is>
      </c>
      <c r="C9222" t="inlineStr">
        <is>
          <t xml:space="preserve">INF204KB1N92</t>
        </is>
      </c>
    </row>
    <row r="9223">
      <c r="A9223" t="inlineStr">
        <is>
          <t xml:space="preserve">Nippon India Mutual Fund</t>
        </is>
      </c>
      <c r="B9223" t="inlineStr">
        <is>
          <t xml:space="preserve">NIPPON INDIA FIXED HORIZON FUND - XXXX - SERIES 11 - IDCW Option</t>
        </is>
      </c>
      <c r="C9223" t="inlineStr">
        <is>
          <t xml:space="preserve">INF204KB1U10</t>
        </is>
      </c>
    </row>
    <row r="9224">
      <c r="A9224" t="inlineStr">
        <is>
          <t xml:space="preserve">Nippon India Mutual Fund</t>
        </is>
      </c>
      <c r="B9224" t="inlineStr">
        <is>
          <t xml:space="preserve">NIPPON INDIA FIXED HORIZON FUND - XXXX - SERIES 12 - DIRECT Plan - IDCW Option</t>
        </is>
      </c>
      <c r="C9224" t="inlineStr">
        <is>
          <t xml:space="preserve">INF204KB1U77</t>
        </is>
      </c>
    </row>
    <row r="9225">
      <c r="A9225" t="inlineStr">
        <is>
          <t xml:space="preserve">Nippon India Mutual Fund</t>
        </is>
      </c>
      <c r="B9225" t="inlineStr">
        <is>
          <t xml:space="preserve">NIPPON INDIA FIXED HORIZON FUND - XXXX - SERIES 12 - IDCW Option</t>
        </is>
      </c>
      <c r="C9225" t="inlineStr">
        <is>
          <t xml:space="preserve">INF204KB1U51</t>
        </is>
      </c>
    </row>
    <row r="9226">
      <c r="A9226" t="inlineStr">
        <is>
          <t xml:space="preserve">Nippon India Mutual Fund</t>
        </is>
      </c>
      <c r="B9226" t="inlineStr">
        <is>
          <t xml:space="preserve">NIPPON INDIA FIXED HORIZON FUND - XXXX - SERIES 14 - DIRECT Plan - IDCW Option</t>
        </is>
      </c>
      <c r="C9226" t="inlineStr">
        <is>
          <t xml:space="preserve">INF204KB1V50</t>
        </is>
      </c>
    </row>
    <row r="9227">
      <c r="A9227" t="inlineStr">
        <is>
          <t xml:space="preserve">Nippon India Mutual Fund</t>
        </is>
      </c>
      <c r="B9227" t="inlineStr">
        <is>
          <t xml:space="preserve">NIPPON INDIA FIXED HORIZON FUND - XXXX - SERIES 14 - IDCW Option</t>
        </is>
      </c>
      <c r="C9227" t="inlineStr">
        <is>
          <t xml:space="preserve">INF204KB1V35</t>
        </is>
      </c>
    </row>
    <row r="9228">
      <c r="A9228" t="inlineStr">
        <is>
          <t xml:space="preserve">Nippon India Mutual Fund</t>
        </is>
      </c>
      <c r="B9228" t="inlineStr">
        <is>
          <t xml:space="preserve">NIPPON INDIA FIXED HORIZON FUND - XXXX - SERIES 15 - IDCW Option</t>
        </is>
      </c>
      <c r="C9228" t="inlineStr">
        <is>
          <t xml:space="preserve">INF204KB1V84</t>
        </is>
      </c>
    </row>
    <row r="9229">
      <c r="A9229" t="inlineStr">
        <is>
          <t xml:space="preserve">Nippon India Mutual Fund</t>
        </is>
      </c>
      <c r="B9229" t="inlineStr">
        <is>
          <t xml:space="preserve">NIPPON INDIA FIXED HORIZON FUND - XXXX - SERIES 16 - DIRECT Plan - IDCW Option</t>
        </is>
      </c>
      <c r="C9229" t="inlineStr">
        <is>
          <t xml:space="preserve">INF204KB1W42</t>
        </is>
      </c>
    </row>
    <row r="9230">
      <c r="A9230" t="inlineStr">
        <is>
          <t xml:space="preserve">Nippon India Mutual Fund</t>
        </is>
      </c>
      <c r="B9230" t="inlineStr">
        <is>
          <t xml:space="preserve">NIPPON INDIA FIXED HORIZON FUND - XXXX - SERIES 16 - IDCW Option</t>
        </is>
      </c>
      <c r="C9230" t="inlineStr">
        <is>
          <t xml:space="preserve">INF204KB1W26</t>
        </is>
      </c>
    </row>
    <row r="9231">
      <c r="A9231" t="inlineStr">
        <is>
          <t xml:space="preserve">Nippon India Mutual Fund</t>
        </is>
      </c>
      <c r="B9231" t="inlineStr">
        <is>
          <t xml:space="preserve">NIPPON INDIA FIXED HORIZON FUND - XXXX - SERIES 17 - DIRECT Plan - IDCW Option</t>
        </is>
      </c>
      <c r="C9231" t="inlineStr">
        <is>
          <t xml:space="preserve">INF204KB1W83</t>
        </is>
      </c>
    </row>
    <row r="9232">
      <c r="A9232" t="inlineStr">
        <is>
          <t xml:space="preserve">Nippon India Mutual Fund</t>
        </is>
      </c>
      <c r="B9232" t="inlineStr">
        <is>
          <t xml:space="preserve">NIPPON INDIA FIXED HORIZON FUND - XXXX - SERIES 19 - DIRECT Plan - IDCW Option</t>
        </is>
      </c>
      <c r="C9232" t="inlineStr">
        <is>
          <t xml:space="preserve">INF204KB1Y24</t>
        </is>
      </c>
    </row>
    <row r="9233">
      <c r="A9233" t="inlineStr">
        <is>
          <t xml:space="preserve">Nippon India Mutual Fund</t>
        </is>
      </c>
      <c r="B9233" t="inlineStr">
        <is>
          <t xml:space="preserve">NIPPON INDIA FIXED HORIZON FUND - XXXX - SERIES 19 - IDCW Option</t>
        </is>
      </c>
      <c r="C9233" t="inlineStr">
        <is>
          <t xml:space="preserve">INF204KB1Y08</t>
        </is>
      </c>
    </row>
    <row r="9234">
      <c r="A9234" t="inlineStr">
        <is>
          <t xml:space="preserve">Nippon India Mutual Fund</t>
        </is>
      </c>
      <c r="B9234" t="inlineStr">
        <is>
          <t xml:space="preserve">NIPPON INDIA FIXED HORIZON FUND - XXXX - SERIES 2 - DIRECT Plan - IDCW Option</t>
        </is>
      </c>
      <c r="C9234" t="inlineStr">
        <is>
          <t xml:space="preserve">INF204KB1O59</t>
        </is>
      </c>
    </row>
    <row r="9235">
      <c r="A9235" t="inlineStr">
        <is>
          <t xml:space="preserve">Nippon India Mutual Fund</t>
        </is>
      </c>
      <c r="B9235" t="inlineStr">
        <is>
          <t xml:space="preserve">NIPPON INDIA FIXED HORIZON FUND - XXXX - SERIES 2 - IDCW Option</t>
        </is>
      </c>
      <c r="C9235" t="inlineStr">
        <is>
          <t xml:space="preserve">INF204KB1O34</t>
        </is>
      </c>
    </row>
    <row r="9236">
      <c r="A9236" t="inlineStr">
        <is>
          <t xml:space="preserve">Nippon India Mutual Fund</t>
        </is>
      </c>
      <c r="B9236" t="inlineStr">
        <is>
          <t xml:space="preserve">NIPPON INDIA FIXED HORIZON FUND - XXXX - SERIES 3 - DIRECT Plan - IDCW Option</t>
        </is>
      </c>
      <c r="C9236" t="inlineStr">
        <is>
          <t xml:space="preserve">INF204KB1O91</t>
        </is>
      </c>
    </row>
    <row r="9237">
      <c r="A9237" t="inlineStr">
        <is>
          <t xml:space="preserve">Nippon India Mutual Fund</t>
        </is>
      </c>
      <c r="B9237" t="inlineStr">
        <is>
          <t xml:space="preserve">NIPPON INDIA FIXED HORIZON FUND - XXXX - SERIES 3 - IDCW Option</t>
        </is>
      </c>
      <c r="C9237" t="inlineStr">
        <is>
          <t xml:space="preserve">INF204KB1O75</t>
        </is>
      </c>
    </row>
    <row r="9238">
      <c r="A9238" t="inlineStr">
        <is>
          <t xml:space="preserve">Nippon India Mutual Fund</t>
        </is>
      </c>
      <c r="B9238" t="inlineStr">
        <is>
          <t xml:space="preserve">NIPPON INDIA FIXED HORIZON FUND - XXXX - SERIES 4 - DIRECT Plan - IDCW Option</t>
        </is>
      </c>
      <c r="C9238" t="inlineStr">
        <is>
          <t xml:space="preserve">INF204KB1P33</t>
        </is>
      </c>
    </row>
    <row r="9239">
      <c r="A9239" t="inlineStr">
        <is>
          <t xml:space="preserve">Nippon India Mutual Fund</t>
        </is>
      </c>
      <c r="B9239" t="inlineStr">
        <is>
          <t xml:space="preserve">NIPPON INDIA FIXED HORIZON FUND - XXXX - SERIES 4 - IDCW Option</t>
        </is>
      </c>
      <c r="C9239" t="inlineStr">
        <is>
          <t xml:space="preserve">INF204KB1P17</t>
        </is>
      </c>
    </row>
    <row r="9240">
      <c r="A9240" t="inlineStr">
        <is>
          <t xml:space="preserve">Nippon India Mutual Fund</t>
        </is>
      </c>
      <c r="B9240" t="inlineStr">
        <is>
          <t xml:space="preserve">NIPPON INDIA FIXED HORIZON FUND - XXXX - SERIES 5 - DIRECT Plan - IDCW Option</t>
        </is>
      </c>
      <c r="C9240" t="inlineStr">
        <is>
          <t xml:space="preserve">INF204KB1Q57</t>
        </is>
      </c>
    </row>
    <row r="9241">
      <c r="A9241" t="inlineStr">
        <is>
          <t xml:space="preserve">Nippon India Mutual Fund</t>
        </is>
      </c>
      <c r="B9241" t="inlineStr">
        <is>
          <t xml:space="preserve">NIPPON INDIA FIXED HORIZON FUND - XXXX - SERIES 5 - IDCW Option</t>
        </is>
      </c>
      <c r="C9241" t="inlineStr">
        <is>
          <t xml:space="preserve">INF204KB1Q32</t>
        </is>
      </c>
    </row>
    <row r="9242">
      <c r="A9242" t="inlineStr">
        <is>
          <t xml:space="preserve">Nippon India Mutual Fund</t>
        </is>
      </c>
      <c r="B9242" t="inlineStr">
        <is>
          <t xml:space="preserve">NIPPON INDIA FIXED HORIZON FUND - XXXX - SERIES 6 - DIRECT Plan - IDCW Option</t>
        </is>
      </c>
      <c r="C9242" t="inlineStr">
        <is>
          <t xml:space="preserve">INF204KB1S30</t>
        </is>
      </c>
    </row>
    <row r="9243">
      <c r="A9243" t="inlineStr">
        <is>
          <t xml:space="preserve">Nippon India Mutual Fund</t>
        </is>
      </c>
      <c r="B9243" t="inlineStr">
        <is>
          <t xml:space="preserve">NIPPON INDIA FIXED HORIZON FUND - XXXX - SERIES 6 - IDCW Option</t>
        </is>
      </c>
      <c r="C9243" t="inlineStr">
        <is>
          <t xml:space="preserve">INF204KB1S14</t>
        </is>
      </c>
    </row>
    <row r="9244">
      <c r="A9244" t="inlineStr">
        <is>
          <t xml:space="preserve">Nippon India Mutual Fund</t>
        </is>
      </c>
      <c r="B9244" t="inlineStr">
        <is>
          <t xml:space="preserve">NIPPON INDIA FIXED HORIZON FUND - XXXX - SERIES 8 - DIRECT Plan - IDCW Option</t>
        </is>
      </c>
      <c r="C9244" t="inlineStr">
        <is>
          <t xml:space="preserve">INF204KB1T13</t>
        </is>
      </c>
    </row>
    <row r="9245">
      <c r="A9245" t="inlineStr">
        <is>
          <t xml:space="preserve">Nippon India Mutual Fund</t>
        </is>
      </c>
      <c r="B9245" t="inlineStr">
        <is>
          <t xml:space="preserve">NIPPON INDIA FIXED HORIZON FUND - XXXX - SERIES 8 - IDCW Option</t>
        </is>
      </c>
      <c r="C9245" t="inlineStr">
        <is>
          <t xml:space="preserve">INF204KB1S97</t>
        </is>
      </c>
    </row>
    <row r="9246">
      <c r="A9246" t="inlineStr">
        <is>
          <t xml:space="preserve">Nippon India Mutual Fund</t>
        </is>
      </c>
      <c r="B9246" t="inlineStr">
        <is>
          <t xml:space="preserve">Nippon India Fixed Horizon Fund XLI - Series 1 - Direct Plan - Growth Option</t>
        </is>
      </c>
      <c r="C9246" t="inlineStr">
        <is>
          <t xml:space="preserve">INF204KB1Y99</t>
        </is>
      </c>
    </row>
    <row r="9247">
      <c r="A9247" t="inlineStr">
        <is>
          <t xml:space="preserve">Nippon India Mutual Fund</t>
        </is>
      </c>
      <c r="B9247" t="inlineStr">
        <is>
          <t xml:space="preserve">Nippon India Fixed Horizon Fund XLI - Series 1 - Growth Option</t>
        </is>
      </c>
      <c r="C9247" t="inlineStr">
        <is>
          <t xml:space="preserve">INF204KB1Y73</t>
        </is>
      </c>
    </row>
    <row r="9248">
      <c r="A9248" t="inlineStr">
        <is>
          <t xml:space="preserve">Nippon India Mutual Fund</t>
        </is>
      </c>
      <c r="B9248" t="inlineStr">
        <is>
          <t xml:space="preserve">Nippon India Fixed Horizon Fund XLI - Series 10 - Direct Plan - Growth Option</t>
        </is>
      </c>
      <c r="C9248" t="inlineStr">
        <is>
          <t xml:space="preserve">INF204KB15C2</t>
        </is>
      </c>
    </row>
    <row r="9249">
      <c r="A9249" t="inlineStr">
        <is>
          <t xml:space="preserve">Nippon India Mutual Fund</t>
        </is>
      </c>
      <c r="B9249" t="inlineStr">
        <is>
          <t xml:space="preserve">Nippon India Fixed Horizon Fund XLI - Series 10 - Growth Option</t>
        </is>
      </c>
      <c r="C9249" t="inlineStr">
        <is>
          <t xml:space="preserve">INF204KB13C7</t>
        </is>
      </c>
    </row>
    <row r="9250">
      <c r="A9250" t="inlineStr">
        <is>
          <t xml:space="preserve">Nippon India Mutual Fund</t>
        </is>
      </c>
      <c r="B9250" t="inlineStr">
        <is>
          <t xml:space="preserve">Nippon India Fixed Horizon Fund XLI - Series 11 - Direct Plan - Growth Option</t>
        </is>
      </c>
      <c r="C9250" t="inlineStr">
        <is>
          <t xml:space="preserve">INF204KB19C4</t>
        </is>
      </c>
    </row>
    <row r="9251">
      <c r="A9251" t="inlineStr">
        <is>
          <t xml:space="preserve">Nippon India Mutual Fund</t>
        </is>
      </c>
      <c r="B9251" t="inlineStr">
        <is>
          <t xml:space="preserve">Nippon India Fixed Horizon Fund XLI - Series 11 - Growth Option</t>
        </is>
      </c>
      <c r="C9251" t="inlineStr">
        <is>
          <t xml:space="preserve">INF204KB17C8</t>
        </is>
      </c>
    </row>
    <row r="9252">
      <c r="A9252" t="inlineStr">
        <is>
          <t xml:space="preserve">Nippon India Mutual Fund</t>
        </is>
      </c>
      <c r="B9252" t="inlineStr">
        <is>
          <t xml:space="preserve">Nippon India Fixed Horizon Fund XLI - Series 12 - Direct Plan - Growth Option</t>
        </is>
      </c>
      <c r="C9252" t="inlineStr">
        <is>
          <t xml:space="preserve">INF204KB13D5</t>
        </is>
      </c>
    </row>
    <row r="9253">
      <c r="A9253" t="inlineStr">
        <is>
          <t xml:space="preserve">Nippon India Mutual Fund</t>
        </is>
      </c>
      <c r="B9253" t="inlineStr">
        <is>
          <t xml:space="preserve">Nippon India Fixed Horizon Fund XLI - Series 12 - Growth Option</t>
        </is>
      </c>
      <c r="C9253" t="inlineStr">
        <is>
          <t xml:space="preserve">INF204KB11D9</t>
        </is>
      </c>
    </row>
    <row r="9254">
      <c r="A9254" t="inlineStr">
        <is>
          <t xml:space="preserve">Nippon India Mutual Fund</t>
        </is>
      </c>
      <c r="B9254" t="inlineStr">
        <is>
          <t xml:space="preserve">Nippon India Fixed Horizon Fund XLI - Series 4 - Direct Plan - Growth Option</t>
        </is>
      </c>
      <c r="C9254" t="inlineStr">
        <is>
          <t xml:space="preserve">INF204KB11A5</t>
        </is>
      </c>
    </row>
    <row r="9255">
      <c r="A9255" t="inlineStr">
        <is>
          <t xml:space="preserve">Nippon India Mutual Fund</t>
        </is>
      </c>
      <c r="B9255" t="inlineStr">
        <is>
          <t xml:space="preserve">Nippon India Fixed Horizon Fund XLI - Series 4 - Growth Option</t>
        </is>
      </c>
      <c r="C9255" t="inlineStr">
        <is>
          <t xml:space="preserve">INF204KB1Z98</t>
        </is>
      </c>
    </row>
    <row r="9256">
      <c r="A9256" t="inlineStr">
        <is>
          <t xml:space="preserve">Nippon India Mutual Fund</t>
        </is>
      </c>
      <c r="B9256" t="inlineStr">
        <is>
          <t xml:space="preserve">Nippon India Fixed Horizon Fund XXXI Series 9 - Direct Plan - Dividend Payout Option</t>
        </is>
      </c>
      <c r="C9256" t="inlineStr">
        <is>
          <t xml:space="preserve">INF204KB1BW7</t>
        </is>
      </c>
    </row>
    <row r="9257">
      <c r="A9257" t="inlineStr">
        <is>
          <t xml:space="preserve">Nippon India Mutual Fund</t>
        </is>
      </c>
      <c r="B9257" t="inlineStr">
        <is>
          <t xml:space="preserve">Nippon India Fixed Horizon Fund XXXI Series 9 - Direct Plan - Growth Option</t>
        </is>
      </c>
      <c r="C9257" t="inlineStr">
        <is>
          <t xml:space="preserve">INF204KB1BV9</t>
        </is>
      </c>
    </row>
    <row r="9258">
      <c r="A9258" t="inlineStr">
        <is>
          <t xml:space="preserve">Nippon India Mutual Fund</t>
        </is>
      </c>
      <c r="B9258" t="inlineStr">
        <is>
          <t xml:space="preserve">Nippon India Fixed Horizon Fund XXXI Series 9 - Dividend Payout Option</t>
        </is>
      </c>
      <c r="C9258" t="inlineStr">
        <is>
          <t xml:space="preserve">INF204KB1BU1</t>
        </is>
      </c>
    </row>
    <row r="9259">
      <c r="A9259" t="inlineStr">
        <is>
          <t xml:space="preserve">Nippon India Mutual Fund</t>
        </is>
      </c>
      <c r="B9259" t="inlineStr">
        <is>
          <t xml:space="preserve">Nippon India Fixed Horizon Fund XXXI Series 9 - Growth Option</t>
        </is>
      </c>
      <c r="C9259" t="inlineStr">
        <is>
          <t xml:space="preserve">INF204KB1BT3</t>
        </is>
      </c>
    </row>
    <row r="9260">
      <c r="A9260" t="inlineStr">
        <is>
          <t xml:space="preserve">Nippon India Mutual Fund</t>
        </is>
      </c>
      <c r="B9260" t="inlineStr">
        <is>
          <t xml:space="preserve">Nippon India Fixed Horizon Fund XXXI- Series 13- Direct Plan-Dividend Payout Option</t>
        </is>
      </c>
      <c r="C9260" t="inlineStr">
        <is>
          <t xml:space="preserve">INF204KB1DG6</t>
        </is>
      </c>
    </row>
    <row r="9261">
      <c r="A9261" t="inlineStr">
        <is>
          <t xml:space="preserve">Nippon India Mutual Fund</t>
        </is>
      </c>
      <c r="B9261" t="inlineStr">
        <is>
          <t xml:space="preserve">Nippon India Fixed Horizon Fund XXXI- Series 13- Direct Plan-Growth Option</t>
        </is>
      </c>
      <c r="C9261" t="inlineStr">
        <is>
          <t xml:space="preserve">INF204KB1DF8</t>
        </is>
      </c>
    </row>
    <row r="9262">
      <c r="A9262" t="inlineStr">
        <is>
          <t xml:space="preserve">Nippon India Mutual Fund</t>
        </is>
      </c>
      <c r="B9262" t="inlineStr">
        <is>
          <t xml:space="preserve">Nippon India Fixed Horizon Fund XXXI- Series 13- Dividend Payout Option</t>
        </is>
      </c>
      <c r="C9262" t="inlineStr">
        <is>
          <t xml:space="preserve">INF204KB1DE1</t>
        </is>
      </c>
    </row>
    <row r="9263">
      <c r="A9263" t="inlineStr">
        <is>
          <t xml:space="preserve">Nippon India Mutual Fund</t>
        </is>
      </c>
      <c r="B9263" t="inlineStr">
        <is>
          <t xml:space="preserve">Nippon India Fixed Horizon Fund XXXI- Series 13- Growth Option</t>
        </is>
      </c>
      <c r="C9263" t="inlineStr">
        <is>
          <t xml:space="preserve">INF204KB1DD3</t>
        </is>
      </c>
    </row>
    <row r="9264">
      <c r="A9264" t="inlineStr">
        <is>
          <t xml:space="preserve">Nippon India Mutual Fund</t>
        </is>
      </c>
      <c r="B9264" t="inlineStr">
        <is>
          <t xml:space="preserve">Nippon India Fixed Horizon Fund XXXI- Series 15- Direct Plan-Dividend Payout Option</t>
        </is>
      </c>
      <c r="C9264" t="inlineStr">
        <is>
          <t xml:space="preserve">INF204KB1EE9</t>
        </is>
      </c>
    </row>
    <row r="9265">
      <c r="A9265" t="inlineStr">
        <is>
          <t xml:space="preserve">Nippon India Mutual Fund</t>
        </is>
      </c>
      <c r="B9265" t="inlineStr">
        <is>
          <t xml:space="preserve">Nippon India Fixed Horizon Fund XXXI- Series 15- Direct Plan-Growth Option</t>
        </is>
      </c>
      <c r="C9265" t="inlineStr">
        <is>
          <t xml:space="preserve">INF204KB1ED1</t>
        </is>
      </c>
    </row>
    <row r="9266">
      <c r="A9266" t="inlineStr">
        <is>
          <t xml:space="preserve">Nippon India Mutual Fund</t>
        </is>
      </c>
      <c r="B9266" t="inlineStr">
        <is>
          <t xml:space="preserve">Nippon India Fixed Horizon Fund XXXI- Series 15- Dividend Payout Option</t>
        </is>
      </c>
      <c r="C9266" t="inlineStr">
        <is>
          <t xml:space="preserve">INF204KB1EC3</t>
        </is>
      </c>
    </row>
    <row r="9267">
      <c r="A9267" t="inlineStr">
        <is>
          <t xml:space="preserve">Nippon India Mutual Fund</t>
        </is>
      </c>
      <c r="B9267" t="inlineStr">
        <is>
          <t xml:space="preserve">Nippon India Fixed Horizon Fund XXXI- Series 15-Growth Option</t>
        </is>
      </c>
      <c r="C9267" t="inlineStr">
        <is>
          <t xml:space="preserve">INF204KB1EB5</t>
        </is>
      </c>
    </row>
    <row r="9268">
      <c r="A9268" t="inlineStr">
        <is>
          <t xml:space="preserve">Nippon India Mutual Fund</t>
        </is>
      </c>
      <c r="B9268" t="inlineStr">
        <is>
          <t xml:space="preserve">Nippon India Fixed Horizon Fund XXXI- Series 8- Direct Plan - Growth Option</t>
        </is>
      </c>
      <c r="C9268" t="inlineStr">
        <is>
          <t xml:space="preserve">INF204KB1BB1</t>
        </is>
      </c>
    </row>
    <row r="9269">
      <c r="A9269" t="inlineStr">
        <is>
          <t xml:space="preserve">Nippon India Mutual Fund</t>
        </is>
      </c>
      <c r="B9269" t="inlineStr">
        <is>
          <t xml:space="preserve">Nippon India Fixed Horizon Fund XXXI- Series 8- Direct Plan-Dividend Payout Option</t>
        </is>
      </c>
      <c r="C9269" t="inlineStr">
        <is>
          <t xml:space="preserve">INF204KB1BC9</t>
        </is>
      </c>
    </row>
    <row r="9270">
      <c r="A9270" t="inlineStr">
        <is>
          <t xml:space="preserve">Nippon India Mutual Fund</t>
        </is>
      </c>
      <c r="B9270" t="inlineStr">
        <is>
          <t xml:space="preserve">Nippon India Fixed Horizon Fund XXXI- Series 8- Dividend Payout Option</t>
        </is>
      </c>
      <c r="C9270" t="inlineStr">
        <is>
          <t xml:space="preserve">INF204KB1BA3</t>
        </is>
      </c>
    </row>
    <row r="9271">
      <c r="A9271" t="inlineStr">
        <is>
          <t xml:space="preserve">Nippon India Mutual Fund</t>
        </is>
      </c>
      <c r="B9271" t="inlineStr">
        <is>
          <t xml:space="preserve">Nippon India Fixed Horizon Fund XXXI- Series 8- Growth Option</t>
        </is>
      </c>
      <c r="C9271" t="inlineStr">
        <is>
          <t xml:space="preserve">INF204KB1AZ2</t>
        </is>
      </c>
    </row>
    <row r="9272">
      <c r="A9272" t="inlineStr">
        <is>
          <t xml:space="preserve">Nippon India Mutual Fund</t>
        </is>
      </c>
      <c r="B9272" t="inlineStr">
        <is>
          <t xml:space="preserve">Nippon India Fixed Horizon Fund XXXII- Series 1- Direct Plan- Dividend Payout Option</t>
        </is>
      </c>
      <c r="C9272" t="inlineStr">
        <is>
          <t xml:space="preserve">INF204KB1FP2</t>
        </is>
      </c>
    </row>
    <row r="9273">
      <c r="A9273" t="inlineStr">
        <is>
          <t xml:space="preserve">Nippon India Mutual Fund</t>
        </is>
      </c>
      <c r="B9273" t="inlineStr">
        <is>
          <t xml:space="preserve">Nippon India Fixed Horizon Fund XXXII- Series 1- Direct Plan-Growth Option</t>
        </is>
      </c>
      <c r="C9273" t="inlineStr">
        <is>
          <t xml:space="preserve">INF204KB1FO5</t>
        </is>
      </c>
    </row>
    <row r="9274">
      <c r="A9274" t="inlineStr">
        <is>
          <t xml:space="preserve">Nippon India Mutual Fund</t>
        </is>
      </c>
      <c r="B9274" t="inlineStr">
        <is>
          <t xml:space="preserve">Nippon India Fixed Horizon Fund XXXII- Series 1- Dividend Payout Option</t>
        </is>
      </c>
      <c r="C9274" t="inlineStr">
        <is>
          <t xml:space="preserve">INF204KB1FN7</t>
        </is>
      </c>
    </row>
    <row r="9275">
      <c r="A9275" t="inlineStr">
        <is>
          <t xml:space="preserve">Nippon India Mutual Fund</t>
        </is>
      </c>
      <c r="B9275" t="inlineStr">
        <is>
          <t xml:space="preserve">Nippon India Fixed Horizon Fund XXXII- Series 1- Growth Option</t>
        </is>
      </c>
      <c r="C9275" t="inlineStr">
        <is>
          <t xml:space="preserve">INF204KB1FM9</t>
        </is>
      </c>
    </row>
    <row r="9276">
      <c r="A9276" t="inlineStr">
        <is>
          <t xml:space="preserve">Nippon India Mutual Fund</t>
        </is>
      </c>
      <c r="B9276" t="inlineStr">
        <is>
          <t xml:space="preserve">Nippon India Fixed Horizon Fund XXXII- Series 10- Direct Plan- Dividend Payout Option</t>
        </is>
      </c>
      <c r="C9276" t="inlineStr">
        <is>
          <t xml:space="preserve">INF204KB1HL7</t>
        </is>
      </c>
    </row>
    <row r="9277">
      <c r="A9277" t="inlineStr">
        <is>
          <t xml:space="preserve">Nippon India Mutual Fund</t>
        </is>
      </c>
      <c r="B9277" t="inlineStr">
        <is>
          <t xml:space="preserve">Nippon India Fixed Horizon Fund XXXII- Series 10- Direct Plan- Growth Option</t>
        </is>
      </c>
      <c r="C9277" t="inlineStr">
        <is>
          <t xml:space="preserve">INF204KB1HK9</t>
        </is>
      </c>
    </row>
    <row r="9278">
      <c r="A9278" t="inlineStr">
        <is>
          <t xml:space="preserve">Nippon India Mutual Fund</t>
        </is>
      </c>
      <c r="B9278" t="inlineStr">
        <is>
          <t xml:space="preserve">Nippon India Fixed Horizon Fund XXXII- Series 10- Dividend Payout Option</t>
        </is>
      </c>
      <c r="C9278" t="inlineStr">
        <is>
          <t xml:space="preserve">INF204KB1HJ1</t>
        </is>
      </c>
    </row>
    <row r="9279">
      <c r="A9279" t="inlineStr">
        <is>
          <t xml:space="preserve">Nippon India Mutual Fund</t>
        </is>
      </c>
      <c r="B9279" t="inlineStr">
        <is>
          <t xml:space="preserve">Nippon India Fixed Horizon Fund XXXII- Series 10- Growth Option</t>
        </is>
      </c>
      <c r="C9279" t="inlineStr">
        <is>
          <t xml:space="preserve">INF204KB1HI3</t>
        </is>
      </c>
    </row>
    <row r="9280">
      <c r="A9280" t="inlineStr">
        <is>
          <t xml:space="preserve">Nippon India Mutual Fund</t>
        </is>
      </c>
      <c r="B9280" t="inlineStr">
        <is>
          <t xml:space="preserve">Nippon India Fixed Horizon Fund XXXII- Series 2- Direct Plan- Dividend Payout Option</t>
        </is>
      </c>
      <c r="C9280" t="inlineStr">
        <is>
          <t xml:space="preserve">INF204KB1FT4</t>
        </is>
      </c>
    </row>
    <row r="9281">
      <c r="A9281" t="inlineStr">
        <is>
          <t xml:space="preserve">Nippon India Mutual Fund</t>
        </is>
      </c>
      <c r="B9281" t="inlineStr">
        <is>
          <t xml:space="preserve">Nippon India Fixed Horizon Fund XXXII- Series 2- Direct Plan-Growth Option</t>
        </is>
      </c>
      <c r="C9281" t="inlineStr">
        <is>
          <t xml:space="preserve">INF204KB1FS6</t>
        </is>
      </c>
    </row>
    <row r="9282">
      <c r="A9282" t="inlineStr">
        <is>
          <t xml:space="preserve">Nippon India Mutual Fund</t>
        </is>
      </c>
      <c r="B9282" t="inlineStr">
        <is>
          <t xml:space="preserve">Nippon India Fixed Horizon Fund XXXII- Series 2- Dividend Payout Option</t>
        </is>
      </c>
      <c r="C9282" t="inlineStr">
        <is>
          <t xml:space="preserve">INF204KB1FR8</t>
        </is>
      </c>
    </row>
    <row r="9283">
      <c r="A9283" t="inlineStr">
        <is>
          <t xml:space="preserve">Nippon India Mutual Fund</t>
        </is>
      </c>
      <c r="B9283" t="inlineStr">
        <is>
          <t xml:space="preserve">Nippon India Fixed Horizon Fund XXXII- Series 2- Growth Option</t>
        </is>
      </c>
      <c r="C9283" t="inlineStr">
        <is>
          <t xml:space="preserve">INF204KB1FQ0</t>
        </is>
      </c>
    </row>
    <row r="9284">
      <c r="A9284" t="inlineStr">
        <is>
          <t xml:space="preserve">Nippon India Mutual Fund</t>
        </is>
      </c>
      <c r="B9284" t="inlineStr">
        <is>
          <t xml:space="preserve">Nippon India Fixed Horizon Fund XXXII- Series 4- Direct Plan- Dividend Payout Option</t>
        </is>
      </c>
      <c r="C9284" t="inlineStr">
        <is>
          <t xml:space="preserve">INF204KB1GB0</t>
        </is>
      </c>
    </row>
    <row r="9285">
      <c r="A9285" t="inlineStr">
        <is>
          <t xml:space="preserve">Nippon India Mutual Fund</t>
        </is>
      </c>
      <c r="B9285" t="inlineStr">
        <is>
          <t xml:space="preserve">Nippon India Fixed Horizon Fund XXXII- Series 4- Direct Plan-Growth Option</t>
        </is>
      </c>
      <c r="C9285" t="inlineStr">
        <is>
          <t xml:space="preserve">INF204KB1GA2</t>
        </is>
      </c>
    </row>
    <row r="9286">
      <c r="A9286" t="inlineStr">
        <is>
          <t xml:space="preserve">Nippon India Mutual Fund</t>
        </is>
      </c>
      <c r="B9286" t="inlineStr">
        <is>
          <t xml:space="preserve">Nippon India Fixed Horizon Fund XXXII- Series 4- Dividend Payout Option</t>
        </is>
      </c>
      <c r="C9286" t="inlineStr">
        <is>
          <t xml:space="preserve">INF204KB1FZ1</t>
        </is>
      </c>
    </row>
    <row r="9287">
      <c r="A9287" t="inlineStr">
        <is>
          <t xml:space="preserve">Nippon India Mutual Fund</t>
        </is>
      </c>
      <c r="B9287" t="inlineStr">
        <is>
          <t xml:space="preserve">Nippon India Fixed Horizon Fund XXXII- Series 4- Growth Option</t>
        </is>
      </c>
      <c r="C9287" t="inlineStr">
        <is>
          <t xml:space="preserve">INF204KB1FY4</t>
        </is>
      </c>
    </row>
    <row r="9288">
      <c r="A9288" t="inlineStr">
        <is>
          <t xml:space="preserve">Nippon India Mutual Fund</t>
        </is>
      </c>
      <c r="B9288" t="inlineStr">
        <is>
          <t xml:space="preserve">Nippon India Fixed Horizon Fund XXXII- Series 5- Direct Plan-Dividend Payout Option</t>
        </is>
      </c>
      <c r="C9288" t="inlineStr">
        <is>
          <t xml:space="preserve">INF204KB1GJ3</t>
        </is>
      </c>
    </row>
    <row r="9289">
      <c r="A9289" t="inlineStr">
        <is>
          <t xml:space="preserve">Nippon India Mutual Fund</t>
        </is>
      </c>
      <c r="B9289" t="inlineStr">
        <is>
          <t xml:space="preserve">Nippon India Fixed Horizon Fund XXXII- Series 5- Direct Plan-Growth Option</t>
        </is>
      </c>
      <c r="C9289" t="inlineStr">
        <is>
          <t xml:space="preserve">INF204KB1GI5</t>
        </is>
      </c>
    </row>
    <row r="9290">
      <c r="A9290" t="inlineStr">
        <is>
          <t xml:space="preserve">Nippon India Mutual Fund</t>
        </is>
      </c>
      <c r="B9290" t="inlineStr">
        <is>
          <t xml:space="preserve">Nippon India Fixed Horizon Fund XXXII- Series 5- Dividend Payout Option</t>
        </is>
      </c>
      <c r="C9290" t="inlineStr">
        <is>
          <t xml:space="preserve">INF204KB1GH7</t>
        </is>
      </c>
    </row>
    <row r="9291">
      <c r="A9291" t="inlineStr">
        <is>
          <t xml:space="preserve">Nippon India Mutual Fund</t>
        </is>
      </c>
      <c r="B9291" t="inlineStr">
        <is>
          <t xml:space="preserve">Nippon India Fixed Horizon Fund XXXII- Series 5- Growth Option</t>
        </is>
      </c>
      <c r="C9291" t="inlineStr">
        <is>
          <t xml:space="preserve">INF204KB1GG9</t>
        </is>
      </c>
    </row>
    <row r="9292">
      <c r="A9292" t="inlineStr">
        <is>
          <t xml:space="preserve">Nippon India Mutual Fund</t>
        </is>
      </c>
      <c r="B9292" t="inlineStr">
        <is>
          <t xml:space="preserve">Nippon India Fixed Horizon Fund XXXII- Series 7- Direct Plan-Dividend Payout Option</t>
        </is>
      </c>
      <c r="C9292" t="inlineStr">
        <is>
          <t xml:space="preserve">INF204KB1HD4</t>
        </is>
      </c>
    </row>
    <row r="9293">
      <c r="A9293" t="inlineStr">
        <is>
          <t xml:space="preserve">Nippon India Mutual Fund</t>
        </is>
      </c>
      <c r="B9293" t="inlineStr">
        <is>
          <t xml:space="preserve">Nippon India Fixed Horizon Fund XXXII- Series 7- Direct Plan-Growth Option</t>
        </is>
      </c>
      <c r="C9293" t="inlineStr">
        <is>
          <t xml:space="preserve">INF204KB1HC6</t>
        </is>
      </c>
    </row>
    <row r="9294">
      <c r="A9294" t="inlineStr">
        <is>
          <t xml:space="preserve">Nippon India Mutual Fund</t>
        </is>
      </c>
      <c r="B9294" t="inlineStr">
        <is>
          <t xml:space="preserve">Nippon India Fixed Horizon Fund XXXII- Series 7- Dividend Payout Option</t>
        </is>
      </c>
      <c r="C9294" t="inlineStr">
        <is>
          <t xml:space="preserve">INF204KB1HB8</t>
        </is>
      </c>
    </row>
    <row r="9295">
      <c r="A9295" t="inlineStr">
        <is>
          <t xml:space="preserve">Nippon India Mutual Fund</t>
        </is>
      </c>
      <c r="B9295" t="inlineStr">
        <is>
          <t xml:space="preserve">Nippon India Fixed Horizon Fund XXXII- Series 7- Growth Option</t>
        </is>
      </c>
      <c r="C9295" t="inlineStr">
        <is>
          <t xml:space="preserve">INF204KB1HA0</t>
        </is>
      </c>
    </row>
    <row r="9296">
      <c r="A9296" t="inlineStr">
        <is>
          <t xml:space="preserve">Nippon India Mutual Fund</t>
        </is>
      </c>
      <c r="B9296" t="inlineStr">
        <is>
          <t xml:space="preserve">Nippon India Fixed Horizon Fund XXXII- Series 8- Direct Plan-Growth Option</t>
        </is>
      </c>
      <c r="C9296" t="inlineStr">
        <is>
          <t xml:space="preserve">INF204KB1HG7</t>
        </is>
      </c>
    </row>
    <row r="9297">
      <c r="A9297" t="inlineStr">
        <is>
          <t xml:space="preserve">Nippon India Mutual Fund</t>
        </is>
      </c>
      <c r="B9297" t="inlineStr">
        <is>
          <t xml:space="preserve">Nippon India Fixed Horizon Fund XXXII- Series 8- Dividend Payout Option</t>
        </is>
      </c>
      <c r="C9297" t="inlineStr">
        <is>
          <t xml:space="preserve">INF204KB1HF9</t>
        </is>
      </c>
    </row>
    <row r="9298">
      <c r="A9298" t="inlineStr">
        <is>
          <t xml:space="preserve">Nippon India Mutual Fund</t>
        </is>
      </c>
      <c r="B9298" t="inlineStr">
        <is>
          <t xml:space="preserve">Nippon India Fixed Horizon Fund XXXII- Series 8- Growth Option</t>
        </is>
      </c>
      <c r="C9298" t="inlineStr">
        <is>
          <t xml:space="preserve">INF204KB1HE2</t>
        </is>
      </c>
    </row>
    <row r="9299">
      <c r="A9299" t="inlineStr">
        <is>
          <t xml:space="preserve">Nippon India Mutual Fund</t>
        </is>
      </c>
      <c r="B9299" t="inlineStr">
        <is>
          <t xml:space="preserve">Nippon India Fixed Horizon Fund XXXIII- Series 1- Direct Plan- Dividend Payout Option</t>
        </is>
      </c>
      <c r="C9299" t="inlineStr">
        <is>
          <t xml:space="preserve">INF204KB1IB6</t>
        </is>
      </c>
    </row>
    <row r="9300">
      <c r="A9300" t="inlineStr">
        <is>
          <t xml:space="preserve">Nippon India Mutual Fund</t>
        </is>
      </c>
      <c r="B9300" t="inlineStr">
        <is>
          <t xml:space="preserve">Nippon India Fixed Horizon Fund XXXIII- Series 1- Direct Plan- Growth Option</t>
        </is>
      </c>
      <c r="C9300" t="inlineStr">
        <is>
          <t xml:space="preserve">INF204KB1IA8</t>
        </is>
      </c>
    </row>
    <row r="9301">
      <c r="A9301" t="inlineStr">
        <is>
          <t xml:space="preserve">Nippon India Mutual Fund</t>
        </is>
      </c>
      <c r="B9301" t="inlineStr">
        <is>
          <t xml:space="preserve">Nippon India Fixed Horizon Fund XXXIII- Series 1- Growth Option</t>
        </is>
      </c>
      <c r="C9301" t="inlineStr">
        <is>
          <t xml:space="preserve">INF204KB1HY0</t>
        </is>
      </c>
    </row>
    <row r="9302">
      <c r="A9302" t="inlineStr">
        <is>
          <t xml:space="preserve">Nippon India Mutual Fund</t>
        </is>
      </c>
      <c r="B9302" t="inlineStr">
        <is>
          <t xml:space="preserve">Nippon India Fixed Horizon Fund XXXIII- Series 10- Direct Plan - Dividend Payout Option</t>
        </is>
      </c>
      <c r="C9302" t="inlineStr">
        <is>
          <t xml:space="preserve">INF204KB1KF3</t>
        </is>
      </c>
    </row>
    <row r="9303">
      <c r="A9303" t="inlineStr">
        <is>
          <t xml:space="preserve">Nippon India Mutual Fund</t>
        </is>
      </c>
      <c r="B9303" t="inlineStr">
        <is>
          <t xml:space="preserve">Nippon India Fixed Horizon Fund XXXIII- Series 10- Direct Plan - Growth Option</t>
        </is>
      </c>
      <c r="C9303" t="inlineStr">
        <is>
          <t xml:space="preserve">INF204KB1KE6</t>
        </is>
      </c>
    </row>
    <row r="9304">
      <c r="A9304" t="inlineStr">
        <is>
          <t xml:space="preserve">Nippon India Mutual Fund</t>
        </is>
      </c>
      <c r="B9304" t="inlineStr">
        <is>
          <t xml:space="preserve">Nippon India Fixed Horizon Fund XXXIII- Series 10- Dividend Payout Option</t>
        </is>
      </c>
      <c r="C9304" t="inlineStr">
        <is>
          <t xml:space="preserve">INF204KB1KD8</t>
        </is>
      </c>
    </row>
    <row r="9305">
      <c r="A9305" t="inlineStr">
        <is>
          <t xml:space="preserve">Nippon India Mutual Fund</t>
        </is>
      </c>
      <c r="B9305" t="inlineStr">
        <is>
          <t xml:space="preserve">Nippon India Fixed Horizon Fund XXXIII- Series 10- Growth Option</t>
        </is>
      </c>
      <c r="C9305" t="inlineStr">
        <is>
          <t xml:space="preserve">INF204KB1KC0</t>
        </is>
      </c>
    </row>
    <row r="9306">
      <c r="A9306" t="inlineStr">
        <is>
          <t xml:space="preserve">Nippon India Mutual Fund</t>
        </is>
      </c>
      <c r="B9306" t="inlineStr">
        <is>
          <t xml:space="preserve">Nippon India Fixed Horizon Fund XXXIII- Series 2- Direct Plan- Dividend Payout Option</t>
        </is>
      </c>
      <c r="C9306" t="inlineStr">
        <is>
          <t xml:space="preserve">INF204KB1IF7</t>
        </is>
      </c>
    </row>
    <row r="9307">
      <c r="A9307" t="inlineStr">
        <is>
          <t xml:space="preserve">Nippon India Mutual Fund</t>
        </is>
      </c>
      <c r="B9307" t="inlineStr">
        <is>
          <t xml:space="preserve">Nippon India Fixed Horizon Fund XXXIII- Series 2- Direct Plan- Growth Option</t>
        </is>
      </c>
      <c r="C9307" t="inlineStr">
        <is>
          <t xml:space="preserve">INF204KB1IE0</t>
        </is>
      </c>
    </row>
    <row r="9308">
      <c r="A9308" t="inlineStr">
        <is>
          <t xml:space="preserve">Nippon India Mutual Fund</t>
        </is>
      </c>
      <c r="B9308" t="inlineStr">
        <is>
          <t xml:space="preserve">Nippon India Fixed Horizon Fund XXXIII- Series 2- Dividend Payout Option</t>
        </is>
      </c>
      <c r="C9308" t="inlineStr">
        <is>
          <t xml:space="preserve">INF204KB1ID2</t>
        </is>
      </c>
    </row>
    <row r="9309">
      <c r="A9309" t="inlineStr">
        <is>
          <t xml:space="preserve">Nippon India Mutual Fund</t>
        </is>
      </c>
      <c r="B9309" t="inlineStr">
        <is>
          <t xml:space="preserve">Nippon India Fixed Horizon Fund XXXIII- Series 2- Growth Option</t>
        </is>
      </c>
      <c r="C9309" t="inlineStr">
        <is>
          <t xml:space="preserve">INF204KB1IC4</t>
        </is>
      </c>
    </row>
    <row r="9310">
      <c r="A9310" t="inlineStr">
        <is>
          <t xml:space="preserve">Nippon India Mutual Fund</t>
        </is>
      </c>
      <c r="B9310" t="inlineStr">
        <is>
          <t xml:space="preserve">Nippon India Fixed Horizon Fund XXXIII- Series 3 - Dividend Payout Option</t>
        </is>
      </c>
      <c r="C9310" t="inlineStr">
        <is>
          <t xml:space="preserve">INF204KB1IH3</t>
        </is>
      </c>
    </row>
    <row r="9311">
      <c r="A9311" t="inlineStr">
        <is>
          <t xml:space="preserve">Nippon India Mutual Fund</t>
        </is>
      </c>
      <c r="B9311" t="inlineStr">
        <is>
          <t xml:space="preserve">Nippon India Fixed Horizon Fund XXXIII- Series 3- Growth Option</t>
        </is>
      </c>
      <c r="C9311" t="inlineStr">
        <is>
          <t xml:space="preserve">INF204KB1IG5</t>
        </is>
      </c>
    </row>
    <row r="9312">
      <c r="A9312" t="inlineStr">
        <is>
          <t xml:space="preserve">Nippon India Mutual Fund</t>
        </is>
      </c>
      <c r="B9312" t="inlineStr">
        <is>
          <t xml:space="preserve">Nippon India Fixed Horizon Fund XXXIII- Series 3-Direct Plan- Growth Option</t>
        </is>
      </c>
      <c r="C9312" t="inlineStr">
        <is>
          <t xml:space="preserve">INF204KB1II1</t>
        </is>
      </c>
    </row>
    <row r="9313">
      <c r="A9313" t="inlineStr">
        <is>
          <t xml:space="preserve">Nippon India Mutual Fund</t>
        </is>
      </c>
      <c r="B9313" t="inlineStr">
        <is>
          <t xml:space="preserve">Nippon India Fixed Horizon Fund XXXIII- Series 4- Direct Plan-Growth Option</t>
        </is>
      </c>
      <c r="C9313" t="inlineStr">
        <is>
          <t xml:space="preserve">INF204KB1IU6</t>
        </is>
      </c>
    </row>
    <row r="9314">
      <c r="A9314" t="inlineStr">
        <is>
          <t xml:space="preserve">Nippon India Mutual Fund</t>
        </is>
      </c>
      <c r="B9314" t="inlineStr">
        <is>
          <t xml:space="preserve">Nippon India Fixed Horizon Fund XXXIII- Series 4- Growth Option</t>
        </is>
      </c>
      <c r="C9314" t="inlineStr">
        <is>
          <t xml:space="preserve">INF204KB1IS0</t>
        </is>
      </c>
    </row>
    <row r="9315">
      <c r="A9315" t="inlineStr">
        <is>
          <t xml:space="preserve">Nippon India Mutual Fund</t>
        </is>
      </c>
      <c r="B9315" t="inlineStr">
        <is>
          <t xml:space="preserve">Nippon India Fixed Horizon Fund XXXIII- Series 5- Dividend Payout Option</t>
        </is>
      </c>
      <c r="C9315" t="inlineStr">
        <is>
          <t xml:space="preserve">INF204KB1IX0</t>
        </is>
      </c>
    </row>
    <row r="9316">
      <c r="A9316" t="inlineStr">
        <is>
          <t xml:space="preserve">Nippon India Mutual Fund</t>
        </is>
      </c>
      <c r="B9316" t="inlineStr">
        <is>
          <t xml:space="preserve">Nippon India Fixed Horizon Fund XXXIII- Series 5- Growth Option</t>
        </is>
      </c>
      <c r="C9316" t="inlineStr">
        <is>
          <t xml:space="preserve">INF204KB1IW2</t>
        </is>
      </c>
    </row>
    <row r="9317">
      <c r="A9317" t="inlineStr">
        <is>
          <t xml:space="preserve">Nippon India Mutual Fund</t>
        </is>
      </c>
      <c r="B9317" t="inlineStr">
        <is>
          <t xml:space="preserve">Nippon India Fixed Horizon Fund XXXIII- Series 5-Direct Plan- Dividend Payout Option</t>
        </is>
      </c>
      <c r="C9317" t="inlineStr">
        <is>
          <t xml:space="preserve">INF204KB1IZ5</t>
        </is>
      </c>
    </row>
    <row r="9318">
      <c r="A9318" t="inlineStr">
        <is>
          <t xml:space="preserve">Nippon India Mutual Fund</t>
        </is>
      </c>
      <c r="B9318" t="inlineStr">
        <is>
          <t xml:space="preserve">Nippon India Fixed Horizon Fund XXXIII- Series 5-Direct Plan- Growth Option</t>
        </is>
      </c>
      <c r="C9318" t="inlineStr">
        <is>
          <t xml:space="preserve">INF204KB1IY8</t>
        </is>
      </c>
    </row>
    <row r="9319">
      <c r="A9319" t="inlineStr">
        <is>
          <t xml:space="preserve">Nippon India Mutual Fund</t>
        </is>
      </c>
      <c r="B9319" t="inlineStr">
        <is>
          <t xml:space="preserve">Nippon India Fixed Horizon Fund XXXIII- Series 6- Direct Plan- Dividend Payout Option</t>
        </is>
      </c>
      <c r="C9319" t="inlineStr">
        <is>
          <t xml:space="preserve">INF204KB1JD0</t>
        </is>
      </c>
    </row>
    <row r="9320">
      <c r="A9320" t="inlineStr">
        <is>
          <t xml:space="preserve">Nippon India Mutual Fund</t>
        </is>
      </c>
      <c r="B9320" t="inlineStr">
        <is>
          <t xml:space="preserve">Nippon India Fixed Horizon Fund XXXIII- Series 6- Dividend Payout Option</t>
        </is>
      </c>
      <c r="C9320" t="inlineStr">
        <is>
          <t xml:space="preserve">INF204KB1JB4</t>
        </is>
      </c>
    </row>
    <row r="9321">
      <c r="A9321" t="inlineStr">
        <is>
          <t xml:space="preserve">Nippon India Mutual Fund</t>
        </is>
      </c>
      <c r="B9321" t="inlineStr">
        <is>
          <t xml:space="preserve">Nippon India Fixed Horizon Fund XXXIII- Series 6- Growth Option</t>
        </is>
      </c>
      <c r="C9321" t="inlineStr">
        <is>
          <t xml:space="preserve">INF204KB1JA6</t>
        </is>
      </c>
    </row>
    <row r="9322">
      <c r="A9322" t="inlineStr">
        <is>
          <t xml:space="preserve">Nippon India Mutual Fund</t>
        </is>
      </c>
      <c r="B9322" t="inlineStr">
        <is>
          <t xml:space="preserve">Nippon India Fixed Horizon Fund XXXIII- Series 6-Direct Plan- Growth Option</t>
        </is>
      </c>
      <c r="C9322" t="inlineStr">
        <is>
          <t xml:space="preserve">INF204KB1JC2</t>
        </is>
      </c>
    </row>
    <row r="9323">
      <c r="A9323" t="inlineStr">
        <is>
          <t xml:space="preserve">Nippon India Mutual Fund</t>
        </is>
      </c>
      <c r="B9323" t="inlineStr">
        <is>
          <t xml:space="preserve">Nippon India Fixed Horizon Fund XXXIII- Series 7- Direct Plan-Dividend Payout Option</t>
        </is>
      </c>
      <c r="C9323" t="inlineStr">
        <is>
          <t xml:space="preserve">INF204KB1JL3</t>
        </is>
      </c>
    </row>
    <row r="9324">
      <c r="A9324" t="inlineStr">
        <is>
          <t xml:space="preserve">Nippon India Mutual Fund</t>
        </is>
      </c>
      <c r="B9324" t="inlineStr">
        <is>
          <t xml:space="preserve">Nippon India Fixed Horizon Fund XXXIII- Series 7- Direct Plan-Growth Option</t>
        </is>
      </c>
      <c r="C9324" t="inlineStr">
        <is>
          <t xml:space="preserve">INF204KB1JK5</t>
        </is>
      </c>
    </row>
    <row r="9325">
      <c r="A9325" t="inlineStr">
        <is>
          <t xml:space="preserve">Nippon India Mutual Fund</t>
        </is>
      </c>
      <c r="B9325" t="inlineStr">
        <is>
          <t xml:space="preserve">Nippon India Fixed Horizon Fund XXXIII- Series 7- Growth Option</t>
        </is>
      </c>
      <c r="C9325" t="inlineStr">
        <is>
          <t xml:space="preserve">INF204KB1JI9</t>
        </is>
      </c>
    </row>
    <row r="9326">
      <c r="A9326" t="inlineStr">
        <is>
          <t xml:space="preserve">Nippon India Mutual Fund</t>
        </is>
      </c>
      <c r="B9326" t="inlineStr">
        <is>
          <t xml:space="preserve">Nippon India Fixed Horizon Fund XXXIII- Series 8- Direct Plan-Dividend Payout Option</t>
        </is>
      </c>
      <c r="C9326" t="inlineStr">
        <is>
          <t xml:space="preserve">INF204KB1JT6</t>
        </is>
      </c>
    </row>
    <row r="9327">
      <c r="A9327" t="inlineStr">
        <is>
          <t xml:space="preserve">Nippon India Mutual Fund</t>
        </is>
      </c>
      <c r="B9327" t="inlineStr">
        <is>
          <t xml:space="preserve">Nippon India Fixed Horizon Fund XXXIII- Series 8- Dividend Payout Option</t>
        </is>
      </c>
      <c r="C9327" t="inlineStr">
        <is>
          <t xml:space="preserve">INF204KB1JR0</t>
        </is>
      </c>
    </row>
    <row r="9328">
      <c r="A9328" t="inlineStr">
        <is>
          <t xml:space="preserve">Nippon India Mutual Fund</t>
        </is>
      </c>
      <c r="B9328" t="inlineStr">
        <is>
          <t xml:space="preserve">Nippon India Fixed Horizon Fund XXXIII- Series 8- Growth Option</t>
        </is>
      </c>
      <c r="C9328" t="inlineStr">
        <is>
          <t xml:space="preserve">INF204KB1JQ2</t>
        </is>
      </c>
    </row>
    <row r="9329">
      <c r="A9329" t="inlineStr">
        <is>
          <t xml:space="preserve">Nippon India Mutual Fund</t>
        </is>
      </c>
      <c r="B9329" t="inlineStr">
        <is>
          <t xml:space="preserve">Nippon India Fixed Horizon Fund XXXIII- Series 8-Direct Plan- Growth Option</t>
        </is>
      </c>
      <c r="C9329" t="inlineStr">
        <is>
          <t xml:space="preserve">INF204KB1JS8</t>
        </is>
      </c>
    </row>
    <row r="9330">
      <c r="A9330" t="inlineStr">
        <is>
          <t xml:space="preserve">Nippon India Mutual Fund</t>
        </is>
      </c>
      <c r="B9330" t="inlineStr">
        <is>
          <t xml:space="preserve">Nippon India Fixed Horizon Fund XXXIII- Series 9- Direct Plan - Dividend Payout Option</t>
        </is>
      </c>
      <c r="C9330" t="inlineStr">
        <is>
          <t xml:space="preserve">INF204KB1KB2</t>
        </is>
      </c>
    </row>
    <row r="9331">
      <c r="A9331" t="inlineStr">
        <is>
          <t xml:space="preserve">Nippon India Mutual Fund</t>
        </is>
      </c>
      <c r="B9331" t="inlineStr">
        <is>
          <t xml:space="preserve">Nippon India Fixed Horizon Fund XXXIII- Series 9- Direct Plan - Growth Option</t>
        </is>
      </c>
      <c r="C9331" t="inlineStr">
        <is>
          <t xml:space="preserve">INF204KB1KA4</t>
        </is>
      </c>
    </row>
    <row r="9332">
      <c r="A9332" t="inlineStr">
        <is>
          <t xml:space="preserve">Nippon India Mutual Fund</t>
        </is>
      </c>
      <c r="B9332" t="inlineStr">
        <is>
          <t xml:space="preserve">Nippon India Fixed Horizon Fund XXXIII- Series 9- Dividend Payout Option</t>
        </is>
      </c>
      <c r="C9332" t="inlineStr">
        <is>
          <t xml:space="preserve">INF204KB1JZ3</t>
        </is>
      </c>
    </row>
    <row r="9333">
      <c r="A9333" t="inlineStr">
        <is>
          <t xml:space="preserve">Nippon India Mutual Fund</t>
        </is>
      </c>
      <c r="B9333" t="inlineStr">
        <is>
          <t xml:space="preserve">Nippon India Fixed Horizon Fund XXXIII- Series 9- Growth Option</t>
        </is>
      </c>
      <c r="C9333" t="inlineStr">
        <is>
          <t xml:space="preserve">INF204KB1JY6</t>
        </is>
      </c>
    </row>
    <row r="9334">
      <c r="A9334" t="inlineStr">
        <is>
          <t xml:space="preserve">Nippon India Mutual Fund</t>
        </is>
      </c>
      <c r="B9334" t="inlineStr">
        <is>
          <t xml:space="preserve">Nippon India Fixed Horizon Fund XXXIV - Series 9 - Direct Plan - Dividend Payout Option</t>
        </is>
      </c>
      <c r="C9334" t="inlineStr">
        <is>
          <t xml:space="preserve">INF204KB1QG8</t>
        </is>
      </c>
    </row>
    <row r="9335">
      <c r="A9335" t="inlineStr">
        <is>
          <t xml:space="preserve">Nippon India Mutual Fund</t>
        </is>
      </c>
      <c r="B9335" t="inlineStr">
        <is>
          <t xml:space="preserve">Nippon India Fixed Horizon Fund XXXIV - Series 9 - Direct Plan - Growth Option</t>
        </is>
      </c>
      <c r="C9335" t="inlineStr">
        <is>
          <t xml:space="preserve">INF204KB1QF0</t>
        </is>
      </c>
    </row>
    <row r="9336">
      <c r="A9336" t="inlineStr">
        <is>
          <t xml:space="preserve">Nippon India Mutual Fund</t>
        </is>
      </c>
      <c r="B9336" t="inlineStr">
        <is>
          <t xml:space="preserve">Nippon India Fixed Horizon Fund XXXIV - Series 9 - Dividend Payout Option</t>
        </is>
      </c>
      <c r="C9336" t="inlineStr">
        <is>
          <t xml:space="preserve">INF204KB1QE3</t>
        </is>
      </c>
    </row>
    <row r="9337">
      <c r="A9337" t="inlineStr">
        <is>
          <t xml:space="preserve">Nippon India Mutual Fund</t>
        </is>
      </c>
      <c r="B9337" t="inlineStr">
        <is>
          <t xml:space="preserve">Nippon India Fixed Horizon Fund XXXIV - Series 9 - Growth Option</t>
        </is>
      </c>
      <c r="C9337" t="inlineStr">
        <is>
          <t xml:space="preserve">INF204KB1QD5</t>
        </is>
      </c>
    </row>
    <row r="9338">
      <c r="A9338" t="inlineStr">
        <is>
          <t xml:space="preserve">Nippon India Mutual Fund</t>
        </is>
      </c>
      <c r="B9338" t="inlineStr">
        <is>
          <t xml:space="preserve">Nippon India Fixed Horizon Fund XXXIV- Series 1 - Direct Plan- Dividend Payout Option</t>
        </is>
      </c>
      <c r="C9338" t="inlineStr">
        <is>
          <t xml:space="preserve">INF204KB1NP6</t>
        </is>
      </c>
    </row>
    <row r="9339">
      <c r="A9339" t="inlineStr">
        <is>
          <t xml:space="preserve">Nippon India Mutual Fund</t>
        </is>
      </c>
      <c r="B9339" t="inlineStr">
        <is>
          <t xml:space="preserve">Nippon India Fixed Horizon Fund XXXIV- Series 1 - Direct Plan- Growth Option</t>
        </is>
      </c>
      <c r="C9339" t="inlineStr">
        <is>
          <t xml:space="preserve">INF204KB1NO9</t>
        </is>
      </c>
    </row>
    <row r="9340">
      <c r="A9340" t="inlineStr">
        <is>
          <t xml:space="preserve">Nippon India Mutual Fund</t>
        </is>
      </c>
      <c r="B9340" t="inlineStr">
        <is>
          <t xml:space="preserve">Nippon India Fixed Horizon Fund XXXIV- Series 1 - Dividend Payout Option</t>
        </is>
      </c>
      <c r="C9340" t="inlineStr">
        <is>
          <t xml:space="preserve">INF204KB1NN1</t>
        </is>
      </c>
    </row>
    <row r="9341">
      <c r="A9341" t="inlineStr">
        <is>
          <t xml:space="preserve">Nippon India Mutual Fund</t>
        </is>
      </c>
      <c r="B9341" t="inlineStr">
        <is>
          <t xml:space="preserve">Nippon India Fixed Horizon Fund XXXIV- Series 1 - Growth Option</t>
        </is>
      </c>
      <c r="C9341" t="inlineStr">
        <is>
          <t xml:space="preserve">INF204KB1NM3</t>
        </is>
      </c>
    </row>
    <row r="9342">
      <c r="A9342" t="inlineStr">
        <is>
          <t xml:space="preserve">Nippon India Mutual Fund</t>
        </is>
      </c>
      <c r="B9342" t="inlineStr">
        <is>
          <t xml:space="preserve">Nippon India Fixed Horizon Fund XXXIV- Series 10- Direct Plan-Dividend Payout Option</t>
        </is>
      </c>
      <c r="C9342" t="inlineStr">
        <is>
          <t xml:space="preserve">INF204KB1QK0</t>
        </is>
      </c>
    </row>
    <row r="9343">
      <c r="A9343" t="inlineStr">
        <is>
          <t xml:space="preserve">Nippon India Mutual Fund</t>
        </is>
      </c>
      <c r="B9343" t="inlineStr">
        <is>
          <t xml:space="preserve">Nippon India Fixed Horizon Fund XXXIV- Series 10- Direct Plan-Growth Option</t>
        </is>
      </c>
      <c r="C9343" t="inlineStr">
        <is>
          <t xml:space="preserve">INF204KB1QJ2</t>
        </is>
      </c>
    </row>
    <row r="9344">
      <c r="A9344" t="inlineStr">
        <is>
          <t xml:space="preserve">Nippon India Mutual Fund</t>
        </is>
      </c>
      <c r="B9344" t="inlineStr">
        <is>
          <t xml:space="preserve">Nippon India Fixed Horizon Fund XXXIV- Series 10- Dividend Payout Option</t>
        </is>
      </c>
      <c r="C9344" t="inlineStr">
        <is>
          <t xml:space="preserve">INF204KB1QI4</t>
        </is>
      </c>
    </row>
    <row r="9345">
      <c r="A9345" t="inlineStr">
        <is>
          <t xml:space="preserve">Nippon India Mutual Fund</t>
        </is>
      </c>
      <c r="B9345" t="inlineStr">
        <is>
          <t xml:space="preserve">Nippon India Fixed Horizon Fund XXXIV- Series 10- Growth Option</t>
        </is>
      </c>
      <c r="C9345" t="inlineStr">
        <is>
          <t xml:space="preserve">INF204KB1QH6</t>
        </is>
      </c>
    </row>
    <row r="9346">
      <c r="A9346" t="inlineStr">
        <is>
          <t xml:space="preserve">Nippon India Mutual Fund</t>
        </is>
      </c>
      <c r="B9346" t="inlineStr">
        <is>
          <t xml:space="preserve">Nippon India Fixed Horizon Fund XXXIV- Series 2 - Direct Plan- Dividend Payout Option</t>
        </is>
      </c>
      <c r="C9346" t="inlineStr">
        <is>
          <t xml:space="preserve">INF204KB1NT8</t>
        </is>
      </c>
    </row>
    <row r="9347">
      <c r="A9347" t="inlineStr">
        <is>
          <t xml:space="preserve">Nippon India Mutual Fund</t>
        </is>
      </c>
      <c r="B9347" t="inlineStr">
        <is>
          <t xml:space="preserve">Nippon India Fixed Horizon Fund XXXIV- Series 2 - Direct Plan- Growth Option</t>
        </is>
      </c>
      <c r="C9347" t="inlineStr">
        <is>
          <t xml:space="preserve">INF204KB1NS0</t>
        </is>
      </c>
    </row>
    <row r="9348">
      <c r="A9348" t="inlineStr">
        <is>
          <t xml:space="preserve">Nippon India Mutual Fund</t>
        </is>
      </c>
      <c r="B9348" t="inlineStr">
        <is>
          <t xml:space="preserve">Nippon India Fixed Horizon Fund XXXIV- Series 2 - Dividend Payout Option</t>
        </is>
      </c>
      <c r="C9348" t="inlineStr">
        <is>
          <t xml:space="preserve">INF204KB1NR2</t>
        </is>
      </c>
    </row>
    <row r="9349">
      <c r="A9349" t="inlineStr">
        <is>
          <t xml:space="preserve">Nippon India Mutual Fund</t>
        </is>
      </c>
      <c r="B9349" t="inlineStr">
        <is>
          <t xml:space="preserve">Nippon India Fixed Horizon Fund XXXIV- Series 2 - Growth Option</t>
        </is>
      </c>
      <c r="C9349" t="inlineStr">
        <is>
          <t xml:space="preserve">INF204KB1NQ4</t>
        </is>
      </c>
    </row>
    <row r="9350">
      <c r="A9350" t="inlineStr">
        <is>
          <t xml:space="preserve">Nippon India Mutual Fund</t>
        </is>
      </c>
      <c r="B9350" t="inlineStr">
        <is>
          <t xml:space="preserve">Nippon India Fixed Horizon Fund XXXIV- Series 3- Direct Plan-Dividend Payout Option</t>
        </is>
      </c>
      <c r="C9350" t="inlineStr">
        <is>
          <t xml:space="preserve">INF204KB1NV4</t>
        </is>
      </c>
    </row>
    <row r="9351">
      <c r="A9351" t="inlineStr">
        <is>
          <t xml:space="preserve">Nippon India Mutual Fund</t>
        </is>
      </c>
      <c r="B9351" t="inlineStr">
        <is>
          <t xml:space="preserve">Nippon India Fixed Horizon Fund XXXIV- Series 3- Dividend Payout Option</t>
        </is>
      </c>
      <c r="C9351" t="inlineStr">
        <is>
          <t xml:space="preserve">INF204KB1NX0</t>
        </is>
      </c>
    </row>
    <row r="9352">
      <c r="A9352" t="inlineStr">
        <is>
          <t xml:space="preserve">Nippon India Mutual Fund</t>
        </is>
      </c>
      <c r="B9352" t="inlineStr">
        <is>
          <t xml:space="preserve">Nippon India Fixed Horizon Fund XXXIV- Series 3- Growth Option</t>
        </is>
      </c>
      <c r="C9352" t="inlineStr">
        <is>
          <t xml:space="preserve">INF204KB1NW2</t>
        </is>
      </c>
    </row>
    <row r="9353">
      <c r="A9353" t="inlineStr">
        <is>
          <t xml:space="preserve">Nippon India Mutual Fund</t>
        </is>
      </c>
      <c r="B9353" t="inlineStr">
        <is>
          <t xml:space="preserve">Nippon India Fixed Horizon Fund XXXIV- Series 3-Direct Plan- Growth Option</t>
        </is>
      </c>
      <c r="C9353" t="inlineStr">
        <is>
          <t xml:space="preserve">INF204KB1NU6</t>
        </is>
      </c>
    </row>
    <row r="9354">
      <c r="A9354" t="inlineStr">
        <is>
          <t xml:space="preserve">Nippon India Mutual Fund</t>
        </is>
      </c>
      <c r="B9354" t="inlineStr">
        <is>
          <t xml:space="preserve">Nippon India Fixed Horizon Fund XXXIV- Series 4- Direct Plan-Dividend Payout Option</t>
        </is>
      </c>
      <c r="C9354" t="inlineStr">
        <is>
          <t xml:space="preserve">INF204KB1OB4</t>
        </is>
      </c>
    </row>
    <row r="9355">
      <c r="A9355" t="inlineStr">
        <is>
          <t xml:space="preserve">Nippon India Mutual Fund</t>
        </is>
      </c>
      <c r="B9355" t="inlineStr">
        <is>
          <t xml:space="preserve">Nippon India Fixed Horizon Fund XXXIV- Series 4- Dividend Payout Option</t>
        </is>
      </c>
      <c r="C9355" t="inlineStr">
        <is>
          <t xml:space="preserve">INF204KB1NZ5</t>
        </is>
      </c>
    </row>
    <row r="9356">
      <c r="A9356" t="inlineStr">
        <is>
          <t xml:space="preserve">Nippon India Mutual Fund</t>
        </is>
      </c>
      <c r="B9356" t="inlineStr">
        <is>
          <t xml:space="preserve">Nippon India Fixed Horizon Fund XXXIV- Series 4- Growth Option</t>
        </is>
      </c>
      <c r="C9356" t="inlineStr">
        <is>
          <t xml:space="preserve">INF204KB1NY8</t>
        </is>
      </c>
    </row>
    <row r="9357">
      <c r="A9357" t="inlineStr">
        <is>
          <t xml:space="preserve">Nippon India Mutual Fund</t>
        </is>
      </c>
      <c r="B9357" t="inlineStr">
        <is>
          <t xml:space="preserve">Nippon India Fixed Horizon Fund XXXIV- Series 4-Direct Plan- Growth Option</t>
        </is>
      </c>
      <c r="C9357" t="inlineStr">
        <is>
          <t xml:space="preserve">INF204KB1OA6</t>
        </is>
      </c>
    </row>
    <row r="9358">
      <c r="A9358" t="inlineStr">
        <is>
          <t xml:space="preserve">Nippon India Mutual Fund</t>
        </is>
      </c>
      <c r="B9358" t="inlineStr">
        <is>
          <t xml:space="preserve">Nippon India Fixed Horizon Fund XXXIV- Series 6- Direct Plan- Dividend Payout Option</t>
        </is>
      </c>
      <c r="C9358" t="inlineStr">
        <is>
          <t xml:space="preserve">INF204KB1PL0</t>
        </is>
      </c>
    </row>
    <row r="9359">
      <c r="A9359" t="inlineStr">
        <is>
          <t xml:space="preserve">Nippon India Mutual Fund</t>
        </is>
      </c>
      <c r="B9359" t="inlineStr">
        <is>
          <t xml:space="preserve">Nippon India Fixed Horizon Fund XXXIV- Series 6- Direct Plan-Growth Option</t>
        </is>
      </c>
      <c r="C9359" t="inlineStr">
        <is>
          <t xml:space="preserve">INF204KB1PK2</t>
        </is>
      </c>
    </row>
    <row r="9360">
      <c r="A9360" t="inlineStr">
        <is>
          <t xml:space="preserve">Nippon India Mutual Fund</t>
        </is>
      </c>
      <c r="B9360" t="inlineStr">
        <is>
          <t xml:space="preserve">Nippon India Fixed Horizon Fund XXXIV- Series 6- Dividend Payout Option</t>
        </is>
      </c>
      <c r="C9360" t="inlineStr">
        <is>
          <t xml:space="preserve">INF204KB1PJ4</t>
        </is>
      </c>
    </row>
    <row r="9361">
      <c r="A9361" t="inlineStr">
        <is>
          <t xml:space="preserve">Nippon India Mutual Fund</t>
        </is>
      </c>
      <c r="B9361" t="inlineStr">
        <is>
          <t xml:space="preserve">Nippon India Fixed Horizon Fund XXXIV- Series 6- Growth Option</t>
        </is>
      </c>
      <c r="C9361" t="inlineStr">
        <is>
          <t xml:space="preserve">INF204KB1PI6</t>
        </is>
      </c>
    </row>
    <row r="9362">
      <c r="A9362" t="inlineStr">
        <is>
          <t xml:space="preserve">Nippon India Mutual Fund</t>
        </is>
      </c>
      <c r="B9362" t="inlineStr">
        <is>
          <t xml:space="preserve">Nippon India Fixed Horizon Fund XXXIV- Series 7- Direct Plan- Dividend Payout Option</t>
        </is>
      </c>
      <c r="C9362" t="inlineStr">
        <is>
          <t xml:space="preserve">INF204KB1PP1</t>
        </is>
      </c>
    </row>
    <row r="9363">
      <c r="A9363" t="inlineStr">
        <is>
          <t xml:space="preserve">Nippon India Mutual Fund</t>
        </is>
      </c>
      <c r="B9363" t="inlineStr">
        <is>
          <t xml:space="preserve">Nippon India Fixed Horizon Fund XXXIV- Series 7- Direct Plan-Growth Option</t>
        </is>
      </c>
      <c r="C9363" t="inlineStr">
        <is>
          <t xml:space="preserve">INF204KB1PO4</t>
        </is>
      </c>
    </row>
    <row r="9364">
      <c r="A9364" t="inlineStr">
        <is>
          <t xml:space="preserve">Nippon India Mutual Fund</t>
        </is>
      </c>
      <c r="B9364" t="inlineStr">
        <is>
          <t xml:space="preserve">Nippon India Fixed Horizon Fund XXXIV- Series 7- Dividend Payout Option</t>
        </is>
      </c>
      <c r="C9364" t="inlineStr">
        <is>
          <t xml:space="preserve">INF204KB1PN6</t>
        </is>
      </c>
    </row>
    <row r="9365">
      <c r="A9365" t="inlineStr">
        <is>
          <t xml:space="preserve">Nippon India Mutual Fund</t>
        </is>
      </c>
      <c r="B9365" t="inlineStr">
        <is>
          <t xml:space="preserve">Nippon India Fixed Horizon Fund XXXIV- Series 7- Growth Option</t>
        </is>
      </c>
      <c r="C9365" t="inlineStr">
        <is>
          <t xml:space="preserve">INF204KB1PM8</t>
        </is>
      </c>
    </row>
    <row r="9366">
      <c r="A9366" t="inlineStr">
        <is>
          <t xml:space="preserve">Nippon India Mutual Fund</t>
        </is>
      </c>
      <c r="B9366" t="inlineStr">
        <is>
          <t xml:space="preserve">Nippon India Fixed Horizon Fund XXXIV- Series 8- Direct Plan- Dividend Payout Option</t>
        </is>
      </c>
      <c r="C9366" t="inlineStr">
        <is>
          <t xml:space="preserve">INF204KB1PT3</t>
        </is>
      </c>
    </row>
    <row r="9367">
      <c r="A9367" t="inlineStr">
        <is>
          <t xml:space="preserve">Nippon India Mutual Fund</t>
        </is>
      </c>
      <c r="B9367" t="inlineStr">
        <is>
          <t xml:space="preserve">Nippon India Fixed Horizon Fund XXXIV- Series 8- Direct Plan-Growth Option</t>
        </is>
      </c>
      <c r="C9367" t="inlineStr">
        <is>
          <t xml:space="preserve">INF204KB1PS5</t>
        </is>
      </c>
    </row>
    <row r="9368">
      <c r="A9368" t="inlineStr">
        <is>
          <t xml:space="preserve">Nippon India Mutual Fund</t>
        </is>
      </c>
      <c r="B9368" t="inlineStr">
        <is>
          <t xml:space="preserve">Nippon India Fixed Horizon Fund XXXIV- Series 8- Dividend Payout Option</t>
        </is>
      </c>
      <c r="C9368" t="inlineStr">
        <is>
          <t xml:space="preserve">INF204KB1PR7</t>
        </is>
      </c>
    </row>
    <row r="9369">
      <c r="A9369" t="inlineStr">
        <is>
          <t xml:space="preserve">Nippon India Mutual Fund</t>
        </is>
      </c>
      <c r="B9369" t="inlineStr">
        <is>
          <t xml:space="preserve">Nippon India Fixed Horizon Fund XXXIV- Series 8- Growth Option</t>
        </is>
      </c>
      <c r="C9369" t="inlineStr">
        <is>
          <t xml:space="preserve">INF204KB1PQ9</t>
        </is>
      </c>
    </row>
    <row r="9370">
      <c r="A9370" t="inlineStr">
        <is>
          <t xml:space="preserve">Nippon India Mutual Fund</t>
        </is>
      </c>
      <c r="B9370" t="inlineStr">
        <is>
          <t xml:space="preserve">Nippon India Fixed Horizon Fund XXXIX -  Series 14 -Growth Option</t>
        </is>
      </c>
      <c r="C9370" t="inlineStr">
        <is>
          <t xml:space="preserve">INF204KB1N01</t>
        </is>
      </c>
    </row>
    <row r="9371">
      <c r="A9371" t="inlineStr">
        <is>
          <t xml:space="preserve">Nippon India Mutual Fund</t>
        </is>
      </c>
      <c r="B9371" t="inlineStr">
        <is>
          <t xml:space="preserve">Nippon India Fixed Horizon Fund XXXIX - Series 14 - Direct Plan - Growth Option</t>
        </is>
      </c>
      <c r="C9371" t="inlineStr">
        <is>
          <t xml:space="preserve">INF204KB1N27</t>
        </is>
      </c>
    </row>
    <row r="9372">
      <c r="A9372" t="inlineStr">
        <is>
          <t xml:space="preserve">Nippon India Mutual Fund</t>
        </is>
      </c>
      <c r="B9372" t="inlineStr">
        <is>
          <t xml:space="preserve">Nippon India Fixed Horizon Fund XXXIX - Series 15 Growth option</t>
        </is>
      </c>
      <c r="C9372" t="inlineStr">
        <is>
          <t xml:space="preserve">INF204KB1N43</t>
        </is>
      </c>
    </row>
    <row r="9373">
      <c r="A9373" t="inlineStr">
        <is>
          <t xml:space="preserve">Nippon India Mutual Fund</t>
        </is>
      </c>
      <c r="B9373" t="inlineStr">
        <is>
          <t xml:space="preserve">Nippon India Fixed Horizon Fund XXXIX- Series 1- Direct Plan- Growth Option</t>
        </is>
      </c>
      <c r="C9373" t="inlineStr">
        <is>
          <t xml:space="preserve">INF204KB1G42</t>
        </is>
      </c>
    </row>
    <row r="9374">
      <c r="A9374" t="inlineStr">
        <is>
          <t xml:space="preserve">Nippon India Mutual Fund</t>
        </is>
      </c>
      <c r="B9374" t="inlineStr">
        <is>
          <t xml:space="preserve">Nippon India Fixed Horizon Fund XXXIX- Series 1- Growth Plan</t>
        </is>
      </c>
      <c r="C9374" t="inlineStr">
        <is>
          <t xml:space="preserve">INF204KB1G26</t>
        </is>
      </c>
    </row>
    <row r="9375">
      <c r="A9375" t="inlineStr">
        <is>
          <t xml:space="preserve">Nippon India Mutual Fund</t>
        </is>
      </c>
      <c r="B9375" t="inlineStr">
        <is>
          <t xml:space="preserve">Nippon India Fixed Horizon Fund XXXIX- Series 11- Direct Plan- Growth Option</t>
        </is>
      </c>
      <c r="C9375" t="inlineStr">
        <is>
          <t xml:space="preserve">INF204KB1L60</t>
        </is>
      </c>
    </row>
    <row r="9376">
      <c r="A9376" t="inlineStr">
        <is>
          <t xml:space="preserve">Nippon India Mutual Fund</t>
        </is>
      </c>
      <c r="B9376" t="inlineStr">
        <is>
          <t xml:space="preserve">Nippon India Fixed Horizon Fund XXXIX- Series 11- Growth Option</t>
        </is>
      </c>
      <c r="C9376" t="inlineStr">
        <is>
          <t xml:space="preserve">INF204KB1L45</t>
        </is>
      </c>
    </row>
    <row r="9377">
      <c r="A9377" t="inlineStr">
        <is>
          <t xml:space="preserve">Nippon India Mutual Fund</t>
        </is>
      </c>
      <c r="B9377" t="inlineStr">
        <is>
          <t xml:space="preserve">Nippon India Fixed Horizon Fund XXXIX- Series 2- Direct Plan- Growth Option</t>
        </is>
      </c>
      <c r="C9377" t="inlineStr">
        <is>
          <t xml:space="preserve">INF204KB1H66</t>
        </is>
      </c>
    </row>
    <row r="9378">
      <c r="A9378" t="inlineStr">
        <is>
          <t xml:space="preserve">Nippon India Mutual Fund</t>
        </is>
      </c>
      <c r="B9378" t="inlineStr">
        <is>
          <t xml:space="preserve">Nippon India Fixed Horizon Fund XXXIX- Series 2- Growth Option</t>
        </is>
      </c>
      <c r="C9378" t="inlineStr">
        <is>
          <t xml:space="preserve">INF204KB1H41</t>
        </is>
      </c>
    </row>
    <row r="9379">
      <c r="A9379" t="inlineStr">
        <is>
          <t xml:space="preserve">Nippon India Mutual Fund</t>
        </is>
      </c>
      <c r="B9379" t="inlineStr">
        <is>
          <t xml:space="preserve">Nippon India Fixed Horizon Fund XXXIX- Series 4- Direct Plan- Growth Option</t>
        </is>
      </c>
      <c r="C9379" t="inlineStr">
        <is>
          <t xml:space="preserve">INF204KB1I81</t>
        </is>
      </c>
    </row>
    <row r="9380">
      <c r="A9380" t="inlineStr">
        <is>
          <t xml:space="preserve">Nippon India Mutual Fund</t>
        </is>
      </c>
      <c r="B9380" t="inlineStr">
        <is>
          <t xml:space="preserve">Nippon India Fixed Horizon Fund XXXIX- Series 4- Growth Option</t>
        </is>
      </c>
      <c r="C9380" t="inlineStr">
        <is>
          <t xml:space="preserve">INF204KB1I65</t>
        </is>
      </c>
    </row>
    <row r="9381">
      <c r="A9381" t="inlineStr">
        <is>
          <t xml:space="preserve">Nippon India Mutual Fund</t>
        </is>
      </c>
      <c r="B9381" t="inlineStr">
        <is>
          <t xml:space="preserve">Nippon India Fixed Horizon Fund XXXIX- Series 5- Direct Plan- Growth Option</t>
        </is>
      </c>
      <c r="C9381" t="inlineStr">
        <is>
          <t xml:space="preserve">INF204KB1J23</t>
        </is>
      </c>
    </row>
    <row r="9382">
      <c r="A9382" t="inlineStr">
        <is>
          <t xml:space="preserve">Nippon India Mutual Fund</t>
        </is>
      </c>
      <c r="B9382" t="inlineStr">
        <is>
          <t xml:space="preserve">Nippon India Fixed Horizon Fund XXXIX- Series 5- Growth Option</t>
        </is>
      </c>
      <c r="C9382" t="inlineStr">
        <is>
          <t xml:space="preserve">INF204KB1J07</t>
        </is>
      </c>
    </row>
    <row r="9383">
      <c r="A9383" t="inlineStr">
        <is>
          <t xml:space="preserve">Nippon India Mutual Fund</t>
        </is>
      </c>
      <c r="B9383" t="inlineStr">
        <is>
          <t xml:space="preserve">Nippon India Fixed Horizon Fund XXXIX- Series 6- Direct Plan- Growth Option</t>
        </is>
      </c>
      <c r="C9383" t="inlineStr">
        <is>
          <t xml:space="preserve">INF204KB1J64</t>
        </is>
      </c>
    </row>
    <row r="9384">
      <c r="A9384" t="inlineStr">
        <is>
          <t xml:space="preserve">Nippon India Mutual Fund</t>
        </is>
      </c>
      <c r="B9384" t="inlineStr">
        <is>
          <t xml:space="preserve">Nippon India Fixed Horizon Fund XXXIX- Series 6- Growth Plan</t>
        </is>
      </c>
      <c r="C9384" t="inlineStr">
        <is>
          <t xml:space="preserve">INF204KB1J49</t>
        </is>
      </c>
    </row>
    <row r="9385">
      <c r="A9385" t="inlineStr">
        <is>
          <t xml:space="preserve">Nippon India Mutual Fund</t>
        </is>
      </c>
      <c r="B9385" t="inlineStr">
        <is>
          <t xml:space="preserve">Nippon India Fixed Horizon Fund XXXIX- Series 8- Direct Plan- Growth Option</t>
        </is>
      </c>
      <c r="C9385" t="inlineStr">
        <is>
          <t xml:space="preserve">INF204KB1K46</t>
        </is>
      </c>
    </row>
    <row r="9386">
      <c r="A9386" t="inlineStr">
        <is>
          <t xml:space="preserve">Nippon India Mutual Fund</t>
        </is>
      </c>
      <c r="B9386" t="inlineStr">
        <is>
          <t xml:space="preserve">Nippon India Fixed Horizon Fund XXXIX- Series 8- Growth Option</t>
        </is>
      </c>
      <c r="C9386" t="inlineStr">
        <is>
          <t xml:space="preserve">INF204KB1K20</t>
        </is>
      </c>
    </row>
    <row r="9387">
      <c r="A9387" t="inlineStr">
        <is>
          <t xml:space="preserve">Nippon India Mutual Fund</t>
        </is>
      </c>
      <c r="B9387" t="inlineStr">
        <is>
          <t xml:space="preserve">Nippon India Fixed Horizon Fund XXXIX- Series 9- Direct Plan- Growth Option</t>
        </is>
      </c>
      <c r="C9387" t="inlineStr">
        <is>
          <t xml:space="preserve">INF204KB1K87</t>
        </is>
      </c>
    </row>
    <row r="9388">
      <c r="A9388" t="inlineStr">
        <is>
          <t xml:space="preserve">Nippon India Mutual Fund</t>
        </is>
      </c>
      <c r="B9388" t="inlineStr">
        <is>
          <t xml:space="preserve">Nippon India Fixed Horizon Fund XXXIX- Series 9- Growth Option</t>
        </is>
      </c>
      <c r="C9388" t="inlineStr">
        <is>
          <t xml:space="preserve">INF204KB1K61</t>
        </is>
      </c>
    </row>
    <row r="9389">
      <c r="A9389" t="inlineStr">
        <is>
          <t xml:space="preserve">Nippon India Mutual Fund</t>
        </is>
      </c>
      <c r="B9389" t="inlineStr">
        <is>
          <t xml:space="preserve">Nippon India Fixed Horizon Fund XXXIX- Series15- Direct Plan - Growth option</t>
        </is>
      </c>
      <c r="C9389" t="inlineStr">
        <is>
          <t xml:space="preserve">INF204KB1N68</t>
        </is>
      </c>
    </row>
    <row r="9390">
      <c r="A9390" t="inlineStr">
        <is>
          <t xml:space="preserve">Nippon India Mutual Fund</t>
        </is>
      </c>
      <c r="B9390" t="inlineStr">
        <is>
          <t xml:space="preserve">Nippon India Fixed Horizon Fund XXXV- Series 11- Direct Plan-Growth Option</t>
        </is>
      </c>
      <c r="C9390" t="inlineStr">
        <is>
          <t xml:space="preserve">INF204KB1SW1</t>
        </is>
      </c>
    </row>
    <row r="9391">
      <c r="A9391" t="inlineStr">
        <is>
          <t xml:space="preserve">Nippon India Mutual Fund</t>
        </is>
      </c>
      <c r="B9391" t="inlineStr">
        <is>
          <t xml:space="preserve">Nippon India Fixed Horizon Fund XXXV- Series 11- Growth Option</t>
        </is>
      </c>
      <c r="C9391" t="inlineStr">
        <is>
          <t xml:space="preserve">INF204KB1SU5</t>
        </is>
      </c>
    </row>
    <row r="9392">
      <c r="A9392" t="inlineStr">
        <is>
          <t xml:space="preserve">Nippon India Mutual Fund</t>
        </is>
      </c>
      <c r="B9392" t="inlineStr">
        <is>
          <t xml:space="preserve">Nippon India Fixed Horizon Fund XXXV- Series 12- Direct Plan-Growth Option</t>
        </is>
      </c>
      <c r="C9392" t="inlineStr">
        <is>
          <t xml:space="preserve">INF204KB1TA5</t>
        </is>
      </c>
    </row>
    <row r="9393">
      <c r="A9393" t="inlineStr">
        <is>
          <t xml:space="preserve">Nippon India Mutual Fund</t>
        </is>
      </c>
      <c r="B9393" t="inlineStr">
        <is>
          <t xml:space="preserve">Nippon India Fixed Horizon Fund XXXV- Series 12- Growth Option</t>
        </is>
      </c>
      <c r="C9393" t="inlineStr">
        <is>
          <t xml:space="preserve">INF204KB1SY7</t>
        </is>
      </c>
    </row>
    <row r="9394">
      <c r="A9394" t="inlineStr">
        <is>
          <t xml:space="preserve">Nippon India Mutual Fund</t>
        </is>
      </c>
      <c r="B9394" t="inlineStr">
        <is>
          <t xml:space="preserve">Nippon India Fixed Horizon Fund XXXV- Series 13- Direct Plan-Growth Option</t>
        </is>
      </c>
      <c r="C9394" t="inlineStr">
        <is>
          <t xml:space="preserve">INF204KB1TE7</t>
        </is>
      </c>
    </row>
    <row r="9395">
      <c r="A9395" t="inlineStr">
        <is>
          <t xml:space="preserve">Nippon India Mutual Fund</t>
        </is>
      </c>
      <c r="B9395" t="inlineStr">
        <is>
          <t xml:space="preserve">Nippon India Fixed Horizon Fund XXXV- Series 13- Growth Option</t>
        </is>
      </c>
      <c r="C9395" t="inlineStr">
        <is>
          <t xml:space="preserve">INF204KB1TC1</t>
        </is>
      </c>
    </row>
    <row r="9396">
      <c r="A9396" t="inlineStr">
        <is>
          <t xml:space="preserve">Nippon India Mutual Fund</t>
        </is>
      </c>
      <c r="B9396" t="inlineStr">
        <is>
          <t xml:space="preserve">Nippon India Fixed Horizon Fund XXXV- Series 14- Direct Plan-Growth Option</t>
        </is>
      </c>
      <c r="C9396" t="inlineStr">
        <is>
          <t xml:space="preserve">INF204KB1TQ1</t>
        </is>
      </c>
    </row>
    <row r="9397">
      <c r="A9397" t="inlineStr">
        <is>
          <t xml:space="preserve">Nippon India Mutual Fund</t>
        </is>
      </c>
      <c r="B9397" t="inlineStr">
        <is>
          <t xml:space="preserve">Nippon India Fixed Horizon Fund XXXV- Series 14- Growth Option</t>
        </is>
      </c>
      <c r="C9397" t="inlineStr">
        <is>
          <t xml:space="preserve">INF204KB1TO6</t>
        </is>
      </c>
    </row>
    <row r="9398">
      <c r="A9398" t="inlineStr">
        <is>
          <t xml:space="preserve">Nippon India Mutual Fund</t>
        </is>
      </c>
      <c r="B9398" t="inlineStr">
        <is>
          <t xml:space="preserve">Nippon India Fixed Horizon Fund XXXV- Series 15- Direct Plan-Growth Option</t>
        </is>
      </c>
      <c r="C9398" t="inlineStr">
        <is>
          <t xml:space="preserve">INF204KB1TU3</t>
        </is>
      </c>
    </row>
    <row r="9399">
      <c r="A9399" t="inlineStr">
        <is>
          <t xml:space="preserve">Nippon India Mutual Fund</t>
        </is>
      </c>
      <c r="B9399" t="inlineStr">
        <is>
          <t xml:space="preserve">Nippon India Fixed Horizon Fund XXXV- Series 15- Growth Option</t>
        </is>
      </c>
      <c r="C9399" t="inlineStr">
        <is>
          <t xml:space="preserve">INF204KB1TS7</t>
        </is>
      </c>
    </row>
    <row r="9400">
      <c r="A9400" t="inlineStr">
        <is>
          <t xml:space="preserve">Nippon India Mutual Fund</t>
        </is>
      </c>
      <c r="B9400" t="inlineStr">
        <is>
          <t xml:space="preserve">Nippon India Fixed Horizon Fund XXXV- Series 16- Direct Plan-Growth Option</t>
        </is>
      </c>
      <c r="C9400" t="inlineStr">
        <is>
          <t xml:space="preserve">INF204KB1TY5</t>
        </is>
      </c>
    </row>
    <row r="9401">
      <c r="A9401" t="inlineStr">
        <is>
          <t xml:space="preserve">Nippon India Mutual Fund</t>
        </is>
      </c>
      <c r="B9401" t="inlineStr">
        <is>
          <t xml:space="preserve">Nippon India Fixed Horizon Fund XXXV- Series 16- Growth Option</t>
        </is>
      </c>
      <c r="C9401" t="inlineStr">
        <is>
          <t xml:space="preserve">INF204KB1TW9</t>
        </is>
      </c>
    </row>
    <row r="9402">
      <c r="A9402" t="inlineStr">
        <is>
          <t xml:space="preserve">Nippon India Mutual Fund</t>
        </is>
      </c>
      <c r="B9402" t="inlineStr">
        <is>
          <t xml:space="preserve">Nippon India Fixed Horizon Fund XXXV- Series 5- Direct Plan- Dividend Payout Option</t>
        </is>
      </c>
      <c r="C9402" t="inlineStr">
        <is>
          <t xml:space="preserve">INF204KB1RJ0</t>
        </is>
      </c>
    </row>
    <row r="9403">
      <c r="A9403" t="inlineStr">
        <is>
          <t xml:space="preserve">Nippon India Mutual Fund</t>
        </is>
      </c>
      <c r="B9403" t="inlineStr">
        <is>
          <t xml:space="preserve">Nippon India Fixed Horizon Fund XXXV- Series 5- Direct Plan-Growth Option</t>
        </is>
      </c>
      <c r="C9403" t="inlineStr">
        <is>
          <t xml:space="preserve">INF204KB1RI2</t>
        </is>
      </c>
    </row>
    <row r="9404">
      <c r="A9404" t="inlineStr">
        <is>
          <t xml:space="preserve">Nippon India Mutual Fund</t>
        </is>
      </c>
      <c r="B9404" t="inlineStr">
        <is>
          <t xml:space="preserve">Nippon India Fixed Horizon Fund XXXV- Series 5- Dividend Payout Option</t>
        </is>
      </c>
      <c r="C9404" t="inlineStr">
        <is>
          <t xml:space="preserve">INF204KB1RH4</t>
        </is>
      </c>
    </row>
    <row r="9405">
      <c r="A9405" t="inlineStr">
        <is>
          <t xml:space="preserve">Nippon India Mutual Fund</t>
        </is>
      </c>
      <c r="B9405" t="inlineStr">
        <is>
          <t xml:space="preserve">Nippon India Fixed Horizon Fund XXXV- Series 5- Growth Option</t>
        </is>
      </c>
      <c r="C9405" t="inlineStr">
        <is>
          <t xml:space="preserve">INF204KB1RG6</t>
        </is>
      </c>
    </row>
    <row r="9406">
      <c r="A9406" t="inlineStr">
        <is>
          <t xml:space="preserve">Nippon India Mutual Fund</t>
        </is>
      </c>
      <c r="B9406" t="inlineStr">
        <is>
          <t xml:space="preserve">Nippon India Fixed Horizon Fund XXXV- Series 6- Direct Plan-Growth Option</t>
        </is>
      </c>
      <c r="C9406" t="inlineStr">
        <is>
          <t xml:space="preserve">INF204KB1RY9</t>
        </is>
      </c>
    </row>
    <row r="9407">
      <c r="A9407" t="inlineStr">
        <is>
          <t xml:space="preserve">Nippon India Mutual Fund</t>
        </is>
      </c>
      <c r="B9407" t="inlineStr">
        <is>
          <t xml:space="preserve">Nippon India Fixed Horizon Fund XXXV- Series 6- Growth Option</t>
        </is>
      </c>
      <c r="C9407" t="inlineStr">
        <is>
          <t xml:space="preserve">INF204KB1RW3</t>
        </is>
      </c>
    </row>
    <row r="9408">
      <c r="A9408" t="inlineStr">
        <is>
          <t xml:space="preserve">Nippon India Mutual Fund</t>
        </is>
      </c>
      <c r="B9408" t="inlineStr">
        <is>
          <t xml:space="preserve">Nippon India Fixed Horizon Fund XXXV- Series 7- Direct Plan-Growth Option</t>
        </is>
      </c>
      <c r="C9408" t="inlineStr">
        <is>
          <t xml:space="preserve">INF204KB1SC3</t>
        </is>
      </c>
    </row>
    <row r="9409">
      <c r="A9409" t="inlineStr">
        <is>
          <t xml:space="preserve">Nippon India Mutual Fund</t>
        </is>
      </c>
      <c r="B9409" t="inlineStr">
        <is>
          <t xml:space="preserve">Nippon India Fixed Horizon Fund XXXV- Series 7- Growth Option</t>
        </is>
      </c>
      <c r="C9409" t="inlineStr">
        <is>
          <t xml:space="preserve">INF204KB1SA7</t>
        </is>
      </c>
    </row>
    <row r="9410">
      <c r="A9410" t="inlineStr">
        <is>
          <t xml:space="preserve">Nippon India Mutual Fund</t>
        </is>
      </c>
      <c r="B9410" t="inlineStr">
        <is>
          <t xml:space="preserve">Nippon India Fixed Horizon Fund XXXV- Series 9- Direct Plan-Growth Option</t>
        </is>
      </c>
      <c r="C9410" t="inlineStr">
        <is>
          <t xml:space="preserve">INF204KB1SK6</t>
        </is>
      </c>
    </row>
    <row r="9411">
      <c r="A9411" t="inlineStr">
        <is>
          <t xml:space="preserve">Nippon India Mutual Fund</t>
        </is>
      </c>
      <c r="B9411" t="inlineStr">
        <is>
          <t xml:space="preserve">Nippon India Fixed Horizon Fund XXXV- Series 9- Growth Option</t>
        </is>
      </c>
      <c r="C9411" t="inlineStr">
        <is>
          <t xml:space="preserve">INF204KB1SI0</t>
        </is>
      </c>
    </row>
    <row r="9412">
      <c r="A9412" t="inlineStr">
        <is>
          <t xml:space="preserve">Nippon India Mutual Fund</t>
        </is>
      </c>
      <c r="B9412" t="inlineStr">
        <is>
          <t xml:space="preserve">Nippon India Fixed Horizon Fund XXXVI- Series 1- Direct Plan-Growth Option</t>
        </is>
      </c>
      <c r="C9412" t="inlineStr">
        <is>
          <t xml:space="preserve">INF204KB1UG0</t>
        </is>
      </c>
    </row>
    <row r="9413">
      <c r="A9413" t="inlineStr">
        <is>
          <t xml:space="preserve">Nippon India Mutual Fund</t>
        </is>
      </c>
      <c r="B9413" t="inlineStr">
        <is>
          <t xml:space="preserve">Nippon India Fixed Horizon Fund XXXVI- Series 1- Growth Option</t>
        </is>
      </c>
      <c r="C9413" t="inlineStr">
        <is>
          <t xml:space="preserve">INF204KB1UE5</t>
        </is>
      </c>
    </row>
    <row r="9414">
      <c r="A9414" t="inlineStr">
        <is>
          <t xml:space="preserve">Nippon India Mutual Fund</t>
        </is>
      </c>
      <c r="B9414" t="inlineStr">
        <is>
          <t xml:space="preserve">Nippon India Fixed Horizon Fund XXXVI- Series 2- Direct Plan-Growth Option</t>
        </is>
      </c>
      <c r="C9414" t="inlineStr">
        <is>
          <t xml:space="preserve">INF204KB1UK2</t>
        </is>
      </c>
    </row>
    <row r="9415">
      <c r="A9415" t="inlineStr">
        <is>
          <t xml:space="preserve">Nippon India Mutual Fund</t>
        </is>
      </c>
      <c r="B9415" t="inlineStr">
        <is>
          <t xml:space="preserve">Nippon India Fixed Horizon Fund XXXVI- Series 2- Growth Option</t>
        </is>
      </c>
      <c r="C9415" t="inlineStr">
        <is>
          <t xml:space="preserve">INF204KB1UI6</t>
        </is>
      </c>
    </row>
    <row r="9416">
      <c r="A9416" t="inlineStr">
        <is>
          <t xml:space="preserve">Nippon India Mutual Fund</t>
        </is>
      </c>
      <c r="B9416" t="inlineStr">
        <is>
          <t xml:space="preserve">Nippon India Fixed Horizon Fund XXXVI- Series 3- Direct Plan-Growth Option</t>
        </is>
      </c>
      <c r="C9416" t="inlineStr">
        <is>
          <t xml:space="preserve">INF204KB1UO4</t>
        </is>
      </c>
    </row>
    <row r="9417">
      <c r="A9417" t="inlineStr">
        <is>
          <t xml:space="preserve">Nippon India Mutual Fund</t>
        </is>
      </c>
      <c r="B9417" t="inlineStr">
        <is>
          <t xml:space="preserve">Nippon India Fixed Horizon Fund XXXVI- Series 3- Growth Option</t>
        </is>
      </c>
      <c r="C9417" t="inlineStr">
        <is>
          <t xml:space="preserve">INF204KB1UM8</t>
        </is>
      </c>
    </row>
    <row r="9418">
      <c r="A9418" t="inlineStr">
        <is>
          <t xml:space="preserve">Nippon India Mutual Fund</t>
        </is>
      </c>
      <c r="B9418" t="inlineStr">
        <is>
          <t xml:space="preserve">Nippon India Fixed Horizon Fund XXXVI- Series 5- Direct Plan-Growth Option</t>
        </is>
      </c>
      <c r="C9418" t="inlineStr">
        <is>
          <t xml:space="preserve">INF204KB1UW7</t>
        </is>
      </c>
    </row>
    <row r="9419">
      <c r="A9419" t="inlineStr">
        <is>
          <t xml:space="preserve">Nippon India Mutual Fund</t>
        </is>
      </c>
      <c r="B9419" t="inlineStr">
        <is>
          <t xml:space="preserve">Nippon India Fixed Horizon Fund XXXVI- Series 5- Growth Option</t>
        </is>
      </c>
      <c r="C9419" t="inlineStr">
        <is>
          <t xml:space="preserve">INF204KB1UU1</t>
        </is>
      </c>
    </row>
    <row r="9420">
      <c r="A9420" t="inlineStr">
        <is>
          <t xml:space="preserve">Nippon India Mutual Fund</t>
        </is>
      </c>
      <c r="B9420" t="inlineStr">
        <is>
          <t xml:space="preserve">Nippon India Fixed Horizon Fund XXXVI- Series 6- Direct Plan-Growth Option</t>
        </is>
      </c>
      <c r="C9420" t="inlineStr">
        <is>
          <t xml:space="preserve">INF204KB1VA1</t>
        </is>
      </c>
    </row>
    <row r="9421">
      <c r="A9421" t="inlineStr">
        <is>
          <t xml:space="preserve">Nippon India Mutual Fund</t>
        </is>
      </c>
      <c r="B9421" t="inlineStr">
        <is>
          <t xml:space="preserve">Nippon India Fixed Horizon Fund XXXVI- Series 6- Growth Option</t>
        </is>
      </c>
      <c r="C9421" t="inlineStr">
        <is>
          <t xml:space="preserve">INF204KB1UY3</t>
        </is>
      </c>
    </row>
    <row r="9422">
      <c r="A9422" t="inlineStr">
        <is>
          <t xml:space="preserve">Nippon India Mutual Fund</t>
        </is>
      </c>
      <c r="B9422" t="inlineStr">
        <is>
          <t xml:space="preserve">Nippon India Fixed Horizon Fund XXXVI- Series 7- Direct Plan-Growth Option</t>
        </is>
      </c>
      <c r="C9422" t="inlineStr">
        <is>
          <t xml:space="preserve">INF204KB1VI4</t>
        </is>
      </c>
    </row>
    <row r="9423">
      <c r="A9423" t="inlineStr">
        <is>
          <t xml:space="preserve">Nippon India Mutual Fund</t>
        </is>
      </c>
      <c r="B9423" t="inlineStr">
        <is>
          <t xml:space="preserve">Nippon India Fixed Horizon Fund XXXVI- Series 7- Growth Option</t>
        </is>
      </c>
      <c r="C9423" t="inlineStr">
        <is>
          <t xml:space="preserve">INF204KB1VG8</t>
        </is>
      </c>
    </row>
    <row r="9424">
      <c r="A9424" t="inlineStr">
        <is>
          <t xml:space="preserve">Nippon India Mutual Fund</t>
        </is>
      </c>
      <c r="B9424" t="inlineStr">
        <is>
          <t xml:space="preserve">Nippon India Fixed Horizon Fund XXXVI- Series 8- Direct Plan-Growth Option</t>
        </is>
      </c>
      <c r="C9424" t="inlineStr">
        <is>
          <t xml:space="preserve">INF204KB1VM6</t>
        </is>
      </c>
    </row>
    <row r="9425">
      <c r="A9425" t="inlineStr">
        <is>
          <t xml:space="preserve">Nippon India Mutual Fund</t>
        </is>
      </c>
      <c r="B9425" t="inlineStr">
        <is>
          <t xml:space="preserve">Nippon India Fixed Horizon Fund XXXVI- Series 8- Growth Option</t>
        </is>
      </c>
      <c r="C9425" t="inlineStr">
        <is>
          <t xml:space="preserve">INF204KB1VK0</t>
        </is>
      </c>
    </row>
    <row r="9426">
      <c r="A9426" t="inlineStr">
        <is>
          <t xml:space="preserve">Nippon India Mutual Fund</t>
        </is>
      </c>
      <c r="B9426" t="inlineStr">
        <is>
          <t xml:space="preserve">Nippon India Fixed Horizon Fund XXXVI- Series 9- Direct Plan-Growth Option</t>
        </is>
      </c>
      <c r="C9426" t="inlineStr">
        <is>
          <t xml:space="preserve">INF204KB1VU9</t>
        </is>
      </c>
    </row>
    <row r="9427">
      <c r="A9427" t="inlineStr">
        <is>
          <t xml:space="preserve">Nippon India Mutual Fund</t>
        </is>
      </c>
      <c r="B9427" t="inlineStr">
        <is>
          <t xml:space="preserve">Nippon India Fixed Horizon Fund XXXVI- Series 9- Growth Option</t>
        </is>
      </c>
      <c r="C9427" t="inlineStr">
        <is>
          <t xml:space="preserve">INF204KB1XK6</t>
        </is>
      </c>
    </row>
    <row r="9428">
      <c r="A9428" t="inlineStr">
        <is>
          <t xml:space="preserve">Nippon India Mutual Fund</t>
        </is>
      </c>
      <c r="B9428" t="inlineStr">
        <is>
          <t xml:space="preserve">Nippon India Fixed Horizon Fund XXXVII- Series 1- Direct Plan- Growth Option</t>
        </is>
      </c>
      <c r="C9428" t="inlineStr">
        <is>
          <t xml:space="preserve">INF204KB1WC5</t>
        </is>
      </c>
    </row>
    <row r="9429">
      <c r="A9429" t="inlineStr">
        <is>
          <t xml:space="preserve">Nippon India Mutual Fund</t>
        </is>
      </c>
      <c r="B9429" t="inlineStr">
        <is>
          <t xml:space="preserve">Nippon India Fixed Horizon Fund XXXVII- Series 1- Growth Option</t>
        </is>
      </c>
      <c r="C9429" t="inlineStr">
        <is>
          <t xml:space="preserve">INF204KB1WA9</t>
        </is>
      </c>
    </row>
    <row r="9430">
      <c r="A9430" t="inlineStr">
        <is>
          <t xml:space="preserve">Nippon India Mutual Fund</t>
        </is>
      </c>
      <c r="B9430" t="inlineStr">
        <is>
          <t xml:space="preserve">Nippon India Fixed Horizon Fund XXXVII- Series 10- Direct Plan- Growth Option</t>
        </is>
      </c>
      <c r="C9430" t="inlineStr">
        <is>
          <t xml:space="preserve">INF204KB1XQ3</t>
        </is>
      </c>
    </row>
    <row r="9431">
      <c r="A9431" t="inlineStr">
        <is>
          <t xml:space="preserve">Nippon India Mutual Fund</t>
        </is>
      </c>
      <c r="B9431" t="inlineStr">
        <is>
          <t xml:space="preserve">Nippon India Fixed Horizon Fund XXXVII- Series 10- Growth Option</t>
        </is>
      </c>
      <c r="C9431" t="inlineStr">
        <is>
          <t xml:space="preserve">INF204KB1XO8</t>
        </is>
      </c>
    </row>
    <row r="9432">
      <c r="A9432" t="inlineStr">
        <is>
          <t xml:space="preserve">Nippon India Mutual Fund</t>
        </is>
      </c>
      <c r="B9432" t="inlineStr">
        <is>
          <t xml:space="preserve">Nippon India Fixed Horizon Fund XXXVII- Series 12- Direct Plan- Growth Option</t>
        </is>
      </c>
      <c r="C9432" t="inlineStr">
        <is>
          <t xml:space="preserve">INF204KB1XY7</t>
        </is>
      </c>
    </row>
    <row r="9433">
      <c r="A9433" t="inlineStr">
        <is>
          <t xml:space="preserve">Nippon India Mutual Fund</t>
        </is>
      </c>
      <c r="B9433" t="inlineStr">
        <is>
          <t xml:space="preserve">Nippon India Fixed Horizon Fund XXXVII- Series 12- Growth Option</t>
        </is>
      </c>
      <c r="C9433" t="inlineStr">
        <is>
          <t xml:space="preserve">INF204KB1XW1</t>
        </is>
      </c>
    </row>
    <row r="9434">
      <c r="A9434" t="inlineStr">
        <is>
          <t xml:space="preserve">Nippon India Mutual Fund</t>
        </is>
      </c>
      <c r="B9434" t="inlineStr">
        <is>
          <t xml:space="preserve">Nippon India Fixed Horizon Fund XXXVII- Series 15- Direct Plan- Growth Option</t>
        </is>
      </c>
      <c r="C9434" t="inlineStr">
        <is>
          <t xml:space="preserve">INF204KB1YO6</t>
        </is>
      </c>
    </row>
    <row r="9435">
      <c r="A9435" t="inlineStr">
        <is>
          <t xml:space="preserve">Nippon India Mutual Fund</t>
        </is>
      </c>
      <c r="B9435" t="inlineStr">
        <is>
          <t xml:space="preserve">Nippon India Fixed Horizon Fund XXXVII- Series 15- Growth Option</t>
        </is>
      </c>
      <c r="C9435" t="inlineStr">
        <is>
          <t xml:space="preserve">INF204KB1YM0</t>
        </is>
      </c>
    </row>
    <row r="9436">
      <c r="A9436" t="inlineStr">
        <is>
          <t xml:space="preserve">Nippon India Mutual Fund</t>
        </is>
      </c>
      <c r="B9436" t="inlineStr">
        <is>
          <t xml:space="preserve">Nippon India Fixed Horizon Fund XXXVII- Series 3- Direct Plan- Growth Option</t>
        </is>
      </c>
      <c r="C9436" t="inlineStr">
        <is>
          <t xml:space="preserve">INF204KB1WK8</t>
        </is>
      </c>
    </row>
    <row r="9437">
      <c r="A9437" t="inlineStr">
        <is>
          <t xml:space="preserve">Nippon India Mutual Fund</t>
        </is>
      </c>
      <c r="B9437" t="inlineStr">
        <is>
          <t xml:space="preserve">Nippon India Fixed Horizon Fund XXXVII- Series 3- Growth Option</t>
        </is>
      </c>
      <c r="C9437" t="inlineStr">
        <is>
          <t xml:space="preserve">INF204KB1WI2</t>
        </is>
      </c>
    </row>
    <row r="9438">
      <c r="A9438" t="inlineStr">
        <is>
          <t xml:space="preserve">Nippon India Mutual Fund</t>
        </is>
      </c>
      <c r="B9438" t="inlineStr">
        <is>
          <t xml:space="preserve">Nippon India Fixed Horizon Fund XXXVII- Series 4- Direct Plan- Growth Option</t>
        </is>
      </c>
      <c r="C9438" t="inlineStr">
        <is>
          <t xml:space="preserve">INF204KB1WO0</t>
        </is>
      </c>
    </row>
    <row r="9439">
      <c r="A9439" t="inlineStr">
        <is>
          <t xml:space="preserve">Nippon India Mutual Fund</t>
        </is>
      </c>
      <c r="B9439" t="inlineStr">
        <is>
          <t xml:space="preserve">Nippon India Fixed Horizon Fund XXXVII- Series 4- Growth Option</t>
        </is>
      </c>
      <c r="C9439" t="inlineStr">
        <is>
          <t xml:space="preserve">INF204KB1WM4</t>
        </is>
      </c>
    </row>
    <row r="9440">
      <c r="A9440" t="inlineStr">
        <is>
          <t xml:space="preserve">Nippon India Mutual Fund</t>
        </is>
      </c>
      <c r="B9440" t="inlineStr">
        <is>
          <t xml:space="preserve">Nippon India Fixed Horizon Fund XXXVII- Series 5- Direct Plan- Growth Option</t>
        </is>
      </c>
      <c r="C9440" t="inlineStr">
        <is>
          <t xml:space="preserve">INF204KB1WW3</t>
        </is>
      </c>
    </row>
    <row r="9441">
      <c r="A9441" t="inlineStr">
        <is>
          <t xml:space="preserve">Nippon India Mutual Fund</t>
        </is>
      </c>
      <c r="B9441" t="inlineStr">
        <is>
          <t xml:space="preserve">Nippon India Fixed Horizon Fund XXXVII- Series 5- Growth Option</t>
        </is>
      </c>
      <c r="C9441" t="inlineStr">
        <is>
          <t xml:space="preserve">INF204KB1WU7</t>
        </is>
      </c>
    </row>
    <row r="9442">
      <c r="A9442" t="inlineStr">
        <is>
          <t xml:space="preserve">Nippon India Mutual Fund</t>
        </is>
      </c>
      <c r="B9442" t="inlineStr">
        <is>
          <t xml:space="preserve">Nippon India Fixed Horizon Fund XXXVII- Series 6- Direct Plan- Growth Option</t>
        </is>
      </c>
      <c r="C9442" t="inlineStr">
        <is>
          <t xml:space="preserve">INF204KB1XA7</t>
        </is>
      </c>
    </row>
    <row r="9443">
      <c r="A9443" t="inlineStr">
        <is>
          <t xml:space="preserve">Nippon India Mutual Fund</t>
        </is>
      </c>
      <c r="B9443" t="inlineStr">
        <is>
          <t xml:space="preserve">Nippon India Fixed Horizon Fund XXXVII- Series 6- Growth Option</t>
        </is>
      </c>
      <c r="C9443" t="inlineStr">
        <is>
          <t xml:space="preserve">INF204KB1WY9</t>
        </is>
      </c>
    </row>
    <row r="9444">
      <c r="A9444" t="inlineStr">
        <is>
          <t xml:space="preserve">Nippon India Mutual Fund</t>
        </is>
      </c>
      <c r="B9444" t="inlineStr">
        <is>
          <t xml:space="preserve">Nippon India Fixed Horizon Fund XXXVII- Series 9- Direct Plan- Growth Option</t>
        </is>
      </c>
      <c r="C9444" t="inlineStr">
        <is>
          <t xml:space="preserve">INF204KB1XM2</t>
        </is>
      </c>
    </row>
    <row r="9445">
      <c r="A9445" t="inlineStr">
        <is>
          <t xml:space="preserve">Nippon India Mutual Fund</t>
        </is>
      </c>
      <c r="B9445" t="inlineStr">
        <is>
          <t xml:space="preserve">Nippon India Fixed Horizon Fund XXXVII- Series 9- Growth Option</t>
        </is>
      </c>
      <c r="C9445" t="inlineStr">
        <is>
          <t xml:space="preserve">INF204KB1XK6</t>
        </is>
      </c>
    </row>
    <row r="9446">
      <c r="A9446" t="inlineStr">
        <is>
          <t xml:space="preserve">Nippon India Mutual Fund</t>
        </is>
      </c>
      <c r="B9446" t="inlineStr">
        <is>
          <t xml:space="preserve">Nippon India Fixed Horizon Fund XXXVIII- Series 1- Direct Plan- Growth Option</t>
        </is>
      </c>
      <c r="C9446" t="inlineStr">
        <is>
          <t xml:space="preserve">INF204KB1A89</t>
        </is>
      </c>
    </row>
    <row r="9447">
      <c r="A9447" t="inlineStr">
        <is>
          <t xml:space="preserve">Nippon India Mutual Fund</t>
        </is>
      </c>
      <c r="B9447" t="inlineStr">
        <is>
          <t xml:space="preserve">Nippon India Fixed Horizon Fund XXXVIII- Series 1- Growth Option</t>
        </is>
      </c>
      <c r="C9447" t="inlineStr">
        <is>
          <t xml:space="preserve">INF204KB1A63</t>
        </is>
      </c>
    </row>
    <row r="9448">
      <c r="A9448" t="inlineStr">
        <is>
          <t xml:space="preserve">Nippon India Mutual Fund</t>
        </is>
      </c>
      <c r="B9448" t="inlineStr">
        <is>
          <t xml:space="preserve">Nippon India Fixed Horizon Fund XXXVIII- Series 10- Direct Plan- Growth Option</t>
        </is>
      </c>
      <c r="C9448" t="inlineStr">
        <is>
          <t xml:space="preserve">INF204KB1E44</t>
        </is>
      </c>
    </row>
    <row r="9449">
      <c r="A9449" t="inlineStr">
        <is>
          <t xml:space="preserve">Nippon India Mutual Fund</t>
        </is>
      </c>
      <c r="B9449" t="inlineStr">
        <is>
          <t xml:space="preserve">Nippon India Fixed Horizon Fund XXXVIII- Series 10- Growth Option</t>
        </is>
      </c>
      <c r="C9449" t="inlineStr">
        <is>
          <t xml:space="preserve">INF204KB1E28</t>
        </is>
      </c>
    </row>
    <row r="9450">
      <c r="A9450" t="inlineStr">
        <is>
          <t xml:space="preserve">Nippon India Mutual Fund</t>
        </is>
      </c>
      <c r="B9450" t="inlineStr">
        <is>
          <t xml:space="preserve">Nippon India Fixed Horizon Fund XXXVIII- Series 11- Direct Plan- Growth Option</t>
        </is>
      </c>
      <c r="C9450" t="inlineStr">
        <is>
          <t xml:space="preserve">INF204KB1E85</t>
        </is>
      </c>
    </row>
    <row r="9451">
      <c r="A9451" t="inlineStr">
        <is>
          <t xml:space="preserve">Nippon India Mutual Fund</t>
        </is>
      </c>
      <c r="B9451" t="inlineStr">
        <is>
          <t xml:space="preserve">Nippon India Fixed Horizon Fund XXXVIII- Series 11- Growth Option</t>
        </is>
      </c>
      <c r="C9451" t="inlineStr">
        <is>
          <t xml:space="preserve">INF204KB1E69</t>
        </is>
      </c>
    </row>
    <row r="9452">
      <c r="A9452" t="inlineStr">
        <is>
          <t xml:space="preserve">Nippon India Mutual Fund</t>
        </is>
      </c>
      <c r="B9452" t="inlineStr">
        <is>
          <t xml:space="preserve">Nippon India Fixed Horizon Fund XXXVIII- Series 12- Direct Plan- Growth Option</t>
        </is>
      </c>
      <c r="C9452" t="inlineStr">
        <is>
          <t xml:space="preserve">INF204KB1F27</t>
        </is>
      </c>
    </row>
    <row r="9453">
      <c r="A9453" t="inlineStr">
        <is>
          <t xml:space="preserve">Nippon India Mutual Fund</t>
        </is>
      </c>
      <c r="B9453" t="inlineStr">
        <is>
          <t xml:space="preserve">Nippon India Fixed Horizon Fund XXXVIII- Series 12- Growth Option</t>
        </is>
      </c>
      <c r="C9453" t="inlineStr">
        <is>
          <t xml:space="preserve">INF204KB1F01</t>
        </is>
      </c>
    </row>
    <row r="9454">
      <c r="A9454" t="inlineStr">
        <is>
          <t xml:space="preserve">Nippon India Mutual Fund</t>
        </is>
      </c>
      <c r="B9454" t="inlineStr">
        <is>
          <t xml:space="preserve">Nippon India Fixed Horizon Fund XXXVIII- Series 14- Direct Plan- Growth Option</t>
        </is>
      </c>
      <c r="C9454" t="inlineStr">
        <is>
          <t xml:space="preserve">INF204KB1G00</t>
        </is>
      </c>
    </row>
    <row r="9455">
      <c r="A9455" t="inlineStr">
        <is>
          <t xml:space="preserve">Nippon India Mutual Fund</t>
        </is>
      </c>
      <c r="B9455" t="inlineStr">
        <is>
          <t xml:space="preserve">Nippon India Fixed Horizon Fund XXXVIII- Series 14- Growth Option</t>
        </is>
      </c>
      <c r="C9455" t="inlineStr">
        <is>
          <t xml:space="preserve">INF204KB1F84</t>
        </is>
      </c>
    </row>
    <row r="9456">
      <c r="A9456" t="inlineStr">
        <is>
          <t xml:space="preserve">Nippon India Mutual Fund</t>
        </is>
      </c>
      <c r="B9456" t="inlineStr">
        <is>
          <t xml:space="preserve">Nippon India Fixed Horizon Fund XXXVIII- Series 2- Direct Plan- Growth Option</t>
        </is>
      </c>
      <c r="C9456" t="inlineStr">
        <is>
          <t xml:space="preserve">INF204KB1B21</t>
        </is>
      </c>
    </row>
    <row r="9457">
      <c r="A9457" t="inlineStr">
        <is>
          <t xml:space="preserve">Nippon India Mutual Fund</t>
        </is>
      </c>
      <c r="B9457" t="inlineStr">
        <is>
          <t xml:space="preserve">Nippon India Fixed Horizon Fund XXXVIII- Series 2- Growth Option</t>
        </is>
      </c>
      <c r="C9457" t="inlineStr">
        <is>
          <t xml:space="preserve">INF204KB1B05</t>
        </is>
      </c>
    </row>
    <row r="9458">
      <c r="A9458" t="inlineStr">
        <is>
          <t xml:space="preserve">Nippon India Mutual Fund</t>
        </is>
      </c>
      <c r="B9458" t="inlineStr">
        <is>
          <t xml:space="preserve">Nippon India Fixed Horizon Fund XXXVIII- Series 3- Direct Plan- Growth Option</t>
        </is>
      </c>
      <c r="C9458" t="inlineStr">
        <is>
          <t xml:space="preserve">INF204KB1B62</t>
        </is>
      </c>
    </row>
    <row r="9459">
      <c r="A9459" t="inlineStr">
        <is>
          <t xml:space="preserve">Nippon India Mutual Fund</t>
        </is>
      </c>
      <c r="B9459" t="inlineStr">
        <is>
          <t xml:space="preserve">Nippon India Fixed Horizon Fund XXXVIII- Series 3- Growth Option</t>
        </is>
      </c>
      <c r="C9459" t="inlineStr">
        <is>
          <t xml:space="preserve">INF204KB1B47</t>
        </is>
      </c>
    </row>
    <row r="9460">
      <c r="A9460" t="inlineStr">
        <is>
          <t xml:space="preserve">Nippon India Mutual Fund</t>
        </is>
      </c>
      <c r="B9460" t="inlineStr">
        <is>
          <t xml:space="preserve">Nippon India Fixed Horizon Fund XXXVIII- Series 5- Direct Plan - Growth Option</t>
        </is>
      </c>
      <c r="C9460" t="inlineStr">
        <is>
          <t xml:space="preserve">INF204KB1C46</t>
        </is>
      </c>
    </row>
    <row r="9461">
      <c r="A9461" t="inlineStr">
        <is>
          <t xml:space="preserve">Nippon India Mutual Fund</t>
        </is>
      </c>
      <c r="B9461" t="inlineStr">
        <is>
          <t xml:space="preserve">Nippon India Fixed Horizon Fund XXXVIII- Series 5- Growth Option</t>
        </is>
      </c>
      <c r="C9461" t="inlineStr">
        <is>
          <t xml:space="preserve">INF204KB1C20</t>
        </is>
      </c>
    </row>
    <row r="9462">
      <c r="A9462" t="inlineStr">
        <is>
          <t xml:space="preserve">Nippon India Mutual Fund</t>
        </is>
      </c>
      <c r="B9462" t="inlineStr">
        <is>
          <t xml:space="preserve">Nippon India Fixed Horizon Fund XXXVIII- Series 6- Direct Plan -Growth Option</t>
        </is>
      </c>
      <c r="C9462" t="inlineStr">
        <is>
          <t xml:space="preserve">INF204KB1C87</t>
        </is>
      </c>
    </row>
    <row r="9463">
      <c r="A9463" t="inlineStr">
        <is>
          <t xml:space="preserve">Nippon India Mutual Fund</t>
        </is>
      </c>
      <c r="B9463" t="inlineStr">
        <is>
          <t xml:space="preserve">Nippon India Fixed Horizon Fund XXXVIII- Series 6- Growth Option</t>
        </is>
      </c>
      <c r="C9463" t="inlineStr">
        <is>
          <t xml:space="preserve">INF204KB1C61</t>
        </is>
      </c>
    </row>
    <row r="9464">
      <c r="A9464" t="inlineStr">
        <is>
          <t xml:space="preserve">Nippon India Mutual Fund</t>
        </is>
      </c>
      <c r="B9464" t="inlineStr">
        <is>
          <t xml:space="preserve">Nippon India Fixed Horizon Fund XXXVIII- Series 7- Direct Plan- Growth Option</t>
        </is>
      </c>
      <c r="C9464" t="inlineStr">
        <is>
          <t xml:space="preserve">INF204KB1D29</t>
        </is>
      </c>
    </row>
    <row r="9465">
      <c r="A9465" t="inlineStr">
        <is>
          <t xml:space="preserve">Nippon India Mutual Fund</t>
        </is>
      </c>
      <c r="B9465" t="inlineStr">
        <is>
          <t xml:space="preserve">Nippon India Fixed Horizon Fund XXXVIII- Series 7- Growth Option</t>
        </is>
      </c>
      <c r="C9465" t="inlineStr">
        <is>
          <t xml:space="preserve">INF204KB1D03</t>
        </is>
      </c>
    </row>
    <row r="9466">
      <c r="A9466" t="inlineStr">
        <is>
          <t xml:space="preserve">Nippon India Mutual Fund</t>
        </is>
      </c>
      <c r="B9466" t="inlineStr">
        <is>
          <t xml:space="preserve">Nippon India Fixed Horizon Fund XXXX - Series 1 - Direct Plan - Growth Option</t>
        </is>
      </c>
      <c r="C9466" t="inlineStr">
        <is>
          <t xml:space="preserve">INF204KB1O00</t>
        </is>
      </c>
    </row>
    <row r="9467">
      <c r="A9467" t="inlineStr">
        <is>
          <t xml:space="preserve">Nippon India Mutual Fund</t>
        </is>
      </c>
      <c r="B9467" t="inlineStr">
        <is>
          <t xml:space="preserve">Nippon India Fixed Horizon Fund XXXX - Series 1 - Growth Option</t>
        </is>
      </c>
      <c r="C9467" t="inlineStr">
        <is>
          <t xml:space="preserve">INF204KB1N84</t>
        </is>
      </c>
    </row>
    <row r="9468">
      <c r="A9468" t="inlineStr">
        <is>
          <t xml:space="preserve">Nippon India Mutual Fund</t>
        </is>
      </c>
      <c r="B9468" t="inlineStr">
        <is>
          <t xml:space="preserve">Nippon India Fixed Horizon Fund XXXX - Series 11 - Direct Plan - Growth Plan</t>
        </is>
      </c>
      <c r="C9468" t="inlineStr">
        <is>
          <t xml:space="preserve">INF204KB1U28</t>
        </is>
      </c>
    </row>
    <row r="9469">
      <c r="A9469" t="inlineStr">
        <is>
          <t xml:space="preserve">Nippon India Mutual Fund</t>
        </is>
      </c>
      <c r="B9469" t="inlineStr">
        <is>
          <t xml:space="preserve">Nippon India Fixed Horizon Fund XXXX - Series 11 - Growth Option</t>
        </is>
      </c>
      <c r="C9469" t="inlineStr">
        <is>
          <t xml:space="preserve">INF204KB1U02</t>
        </is>
      </c>
    </row>
    <row r="9470">
      <c r="A9470" t="inlineStr">
        <is>
          <t xml:space="preserve">Nippon India Mutual Fund</t>
        </is>
      </c>
      <c r="B9470" t="inlineStr">
        <is>
          <t xml:space="preserve">Nippon India Fixed Horizon Fund XXXX - Series 12 - Direct Plan - Growth Option</t>
        </is>
      </c>
      <c r="C9470" t="inlineStr">
        <is>
          <t xml:space="preserve">INF204KB1U69</t>
        </is>
      </c>
    </row>
    <row r="9471">
      <c r="A9471" t="inlineStr">
        <is>
          <t xml:space="preserve">Nippon India Mutual Fund</t>
        </is>
      </c>
      <c r="B9471" t="inlineStr">
        <is>
          <t xml:space="preserve">Nippon India Fixed Horizon Fund XXXX - Series 12 - Growth Option</t>
        </is>
      </c>
      <c r="C9471" t="inlineStr">
        <is>
          <t xml:space="preserve">INF204KB1U44</t>
        </is>
      </c>
    </row>
    <row r="9472">
      <c r="A9472" t="inlineStr">
        <is>
          <t xml:space="preserve">Nippon India Mutual Fund</t>
        </is>
      </c>
      <c r="B9472" t="inlineStr">
        <is>
          <t xml:space="preserve">Nippon India Fixed Horizon Fund XXXX - Series 14 - Direct Plan - Growth Option</t>
        </is>
      </c>
      <c r="C9472" t="inlineStr">
        <is>
          <t xml:space="preserve">INF204KB1V43</t>
        </is>
      </c>
    </row>
    <row r="9473">
      <c r="A9473" t="inlineStr">
        <is>
          <t xml:space="preserve">Nippon India Mutual Fund</t>
        </is>
      </c>
      <c r="B9473" t="inlineStr">
        <is>
          <t xml:space="preserve">Nippon India Fixed Horizon Fund XXXX - Series 14 - Growth Option</t>
        </is>
      </c>
      <c r="C9473" t="inlineStr">
        <is>
          <t xml:space="preserve">INF204KB1V27</t>
        </is>
      </c>
    </row>
    <row r="9474">
      <c r="A9474" t="inlineStr">
        <is>
          <t xml:space="preserve">Nippon India Mutual Fund</t>
        </is>
      </c>
      <c r="B9474" t="inlineStr">
        <is>
          <t xml:space="preserve">Nippon India Fixed Horizon Fund XXXX - Series 15 - Direct Plan - Growth Option</t>
        </is>
      </c>
      <c r="C9474" t="inlineStr">
        <is>
          <t xml:space="preserve">INF204KB1V92</t>
        </is>
      </c>
    </row>
    <row r="9475">
      <c r="A9475" t="inlineStr">
        <is>
          <t xml:space="preserve">Nippon India Mutual Fund</t>
        </is>
      </c>
      <c r="B9475" t="inlineStr">
        <is>
          <t xml:space="preserve">Nippon India Fixed Horizon Fund XXXX - Series 15 - Growth Option</t>
        </is>
      </c>
      <c r="C9475" t="inlineStr">
        <is>
          <t xml:space="preserve">INF204KB1V76</t>
        </is>
      </c>
    </row>
    <row r="9476">
      <c r="A9476" t="inlineStr">
        <is>
          <t xml:space="preserve">Nippon India Mutual Fund</t>
        </is>
      </c>
      <c r="B9476" t="inlineStr">
        <is>
          <t xml:space="preserve">Nippon India Fixed Horizon Fund XXXX - Series 16 - Direct Plan - Growth Option</t>
        </is>
      </c>
      <c r="C9476" t="inlineStr">
        <is>
          <t xml:space="preserve">INF204KB1W34</t>
        </is>
      </c>
    </row>
    <row r="9477">
      <c r="A9477" t="inlineStr">
        <is>
          <t xml:space="preserve">Nippon India Mutual Fund</t>
        </is>
      </c>
      <c r="B9477" t="inlineStr">
        <is>
          <t xml:space="preserve">Nippon India Fixed Horizon Fund XXXX - Series 16 - Growth Option</t>
        </is>
      </c>
      <c r="C9477" t="inlineStr">
        <is>
          <t xml:space="preserve">INF204KB1W18</t>
        </is>
      </c>
    </row>
    <row r="9478">
      <c r="A9478" t="inlineStr">
        <is>
          <t xml:space="preserve">Nippon India Mutual Fund</t>
        </is>
      </c>
      <c r="B9478" t="inlineStr">
        <is>
          <t xml:space="preserve">Nippon India Fixed Horizon Fund XXXX - Series 17 - Direct Plan - Growth Option</t>
        </is>
      </c>
      <c r="C9478" t="inlineStr">
        <is>
          <t xml:space="preserve">INF204KB1W75</t>
        </is>
      </c>
    </row>
    <row r="9479">
      <c r="A9479" t="inlineStr">
        <is>
          <t xml:space="preserve">Nippon India Mutual Fund</t>
        </is>
      </c>
      <c r="B9479" t="inlineStr">
        <is>
          <t xml:space="preserve">Nippon India Fixed Horizon Fund XXXX - Series 17 - Growth Option</t>
        </is>
      </c>
      <c r="C9479" t="inlineStr">
        <is>
          <t xml:space="preserve">INF204KB1W59</t>
        </is>
      </c>
    </row>
    <row r="9480">
      <c r="A9480" t="inlineStr">
        <is>
          <t xml:space="preserve">Nippon India Mutual Fund</t>
        </is>
      </c>
      <c r="B9480" t="inlineStr">
        <is>
          <t xml:space="preserve">Nippon India Fixed Horizon Fund XXXX - Series 19 - Direct Plan - Growth Option</t>
        </is>
      </c>
      <c r="C9480" t="inlineStr">
        <is>
          <t xml:space="preserve">INF204KB1Y16</t>
        </is>
      </c>
    </row>
    <row r="9481">
      <c r="A9481" t="inlineStr">
        <is>
          <t xml:space="preserve">Nippon India Mutual Fund</t>
        </is>
      </c>
      <c r="B9481" t="inlineStr">
        <is>
          <t xml:space="preserve">Nippon India Fixed Horizon Fund XXXX - Series 19 - Growth Option</t>
        </is>
      </c>
      <c r="C9481" t="inlineStr">
        <is>
          <t xml:space="preserve">INF204KB1X90</t>
        </is>
      </c>
    </row>
    <row r="9482">
      <c r="A9482" t="inlineStr">
        <is>
          <t xml:space="preserve">Nippon India Mutual Fund</t>
        </is>
      </c>
      <c r="B9482" t="inlineStr">
        <is>
          <t xml:space="preserve">Nippon India Fixed Horizon Fund XXXX - Series 2 - Direct Plan - Growth Option</t>
        </is>
      </c>
      <c r="C9482" t="inlineStr">
        <is>
          <t xml:space="preserve">INF204KB1O42</t>
        </is>
      </c>
    </row>
    <row r="9483">
      <c r="A9483" t="inlineStr">
        <is>
          <t xml:space="preserve">Nippon India Mutual Fund</t>
        </is>
      </c>
      <c r="B9483" t="inlineStr">
        <is>
          <t xml:space="preserve">Nippon India Fixed Horizon Fund XXXX - Series 2 - Growth Option</t>
        </is>
      </c>
      <c r="C9483" t="inlineStr">
        <is>
          <t xml:space="preserve">INF204KB1O26</t>
        </is>
      </c>
    </row>
    <row r="9484">
      <c r="A9484" t="inlineStr">
        <is>
          <t xml:space="preserve">Nippon India Mutual Fund</t>
        </is>
      </c>
      <c r="B9484" t="inlineStr">
        <is>
          <t xml:space="preserve">Nippon India Fixed Horizon Fund XXXX - Series 3 - Direct Plan - Growth Option</t>
        </is>
      </c>
      <c r="C9484" t="inlineStr">
        <is>
          <t xml:space="preserve">INF204KB1O83</t>
        </is>
      </c>
    </row>
    <row r="9485">
      <c r="A9485" t="inlineStr">
        <is>
          <t xml:space="preserve">Nippon India Mutual Fund</t>
        </is>
      </c>
      <c r="B9485" t="inlineStr">
        <is>
          <t xml:space="preserve">Nippon India Fixed Horizon Fund XXXX - Series 3 - Growth Option</t>
        </is>
      </c>
      <c r="C9485" t="inlineStr">
        <is>
          <t xml:space="preserve">INF204KB1O67</t>
        </is>
      </c>
    </row>
    <row r="9486">
      <c r="A9486" t="inlineStr">
        <is>
          <t xml:space="preserve">Nippon India Mutual Fund</t>
        </is>
      </c>
      <c r="B9486" t="inlineStr">
        <is>
          <t xml:space="preserve">Nippon India Fixed Horizon Fund XXXX - Series 4 - Direct Plan - Growth Option</t>
        </is>
      </c>
      <c r="C9486" t="inlineStr">
        <is>
          <t xml:space="preserve">INF204KB1P25</t>
        </is>
      </c>
    </row>
    <row r="9487">
      <c r="A9487" t="inlineStr">
        <is>
          <t xml:space="preserve">Nippon India Mutual Fund</t>
        </is>
      </c>
      <c r="B9487" t="inlineStr">
        <is>
          <t xml:space="preserve">Nippon India Fixed Horizon Fund XXXX - Series 4 - Growth Option</t>
        </is>
      </c>
      <c r="C9487" t="inlineStr">
        <is>
          <t xml:space="preserve">INF204KB1P09</t>
        </is>
      </c>
    </row>
    <row r="9488">
      <c r="A9488" t="inlineStr">
        <is>
          <t xml:space="preserve">Nippon India Mutual Fund</t>
        </is>
      </c>
      <c r="B9488" t="inlineStr">
        <is>
          <t xml:space="preserve">Nippon India Fixed Horizon Fund XXXX - Series 5 - Direct Plan - Growth Option</t>
        </is>
      </c>
      <c r="C9488" t="inlineStr">
        <is>
          <t xml:space="preserve">INF204KB1Q40</t>
        </is>
      </c>
    </row>
    <row r="9489">
      <c r="A9489" t="inlineStr">
        <is>
          <t xml:space="preserve">Nippon India Mutual Fund</t>
        </is>
      </c>
      <c r="B9489" t="inlineStr">
        <is>
          <t xml:space="preserve">Nippon India Fixed Horizon Fund XXXX - Series 5 - Growth Option</t>
        </is>
      </c>
      <c r="C9489" t="inlineStr">
        <is>
          <t xml:space="preserve">INF204KB1Q24</t>
        </is>
      </c>
    </row>
    <row r="9490">
      <c r="A9490" t="inlineStr">
        <is>
          <t xml:space="preserve">Nippon India Mutual Fund</t>
        </is>
      </c>
      <c r="B9490" t="inlineStr">
        <is>
          <t xml:space="preserve">Nippon India Fixed Horizon Fund XXXX - Series 6 - Direct Plan - Growth Option</t>
        </is>
      </c>
      <c r="C9490" t="inlineStr">
        <is>
          <t xml:space="preserve">INF204KB1S22</t>
        </is>
      </c>
    </row>
    <row r="9491">
      <c r="A9491" t="inlineStr">
        <is>
          <t xml:space="preserve">Nippon India Mutual Fund</t>
        </is>
      </c>
      <c r="B9491" t="inlineStr">
        <is>
          <t xml:space="preserve">Nippon India Fixed Horizon Fund XXXX - Series 6 - Growth Option</t>
        </is>
      </c>
      <c r="C9491" t="inlineStr">
        <is>
          <t xml:space="preserve">INF204KB1S06</t>
        </is>
      </c>
    </row>
    <row r="9492">
      <c r="A9492" t="inlineStr">
        <is>
          <t xml:space="preserve">Nippon India Mutual Fund</t>
        </is>
      </c>
      <c r="B9492" t="inlineStr">
        <is>
          <t xml:space="preserve">Nippon India Fixed Horizon Fund XXXX - Series 7 - Direct Plan - Growth Option</t>
        </is>
      </c>
      <c r="C9492" t="inlineStr">
        <is>
          <t xml:space="preserve">INF204KB1S63</t>
        </is>
      </c>
    </row>
    <row r="9493">
      <c r="A9493" t="inlineStr">
        <is>
          <t xml:space="preserve">Nippon India Mutual Fund</t>
        </is>
      </c>
      <c r="B9493" t="inlineStr">
        <is>
          <t xml:space="preserve">Nippon India Fixed Horizon Fund XXXX - Series 7 - Growth Option</t>
        </is>
      </c>
      <c r="C9493" t="inlineStr">
        <is>
          <t xml:space="preserve">INF204KB1S48</t>
        </is>
      </c>
    </row>
    <row r="9494">
      <c r="A9494" t="inlineStr">
        <is>
          <t xml:space="preserve">Nippon India Mutual Fund</t>
        </is>
      </c>
      <c r="B9494" t="inlineStr">
        <is>
          <t xml:space="preserve">Nippon India Fixed Horizon Fund XXXX - Series 8 - Direct Plan - Growth Option</t>
        </is>
      </c>
      <c r="C9494" t="inlineStr">
        <is>
          <t xml:space="preserve">INF204KB1T05</t>
        </is>
      </c>
    </row>
    <row r="9495">
      <c r="A9495" t="inlineStr">
        <is>
          <t xml:space="preserve">Nippon India Mutual Fund</t>
        </is>
      </c>
      <c r="B9495" t="inlineStr">
        <is>
          <t xml:space="preserve">Nippon India Fixed Horizon Fund XXXX - Series 8 - Growth Option</t>
        </is>
      </c>
      <c r="C9495" t="inlineStr">
        <is>
          <t xml:space="preserve">INF204KB1S89</t>
        </is>
      </c>
    </row>
    <row r="9496">
      <c r="A9496" t="inlineStr">
        <is>
          <t xml:space="preserve">Nippon India Mutual Fund</t>
        </is>
      </c>
      <c r="B9496" t="inlineStr">
        <is>
          <t xml:space="preserve">NIPPON INDIA FIXED MATURITY  PLAN - XLI - SERIES 8 - DIRECT Plan - IDCW Option</t>
        </is>
      </c>
      <c r="C9496" t="inlineStr">
        <is>
          <t xml:space="preserve">INF204KB18B8</t>
        </is>
      </c>
    </row>
    <row r="9497">
      <c r="A9497" t="inlineStr">
        <is>
          <t xml:space="preserve">Nippon India Mutual Fund</t>
        </is>
      </c>
      <c r="B9497" t="inlineStr">
        <is>
          <t xml:space="preserve">NIPPON INDIA FIXED MATURITY PLAN  - XLI - SERIES 8 - IDCW Option</t>
        </is>
      </c>
      <c r="C9497" t="inlineStr">
        <is>
          <t xml:space="preserve">INF204KB16B2</t>
        </is>
      </c>
    </row>
    <row r="9498">
      <c r="A9498" t="inlineStr">
        <is>
          <t xml:space="preserve">Nippon India Mutual Fund</t>
        </is>
      </c>
      <c r="B9498" t="inlineStr">
        <is>
          <t xml:space="preserve">Nippon India Fixed Maturity Plan - XLIII - Series 1 - Direct Plan - Income Distribution Cum Capital Withdrawal Plan</t>
        </is>
      </c>
      <c r="C9498" t="inlineStr">
        <is>
          <t xml:space="preserve">INF204KC1188</t>
        </is>
      </c>
    </row>
    <row r="9499">
      <c r="A9499" t="inlineStr">
        <is>
          <t xml:space="preserve">Nippon India Mutual Fund</t>
        </is>
      </c>
      <c r="B9499" t="inlineStr">
        <is>
          <t xml:space="preserve">Nippon India Fixed Maturity Plan - XLIII - Series 1 - Regular Plan - Growth Option</t>
        </is>
      </c>
      <c r="C9499" t="inlineStr">
        <is>
          <t xml:space="preserve">INF204KC1154</t>
        </is>
      </c>
    </row>
    <row r="9500">
      <c r="A9500" t="inlineStr">
        <is>
          <t xml:space="preserve">Nippon India Mutual Fund</t>
        </is>
      </c>
      <c r="B9500" t="inlineStr">
        <is>
          <t xml:space="preserve">Nippon India Fixed Maturity Plan - XLIII - Series 1 - Regular Plan - Income Distribution cum Capital Withdrawal Plan</t>
        </is>
      </c>
      <c r="C9500" t="inlineStr">
        <is>
          <t xml:space="preserve">INF204KC1162</t>
        </is>
      </c>
    </row>
    <row r="9501">
      <c r="A9501" t="inlineStr">
        <is>
          <t xml:space="preserve">Nippon India Mutual Fund</t>
        </is>
      </c>
      <c r="B9501" t="inlineStr">
        <is>
          <t xml:space="preserve">Nippon India Fixed Maturity Plan - XLIII - Series 1- Direct Plan - Growth Option</t>
        </is>
      </c>
      <c r="C9501" t="inlineStr">
        <is>
          <t xml:space="preserve">INF204KC1170</t>
        </is>
      </c>
    </row>
    <row r="9502">
      <c r="A9502" t="inlineStr">
        <is>
          <t xml:space="preserve">Nippon India Mutual Fund</t>
        </is>
      </c>
      <c r="B9502" t="inlineStr">
        <is>
          <t xml:space="preserve">Nippon India Fixed Maturity Plan XLI - Series 8 - Direct Plan - Growth Option</t>
        </is>
      </c>
      <c r="C9502" t="inlineStr">
        <is>
          <t xml:space="preserve">INF204KB17B0</t>
        </is>
      </c>
    </row>
    <row r="9503">
      <c r="A9503" t="inlineStr">
        <is>
          <t xml:space="preserve">Nippon India Mutual Fund</t>
        </is>
      </c>
      <c r="B9503" t="inlineStr">
        <is>
          <t xml:space="preserve">Nippon India Fixed Maturity Plan XLI - Series 8 - Growth Option</t>
        </is>
      </c>
      <c r="C9503" t="inlineStr">
        <is>
          <t xml:space="preserve">INF204KB15B4</t>
        </is>
      </c>
    </row>
    <row r="9504">
      <c r="A9504" t="inlineStr">
        <is>
          <t xml:space="preserve">Nippon India Mutual Fund</t>
        </is>
      </c>
      <c r="B9504" t="inlineStr">
        <is>
          <t xml:space="preserve">Nippon India Fixed Maturity Plan-XLIII-Series 5- Direct Plan-Growth Option</t>
        </is>
      </c>
      <c r="C9504" t="inlineStr">
        <is>
          <t xml:space="preserve">INF204KC1477</t>
        </is>
      </c>
    </row>
    <row r="9505">
      <c r="A9505" t="inlineStr">
        <is>
          <t xml:space="preserve">Nippon India Mutual Fund</t>
        </is>
      </c>
      <c r="B9505" t="inlineStr">
        <is>
          <t xml:space="preserve">Nippon India Fixed Maturity Plan-XLIII-Series 5- Direct Plan-Payout of IDCW</t>
        </is>
      </c>
      <c r="C9505" t="inlineStr">
        <is>
          <t xml:space="preserve">INF204KC1485</t>
        </is>
      </c>
    </row>
    <row r="9506">
      <c r="A9506" t="inlineStr">
        <is>
          <t xml:space="preserve">Nippon India Mutual Fund</t>
        </is>
      </c>
      <c r="B9506" t="inlineStr">
        <is>
          <t xml:space="preserve">Nippon India Fixed Maturity Plan-XLIII-Series 5- Regular Plan-Growth Option</t>
        </is>
      </c>
      <c r="C9506" t="inlineStr">
        <is>
          <t xml:space="preserve">INF204KC1451</t>
        </is>
      </c>
    </row>
    <row r="9507">
      <c r="A9507" t="inlineStr">
        <is>
          <t xml:space="preserve">Nippon India Mutual Fund</t>
        </is>
      </c>
      <c r="B9507" t="inlineStr">
        <is>
          <t xml:space="preserve">Nippon India Fixed Maturity Plan-XLIII-Series 5- Regular Plan-Payout of IDCW</t>
        </is>
      </c>
      <c r="C9507" t="inlineStr">
        <is>
          <t xml:space="preserve">INF204KC1469</t>
        </is>
      </c>
    </row>
    <row r="9508">
      <c r="A9508" t="inlineStr">
        <is>
          <t xml:space="preserve">Nippon India Mutual Fund</t>
        </is>
      </c>
      <c r="B9508" t="inlineStr">
        <is>
          <t xml:space="preserve">Nippon India Fixed Maturity Plan-XLIV-Series 1-Direct Plan-Growth Option</t>
        </is>
      </c>
      <c r="C9508" t="inlineStr">
        <is>
          <t xml:space="preserve">INF204KC1634</t>
        </is>
      </c>
    </row>
    <row r="9509">
      <c r="A9509" t="inlineStr">
        <is>
          <t xml:space="preserve">Nippon India Mutual Fund</t>
        </is>
      </c>
      <c r="B9509" t="inlineStr">
        <is>
          <t xml:space="preserve">Nippon India Fixed Maturity Plan-XLIV-Series 1-Direct Plan-Payout of IDCW</t>
        </is>
      </c>
      <c r="C9509" t="inlineStr">
        <is>
          <t xml:space="preserve">INF204KC1642</t>
        </is>
      </c>
    </row>
    <row r="9510">
      <c r="A9510" t="inlineStr">
        <is>
          <t xml:space="preserve">Nippon India Mutual Fund</t>
        </is>
      </c>
      <c r="B9510" t="inlineStr">
        <is>
          <t xml:space="preserve">Nippon India Fixed Maturity Plan-XLIV-Series 1-Regular Plan-Growth Option</t>
        </is>
      </c>
      <c r="C9510" t="inlineStr">
        <is>
          <t xml:space="preserve">INF204KC1618</t>
        </is>
      </c>
    </row>
    <row r="9511">
      <c r="A9511" t="inlineStr">
        <is>
          <t xml:space="preserve">Nippon India Mutual Fund</t>
        </is>
      </c>
      <c r="B9511" t="inlineStr">
        <is>
          <t xml:space="preserve">Nippon India Fixed Maturity Plan-XLIV-Series 1-Regular Plan-Payout of IDCW</t>
        </is>
      </c>
      <c r="C9511" t="inlineStr">
        <is>
          <t xml:space="preserve">INF204KC1626</t>
        </is>
      </c>
    </row>
    <row r="9512">
      <c r="A9512" t="inlineStr">
        <is>
          <t xml:space="preserve">Nippon India Mutual Fund</t>
        </is>
      </c>
      <c r="B9512" t="inlineStr">
        <is>
          <t xml:space="preserve">Nippon India Fixed Maturity Plan-XLV-Series 5-Direct Plan-Growth Option</t>
        </is>
      </c>
      <c r="C9512" t="inlineStr">
        <is>
          <t xml:space="preserve">INF204KC1BJ3</t>
        </is>
      </c>
    </row>
    <row r="9513">
      <c r="A9513" t="inlineStr">
        <is>
          <t xml:space="preserve">Nippon India Mutual Fund</t>
        </is>
      </c>
      <c r="B9513" t="inlineStr">
        <is>
          <t xml:space="preserve">Nippon India Fixed Maturity Plan-XLV-Series 5-Regular Plan-Growth Option</t>
        </is>
      </c>
      <c r="C9513" t="inlineStr">
        <is>
          <t xml:space="preserve">INF204KC1BH7</t>
        </is>
      </c>
    </row>
    <row r="9514">
      <c r="A9514" t="inlineStr">
        <is>
          <t xml:space="preserve">Nippon India Mutual Fund</t>
        </is>
      </c>
      <c r="B9514" t="inlineStr">
        <is>
          <t xml:space="preserve">Nippon India Fixed Maturity Plan-XLV-Series 5-Regular Plan-Payout of IDCW</t>
        </is>
      </c>
      <c r="C9514" t="inlineStr">
        <is>
          <t xml:space="preserve">INF204KC1BI5</t>
        </is>
      </c>
    </row>
    <row r="9515">
      <c r="A9515" t="inlineStr">
        <is>
          <t xml:space="preserve">Nippon India Mutual Fund</t>
        </is>
      </c>
      <c r="B9515" t="inlineStr">
        <is>
          <t xml:space="preserve">Nippon India Flexi Cap Fund - Direct Plan - Growth Plan - Growth Option</t>
        </is>
      </c>
      <c r="C9515" t="inlineStr">
        <is>
          <t xml:space="preserve">INF204KC1121</t>
        </is>
      </c>
    </row>
    <row r="9516">
      <c r="A9516" t="inlineStr">
        <is>
          <t xml:space="preserve">Nippon India Mutual Fund</t>
        </is>
      </c>
      <c r="B9516" t="inlineStr">
        <is>
          <t xml:space="preserve">Nippon India Flexi Cap Fund - Direct Plan - IDCW Option</t>
        </is>
      </c>
      <c r="C9516" t="inlineStr">
        <is>
          <t xml:space="preserve">INF204KC1139</t>
        </is>
      </c>
    </row>
    <row r="9517">
      <c r="A9517" t="inlineStr">
        <is>
          <t xml:space="preserve">Nippon India Mutual Fund</t>
        </is>
      </c>
      <c r="B9517" t="inlineStr">
        <is>
          <t xml:space="preserve">Nippon India Flexi Cap Fund - Regular Plan - Growth Plan - Growth Option</t>
        </is>
      </c>
      <c r="C9517" t="inlineStr">
        <is>
          <t xml:space="preserve">INF204KC1097</t>
        </is>
      </c>
    </row>
    <row r="9518">
      <c r="A9518" t="inlineStr">
        <is>
          <t xml:space="preserve">Nippon India Mutual Fund</t>
        </is>
      </c>
      <c r="B9518" t="inlineStr">
        <is>
          <t xml:space="preserve">Nippon India Flexi Cap Fund - Regular Plan - IDCW Option</t>
        </is>
      </c>
      <c r="C9518" t="inlineStr">
        <is>
          <t xml:space="preserve">INF204KC1105</t>
        </is>
      </c>
    </row>
    <row r="9519">
      <c r="A9519" t="inlineStr">
        <is>
          <t xml:space="preserve">Nippon India Mutual Fund</t>
        </is>
      </c>
      <c r="B9519" t="inlineStr">
        <is>
          <t xml:space="preserve">NIPPON INDIA FLOATER  FUND - DIRECT Plan - WEEKLY IDCW Option</t>
        </is>
      </c>
      <c r="C9519" t="inlineStr">
        <is>
          <t xml:space="preserve">INF204K01D14</t>
        </is>
      </c>
    </row>
    <row r="9520">
      <c r="A9520" t="inlineStr">
        <is>
          <t xml:space="preserve">Nippon India Mutual Fund</t>
        </is>
      </c>
      <c r="B9520" t="inlineStr">
        <is>
          <t xml:space="preserve">Nippon India Floater Fund  - Direct Plan Growth Plan - Growth Option</t>
        </is>
      </c>
      <c r="C9520" t="inlineStr">
        <is>
          <t xml:space="preserve">INF204K01E05</t>
        </is>
      </c>
    </row>
    <row r="9521">
      <c r="A9521" t="inlineStr">
        <is>
          <t xml:space="preserve">Nippon India Mutual Fund</t>
        </is>
      </c>
      <c r="B9521" t="inlineStr">
        <is>
          <t xml:space="preserve">NIPPON INDIA FLOATER FUND - DAILY IDCW REINVESTMENT Option</t>
        </is>
      </c>
      <c r="C9521" t="inlineStr">
        <is>
          <t xml:space="preserve">INF204K01CI7</t>
        </is>
      </c>
    </row>
    <row r="9522">
      <c r="A9522" t="inlineStr">
        <is>
          <t xml:space="preserve">Nippon India Mutual Fund</t>
        </is>
      </c>
      <c r="B9522" t="inlineStr">
        <is>
          <t xml:space="preserve">NIPPON INDIA FLOATER FUND - DIRECT Plan - DAILY IDCW Option</t>
        </is>
      </c>
      <c r="C9522" t="inlineStr">
        <is>
          <t xml:space="preserve">INF204K01D71</t>
        </is>
      </c>
    </row>
    <row r="9523">
      <c r="A9523" t="inlineStr">
        <is>
          <t xml:space="preserve">Nippon India Mutual Fund</t>
        </is>
      </c>
      <c r="B9523" t="inlineStr">
        <is>
          <t xml:space="preserve">NIPPON INDIA FLOATER FUND - DIRECT Plan - IDCW Option</t>
        </is>
      </c>
      <c r="C9523" t="inlineStr">
        <is>
          <t xml:space="preserve">INF204KA1DU8</t>
        </is>
      </c>
    </row>
    <row r="9524">
      <c r="A9524" t="inlineStr">
        <is>
          <t xml:space="preserve">Nippon India Mutual Fund</t>
        </is>
      </c>
      <c r="B9524" t="inlineStr">
        <is>
          <t xml:space="preserve">NIPPON INDIA FLOATER FUND - DIRECT Plan - MONTHLY IDCW Option</t>
        </is>
      </c>
      <c r="C9524" t="inlineStr">
        <is>
          <t xml:space="preserve">INF204K01D89</t>
        </is>
      </c>
    </row>
    <row r="9525">
      <c r="A9525" t="inlineStr">
        <is>
          <t xml:space="preserve">Nippon India Mutual Fund</t>
        </is>
      </c>
      <c r="B9525" t="inlineStr">
        <is>
          <t xml:space="preserve">NIPPON INDIA FLOATER FUND - DIRECT Plan - QUARTERLY IDCW Option</t>
        </is>
      </c>
      <c r="C9525" t="inlineStr">
        <is>
          <t xml:space="preserve">INF204K01C98</t>
        </is>
      </c>
    </row>
    <row r="9526">
      <c r="A9526" t="inlineStr">
        <is>
          <t xml:space="preserve">Nippon India Mutual Fund</t>
        </is>
      </c>
      <c r="B9526" t="inlineStr">
        <is>
          <t xml:space="preserve">Nippon India Floater Fund - Growth Plan-Growth Option</t>
        </is>
      </c>
      <c r="C9526" t="inlineStr">
        <is>
          <t xml:space="preserve">INF204K01CG1</t>
        </is>
      </c>
    </row>
    <row r="9527">
      <c r="A9527" t="inlineStr">
        <is>
          <t xml:space="preserve">Nippon India Mutual Fund</t>
        </is>
      </c>
      <c r="B9527" t="inlineStr">
        <is>
          <t xml:space="preserve">NIPPON INDIA FLOATER FUND - IDCW Option</t>
        </is>
      </c>
      <c r="C9527" t="inlineStr">
        <is>
          <t xml:space="preserve">INF204KA1DS2</t>
        </is>
      </c>
    </row>
    <row r="9528">
      <c r="A9528" t="inlineStr">
        <is>
          <t xml:space="preserve">Nippon India Mutual Fund</t>
        </is>
      </c>
      <c r="B9528" t="inlineStr">
        <is>
          <t xml:space="preserve">NIPPON INDIA FLOATER FUND - MONTHLY IDCW Option</t>
        </is>
      </c>
      <c r="C9528" t="inlineStr">
        <is>
          <t xml:space="preserve">INF204K01CH9</t>
        </is>
      </c>
    </row>
    <row r="9529">
      <c r="A9529" t="inlineStr">
        <is>
          <t xml:space="preserve">Nippon India Mutual Fund</t>
        </is>
      </c>
      <c r="B9529" t="inlineStr">
        <is>
          <t xml:space="preserve">NIPPON INDIA FLOATER FUND - QUARTERLY IDCW Option</t>
        </is>
      </c>
      <c r="C9529" t="inlineStr">
        <is>
          <t xml:space="preserve">INF204K01HK2</t>
        </is>
      </c>
    </row>
    <row r="9530">
      <c r="A9530" t="inlineStr">
        <is>
          <t xml:space="preserve">Nippon India Mutual Fund</t>
        </is>
      </c>
      <c r="B9530" t="inlineStr">
        <is>
          <t xml:space="preserve">NIPPON INDIA FLOATER FUND - WEEKLY IDCW Option</t>
        </is>
      </c>
      <c r="C9530" t="inlineStr">
        <is>
          <t xml:space="preserve">INF204K01OQ5</t>
        </is>
      </c>
    </row>
    <row r="9531">
      <c r="A9531" t="inlineStr">
        <is>
          <t xml:space="preserve">Nippon India Mutual Fund</t>
        </is>
      </c>
      <c r="B9531" t="inlineStr">
        <is>
          <t xml:space="preserve">NIPPON INDIA FOCUSED  FUND - DIRECT Plan - IDCW Option</t>
        </is>
      </c>
      <c r="C9531" t="inlineStr">
        <is>
          <t xml:space="preserve">INF204K01F79</t>
        </is>
      </c>
    </row>
    <row r="9532">
      <c r="A9532" t="inlineStr">
        <is>
          <t xml:space="preserve">Nippon India Mutual Fund</t>
        </is>
      </c>
      <c r="B9532" t="inlineStr">
        <is>
          <t xml:space="preserve">NIPPON INDIA FOCUSED  FUND - IDCW OPTION</t>
        </is>
      </c>
      <c r="C9532" t="inlineStr">
        <is>
          <t xml:space="preserve">INF204K01GF4</t>
        </is>
      </c>
    </row>
    <row r="9533">
      <c r="A9533" t="inlineStr">
        <is>
          <t xml:space="preserve">Nippon India Mutual Fund</t>
        </is>
      </c>
      <c r="B9533" t="inlineStr">
        <is>
          <t xml:space="preserve">Nippon India Focused Fund - Direct Plan Growth Plan - Growth Option</t>
        </is>
      </c>
      <c r="C9533" t="inlineStr">
        <is>
          <t xml:space="preserve">INF204K01F95</t>
        </is>
      </c>
    </row>
    <row r="9534">
      <c r="A9534" t="inlineStr">
        <is>
          <t xml:space="preserve">Nippon India Mutual Fund</t>
        </is>
      </c>
      <c r="B9534" t="inlineStr">
        <is>
          <t xml:space="preserve">Nippon India Focused Fund -Growth Plan -Growth Option</t>
        </is>
      </c>
      <c r="C9534" t="inlineStr">
        <is>
          <t xml:space="preserve">INF204K01GE7</t>
        </is>
      </c>
    </row>
    <row r="9535">
      <c r="A9535" t="inlineStr">
        <is>
          <t xml:space="preserve">Nippon India Mutual Fund</t>
        </is>
      </c>
      <c r="B9535" t="inlineStr">
        <is>
          <t xml:space="preserve">NIPPON INDIA GILT  FUND - Direct Plan - MONTHLY IDCW Option</t>
        </is>
      </c>
      <c r="C9535" t="inlineStr">
        <is>
          <t xml:space="preserve">INF204K01XQ6</t>
        </is>
      </c>
    </row>
    <row r="9536">
      <c r="A9536" t="inlineStr">
        <is>
          <t xml:space="preserve">Nippon India Mutual Fund</t>
        </is>
      </c>
      <c r="B9536" t="inlineStr">
        <is>
          <t xml:space="preserve">Nippon India Gilt  Fund - Direct Plan - P F Option - Automatic Capital Appreciation Payout Option</t>
        </is>
      </c>
      <c r="C9536" t="inlineStr">
        <is>
          <t xml:space="preserve">INF204K01E70</t>
        </is>
      </c>
    </row>
    <row r="9537">
      <c r="A9537" t="inlineStr">
        <is>
          <t xml:space="preserve">Nippon India Mutual Fund</t>
        </is>
      </c>
      <c r="B9537" t="inlineStr">
        <is>
          <t xml:space="preserve">Nippon India Gilt  Fund - Direct Plan - P F Option - Defined Maturity Date Option</t>
        </is>
      </c>
      <c r="C9537" t="inlineStr">
        <is>
          <t xml:space="preserve">INF204K01E88</t>
        </is>
      </c>
    </row>
    <row r="9538">
      <c r="A9538" t="inlineStr">
        <is>
          <t xml:space="preserve">Nippon India Mutual Fund</t>
        </is>
      </c>
      <c r="B9538" t="inlineStr">
        <is>
          <t xml:space="preserve">Nippon India Gilt  Fund - Direct Plan Growth Plan - Growth Option</t>
        </is>
      </c>
      <c r="C9538" t="inlineStr">
        <is>
          <t xml:space="preserve">INF204K01XP8</t>
        </is>
      </c>
    </row>
    <row r="9539">
      <c r="A9539" t="inlineStr">
        <is>
          <t xml:space="preserve">Nippon India Mutual Fund</t>
        </is>
      </c>
      <c r="B9539" t="inlineStr">
        <is>
          <t xml:space="preserve">Nippon India Gilt  Fund - Institutional Plan-Growth Plan -Growth Option</t>
        </is>
      </c>
      <c r="C9539" t="inlineStr">
        <is>
          <t xml:space="preserve">INF204K01BX8</t>
        </is>
      </c>
    </row>
    <row r="9540">
      <c r="A9540" t="inlineStr">
        <is>
          <t xml:space="preserve">Nippon India Mutual Fund</t>
        </is>
      </c>
      <c r="B9540" t="inlineStr">
        <is>
          <t xml:space="preserve">NIPPON INDIA GILT  FUND - MONTHLY IDCW Option</t>
        </is>
      </c>
      <c r="C9540" t="inlineStr">
        <is>
          <t xml:space="preserve">INF204K01BV2</t>
        </is>
      </c>
    </row>
    <row r="9541">
      <c r="A9541" t="inlineStr">
        <is>
          <t xml:space="preserve">Nippon India Mutual Fund</t>
        </is>
      </c>
      <c r="B9541" t="inlineStr">
        <is>
          <t xml:space="preserve">Nippon India Gilt  Fund -Growth Plan - Growth Option</t>
        </is>
      </c>
      <c r="C9541" t="inlineStr">
        <is>
          <t xml:space="preserve">INF204K01BU4</t>
        </is>
      </c>
    </row>
    <row r="9542">
      <c r="A9542" t="inlineStr">
        <is>
          <t xml:space="preserve">Nippon India Mutual Fund</t>
        </is>
      </c>
      <c r="B9542" t="inlineStr">
        <is>
          <t xml:space="preserve">Nippon India Gilt  Fund -P F Option-Automatic Annual Reinvest Option</t>
        </is>
      </c>
      <c r="C9542" t="inlineStr">
        <is>
          <t xml:space="preserve">INF204K01CA4</t>
        </is>
      </c>
    </row>
    <row r="9543">
      <c r="A9543" t="inlineStr">
        <is>
          <t xml:space="preserve">Nippon India Mutual Fund</t>
        </is>
      </c>
      <c r="B9543" t="inlineStr">
        <is>
          <t xml:space="preserve">Nippon India Gilt  Fund -P F Option-Defined Maturity Date Option</t>
        </is>
      </c>
      <c r="C9543" t="inlineStr">
        <is>
          <t xml:space="preserve">INF204K01CB2</t>
        </is>
      </c>
    </row>
    <row r="9544">
      <c r="A9544" t="inlineStr">
        <is>
          <t xml:space="preserve">Nippon India Mutual Fund</t>
        </is>
      </c>
      <c r="B9544" t="inlineStr">
        <is>
          <t xml:space="preserve">Nippon India Gilt  Fund- Direct Plan- Growth Plan- Bonus Option</t>
        </is>
      </c>
      <c r="C9544" t="inlineStr">
        <is>
          <t xml:space="preserve">INF204KA1YV2</t>
        </is>
      </c>
    </row>
    <row r="9545">
      <c r="A9545" t="inlineStr">
        <is>
          <t xml:space="preserve">Nippon India Mutual Fund</t>
        </is>
      </c>
      <c r="B9545" t="inlineStr">
        <is>
          <t xml:space="preserve">Nippon India Gilt  Fund- Growth Plan- Bonus Option</t>
        </is>
      </c>
      <c r="C9545" t="inlineStr">
        <is>
          <t xml:space="preserve">INF204KA1YU4</t>
        </is>
      </c>
    </row>
    <row r="9546">
      <c r="A9546" t="inlineStr">
        <is>
          <t xml:space="preserve">Nippon India Mutual Fund</t>
        </is>
      </c>
      <c r="B9546" t="inlineStr">
        <is>
          <t xml:space="preserve">Nippon India Gilt  Fund-Institutional Plan-P F Option-Automatic Capital Appreciation Payout Option</t>
        </is>
      </c>
      <c r="C9546" t="inlineStr">
        <is>
          <t xml:space="preserve">INF204K01CD8</t>
        </is>
      </c>
    </row>
    <row r="9547">
      <c r="A9547" t="inlineStr">
        <is>
          <t xml:space="preserve">Nippon India Mutual Fund</t>
        </is>
      </c>
      <c r="B9547" t="inlineStr">
        <is>
          <t xml:space="preserve">Nippon India Gilt  Fund-P F Option-Automatic Capital Appreciation Payout Option</t>
        </is>
      </c>
      <c r="C9547" t="inlineStr">
        <is>
          <t xml:space="preserve">INF204K01CC0</t>
        </is>
      </c>
    </row>
    <row r="9548">
      <c r="A9548" t="inlineStr">
        <is>
          <t xml:space="preserve">Nippon India Mutual Fund</t>
        </is>
      </c>
      <c r="B9548" t="inlineStr">
        <is>
          <t xml:space="preserve">Nippon India Gilt Fund - Direct Plan - P F Option - Automatic Annual Reinvest Option</t>
        </is>
      </c>
      <c r="C9548" t="inlineStr">
        <is>
          <t xml:space="preserve">INF204K01E62</t>
        </is>
      </c>
    </row>
    <row r="9549">
      <c r="A9549" t="inlineStr">
        <is>
          <t xml:space="preserve">Nippon India Mutual Fund</t>
        </is>
      </c>
      <c r="B9549" t="inlineStr">
        <is>
          <t xml:space="preserve">NIPPON INDIA GOLD SAVINGS FUND - Direct Plan - IDCW Option</t>
        </is>
      </c>
      <c r="C9549" t="inlineStr">
        <is>
          <t xml:space="preserve">INF204K01YD2</t>
        </is>
      </c>
    </row>
    <row r="9550">
      <c r="A9550" t="inlineStr">
        <is>
          <t xml:space="preserve">Nippon India Mutual Fund</t>
        </is>
      </c>
      <c r="B9550" t="inlineStr">
        <is>
          <t xml:space="preserve">Nippon India Gold Savings Fund - Direct Plan Growth Plan - Growth Option</t>
        </is>
      </c>
      <c r="C9550" t="inlineStr">
        <is>
          <t xml:space="preserve">INF204K01YC4</t>
        </is>
      </c>
    </row>
    <row r="9551">
      <c r="A9551" t="inlineStr">
        <is>
          <t xml:space="preserve">Nippon India Mutual Fund</t>
        </is>
      </c>
      <c r="B9551" t="inlineStr">
        <is>
          <t xml:space="preserve">NIPPON INDIA GOLD SAVINGS FUND - IDCW Option</t>
        </is>
      </c>
      <c r="C9551" t="inlineStr">
        <is>
          <t xml:space="preserve">INF204K01KO8</t>
        </is>
      </c>
    </row>
    <row r="9552">
      <c r="A9552" t="inlineStr">
        <is>
          <t xml:space="preserve">Nippon India Mutual Fund</t>
        </is>
      </c>
      <c r="B9552" t="inlineStr">
        <is>
          <t xml:space="preserve">Nippon India Gold Savings Fund-Growth plan- Growth Option</t>
        </is>
      </c>
      <c r="C9552" t="inlineStr">
        <is>
          <t xml:space="preserve">INF204K01KN0</t>
        </is>
      </c>
    </row>
    <row r="9553">
      <c r="A9553" t="inlineStr">
        <is>
          <t xml:space="preserve">Nippon India Mutual Fund</t>
        </is>
      </c>
      <c r="B9553" t="inlineStr">
        <is>
          <t xml:space="preserve">NIPPON INDIA GROWTH MID CAP FUND - DIRECT Plan - IDCW Option</t>
        </is>
      </c>
      <c r="C9553" t="inlineStr">
        <is>
          <t xml:space="preserve">INF204K01E39</t>
        </is>
      </c>
    </row>
    <row r="9554">
      <c r="A9554" t="inlineStr">
        <is>
          <t xml:space="preserve">Nippon India Mutual Fund</t>
        </is>
      </c>
      <c r="B9554" t="inlineStr">
        <is>
          <t xml:space="preserve">Nippon India Growth Mid Cap Fund - Direct Plan Growth Plan - Bonus Option</t>
        </is>
      </c>
      <c r="C9554" t="inlineStr">
        <is>
          <t xml:space="preserve">INF204K01E21</t>
        </is>
      </c>
    </row>
    <row r="9555">
      <c r="A9555" t="inlineStr">
        <is>
          <t xml:space="preserve">Nippon India Mutual Fund</t>
        </is>
      </c>
      <c r="B9555" t="inlineStr">
        <is>
          <t xml:space="preserve">Nippon India Growth Mid Cap Fund - Direct Plan Growth Plan - Growth Option</t>
        </is>
      </c>
      <c r="C9555" t="inlineStr">
        <is>
          <t xml:space="preserve">INF204K01E54</t>
        </is>
      </c>
    </row>
    <row r="9556">
      <c r="A9556" t="inlineStr">
        <is>
          <t xml:space="preserve">Nippon India Mutual Fund</t>
        </is>
      </c>
      <c r="B9556" t="inlineStr">
        <is>
          <t xml:space="preserve">NIPPON INDIA GROWTH MID CAP FUND - IDCW Option</t>
        </is>
      </c>
      <c r="C9556" t="inlineStr">
        <is>
          <t xml:space="preserve">INF204K01299</t>
        </is>
      </c>
    </row>
    <row r="9557">
      <c r="A9557" t="inlineStr">
        <is>
          <t xml:space="preserve">Nippon India Mutual Fund</t>
        </is>
      </c>
      <c r="B9557" t="inlineStr">
        <is>
          <t xml:space="preserve">NIPPON INDIA GROWTH MID CAP FUND - INSTITUTIONAL Plan - IDCW Option</t>
        </is>
      </c>
      <c r="C9557" t="inlineStr">
        <is>
          <t xml:space="preserve">INF204K01257</t>
        </is>
      </c>
    </row>
    <row r="9558">
      <c r="A9558" t="inlineStr">
        <is>
          <t xml:space="preserve">Nippon India Mutual Fund</t>
        </is>
      </c>
      <c r="B9558" t="inlineStr">
        <is>
          <t xml:space="preserve">Nippon India Growth Mid Cap Fund-Growth Plan-Bonus Option</t>
        </is>
      </c>
      <c r="C9558" t="inlineStr">
        <is>
          <t xml:space="preserve">INF204K01315</t>
        </is>
      </c>
    </row>
    <row r="9559">
      <c r="A9559" t="inlineStr">
        <is>
          <t xml:space="preserve">Nippon India Mutual Fund</t>
        </is>
      </c>
      <c r="B9559" t="inlineStr">
        <is>
          <t xml:space="preserve">Nippon India Growth Mid Cap Fund-Growth Plan-Growth Option</t>
        </is>
      </c>
      <c r="C9559" t="inlineStr">
        <is>
          <t xml:space="preserve">INF204K01323</t>
        </is>
      </c>
    </row>
    <row r="9560">
      <c r="A9560" t="inlineStr">
        <is>
          <t xml:space="preserve">Nippon India Mutual Fund</t>
        </is>
      </c>
      <c r="B9560" t="inlineStr">
        <is>
          <t xml:space="preserve">Nippon India Income Plus Arbitrage Active Fund of Fund - Direct Plan-IDCW Payout</t>
        </is>
      </c>
      <c r="C9560" t="inlineStr">
        <is>
          <t xml:space="preserve">INF204KC1FK2</t>
        </is>
      </c>
    </row>
    <row r="9561">
      <c r="A9561" t="inlineStr">
        <is>
          <t xml:space="preserve">Nippon India Mutual Fund</t>
        </is>
      </c>
      <c r="B9561" t="inlineStr">
        <is>
          <t xml:space="preserve">Nippon India Income Plus Arbitrage Active Fund of Fund - Regular Plan- IDCW Payout</t>
        </is>
      </c>
      <c r="C9561" t="inlineStr">
        <is>
          <t xml:space="preserve">INF204KC1FH8</t>
        </is>
      </c>
    </row>
    <row r="9562">
      <c r="A9562" t="inlineStr">
        <is>
          <t xml:space="preserve">Nippon India Mutual Fund</t>
        </is>
      </c>
      <c r="B9562" t="inlineStr">
        <is>
          <t xml:space="preserve">Nippon India Income Plus Arbitrage Active Fund of Fund -Regular Plan- Growth Option</t>
        </is>
      </c>
      <c r="C9562" t="inlineStr">
        <is>
          <t xml:space="preserve">INF204KC1FG0</t>
        </is>
      </c>
    </row>
    <row r="9563">
      <c r="A9563" t="inlineStr">
        <is>
          <t xml:space="preserve">Nippon India Mutual Fund</t>
        </is>
      </c>
      <c r="B9563" t="inlineStr">
        <is>
          <t xml:space="preserve">Nippon India Income Plus Arbitrage Active Fund of Fund- Direct Plan- Growth Option</t>
        </is>
      </c>
      <c r="C9563" t="inlineStr">
        <is>
          <t xml:space="preserve">INF204KC1FJ4</t>
        </is>
      </c>
    </row>
    <row r="9564">
      <c r="A9564" t="inlineStr">
        <is>
          <t xml:space="preserve">Nippon India Mutual Fund</t>
        </is>
      </c>
      <c r="B9564" t="inlineStr">
        <is>
          <t xml:space="preserve">NIPPON INDIA INDEX FUND - BSE SENSEX PLAN - ANNUAL - IDCW Option</t>
        </is>
      </c>
      <c r="C9564" t="inlineStr">
        <is>
          <t xml:space="preserve">INF204K01IQ7</t>
        </is>
      </c>
    </row>
    <row r="9565">
      <c r="A9565" t="inlineStr">
        <is>
          <t xml:space="preserve">Nippon India Mutual Fund</t>
        </is>
      </c>
      <c r="B9565" t="inlineStr">
        <is>
          <t xml:space="preserve">NIPPON INDIA INDEX FUND - BSE SENSEX PLAN - DIRECT Plan - ANNUAL - IDCW Option</t>
        </is>
      </c>
      <c r="C9565" t="inlineStr">
        <is>
          <t xml:space="preserve">INF204K01K64</t>
        </is>
      </c>
    </row>
    <row r="9566">
      <c r="A9566" t="inlineStr">
        <is>
          <t xml:space="preserve">Nippon India Mutual Fund</t>
        </is>
      </c>
      <c r="B9566" t="inlineStr">
        <is>
          <t xml:space="preserve">NIPPON INDIA INDEX FUND - BSE SENSEX PLAN - DIRECT Plan - HALF YEARLY - IDCW Option</t>
        </is>
      </c>
      <c r="C9566" t="inlineStr">
        <is>
          <t xml:space="preserve">INF204K01K98</t>
        </is>
      </c>
    </row>
    <row r="9567">
      <c r="A9567" t="inlineStr">
        <is>
          <t xml:space="preserve">Nippon India Mutual Fund</t>
        </is>
      </c>
      <c r="B9567" t="inlineStr">
        <is>
          <t xml:space="preserve">NIPPON INDIA INDEX FUND - BSE SENSEX PLAN - DIRECT Plan - QUARTERLY - IDCW Option</t>
        </is>
      </c>
      <c r="C9567" t="inlineStr">
        <is>
          <t xml:space="preserve">INF204K01L14</t>
        </is>
      </c>
    </row>
    <row r="9568">
      <c r="A9568" t="inlineStr">
        <is>
          <t xml:space="preserve">Nippon India Mutual Fund</t>
        </is>
      </c>
      <c r="B9568" t="inlineStr">
        <is>
          <t xml:space="preserve">Nippon India Index Fund - BSE Sensex Plan - Direct Plan Growth Plan - Bonus Option</t>
        </is>
      </c>
      <c r="C9568" t="inlineStr">
        <is>
          <t xml:space="preserve">INF204K01K56</t>
        </is>
      </c>
    </row>
    <row r="9569">
      <c r="A9569" t="inlineStr">
        <is>
          <t xml:space="preserve">Nippon India Mutual Fund</t>
        </is>
      </c>
      <c r="B9569" t="inlineStr">
        <is>
          <t xml:space="preserve">Nippon India Index Fund - BSE Sensex Plan - Direct Plan Growth Plan - Growth Option</t>
        </is>
      </c>
      <c r="C9569" t="inlineStr">
        <is>
          <t xml:space="preserve">INF204K01K80</t>
        </is>
      </c>
    </row>
    <row r="9570">
      <c r="A9570" t="inlineStr">
        <is>
          <t xml:space="preserve">Nippon India Mutual Fund</t>
        </is>
      </c>
      <c r="B9570" t="inlineStr">
        <is>
          <t xml:space="preserve">Nippon India Index Fund - BSE Sensex Plan - Growth Plan - Bonus Option</t>
        </is>
      </c>
      <c r="C9570" t="inlineStr">
        <is>
          <t xml:space="preserve">INF204K01IN4</t>
        </is>
      </c>
    </row>
    <row r="9571">
      <c r="A9571" t="inlineStr">
        <is>
          <t xml:space="preserve">Nippon India Mutual Fund</t>
        </is>
      </c>
      <c r="B9571" t="inlineStr">
        <is>
          <t xml:space="preserve">Nippon India Index Fund - BSE Sensex Plan - Growth Plan - Growth Option</t>
        </is>
      </c>
      <c r="C9571" t="inlineStr">
        <is>
          <t xml:space="preserve">INF204K01IM6</t>
        </is>
      </c>
    </row>
    <row r="9572">
      <c r="A9572" t="inlineStr">
        <is>
          <t xml:space="preserve">Nippon India Mutual Fund</t>
        </is>
      </c>
      <c r="B9572" t="inlineStr">
        <is>
          <t xml:space="preserve">NIPPON INDIA INDEX FUND - BSE SENSEX PLAN - HALF YEARLY - IDCW Option</t>
        </is>
      </c>
      <c r="C9572" t="inlineStr">
        <is>
          <t xml:space="preserve">INF204K01IP9</t>
        </is>
      </c>
    </row>
    <row r="9573">
      <c r="A9573" t="inlineStr">
        <is>
          <t xml:space="preserve">Nippon India Mutual Fund</t>
        </is>
      </c>
      <c r="B9573" t="inlineStr">
        <is>
          <t xml:space="preserve">NIPPON INDIA INDEX FUND - BSE SENSEX PLAN - QUARTERLY - IDCW Option</t>
        </is>
      </c>
      <c r="C9573" t="inlineStr">
        <is>
          <t xml:space="preserve">INF204K01IO2</t>
        </is>
      </c>
    </row>
    <row r="9574">
      <c r="A9574" t="inlineStr">
        <is>
          <t xml:space="preserve">Nippon India Mutual Fund</t>
        </is>
      </c>
      <c r="B9574" t="inlineStr">
        <is>
          <t xml:space="preserve">NIPPON INDIA INDEX FUND - NIFTY 50 PLAN - ANNUAL - IDCW Option</t>
        </is>
      </c>
      <c r="C9574" t="inlineStr">
        <is>
          <t xml:space="preserve">INF204K01II4</t>
        </is>
      </c>
    </row>
    <row r="9575">
      <c r="A9575" t="inlineStr">
        <is>
          <t xml:space="preserve">Nippon India Mutual Fund</t>
        </is>
      </c>
      <c r="B9575" t="inlineStr">
        <is>
          <t xml:space="preserve">NIPPON INDIA INDEX FUND - NIFTY 50 PLAN - DIRECT Plan - ANNUAL - IDCW Option</t>
        </is>
      </c>
      <c r="C9575" t="inlineStr">
        <is>
          <t xml:space="preserve">INF204K01H10</t>
        </is>
      </c>
    </row>
    <row r="9576">
      <c r="A9576" t="inlineStr">
        <is>
          <t xml:space="preserve">Nippon India Mutual Fund</t>
        </is>
      </c>
      <c r="B9576" t="inlineStr">
        <is>
          <t xml:space="preserve">NIPPON INDIA INDEX FUND - NIFTY 50 PLAN - DIRECT Plan - HALF YEARLY - IDCW Option</t>
        </is>
      </c>
      <c r="C9576" t="inlineStr">
        <is>
          <t xml:space="preserve">INF204K01H44</t>
        </is>
      </c>
    </row>
    <row r="9577">
      <c r="A9577" t="inlineStr">
        <is>
          <t xml:space="preserve">Nippon India Mutual Fund</t>
        </is>
      </c>
      <c r="B9577" t="inlineStr">
        <is>
          <t xml:space="preserve">NIPPON INDIA INDEX FUND - NIFTY 50 PLAN - DIRECT Plan - QUARTERLY - IDCW Option</t>
        </is>
      </c>
      <c r="C9577" t="inlineStr">
        <is>
          <t xml:space="preserve">INF204K01H69</t>
        </is>
      </c>
    </row>
    <row r="9578">
      <c r="A9578" t="inlineStr">
        <is>
          <t xml:space="preserve">Nippon India Mutual Fund</t>
        </is>
      </c>
      <c r="B9578" t="inlineStr">
        <is>
          <t xml:space="preserve">Nippon India Index Fund - Nifty 50 Plan - Direct Plan Growth Plan - Bonus Option</t>
        </is>
      </c>
      <c r="C9578" t="inlineStr">
        <is>
          <t xml:space="preserve">INF204K01H02</t>
        </is>
      </c>
    </row>
    <row r="9579">
      <c r="A9579" t="inlineStr">
        <is>
          <t xml:space="preserve">Nippon India Mutual Fund</t>
        </is>
      </c>
      <c r="B9579" t="inlineStr">
        <is>
          <t xml:space="preserve">Nippon India Index Fund - Nifty 50 Plan - Direct Plan Growth Plan - Growth Option</t>
        </is>
      </c>
      <c r="C9579" t="inlineStr">
        <is>
          <t xml:space="preserve">INF204K01H36</t>
        </is>
      </c>
    </row>
    <row r="9580">
      <c r="A9580" t="inlineStr">
        <is>
          <t xml:space="preserve">Nippon India Mutual Fund</t>
        </is>
      </c>
      <c r="B9580" t="inlineStr">
        <is>
          <t xml:space="preserve">Nippon India Index Fund - Nifty 50 Plan - Growth Plan - Bonus Option</t>
        </is>
      </c>
      <c r="C9580" t="inlineStr">
        <is>
          <t xml:space="preserve">INF204K01IF0</t>
        </is>
      </c>
    </row>
    <row r="9581">
      <c r="A9581" t="inlineStr">
        <is>
          <t xml:space="preserve">Nippon India Mutual Fund</t>
        </is>
      </c>
      <c r="B9581" t="inlineStr">
        <is>
          <t xml:space="preserve">Nippon India Index Fund - Nifty 50 Plan - Growth Plan - Growth Option</t>
        </is>
      </c>
      <c r="C9581" t="inlineStr">
        <is>
          <t xml:space="preserve">INF204K01IE3</t>
        </is>
      </c>
    </row>
    <row r="9582">
      <c r="A9582" t="inlineStr">
        <is>
          <t xml:space="preserve">Nippon India Mutual Fund</t>
        </is>
      </c>
      <c r="B9582" t="inlineStr">
        <is>
          <t xml:space="preserve">NIPPON INDIA INDEX FUND - NIFTY 50 PLAN - HALF YEARLY - IDCW Option</t>
        </is>
      </c>
      <c r="C9582" t="inlineStr">
        <is>
          <t xml:space="preserve">INF204K01IH6</t>
        </is>
      </c>
    </row>
    <row r="9583">
      <c r="A9583" t="inlineStr">
        <is>
          <t xml:space="preserve">Nippon India Mutual Fund</t>
        </is>
      </c>
      <c r="B9583" t="inlineStr">
        <is>
          <t xml:space="preserve">NIPPON INDIA INDEX FUND - NIFTY 50 PLAN - QUARTERLY - IDCW Option</t>
        </is>
      </c>
      <c r="C9583" t="inlineStr">
        <is>
          <t xml:space="preserve">INF204K01IG8</t>
        </is>
      </c>
    </row>
    <row r="9584">
      <c r="A9584" t="inlineStr">
        <is>
          <t xml:space="preserve">Nippon India Mutual Fund</t>
        </is>
      </c>
      <c r="B9584" t="inlineStr">
        <is>
          <t xml:space="preserve">Nippon India India Opportunities Fund - Series A - Direct Plan - Growth Option</t>
        </is>
      </c>
      <c r="C9584" t="inlineStr">
        <is>
          <t xml:space="preserve">INF204KB1I40</t>
        </is>
      </c>
    </row>
    <row r="9585">
      <c r="A9585" t="inlineStr">
        <is>
          <t xml:space="preserve">Nippon India Mutual Fund</t>
        </is>
      </c>
      <c r="B9585" t="inlineStr">
        <is>
          <t xml:space="preserve">Nippon India India Opportunities Fund - Series A - Growth Option</t>
        </is>
      </c>
      <c r="C9585" t="inlineStr">
        <is>
          <t xml:space="preserve">INF204KB1I24</t>
        </is>
      </c>
    </row>
    <row r="9586">
      <c r="A9586" t="inlineStr">
        <is>
          <t xml:space="preserve">Nippon India Mutual Fund</t>
        </is>
      </c>
      <c r="B9586" t="inlineStr">
        <is>
          <t xml:space="preserve">Nippon India Innovation Fund-Direct Plan-Growth Option</t>
        </is>
      </c>
      <c r="C9586" t="inlineStr">
        <is>
          <t xml:space="preserve">INF204KC1BO3</t>
        </is>
      </c>
    </row>
    <row r="9587">
      <c r="A9587" t="inlineStr">
        <is>
          <t xml:space="preserve">Nippon India Mutual Fund</t>
        </is>
      </c>
      <c r="B9587" t="inlineStr">
        <is>
          <t xml:space="preserve">Nippon India Innovation Fund-Direct Plan-IDCW Option</t>
        </is>
      </c>
      <c r="C9587" t="inlineStr">
        <is>
          <t xml:space="preserve">INF204KC1BP0</t>
        </is>
      </c>
    </row>
    <row r="9588">
      <c r="A9588" t="inlineStr">
        <is>
          <t xml:space="preserve">Nippon India Mutual Fund</t>
        </is>
      </c>
      <c r="B9588" t="inlineStr">
        <is>
          <t xml:space="preserve">Nippon India Innovation Fund-Regular Plan-Growth Option</t>
        </is>
      </c>
      <c r="C9588" t="inlineStr">
        <is>
          <t xml:space="preserve">INF204KC1BL9</t>
        </is>
      </c>
    </row>
    <row r="9589">
      <c r="A9589" t="inlineStr">
        <is>
          <t xml:space="preserve">Nippon India Mutual Fund</t>
        </is>
      </c>
      <c r="B9589" t="inlineStr">
        <is>
          <t xml:space="preserve">Nippon India Innovation Fund-Regular Plan-IDCW Option</t>
        </is>
      </c>
      <c r="C9589" t="inlineStr">
        <is>
          <t xml:space="preserve">INF204KC1BM7</t>
        </is>
      </c>
    </row>
    <row r="9590">
      <c r="A9590" t="inlineStr">
        <is>
          <t xml:space="preserve">Nippon India Mutual Fund</t>
        </is>
      </c>
      <c r="B9590" t="inlineStr">
        <is>
          <t xml:space="preserve">Nippon India Interval Fund Annual Interval Fund Series-I- Growth Option</t>
        </is>
      </c>
      <c r="C9590" t="inlineStr">
        <is>
          <t xml:space="preserve">INF204K01EC6</t>
        </is>
      </c>
    </row>
    <row r="9591">
      <c r="A9591" t="inlineStr">
        <is>
          <t xml:space="preserve">Nippon India Mutual Fund</t>
        </is>
      </c>
      <c r="B9591" t="inlineStr">
        <is>
          <t xml:space="preserve">Nippon India Interval Fund Annual Interval Fund Series-I-Retail Plan Growth Option</t>
        </is>
      </c>
      <c r="C9591" t="inlineStr">
        <is>
          <t xml:space="preserve">INF204K01DZ9</t>
        </is>
      </c>
    </row>
    <row r="9592">
      <c r="A9592" t="inlineStr">
        <is>
          <t xml:space="preserve">Nippon India Mutual Fund</t>
        </is>
      </c>
      <c r="B9592" t="inlineStr">
        <is>
          <t xml:space="preserve">Nippon India Interval Fund V - Series 2 - Direct Plan - Dividend Payout Option</t>
        </is>
      </c>
      <c r="C9592" t="inlineStr">
        <is>
          <t xml:space="preserve">INF204KB1P74</t>
        </is>
      </c>
    </row>
    <row r="9593">
      <c r="A9593" t="inlineStr">
        <is>
          <t xml:space="preserve">Nippon India Mutual Fund</t>
        </is>
      </c>
      <c r="B9593" t="inlineStr">
        <is>
          <t xml:space="preserve">Nippon India Interval Fund V - Series 2 - Direct Plan - Growth Option</t>
        </is>
      </c>
      <c r="C9593" t="inlineStr">
        <is>
          <t xml:space="preserve">INF204KB1P66</t>
        </is>
      </c>
    </row>
    <row r="9594">
      <c r="A9594" t="inlineStr">
        <is>
          <t xml:space="preserve">Nippon India Mutual Fund</t>
        </is>
      </c>
      <c r="B9594" t="inlineStr">
        <is>
          <t xml:space="preserve">Nippon India Interval Fund V - Series 2 - Dividend Payout Option</t>
        </is>
      </c>
      <c r="C9594" t="inlineStr">
        <is>
          <t xml:space="preserve">INF204KB1P58</t>
        </is>
      </c>
    </row>
    <row r="9595">
      <c r="A9595" t="inlineStr">
        <is>
          <t xml:space="preserve">Nippon India Mutual Fund</t>
        </is>
      </c>
      <c r="B9595" t="inlineStr">
        <is>
          <t xml:space="preserve">Nippon India Interval Fund V - Series 2 - Growth Option</t>
        </is>
      </c>
      <c r="C9595" t="inlineStr">
        <is>
          <t xml:space="preserve">INF204KB1P41</t>
        </is>
      </c>
    </row>
    <row r="9596">
      <c r="A9596" t="inlineStr">
        <is>
          <t xml:space="preserve">Nippon India Mutual Fund</t>
        </is>
      </c>
      <c r="B9596" t="inlineStr">
        <is>
          <t xml:space="preserve">Nippon India Interval Fund V- Series 1- Direct Plan- Dividend Option</t>
        </is>
      </c>
      <c r="C9596" t="inlineStr">
        <is>
          <t xml:space="preserve">INF204KB1M51</t>
        </is>
      </c>
    </row>
    <row r="9597">
      <c r="A9597" t="inlineStr">
        <is>
          <t xml:space="preserve">Nippon India Mutual Fund</t>
        </is>
      </c>
      <c r="B9597" t="inlineStr">
        <is>
          <t xml:space="preserve">Nippon India Interval Fund V- Series 1- Direct Plan-Growth Option</t>
        </is>
      </c>
      <c r="C9597" t="inlineStr">
        <is>
          <t xml:space="preserve">INF204KB1M44</t>
        </is>
      </c>
    </row>
    <row r="9598">
      <c r="A9598" t="inlineStr">
        <is>
          <t xml:space="preserve">Nippon India Mutual Fund</t>
        </is>
      </c>
      <c r="B9598" t="inlineStr">
        <is>
          <t xml:space="preserve">Nippon India Interval Fund V- Series 1- Dividend Option</t>
        </is>
      </c>
      <c r="C9598" t="inlineStr">
        <is>
          <t xml:space="preserve">INF204KB1M36</t>
        </is>
      </c>
    </row>
    <row r="9599">
      <c r="A9599" t="inlineStr">
        <is>
          <t xml:space="preserve">Nippon India Mutual Fund</t>
        </is>
      </c>
      <c r="B9599" t="inlineStr">
        <is>
          <t xml:space="preserve">Nippon India Interval Fund V- Series 1- Growth Option</t>
        </is>
      </c>
      <c r="C9599" t="inlineStr">
        <is>
          <t xml:space="preserve">INF204KB1M28</t>
        </is>
      </c>
    </row>
    <row r="9600">
      <c r="A9600" t="inlineStr">
        <is>
          <t xml:space="preserve">Nippon India Mutual Fund</t>
        </is>
      </c>
      <c r="B9600" t="inlineStr">
        <is>
          <t xml:space="preserve">Nippon India Interval Fund-Quarterly Interval Fund Serie-II-Institutional Plan -Dividend Option</t>
        </is>
      </c>
      <c r="C9600" t="inlineStr">
        <is>
          <t xml:space="preserve">INF204K01DR6</t>
        </is>
      </c>
    </row>
    <row r="9601">
      <c r="A9601" t="inlineStr">
        <is>
          <t xml:space="preserve">Nippon India Mutual Fund</t>
        </is>
      </c>
      <c r="B9601" t="inlineStr">
        <is>
          <t xml:space="preserve">Nippon India Interval Fund-Quarterly Interval Fund Series-II-Growth Option</t>
        </is>
      </c>
      <c r="C9601" t="inlineStr">
        <is>
          <t xml:space="preserve">INF204K01DN5</t>
        </is>
      </c>
    </row>
    <row r="9602">
      <c r="A9602" t="inlineStr">
        <is>
          <t xml:space="preserve">Nippon India Mutual Fund</t>
        </is>
      </c>
      <c r="B9602" t="inlineStr">
        <is>
          <t xml:space="preserve">Nippon India Japan Equity Fund- Direct Plan- Growth Plan- Bonus Option</t>
        </is>
      </c>
      <c r="C9602" t="inlineStr">
        <is>
          <t xml:space="preserve">INF204KA1SK7</t>
        </is>
      </c>
    </row>
    <row r="9603">
      <c r="A9603" t="inlineStr">
        <is>
          <t xml:space="preserve">Nippon India Mutual Fund</t>
        </is>
      </c>
      <c r="B9603" t="inlineStr">
        <is>
          <t xml:space="preserve">Nippon India Japan Equity Fund- Direct Plan- Growth Plan- Growth Option</t>
        </is>
      </c>
      <c r="C9603" t="inlineStr">
        <is>
          <t xml:space="preserve">INF204KA1SI1</t>
        </is>
      </c>
    </row>
    <row r="9604">
      <c r="A9604" t="inlineStr">
        <is>
          <t xml:space="preserve">Nippon India Mutual Fund</t>
        </is>
      </c>
      <c r="B9604" t="inlineStr">
        <is>
          <t xml:space="preserve">Nippon India Japan Equity Fund- Growth Plan- Bonus Option</t>
        </is>
      </c>
      <c r="C9604" t="inlineStr">
        <is>
          <t xml:space="preserve">INF204KA1SJ9</t>
        </is>
      </c>
    </row>
    <row r="9605">
      <c r="A9605" t="inlineStr">
        <is>
          <t xml:space="preserve">Nippon India Mutual Fund</t>
        </is>
      </c>
      <c r="B9605" t="inlineStr">
        <is>
          <t xml:space="preserve">Nippon India Japan Equity Fund- Growth Plan- Growth Option</t>
        </is>
      </c>
      <c r="C9605" t="inlineStr">
        <is>
          <t xml:space="preserve">INF204KA1SH3</t>
        </is>
      </c>
    </row>
    <row r="9606">
      <c r="A9606" t="inlineStr">
        <is>
          <t xml:space="preserve">Nippon India Mutual Fund</t>
        </is>
      </c>
      <c r="B9606" t="inlineStr">
        <is>
          <t xml:space="preserve">Nippon India Large Cap  Fund- Growth Plan -Growth Option</t>
        </is>
      </c>
      <c r="C9606" t="inlineStr">
        <is>
          <t xml:space="preserve">INF204K01562</t>
        </is>
      </c>
    </row>
    <row r="9607">
      <c r="A9607" t="inlineStr">
        <is>
          <t xml:space="preserve">Nippon India Mutual Fund</t>
        </is>
      </c>
      <c r="B9607" t="inlineStr">
        <is>
          <t xml:space="preserve">NIPPON INDIA LARGE CAP FUND - DIRECT Plan - IDCW Option</t>
        </is>
      </c>
      <c r="C9607" t="inlineStr">
        <is>
          <t xml:space="preserve">INF204K01XG7</t>
        </is>
      </c>
    </row>
    <row r="9608">
      <c r="A9608" t="inlineStr">
        <is>
          <t xml:space="preserve">Nippon India Mutual Fund</t>
        </is>
      </c>
      <c r="B9608" t="inlineStr">
        <is>
          <t xml:space="preserve">Nippon India Large Cap Fund - Direct Plan Growth Plan - Bonus Option</t>
        </is>
      </c>
      <c r="C9608" t="inlineStr">
        <is>
          <t xml:space="preserve">INF204K01D30</t>
        </is>
      </c>
    </row>
    <row r="9609">
      <c r="A9609" t="inlineStr">
        <is>
          <t xml:space="preserve">Nippon India Mutual Fund</t>
        </is>
      </c>
      <c r="B9609" t="inlineStr">
        <is>
          <t xml:space="preserve">Nippon India Large Cap Fund - Direct Plan Growth Plan - Growth Option</t>
        </is>
      </c>
      <c r="C9609" t="inlineStr">
        <is>
          <t xml:space="preserve">INF204K01XI3</t>
        </is>
      </c>
    </row>
    <row r="9610">
      <c r="A9610" t="inlineStr">
        <is>
          <t xml:space="preserve">Nippon India Mutual Fund</t>
        </is>
      </c>
      <c r="B9610" t="inlineStr">
        <is>
          <t xml:space="preserve">NIPPON INDIA LARGE CAP FUND - IDCW Option</t>
        </is>
      </c>
      <c r="C9610" t="inlineStr">
        <is>
          <t xml:space="preserve">INF204K01539</t>
        </is>
      </c>
    </row>
    <row r="9611">
      <c r="A9611" t="inlineStr">
        <is>
          <t xml:space="preserve">Nippon India Mutual Fund</t>
        </is>
      </c>
      <c r="B9611" t="inlineStr">
        <is>
          <t xml:space="preserve">Nippon India Large Cap Fund- Growth Plan Bonus Option</t>
        </is>
      </c>
      <c r="C9611" t="inlineStr">
        <is>
          <t xml:space="preserve">INF204K01554</t>
        </is>
      </c>
    </row>
    <row r="9612">
      <c r="A9612" t="inlineStr">
        <is>
          <t xml:space="preserve">Nippon India Mutual Fund</t>
        </is>
      </c>
      <c r="B9612" t="inlineStr">
        <is>
          <t xml:space="preserve">Nippon India Large Cap Fund-Institutional Plan Growth Plan Bonus Option</t>
        </is>
      </c>
      <c r="C9612" t="inlineStr">
        <is>
          <t xml:space="preserve">INF204K01513</t>
        </is>
      </c>
    </row>
    <row r="9613">
      <c r="A9613" t="inlineStr">
        <is>
          <t xml:space="preserve">Nippon India Mutual Fund</t>
        </is>
      </c>
      <c r="B9613" t="inlineStr">
        <is>
          <t xml:space="preserve">NIPPON INDIA LIQUID FUND - DAILY IDCW OPTION</t>
        </is>
      </c>
      <c r="C9613" t="inlineStr">
        <is>
          <t xml:space="preserve">INF204K01UM1</t>
        </is>
      </c>
    </row>
    <row r="9614">
      <c r="A9614" t="inlineStr">
        <is>
          <t xml:space="preserve">Nippon India Mutual Fund</t>
        </is>
      </c>
      <c r="B9614" t="inlineStr">
        <is>
          <t xml:space="preserve">NIPPON INDIA LIQUID FUND - DIRECT Plan - DAILY IDCW OPTION</t>
        </is>
      </c>
      <c r="C9614" t="inlineStr">
        <is>
          <t xml:space="preserve">INF204K01ZG2</t>
        </is>
      </c>
    </row>
    <row r="9615">
      <c r="A9615" t="inlineStr">
        <is>
          <t xml:space="preserve">Nippon India Mutual Fund</t>
        </is>
      </c>
      <c r="B9615" t="inlineStr">
        <is>
          <t xml:space="preserve">NIPPON INDIA LIQUID FUND - DIRECT Plan - MONTHLY IDCW OPTION</t>
        </is>
      </c>
      <c r="C9615" t="inlineStr">
        <is>
          <t xml:space="preserve">INF204K01ZI8</t>
        </is>
      </c>
    </row>
    <row r="9616">
      <c r="A9616" t="inlineStr">
        <is>
          <t xml:space="preserve">Nippon India Mutual Fund</t>
        </is>
      </c>
      <c r="B9616" t="inlineStr">
        <is>
          <t xml:space="preserve">NIPPON INDIA LIQUID FUND - DIRECT Plan - QUARTERLY IDCW OPTION</t>
        </is>
      </c>
      <c r="C9616" t="inlineStr">
        <is>
          <t xml:space="preserve">INF204K01ZK4</t>
        </is>
      </c>
    </row>
    <row r="9617">
      <c r="A9617" t="inlineStr">
        <is>
          <t xml:space="preserve">Nippon India Mutual Fund</t>
        </is>
      </c>
      <c r="B9617" t="inlineStr">
        <is>
          <t xml:space="preserve">NIPPON INDIA LIQUID FUND - DIRECT Plan - WEEKLY IDCW OPTION</t>
        </is>
      </c>
      <c r="C9617" t="inlineStr">
        <is>
          <t xml:space="preserve">INF204KC1FN6</t>
        </is>
      </c>
    </row>
    <row r="9618">
      <c r="A9618" t="inlineStr">
        <is>
          <t xml:space="preserve">Nippon India Mutual Fund</t>
        </is>
      </c>
      <c r="B9618" t="inlineStr">
        <is>
          <t xml:space="preserve">Nippon India Liquid Fund - Direct Plan Growth Plan - Growth Option</t>
        </is>
      </c>
      <c r="C9618" t="inlineStr">
        <is>
          <t xml:space="preserve">INF204K01ZH0</t>
        </is>
      </c>
    </row>
    <row r="9619">
      <c r="A9619" t="inlineStr">
        <is>
          <t xml:space="preserve">Nippon India Mutual Fund</t>
        </is>
      </c>
      <c r="B9619" t="inlineStr">
        <is>
          <t xml:space="preserve">NIPPON INDIA LIQUID FUND - MONTHLY IDCW OPTION</t>
        </is>
      </c>
      <c r="C9619" t="inlineStr">
        <is>
          <t xml:space="preserve">INF204K01UO7</t>
        </is>
      </c>
    </row>
    <row r="9620">
      <c r="A9620" t="inlineStr">
        <is>
          <t xml:space="preserve">Nippon India Mutual Fund</t>
        </is>
      </c>
      <c r="B9620" t="inlineStr">
        <is>
          <t xml:space="preserve">NIPPON INDIA LIQUID FUND - QUARTERLY IDCW OPTION</t>
        </is>
      </c>
      <c r="C9620" t="inlineStr">
        <is>
          <t xml:space="preserve">INF204K01UQ2</t>
        </is>
      </c>
    </row>
    <row r="9621">
      <c r="A9621" t="inlineStr">
        <is>
          <t xml:space="preserve">Nippon India Mutual Fund</t>
        </is>
      </c>
      <c r="B9621" t="inlineStr">
        <is>
          <t xml:space="preserve">Nippon India Liquid Fund - Retail Option - Growth Plan</t>
        </is>
      </c>
      <c r="C9621" t="inlineStr">
        <is>
          <t xml:space="preserve">INF204K01UL3</t>
        </is>
      </c>
    </row>
    <row r="9622">
      <c r="A9622" t="inlineStr">
        <is>
          <t xml:space="preserve">Nippon India Mutual Fund</t>
        </is>
      </c>
      <c r="B9622" t="inlineStr">
        <is>
          <t xml:space="preserve">NIPPON INDIA LIQUID FUND - RETAIL Plan - DAILY IDCW OPTION</t>
        </is>
      </c>
      <c r="C9622" t="inlineStr">
        <is>
          <t xml:space="preserve">INF204K01UJ7</t>
        </is>
      </c>
    </row>
    <row r="9623">
      <c r="A9623" t="inlineStr">
        <is>
          <t xml:space="preserve">Nippon India Mutual Fund</t>
        </is>
      </c>
      <c r="B9623" t="inlineStr">
        <is>
          <t xml:space="preserve">NIPPON INDIA LIQUID FUND - RETAIL plan - MONTHLY IDCW OPTION</t>
        </is>
      </c>
      <c r="C9623" t="inlineStr">
        <is>
          <t xml:space="preserve">INF204K01UT6</t>
        </is>
      </c>
    </row>
    <row r="9624">
      <c r="A9624" t="inlineStr">
        <is>
          <t xml:space="preserve">Nippon India Mutual Fund</t>
        </is>
      </c>
      <c r="B9624" t="inlineStr">
        <is>
          <t xml:space="preserve">NIPPON INDIA LIQUID FUND - RETAIL Plan - QUARTERLY IDCW OPTION</t>
        </is>
      </c>
      <c r="C9624" t="inlineStr">
        <is>
          <t xml:space="preserve">INF204K01UV2</t>
        </is>
      </c>
    </row>
    <row r="9625">
      <c r="A9625" t="inlineStr">
        <is>
          <t xml:space="preserve">Nippon India Mutual Fund</t>
        </is>
      </c>
      <c r="B9625" t="inlineStr">
        <is>
          <t xml:space="preserve">NIPPON INDIA LIQUID FUND - RETAIL Plan - WEEKLY IDCW OPTION</t>
        </is>
      </c>
      <c r="C9625" t="inlineStr">
        <is>
          <t xml:space="preserve">INF204K01UK5</t>
        </is>
      </c>
    </row>
    <row r="9626">
      <c r="A9626" t="inlineStr">
        <is>
          <t xml:space="preserve">Nippon India Mutual Fund</t>
        </is>
      </c>
      <c r="B9626" t="inlineStr">
        <is>
          <t xml:space="preserve">NIPPON INDIA LIQUID FUND - WEEKLY IDCW OPTION</t>
        </is>
      </c>
      <c r="C9626" t="inlineStr">
        <is>
          <t xml:space="preserve">INF204KC1FM8</t>
        </is>
      </c>
    </row>
    <row r="9627">
      <c r="A9627" t="inlineStr">
        <is>
          <t xml:space="preserve">Nippon India Mutual Fund</t>
        </is>
      </c>
      <c r="B9627" t="inlineStr">
        <is>
          <t xml:space="preserve">Nippon India Liquid Fund -Growth Plan</t>
        </is>
      </c>
      <c r="C9627" t="inlineStr">
        <is>
          <t xml:space="preserve">INF204K01UN9</t>
        </is>
      </c>
    </row>
    <row r="9628">
      <c r="A9628" t="inlineStr">
        <is>
          <t xml:space="preserve">Nippon India Mutual Fund</t>
        </is>
      </c>
      <c r="B9628" t="inlineStr">
        <is>
          <t xml:space="preserve">NIPPON INDIA LOW DURATION FUND - DAILY IDCW Option</t>
        </is>
      </c>
      <c r="C9628" t="inlineStr">
        <is>
          <t xml:space="preserve">INF204K01EX2</t>
        </is>
      </c>
    </row>
    <row r="9629">
      <c r="A9629" t="inlineStr">
        <is>
          <t xml:space="preserve">Nippon India Mutual Fund</t>
        </is>
      </c>
      <c r="B9629" t="inlineStr">
        <is>
          <t xml:space="preserve">NIPPON INDIA LOW DURATION FUND - DIRECT Plan - DAILY IDCW Option</t>
        </is>
      </c>
      <c r="C9629" t="inlineStr">
        <is>
          <t xml:space="preserve">INF204K01ZV1</t>
        </is>
      </c>
    </row>
    <row r="9630">
      <c r="A9630" t="inlineStr">
        <is>
          <t xml:space="preserve">Nippon India Mutual Fund</t>
        </is>
      </c>
      <c r="B9630" t="inlineStr">
        <is>
          <t xml:space="preserve">NIPPON INDIA LOW DURATION FUND - DIRECT Plan - IDCW Option</t>
        </is>
      </c>
      <c r="C9630" t="inlineStr">
        <is>
          <t xml:space="preserve">INF204KA1EK7</t>
        </is>
      </c>
    </row>
    <row r="9631">
      <c r="A9631" t="inlineStr">
        <is>
          <t xml:space="preserve">Nippon India Mutual Fund</t>
        </is>
      </c>
      <c r="B9631" t="inlineStr">
        <is>
          <t xml:space="preserve">NIPPON INDIA LOW DURATION FUND - DIRECT Plan - MONTHLY IDCW Option</t>
        </is>
      </c>
      <c r="C9631" t="inlineStr">
        <is>
          <t xml:space="preserve">INF204K01ZX7</t>
        </is>
      </c>
    </row>
    <row r="9632">
      <c r="A9632" t="inlineStr">
        <is>
          <t xml:space="preserve">Nippon India Mutual Fund</t>
        </is>
      </c>
      <c r="B9632" t="inlineStr">
        <is>
          <t xml:space="preserve">NIPPON INDIA LOW DURATION FUND - DIRECT Plan - QUARTERLY IDCW Option</t>
        </is>
      </c>
      <c r="C9632" t="inlineStr">
        <is>
          <t xml:space="preserve">INF204K01ZZ2</t>
        </is>
      </c>
    </row>
    <row r="9633">
      <c r="A9633" t="inlineStr">
        <is>
          <t xml:space="preserve">Nippon India Mutual Fund</t>
        </is>
      </c>
      <c r="B9633" t="inlineStr">
        <is>
          <t xml:space="preserve">NIPPON INDIA LOW DURATION FUND - DIRECT Plan - WEEKLY IDCW Option</t>
        </is>
      </c>
      <c r="C9633" t="inlineStr">
        <is>
          <t xml:space="preserve">INF204K01A17</t>
        </is>
      </c>
    </row>
    <row r="9634">
      <c r="A9634" t="inlineStr">
        <is>
          <t xml:space="preserve">Nippon India Mutual Fund</t>
        </is>
      </c>
      <c r="B9634" t="inlineStr">
        <is>
          <t xml:space="preserve">Nippon India Low Duration Fund - Direct Plan Growth Plan - Bonus Option</t>
        </is>
      </c>
      <c r="C9634" t="inlineStr">
        <is>
          <t xml:space="preserve">INF204K01G03</t>
        </is>
      </c>
    </row>
    <row r="9635">
      <c r="A9635" t="inlineStr">
        <is>
          <t xml:space="preserve">Nippon India Mutual Fund</t>
        </is>
      </c>
      <c r="B9635" t="inlineStr">
        <is>
          <t xml:space="preserve">Nippon India Low Duration Fund - Direct Plan Growth Plan - Growth Option</t>
        </is>
      </c>
      <c r="C9635" t="inlineStr">
        <is>
          <t xml:space="preserve">INF204K01ZU3</t>
        </is>
      </c>
    </row>
    <row r="9636">
      <c r="A9636" t="inlineStr">
        <is>
          <t xml:space="preserve">Nippon India Mutual Fund</t>
        </is>
      </c>
      <c r="B9636" t="inlineStr">
        <is>
          <t xml:space="preserve">NIPPON INDIA LOW DURATION FUND - IDCW Option</t>
        </is>
      </c>
      <c r="C9636" t="inlineStr">
        <is>
          <t xml:space="preserve">INF204KA1EI1</t>
        </is>
      </c>
    </row>
    <row r="9637">
      <c r="A9637" t="inlineStr">
        <is>
          <t xml:space="preserve">Nippon India Mutual Fund</t>
        </is>
      </c>
      <c r="B9637" t="inlineStr">
        <is>
          <t xml:space="preserve">NIPPON INDIA LOW DURATION FUND - MONTHLY IDCW Option</t>
        </is>
      </c>
      <c r="C9637" t="inlineStr">
        <is>
          <t xml:space="preserve">INF204K01EZ7</t>
        </is>
      </c>
    </row>
    <row r="9638">
      <c r="A9638" t="inlineStr">
        <is>
          <t xml:space="preserve">Nippon India Mutual Fund</t>
        </is>
      </c>
      <c r="B9638" t="inlineStr">
        <is>
          <t xml:space="preserve">NIPPON INDIA LOW DURATION FUND - QUARTERLY IDCW Option</t>
        </is>
      </c>
      <c r="C9638" t="inlineStr">
        <is>
          <t xml:space="preserve">INF204K01FB5</t>
        </is>
      </c>
    </row>
    <row r="9639">
      <c r="A9639" t="inlineStr">
        <is>
          <t xml:space="preserve">Nippon India Mutual Fund</t>
        </is>
      </c>
      <c r="B9639" t="inlineStr">
        <is>
          <t xml:space="preserve">NIPPON INDIA LOW DURATION FUND - RETAIL Plan - DAILY IDCW Option</t>
        </is>
      </c>
      <c r="C9639" t="inlineStr">
        <is>
          <t xml:space="preserve">INF204K01EP8</t>
        </is>
      </c>
    </row>
    <row r="9640">
      <c r="A9640" t="inlineStr">
        <is>
          <t xml:space="preserve">Nippon India Mutual Fund</t>
        </is>
      </c>
      <c r="B9640" t="inlineStr">
        <is>
          <t xml:space="preserve">Nippon India Low Duration Fund - Retail Plan - Growth Plan - Growth Option</t>
        </is>
      </c>
      <c r="C9640" t="inlineStr">
        <is>
          <t xml:space="preserve">INF204K01EN3</t>
        </is>
      </c>
    </row>
    <row r="9641">
      <c r="A9641" t="inlineStr">
        <is>
          <t xml:space="preserve">Nippon India Mutual Fund</t>
        </is>
      </c>
      <c r="B9641" t="inlineStr">
        <is>
          <t xml:space="preserve">Nippon India Low Duration Fund - Retail Plan - Growth Plan -Bonus Option</t>
        </is>
      </c>
      <c r="C9641" t="inlineStr">
        <is>
          <t xml:space="preserve">INF204K01EO1</t>
        </is>
      </c>
    </row>
    <row r="9642">
      <c r="A9642" t="inlineStr">
        <is>
          <t xml:space="preserve">Nippon India Mutual Fund</t>
        </is>
      </c>
      <c r="B9642" t="inlineStr">
        <is>
          <t xml:space="preserve">NIPPON INDIA LOW DURATION FUND - RETAIL Plan - MONTHLY IDCW Option</t>
        </is>
      </c>
      <c r="C9642" t="inlineStr">
        <is>
          <t xml:space="preserve">INF204K01ER4</t>
        </is>
      </c>
    </row>
    <row r="9643">
      <c r="A9643" t="inlineStr">
        <is>
          <t xml:space="preserve">Nippon India Mutual Fund</t>
        </is>
      </c>
      <c r="B9643" t="inlineStr">
        <is>
          <t xml:space="preserve">NIPPON INDIA LOW DURATION FUND - RETAIL Plan - QUARTERLY IDCW Option</t>
        </is>
      </c>
      <c r="C9643" t="inlineStr">
        <is>
          <t xml:space="preserve">INF204K01ET0</t>
        </is>
      </c>
    </row>
    <row r="9644">
      <c r="A9644" t="inlineStr">
        <is>
          <t xml:space="preserve">Nippon India Mutual Fund</t>
        </is>
      </c>
      <c r="B9644" t="inlineStr">
        <is>
          <t xml:space="preserve">NIPPON INDIA LOW DURATION FUND - RETAIL Plan - WEEKLY IDCW Option</t>
        </is>
      </c>
      <c r="C9644" t="inlineStr">
        <is>
          <t xml:space="preserve">INF204K01OP7</t>
        </is>
      </c>
    </row>
    <row r="9645">
      <c r="A9645" t="inlineStr">
        <is>
          <t xml:space="preserve">Nippon India Mutual Fund</t>
        </is>
      </c>
      <c r="B9645" t="inlineStr">
        <is>
          <t xml:space="preserve">NIPPON INDIA LOW DURATION FUND - WEEKLY IDCW Option</t>
        </is>
      </c>
      <c r="C9645" t="inlineStr">
        <is>
          <t xml:space="preserve">INF204K01OO0</t>
        </is>
      </c>
    </row>
    <row r="9646">
      <c r="A9646" t="inlineStr">
        <is>
          <t xml:space="preserve">Nippon India Mutual Fund</t>
        </is>
      </c>
      <c r="B9646" t="inlineStr">
        <is>
          <t xml:space="preserve">Nippon India Low Duration Fund -Growth Plan -Bonus Option</t>
        </is>
      </c>
      <c r="C9646" t="inlineStr">
        <is>
          <t xml:space="preserve">INF204K01EW4</t>
        </is>
      </c>
    </row>
    <row r="9647">
      <c r="A9647" t="inlineStr">
        <is>
          <t xml:space="preserve">Nippon India Mutual Fund</t>
        </is>
      </c>
      <c r="B9647" t="inlineStr">
        <is>
          <t xml:space="preserve">Nippon India Low Duration Fund- Growth Plan - Growth Option</t>
        </is>
      </c>
      <c r="C9647" t="inlineStr">
        <is>
          <t xml:space="preserve">INF204K01EV6</t>
        </is>
      </c>
    </row>
    <row r="9648">
      <c r="A9648" t="inlineStr">
        <is>
          <t xml:space="preserve">Nippon India Mutual Fund</t>
        </is>
      </c>
      <c r="B9648" t="inlineStr">
        <is>
          <t xml:space="preserve">Nippon India Medium Duration  Fund - Bonus Option</t>
        </is>
      </c>
      <c r="C9648" t="inlineStr">
        <is>
          <t xml:space="preserve">INF204KA1QA2</t>
        </is>
      </c>
    </row>
    <row r="9649">
      <c r="A9649" t="inlineStr">
        <is>
          <t xml:space="preserve">Nippon India Mutual Fund</t>
        </is>
      </c>
      <c r="B9649" t="inlineStr">
        <is>
          <t xml:space="preserve">NIPPON INDIA MEDIUM DURATION  FUND - SEGREGATED PORTFOLIO 1 - Direct Plan - QUARTERLY IDCW Option</t>
        </is>
      </c>
      <c r="C9649" t="inlineStr">
        <is>
          <t xml:space="preserve">INF204KB16M9</t>
        </is>
      </c>
    </row>
    <row r="9650">
      <c r="A9650" t="inlineStr">
        <is>
          <t xml:space="preserve">Nippon India Mutual Fund</t>
        </is>
      </c>
      <c r="B9650" t="inlineStr">
        <is>
          <t xml:space="preserve">NIPPON INDIA MEDIUM DURATION  FUND - SEGREGATED PORTFOLIO 1 - QUARTERLY IDCW Option</t>
        </is>
      </c>
      <c r="C9650" t="inlineStr">
        <is>
          <t xml:space="preserve">INF204KB12N6</t>
        </is>
      </c>
    </row>
    <row r="9651">
      <c r="A9651" t="inlineStr">
        <is>
          <t xml:space="preserve">Nippon India Mutual Fund</t>
        </is>
      </c>
      <c r="B9651" t="inlineStr">
        <is>
          <t xml:space="preserve">Nippon India Medium Duration  Fund - Segregated Portfolio 2 - Bonus Option</t>
        </is>
      </c>
      <c r="C9651" t="inlineStr">
        <is>
          <t xml:space="preserve">INF204KB11R9</t>
        </is>
      </c>
    </row>
    <row r="9652">
      <c r="A9652" t="inlineStr">
        <is>
          <t xml:space="preserve">Nippon India Mutual Fund</t>
        </is>
      </c>
      <c r="B9652" t="inlineStr">
        <is>
          <t xml:space="preserve">NIPPON INDIA MEDIUM DURATION FUND -  SEGREGATED PORTFOLIO 2 - DIRECT Plan - IDCW Option</t>
        </is>
      </c>
      <c r="C9652" t="inlineStr">
        <is>
          <t xml:space="preserve">INF204KB16Q0</t>
        </is>
      </c>
    </row>
    <row r="9653">
      <c r="A9653" t="inlineStr">
        <is>
          <t xml:space="preserve">Nippon India Mutual Fund</t>
        </is>
      </c>
      <c r="B9653" t="inlineStr">
        <is>
          <t xml:space="preserve">NIPPON INDIA MEDIUM DURATION FUND -  SEGREGATED PORTFOLIO 2 - DIRECT Plan - QUARTERLY IDCW Option</t>
        </is>
      </c>
      <c r="C9653" t="inlineStr">
        <is>
          <t xml:space="preserve">INF204KB18Q6</t>
        </is>
      </c>
    </row>
    <row r="9654">
      <c r="A9654" t="inlineStr">
        <is>
          <t xml:space="preserve">Nippon India Mutual Fund</t>
        </is>
      </c>
      <c r="B9654" t="inlineStr">
        <is>
          <t xml:space="preserve">NIPPON INDIA MEDIUM DURATION FUND -  SEGREGATED PORTFOLIO 2 - IDCW Option</t>
        </is>
      </c>
      <c r="C9654" t="inlineStr">
        <is>
          <t xml:space="preserve">INF204KB12R7</t>
        </is>
      </c>
    </row>
    <row r="9655">
      <c r="A9655" t="inlineStr">
        <is>
          <t xml:space="preserve">Nippon India Mutual Fund</t>
        </is>
      </c>
      <c r="B9655" t="inlineStr">
        <is>
          <t xml:space="preserve">NIPPON INDIA MEDIUM DURATION FUND -  SEGREGATED PORTFOLIO 2 - QUARTERLY IDCW Option</t>
        </is>
      </c>
      <c r="C9655" t="inlineStr">
        <is>
          <t xml:space="preserve">INF204KB14R3</t>
        </is>
      </c>
    </row>
    <row r="9656">
      <c r="A9656" t="inlineStr">
        <is>
          <t xml:space="preserve">Nippon India Mutual Fund</t>
        </is>
      </c>
      <c r="B9656" t="inlineStr">
        <is>
          <t xml:space="preserve">Nippon India Medium Duration Fund - Direct Plan - Bonus Option</t>
        </is>
      </c>
      <c r="C9656" t="inlineStr">
        <is>
          <t xml:space="preserve">INF204KA1QG9</t>
        </is>
      </c>
    </row>
    <row r="9657">
      <c r="A9657" t="inlineStr">
        <is>
          <t xml:space="preserve">Nippon India Mutual Fund</t>
        </is>
      </c>
      <c r="B9657" t="inlineStr">
        <is>
          <t xml:space="preserve">Nippon India Medium Duration Fund - Direct Plan - Growth Option</t>
        </is>
      </c>
      <c r="C9657" t="inlineStr">
        <is>
          <t xml:space="preserve">INF204KA1QF1</t>
        </is>
      </c>
    </row>
    <row r="9658">
      <c r="A9658" t="inlineStr">
        <is>
          <t xml:space="preserve">Nippon India Mutual Fund</t>
        </is>
      </c>
      <c r="B9658" t="inlineStr">
        <is>
          <t xml:space="preserve">NIPPON INDIA MEDIUM DURATION FUND - DIRECT Plan - IDCW Option</t>
        </is>
      </c>
      <c r="C9658" t="inlineStr">
        <is>
          <t xml:space="preserve">INF204KA1QH7</t>
        </is>
      </c>
    </row>
    <row r="9659">
      <c r="A9659" t="inlineStr">
        <is>
          <t xml:space="preserve">Nippon India Mutual Fund</t>
        </is>
      </c>
      <c r="B9659" t="inlineStr">
        <is>
          <t xml:space="preserve">NIPPON INDIA MEDIUM DURATION FUND - DIRECT Plan - QUARTERLY IDCW Option</t>
        </is>
      </c>
      <c r="C9659" t="inlineStr">
        <is>
          <t xml:space="preserve">INF204KA1QI5</t>
        </is>
      </c>
    </row>
    <row r="9660">
      <c r="A9660" t="inlineStr">
        <is>
          <t xml:space="preserve">Nippon India Mutual Fund</t>
        </is>
      </c>
      <c r="B9660" t="inlineStr">
        <is>
          <t xml:space="preserve">Nippon India Medium Duration Fund - Growth Option</t>
        </is>
      </c>
      <c r="C9660" t="inlineStr">
        <is>
          <t xml:space="preserve">INF204KA1PZ1</t>
        </is>
      </c>
    </row>
    <row r="9661">
      <c r="A9661" t="inlineStr">
        <is>
          <t xml:space="preserve">Nippon India Mutual Fund</t>
        </is>
      </c>
      <c r="B9661" t="inlineStr">
        <is>
          <t xml:space="preserve">NIPPON INDIA MEDIUM DURATION FUND - IDCW Option</t>
        </is>
      </c>
      <c r="C9661" t="inlineStr">
        <is>
          <t xml:space="preserve">INF204KA1QB0</t>
        </is>
      </c>
    </row>
    <row r="9662">
      <c r="A9662" t="inlineStr">
        <is>
          <t xml:space="preserve">Nippon India Mutual Fund</t>
        </is>
      </c>
      <c r="B9662" t="inlineStr">
        <is>
          <t xml:space="preserve">NIPPON INDIA MEDIUM DURATION FUND - QUARTERLY IDCW Option</t>
        </is>
      </c>
      <c r="C9662" t="inlineStr">
        <is>
          <t xml:space="preserve">INF204KA1QC8</t>
        </is>
      </c>
    </row>
    <row r="9663">
      <c r="A9663" t="inlineStr">
        <is>
          <t xml:space="preserve">Nippon India Mutual Fund</t>
        </is>
      </c>
      <c r="B9663" t="inlineStr">
        <is>
          <t xml:space="preserve">Nippon India Medium Duration Fund - Segregated Portfolio 1 - Bonus Option</t>
        </is>
      </c>
      <c r="C9663" t="inlineStr">
        <is>
          <t xml:space="preserve">INF204KB19M3</t>
        </is>
      </c>
    </row>
    <row r="9664">
      <c r="A9664" t="inlineStr">
        <is>
          <t xml:space="preserve">Nippon India Mutual Fund</t>
        </is>
      </c>
      <c r="B9664" t="inlineStr">
        <is>
          <t xml:space="preserve">Nippon India Medium Duration Fund - Segregated Portfolio 1 - Direct Plan - Bonus Option</t>
        </is>
      </c>
      <c r="C9664" t="inlineStr">
        <is>
          <t xml:space="preserve">INF204KB13M6</t>
        </is>
      </c>
    </row>
    <row r="9665">
      <c r="A9665" t="inlineStr">
        <is>
          <t xml:space="preserve">Nippon India Mutual Fund</t>
        </is>
      </c>
      <c r="B9665" t="inlineStr">
        <is>
          <t xml:space="preserve">Nippon India Medium Duration Fund - Segregated Portfolio 1 - Direct Plan - Growth Option</t>
        </is>
      </c>
      <c r="C9665" t="inlineStr">
        <is>
          <t xml:space="preserve">INF204KB18M5</t>
        </is>
      </c>
    </row>
    <row r="9666">
      <c r="A9666" t="inlineStr">
        <is>
          <t xml:space="preserve">Nippon India Mutual Fund</t>
        </is>
      </c>
      <c r="B9666" t="inlineStr">
        <is>
          <t xml:space="preserve">NIPPON INDIA MEDIUM DURATION FUND - SEGREGATED PORTFOLIO 1 - Direct Plan - IDCW Option</t>
        </is>
      </c>
      <c r="C9666" t="inlineStr">
        <is>
          <t xml:space="preserve">INF204KB14M4</t>
        </is>
      </c>
    </row>
    <row r="9667">
      <c r="A9667" t="inlineStr">
        <is>
          <t xml:space="preserve">Nippon India Mutual Fund</t>
        </is>
      </c>
      <c r="B9667" t="inlineStr">
        <is>
          <t xml:space="preserve">Nippon India Medium Duration Fund - Segregated Portfolio 1 - Growth Option</t>
        </is>
      </c>
      <c r="C9667" t="inlineStr">
        <is>
          <t xml:space="preserve">INF204KB14N2</t>
        </is>
      </c>
    </row>
    <row r="9668">
      <c r="A9668" t="inlineStr">
        <is>
          <t xml:space="preserve">Nippon India Mutual Fund</t>
        </is>
      </c>
      <c r="B9668" t="inlineStr">
        <is>
          <t xml:space="preserve">NIPPON INDIA MEDIUM DURATION FUND - SEGREGATED PORTFOLIO 1 - IDCW Option</t>
        </is>
      </c>
      <c r="C9668" t="inlineStr">
        <is>
          <t xml:space="preserve">INF204KB10N0</t>
        </is>
      </c>
    </row>
    <row r="9669">
      <c r="A9669" t="inlineStr">
        <is>
          <t xml:space="preserve">Nippon India Mutual Fund</t>
        </is>
      </c>
      <c r="B9669" t="inlineStr">
        <is>
          <t xml:space="preserve">Nippon India Medium Duration Fund - Segregated Portfolio 2 - Direct Plan - Bonus Option</t>
        </is>
      </c>
      <c r="C9669" t="inlineStr">
        <is>
          <t xml:space="preserve">INF204KB15Q2</t>
        </is>
      </c>
    </row>
    <row r="9670">
      <c r="A9670" t="inlineStr">
        <is>
          <t xml:space="preserve">Nippon India Mutual Fund</t>
        </is>
      </c>
      <c r="B9670" t="inlineStr">
        <is>
          <t xml:space="preserve">Nippon India Medium Duration Fund - Segregated Portfolio 2 - Direct Plan - Growth Option</t>
        </is>
      </c>
      <c r="C9670" t="inlineStr">
        <is>
          <t xml:space="preserve">INF204KB10R1</t>
        </is>
      </c>
    </row>
    <row r="9671">
      <c r="A9671" t="inlineStr">
        <is>
          <t xml:space="preserve">Nippon India Mutual Fund</t>
        </is>
      </c>
      <c r="B9671" t="inlineStr">
        <is>
          <t xml:space="preserve">Nippon India Medium Duration Fund - Segregated Portfolio 2 - Growth Option</t>
        </is>
      </c>
      <c r="C9671" t="inlineStr">
        <is>
          <t xml:space="preserve">INF204KB16R8</t>
        </is>
      </c>
    </row>
    <row r="9672">
      <c r="A9672" t="inlineStr">
        <is>
          <t xml:space="preserve">Nippon India Mutual Fund</t>
        </is>
      </c>
      <c r="B9672" t="inlineStr">
        <is>
          <t xml:space="preserve">NIPPON INDIA MEDIUM TO LONG DURATION  FUND - ANNUAL IDCW Option</t>
        </is>
      </c>
      <c r="C9672" t="inlineStr">
        <is>
          <t xml:space="preserve">INF204K01CT4</t>
        </is>
      </c>
    </row>
    <row r="9673">
      <c r="A9673" t="inlineStr">
        <is>
          <t xml:space="preserve">Nippon India Mutual Fund</t>
        </is>
      </c>
      <c r="B9673" t="inlineStr">
        <is>
          <t xml:space="preserve">NIPPON INDIA MEDIUM TO LONG DURATION  FUND - Direct Plan - ANNUAL IDCW Option</t>
        </is>
      </c>
      <c r="C9673" t="inlineStr">
        <is>
          <t xml:space="preserve">INF204K01YT8</t>
        </is>
      </c>
    </row>
    <row r="9674">
      <c r="A9674" t="inlineStr">
        <is>
          <t xml:space="preserve">Nippon India Mutual Fund</t>
        </is>
      </c>
      <c r="B9674" t="inlineStr">
        <is>
          <t xml:space="preserve">NIPPON INDIA MEDIUM TO LONG DURATION  FUND - Direct Plan - HALF YEARLY IDCW Option</t>
        </is>
      </c>
      <c r="C9674" t="inlineStr">
        <is>
          <t xml:space="preserve">INF204K01YR2</t>
        </is>
      </c>
    </row>
    <row r="9675">
      <c r="A9675" t="inlineStr">
        <is>
          <t xml:space="preserve">Nippon India Mutual Fund</t>
        </is>
      </c>
      <c r="B9675" t="inlineStr">
        <is>
          <t xml:space="preserve">NIPPON INDIA MEDIUM TO LONG DURATION  FUND - Direct Plan - MONTHLY IDCW Option</t>
        </is>
      </c>
      <c r="C9675" t="inlineStr">
        <is>
          <t xml:space="preserve">INF204K01YN1</t>
        </is>
      </c>
    </row>
    <row r="9676">
      <c r="A9676" t="inlineStr">
        <is>
          <t xml:space="preserve">Nippon India Mutual Fund</t>
        </is>
      </c>
      <c r="B9676" t="inlineStr">
        <is>
          <t xml:space="preserve">Nippon India Medium to Long Duration  Fund - Direct Plan Growth Plan-Bonus Option</t>
        </is>
      </c>
      <c r="C9676" t="inlineStr">
        <is>
          <t xml:space="preserve">INF204K01F38</t>
        </is>
      </c>
    </row>
    <row r="9677">
      <c r="A9677" t="inlineStr">
        <is>
          <t xml:space="preserve">Nippon India Mutual Fund</t>
        </is>
      </c>
      <c r="B9677" t="inlineStr">
        <is>
          <t xml:space="preserve">Nippon India Medium to Long Duration  Fund - Growth Plan Bonus Option</t>
        </is>
      </c>
      <c r="C9677" t="inlineStr">
        <is>
          <t xml:space="preserve">INF204K01CM9</t>
        </is>
      </c>
    </row>
    <row r="9678">
      <c r="A9678" t="inlineStr">
        <is>
          <t xml:space="preserve">Nippon India Mutual Fund</t>
        </is>
      </c>
      <c r="B9678" t="inlineStr">
        <is>
          <t xml:space="preserve">Nippon India Medium to Long Duration  Fund - Growth Plan Growth Option</t>
        </is>
      </c>
      <c r="C9678" t="inlineStr">
        <is>
          <t xml:space="preserve">INF204K01CL1</t>
        </is>
      </c>
    </row>
    <row r="9679">
      <c r="A9679" t="inlineStr">
        <is>
          <t xml:space="preserve">Nippon India Mutual Fund</t>
        </is>
      </c>
      <c r="B9679" t="inlineStr">
        <is>
          <t xml:space="preserve">NIPPON INDIA MEDIUM TO LONG DURATION  FUND - HALF YEARLY IDCW Option</t>
        </is>
      </c>
      <c r="C9679" t="inlineStr">
        <is>
          <t xml:space="preserve">INF204K01CR8</t>
        </is>
      </c>
    </row>
    <row r="9680">
      <c r="A9680" t="inlineStr">
        <is>
          <t xml:space="preserve">Nippon India Mutual Fund</t>
        </is>
      </c>
      <c r="B9680" t="inlineStr">
        <is>
          <t xml:space="preserve">NIPPON INDIA MEDIUM TO LONG DURATION  FUND - QUARTERLY IDCW Option</t>
        </is>
      </c>
      <c r="C9680" t="inlineStr">
        <is>
          <t xml:space="preserve">INF204K01CP2</t>
        </is>
      </c>
    </row>
    <row r="9681">
      <c r="A9681" t="inlineStr">
        <is>
          <t xml:space="preserve">Nippon India Mutual Fund</t>
        </is>
      </c>
      <c r="B9681" t="inlineStr">
        <is>
          <t xml:space="preserve">NIPPON INDIA MEDIUM TO LONG DURATION FUND - Direct Plan - QUARTERLY IDCW Option</t>
        </is>
      </c>
      <c r="C9681" t="inlineStr">
        <is>
          <t xml:space="preserve">INF204K01YP6</t>
        </is>
      </c>
    </row>
    <row r="9682">
      <c r="A9682" t="inlineStr">
        <is>
          <t xml:space="preserve">Nippon India Mutual Fund</t>
        </is>
      </c>
      <c r="B9682" t="inlineStr">
        <is>
          <t xml:space="preserve">Nippon India Medium to Long Duration Fund - Direct Plan Growth Plan - Growth Option</t>
        </is>
      </c>
      <c r="C9682" t="inlineStr">
        <is>
          <t xml:space="preserve">INF204K01XS2</t>
        </is>
      </c>
    </row>
    <row r="9683">
      <c r="A9683" t="inlineStr">
        <is>
          <t xml:space="preserve">Nippon India Mutual Fund</t>
        </is>
      </c>
      <c r="B9683" t="inlineStr">
        <is>
          <t xml:space="preserve">NIPPON INDIA MEDIUM TO LONG DURATION FUND - MONTHLY IDCW Option</t>
        </is>
      </c>
      <c r="C9683" t="inlineStr">
        <is>
          <t xml:space="preserve">INF204K01CN7</t>
        </is>
      </c>
    </row>
    <row r="9684">
      <c r="A9684" t="inlineStr">
        <is>
          <t xml:space="preserve">Nippon India Mutual Fund</t>
        </is>
      </c>
      <c r="B9684" t="inlineStr">
        <is>
          <t xml:space="preserve">Nippon India MNC Fund- Direct Plan- Growth Option</t>
        </is>
      </c>
      <c r="C9684" t="inlineStr">
        <is>
          <t xml:space="preserve">INF204KC1FR7</t>
        </is>
      </c>
    </row>
    <row r="9685">
      <c r="A9685" t="inlineStr">
        <is>
          <t xml:space="preserve">Nippon India Mutual Fund</t>
        </is>
      </c>
      <c r="B9685" t="inlineStr">
        <is>
          <t xml:space="preserve">Nippon India MNC Fund- Direct Plan-IDCW Payout</t>
        </is>
      </c>
      <c r="C9685" t="inlineStr">
        <is>
          <t xml:space="preserve">INF204KC1FS5</t>
        </is>
      </c>
    </row>
    <row r="9686">
      <c r="A9686" t="inlineStr">
        <is>
          <t xml:space="preserve">Nippon India Mutual Fund</t>
        </is>
      </c>
      <c r="B9686" t="inlineStr">
        <is>
          <t xml:space="preserve">Nippon India MNC Fund- Regular Plan- IDCW Payout</t>
        </is>
      </c>
      <c r="C9686" t="inlineStr">
        <is>
          <t xml:space="preserve">INF204KC1FP1</t>
        </is>
      </c>
    </row>
    <row r="9687">
      <c r="A9687" t="inlineStr">
        <is>
          <t xml:space="preserve">Nippon India Mutual Fund</t>
        </is>
      </c>
      <c r="B9687" t="inlineStr">
        <is>
          <t xml:space="preserve">Nippon India MNC Fund- Regular Plan-Growth Option</t>
        </is>
      </c>
      <c r="C9687" t="inlineStr">
        <is>
          <t xml:space="preserve">INF204KC1FO4</t>
        </is>
      </c>
    </row>
    <row r="9688">
      <c r="A9688" t="inlineStr">
        <is>
          <t xml:space="preserve">Nippon India Mutual Fund</t>
        </is>
      </c>
      <c r="B9688" t="inlineStr">
        <is>
          <t xml:space="preserve">NIPPON INDIA MONEY MARKET FUND - DAILY IDCW Option</t>
        </is>
      </c>
      <c r="C9688" t="inlineStr">
        <is>
          <t xml:space="preserve">INF204K01UY6</t>
        </is>
      </c>
    </row>
    <row r="9689">
      <c r="A9689" t="inlineStr">
        <is>
          <t xml:space="preserve">Nippon India Mutual Fund</t>
        </is>
      </c>
      <c r="B9689" t="inlineStr">
        <is>
          <t xml:space="preserve">NIPPON INDIA MONEY MARKET FUND - DIRECT Plan - DAILY IDCW Option</t>
        </is>
      </c>
      <c r="C9689" t="inlineStr">
        <is>
          <t xml:space="preserve">INF204K01ZN8</t>
        </is>
      </c>
    </row>
    <row r="9690">
      <c r="A9690" t="inlineStr">
        <is>
          <t xml:space="preserve">Nippon India Mutual Fund</t>
        </is>
      </c>
      <c r="B9690" t="inlineStr">
        <is>
          <t xml:space="preserve">NIPPON INDIA MONEY MARKET FUND - DIRECT Plan - MONTHLY IDCW Option</t>
        </is>
      </c>
      <c r="C9690" t="inlineStr">
        <is>
          <t xml:space="preserve">INF204K01ZQ1</t>
        </is>
      </c>
    </row>
    <row r="9691">
      <c r="A9691" t="inlineStr">
        <is>
          <t xml:space="preserve">Nippon India Mutual Fund</t>
        </is>
      </c>
      <c r="B9691" t="inlineStr">
        <is>
          <t xml:space="preserve">NIPPON INDIA MONEY MARKET FUND - DIRECT Plan - QUARTERLY IDCW Option</t>
        </is>
      </c>
      <c r="C9691" t="inlineStr">
        <is>
          <t xml:space="preserve">INF204K01ZS7</t>
        </is>
      </c>
    </row>
    <row r="9692">
      <c r="A9692" t="inlineStr">
        <is>
          <t xml:space="preserve">Nippon India Mutual Fund</t>
        </is>
      </c>
      <c r="B9692" t="inlineStr">
        <is>
          <t xml:space="preserve">NIPPON INDIA MONEY MARKET FUND - DIRECT Plan - WEEKLY IDCW Option</t>
        </is>
      </c>
      <c r="C9692" t="inlineStr">
        <is>
          <t xml:space="preserve">INF204K01ZO6</t>
        </is>
      </c>
    </row>
    <row r="9693">
      <c r="A9693" t="inlineStr">
        <is>
          <t xml:space="preserve">Nippon India Mutual Fund</t>
        </is>
      </c>
      <c r="B9693" t="inlineStr">
        <is>
          <t xml:space="preserve">Nippon India Money Market Fund - Direct Plan Growth Plan - Bonus Option</t>
        </is>
      </c>
      <c r="C9693" t="inlineStr">
        <is>
          <t xml:space="preserve">INF204K01G11</t>
        </is>
      </c>
    </row>
    <row r="9694">
      <c r="A9694" t="inlineStr">
        <is>
          <t xml:space="preserve">Nippon India Mutual Fund</t>
        </is>
      </c>
      <c r="B9694" t="inlineStr">
        <is>
          <t xml:space="preserve">Nippon India Money Market Fund - Direct Plan Growth Plan - Growth Option</t>
        </is>
      </c>
      <c r="C9694" t="inlineStr">
        <is>
          <t xml:space="preserve">INF204K01ZP3</t>
        </is>
      </c>
    </row>
    <row r="9695">
      <c r="A9695" t="inlineStr">
        <is>
          <t xml:space="preserve">Nippon India Mutual Fund</t>
        </is>
      </c>
      <c r="B9695" t="inlineStr">
        <is>
          <t xml:space="preserve">NIPPON INDIA MONEY MARKET FUND - MONTHLY IDCW Option</t>
        </is>
      </c>
      <c r="C9695" t="inlineStr">
        <is>
          <t xml:space="preserve">INF204K01VB2</t>
        </is>
      </c>
    </row>
    <row r="9696">
      <c r="A9696" t="inlineStr">
        <is>
          <t xml:space="preserve">Nippon India Mutual Fund</t>
        </is>
      </c>
      <c r="B9696" t="inlineStr">
        <is>
          <t xml:space="preserve">NIPPON INDIA MONEY MARKET FUND - QUARTERLY IDCW Option</t>
        </is>
      </c>
      <c r="C9696" t="inlineStr">
        <is>
          <t xml:space="preserve">INF204K01VD8</t>
        </is>
      </c>
    </row>
    <row r="9697">
      <c r="A9697" t="inlineStr">
        <is>
          <t xml:space="preserve">Nippon India Mutual Fund</t>
        </is>
      </c>
      <c r="B9697" t="inlineStr">
        <is>
          <t xml:space="preserve">NIPPON INDIA MONEY MARKET FUND - WEEKLY IDCW Option</t>
        </is>
      </c>
      <c r="C9697" t="inlineStr">
        <is>
          <t xml:space="preserve">INF204K01UZ3</t>
        </is>
      </c>
    </row>
    <row r="9698">
      <c r="A9698" t="inlineStr">
        <is>
          <t xml:space="preserve">Nippon India Mutual Fund</t>
        </is>
      </c>
      <c r="B9698" t="inlineStr">
        <is>
          <t xml:space="preserve">Nippon India Money Market Fund-Growth Plan-Bonus Option</t>
        </is>
      </c>
      <c r="C9698" t="inlineStr">
        <is>
          <t xml:space="preserve">INF204K01UX8</t>
        </is>
      </c>
    </row>
    <row r="9699">
      <c r="A9699" t="inlineStr">
        <is>
          <t xml:space="preserve">Nippon India Mutual Fund</t>
        </is>
      </c>
      <c r="B9699" t="inlineStr">
        <is>
          <t xml:space="preserve">Nippon India Money Market Fund-Growth Plan-Growth Option</t>
        </is>
      </c>
      <c r="C9699" t="inlineStr">
        <is>
          <t xml:space="preserve">INF204K01VA4</t>
        </is>
      </c>
    </row>
    <row r="9700">
      <c r="A9700" t="inlineStr">
        <is>
          <t xml:space="preserve">Nippon India Mutual Fund</t>
        </is>
      </c>
      <c r="B9700" t="inlineStr">
        <is>
          <t xml:space="preserve">Nippon India Multi - Asset Omni FoF - Direct Plan - Growth Option</t>
        </is>
      </c>
      <c r="C9700" t="inlineStr">
        <is>
          <t xml:space="preserve">INF204KB16Y4</t>
        </is>
      </c>
    </row>
    <row r="9701">
      <c r="A9701" t="inlineStr">
        <is>
          <t xml:space="preserve">Nippon India Mutual Fund</t>
        </is>
      </c>
      <c r="B9701" t="inlineStr">
        <is>
          <t xml:space="preserve">Nippon India Multi - Asset Omni FoF - DIRECT Plan - IDCW Option</t>
        </is>
      </c>
      <c r="C9701" t="inlineStr">
        <is>
          <t xml:space="preserve">INF204KB17Y2</t>
        </is>
      </c>
    </row>
    <row r="9702">
      <c r="A9702" t="inlineStr">
        <is>
          <t xml:space="preserve">Nippon India Mutual Fund</t>
        </is>
      </c>
      <c r="B9702" t="inlineStr">
        <is>
          <t xml:space="preserve">Nippon India Multi - Asset Omni FoF - IDCW Option</t>
        </is>
      </c>
      <c r="C9702" t="inlineStr">
        <is>
          <t xml:space="preserve">INF204KB14Y9</t>
        </is>
      </c>
    </row>
    <row r="9703">
      <c r="A9703" t="inlineStr">
        <is>
          <t xml:space="preserve">Nippon India Mutual Fund</t>
        </is>
      </c>
      <c r="B9703" t="inlineStr">
        <is>
          <t xml:space="preserve">Nippon India Multi - Asset Omni FoF - Regular Plan - Growth Option</t>
        </is>
      </c>
      <c r="C9703" t="inlineStr">
        <is>
          <t xml:space="preserve">INF204KB13Y1</t>
        </is>
      </c>
    </row>
    <row r="9704">
      <c r="A9704" t="inlineStr">
        <is>
          <t xml:space="preserve">Nippon India Mutual Fund</t>
        </is>
      </c>
      <c r="B9704" t="inlineStr">
        <is>
          <t xml:space="preserve">Nippon India Multi Asset Allocation Fund - Direct Plan - Growth Option</t>
        </is>
      </c>
      <c r="C9704" t="inlineStr">
        <is>
          <t xml:space="preserve">INF204KB19V4</t>
        </is>
      </c>
    </row>
    <row r="9705">
      <c r="A9705" t="inlineStr">
        <is>
          <t xml:space="preserve">Nippon India Mutual Fund</t>
        </is>
      </c>
      <c r="B9705" t="inlineStr">
        <is>
          <t xml:space="preserve">NIPPON INDIA MULTI ASSET ALLOCATION FUND - DIRECT Plan - IDCW Option</t>
        </is>
      </c>
      <c r="C9705" t="inlineStr">
        <is>
          <t xml:space="preserve">INF204KB10W1</t>
        </is>
      </c>
    </row>
    <row r="9706">
      <c r="A9706" t="inlineStr">
        <is>
          <t xml:space="preserve">Nippon India Mutual Fund</t>
        </is>
      </c>
      <c r="B9706" t="inlineStr">
        <is>
          <t xml:space="preserve">NIPPON INDIA MULTI ASSET ALLOCATION FUND - IDCW Option</t>
        </is>
      </c>
      <c r="C9706" t="inlineStr">
        <is>
          <t xml:space="preserve">INF204KB17V8</t>
        </is>
      </c>
    </row>
    <row r="9707">
      <c r="A9707" t="inlineStr">
        <is>
          <t xml:space="preserve">Nippon India Mutual Fund</t>
        </is>
      </c>
      <c r="B9707" t="inlineStr">
        <is>
          <t xml:space="preserve">Nippon India Multi Asset Allocation Fund - Regular Plan - Growth Option</t>
        </is>
      </c>
      <c r="C9707" t="inlineStr">
        <is>
          <t xml:space="preserve">INF204KB16V0</t>
        </is>
      </c>
    </row>
    <row r="9708">
      <c r="A9708" t="inlineStr">
        <is>
          <t xml:space="preserve">Nippon India Mutual Fund</t>
        </is>
      </c>
      <c r="B9708" t="inlineStr">
        <is>
          <t xml:space="preserve">NIPPON INDIA MULTI CAP FUND - DIRECT Plan - IDCW Option</t>
        </is>
      </c>
      <c r="C9708" t="inlineStr">
        <is>
          <t xml:space="preserve">INF204K01XD4</t>
        </is>
      </c>
    </row>
    <row r="9709">
      <c r="A9709" t="inlineStr">
        <is>
          <t xml:space="preserve">Nippon India Mutual Fund</t>
        </is>
      </c>
      <c r="B9709" t="inlineStr">
        <is>
          <t xml:space="preserve">Nippon India Multi Cap Fund - Direct Plan Growth Plan - Bonus Option</t>
        </is>
      </c>
      <c r="C9709" t="inlineStr">
        <is>
          <t xml:space="preserve">INF204K01D55</t>
        </is>
      </c>
    </row>
    <row r="9710">
      <c r="A9710" t="inlineStr">
        <is>
          <t xml:space="preserve">Nippon India Mutual Fund</t>
        </is>
      </c>
      <c r="B9710" t="inlineStr">
        <is>
          <t xml:space="preserve">Nippon India Multi Cap Fund - Direct Plan Growth Plan - Growth Option</t>
        </is>
      </c>
      <c r="C9710" t="inlineStr">
        <is>
          <t xml:space="preserve">INF204K01XF9</t>
        </is>
      </c>
    </row>
    <row r="9711">
      <c r="A9711" t="inlineStr">
        <is>
          <t xml:space="preserve">Nippon India Mutual Fund</t>
        </is>
      </c>
      <c r="B9711" t="inlineStr">
        <is>
          <t xml:space="preserve">NIPPON INDIA MULTI CAP FUND - IDCW Option</t>
        </is>
      </c>
      <c r="C9711" t="inlineStr">
        <is>
          <t xml:space="preserve">INF204K01455</t>
        </is>
      </c>
    </row>
    <row r="9712">
      <c r="A9712" t="inlineStr">
        <is>
          <t xml:space="preserve">Nippon India Mutual Fund</t>
        </is>
      </c>
      <c r="B9712" t="inlineStr">
        <is>
          <t xml:space="preserve">Nippon India Multi Cap Fund Institutional Dividend Plan</t>
        </is>
      </c>
      <c r="C9712" t="inlineStr">
        <is>
          <t xml:space="preserve">INF204K01414</t>
        </is>
      </c>
    </row>
    <row r="9713">
      <c r="A9713" t="inlineStr">
        <is>
          <t xml:space="preserve">Nippon India Mutual Fund</t>
        </is>
      </c>
      <c r="B9713" t="inlineStr">
        <is>
          <t xml:space="preserve">Nippon India Multi Cap Fund Institutional Plan Growth Plan Growth Option</t>
        </is>
      </c>
      <c r="C9713" t="inlineStr">
        <is>
          <t xml:space="preserve">INF204K01448</t>
        </is>
      </c>
    </row>
    <row r="9714">
      <c r="A9714" t="inlineStr">
        <is>
          <t xml:space="preserve">Nippon India Mutual Fund</t>
        </is>
      </c>
      <c r="B9714" t="inlineStr">
        <is>
          <t xml:space="preserve">Nippon India Multi Cap Fund-Growth Plan-Bonus Option</t>
        </is>
      </c>
      <c r="C9714" t="inlineStr">
        <is>
          <t xml:space="preserve">INF204K01471</t>
        </is>
      </c>
    </row>
    <row r="9715">
      <c r="A9715" t="inlineStr">
        <is>
          <t xml:space="preserve">Nippon India Mutual Fund</t>
        </is>
      </c>
      <c r="B9715" t="inlineStr">
        <is>
          <t xml:space="preserve">Nippon India Multi Cap Fund-Growth Plan-Growth Option</t>
        </is>
      </c>
      <c r="C9715" t="inlineStr">
        <is>
          <t xml:space="preserve">INF204K01489</t>
        </is>
      </c>
    </row>
    <row r="9716">
      <c r="A9716" t="inlineStr">
        <is>
          <t xml:space="preserve">Nippon India Mutual Fund</t>
        </is>
      </c>
      <c r="B9716" t="inlineStr">
        <is>
          <t xml:space="preserve">Nippon India Nifty 1D Rate Liquid ETF-Growth</t>
        </is>
      </c>
      <c r="C9716" t="inlineStr">
        <is>
          <t xml:space="preserve">INF204KC1FU1</t>
        </is>
      </c>
    </row>
    <row r="9717">
      <c r="A9717" t="inlineStr">
        <is>
          <t xml:space="preserve">Nippon India Mutual Fund</t>
        </is>
      </c>
      <c r="B9717" t="inlineStr">
        <is>
          <t xml:space="preserve">Nippon India Nifty 50 Value 20 Index Fund - Direct Plan - Growth Option</t>
        </is>
      </c>
      <c r="C9717" t="inlineStr">
        <is>
          <t xml:space="preserve">INF204KB12Z0</t>
        </is>
      </c>
    </row>
    <row r="9718">
      <c r="A9718" t="inlineStr">
        <is>
          <t xml:space="preserve">Nippon India Mutual Fund</t>
        </is>
      </c>
      <c r="B9718" t="inlineStr">
        <is>
          <t xml:space="preserve">NIPPON INDIA NIFTY 50 VALUE 20 INDEX FUND - DIRECT Plan - IDCW Option</t>
        </is>
      </c>
      <c r="C9718" t="inlineStr">
        <is>
          <t xml:space="preserve">INF204KB13Z8</t>
        </is>
      </c>
    </row>
    <row r="9719">
      <c r="A9719" t="inlineStr">
        <is>
          <t xml:space="preserve">Nippon India Mutual Fund</t>
        </is>
      </c>
      <c r="B9719" t="inlineStr">
        <is>
          <t xml:space="preserve">NIPPON INDIA NIFTY 50 VALUE 20 INDEX FUND - IDCW Option</t>
        </is>
      </c>
      <c r="C9719" t="inlineStr">
        <is>
          <t xml:space="preserve">INF204KB10Z4</t>
        </is>
      </c>
    </row>
    <row r="9720">
      <c r="A9720" t="inlineStr">
        <is>
          <t xml:space="preserve">Nippon India Mutual Fund</t>
        </is>
      </c>
      <c r="B9720" t="inlineStr">
        <is>
          <t xml:space="preserve">Nippon India Nifty 50 Value 20 Index Fund - Regular Plan - Growth Option</t>
        </is>
      </c>
      <c r="C9720" t="inlineStr">
        <is>
          <t xml:space="preserve">INF204KB19Y8</t>
        </is>
      </c>
    </row>
    <row r="9721">
      <c r="A9721" t="inlineStr">
        <is>
          <t xml:space="preserve">Nippon India Mutual Fund</t>
        </is>
      </c>
      <c r="B9721" t="inlineStr">
        <is>
          <t xml:space="preserve">Nippon India Nifty 500 Equal Weight Index Fund - Direct Plan - Growth Option</t>
        </is>
      </c>
      <c r="C9721" t="inlineStr">
        <is>
          <t xml:space="preserve">INF204KC1DA8</t>
        </is>
      </c>
    </row>
    <row r="9722">
      <c r="A9722" t="inlineStr">
        <is>
          <t xml:space="preserve">Nippon India Mutual Fund</t>
        </is>
      </c>
      <c r="B9722" t="inlineStr">
        <is>
          <t xml:space="preserve">Nippon India Nifty 500 Equal Weight Index Fund - Direct Plan - IDCW Option</t>
        </is>
      </c>
      <c r="C9722" t="inlineStr">
        <is>
          <t xml:space="preserve">INF204KC1DB6</t>
        </is>
      </c>
    </row>
    <row r="9723">
      <c r="A9723" t="inlineStr">
        <is>
          <t xml:space="preserve">Nippon India Mutual Fund</t>
        </is>
      </c>
      <c r="B9723" t="inlineStr">
        <is>
          <t xml:space="preserve">Nippon India Nifty 500 Equal Weight Index Fund - Regular Plan - Growth Option</t>
        </is>
      </c>
      <c r="C9723" t="inlineStr">
        <is>
          <t xml:space="preserve">INF204KC1CX2</t>
        </is>
      </c>
    </row>
    <row r="9724">
      <c r="A9724" t="inlineStr">
        <is>
          <t xml:space="preserve">Nippon India Mutual Fund</t>
        </is>
      </c>
      <c r="B9724" t="inlineStr">
        <is>
          <t xml:space="preserve">Nippon India Nifty 500 Equal Weight Index Fund - Regular Plan - IDCW Option</t>
        </is>
      </c>
      <c r="C9724" t="inlineStr">
        <is>
          <t xml:space="preserve">INF204KC1CY0</t>
        </is>
      </c>
    </row>
    <row r="9725">
      <c r="A9725" t="inlineStr">
        <is>
          <t xml:space="preserve">Nippon India Mutual Fund</t>
        </is>
      </c>
      <c r="B9725" t="inlineStr">
        <is>
          <t xml:space="preserve">Nippon India Nifty 500 Low Volatility 50 Index Fund - Direct Plan - Growth Option</t>
        </is>
      </c>
      <c r="C9725" t="inlineStr">
        <is>
          <t xml:space="preserve">INF204KC1EQ2</t>
        </is>
      </c>
    </row>
    <row r="9726">
      <c r="A9726" t="inlineStr">
        <is>
          <t xml:space="preserve">Nippon India Mutual Fund</t>
        </is>
      </c>
      <c r="B9726" t="inlineStr">
        <is>
          <t xml:space="preserve">Nippon India Nifty 500 Low Volatility 50 Index Fund - Direct Plan - IDCW Plan</t>
        </is>
      </c>
      <c r="C9726" t="inlineStr">
        <is>
          <t xml:space="preserve">INF204KC1ER0</t>
        </is>
      </c>
    </row>
    <row r="9727">
      <c r="A9727" t="inlineStr">
        <is>
          <t xml:space="preserve">Nippon India Mutual Fund</t>
        </is>
      </c>
      <c r="B9727" t="inlineStr">
        <is>
          <t xml:space="preserve">Nippon India Nifty 500 Low Volatility 50 Index Fund - Regular Pan - IDCW Option</t>
        </is>
      </c>
      <c r="C9727" t="inlineStr">
        <is>
          <t xml:space="preserve">INF204KC1EO7</t>
        </is>
      </c>
    </row>
    <row r="9728">
      <c r="A9728" t="inlineStr">
        <is>
          <t xml:space="preserve">Nippon India Mutual Fund</t>
        </is>
      </c>
      <c r="B9728" t="inlineStr">
        <is>
          <t xml:space="preserve">Nippon India Nifty 500 Low Volatility 50 Index Fund - Regular Plan - Growth Option</t>
        </is>
      </c>
      <c r="C9728" t="inlineStr">
        <is>
          <t xml:space="preserve">INF204KC1EN9</t>
        </is>
      </c>
    </row>
    <row r="9729">
      <c r="A9729" t="inlineStr">
        <is>
          <t xml:space="preserve">Nippon India Mutual Fund</t>
        </is>
      </c>
      <c r="B9729" t="inlineStr">
        <is>
          <t xml:space="preserve">Nippon India Nifty 500 Momentum 50 Index Fund - Direct Plan - Growth Option</t>
        </is>
      </c>
      <c r="C9729" t="inlineStr">
        <is>
          <t xml:space="preserve">INF204KC1DG5</t>
        </is>
      </c>
    </row>
    <row r="9730">
      <c r="A9730" t="inlineStr">
        <is>
          <t xml:space="preserve">Nippon India Mutual Fund</t>
        </is>
      </c>
      <c r="B9730" t="inlineStr">
        <is>
          <t xml:space="preserve">Nippon India Nifty 500 Momentum 50 Index Fund - Direct Plan - IDCW Option</t>
        </is>
      </c>
      <c r="C9730" t="inlineStr">
        <is>
          <t xml:space="preserve">INF204KC1DH3</t>
        </is>
      </c>
    </row>
    <row r="9731">
      <c r="A9731" t="inlineStr">
        <is>
          <t xml:space="preserve">Nippon India Mutual Fund</t>
        </is>
      </c>
      <c r="B9731" t="inlineStr">
        <is>
          <t xml:space="preserve">Nippon India Nifty 500 Momentum 50 Index Fund - Regular Plan - Growth Option</t>
        </is>
      </c>
      <c r="C9731" t="inlineStr">
        <is>
          <t xml:space="preserve">INF204KC1DD2</t>
        </is>
      </c>
    </row>
    <row r="9732">
      <c r="A9732" t="inlineStr">
        <is>
          <t xml:space="preserve">Nippon India Mutual Fund</t>
        </is>
      </c>
      <c r="B9732" t="inlineStr">
        <is>
          <t xml:space="preserve">Nippon India Nifty 500 Momentum 50 Index Fund - Regular Plan - IDCW Option</t>
        </is>
      </c>
      <c r="C9732" t="inlineStr">
        <is>
          <t xml:space="preserve">INF204KC1DE0</t>
        </is>
      </c>
    </row>
    <row r="9733">
      <c r="A9733" t="inlineStr">
        <is>
          <t xml:space="preserve">Nippon India Mutual Fund</t>
        </is>
      </c>
      <c r="B9733" t="inlineStr">
        <is>
          <t xml:space="preserve">Nippon India Nifty 500 Quality 50 Index Fund - Direct Plan - Growth Option</t>
        </is>
      </c>
      <c r="C9733" t="inlineStr">
        <is>
          <t xml:space="preserve">INF204KC1EW0</t>
        </is>
      </c>
    </row>
    <row r="9734">
      <c r="A9734" t="inlineStr">
        <is>
          <t xml:space="preserve">Nippon India Mutual Fund</t>
        </is>
      </c>
      <c r="B9734" t="inlineStr">
        <is>
          <t xml:space="preserve">Nippon India Nifty 500 Quality 50 Index Fund - Direct Plan - IDCW Option</t>
        </is>
      </c>
      <c r="C9734" t="inlineStr">
        <is>
          <t xml:space="preserve">INF204KC1EX8</t>
        </is>
      </c>
    </row>
    <row r="9735">
      <c r="A9735" t="inlineStr">
        <is>
          <t xml:space="preserve">Nippon India Mutual Fund</t>
        </is>
      </c>
      <c r="B9735" t="inlineStr">
        <is>
          <t xml:space="preserve">Nippon India Nifty 500 Quality 50 Index Fund - Regular Plan - Growth Option</t>
        </is>
      </c>
      <c r="C9735" t="inlineStr">
        <is>
          <t xml:space="preserve">INF204KC1ET6</t>
        </is>
      </c>
    </row>
    <row r="9736">
      <c r="A9736" t="inlineStr">
        <is>
          <t xml:space="preserve">Nippon India Mutual Fund</t>
        </is>
      </c>
      <c r="B9736" t="inlineStr">
        <is>
          <t xml:space="preserve">Nippon India Nifty 500 Quality 50 Index Fund - Regular Plan - IDCW Option</t>
        </is>
      </c>
      <c r="C9736" t="inlineStr">
        <is>
          <t xml:space="preserve">INF204KC1EU4</t>
        </is>
      </c>
    </row>
    <row r="9737">
      <c r="A9737" t="inlineStr">
        <is>
          <t xml:space="preserve">Nippon India Mutual Fund</t>
        </is>
      </c>
      <c r="B9737" t="inlineStr">
        <is>
          <t xml:space="preserve">Nippon India Nifty AAA CPSE Bond Plus SDL - Apr 2027 Maturity 60:40 Index Fund - Direct Plan - Growth Option</t>
        </is>
      </c>
      <c r="C9737" t="inlineStr">
        <is>
          <t xml:space="preserve">INF204KC1527</t>
        </is>
      </c>
    </row>
    <row r="9738">
      <c r="A9738" t="inlineStr">
        <is>
          <t xml:space="preserve">Nippon India Mutual Fund</t>
        </is>
      </c>
      <c r="B9738" t="inlineStr">
        <is>
          <t xml:space="preserve">Nippon India Nifty AAA CPSE Bond Plus SDL - Apr 2027 Maturity 60:40 Index Fund - Direct Plan - IDCW Option</t>
        </is>
      </c>
      <c r="C9738" t="inlineStr">
        <is>
          <t xml:space="preserve">INF204KC1535</t>
        </is>
      </c>
    </row>
    <row r="9739">
      <c r="A9739" t="inlineStr">
        <is>
          <t xml:space="preserve">Nippon India Mutual Fund</t>
        </is>
      </c>
      <c r="B9739" t="inlineStr">
        <is>
          <t xml:space="preserve">Nippon India Nifty AAA CPSE Bond Plus SDL - Apr 2027 Maturity 60:40 Index Fund - Regular Plan - Growth Option</t>
        </is>
      </c>
      <c r="C9739" t="inlineStr">
        <is>
          <t xml:space="preserve">INF204KC1493</t>
        </is>
      </c>
    </row>
    <row r="9740">
      <c r="A9740" t="inlineStr">
        <is>
          <t xml:space="preserve">Nippon India Mutual Fund</t>
        </is>
      </c>
      <c r="B9740" t="inlineStr">
        <is>
          <t xml:space="preserve">Nippon India Nifty AAA CPSE Bond Plus SDL - Apr 2027 Maturity 60:40 Index Fund - Regular Plan - IDCW Option</t>
        </is>
      </c>
      <c r="C9740" t="inlineStr">
        <is>
          <t xml:space="preserve">INF204KC1519</t>
        </is>
      </c>
    </row>
    <row r="9741">
      <c r="A9741" t="inlineStr">
        <is>
          <t xml:space="preserve">Nippon India Mutual Fund</t>
        </is>
      </c>
      <c r="B9741" t="inlineStr">
        <is>
          <t xml:space="preserve">Nippon India Nifty AAA PSU Bond Plus SDL - Sep 2026 Maturity 50:50 Index Fund-Direct Plan-Growth Option</t>
        </is>
      </c>
      <c r="C9741" t="inlineStr">
        <is>
          <t xml:space="preserve">INF204KC1683</t>
        </is>
      </c>
    </row>
    <row r="9742">
      <c r="A9742" t="inlineStr">
        <is>
          <t xml:space="preserve">Nippon India Mutual Fund</t>
        </is>
      </c>
      <c r="B9742" t="inlineStr">
        <is>
          <t xml:space="preserve">Nippon India Nifty AAA PSU Bond Plus SDL - Sep 2026 Maturity 50:50 Index Fund-Direct Plan-IDCW Option</t>
        </is>
      </c>
      <c r="C9742" t="inlineStr">
        <is>
          <t xml:space="preserve">INF204KC1691</t>
        </is>
      </c>
    </row>
    <row r="9743">
      <c r="A9743" t="inlineStr">
        <is>
          <t xml:space="preserve">Nippon India Mutual Fund</t>
        </is>
      </c>
      <c r="B9743" t="inlineStr">
        <is>
          <t xml:space="preserve">Nippon India Nifty AAA PSU Bond Plus SDL - Sep 2026 Maturity 50:50 Index Fund-Regular Plan-Growth Option</t>
        </is>
      </c>
      <c r="C9743" t="inlineStr">
        <is>
          <t xml:space="preserve">INF204KC1659</t>
        </is>
      </c>
    </row>
    <row r="9744">
      <c r="A9744" t="inlineStr">
        <is>
          <t xml:space="preserve">Nippon India Mutual Fund</t>
        </is>
      </c>
      <c r="B9744" t="inlineStr">
        <is>
          <t xml:space="preserve">Nippon India Nifty AAA PSU Bond Plus SDL - Sep 2026 Maturity 50:50 Index Fund-Regular Plan-IDCW Option</t>
        </is>
      </c>
      <c r="C9744" t="inlineStr">
        <is>
          <t xml:space="preserve">INF204KC1667</t>
        </is>
      </c>
    </row>
    <row r="9745">
      <c r="A9745" t="inlineStr">
        <is>
          <t xml:space="preserve">Nippon India Mutual Fund</t>
        </is>
      </c>
      <c r="B9745" t="inlineStr">
        <is>
          <t xml:space="preserve">Nippon India Nifty Alpha Low Volatility 30 Index Fund - Direct Plan - Growth Option</t>
        </is>
      </c>
      <c r="C9745" t="inlineStr">
        <is>
          <t xml:space="preserve">INF204KC1584</t>
        </is>
      </c>
    </row>
    <row r="9746">
      <c r="A9746" t="inlineStr">
        <is>
          <t xml:space="preserve">Nippon India Mutual Fund</t>
        </is>
      </c>
      <c r="B9746" t="inlineStr">
        <is>
          <t xml:space="preserve">Nippon India Nifty Alpha Low Volatility 30 Index Fund - Direct Plan - IDCW Option</t>
        </is>
      </c>
      <c r="C9746" t="inlineStr">
        <is>
          <t xml:space="preserve">INF204KC1592</t>
        </is>
      </c>
    </row>
    <row r="9747">
      <c r="A9747" t="inlineStr">
        <is>
          <t xml:space="preserve">Nippon India Mutual Fund</t>
        </is>
      </c>
      <c r="B9747" t="inlineStr">
        <is>
          <t xml:space="preserve">Nippon India Nifty Alpha Low Volatility 30 Index Fund - Regular Plan - Growth Option</t>
        </is>
      </c>
      <c r="C9747" t="inlineStr">
        <is>
          <t xml:space="preserve">INF204KC1550</t>
        </is>
      </c>
    </row>
    <row r="9748">
      <c r="A9748" t="inlineStr">
        <is>
          <t xml:space="preserve">Nippon India Mutual Fund</t>
        </is>
      </c>
      <c r="B9748" t="inlineStr">
        <is>
          <t xml:space="preserve">Nippon India Nifty Alpha Low Volatility 30 Index Fund - Regular Plan - IDCW Option</t>
        </is>
      </c>
      <c r="C9748" t="inlineStr">
        <is>
          <t xml:space="preserve">INF204KC1568</t>
        </is>
      </c>
    </row>
    <row r="9749">
      <c r="A9749" t="inlineStr">
        <is>
          <t xml:space="preserve">Nippon India Mutual Fund</t>
        </is>
      </c>
      <c r="B9749" t="inlineStr">
        <is>
          <t xml:space="preserve">Nippon India Nifty Auto ETF</t>
        </is>
      </c>
      <c r="C9749" t="inlineStr">
        <is>
          <t xml:space="preserve">INF204KC1337</t>
        </is>
      </c>
    </row>
    <row r="9750">
      <c r="A9750" t="inlineStr">
        <is>
          <t xml:space="preserve">Nippon India Mutual Fund</t>
        </is>
      </c>
      <c r="B9750" t="inlineStr">
        <is>
          <t xml:space="preserve">Nippon India Nifty Auto Index Fund - Direct Plan- Growth Option</t>
        </is>
      </c>
      <c r="C9750" t="inlineStr">
        <is>
          <t xml:space="preserve">INF204KC1EE8</t>
        </is>
      </c>
    </row>
    <row r="9751">
      <c r="A9751" t="inlineStr">
        <is>
          <t xml:space="preserve">Nippon India Mutual Fund</t>
        </is>
      </c>
      <c r="B9751" t="inlineStr">
        <is>
          <t xml:space="preserve">Nippon India Nifty Auto Index Fund - Direct Plan- IDCW Option</t>
        </is>
      </c>
      <c r="C9751" t="inlineStr">
        <is>
          <t xml:space="preserve">INF204KC1EF5</t>
        </is>
      </c>
    </row>
    <row r="9752">
      <c r="A9752" t="inlineStr">
        <is>
          <t xml:space="preserve">Nippon India Mutual Fund</t>
        </is>
      </c>
      <c r="B9752" t="inlineStr">
        <is>
          <t xml:space="preserve">Nippon India Nifty Auto Index Fund - Regular Plan- Growth Option</t>
        </is>
      </c>
      <c r="C9752" t="inlineStr">
        <is>
          <t xml:space="preserve">INF204KC1EB4</t>
        </is>
      </c>
    </row>
    <row r="9753">
      <c r="A9753" t="inlineStr">
        <is>
          <t xml:space="preserve">Nippon India Mutual Fund</t>
        </is>
      </c>
      <c r="B9753" t="inlineStr">
        <is>
          <t xml:space="preserve">Nippon India Nifty Auto Index Fund - Regular Plan- IDCW Option</t>
        </is>
      </c>
      <c r="C9753" t="inlineStr">
        <is>
          <t xml:space="preserve">INF204KC1EC2</t>
        </is>
      </c>
    </row>
    <row r="9754">
      <c r="A9754" t="inlineStr">
        <is>
          <t xml:space="preserve">Nippon India Mutual Fund</t>
        </is>
      </c>
      <c r="B9754" t="inlineStr">
        <is>
          <t xml:space="preserve">Nippon India Nifty Bank Index Fund - Direct Plan - Growth Option</t>
        </is>
      </c>
      <c r="C9754" t="inlineStr">
        <is>
          <t xml:space="preserve">INF204KC1BY2</t>
        </is>
      </c>
    </row>
    <row r="9755">
      <c r="A9755" t="inlineStr">
        <is>
          <t xml:space="preserve">Nippon India Mutual Fund</t>
        </is>
      </c>
      <c r="B9755" t="inlineStr">
        <is>
          <t xml:space="preserve">Nippon India Nifty Bank Index Fund - Direct Plan - IDCW Option</t>
        </is>
      </c>
      <c r="C9755" t="inlineStr">
        <is>
          <t xml:space="preserve">INF204KC1BZ9</t>
        </is>
      </c>
    </row>
    <row r="9756">
      <c r="A9756" t="inlineStr">
        <is>
          <t xml:space="preserve">Nippon India Mutual Fund</t>
        </is>
      </c>
      <c r="B9756" t="inlineStr">
        <is>
          <t xml:space="preserve">Nippon India Nifty Bank Index Fund - Regular Plan - Growth Option</t>
        </is>
      </c>
      <c r="C9756" t="inlineStr">
        <is>
          <t xml:space="preserve">INF204KC1BV8</t>
        </is>
      </c>
    </row>
    <row r="9757">
      <c r="A9757" t="inlineStr">
        <is>
          <t xml:space="preserve">Nippon India Mutual Fund</t>
        </is>
      </c>
      <c r="B9757" t="inlineStr">
        <is>
          <t xml:space="preserve">Nippon India Nifty Bank Index Fund - Regular Plan - IDCW Option</t>
        </is>
      </c>
      <c r="C9757" t="inlineStr">
        <is>
          <t xml:space="preserve">INF204KC1BW6</t>
        </is>
      </c>
    </row>
    <row r="9758">
      <c r="A9758" t="inlineStr">
        <is>
          <t xml:space="preserve">Nippon India Mutual Fund</t>
        </is>
      </c>
      <c r="B9758" t="inlineStr">
        <is>
          <t xml:space="preserve">Nippon India Nifty G-Sec Jun 2036 Maturity Index Fund-Direct Plan-Growth Option</t>
        </is>
      </c>
      <c r="C9758" t="inlineStr">
        <is>
          <t xml:space="preserve">INF204KC1AC0</t>
        </is>
      </c>
    </row>
    <row r="9759">
      <c r="A9759" t="inlineStr">
        <is>
          <t xml:space="preserve">Nippon India Mutual Fund</t>
        </is>
      </c>
      <c r="B9759" t="inlineStr">
        <is>
          <t xml:space="preserve">Nippon India Nifty G-Sec Jun 2036 Maturity Index fund-Direct Plan-IDCW Option</t>
        </is>
      </c>
      <c r="C9759" t="inlineStr">
        <is>
          <t xml:space="preserve">INF204KC1AD8</t>
        </is>
      </c>
    </row>
    <row r="9760">
      <c r="A9760" t="inlineStr">
        <is>
          <t xml:space="preserve">Nippon India Mutual Fund</t>
        </is>
      </c>
      <c r="B9760" t="inlineStr">
        <is>
          <t xml:space="preserve">Nippon India Nifty G-Sec Jun 2036 Maturity Index Fund-Regular Plan-Growth Option</t>
        </is>
      </c>
      <c r="C9760" t="inlineStr">
        <is>
          <t xml:space="preserve">INF204KC1998</t>
        </is>
      </c>
    </row>
    <row r="9761">
      <c r="A9761" t="inlineStr">
        <is>
          <t xml:space="preserve">Nippon India Mutual Fund</t>
        </is>
      </c>
      <c r="B9761" t="inlineStr">
        <is>
          <t xml:space="preserve">Nippon India Nifty G-Sec Jun 2036 Maturity Index Fund-Regular Plan-IDCW Option</t>
        </is>
      </c>
      <c r="C9761" t="inlineStr">
        <is>
          <t xml:space="preserve">INF204KC1AA4</t>
        </is>
      </c>
    </row>
    <row r="9762">
      <c r="A9762" t="inlineStr">
        <is>
          <t xml:space="preserve">Nippon India Mutual Fund</t>
        </is>
      </c>
      <c r="B9762" t="inlineStr">
        <is>
          <t xml:space="preserve">Nippon India Nifty G-Sec Oct 2028 Maturity Index Fund-Direct Plan-Growth Option</t>
        </is>
      </c>
      <c r="C9762" t="inlineStr">
        <is>
          <t xml:space="preserve">INF204KC1AO5</t>
        </is>
      </c>
    </row>
    <row r="9763">
      <c r="A9763" t="inlineStr">
        <is>
          <t xml:space="preserve">Nippon India Mutual Fund</t>
        </is>
      </c>
      <c r="B9763" t="inlineStr">
        <is>
          <t xml:space="preserve">Nippon India Nifty G-Sec Oct 2028 Maturity Index Fund-Direct Plan-IDCW Option</t>
        </is>
      </c>
      <c r="C9763" t="inlineStr">
        <is>
          <t xml:space="preserve">INF204KC1AP2</t>
        </is>
      </c>
    </row>
    <row r="9764">
      <c r="A9764" t="inlineStr">
        <is>
          <t xml:space="preserve">Nippon India Mutual Fund</t>
        </is>
      </c>
      <c r="B9764" t="inlineStr">
        <is>
          <t xml:space="preserve">Nippon India Nifty G-Sec Oct 2028 Maturity Index Fund-Regular Plan-Growth Option</t>
        </is>
      </c>
      <c r="C9764" t="inlineStr">
        <is>
          <t xml:space="preserve">INF204KC1AL1</t>
        </is>
      </c>
    </row>
    <row r="9765">
      <c r="A9765" t="inlineStr">
        <is>
          <t xml:space="preserve">Nippon India Mutual Fund</t>
        </is>
      </c>
      <c r="B9765" t="inlineStr">
        <is>
          <t xml:space="preserve">Nippon India Nifty G-Sec Oct 2028 Maturity Index Fund-Regular Plan-IDCW Option</t>
        </is>
      </c>
      <c r="C9765" t="inlineStr">
        <is>
          <t xml:space="preserve">INF204KC1AM9</t>
        </is>
      </c>
    </row>
    <row r="9766">
      <c r="A9766" t="inlineStr">
        <is>
          <t xml:space="preserve">Nippon India Mutual Fund</t>
        </is>
      </c>
      <c r="B9766" t="inlineStr">
        <is>
          <t xml:space="preserve">Nippon India Nifty G-Sec Sep 2027 Maturity Index Fund-Direct Plan-Growth Option</t>
        </is>
      </c>
      <c r="C9766" t="inlineStr">
        <is>
          <t xml:space="preserve">INF204KC1881</t>
        </is>
      </c>
    </row>
    <row r="9767">
      <c r="A9767" t="inlineStr">
        <is>
          <t xml:space="preserve">Nippon India Mutual Fund</t>
        </is>
      </c>
      <c r="B9767" t="inlineStr">
        <is>
          <t xml:space="preserve">Nippon India Nifty G-Sec Sep 2027 Maturity Index Fund-Direct Plan-IDCW Option</t>
        </is>
      </c>
      <c r="C9767" t="inlineStr">
        <is>
          <t xml:space="preserve">INF204KC1899</t>
        </is>
      </c>
    </row>
    <row r="9768">
      <c r="A9768" t="inlineStr">
        <is>
          <t xml:space="preserve">Nippon India Mutual Fund</t>
        </is>
      </c>
      <c r="B9768" t="inlineStr">
        <is>
          <t xml:space="preserve">Nippon India Nifty G-Sec Sep 2027 Maturity Index Fund-Regular Plan-Growth Option</t>
        </is>
      </c>
      <c r="C9768" t="inlineStr">
        <is>
          <t xml:space="preserve">INF204KC1857</t>
        </is>
      </c>
    </row>
    <row r="9769">
      <c r="A9769" t="inlineStr">
        <is>
          <t xml:space="preserve">Nippon India Mutual Fund</t>
        </is>
      </c>
      <c r="B9769" t="inlineStr">
        <is>
          <t xml:space="preserve">Nippon India Nifty G-Sec Sep 2027 Maturity Index Fund-Regular Plan-IDCW Option</t>
        </is>
      </c>
      <c r="C9769" t="inlineStr">
        <is>
          <t xml:space="preserve">INF204KC1865</t>
        </is>
      </c>
    </row>
    <row r="9770">
      <c r="A9770" t="inlineStr">
        <is>
          <t xml:space="preserve">Nippon India Mutual Fund</t>
        </is>
      </c>
      <c r="B9770" t="inlineStr">
        <is>
          <t xml:space="preserve">Nippon India Nifty India Manufacturing ETF</t>
        </is>
      </c>
      <c r="C9770" t="inlineStr">
        <is>
          <t xml:space="preserve">INF204KC1GH6</t>
        </is>
      </c>
    </row>
    <row r="9771">
      <c r="A9771" t="inlineStr">
        <is>
          <t xml:space="preserve">Nippon India Mutual Fund</t>
        </is>
      </c>
      <c r="B9771" t="inlineStr">
        <is>
          <t xml:space="preserve">Nippon India Nifty India Manufacturing Index - Direct Plan- IDCW Option</t>
        </is>
      </c>
      <c r="C9771" t="inlineStr">
        <is>
          <t xml:space="preserve">INF204KC1GM6</t>
        </is>
      </c>
    </row>
    <row r="9772">
      <c r="A9772" t="inlineStr">
        <is>
          <t xml:space="preserve">Nippon India Mutual Fund</t>
        </is>
      </c>
      <c r="B9772" t="inlineStr">
        <is>
          <t xml:space="preserve">Nippon India Nifty India Manufacturing Index Fund- Direct Plan- Growth Option</t>
        </is>
      </c>
      <c r="C9772" t="inlineStr">
        <is>
          <t xml:space="preserve">INF204KC1GL8</t>
        </is>
      </c>
    </row>
    <row r="9773">
      <c r="A9773" t="inlineStr">
        <is>
          <t xml:space="preserve">Nippon India Mutual Fund</t>
        </is>
      </c>
      <c r="B9773" t="inlineStr">
        <is>
          <t xml:space="preserve">Nippon India Nifty India Manufacturing Index- Regular Plan-IDCW Option</t>
        </is>
      </c>
      <c r="C9773" t="inlineStr">
        <is>
          <t xml:space="preserve">INF204KC1GJ2</t>
        </is>
      </c>
    </row>
    <row r="9774">
      <c r="A9774" t="inlineStr">
        <is>
          <t xml:space="preserve">Nippon India Mutual Fund</t>
        </is>
      </c>
      <c r="B9774" t="inlineStr">
        <is>
          <t xml:space="preserve">Nippon India Nifty India Manufacturing Index-Regular Plan-Growth Option</t>
        </is>
      </c>
      <c r="C9774" t="inlineStr">
        <is>
          <t xml:space="preserve">INF204KC1GI4</t>
        </is>
      </c>
    </row>
    <row r="9775">
      <c r="A9775" t="inlineStr">
        <is>
          <t xml:space="preserve">Nippon India Mutual Fund</t>
        </is>
      </c>
      <c r="B9775" t="inlineStr">
        <is>
          <t xml:space="preserve">Nippon India Nifty IT Index Fund - Direct Plan - Growth Option</t>
        </is>
      </c>
      <c r="C9775" t="inlineStr">
        <is>
          <t xml:space="preserve">INF204KC1CE2</t>
        </is>
      </c>
    </row>
    <row r="9776">
      <c r="A9776" t="inlineStr">
        <is>
          <t xml:space="preserve">Nippon India Mutual Fund</t>
        </is>
      </c>
      <c r="B9776" t="inlineStr">
        <is>
          <t xml:space="preserve">Nippon India Nifty IT Index Fund - Direct Plan - IDCW Option</t>
        </is>
      </c>
      <c r="C9776" t="inlineStr">
        <is>
          <t xml:space="preserve">INF204KC1CF9</t>
        </is>
      </c>
    </row>
    <row r="9777">
      <c r="A9777" t="inlineStr">
        <is>
          <t xml:space="preserve">Nippon India Mutual Fund</t>
        </is>
      </c>
      <c r="B9777" t="inlineStr">
        <is>
          <t xml:space="preserve">Nippon India Nifty IT Index Fund - Regular Plan - Growth Option</t>
        </is>
      </c>
      <c r="C9777" t="inlineStr">
        <is>
          <t xml:space="preserve">INF204KC1CB8</t>
        </is>
      </c>
    </row>
    <row r="9778">
      <c r="A9778" t="inlineStr">
        <is>
          <t xml:space="preserve">Nippon India Mutual Fund</t>
        </is>
      </c>
      <c r="B9778" t="inlineStr">
        <is>
          <t xml:space="preserve">Nippon India Nifty IT Index Fund - Regular Plan - IDCW Option</t>
        </is>
      </c>
      <c r="C9778" t="inlineStr">
        <is>
          <t xml:space="preserve">INF204KC1CC6</t>
        </is>
      </c>
    </row>
    <row r="9779">
      <c r="A9779" t="inlineStr">
        <is>
          <t xml:space="preserve">Nippon India Mutual Fund</t>
        </is>
      </c>
      <c r="B9779" t="inlineStr">
        <is>
          <t xml:space="preserve">Nippon India Nifty Midcap 150 Index Fund - Direct Plan - Growth Option</t>
        </is>
      </c>
      <c r="C9779" t="inlineStr">
        <is>
          <t xml:space="preserve">INF204KB18Z7</t>
        </is>
      </c>
    </row>
    <row r="9780">
      <c r="A9780" t="inlineStr">
        <is>
          <t xml:space="preserve">Nippon India Mutual Fund</t>
        </is>
      </c>
      <c r="B9780" t="inlineStr">
        <is>
          <t xml:space="preserve">NIPPON INDIA NIFTY MIDCAP 150 INDEX FUND - DIRECT Plan - IDCW Option</t>
        </is>
      </c>
      <c r="C9780" t="inlineStr">
        <is>
          <t xml:space="preserve">INF204KB19Z5</t>
        </is>
      </c>
    </row>
    <row r="9781">
      <c r="A9781" t="inlineStr">
        <is>
          <t xml:space="preserve">Nippon India Mutual Fund</t>
        </is>
      </c>
      <c r="B9781" t="inlineStr">
        <is>
          <t xml:space="preserve">NIPPON INDIA NIFTY MIDCAP 150 INDEX FUND - IDCW Option</t>
        </is>
      </c>
      <c r="C9781" t="inlineStr">
        <is>
          <t xml:space="preserve">INF204KB16Z1</t>
        </is>
      </c>
    </row>
    <row r="9782">
      <c r="A9782" t="inlineStr">
        <is>
          <t xml:space="preserve">Nippon India Mutual Fund</t>
        </is>
      </c>
      <c r="B9782" t="inlineStr">
        <is>
          <t xml:space="preserve">Nippon India Nifty Midcap 150 Index Fund - Regular Plan - Growth Option</t>
        </is>
      </c>
      <c r="C9782" t="inlineStr">
        <is>
          <t xml:space="preserve">INF204KB15Z3</t>
        </is>
      </c>
    </row>
    <row r="9783">
      <c r="A9783" t="inlineStr">
        <is>
          <t xml:space="preserve">Nippon India Mutual Fund</t>
        </is>
      </c>
      <c r="B9783" t="inlineStr">
        <is>
          <t xml:space="preserve">Nippon India Nifty Next 50 Junior BeES FoF - Direct Plan - Growth Plan - Growth Option</t>
        </is>
      </c>
      <c r="C9783" t="inlineStr">
        <is>
          <t xml:space="preserve">INF204KB1X25</t>
        </is>
      </c>
    </row>
    <row r="9784">
      <c r="A9784" t="inlineStr">
        <is>
          <t xml:space="preserve">Nippon India Mutual Fund</t>
        </is>
      </c>
      <c r="B9784" t="inlineStr">
        <is>
          <t xml:space="preserve">NIPPON INDIA NIFTY NEXT 50 JUNIOR BEES FOF - DIRECT Plan - IDCW Option</t>
        </is>
      </c>
      <c r="C9784" t="inlineStr">
        <is>
          <t xml:space="preserve">INF204KB1X41</t>
        </is>
      </c>
    </row>
    <row r="9785">
      <c r="A9785" t="inlineStr">
        <is>
          <t xml:space="preserve">Nippon India Mutual Fund</t>
        </is>
      </c>
      <c r="B9785" t="inlineStr">
        <is>
          <t xml:space="preserve">Nippon India Nifty Next 50 Junior BeES FoF - Growth Plan - Growth Option</t>
        </is>
      </c>
      <c r="C9785" t="inlineStr">
        <is>
          <t xml:space="preserve">INF204KB1W91</t>
        </is>
      </c>
    </row>
    <row r="9786">
      <c r="A9786" t="inlineStr">
        <is>
          <t xml:space="preserve">Nippon India Mutual Fund</t>
        </is>
      </c>
      <c r="B9786" t="inlineStr">
        <is>
          <t xml:space="preserve">NIPPON INDIA NIFTY NEXT 50 JUNIOR BEES FOF - IDCW Option</t>
        </is>
      </c>
      <c r="C9786" t="inlineStr">
        <is>
          <t xml:space="preserve">INF204KB1X17</t>
        </is>
      </c>
    </row>
    <row r="9787">
      <c r="A9787" t="inlineStr">
        <is>
          <t xml:space="preserve">Nippon India Mutual Fund</t>
        </is>
      </c>
      <c r="B9787" t="inlineStr">
        <is>
          <t xml:space="preserve">Nippon India Nifty Pharma ETF</t>
        </is>
      </c>
      <c r="C9787" t="inlineStr">
        <is>
          <t xml:space="preserve">INF204KC1089</t>
        </is>
      </c>
    </row>
    <row r="9788">
      <c r="A9788" t="inlineStr">
        <is>
          <t xml:space="preserve">Nippon India Mutual Fund</t>
        </is>
      </c>
      <c r="B9788" t="inlineStr">
        <is>
          <t xml:space="preserve">Nippon India Nifty Realty Index Fund-Direct Plan- Growth Option</t>
        </is>
      </c>
      <c r="C9788" t="inlineStr">
        <is>
          <t xml:space="preserve">INF204KC1DY8</t>
        </is>
      </c>
    </row>
    <row r="9789">
      <c r="A9789" t="inlineStr">
        <is>
          <t xml:space="preserve">Nippon India Mutual Fund</t>
        </is>
      </c>
      <c r="B9789" t="inlineStr">
        <is>
          <t xml:space="preserve">Nippon India Nifty Realty Index Fund-Direct Plan- IDCW Option</t>
        </is>
      </c>
      <c r="C9789" t="inlineStr">
        <is>
          <t xml:space="preserve">INF204KC1DZ5</t>
        </is>
      </c>
    </row>
    <row r="9790">
      <c r="A9790" t="inlineStr">
        <is>
          <t xml:space="preserve">Nippon India Mutual Fund</t>
        </is>
      </c>
      <c r="B9790" t="inlineStr">
        <is>
          <t xml:space="preserve">Nippon India Nifty Realty Index Fund-Regular Plan- Growth Option</t>
        </is>
      </c>
      <c r="C9790" t="inlineStr">
        <is>
          <t xml:space="preserve">INF204KC1DV4</t>
        </is>
      </c>
    </row>
    <row r="9791">
      <c r="A9791" t="inlineStr">
        <is>
          <t xml:space="preserve">Nippon India Mutual Fund</t>
        </is>
      </c>
      <c r="B9791" t="inlineStr">
        <is>
          <t xml:space="preserve">Nippon India Nifty Realty Index Fund-Regular Plan- IDCW Option</t>
        </is>
      </c>
      <c r="C9791" t="inlineStr">
        <is>
          <t xml:space="preserve">INF204KC1DW2</t>
        </is>
      </c>
    </row>
    <row r="9792">
      <c r="A9792" t="inlineStr">
        <is>
          <t xml:space="preserve">Nippon India Mutual Fund</t>
        </is>
      </c>
      <c r="B9792" t="inlineStr">
        <is>
          <t xml:space="preserve">Nippon India Nifty SDL Plus G-Sec - Jun 2028 Maturity 70:30 Index Fund-Direct Plan-Growth Option</t>
        </is>
      </c>
      <c r="C9792" t="inlineStr">
        <is>
          <t xml:space="preserve">INF204KC1741</t>
        </is>
      </c>
    </row>
    <row r="9793">
      <c r="A9793" t="inlineStr">
        <is>
          <t xml:space="preserve">Nippon India Mutual Fund</t>
        </is>
      </c>
      <c r="B9793" t="inlineStr">
        <is>
          <t xml:space="preserve">Nippon India Nifty SDL Plus G-Sec - Jun 2028 Maturity 70:30 Index Fund-Direct Plan-IDCW Option</t>
        </is>
      </c>
      <c r="C9793" t="inlineStr">
        <is>
          <t xml:space="preserve">INF204KC1758</t>
        </is>
      </c>
    </row>
    <row r="9794">
      <c r="A9794" t="inlineStr">
        <is>
          <t xml:space="preserve">Nippon India Mutual Fund</t>
        </is>
      </c>
      <c r="B9794" t="inlineStr">
        <is>
          <t xml:space="preserve">Nippon India Nifty SDL Plus G-Sec - Jun 2028 Maturity 70:30 Index Fund-Regular Plan IDCW Option</t>
        </is>
      </c>
      <c r="C9794" t="inlineStr">
        <is>
          <t xml:space="preserve">INF204KC1725</t>
        </is>
      </c>
    </row>
    <row r="9795">
      <c r="A9795" t="inlineStr">
        <is>
          <t xml:space="preserve">Nippon India Mutual Fund</t>
        </is>
      </c>
      <c r="B9795" t="inlineStr">
        <is>
          <t xml:space="preserve">Nippon India Nifty SDL Plus G-Sec - Jun 2028 Maturity 70:30 Index Fund-Regular Plan-Growth Option</t>
        </is>
      </c>
      <c r="C9795" t="inlineStr">
        <is>
          <t xml:space="preserve">INF204KC1717</t>
        </is>
      </c>
    </row>
    <row r="9796">
      <c r="A9796" t="inlineStr">
        <is>
          <t xml:space="preserve">Nippon India Mutual Fund</t>
        </is>
      </c>
      <c r="B9796" t="inlineStr">
        <is>
          <t xml:space="preserve">Nippon India Nifty SDL Plus G-Sec - Jun 2029 Maturity 70:30 Index Fund-Regular Plan-IDCW Option</t>
        </is>
      </c>
      <c r="C9796" t="inlineStr">
        <is>
          <t xml:space="preserve">INF204KC1AG1</t>
        </is>
      </c>
    </row>
    <row r="9797">
      <c r="A9797" t="inlineStr">
        <is>
          <t xml:space="preserve">Nippon India Mutual Fund</t>
        </is>
      </c>
      <c r="B9797" t="inlineStr">
        <is>
          <t xml:space="preserve">Nippon India Nifty SDL Plus G-Sec-Jun 2029 Maturity 70:30 Index Fund-Direct Plan-Growth Option</t>
        </is>
      </c>
      <c r="C9797" t="inlineStr">
        <is>
          <t xml:space="preserve">INF204KC1AI7</t>
        </is>
      </c>
    </row>
    <row r="9798">
      <c r="A9798" t="inlineStr">
        <is>
          <t xml:space="preserve">Nippon India Mutual Fund</t>
        </is>
      </c>
      <c r="B9798" t="inlineStr">
        <is>
          <t xml:space="preserve">Nippon India Nifty SDL Plus G-Sec-Jun 2029 Maturity 70:30 Index Fund-Direct Plan-IDCW Option</t>
        </is>
      </c>
      <c r="C9798" t="inlineStr">
        <is>
          <t xml:space="preserve">INF204KC1AJ5</t>
        </is>
      </c>
    </row>
    <row r="9799">
      <c r="A9799" t="inlineStr">
        <is>
          <t xml:space="preserve">Nippon India Mutual Fund</t>
        </is>
      </c>
      <c r="B9799" t="inlineStr">
        <is>
          <t xml:space="preserve">Nippon India Nifty SDL Plus G-Sec-Jun 2029 Maturity 70:30 Index Fund-Regular Plan- Growth Option</t>
        </is>
      </c>
      <c r="C9799" t="inlineStr">
        <is>
          <t xml:space="preserve">INF204KC1AF3</t>
        </is>
      </c>
    </row>
    <row r="9800">
      <c r="A9800" t="inlineStr">
        <is>
          <t xml:space="preserve">Nippon India Mutual Fund</t>
        </is>
      </c>
      <c r="B9800" t="inlineStr">
        <is>
          <t xml:space="preserve">Nippon India Nifty Smallcap 250 Index Fund - Direct Plan - Growth Option</t>
        </is>
      </c>
      <c r="C9800" t="inlineStr">
        <is>
          <t xml:space="preserve">INF204KB15W0</t>
        </is>
      </c>
    </row>
    <row r="9801">
      <c r="A9801" t="inlineStr">
        <is>
          <t xml:space="preserve">Nippon India Mutual Fund</t>
        </is>
      </c>
      <c r="B9801" t="inlineStr">
        <is>
          <t xml:space="preserve">NIPPON INDIA NIFTY SMALLCAP 250 INDEX FUND - DIRECT Plan - IDCW Option</t>
        </is>
      </c>
      <c r="C9801" t="inlineStr">
        <is>
          <t xml:space="preserve">INF204KB16W8</t>
        </is>
      </c>
    </row>
    <row r="9802">
      <c r="A9802" t="inlineStr">
        <is>
          <t xml:space="preserve">Nippon India Mutual Fund</t>
        </is>
      </c>
      <c r="B9802" t="inlineStr">
        <is>
          <t xml:space="preserve">NIPPON INDIA NIFTY SMALLCAP 250 INDEX FUND - IDCW Option</t>
        </is>
      </c>
      <c r="C9802" t="inlineStr">
        <is>
          <t xml:space="preserve">INF204KB13W5</t>
        </is>
      </c>
    </row>
    <row r="9803">
      <c r="A9803" t="inlineStr">
        <is>
          <t xml:space="preserve">Nippon India Mutual Fund</t>
        </is>
      </c>
      <c r="B9803" t="inlineStr">
        <is>
          <t xml:space="preserve">Nippon India Nifty Smallcap 250 Index Fund - Regular Plan - Growth Option</t>
        </is>
      </c>
      <c r="C9803" t="inlineStr">
        <is>
          <t xml:space="preserve">INF204KB12W7</t>
        </is>
      </c>
    </row>
    <row r="9804">
      <c r="A9804" t="inlineStr">
        <is>
          <t xml:space="preserve">Nippon India Mutual Fund</t>
        </is>
      </c>
      <c r="B9804" t="inlineStr">
        <is>
          <t xml:space="preserve">NIPPON INDIA NIVESH LAKSHYA LONG DURATION  FUND - DIRECT Plan - QUARTERLY IDCW Option</t>
        </is>
      </c>
      <c r="C9804" t="inlineStr">
        <is>
          <t xml:space="preserve">INF204KB1YV1</t>
        </is>
      </c>
    </row>
    <row r="9805">
      <c r="A9805" t="inlineStr">
        <is>
          <t xml:space="preserve">Nippon India Mutual Fund</t>
        </is>
      </c>
      <c r="B9805" t="inlineStr">
        <is>
          <t xml:space="preserve">NIPPON INDIA NIVESH LAKSHYA LONG DURATION FUND - ANNUAL IDCW Option</t>
        </is>
      </c>
      <c r="C9805" t="inlineStr">
        <is>
          <t xml:space="preserve">INF204KB1ZK1</t>
        </is>
      </c>
    </row>
    <row r="9806">
      <c r="A9806" t="inlineStr">
        <is>
          <t xml:space="preserve">Nippon India Mutual Fund</t>
        </is>
      </c>
      <c r="B9806" t="inlineStr">
        <is>
          <t xml:space="preserve">NIPPON INDIA NIVESH LAKSHYA LONG DURATION FUND - DIRECT Plan - ANNUAL IDCW Option</t>
        </is>
      </c>
      <c r="C9806" t="inlineStr">
        <is>
          <t xml:space="preserve">INF204KB1YZ2</t>
        </is>
      </c>
    </row>
    <row r="9807">
      <c r="A9807" t="inlineStr">
        <is>
          <t xml:space="preserve">Nippon India Mutual Fund</t>
        </is>
      </c>
      <c r="B9807" t="inlineStr">
        <is>
          <t xml:space="preserve">NIPPON INDIA NIVESH LAKSHYA LONG DURATION FUND - DIRECT Plan - HALF YEARLY IDCW Option</t>
        </is>
      </c>
      <c r="C9807" t="inlineStr">
        <is>
          <t xml:space="preserve">INF204KB1YX7</t>
        </is>
      </c>
    </row>
    <row r="9808">
      <c r="A9808" t="inlineStr">
        <is>
          <t xml:space="preserve">Nippon India Mutual Fund</t>
        </is>
      </c>
      <c r="B9808" t="inlineStr">
        <is>
          <t xml:space="preserve">NIPPON INDIA NIVESH LAKSHYA LONG DURATION FUND - DIRECT Plan - IDCW Option</t>
        </is>
      </c>
      <c r="C9808" t="inlineStr">
        <is>
          <t xml:space="preserve">INF204KB1YR9</t>
        </is>
      </c>
    </row>
    <row r="9809">
      <c r="A9809" t="inlineStr">
        <is>
          <t xml:space="preserve">Nippon India Mutual Fund</t>
        </is>
      </c>
      <c r="B9809" t="inlineStr">
        <is>
          <t xml:space="preserve">NIPPON INDIA NIVESH LAKSHYA LONG DURATION FUND - DIRECT Plan - MONTHLY IDCW Option</t>
        </is>
      </c>
      <c r="C9809" t="inlineStr">
        <is>
          <t xml:space="preserve">INF204KB1YT5</t>
        </is>
      </c>
    </row>
    <row r="9810">
      <c r="A9810" t="inlineStr">
        <is>
          <t xml:space="preserve">Nippon India Mutual Fund</t>
        </is>
      </c>
      <c r="B9810" t="inlineStr">
        <is>
          <t xml:space="preserve">NIPPON INDIA NIVESH LAKSHYA LONG DURATION FUND - IDCW Option</t>
        </is>
      </c>
      <c r="C9810" t="inlineStr">
        <is>
          <t xml:space="preserve">INF204KB1ZC8</t>
        </is>
      </c>
    </row>
    <row r="9811">
      <c r="A9811" t="inlineStr">
        <is>
          <t xml:space="preserve">Nippon India Mutual Fund</t>
        </is>
      </c>
      <c r="B9811" t="inlineStr">
        <is>
          <t xml:space="preserve">NIPPON INDIA NIVESH LAKSHYA LONG DURATION FUND - MONTHLY IDCW Option</t>
        </is>
      </c>
      <c r="C9811" t="inlineStr">
        <is>
          <t xml:space="preserve">INF204KB1ZE4</t>
        </is>
      </c>
    </row>
    <row r="9812">
      <c r="A9812" t="inlineStr">
        <is>
          <t xml:space="preserve">Nippon India Mutual Fund</t>
        </is>
      </c>
      <c r="B9812" t="inlineStr">
        <is>
          <t xml:space="preserve">NIPPON INDIA NIVESH LAKSHYA LONG DURATION FUND - QUARTERLY IDCW Option</t>
        </is>
      </c>
      <c r="C9812" t="inlineStr">
        <is>
          <t xml:space="preserve">INF204KB1ZG9</t>
        </is>
      </c>
    </row>
    <row r="9813">
      <c r="A9813" t="inlineStr">
        <is>
          <t xml:space="preserve">Nippon India Mutual Fund</t>
        </is>
      </c>
      <c r="B9813" t="inlineStr">
        <is>
          <t xml:space="preserve">NIPPON INDIA NIVESH LAKSHYA LONG DURATION FUND LONG DURATION - HALF YEARLY IDCW Option</t>
        </is>
      </c>
      <c r="C9813" t="inlineStr">
        <is>
          <t xml:space="preserve">INF204KB1ZI5</t>
        </is>
      </c>
    </row>
    <row r="9814">
      <c r="A9814" t="inlineStr">
        <is>
          <t xml:space="preserve">Nippon India Mutual Fund</t>
        </is>
      </c>
      <c r="B9814" t="inlineStr">
        <is>
          <t xml:space="preserve">Nippon India Nivesh Lakshya Long Duration Fund- Direct Plan- Growth Option</t>
        </is>
      </c>
      <c r="C9814" t="inlineStr">
        <is>
          <t xml:space="preserve">INF204KB1YQ1</t>
        </is>
      </c>
    </row>
    <row r="9815">
      <c r="A9815" t="inlineStr">
        <is>
          <t xml:space="preserve">Nippon India Mutual Fund</t>
        </is>
      </c>
      <c r="B9815" t="inlineStr">
        <is>
          <t xml:space="preserve">Nippon India Nivesh Lakshya Long Duration Fund- Growth Option</t>
        </is>
      </c>
      <c r="C9815" t="inlineStr">
        <is>
          <t xml:space="preserve">INF204KB1ZB0</t>
        </is>
      </c>
    </row>
    <row r="9816">
      <c r="A9816" t="inlineStr">
        <is>
          <t xml:space="preserve">Nippon India Mutual Fund</t>
        </is>
      </c>
      <c r="B9816" t="inlineStr">
        <is>
          <t xml:space="preserve">NIPPON INDIA OVERNIGHT FUND - DAILY IDCW Option</t>
        </is>
      </c>
      <c r="C9816" t="inlineStr">
        <is>
          <t xml:space="preserve">INF204KB1Q73</t>
        </is>
      </c>
    </row>
    <row r="9817">
      <c r="A9817" t="inlineStr">
        <is>
          <t xml:space="preserve">Nippon India Mutual Fund</t>
        </is>
      </c>
      <c r="B9817" t="inlineStr">
        <is>
          <t xml:space="preserve">NIPPON INDIA OVERNIGHT FUND - DIRECT Plan - DAILY IDCW Option</t>
        </is>
      </c>
      <c r="C9817" t="inlineStr">
        <is>
          <t xml:space="preserve">INF204KB1R49</t>
        </is>
      </c>
    </row>
    <row r="9818">
      <c r="A9818" t="inlineStr">
        <is>
          <t xml:space="preserve">Nippon India Mutual Fund</t>
        </is>
      </c>
      <c r="B9818" t="inlineStr">
        <is>
          <t xml:space="preserve">Nippon India Overnight Fund - Direct Plan - Growth Option</t>
        </is>
      </c>
      <c r="C9818" t="inlineStr">
        <is>
          <t xml:space="preserve">INF204KB1R31</t>
        </is>
      </c>
    </row>
    <row r="9819">
      <c r="A9819" t="inlineStr">
        <is>
          <t xml:space="preserve">Nippon India Mutual Fund</t>
        </is>
      </c>
      <c r="B9819" t="inlineStr">
        <is>
          <t xml:space="preserve">NIPPON INDIA OVERNIGHT FUND - DIRECT Plan - MONTHLY IDCW Option</t>
        </is>
      </c>
      <c r="C9819" t="inlineStr">
        <is>
          <t xml:space="preserve">INF204KB1R64</t>
        </is>
      </c>
    </row>
    <row r="9820">
      <c r="A9820" t="inlineStr">
        <is>
          <t xml:space="preserve">Nippon India Mutual Fund</t>
        </is>
      </c>
      <c r="B9820" t="inlineStr">
        <is>
          <t xml:space="preserve">NIPPON INDIA OVERNIGHT FUND - DIRECT Plan - QUARTERLY IDCW Option</t>
        </is>
      </c>
      <c r="C9820" t="inlineStr">
        <is>
          <t xml:space="preserve">INF204KB1R80</t>
        </is>
      </c>
    </row>
    <row r="9821">
      <c r="A9821" t="inlineStr">
        <is>
          <t xml:space="preserve">Nippon India Mutual Fund</t>
        </is>
      </c>
      <c r="B9821" t="inlineStr">
        <is>
          <t xml:space="preserve">NIPPON INDIA OVERNIGHT FUND - DIRECT Plan - WEEKLY IDCW Option</t>
        </is>
      </c>
      <c r="C9821" t="inlineStr">
        <is>
          <t xml:space="preserve">INF204KB1R56</t>
        </is>
      </c>
    </row>
    <row r="9822">
      <c r="A9822" t="inlineStr">
        <is>
          <t xml:space="preserve">Nippon India Mutual Fund</t>
        </is>
      </c>
      <c r="B9822" t="inlineStr">
        <is>
          <t xml:space="preserve">NIPPON INDIA OVERNIGHT FUND - MONTHLY IDCW Option</t>
        </is>
      </c>
      <c r="C9822" t="inlineStr">
        <is>
          <t xml:space="preserve">INF204KB1Q99</t>
        </is>
      </c>
    </row>
    <row r="9823">
      <c r="A9823" t="inlineStr">
        <is>
          <t xml:space="preserve">Nippon India Mutual Fund</t>
        </is>
      </c>
      <c r="B9823" t="inlineStr">
        <is>
          <t xml:space="preserve">NIPPON INDIA OVERNIGHT FUND - QUARTERLY IDCW Option</t>
        </is>
      </c>
      <c r="C9823" t="inlineStr">
        <is>
          <t xml:space="preserve">INF204KB1R15</t>
        </is>
      </c>
    </row>
    <row r="9824">
      <c r="A9824" t="inlineStr">
        <is>
          <t xml:space="preserve">Nippon India Mutual Fund</t>
        </is>
      </c>
      <c r="B9824" t="inlineStr">
        <is>
          <t xml:space="preserve">Nippon India Overnight Fund - Regular Plan - Growth Option</t>
        </is>
      </c>
      <c r="C9824" t="inlineStr">
        <is>
          <t xml:space="preserve">INF204KB1Q65</t>
        </is>
      </c>
    </row>
    <row r="9825">
      <c r="A9825" t="inlineStr">
        <is>
          <t xml:space="preserve">Nippon India Mutual Fund</t>
        </is>
      </c>
      <c r="B9825" t="inlineStr">
        <is>
          <t xml:space="preserve">NIPPON INDIA OVERNIGHT FUND - WEEKLY IDCW Option</t>
        </is>
      </c>
      <c r="C9825" t="inlineStr">
        <is>
          <t xml:space="preserve">INF204KB1Q81</t>
        </is>
      </c>
    </row>
    <row r="9826">
      <c r="A9826" t="inlineStr">
        <is>
          <t xml:space="preserve">Nippon India Mutual Fund</t>
        </is>
      </c>
      <c r="B9826" t="inlineStr">
        <is>
          <t xml:space="preserve">NIPPON INDIA PHARMA FUND - DIRECT Plan - IDCW Option</t>
        </is>
      </c>
      <c r="C9826" t="inlineStr">
        <is>
          <t xml:space="preserve">INF204K01I35</t>
        </is>
      </c>
    </row>
    <row r="9827">
      <c r="A9827" t="inlineStr">
        <is>
          <t xml:space="preserve">Nippon India Mutual Fund</t>
        </is>
      </c>
      <c r="B9827" t="inlineStr">
        <is>
          <t xml:space="preserve">Nippon India Pharma Fund - Direct Plan Growth Plan - Bonus Option</t>
        </is>
      </c>
      <c r="C9827" t="inlineStr">
        <is>
          <t xml:space="preserve">INF204K01I27</t>
        </is>
      </c>
    </row>
    <row r="9828">
      <c r="A9828" t="inlineStr">
        <is>
          <t xml:space="preserve">Nippon India Mutual Fund</t>
        </is>
      </c>
      <c r="B9828" t="inlineStr">
        <is>
          <t xml:space="preserve">Nippon India Pharma Fund - Direct Plan Growth Plan - Growth Option</t>
        </is>
      </c>
      <c r="C9828" t="inlineStr">
        <is>
          <t xml:space="preserve">INF204K01I50</t>
        </is>
      </c>
    </row>
    <row r="9829">
      <c r="A9829" t="inlineStr">
        <is>
          <t xml:space="preserve">Nippon India Mutual Fund</t>
        </is>
      </c>
      <c r="B9829" t="inlineStr">
        <is>
          <t xml:space="preserve">NIPPON INDIA PHARMA FUND - IDCW Option</t>
        </is>
      </c>
      <c r="C9829" t="inlineStr">
        <is>
          <t xml:space="preserve">INF204K01935</t>
        </is>
      </c>
    </row>
    <row r="9830">
      <c r="A9830" t="inlineStr">
        <is>
          <t xml:space="preserve">Nippon India Mutual Fund</t>
        </is>
      </c>
      <c r="B9830" t="inlineStr">
        <is>
          <t xml:space="preserve">Nippon India Pharma Fund-Growth Plan-Bonus Option</t>
        </is>
      </c>
      <c r="C9830" t="inlineStr">
        <is>
          <t xml:space="preserve">INF204K01950</t>
        </is>
      </c>
    </row>
    <row r="9831">
      <c r="A9831" t="inlineStr">
        <is>
          <t xml:space="preserve">Nippon India Mutual Fund</t>
        </is>
      </c>
      <c r="B9831" t="inlineStr">
        <is>
          <t xml:space="preserve">Nippon India Pharma Fund-Growth Plan-Growth Option</t>
        </is>
      </c>
      <c r="C9831" t="inlineStr">
        <is>
          <t xml:space="preserve">INF204K01968</t>
        </is>
      </c>
    </row>
    <row r="9832">
      <c r="A9832" t="inlineStr">
        <is>
          <t xml:space="preserve">Nippon India Mutual Fund</t>
        </is>
      </c>
      <c r="B9832" t="inlineStr">
        <is>
          <t xml:space="preserve">NIPPON INDIA POWER &amp; INFRA FUND - DIRECT Plan - IDCW Option</t>
        </is>
      </c>
      <c r="C9832" t="inlineStr">
        <is>
          <t xml:space="preserve">INF204K01I76</t>
        </is>
      </c>
    </row>
    <row r="9833">
      <c r="A9833" t="inlineStr">
        <is>
          <t xml:space="preserve">Nippon India Mutual Fund</t>
        </is>
      </c>
      <c r="B9833" t="inlineStr">
        <is>
          <t xml:space="preserve">Nippon India Power &amp; Infra Fund - Direct Plan Growth Plan - Bonus Option</t>
        </is>
      </c>
      <c r="C9833" t="inlineStr">
        <is>
          <t xml:space="preserve">INF204K01I68</t>
        </is>
      </c>
    </row>
    <row r="9834">
      <c r="A9834" t="inlineStr">
        <is>
          <t xml:space="preserve">Nippon India Mutual Fund</t>
        </is>
      </c>
      <c r="B9834" t="inlineStr">
        <is>
          <t xml:space="preserve">Nippon India Power &amp; Infra Fund - Direct Plan Growth Plan - Growth Option</t>
        </is>
      </c>
      <c r="C9834" t="inlineStr">
        <is>
          <t xml:space="preserve">INF204K01I92</t>
        </is>
      </c>
    </row>
    <row r="9835">
      <c r="A9835" t="inlineStr">
        <is>
          <t xml:space="preserve">Nippon India Mutual Fund</t>
        </is>
      </c>
      <c r="B9835" t="inlineStr">
        <is>
          <t xml:space="preserve">NIPPON INDIA POWER &amp; INFRA FUND - IDCW Option</t>
        </is>
      </c>
      <c r="C9835" t="inlineStr">
        <is>
          <t xml:space="preserve">INF204K01AB6</t>
        </is>
      </c>
    </row>
    <row r="9836">
      <c r="A9836" t="inlineStr">
        <is>
          <t xml:space="preserve">Nippon India Mutual Fund</t>
        </is>
      </c>
      <c r="B9836" t="inlineStr">
        <is>
          <t xml:space="preserve">Nippon India Power &amp; Infra Fund-Growth Plan -Growth Option</t>
        </is>
      </c>
      <c r="C9836" t="inlineStr">
        <is>
          <t xml:space="preserve">INF204K01AE0</t>
        </is>
      </c>
    </row>
    <row r="9837">
      <c r="A9837" t="inlineStr">
        <is>
          <t xml:space="preserve">Nippon India Mutual Fund</t>
        </is>
      </c>
      <c r="B9837" t="inlineStr">
        <is>
          <t xml:space="preserve">Nippon India Power &amp; Infra Fund-Growth Plan-Bonus Option</t>
        </is>
      </c>
      <c r="C9837" t="inlineStr">
        <is>
          <t xml:space="preserve">INF204K01AD2</t>
        </is>
      </c>
    </row>
    <row r="9838">
      <c r="A9838" t="inlineStr">
        <is>
          <t xml:space="preserve">Nippon India Mutual Fund</t>
        </is>
      </c>
      <c r="B9838" t="inlineStr">
        <is>
          <t xml:space="preserve">NIPPON INDIA QUANT FUND - DIRECT Plan - IDCW Option</t>
        </is>
      </c>
      <c r="C9838" t="inlineStr">
        <is>
          <t xml:space="preserve">INF204K01J18</t>
        </is>
      </c>
    </row>
    <row r="9839">
      <c r="A9839" t="inlineStr">
        <is>
          <t xml:space="preserve">Nippon India Mutual Fund</t>
        </is>
      </c>
      <c r="B9839" t="inlineStr">
        <is>
          <t xml:space="preserve">Nippon India Quant Fund - Direct Plan Growth Plan - Bonus Option</t>
        </is>
      </c>
      <c r="C9839" t="inlineStr">
        <is>
          <t xml:space="preserve">INF204K01J00</t>
        </is>
      </c>
    </row>
    <row r="9840">
      <c r="A9840" t="inlineStr">
        <is>
          <t xml:space="preserve">Nippon India Mutual Fund</t>
        </is>
      </c>
      <c r="B9840" t="inlineStr">
        <is>
          <t xml:space="preserve">Nippon India Quant Fund - Direct Plan Growth Plan - Growth Option</t>
        </is>
      </c>
      <c r="C9840" t="inlineStr">
        <is>
          <t xml:space="preserve">INF204K01J34</t>
        </is>
      </c>
    </row>
    <row r="9841">
      <c r="A9841" t="inlineStr">
        <is>
          <t xml:space="preserve">Nippon India Mutual Fund</t>
        </is>
      </c>
      <c r="B9841" t="inlineStr">
        <is>
          <t xml:space="preserve">NIPPON INDIA QUANT FUND - IDCW Option</t>
        </is>
      </c>
      <c r="C9841" t="inlineStr">
        <is>
          <t xml:space="preserve">INF204K01745</t>
        </is>
      </c>
    </row>
    <row r="9842">
      <c r="A9842" t="inlineStr">
        <is>
          <t xml:space="preserve">Nippon India Mutual Fund</t>
        </is>
      </c>
      <c r="B9842" t="inlineStr">
        <is>
          <t xml:space="preserve">Nippon India Quant Fund -Growth Plan - Growth Option</t>
        </is>
      </c>
      <c r="C9842" t="inlineStr">
        <is>
          <t xml:space="preserve">INF204K01760</t>
        </is>
      </c>
    </row>
    <row r="9843">
      <c r="A9843" t="inlineStr">
        <is>
          <t xml:space="preserve">Nippon India Mutual Fund</t>
        </is>
      </c>
      <c r="B9843" t="inlineStr">
        <is>
          <t xml:space="preserve">Nippon India Quant Fund -Growth Plan -Bonus Option</t>
        </is>
      </c>
      <c r="C9843" t="inlineStr">
        <is>
          <t xml:space="preserve">INF204K01737</t>
        </is>
      </c>
    </row>
    <row r="9844">
      <c r="A9844" t="inlineStr">
        <is>
          <t xml:space="preserve">Nippon India Mutual Fund</t>
        </is>
      </c>
      <c r="B9844" t="inlineStr">
        <is>
          <t xml:space="preserve">NIPPON INDIA QUARTERLY INTERVAL FUND - SERIES II - Direct Plan - IDCW Option</t>
        </is>
      </c>
      <c r="C9844" t="inlineStr">
        <is>
          <t xml:space="preserve">INF204K01F46</t>
        </is>
      </c>
    </row>
    <row r="9845">
      <c r="A9845" t="inlineStr">
        <is>
          <t xml:space="preserve">Nippon India Mutual Fund</t>
        </is>
      </c>
      <c r="B9845" t="inlineStr">
        <is>
          <t xml:space="preserve">Nippon India Quarterly Interval Fund - Series II - Direct Plan Growth Plan - Growth</t>
        </is>
      </c>
      <c r="C9845" t="inlineStr">
        <is>
          <t xml:space="preserve">INF204K01F61</t>
        </is>
      </c>
    </row>
    <row r="9846">
      <c r="A9846" t="inlineStr">
        <is>
          <t xml:space="preserve">Nippon India Mutual Fund</t>
        </is>
      </c>
      <c r="B9846" t="inlineStr">
        <is>
          <t xml:space="preserve">NIPPON INDIA QUARTERLY INTERVAL FUND - SERIES II - IDCW Option</t>
        </is>
      </c>
      <c r="C9846" t="inlineStr">
        <is>
          <t xml:space="preserve">INF204K01DO3</t>
        </is>
      </c>
    </row>
    <row r="9847">
      <c r="A9847" t="inlineStr">
        <is>
          <t xml:space="preserve">Nippon India Mutual Fund</t>
        </is>
      </c>
      <c r="B9847" t="inlineStr">
        <is>
          <t xml:space="preserve">NIPPON INDIA RETIREMENT FUND - INCOME GENERATION SCHEME - Direct Plan - IDCW Option</t>
        </is>
      </c>
      <c r="C9847" t="inlineStr">
        <is>
          <t xml:space="preserve">INF204KA1C71</t>
        </is>
      </c>
    </row>
    <row r="9848">
      <c r="A9848" t="inlineStr">
        <is>
          <t xml:space="preserve">Nippon India Mutual Fund</t>
        </is>
      </c>
      <c r="B9848" t="inlineStr">
        <is>
          <t xml:space="preserve">NIPPON INDIA RETIREMENT FUND - INCOME GENERATION SCHEME - IDCW Option</t>
        </is>
      </c>
      <c r="C9848" t="inlineStr">
        <is>
          <t xml:space="preserve">INF204KA1C63</t>
        </is>
      </c>
    </row>
    <row r="9849">
      <c r="A9849" t="inlineStr">
        <is>
          <t xml:space="preserve">Nippon India Mutual Fund</t>
        </is>
      </c>
      <c r="B9849" t="inlineStr">
        <is>
          <t xml:space="preserve">NIPPON INDIA RETIREMENT FUND - WEALTH CREATION SCHEME - Direct Plan - IDCW Option</t>
        </is>
      </c>
      <c r="C9849" t="inlineStr">
        <is>
          <t xml:space="preserve">INF204KA1C14</t>
        </is>
      </c>
    </row>
    <row r="9850">
      <c r="A9850" t="inlineStr">
        <is>
          <t xml:space="preserve">Nippon India Mutual Fund</t>
        </is>
      </c>
      <c r="B9850" t="inlineStr">
        <is>
          <t xml:space="preserve">NIPPON INDIA RETIREMENT FUND - WEALTH CREATION SCHEME - IDCW Option</t>
        </is>
      </c>
      <c r="C9850" t="inlineStr">
        <is>
          <t xml:space="preserve">INF204KA1C06</t>
        </is>
      </c>
    </row>
    <row r="9851">
      <c r="A9851" t="inlineStr">
        <is>
          <t xml:space="preserve">Nippon India Mutual Fund</t>
        </is>
      </c>
      <c r="B9851" t="inlineStr">
        <is>
          <t xml:space="preserve">Nippon India Retirement Fund- Income Generation Scheme- Direct Plan- Growth Plan - Growth Option</t>
        </is>
      </c>
      <c r="C9851" t="inlineStr">
        <is>
          <t xml:space="preserve">INF204KA1C30</t>
        </is>
      </c>
    </row>
    <row r="9852">
      <c r="A9852" t="inlineStr">
        <is>
          <t xml:space="preserve">Nippon India Mutual Fund</t>
        </is>
      </c>
      <c r="B9852" t="inlineStr">
        <is>
          <t xml:space="preserve">Nippon India Retirement Fund- Income Generation Scheme- Direct Plan-Growth Plan- Bonus Option</t>
        </is>
      </c>
      <c r="C9852" t="inlineStr">
        <is>
          <t xml:space="preserve">INF204KA1C55</t>
        </is>
      </c>
    </row>
    <row r="9853">
      <c r="A9853" t="inlineStr">
        <is>
          <t xml:space="preserve">Nippon India Mutual Fund</t>
        </is>
      </c>
      <c r="B9853" t="inlineStr">
        <is>
          <t xml:space="preserve">Nippon India Retirement Fund- Income Generation Scheme- Growth Plan- Bonus Option</t>
        </is>
      </c>
      <c r="C9853" t="inlineStr">
        <is>
          <t xml:space="preserve">INF204KA1C48</t>
        </is>
      </c>
    </row>
    <row r="9854">
      <c r="A9854" t="inlineStr">
        <is>
          <t xml:space="preserve">Nippon India Mutual Fund</t>
        </is>
      </c>
      <c r="B9854" t="inlineStr">
        <is>
          <t xml:space="preserve">Nippon India Retirement Fund- Income Generation Scheme-Growth Plan - Growth Option</t>
        </is>
      </c>
      <c r="C9854" t="inlineStr">
        <is>
          <t xml:space="preserve">INF204KA1C22</t>
        </is>
      </c>
    </row>
    <row r="9855">
      <c r="A9855" t="inlineStr">
        <is>
          <t xml:space="preserve">Nippon India Mutual Fund</t>
        </is>
      </c>
      <c r="B9855" t="inlineStr">
        <is>
          <t xml:space="preserve">Nippon India Retirement Fund- Wealth Creation Scheme- Direct Plan- Growth Plan - Growth Option</t>
        </is>
      </c>
      <c r="C9855" t="inlineStr">
        <is>
          <t xml:space="preserve">INF204KA1B72</t>
        </is>
      </c>
    </row>
    <row r="9856">
      <c r="A9856" t="inlineStr">
        <is>
          <t xml:space="preserve">Nippon India Mutual Fund</t>
        </is>
      </c>
      <c r="B9856" t="inlineStr">
        <is>
          <t xml:space="preserve">Nippon India Retirement Fund- Wealth Creation Scheme- Direct Plan-Growth Plan- Bonus Option</t>
        </is>
      </c>
      <c r="C9856" t="inlineStr">
        <is>
          <t xml:space="preserve">INF204KA1B98</t>
        </is>
      </c>
    </row>
    <row r="9857">
      <c r="A9857" t="inlineStr">
        <is>
          <t xml:space="preserve">Nippon India Mutual Fund</t>
        </is>
      </c>
      <c r="B9857" t="inlineStr">
        <is>
          <t xml:space="preserve">Nippon India Retirement Fund- Wealth Creation Scheme- Growth Plan - Growth Option</t>
        </is>
      </c>
      <c r="C9857" t="inlineStr">
        <is>
          <t xml:space="preserve">INF204KA1B64</t>
        </is>
      </c>
    </row>
    <row r="9858">
      <c r="A9858" t="inlineStr">
        <is>
          <t xml:space="preserve">Nippon India Mutual Fund</t>
        </is>
      </c>
      <c r="B9858" t="inlineStr">
        <is>
          <t xml:space="preserve">Nippon India Retirement Fund- Wealth Creation Scheme- Growth Plan- Bonus Option</t>
        </is>
      </c>
      <c r="C9858" t="inlineStr">
        <is>
          <t xml:space="preserve">INF204KA1B80</t>
        </is>
      </c>
    </row>
    <row r="9859">
      <c r="A9859" t="inlineStr">
        <is>
          <t xml:space="preserve">Nippon India Mutual Fund</t>
        </is>
      </c>
      <c r="B9859" t="inlineStr">
        <is>
          <t xml:space="preserve">Nippon India Short Duration  Fund-Growth Plan</t>
        </is>
      </c>
      <c r="C9859" t="inlineStr">
        <is>
          <t xml:space="preserve">INF204K01FL4</t>
        </is>
      </c>
    </row>
    <row r="9860">
      <c r="A9860" t="inlineStr">
        <is>
          <t xml:space="preserve">Nippon India Mutual Fund</t>
        </is>
      </c>
      <c r="B9860" t="inlineStr">
        <is>
          <t xml:space="preserve">NIPPON INDIA SHORT DURATION FUND - Direct Plan - IDCW Option</t>
        </is>
      </c>
      <c r="C9860" t="inlineStr">
        <is>
          <t xml:space="preserve">INF204KA1ES0</t>
        </is>
      </c>
    </row>
    <row r="9861">
      <c r="A9861" t="inlineStr">
        <is>
          <t xml:space="preserve">Nippon India Mutual Fund</t>
        </is>
      </c>
      <c r="B9861" t="inlineStr">
        <is>
          <t xml:space="preserve">NIPPON INDIA SHORT DURATION FUND - Direct Plan - MONTHLY IDCW Option</t>
        </is>
      </c>
      <c r="C9861" t="inlineStr">
        <is>
          <t xml:space="preserve">INF204K01B40</t>
        </is>
      </c>
    </row>
    <row r="9862">
      <c r="A9862" t="inlineStr">
        <is>
          <t xml:space="preserve">Nippon India Mutual Fund</t>
        </is>
      </c>
      <c r="B9862" t="inlineStr">
        <is>
          <t xml:space="preserve">NIPPON INDIA SHORT DURATION FUND - Direct Plan - QUARTERLY IDCW OPTION</t>
        </is>
      </c>
      <c r="C9862" t="inlineStr">
        <is>
          <t xml:space="preserve">INF204K01B65</t>
        </is>
      </c>
    </row>
    <row r="9863">
      <c r="A9863" t="inlineStr">
        <is>
          <t xml:space="preserve">Nippon India Mutual Fund</t>
        </is>
      </c>
      <c r="B9863" t="inlineStr">
        <is>
          <t xml:space="preserve">Nippon India Short Duration Fund - Direct Plan Growth Plan - Growth Option</t>
        </is>
      </c>
      <c r="C9863" t="inlineStr">
        <is>
          <t xml:space="preserve">INF204K01B32</t>
        </is>
      </c>
    </row>
    <row r="9864">
      <c r="A9864" t="inlineStr">
        <is>
          <t xml:space="preserve">Nippon India Mutual Fund</t>
        </is>
      </c>
      <c r="B9864" t="inlineStr">
        <is>
          <t xml:space="preserve">NIPPON INDIA SHORT DURATION FUND - IDCW Option</t>
        </is>
      </c>
      <c r="C9864" t="inlineStr">
        <is>
          <t xml:space="preserve">INF204KA1EQ4</t>
        </is>
      </c>
    </row>
    <row r="9865">
      <c r="A9865" t="inlineStr">
        <is>
          <t xml:space="preserve">Nippon India Mutual Fund</t>
        </is>
      </c>
      <c r="B9865" t="inlineStr">
        <is>
          <t xml:space="preserve">NIPPON INDIA SHORT DURATION FUND - MONTHLY IDCW Option</t>
        </is>
      </c>
      <c r="C9865" t="inlineStr">
        <is>
          <t xml:space="preserve">INF204K01FM2</t>
        </is>
      </c>
    </row>
    <row r="9866">
      <c r="A9866" t="inlineStr">
        <is>
          <t xml:space="preserve">Nippon India Mutual Fund</t>
        </is>
      </c>
      <c r="B9866" t="inlineStr">
        <is>
          <t xml:space="preserve">NIPPON INDIA SHORT DURATION FUND - QUARTERLY IDCW OPTION</t>
        </is>
      </c>
      <c r="C9866" t="inlineStr">
        <is>
          <t xml:space="preserve">INF204K01FO8</t>
        </is>
      </c>
    </row>
    <row r="9867">
      <c r="A9867" t="inlineStr">
        <is>
          <t xml:space="preserve">Nippon India Mutual Fund</t>
        </is>
      </c>
      <c r="B9867" t="inlineStr">
        <is>
          <t xml:space="preserve">Nippon India Silver ETF</t>
        </is>
      </c>
      <c r="C9867" t="inlineStr">
        <is>
          <t xml:space="preserve">INF204KC1402</t>
        </is>
      </c>
    </row>
    <row r="9868">
      <c r="A9868" t="inlineStr">
        <is>
          <t xml:space="preserve">Nippon India Mutual Fund</t>
        </is>
      </c>
      <c r="B9868" t="inlineStr">
        <is>
          <t xml:space="preserve">Nippon India Silver ETF FOF- Direct Plan-Growth Option</t>
        </is>
      </c>
      <c r="C9868" t="inlineStr">
        <is>
          <t xml:space="preserve">INF204KC1378</t>
        </is>
      </c>
    </row>
    <row r="9869">
      <c r="A9869" t="inlineStr">
        <is>
          <t xml:space="preserve">Nippon India Mutual Fund</t>
        </is>
      </c>
      <c r="B9869" t="inlineStr">
        <is>
          <t xml:space="preserve">Nippon India Silver ETF FOF- Direct Plan-IDCW Option</t>
        </is>
      </c>
      <c r="C9869" t="inlineStr">
        <is>
          <t xml:space="preserve">INF204KC1386</t>
        </is>
      </c>
    </row>
    <row r="9870">
      <c r="A9870" t="inlineStr">
        <is>
          <t xml:space="preserve">Nippon India Mutual Fund</t>
        </is>
      </c>
      <c r="B9870" t="inlineStr">
        <is>
          <t xml:space="preserve">Nippon India Silver ETF FOF- Regular Plan-IDCW Option</t>
        </is>
      </c>
      <c r="C9870" t="inlineStr">
        <is>
          <t xml:space="preserve">INF204KC1352</t>
        </is>
      </c>
    </row>
    <row r="9871">
      <c r="A9871" t="inlineStr">
        <is>
          <t xml:space="preserve">Nippon India Mutual Fund</t>
        </is>
      </c>
      <c r="B9871" t="inlineStr">
        <is>
          <t xml:space="preserve">Nippon India Silver ETF FOF-Regular Plan- Growth Option</t>
        </is>
      </c>
      <c r="C9871" t="inlineStr">
        <is>
          <t xml:space="preserve">INF204KC1345</t>
        </is>
      </c>
    </row>
    <row r="9872">
      <c r="A9872" t="inlineStr">
        <is>
          <t xml:space="preserve">Nippon India Mutual Fund</t>
        </is>
      </c>
      <c r="B9872" t="inlineStr">
        <is>
          <t xml:space="preserve">NIPPON INDIA SMALL CAP FUND - Direct Plan - IDCW Option</t>
        </is>
      </c>
      <c r="C9872" t="inlineStr">
        <is>
          <t xml:space="preserve">INF204K01J91</t>
        </is>
      </c>
    </row>
    <row r="9873">
      <c r="A9873" t="inlineStr">
        <is>
          <t xml:space="preserve">Nippon India Mutual Fund</t>
        </is>
      </c>
      <c r="B9873" t="inlineStr">
        <is>
          <t xml:space="preserve">Nippon India Small Cap Fund - Direct Plan Growth Plan - Bonus Option</t>
        </is>
      </c>
      <c r="C9873" t="inlineStr">
        <is>
          <t xml:space="preserve">INF204K01J83</t>
        </is>
      </c>
    </row>
    <row r="9874">
      <c r="A9874" t="inlineStr">
        <is>
          <t xml:space="preserve">Nippon India Mutual Fund</t>
        </is>
      </c>
      <c r="B9874" t="inlineStr">
        <is>
          <t xml:space="preserve">Nippon India Small Cap Fund - Direct Plan Growth Plan - Growth Option</t>
        </is>
      </c>
      <c r="C9874" t="inlineStr">
        <is>
          <t xml:space="preserve">INF204K01K15</t>
        </is>
      </c>
    </row>
    <row r="9875">
      <c r="A9875" t="inlineStr">
        <is>
          <t xml:space="preserve">Nippon India Mutual Fund</t>
        </is>
      </c>
      <c r="B9875" t="inlineStr">
        <is>
          <t xml:space="preserve">Nippon India Small Cap Fund - Growth Plan - Bonus Option</t>
        </is>
      </c>
      <c r="C9875" t="inlineStr">
        <is>
          <t xml:space="preserve">INF204K01HZ0</t>
        </is>
      </c>
    </row>
    <row r="9876">
      <c r="A9876" t="inlineStr">
        <is>
          <t xml:space="preserve">Nippon India Mutual Fund</t>
        </is>
      </c>
      <c r="B9876" t="inlineStr">
        <is>
          <t xml:space="preserve">Nippon India Small Cap Fund - Growth Plan - Growth Option</t>
        </is>
      </c>
      <c r="C9876" t="inlineStr">
        <is>
          <t xml:space="preserve">INF204K01HY3</t>
        </is>
      </c>
    </row>
    <row r="9877">
      <c r="A9877" t="inlineStr">
        <is>
          <t xml:space="preserve">Nippon India Mutual Fund</t>
        </is>
      </c>
      <c r="B9877" t="inlineStr">
        <is>
          <t xml:space="preserve">NIPPON INDIA SMALL CAP FUND - IDCW Option</t>
        </is>
      </c>
      <c r="C9877" t="inlineStr">
        <is>
          <t xml:space="preserve">INF204K01IA1</t>
        </is>
      </c>
    </row>
    <row r="9878">
      <c r="A9878" t="inlineStr">
        <is>
          <t xml:space="preserve">Nippon India Mutual Fund</t>
        </is>
      </c>
      <c r="B9878" t="inlineStr">
        <is>
          <t xml:space="preserve">Nippon India Taiwan Equity Fund- Direct Plan- Growth Option</t>
        </is>
      </c>
      <c r="C9878" t="inlineStr">
        <is>
          <t xml:space="preserve">INF204KC1303</t>
        </is>
      </c>
    </row>
    <row r="9879">
      <c r="A9879" t="inlineStr">
        <is>
          <t xml:space="preserve">Nippon India Mutual Fund</t>
        </is>
      </c>
      <c r="B9879" t="inlineStr">
        <is>
          <t xml:space="preserve">Nippon India Taiwan Equity Fund- Direct Plan- IDCW option</t>
        </is>
      </c>
      <c r="C9879" t="inlineStr">
        <is>
          <t xml:space="preserve">INF204KC1311</t>
        </is>
      </c>
    </row>
    <row r="9880">
      <c r="A9880" t="inlineStr">
        <is>
          <t xml:space="preserve">Nippon India Mutual Fund</t>
        </is>
      </c>
      <c r="B9880" t="inlineStr">
        <is>
          <t xml:space="preserve">Nippon India Taiwan Equity fund- Regular Plan- Growth Option</t>
        </is>
      </c>
      <c r="C9880" t="inlineStr">
        <is>
          <t xml:space="preserve">INF204KC1279</t>
        </is>
      </c>
    </row>
    <row r="9881">
      <c r="A9881" t="inlineStr">
        <is>
          <t xml:space="preserve">Nippon India Mutual Fund</t>
        </is>
      </c>
      <c r="B9881" t="inlineStr">
        <is>
          <t xml:space="preserve">Nippon India Taiwan Equity Fund- Regular Plan- IDCW option</t>
        </is>
      </c>
      <c r="C9881" t="inlineStr">
        <is>
          <t xml:space="preserve">INF204KC1287</t>
        </is>
      </c>
    </row>
    <row r="9882">
      <c r="A9882" t="inlineStr">
        <is>
          <t xml:space="preserve">Nippon India Mutual Fund</t>
        </is>
      </c>
      <c r="B9882" t="inlineStr">
        <is>
          <t xml:space="preserve">NIPPON INDIA ULTRA SHORT DURATION FUND - DAILY IDCW OPTION</t>
        </is>
      </c>
      <c r="C9882" t="inlineStr">
        <is>
          <t xml:space="preserve">INF204K01UC2</t>
        </is>
      </c>
    </row>
    <row r="9883">
      <c r="A9883" t="inlineStr">
        <is>
          <t xml:space="preserve">Nippon India Mutual Fund</t>
        </is>
      </c>
      <c r="B9883" t="inlineStr">
        <is>
          <t xml:space="preserve">NIPPON INDIA ULTRA SHORT DURATION FUND - DIRECT Plan - DAILY IDCW OPTION</t>
        </is>
      </c>
      <c r="C9883" t="inlineStr">
        <is>
          <t xml:space="preserve">INF204K01YF7</t>
        </is>
      </c>
    </row>
    <row r="9884">
      <c r="A9884" t="inlineStr">
        <is>
          <t xml:space="preserve">Nippon India Mutual Fund</t>
        </is>
      </c>
      <c r="B9884" t="inlineStr">
        <is>
          <t xml:space="preserve">NIPPON INDIA ULTRA SHORT DURATION FUND - DIRECT Plan - MONTHLY IDCW Option</t>
        </is>
      </c>
      <c r="C9884" t="inlineStr">
        <is>
          <t xml:space="preserve">INF204K01YI1</t>
        </is>
      </c>
    </row>
    <row r="9885">
      <c r="A9885" t="inlineStr">
        <is>
          <t xml:space="preserve">Nippon India Mutual Fund</t>
        </is>
      </c>
      <c r="B9885" t="inlineStr">
        <is>
          <t xml:space="preserve">NIPPON INDIA ULTRA SHORT DURATION FUND - DIRECT Plan - QUARTERLY IDCW Option</t>
        </is>
      </c>
      <c r="C9885" t="inlineStr">
        <is>
          <t xml:space="preserve">INF204K01YK7</t>
        </is>
      </c>
    </row>
    <row r="9886">
      <c r="A9886" t="inlineStr">
        <is>
          <t xml:space="preserve">Nippon India Mutual Fund</t>
        </is>
      </c>
      <c r="B9886" t="inlineStr">
        <is>
          <t xml:space="preserve">NIPPON INDIA ULTRA SHORT DURATION FUND - DIRECT Plan - WEEKLY IDCW OPTION</t>
        </is>
      </c>
      <c r="C9886" t="inlineStr">
        <is>
          <t xml:space="preserve">INF204K01YG5</t>
        </is>
      </c>
    </row>
    <row r="9887">
      <c r="A9887" t="inlineStr">
        <is>
          <t xml:space="preserve">Nippon India Mutual Fund</t>
        </is>
      </c>
      <c r="B9887" t="inlineStr">
        <is>
          <t xml:space="preserve">NIPPON INDIA ULTRA SHORT DURATION FUND - MONTHLY IDCW Option</t>
        </is>
      </c>
      <c r="C9887" t="inlineStr">
        <is>
          <t xml:space="preserve">INF204K01UF5</t>
        </is>
      </c>
    </row>
    <row r="9888">
      <c r="A9888" t="inlineStr">
        <is>
          <t xml:space="preserve">Nippon India Mutual Fund</t>
        </is>
      </c>
      <c r="B9888" t="inlineStr">
        <is>
          <t xml:space="preserve">NIPPON INDIA ULTRA SHORT DURATION FUND - QUARTERLY IDCW Option</t>
        </is>
      </c>
      <c r="C9888" t="inlineStr">
        <is>
          <t xml:space="preserve">INF204K01UH1</t>
        </is>
      </c>
    </row>
    <row r="9889">
      <c r="A9889" t="inlineStr">
        <is>
          <t xml:space="preserve">Nippon India Mutual Fund</t>
        </is>
      </c>
      <c r="B9889" t="inlineStr">
        <is>
          <t xml:space="preserve">NIPPON INDIA ULTRA SHORT DURATION FUND - SEGREGATED PORTFOLIO 1 - DAILY IDCW Option</t>
        </is>
      </c>
      <c r="C9889" t="inlineStr">
        <is>
          <t xml:space="preserve">INF204KB18H5</t>
        </is>
      </c>
    </row>
    <row r="9890">
      <c r="A9890" t="inlineStr">
        <is>
          <t xml:space="preserve">Nippon India Mutual Fund</t>
        </is>
      </c>
      <c r="B9890" t="inlineStr">
        <is>
          <t xml:space="preserve">NIPPON INDIA ULTRA SHORT DURATION FUND - SEGREGATED PORTFOLIO 1 - DIRECT Plan - DAILY IDCW Option</t>
        </is>
      </c>
      <c r="C9890" t="inlineStr">
        <is>
          <t xml:space="preserve">INF204KB11H0</t>
        </is>
      </c>
    </row>
    <row r="9891">
      <c r="A9891" t="inlineStr">
        <is>
          <t xml:space="preserve">Nippon India Mutual Fund</t>
        </is>
      </c>
      <c r="B9891" t="inlineStr">
        <is>
          <t xml:space="preserve">Nippon India Ultra Short Duration Fund - Segregated Portfolio 1 - Direct Plan - Growth Option</t>
        </is>
      </c>
      <c r="C9891" t="inlineStr">
        <is>
          <t xml:space="preserve">INF204KB10H2</t>
        </is>
      </c>
    </row>
    <row r="9892">
      <c r="A9892" t="inlineStr">
        <is>
          <t xml:space="preserve">Nippon India Mutual Fund</t>
        </is>
      </c>
      <c r="B9892" t="inlineStr">
        <is>
          <t xml:space="preserve">NIPPON INDIA ULTRA SHORT DURATION FUND - SEGREGATED PORTFOLIO 1 - DIRECT Plan - MONTHLY IDCW Option</t>
        </is>
      </c>
      <c r="C9892" t="inlineStr">
        <is>
          <t xml:space="preserve">INF204KB12H8</t>
        </is>
      </c>
    </row>
    <row r="9893">
      <c r="A9893" t="inlineStr">
        <is>
          <t xml:space="preserve">Nippon India Mutual Fund</t>
        </is>
      </c>
      <c r="B9893" t="inlineStr">
        <is>
          <t xml:space="preserve">NIPPON INDIA ULTRA SHORT DURATION FUND - SEGREGATED PORTFOLIO 1 - DIRECT Plan - QUARTERLY IDCW Option</t>
        </is>
      </c>
      <c r="C9893" t="inlineStr">
        <is>
          <t xml:space="preserve">INF204KB14H4</t>
        </is>
      </c>
    </row>
    <row r="9894">
      <c r="A9894" t="inlineStr">
        <is>
          <t xml:space="preserve">Nippon India Mutual Fund</t>
        </is>
      </c>
      <c r="B9894" t="inlineStr">
        <is>
          <t xml:space="preserve">NIPPON INDIA ULTRA SHORT DURATION FUND - SEGREGATED PORTFOLIO 1 - DIRECT Plan - WEEKLY IDCW Option</t>
        </is>
      </c>
      <c r="C9894" t="inlineStr">
        <is>
          <t xml:space="preserve">INF204KB16H9</t>
        </is>
      </c>
    </row>
    <row r="9895">
      <c r="A9895" t="inlineStr">
        <is>
          <t xml:space="preserve">Nippon India Mutual Fund</t>
        </is>
      </c>
      <c r="B9895" t="inlineStr">
        <is>
          <t xml:space="preserve">Nippon India Ultra Short Duration Fund - Segregated Portfolio 1 - Growth Option</t>
        </is>
      </c>
      <c r="C9895" t="inlineStr">
        <is>
          <t xml:space="preserve">INF204KB17H7</t>
        </is>
      </c>
    </row>
    <row r="9896">
      <c r="A9896" t="inlineStr">
        <is>
          <t xml:space="preserve">Nippon India Mutual Fund</t>
        </is>
      </c>
      <c r="B9896" t="inlineStr">
        <is>
          <t xml:space="preserve">NIPPON INDIA ULTRA SHORT DURATION FUND - SEGREGATED PORTFOLIO 1 - MONTHLY IDCW Option</t>
        </is>
      </c>
      <c r="C9896" t="inlineStr">
        <is>
          <t xml:space="preserve">INF204KB19H3</t>
        </is>
      </c>
    </row>
    <row r="9897">
      <c r="A9897" t="inlineStr">
        <is>
          <t xml:space="preserve">Nippon India Mutual Fund</t>
        </is>
      </c>
      <c r="B9897" t="inlineStr">
        <is>
          <t xml:space="preserve">NIPPON INDIA ULTRA SHORT DURATION FUND - SEGREGATED PORTFOLIO 1 - QUARTERLY IDCW Option</t>
        </is>
      </c>
      <c r="C9897" t="inlineStr">
        <is>
          <t xml:space="preserve">INF204KB11I8</t>
        </is>
      </c>
    </row>
    <row r="9898">
      <c r="A9898" t="inlineStr">
        <is>
          <t xml:space="preserve">Nippon India Mutual Fund</t>
        </is>
      </c>
      <c r="B9898" t="inlineStr">
        <is>
          <t xml:space="preserve">NIPPON INDIA ULTRA SHORT DURATION FUND - SEGREGATED PORTFOLIO 1 - WEEKLY IDCW Option</t>
        </is>
      </c>
      <c r="C9898" t="inlineStr">
        <is>
          <t xml:space="preserve">INF204KB13I4</t>
        </is>
      </c>
    </row>
    <row r="9899">
      <c r="A9899" t="inlineStr">
        <is>
          <t xml:space="preserve">Nippon India Mutual Fund</t>
        </is>
      </c>
      <c r="B9899" t="inlineStr">
        <is>
          <t xml:space="preserve">NIPPON INDIA ULTRA SHORT DURATION FUND - WEEKLY IDCW OPTION</t>
        </is>
      </c>
      <c r="C9899" t="inlineStr">
        <is>
          <t xml:space="preserve">INF204K01UD0</t>
        </is>
      </c>
    </row>
    <row r="9900">
      <c r="A9900" t="inlineStr">
        <is>
          <t xml:space="preserve">Nippon India Mutual Fund</t>
        </is>
      </c>
      <c r="B9900" t="inlineStr">
        <is>
          <t xml:space="preserve">Nippon India Ultra Short Duration Fund- Direct Plan- Growth Option</t>
        </is>
      </c>
      <c r="C9900" t="inlineStr">
        <is>
          <t xml:space="preserve">INF204K01YH3</t>
        </is>
      </c>
    </row>
    <row r="9901">
      <c r="A9901" t="inlineStr">
        <is>
          <t xml:space="preserve">Nippon India Mutual Fund</t>
        </is>
      </c>
      <c r="B9901" t="inlineStr">
        <is>
          <t xml:space="preserve">Nippon India Ultra Short Duration Fund- Growth Option</t>
        </is>
      </c>
      <c r="C9901" t="inlineStr">
        <is>
          <t xml:space="preserve">INF204K01UE8</t>
        </is>
      </c>
    </row>
    <row r="9902">
      <c r="A9902" t="inlineStr">
        <is>
          <t xml:space="preserve">Nippon India Mutual Fund</t>
        </is>
      </c>
      <c r="B9902" t="inlineStr">
        <is>
          <t xml:space="preserve">Nippon India US Equity Opportunities Fund- Direct Plan- Growth Plan- Growth Option</t>
        </is>
      </c>
      <c r="C9902" t="inlineStr">
        <is>
          <t xml:space="preserve">INF204KA15G5</t>
        </is>
      </c>
    </row>
    <row r="9903">
      <c r="A9903" t="inlineStr">
        <is>
          <t xml:space="preserve">Nippon India Mutual Fund</t>
        </is>
      </c>
      <c r="B9903" t="inlineStr">
        <is>
          <t xml:space="preserve">Nippon India US Equity Opportunities Fund- Growth Plan- Growth Option</t>
        </is>
      </c>
      <c r="C9903" t="inlineStr">
        <is>
          <t xml:space="preserve">INF204KA12G2</t>
        </is>
      </c>
    </row>
    <row r="9904">
      <c r="A9904" t="inlineStr">
        <is>
          <t xml:space="preserve">Nippon India Mutual Fund</t>
        </is>
      </c>
      <c r="B9904" t="inlineStr">
        <is>
          <t xml:space="preserve">NIPPON INDIA VALUE FUND - DIRECT Plan - IDCW Option</t>
        </is>
      </c>
      <c r="C9904" t="inlineStr">
        <is>
          <t xml:space="preserve">INF204K01K23</t>
        </is>
      </c>
    </row>
    <row r="9905">
      <c r="A9905" t="inlineStr">
        <is>
          <t xml:space="preserve">Nippon India Mutual Fund</t>
        </is>
      </c>
      <c r="B9905" t="inlineStr">
        <is>
          <t xml:space="preserve">Nippon India Value Fund - Direct Plan Growth Plan</t>
        </is>
      </c>
      <c r="C9905" t="inlineStr">
        <is>
          <t xml:space="preserve">INF204K01K49</t>
        </is>
      </c>
    </row>
    <row r="9906">
      <c r="A9906" t="inlineStr">
        <is>
          <t xml:space="preserve">Nippon India Mutual Fund</t>
        </is>
      </c>
      <c r="B9906" t="inlineStr">
        <is>
          <t xml:space="preserve">NIPPON INDIA VALUE FUND - IDCW Option</t>
        </is>
      </c>
      <c r="C9906" t="inlineStr">
        <is>
          <t xml:space="preserve">INF204K01GC1</t>
        </is>
      </c>
    </row>
    <row r="9907">
      <c r="A9907" t="inlineStr">
        <is>
          <t xml:space="preserve">Nippon India Mutual Fund</t>
        </is>
      </c>
      <c r="B9907" t="inlineStr">
        <is>
          <t xml:space="preserve">Nippon India Value Fund- Growth Plan</t>
        </is>
      </c>
      <c r="C9907" t="inlineStr">
        <is>
          <t xml:space="preserve">INF204K01GB3</t>
        </is>
      </c>
    </row>
    <row r="9908">
      <c r="A9908" t="inlineStr">
        <is>
          <t xml:space="preserve">Nippon India Mutual Fund</t>
        </is>
      </c>
      <c r="B9908" t="inlineStr">
        <is>
          <t xml:space="preserve">NIPPON INDIA VISION LARGE &amp; MID CAP  FUND - DIRECT Plan - IDCW Option</t>
        </is>
      </c>
      <c r="C9908" t="inlineStr">
        <is>
          <t xml:space="preserve">INF204K01F04</t>
        </is>
      </c>
    </row>
    <row r="9909">
      <c r="A9909" t="inlineStr">
        <is>
          <t xml:space="preserve">Nippon India Mutual Fund</t>
        </is>
      </c>
      <c r="B9909" t="inlineStr">
        <is>
          <t xml:space="preserve">Nippon India Vision Large &amp; Mid Cap Fund - Direct Plan Growth Plan - Bonus Option</t>
        </is>
      </c>
      <c r="C9909" t="inlineStr">
        <is>
          <t xml:space="preserve">INF204K01E96</t>
        </is>
      </c>
    </row>
    <row r="9910">
      <c r="A9910" t="inlineStr">
        <is>
          <t xml:space="preserve">Nippon India Mutual Fund</t>
        </is>
      </c>
      <c r="B9910" t="inlineStr">
        <is>
          <t xml:space="preserve">Nippon India Vision Large &amp; Mid Cap Fund - Direct Plan Growth Plan - Growth Option</t>
        </is>
      </c>
      <c r="C9910" t="inlineStr">
        <is>
          <t xml:space="preserve">INF204K01F20</t>
        </is>
      </c>
    </row>
    <row r="9911">
      <c r="A9911" t="inlineStr">
        <is>
          <t xml:space="preserve">Nippon India Mutual Fund</t>
        </is>
      </c>
      <c r="B9911" t="inlineStr">
        <is>
          <t xml:space="preserve">Nippon India Vision Large &amp; Mid Cap Fund Institutional Dividend Plan</t>
        </is>
      </c>
      <c r="C9911" t="inlineStr">
        <is>
          <t xml:space="preserve">INF204K01331</t>
        </is>
      </c>
    </row>
    <row r="9912">
      <c r="A9912" t="inlineStr">
        <is>
          <t xml:space="preserve">Nippon India Mutual Fund</t>
        </is>
      </c>
      <c r="B9912" t="inlineStr">
        <is>
          <t xml:space="preserve">Nippon India Vision Large &amp; Midcap Fund - IDCW Option</t>
        </is>
      </c>
      <c r="C9912" t="inlineStr">
        <is>
          <t xml:space="preserve">INF204K01372</t>
        </is>
      </c>
    </row>
    <row r="9913">
      <c r="A9913" t="inlineStr">
        <is>
          <t xml:space="preserve">Nippon India Mutual Fund</t>
        </is>
      </c>
      <c r="B9913" t="inlineStr">
        <is>
          <t xml:space="preserve">Nippon India Vision Large &amp; Midcap Fund-GROWTH PLAN-Bonus Option</t>
        </is>
      </c>
      <c r="C9913" t="inlineStr">
        <is>
          <t xml:space="preserve">INF204K01398</t>
        </is>
      </c>
    </row>
    <row r="9914">
      <c r="A9914" t="inlineStr">
        <is>
          <t xml:space="preserve">Nippon India Mutual Fund</t>
        </is>
      </c>
      <c r="B9914" t="inlineStr">
        <is>
          <t xml:space="preserve">Nippon India Vision Large &amp; Midcap Fund-GROWTH PLAN-Growth Option</t>
        </is>
      </c>
      <c r="C9914" t="inlineStr">
        <is>
          <t xml:space="preserve">INF204K01406</t>
        </is>
      </c>
    </row>
    <row r="9915">
      <c r="A9915" t="inlineStr">
        <is>
          <t xml:space="preserve">Nippon India Mutual Fund</t>
        </is>
      </c>
      <c r="B9915" t="inlineStr">
        <is>
          <t xml:space="preserve">Nippon India Yearly Interval Fund - Series 1 - Direct Plan - Dividend Plan - Dividend Option</t>
        </is>
      </c>
      <c r="C9915" t="inlineStr">
        <is>
          <t xml:space="preserve">INF204K01M47</t>
        </is>
      </c>
    </row>
    <row r="9916">
      <c r="A9916" t="inlineStr">
        <is>
          <t xml:space="preserve">Nippon India Mutual Fund</t>
        </is>
      </c>
      <c r="B9916" t="inlineStr">
        <is>
          <t xml:space="preserve">Nippon India Yearly Interval Fund - Series 1 - Direct Plan - Growth Plan - Growth Option</t>
        </is>
      </c>
      <c r="C9916" t="inlineStr">
        <is>
          <t xml:space="preserve">INF204K01M39</t>
        </is>
      </c>
    </row>
    <row r="9917">
      <c r="A9917" t="inlineStr">
        <is>
          <t xml:space="preserve">Nippon India Mutual Fund</t>
        </is>
      </c>
      <c r="B9917" t="inlineStr">
        <is>
          <t xml:space="preserve">Nippon India Yearly Interval Fund - Series 1 - Dividend Plan - Dividend Option</t>
        </is>
      </c>
      <c r="C9917" t="inlineStr">
        <is>
          <t xml:space="preserve">INF204K01M13</t>
        </is>
      </c>
    </row>
    <row r="9918">
      <c r="A9918" t="inlineStr">
        <is>
          <t xml:space="preserve">Nippon India Mutual Fund</t>
        </is>
      </c>
      <c r="B9918" t="inlineStr">
        <is>
          <t xml:space="preserve">Nippon India Yearly Interval Fund - Series 1 - Growth Plan - Growth Option</t>
        </is>
      </c>
      <c r="C9918" t="inlineStr">
        <is>
          <t xml:space="preserve">INF204K01M05</t>
        </is>
      </c>
    </row>
    <row r="9919">
      <c r="A9919" t="inlineStr">
        <is>
          <t xml:space="preserve">NJ Mutual Fund</t>
        </is>
      </c>
      <c r="B9919" t="inlineStr">
        <is>
          <t xml:space="preserve">NJ Arbitrage Fund - Direct Plan - Growth Option</t>
        </is>
      </c>
      <c r="C9919" t="inlineStr">
        <is>
          <t xml:space="preserve">INF0J8L01065</t>
        </is>
      </c>
    </row>
    <row r="9920">
      <c r="A9920" t="inlineStr">
        <is>
          <t xml:space="preserve">NJ Mutual Fund</t>
        </is>
      </c>
      <c r="B9920" t="inlineStr">
        <is>
          <t xml:space="preserve">NJ Arbitrage Fund - Regular Plan - Growth Option</t>
        </is>
      </c>
      <c r="C9920" t="inlineStr">
        <is>
          <t xml:space="preserve">INF0J8L01057</t>
        </is>
      </c>
    </row>
    <row r="9921">
      <c r="A9921" t="inlineStr">
        <is>
          <t xml:space="preserve">NJ Mutual Fund</t>
        </is>
      </c>
      <c r="B9921" t="inlineStr">
        <is>
          <t xml:space="preserve">NJ Balanced Advantage Fund - Direct Plan - Growth Option</t>
        </is>
      </c>
      <c r="C9921" t="inlineStr">
        <is>
          <t xml:space="preserve">INF0J8L01040</t>
        </is>
      </c>
    </row>
    <row r="9922">
      <c r="A9922" t="inlineStr">
        <is>
          <t xml:space="preserve">NJ Mutual Fund</t>
        </is>
      </c>
      <c r="B9922" t="inlineStr">
        <is>
          <t xml:space="preserve">NJ Balanced Advantage Fund - Direct Plan - IDCW Payout Option</t>
        </is>
      </c>
      <c r="C9922" t="inlineStr">
        <is>
          <t xml:space="preserve">INF0J8L01032</t>
        </is>
      </c>
    </row>
    <row r="9923">
      <c r="A9923" t="inlineStr">
        <is>
          <t xml:space="preserve">NJ Mutual Fund</t>
        </is>
      </c>
      <c r="B9923" t="inlineStr">
        <is>
          <t xml:space="preserve">NJ Balanced Advantage Fund - Regular Plan - Growth Option</t>
        </is>
      </c>
      <c r="C9923" t="inlineStr">
        <is>
          <t xml:space="preserve">INF0J8L01024</t>
        </is>
      </c>
    </row>
    <row r="9924">
      <c r="A9924" t="inlineStr">
        <is>
          <t xml:space="preserve">NJ Mutual Fund</t>
        </is>
      </c>
      <c r="B9924" t="inlineStr">
        <is>
          <t xml:space="preserve">NJ Balanced Advantage Fund - Regular Plan - IDCW Payout Option</t>
        </is>
      </c>
      <c r="C9924" t="inlineStr">
        <is>
          <t xml:space="preserve">INF0J8L01016</t>
        </is>
      </c>
    </row>
    <row r="9925">
      <c r="A9925" t="inlineStr">
        <is>
          <t xml:space="preserve">NJ Mutual Fund</t>
        </is>
      </c>
      <c r="B9925" t="inlineStr">
        <is>
          <t xml:space="preserve">NJ ELSS Tax Saver Scheme Direct Growth</t>
        </is>
      </c>
      <c r="C9925" t="inlineStr">
        <is>
          <t xml:space="preserve">INF0J8L01115</t>
        </is>
      </c>
    </row>
    <row r="9926">
      <c r="A9926" t="inlineStr">
        <is>
          <t xml:space="preserve">NJ Mutual Fund</t>
        </is>
      </c>
      <c r="B9926" t="inlineStr">
        <is>
          <t xml:space="preserve">NJ ELSS Tax Saver Scheme Direct IDCW</t>
        </is>
      </c>
      <c r="C9926" t="inlineStr">
        <is>
          <t xml:space="preserve">INF0J8L01123</t>
        </is>
      </c>
    </row>
    <row r="9927">
      <c r="A9927" t="inlineStr">
        <is>
          <t xml:space="preserve">NJ Mutual Fund</t>
        </is>
      </c>
      <c r="B9927" t="inlineStr">
        <is>
          <t xml:space="preserve">NJ ELSS Tax Saver Scheme Regular Growth</t>
        </is>
      </c>
      <c r="C9927" t="inlineStr">
        <is>
          <t xml:space="preserve">INF0J8L01099</t>
        </is>
      </c>
    </row>
    <row r="9928">
      <c r="A9928" t="inlineStr">
        <is>
          <t xml:space="preserve">NJ Mutual Fund</t>
        </is>
      </c>
      <c r="B9928" t="inlineStr">
        <is>
          <t xml:space="preserve">NJ ELSS Tax Saver Scheme Regular IDCW</t>
        </is>
      </c>
      <c r="C9928" t="inlineStr">
        <is>
          <t xml:space="preserve">INF0J8L01107</t>
        </is>
      </c>
    </row>
    <row r="9929">
      <c r="A9929" t="inlineStr">
        <is>
          <t xml:space="preserve">NJ Mutual Fund</t>
        </is>
      </c>
      <c r="B9929" t="inlineStr">
        <is>
          <t xml:space="preserve">NJ Flexi Cap Fund - Direct Plan - Growth Option</t>
        </is>
      </c>
      <c r="C9929" t="inlineStr">
        <is>
          <t xml:space="preserve">INF0J8L01156</t>
        </is>
      </c>
    </row>
    <row r="9930">
      <c r="A9930" t="inlineStr">
        <is>
          <t xml:space="preserve">NJ Mutual Fund</t>
        </is>
      </c>
      <c r="B9930" t="inlineStr">
        <is>
          <t xml:space="preserve">NJ Flexi Cap Fund - Direct Plan - IDCW Option</t>
        </is>
      </c>
      <c r="C9930" t="inlineStr">
        <is>
          <t xml:space="preserve">INF0J8L01164</t>
        </is>
      </c>
    </row>
    <row r="9931">
      <c r="A9931" t="inlineStr">
        <is>
          <t xml:space="preserve">NJ Mutual Fund</t>
        </is>
      </c>
      <c r="B9931" t="inlineStr">
        <is>
          <t xml:space="preserve">NJ Flexi Cap Fund - Regular Plan - Growth Option</t>
        </is>
      </c>
      <c r="C9931" t="inlineStr">
        <is>
          <t xml:space="preserve">INF0J8L01131</t>
        </is>
      </c>
    </row>
    <row r="9932">
      <c r="A9932" t="inlineStr">
        <is>
          <t xml:space="preserve">NJ Mutual Fund</t>
        </is>
      </c>
      <c r="B9932" t="inlineStr">
        <is>
          <t xml:space="preserve">NJ Flexi Cap Fund - Regular Plan - IDCW Option</t>
        </is>
      </c>
      <c r="C9932" t="inlineStr">
        <is>
          <t xml:space="preserve">INF0J8L01149</t>
        </is>
      </c>
    </row>
    <row r="9933">
      <c r="A9933" t="inlineStr">
        <is>
          <t xml:space="preserve">NJ Mutual Fund</t>
        </is>
      </c>
      <c r="B9933" t="inlineStr">
        <is>
          <t xml:space="preserve">NJ Overnight Fund - Direct Plan - Growth Option</t>
        </is>
      </c>
      <c r="C9933" t="inlineStr">
        <is>
          <t xml:space="preserve">INF0J8L01081</t>
        </is>
      </c>
    </row>
    <row r="9934">
      <c r="A9934" t="inlineStr">
        <is>
          <t xml:space="preserve">NJ Mutual Fund</t>
        </is>
      </c>
      <c r="B9934" t="inlineStr">
        <is>
          <t xml:space="preserve">NJ Overnight Fund - Regular Plan - Growth Option</t>
        </is>
      </c>
      <c r="C9934" t="inlineStr">
        <is>
          <t xml:space="preserve">INF0J8L01073</t>
        </is>
      </c>
    </row>
    <row r="9935">
      <c r="A9935" t="inlineStr">
        <is>
          <t xml:space="preserve">Old Bridge Mutual Fund</t>
        </is>
      </c>
      <c r="B9935" t="inlineStr">
        <is>
          <t xml:space="preserve">Old Bridge Arbitrage Fund - Direct - IDCW</t>
        </is>
      </c>
      <c r="C9935" t="inlineStr">
        <is>
          <t xml:space="preserve">INF0S5R01075</t>
        </is>
      </c>
    </row>
    <row r="9936">
      <c r="A9936" t="inlineStr">
        <is>
          <t xml:space="preserve">Old Bridge Mutual Fund</t>
        </is>
      </c>
      <c r="B9936" t="inlineStr">
        <is>
          <t xml:space="preserve">Old Bridge Arbitrage Fund Direct Growth</t>
        </is>
      </c>
      <c r="C9936" t="inlineStr">
        <is>
          <t xml:space="preserve">INF0S5R01125</t>
        </is>
      </c>
    </row>
    <row r="9937">
      <c r="A9937" t="inlineStr">
        <is>
          <t xml:space="preserve">Old Bridge Mutual Fund</t>
        </is>
      </c>
      <c r="B9937" t="inlineStr">
        <is>
          <t xml:space="preserve">Old Bridge Arbitrage Fund Regular Growth</t>
        </is>
      </c>
      <c r="C9937" t="inlineStr">
        <is>
          <t xml:space="preserve">INF0S5R01091</t>
        </is>
      </c>
    </row>
    <row r="9938">
      <c r="A9938" t="inlineStr">
        <is>
          <t xml:space="preserve">Old Bridge Mutual Fund</t>
        </is>
      </c>
      <c r="B9938" t="inlineStr">
        <is>
          <t xml:space="preserve">Old Bridge Arbitrage Fund Regular IDCW</t>
        </is>
      </c>
      <c r="C9938" t="inlineStr">
        <is>
          <t xml:space="preserve">INF0S5R01109</t>
        </is>
      </c>
    </row>
    <row r="9939">
      <c r="A9939" t="inlineStr">
        <is>
          <t xml:space="preserve">Old Bridge Mutual Fund</t>
        </is>
      </c>
      <c r="B9939" t="inlineStr">
        <is>
          <t xml:space="preserve">Old Bridge Flexi Cap Fund Direct Growth</t>
        </is>
      </c>
      <c r="C9939" t="inlineStr">
        <is>
          <t xml:space="preserve">INF0S5R01133</t>
        </is>
      </c>
    </row>
    <row r="9940">
      <c r="A9940" t="inlineStr">
        <is>
          <t xml:space="preserve">Old Bridge Mutual Fund</t>
        </is>
      </c>
      <c r="B9940" t="inlineStr">
        <is>
          <t xml:space="preserve">Old Bridge Flexi Cap Fund Direct IDCW</t>
        </is>
      </c>
      <c r="C9940" t="inlineStr">
        <is>
          <t xml:space="preserve">INF0S5R01141</t>
        </is>
      </c>
    </row>
    <row r="9941">
      <c r="A9941" t="inlineStr">
        <is>
          <t xml:space="preserve">Old Bridge Mutual Fund</t>
        </is>
      </c>
      <c r="B9941" t="inlineStr">
        <is>
          <t xml:space="preserve">Old Bridge Flexi Cap Fund Regular Growth</t>
        </is>
      </c>
      <c r="C9941" t="inlineStr">
        <is>
          <t xml:space="preserve">INF0S5R01166</t>
        </is>
      </c>
    </row>
    <row r="9942">
      <c r="A9942" t="inlineStr">
        <is>
          <t xml:space="preserve">Old Bridge Mutual Fund</t>
        </is>
      </c>
      <c r="B9942" t="inlineStr">
        <is>
          <t xml:space="preserve">Old Bridge Flexi Cap Fund Regular IDCW</t>
        </is>
      </c>
      <c r="C9942" t="inlineStr">
        <is>
          <t xml:space="preserve">INF0S5R01174</t>
        </is>
      </c>
    </row>
    <row r="9943">
      <c r="A9943" t="inlineStr">
        <is>
          <t xml:space="preserve">Old Bridge Mutual Fund</t>
        </is>
      </c>
      <c r="B9943" t="inlineStr">
        <is>
          <t xml:space="preserve">Old Bridge Focused Fund - Direct Growth</t>
        </is>
      </c>
      <c r="C9943" t="inlineStr">
        <is>
          <t xml:space="preserve">INF0S5R01042</t>
        </is>
      </c>
    </row>
    <row r="9944">
      <c r="A9944" t="inlineStr">
        <is>
          <t xml:space="preserve">Old Bridge Mutual Fund</t>
        </is>
      </c>
      <c r="B9944" t="inlineStr">
        <is>
          <t xml:space="preserve">Old Bridge Focused Fund - Direct IDCW</t>
        </is>
      </c>
      <c r="C9944" t="inlineStr">
        <is>
          <t xml:space="preserve">INF0S5R01059</t>
        </is>
      </c>
    </row>
    <row r="9945">
      <c r="A9945" t="inlineStr">
        <is>
          <t xml:space="preserve">Old Bridge Mutual Fund</t>
        </is>
      </c>
      <c r="B9945" t="inlineStr">
        <is>
          <t xml:space="preserve">Old Bridge Focused Fund - Regular Growth</t>
        </is>
      </c>
      <c r="C9945" t="inlineStr">
        <is>
          <t xml:space="preserve">INF0S5R01034</t>
        </is>
      </c>
    </row>
    <row r="9946">
      <c r="A9946" t="inlineStr">
        <is>
          <t xml:space="preserve">Old Bridge Mutual Fund</t>
        </is>
      </c>
      <c r="B9946" t="inlineStr">
        <is>
          <t xml:space="preserve">Old Bridge Focused Fund - Regular IDCW</t>
        </is>
      </c>
      <c r="C9946" t="inlineStr">
        <is>
          <t xml:space="preserve">INF0S5R01018</t>
        </is>
      </c>
    </row>
    <row r="9947">
      <c r="A9947" t="inlineStr">
        <is>
          <t xml:space="preserve">PPFAS Mutual Fund</t>
        </is>
      </c>
      <c r="B9947" t="inlineStr">
        <is>
          <t xml:space="preserve">Parag Parikh Arbitrage Fund - Direct Plan Growth</t>
        </is>
      </c>
      <c r="C9947" t="inlineStr">
        <is>
          <t xml:space="preserve">INF879O01225</t>
        </is>
      </c>
    </row>
    <row r="9948">
      <c r="A9948" t="inlineStr">
        <is>
          <t xml:space="preserve">PPFAS Mutual Fund</t>
        </is>
      </c>
      <c r="B9948" t="inlineStr">
        <is>
          <t xml:space="preserve">Parag Parikh Arbitrage Fund - Regular Plan Growth</t>
        </is>
      </c>
      <c r="C9948" t="inlineStr">
        <is>
          <t xml:space="preserve">INF879O01217</t>
        </is>
      </c>
    </row>
    <row r="9949">
      <c r="A9949" t="inlineStr">
        <is>
          <t xml:space="preserve">PPFAS Mutual Fund</t>
        </is>
      </c>
      <c r="B9949" t="inlineStr">
        <is>
          <t xml:space="preserve">Parag Parikh Conservative Hybrid Fund - Direct Plan - Growth</t>
        </is>
      </c>
      <c r="C9949" t="inlineStr">
        <is>
          <t xml:space="preserve">INF879O01175</t>
        </is>
      </c>
    </row>
    <row r="9950">
      <c r="A9950" t="inlineStr">
        <is>
          <t xml:space="preserve">PPFAS Mutual Fund</t>
        </is>
      </c>
      <c r="B9950" t="inlineStr">
        <is>
          <t xml:space="preserve">Parag Parikh Conservative Hybrid Fund - Direct Plan - Monthly IDCW</t>
        </is>
      </c>
      <c r="C9950" t="inlineStr">
        <is>
          <t xml:space="preserve">INF879O01167</t>
        </is>
      </c>
    </row>
    <row r="9951">
      <c r="A9951" t="inlineStr">
        <is>
          <t xml:space="preserve">PPFAS Mutual Fund</t>
        </is>
      </c>
      <c r="B9951" t="inlineStr">
        <is>
          <t xml:space="preserve">Parag Parikh Conservative Hybrid Fund - Regular Plan - Growth</t>
        </is>
      </c>
      <c r="C9951" t="inlineStr">
        <is>
          <t xml:space="preserve">INF879O01209</t>
        </is>
      </c>
    </row>
    <row r="9952">
      <c r="A9952" t="inlineStr">
        <is>
          <t xml:space="preserve">PPFAS Mutual Fund</t>
        </is>
      </c>
      <c r="B9952" t="inlineStr">
        <is>
          <t xml:space="preserve">Parag Parikh Conservative Hybrid Fund - Regular Plan - Monthly IDCW</t>
        </is>
      </c>
      <c r="C9952" t="inlineStr">
        <is>
          <t xml:space="preserve">INF879O01191</t>
        </is>
      </c>
    </row>
    <row r="9953">
      <c r="A9953" t="inlineStr">
        <is>
          <t xml:space="preserve">PPFAS Mutual Fund</t>
        </is>
      </c>
      <c r="B9953" t="inlineStr">
        <is>
          <t xml:space="preserve">Parag Parikh Dynamic Asset Allocation Fund - Direct Plan - Monthly IDCW Reinvestment</t>
        </is>
      </c>
      <c r="C9953" t="inlineStr">
        <is>
          <t xml:space="preserve">INF879O01282</t>
        </is>
      </c>
    </row>
    <row r="9954">
      <c r="A9954" t="inlineStr">
        <is>
          <t xml:space="preserve">PPFAS Mutual Fund</t>
        </is>
      </c>
      <c r="B9954" t="inlineStr">
        <is>
          <t xml:space="preserve">Parag Parikh Dynamic Asset Allocation Fund - Direct Plan Growth</t>
        </is>
      </c>
      <c r="C9954" t="inlineStr">
        <is>
          <t xml:space="preserve">INF879O01266</t>
        </is>
      </c>
    </row>
    <row r="9955">
      <c r="A9955" t="inlineStr">
        <is>
          <t xml:space="preserve">PPFAS Mutual Fund</t>
        </is>
      </c>
      <c r="B9955" t="inlineStr">
        <is>
          <t xml:space="preserve">Parag Parikh Dynamic Asset Allocation Fund - Regular Plan - Monthly IDCW Reinvestment</t>
        </is>
      </c>
      <c r="C9955" t="inlineStr">
        <is>
          <t xml:space="preserve">INF879O01258</t>
        </is>
      </c>
    </row>
    <row r="9956">
      <c r="A9956" t="inlineStr">
        <is>
          <t xml:space="preserve">PPFAS Mutual Fund</t>
        </is>
      </c>
      <c r="B9956" t="inlineStr">
        <is>
          <t xml:space="preserve">Parag Parikh Dynamic Asset Allocation Fund - Regular Plan Growth</t>
        </is>
      </c>
      <c r="C9956" t="inlineStr">
        <is>
          <t xml:space="preserve">INF879O01233</t>
        </is>
      </c>
    </row>
    <row r="9957">
      <c r="A9957" t="inlineStr">
        <is>
          <t xml:space="preserve">PPFAS Mutual Fund</t>
        </is>
      </c>
      <c r="B9957" t="inlineStr">
        <is>
          <t xml:space="preserve">Parag Parikh ELSS Tax Saver Fund- Direct Growth</t>
        </is>
      </c>
      <c r="C9957" t="inlineStr">
        <is>
          <t xml:space="preserve">INF879O01100</t>
        </is>
      </c>
    </row>
    <row r="9958">
      <c r="A9958" t="inlineStr">
        <is>
          <t xml:space="preserve">PPFAS Mutual Fund</t>
        </is>
      </c>
      <c r="B9958" t="inlineStr">
        <is>
          <t xml:space="preserve">Parag Parikh ELSS Tax Saver Fund- Regular Growth</t>
        </is>
      </c>
      <c r="C9958" t="inlineStr">
        <is>
          <t xml:space="preserve">INF879O01092</t>
        </is>
      </c>
    </row>
    <row r="9959">
      <c r="A9959" t="inlineStr">
        <is>
          <t xml:space="preserve">PPFAS Mutual Fund</t>
        </is>
      </c>
      <c r="B9959" t="inlineStr">
        <is>
          <t xml:space="preserve">Parag Parikh Flexi Cap Fund - Direct Plan - Growth</t>
        </is>
      </c>
      <c r="C9959" t="inlineStr">
        <is>
          <t xml:space="preserve">INF879O01027</t>
        </is>
      </c>
    </row>
    <row r="9960">
      <c r="A9960" t="inlineStr">
        <is>
          <t xml:space="preserve">PPFAS Mutual Fund</t>
        </is>
      </c>
      <c r="B9960" t="inlineStr">
        <is>
          <t xml:space="preserve">Parag Parikh Flexi Cap Fund - Direct Plan - IDCW</t>
        </is>
      </c>
      <c r="C9960" t="inlineStr">
        <is>
          <t xml:space="preserve">INF879O01308</t>
        </is>
      </c>
    </row>
    <row r="9961">
      <c r="A9961" t="inlineStr">
        <is>
          <t xml:space="preserve">PPFAS Mutual Fund</t>
        </is>
      </c>
      <c r="B9961" t="inlineStr">
        <is>
          <t xml:space="preserve">Parag Parikh Flexi Cap Fund - Regular Plan - Growth</t>
        </is>
      </c>
      <c r="C9961" t="inlineStr">
        <is>
          <t xml:space="preserve">INF879O01019</t>
        </is>
      </c>
    </row>
    <row r="9962">
      <c r="A9962" t="inlineStr">
        <is>
          <t xml:space="preserve">PPFAS Mutual Fund</t>
        </is>
      </c>
      <c r="B9962" t="inlineStr">
        <is>
          <t xml:space="preserve">Parag Parikh Flexi Cap Fund - Regular Plan - IDCW</t>
        </is>
      </c>
      <c r="C9962" t="inlineStr">
        <is>
          <t xml:space="preserve">INF879O01324</t>
        </is>
      </c>
    </row>
    <row r="9963">
      <c r="A9963" t="inlineStr">
        <is>
          <t xml:space="preserve">PPFAS Mutual Fund</t>
        </is>
      </c>
      <c r="B9963" t="inlineStr">
        <is>
          <t xml:space="preserve">Parag Parikh Large Cap Fund - Direct Plan - Growth</t>
        </is>
      </c>
      <c r="C9963" t="inlineStr">
        <is>
          <t xml:space="preserve">INF879O01332</t>
        </is>
      </c>
    </row>
    <row r="9964">
      <c r="A9964" t="inlineStr">
        <is>
          <t xml:space="preserve">PPFAS Mutual Fund</t>
        </is>
      </c>
      <c r="B9964" t="inlineStr">
        <is>
          <t xml:space="preserve">Parag Parikh Large Cap Fund - Direct Plan - IDCW</t>
        </is>
      </c>
      <c r="C9964" t="inlineStr">
        <is>
          <t xml:space="preserve">INF879O01357</t>
        </is>
      </c>
    </row>
    <row r="9965">
      <c r="A9965" t="inlineStr">
        <is>
          <t xml:space="preserve">PPFAS Mutual Fund</t>
        </is>
      </c>
      <c r="B9965" t="inlineStr">
        <is>
          <t xml:space="preserve">Parag Parikh Large Cap Fund - Regular Plan - Growth</t>
        </is>
      </c>
      <c r="C9965" t="inlineStr">
        <is>
          <t xml:space="preserve">INF879O01365</t>
        </is>
      </c>
    </row>
    <row r="9966">
      <c r="A9966" t="inlineStr">
        <is>
          <t xml:space="preserve">PPFAS Mutual Fund</t>
        </is>
      </c>
      <c r="B9966" t="inlineStr">
        <is>
          <t xml:space="preserve">Parag Parikh Large Cap Fund - Regular Plan - IDCW</t>
        </is>
      </c>
      <c r="C9966" t="inlineStr">
        <is>
          <t xml:space="preserve">INF879O01381</t>
        </is>
      </c>
    </row>
    <row r="9967">
      <c r="A9967" t="inlineStr">
        <is>
          <t xml:space="preserve">PPFAS Mutual Fund</t>
        </is>
      </c>
      <c r="B9967" t="inlineStr">
        <is>
          <t xml:space="preserve">Parag Parikh Liquid Fund- Direct Plan- Daily Reinvestment of IDCW</t>
        </is>
      </c>
      <c r="C9967" t="inlineStr">
        <is>
          <t xml:space="preserve">INF879O01118</t>
        </is>
      </c>
    </row>
    <row r="9968">
      <c r="A9968" t="inlineStr">
        <is>
          <t xml:space="preserve">PPFAS Mutual Fund</t>
        </is>
      </c>
      <c r="B9968" t="inlineStr">
        <is>
          <t xml:space="preserve">Parag Parikh Liquid Fund- Direct Plan- Growth</t>
        </is>
      </c>
      <c r="C9968" t="inlineStr">
        <is>
          <t xml:space="preserve">INF879O01068</t>
        </is>
      </c>
    </row>
    <row r="9969">
      <c r="A9969" t="inlineStr">
        <is>
          <t xml:space="preserve">PPFAS Mutual Fund</t>
        </is>
      </c>
      <c r="B9969" t="inlineStr">
        <is>
          <t xml:space="preserve">Parag Parikh Liquid Fund- Direct Plan- Monthly IDCW</t>
        </is>
      </c>
      <c r="C9969" t="inlineStr">
        <is>
          <t xml:space="preserve">INF879O01076</t>
        </is>
      </c>
    </row>
    <row r="9970">
      <c r="A9970" t="inlineStr">
        <is>
          <t xml:space="preserve">PPFAS Mutual Fund</t>
        </is>
      </c>
      <c r="B9970" t="inlineStr">
        <is>
          <t xml:space="preserve">Parag Parikh Liquid Fund- Direct Plan- Weekly Reinvestment of IDCW</t>
        </is>
      </c>
      <c r="C9970" t="inlineStr">
        <is>
          <t xml:space="preserve">INF879O01134</t>
        </is>
      </c>
    </row>
    <row r="9971">
      <c r="A9971" t="inlineStr">
        <is>
          <t xml:space="preserve">PPFAS Mutual Fund</t>
        </is>
      </c>
      <c r="B9971" t="inlineStr">
        <is>
          <t xml:space="preserve">Parag Parikh Liquid Fund- Regular Plan- Daily Reinvestment of IDCW</t>
        </is>
      </c>
      <c r="C9971" t="inlineStr">
        <is>
          <t xml:space="preserve">INF879O01126</t>
        </is>
      </c>
    </row>
    <row r="9972">
      <c r="A9972" t="inlineStr">
        <is>
          <t xml:space="preserve">PPFAS Mutual Fund</t>
        </is>
      </c>
      <c r="B9972" t="inlineStr">
        <is>
          <t xml:space="preserve">Parag Parikh Liquid Fund- Regular Plan- Growth</t>
        </is>
      </c>
      <c r="C9972" t="inlineStr">
        <is>
          <t xml:space="preserve">INF879O01035</t>
        </is>
      </c>
    </row>
    <row r="9973">
      <c r="A9973" t="inlineStr">
        <is>
          <t xml:space="preserve">PPFAS Mutual Fund</t>
        </is>
      </c>
      <c r="B9973" t="inlineStr">
        <is>
          <t xml:space="preserve">Parag Parikh Liquid Fund- Regular Plan- Monthly IDCW</t>
        </is>
      </c>
      <c r="C9973" t="inlineStr">
        <is>
          <t xml:space="preserve">INF879O01043</t>
        </is>
      </c>
    </row>
    <row r="9974">
      <c r="A9974" t="inlineStr">
        <is>
          <t xml:space="preserve">PPFAS Mutual Fund</t>
        </is>
      </c>
      <c r="B9974" t="inlineStr">
        <is>
          <t xml:space="preserve">Parag Parikh Liquid Fund- Regular Plan- Weekly Reinvestment of IDCW</t>
        </is>
      </c>
      <c r="C9974" t="inlineStr">
        <is>
          <t xml:space="preserve">INF879O01142</t>
        </is>
      </c>
    </row>
    <row r="9975">
      <c r="A9975" t="inlineStr">
        <is>
          <t xml:space="preserve">PGIM India Mutual Fund</t>
        </is>
      </c>
      <c r="B9975" t="inlineStr">
        <is>
          <t xml:space="preserve">PGIM India Aggressive Hybrid Equity Fund - BONUS OPTION</t>
        </is>
      </c>
      <c r="C9975" t="inlineStr">
        <is>
          <t xml:space="preserve">INF223J01903</t>
        </is>
      </c>
    </row>
    <row r="9976">
      <c r="A9976" t="inlineStr">
        <is>
          <t xml:space="preserve">PGIM India Mutual Fund</t>
        </is>
      </c>
      <c r="B9976" t="inlineStr">
        <is>
          <t xml:space="preserve">PGIM India Aggressive Hybrid Equity Fund - Direct Plan - Annual Dividend Option</t>
        </is>
      </c>
      <c r="C9976" t="inlineStr">
        <is>
          <t xml:space="preserve">INF663L01ZC6</t>
        </is>
      </c>
    </row>
    <row r="9977">
      <c r="A9977" t="inlineStr">
        <is>
          <t xml:space="preserve">PGIM India Mutual Fund</t>
        </is>
      </c>
      <c r="B9977" t="inlineStr">
        <is>
          <t xml:space="preserve">PGIM India Aggressive Hybrid Equity Fund - Direct Plan - Dividend</t>
        </is>
      </c>
      <c r="C9977" t="inlineStr">
        <is>
          <t xml:space="preserve">INF663L01GY0</t>
        </is>
      </c>
    </row>
    <row r="9978">
      <c r="A9978" t="inlineStr">
        <is>
          <t xml:space="preserve">PGIM India Mutual Fund</t>
        </is>
      </c>
      <c r="B9978" t="inlineStr">
        <is>
          <t xml:space="preserve">PGIM India Aggressive Hybrid Equity Fund - Direct Plan - Growth</t>
        </is>
      </c>
      <c r="C9978" t="inlineStr">
        <is>
          <t xml:space="preserve">INF663L01GX2</t>
        </is>
      </c>
    </row>
    <row r="9979">
      <c r="A9979" t="inlineStr">
        <is>
          <t xml:space="preserve">PGIM India Mutual Fund</t>
        </is>
      </c>
      <c r="B9979" t="inlineStr">
        <is>
          <t xml:space="preserve">PGIM India Aggressive Hybrid Equity Fund - Dividend Option</t>
        </is>
      </c>
      <c r="C9979" t="inlineStr">
        <is>
          <t xml:space="preserve">INF663L01HA8</t>
        </is>
      </c>
    </row>
    <row r="9980">
      <c r="A9980" t="inlineStr">
        <is>
          <t xml:space="preserve">PGIM India Mutual Fund</t>
        </is>
      </c>
      <c r="B9980" t="inlineStr">
        <is>
          <t xml:space="preserve">PGIM India Aggressive Hybrid Equity Fund - Growth Option</t>
        </is>
      </c>
      <c r="C9980" t="inlineStr">
        <is>
          <t xml:space="preserve">INF663L01HC4</t>
        </is>
      </c>
    </row>
    <row r="9981">
      <c r="A9981" t="inlineStr">
        <is>
          <t xml:space="preserve">PGIM India Mutual Fund</t>
        </is>
      </c>
      <c r="B9981" t="inlineStr">
        <is>
          <t xml:space="preserve">PGIM India Aggressive Hybrid Equity Fund - Regular Plan - Annual Dividend Option</t>
        </is>
      </c>
      <c r="C9981" t="inlineStr">
        <is>
          <t xml:space="preserve">INF663L01ZA0</t>
        </is>
      </c>
    </row>
    <row r="9982">
      <c r="A9982" t="inlineStr">
        <is>
          <t xml:space="preserve">PGIM India Mutual Fund</t>
        </is>
      </c>
      <c r="B9982" t="inlineStr">
        <is>
          <t xml:space="preserve">PGIM India Aggressive Hybrid Equity Fund Wealth Plan- Dividend Option</t>
        </is>
      </c>
      <c r="C9982" t="inlineStr">
        <is>
          <t xml:space="preserve">INF223J01309</t>
        </is>
      </c>
    </row>
    <row r="9983">
      <c r="A9983" t="inlineStr">
        <is>
          <t xml:space="preserve">PGIM India Mutual Fund</t>
        </is>
      </c>
      <c r="B9983" t="inlineStr">
        <is>
          <t xml:space="preserve">PGIM India Aggressive Hybrid Equity Fund Wealth Plan- Growth Option</t>
        </is>
      </c>
      <c r="C9983" t="inlineStr">
        <is>
          <t xml:space="preserve">INF223J01325</t>
        </is>
      </c>
    </row>
    <row r="9984">
      <c r="A9984" t="inlineStr">
        <is>
          <t xml:space="preserve">PGIM India Mutual Fund</t>
        </is>
      </c>
      <c r="B9984" t="inlineStr">
        <is>
          <t xml:space="preserve">PGIM India Aggressive Hybrid Equity Fund-Direct Plan-Monthly Dividend Option</t>
        </is>
      </c>
      <c r="C9984" t="inlineStr">
        <is>
          <t xml:space="preserve">INF663L01OA4</t>
        </is>
      </c>
    </row>
    <row r="9985">
      <c r="A9985" t="inlineStr">
        <is>
          <t xml:space="preserve">PGIM India Mutual Fund</t>
        </is>
      </c>
      <c r="B9985" t="inlineStr">
        <is>
          <t xml:space="preserve">PGIM India Aggressive Hybrid Equity Fund-Direct Plan-Quarterly Divdend Option</t>
        </is>
      </c>
      <c r="C9985" t="inlineStr">
        <is>
          <t xml:space="preserve">INF663L01OE6</t>
        </is>
      </c>
    </row>
    <row r="9986">
      <c r="A9986" t="inlineStr">
        <is>
          <t xml:space="preserve">PGIM India Mutual Fund</t>
        </is>
      </c>
      <c r="B9986" t="inlineStr">
        <is>
          <t xml:space="preserve">PGIM India Aggressive Hybrid Equity Fund-Monthly Dividend Option</t>
        </is>
      </c>
      <c r="C9986" t="inlineStr">
        <is>
          <t xml:space="preserve">INF663L01NY6</t>
        </is>
      </c>
    </row>
    <row r="9987">
      <c r="A9987" t="inlineStr">
        <is>
          <t xml:space="preserve">PGIM India Mutual Fund</t>
        </is>
      </c>
      <c r="B9987" t="inlineStr">
        <is>
          <t xml:space="preserve">PGIM India Aggressive Hybrid Equity Fund-Quarterly Dividend Option</t>
        </is>
      </c>
      <c r="C9987" t="inlineStr">
        <is>
          <t xml:space="preserve">INF663L01OC0</t>
        </is>
      </c>
    </row>
    <row r="9988">
      <c r="A9988" t="inlineStr">
        <is>
          <t xml:space="preserve">PGIM India Mutual Fund</t>
        </is>
      </c>
      <c r="B9988" t="inlineStr">
        <is>
          <t xml:space="preserve">PGIM India Arbitrage Fund - Direct Plan - Annual Dividend</t>
        </is>
      </c>
      <c r="C9988" t="inlineStr">
        <is>
          <t xml:space="preserve">INF223J012N9</t>
        </is>
      </c>
    </row>
    <row r="9989">
      <c r="A9989" t="inlineStr">
        <is>
          <t xml:space="preserve">PGIM India Mutual Fund</t>
        </is>
      </c>
      <c r="B9989" t="inlineStr">
        <is>
          <t xml:space="preserve">PGIM India Arbitrage Fund - Direct Plan - Growth</t>
        </is>
      </c>
      <c r="C9989" t="inlineStr">
        <is>
          <t xml:space="preserve">INF223J013N7</t>
        </is>
      </c>
    </row>
    <row r="9990">
      <c r="A9990" t="inlineStr">
        <is>
          <t xml:space="preserve">PGIM India Mutual Fund</t>
        </is>
      </c>
      <c r="B9990" t="inlineStr">
        <is>
          <t xml:space="preserve">PGIM India Arbitrage Fund - Direct Plan - Half yearly Dividend Option</t>
        </is>
      </c>
      <c r="C9990" t="inlineStr">
        <is>
          <t xml:space="preserve">INF663L01YU1</t>
        </is>
      </c>
    </row>
    <row r="9991">
      <c r="A9991" t="inlineStr">
        <is>
          <t xml:space="preserve">PGIM India Mutual Fund</t>
        </is>
      </c>
      <c r="B9991" t="inlineStr">
        <is>
          <t xml:space="preserve">PGIM India Arbitrage Fund - Direct Plan - Monthly Dividend</t>
        </is>
      </c>
      <c r="C9991" t="inlineStr">
        <is>
          <t xml:space="preserve">INF223J011N1</t>
        </is>
      </c>
    </row>
    <row r="9992">
      <c r="A9992" t="inlineStr">
        <is>
          <t xml:space="preserve">PGIM India Mutual Fund</t>
        </is>
      </c>
      <c r="B9992" t="inlineStr">
        <is>
          <t xml:space="preserve">PGIM India Arbitrage Fund - Direct Plan - Quarterly Dividend</t>
        </is>
      </c>
      <c r="C9992" t="inlineStr">
        <is>
          <t xml:space="preserve">INF223J010N3</t>
        </is>
      </c>
    </row>
    <row r="9993">
      <c r="A9993" t="inlineStr">
        <is>
          <t xml:space="preserve">PGIM India Mutual Fund</t>
        </is>
      </c>
      <c r="B9993" t="inlineStr">
        <is>
          <t xml:space="preserve">PGIM India Arbitrage Fund - Direct Plan - Regular Dividend</t>
        </is>
      </c>
      <c r="C9993" t="inlineStr">
        <is>
          <t xml:space="preserve">INF223J019M6</t>
        </is>
      </c>
    </row>
    <row r="9994">
      <c r="A9994" t="inlineStr">
        <is>
          <t xml:space="preserve">PGIM India Mutual Fund</t>
        </is>
      </c>
      <c r="B9994" t="inlineStr">
        <is>
          <t xml:space="preserve">PGIM India Arbitrage Fund - Regular Plan - Annual Dividend</t>
        </is>
      </c>
      <c r="C9994" t="inlineStr">
        <is>
          <t xml:space="preserve">INF223J012M1</t>
        </is>
      </c>
    </row>
    <row r="9995">
      <c r="A9995" t="inlineStr">
        <is>
          <t xml:space="preserve">PGIM India Mutual Fund</t>
        </is>
      </c>
      <c r="B9995" t="inlineStr">
        <is>
          <t xml:space="preserve">PGIM India Arbitrage Fund - Regular Plan - Growth</t>
        </is>
      </c>
      <c r="C9995" t="inlineStr">
        <is>
          <t xml:space="preserve">INF223J019N4</t>
        </is>
      </c>
    </row>
    <row r="9996">
      <c r="A9996" t="inlineStr">
        <is>
          <t xml:space="preserve">PGIM India Mutual Fund</t>
        </is>
      </c>
      <c r="B9996" t="inlineStr">
        <is>
          <t xml:space="preserve">PGIM India Arbitrage Fund - Regular Plan - Monthly Dividend</t>
        </is>
      </c>
      <c r="C9996" t="inlineStr">
        <is>
          <t xml:space="preserve">INF223J011M3</t>
        </is>
      </c>
    </row>
    <row r="9997">
      <c r="A9997" t="inlineStr">
        <is>
          <t xml:space="preserve">PGIM India Mutual Fund</t>
        </is>
      </c>
      <c r="B9997" t="inlineStr">
        <is>
          <t xml:space="preserve">PGIM India Arbitrage Fund - Regular Plan - Quarterly Dividend</t>
        </is>
      </c>
      <c r="C9997" t="inlineStr">
        <is>
          <t xml:space="preserve">INF223J010M5</t>
        </is>
      </c>
    </row>
    <row r="9998">
      <c r="A9998" t="inlineStr">
        <is>
          <t xml:space="preserve">PGIM India Mutual Fund</t>
        </is>
      </c>
      <c r="B9998" t="inlineStr">
        <is>
          <t xml:space="preserve">PGIM India Arbitrage Fund - Regular Plan - Regular Dividend</t>
        </is>
      </c>
      <c r="C9998" t="inlineStr">
        <is>
          <t xml:space="preserve">INF223J019L8</t>
        </is>
      </c>
    </row>
    <row r="9999">
      <c r="A9999" t="inlineStr">
        <is>
          <t xml:space="preserve">PGIM India Mutual Fund</t>
        </is>
      </c>
      <c r="B9999" t="inlineStr">
        <is>
          <t xml:space="preserve">PGIM India Balanced Advantage Fund -  Direct Plan - Growth Option</t>
        </is>
      </c>
      <c r="C9999" t="inlineStr">
        <is>
          <t xml:space="preserve">INF663L01V49</t>
        </is>
      </c>
    </row>
    <row r="10000">
      <c r="A10000" t="inlineStr">
        <is>
          <t xml:space="preserve">PGIM India Mutual Fund</t>
        </is>
      </c>
      <c r="B10000" t="inlineStr">
        <is>
          <t xml:space="preserve">PGIM India Balanced Advantage Fund - Direct Plan - Dividend Option</t>
        </is>
      </c>
      <c r="C10000" t="inlineStr">
        <is>
          <t xml:space="preserve">INF663L01V56</t>
        </is>
      </c>
    </row>
    <row r="10001">
      <c r="A10001" t="inlineStr">
        <is>
          <t xml:space="preserve">PGIM India Mutual Fund</t>
        </is>
      </c>
      <c r="B10001" t="inlineStr">
        <is>
          <t xml:space="preserve">PGIM India Balanced Advantage Fund - Regular Plan - Dividend Option</t>
        </is>
      </c>
      <c r="C10001" t="inlineStr">
        <is>
          <t xml:space="preserve">INF663L01V80</t>
        </is>
      </c>
    </row>
    <row r="10002">
      <c r="A10002" t="inlineStr">
        <is>
          <t xml:space="preserve">PGIM India Mutual Fund</t>
        </is>
      </c>
      <c r="B10002" t="inlineStr">
        <is>
          <t xml:space="preserve">PGIM India Balanced Advantage Fund - Regular Plan - Growth Option</t>
        </is>
      </c>
      <c r="C10002" t="inlineStr">
        <is>
          <t xml:space="preserve">INF663L01V72</t>
        </is>
      </c>
    </row>
    <row r="10003">
      <c r="A10003" t="inlineStr">
        <is>
          <t xml:space="preserve">PGIM India Mutual Fund</t>
        </is>
      </c>
      <c r="B10003" t="inlineStr">
        <is>
          <t xml:space="preserve">PGIM India Corporate Bond Fund - Annual Dividend</t>
        </is>
      </c>
      <c r="C10003" t="inlineStr">
        <is>
          <t xml:space="preserve">INF223J01CY6</t>
        </is>
      </c>
    </row>
    <row r="10004">
      <c r="A10004" t="inlineStr">
        <is>
          <t xml:space="preserve">PGIM India Mutual Fund</t>
        </is>
      </c>
      <c r="B10004" t="inlineStr">
        <is>
          <t xml:space="preserve">PGIM India Corporate Bond Fund - Direct Plan - Annual Dividend</t>
        </is>
      </c>
      <c r="C10004" t="inlineStr">
        <is>
          <t xml:space="preserve">INF223J01OM6</t>
        </is>
      </c>
    </row>
    <row r="10005">
      <c r="A10005" t="inlineStr">
        <is>
          <t xml:space="preserve">PGIM India Mutual Fund</t>
        </is>
      </c>
      <c r="B10005" t="inlineStr">
        <is>
          <t xml:space="preserve">PGIM India Corporate Bond Fund - Direct Plan - Growth</t>
        </is>
      </c>
      <c r="C10005" t="inlineStr">
        <is>
          <t xml:space="preserve">INF223J01OO2</t>
        </is>
      </c>
    </row>
    <row r="10006">
      <c r="A10006" t="inlineStr">
        <is>
          <t xml:space="preserve">PGIM India Mutual Fund</t>
        </is>
      </c>
      <c r="B10006" t="inlineStr">
        <is>
          <t xml:space="preserve">PGIM India Corporate Bond Fund - Direct Plan - Monthly Dividend</t>
        </is>
      </c>
      <c r="C10006" t="inlineStr">
        <is>
          <t xml:space="preserve">INF223J01OP9</t>
        </is>
      </c>
    </row>
    <row r="10007">
      <c r="A10007" t="inlineStr">
        <is>
          <t xml:space="preserve">PGIM India Mutual Fund</t>
        </is>
      </c>
      <c r="B10007" t="inlineStr">
        <is>
          <t xml:space="preserve">PGIM India Corporate Bond Fund - Direct Plan - Quarterly Dividend</t>
        </is>
      </c>
      <c r="C10007" t="inlineStr">
        <is>
          <t xml:space="preserve">INF223J01OR5</t>
        </is>
      </c>
    </row>
    <row r="10008">
      <c r="A10008" t="inlineStr">
        <is>
          <t xml:space="preserve">PGIM India Mutual Fund</t>
        </is>
      </c>
      <c r="B10008" t="inlineStr">
        <is>
          <t xml:space="preserve">PGIM India Corporate Bond Fund - Growth</t>
        </is>
      </c>
      <c r="C10008" t="inlineStr">
        <is>
          <t xml:space="preserve">INF223J01DB2</t>
        </is>
      </c>
    </row>
    <row r="10009">
      <c r="A10009" t="inlineStr">
        <is>
          <t xml:space="preserve">PGIM India Mutual Fund</t>
        </is>
      </c>
      <c r="B10009" t="inlineStr">
        <is>
          <t xml:space="preserve">PGIM India Corporate Bond Fund - Monthly Dividend</t>
        </is>
      </c>
      <c r="C10009" t="inlineStr">
        <is>
          <t xml:space="preserve">INF223J01DC0</t>
        </is>
      </c>
    </row>
    <row r="10010">
      <c r="A10010" t="inlineStr">
        <is>
          <t xml:space="preserve">PGIM India Mutual Fund</t>
        </is>
      </c>
      <c r="B10010" t="inlineStr">
        <is>
          <t xml:space="preserve">PGIM India Corporate Bond Fund - Premium Plus Plan - Growth</t>
        </is>
      </c>
      <c r="C10010" t="inlineStr">
        <is>
          <t xml:space="preserve">INF223J01CQ2</t>
        </is>
      </c>
    </row>
    <row r="10011">
      <c r="A10011" t="inlineStr">
        <is>
          <t xml:space="preserve">PGIM India Mutual Fund</t>
        </is>
      </c>
      <c r="B10011" t="inlineStr">
        <is>
          <t xml:space="preserve">PGIM India Corporate Bond Fund - Quarterly Dividend</t>
        </is>
      </c>
      <c r="C10011" t="inlineStr">
        <is>
          <t xml:space="preserve">INF223J01DE6</t>
        </is>
      </c>
    </row>
    <row r="10012">
      <c r="A10012" t="inlineStr">
        <is>
          <t xml:space="preserve">PGIM India Mutual Fund</t>
        </is>
      </c>
      <c r="B10012" t="inlineStr">
        <is>
          <t xml:space="preserve">PGIM India CRISIL IBX Gilt Index - Apr 2028 Fund - Direct Plan, Growth Option</t>
        </is>
      </c>
      <c r="C10012" t="inlineStr">
        <is>
          <t xml:space="preserve">INF663L01X21</t>
        </is>
      </c>
    </row>
    <row r="10013">
      <c r="A10013" t="inlineStr">
        <is>
          <t xml:space="preserve">PGIM India Mutual Fund</t>
        </is>
      </c>
      <c r="B10013" t="inlineStr">
        <is>
          <t xml:space="preserve">PGIM India CRISIL IBX Gilt Index - Apr 2028 Fund - Direct Plan, IDCW Option</t>
        </is>
      </c>
      <c r="C10013" t="inlineStr">
        <is>
          <t xml:space="preserve">INF663L01X39</t>
        </is>
      </c>
    </row>
    <row r="10014">
      <c r="A10014" t="inlineStr">
        <is>
          <t xml:space="preserve">PGIM India Mutual Fund</t>
        </is>
      </c>
      <c r="B10014" t="inlineStr">
        <is>
          <t xml:space="preserve">PGIM India CRISIL IBX Gilt Index - Apr 2028 Fund - Regular Plan, Growth Option</t>
        </is>
      </c>
      <c r="C10014" t="inlineStr">
        <is>
          <t xml:space="preserve">INF663L01X54</t>
        </is>
      </c>
    </row>
    <row r="10015">
      <c r="A10015" t="inlineStr">
        <is>
          <t xml:space="preserve">PGIM India Mutual Fund</t>
        </is>
      </c>
      <c r="B10015" t="inlineStr">
        <is>
          <t xml:space="preserve">PGIM India CRISIL IBX Gilt Index - Apr 2028 Fund - Regular Plan, IDCW Option</t>
        </is>
      </c>
      <c r="C10015" t="inlineStr">
        <is>
          <t xml:space="preserve">INF663L01X62</t>
        </is>
      </c>
    </row>
    <row r="10016">
      <c r="A10016" t="inlineStr">
        <is>
          <t xml:space="preserve">PGIM India Mutual Fund</t>
        </is>
      </c>
      <c r="B10016" t="inlineStr">
        <is>
          <t xml:space="preserve">PGIM India Dynamic Bond Fund - Direct Plan-Growth Option</t>
        </is>
      </c>
      <c r="C10016" t="inlineStr">
        <is>
          <t xml:space="preserve">INF663L01AD7</t>
        </is>
      </c>
    </row>
    <row r="10017">
      <c r="A10017" t="inlineStr">
        <is>
          <t xml:space="preserve">PGIM India Mutual Fund</t>
        </is>
      </c>
      <c r="B10017" t="inlineStr">
        <is>
          <t xml:space="preserve">PGIM India Dynamic Bond Fund - Direct Plan-Monthly Dividend Option</t>
        </is>
      </c>
      <c r="C10017" t="inlineStr">
        <is>
          <t xml:space="preserve">INF663L01AF2</t>
        </is>
      </c>
    </row>
    <row r="10018">
      <c r="A10018" t="inlineStr">
        <is>
          <t xml:space="preserve">PGIM India Mutual Fund</t>
        </is>
      </c>
      <c r="B10018" t="inlineStr">
        <is>
          <t xml:space="preserve">PGIM India Dynamic Bond Fund - Direct Plan-Quarterly Dividend Option</t>
        </is>
      </c>
      <c r="C10018" t="inlineStr">
        <is>
          <t xml:space="preserve">INF663L01AI6</t>
        </is>
      </c>
    </row>
    <row r="10019">
      <c r="A10019" t="inlineStr">
        <is>
          <t xml:space="preserve">PGIM India Mutual Fund</t>
        </is>
      </c>
      <c r="B10019" t="inlineStr">
        <is>
          <t xml:space="preserve">PGIM India Dynamic Bond Fund - Dividend Option - Monthly</t>
        </is>
      </c>
      <c r="C10019" t="inlineStr">
        <is>
          <t xml:space="preserve">INF663L01492</t>
        </is>
      </c>
    </row>
    <row r="10020">
      <c r="A10020" t="inlineStr">
        <is>
          <t xml:space="preserve">PGIM India Mutual Fund</t>
        </is>
      </c>
      <c r="B10020" t="inlineStr">
        <is>
          <t xml:space="preserve">PGIM India Dynamic Bond Fund - Dividend Option - Quarterly</t>
        </is>
      </c>
      <c r="C10020" t="inlineStr">
        <is>
          <t xml:space="preserve">INF663L01526</t>
        </is>
      </c>
    </row>
    <row r="10021">
      <c r="A10021" t="inlineStr">
        <is>
          <t xml:space="preserve">PGIM India Mutual Fund</t>
        </is>
      </c>
      <c r="B10021" t="inlineStr">
        <is>
          <t xml:space="preserve">PGIM India Dynamic Bond Fund - Growth Option</t>
        </is>
      </c>
      <c r="C10021" t="inlineStr">
        <is>
          <t xml:space="preserve">INF663L01484</t>
        </is>
      </c>
    </row>
    <row r="10022">
      <c r="A10022" t="inlineStr">
        <is>
          <t xml:space="preserve">PGIM India Mutual Fund</t>
        </is>
      </c>
      <c r="B10022" t="inlineStr">
        <is>
          <t xml:space="preserve">PGIM India Dynamic Bond Fund-Bonus Option</t>
        </is>
      </c>
      <c r="C10022" t="inlineStr">
        <is>
          <t xml:space="preserve">INF663L01BF0</t>
        </is>
      </c>
    </row>
    <row r="10023">
      <c r="A10023" t="inlineStr">
        <is>
          <t xml:space="preserve">PGIM India Mutual Fund</t>
        </is>
      </c>
      <c r="B10023" t="inlineStr">
        <is>
          <t xml:space="preserve">PGIM India ELSS Tax Saver Fund - Direct Plan - Dividend Option</t>
        </is>
      </c>
      <c r="C10023" t="inlineStr">
        <is>
          <t xml:space="preserve">INF663L01FO3</t>
        </is>
      </c>
    </row>
    <row r="10024">
      <c r="A10024" t="inlineStr">
        <is>
          <t xml:space="preserve">PGIM India Mutual Fund</t>
        </is>
      </c>
      <c r="B10024" t="inlineStr">
        <is>
          <t xml:space="preserve">PGIM India ELSS Tax Saver Fund - Direct Plan - Growth Option</t>
        </is>
      </c>
      <c r="C10024" t="inlineStr">
        <is>
          <t xml:space="preserve">INF663L01FN5</t>
        </is>
      </c>
    </row>
    <row r="10025">
      <c r="A10025" t="inlineStr">
        <is>
          <t xml:space="preserve">PGIM India Mutual Fund</t>
        </is>
      </c>
      <c r="B10025" t="inlineStr">
        <is>
          <t xml:space="preserve">PGIM India ELSS Tax Saver Fund - Regular Plan - Dividend Option</t>
        </is>
      </c>
      <c r="C10025" t="inlineStr">
        <is>
          <t xml:space="preserve">INF663L01FR6</t>
        </is>
      </c>
    </row>
    <row r="10026">
      <c r="A10026" t="inlineStr">
        <is>
          <t xml:space="preserve">PGIM India Mutual Fund</t>
        </is>
      </c>
      <c r="B10026" t="inlineStr">
        <is>
          <t xml:space="preserve">PGIM India ELSS Tax Saver Fund - Regular Plan - Growth Option</t>
        </is>
      </c>
      <c r="C10026" t="inlineStr">
        <is>
          <t xml:space="preserve">INF663L01FQ8</t>
        </is>
      </c>
    </row>
    <row r="10027">
      <c r="A10027" t="inlineStr">
        <is>
          <t xml:space="preserve">PGIM India Mutual Fund</t>
        </is>
      </c>
      <c r="B10027" t="inlineStr">
        <is>
          <t xml:space="preserve">PGIM India Emerging Markets Equity Fund of Fund - Direct Plan - Growth</t>
        </is>
      </c>
      <c r="C10027" t="inlineStr">
        <is>
          <t xml:space="preserve">INF223J01NL0</t>
        </is>
      </c>
    </row>
    <row r="10028">
      <c r="A10028" t="inlineStr">
        <is>
          <t xml:space="preserve">PGIM India Mutual Fund</t>
        </is>
      </c>
      <c r="B10028" t="inlineStr">
        <is>
          <t xml:space="preserve">PGIM India Emerging Markets Equity Fund of Fund- Direct Plan - Dividend</t>
        </is>
      </c>
      <c r="C10028" t="inlineStr">
        <is>
          <t xml:space="preserve">INF223J01NJ4</t>
        </is>
      </c>
    </row>
    <row r="10029">
      <c r="A10029" t="inlineStr">
        <is>
          <t xml:space="preserve">PGIM India Mutual Fund</t>
        </is>
      </c>
      <c r="B10029" t="inlineStr">
        <is>
          <t xml:space="preserve">PGIM India Emerging Markets Equity Fund of Fund- Dividend</t>
        </is>
      </c>
      <c r="C10029" t="inlineStr">
        <is>
          <t xml:space="preserve">INF223J01AW4</t>
        </is>
      </c>
    </row>
    <row r="10030">
      <c r="A10030" t="inlineStr">
        <is>
          <t xml:space="preserve">PGIM India Mutual Fund</t>
        </is>
      </c>
      <c r="B10030" t="inlineStr">
        <is>
          <t xml:space="preserve">PGIM India Emerging Markets Equity Fund of Fund- Growth</t>
        </is>
      </c>
      <c r="C10030" t="inlineStr">
        <is>
          <t xml:space="preserve">INF223J01AY0</t>
        </is>
      </c>
    </row>
    <row r="10031">
      <c r="A10031" t="inlineStr">
        <is>
          <t xml:space="preserve">PGIM India Mutual Fund</t>
        </is>
      </c>
      <c r="B10031" t="inlineStr">
        <is>
          <t xml:space="preserve">PGIM India Equity Savings Fund - Annual Dividend option</t>
        </is>
      </c>
      <c r="C10031" t="inlineStr">
        <is>
          <t xml:space="preserve">INF223J01EZ9</t>
        </is>
      </c>
    </row>
    <row r="10032">
      <c r="A10032" t="inlineStr">
        <is>
          <t xml:space="preserve">PGIM India Mutual Fund</t>
        </is>
      </c>
      <c r="B10032" t="inlineStr">
        <is>
          <t xml:space="preserve">PGIM India Equity Savings Fund - Direct Plan - Annual Dividend</t>
        </is>
      </c>
      <c r="C10032" t="inlineStr">
        <is>
          <t xml:space="preserve">INF223J01QA6</t>
        </is>
      </c>
    </row>
    <row r="10033">
      <c r="A10033" t="inlineStr">
        <is>
          <t xml:space="preserve">PGIM India Mutual Fund</t>
        </is>
      </c>
      <c r="B10033" t="inlineStr">
        <is>
          <t xml:space="preserve">PGIM India Equity Savings Fund - Direct Plan - Growth</t>
        </is>
      </c>
      <c r="C10033" t="inlineStr">
        <is>
          <t xml:space="preserve">INF223J01QD0</t>
        </is>
      </c>
    </row>
    <row r="10034">
      <c r="A10034" t="inlineStr">
        <is>
          <t xml:space="preserve">PGIM India Mutual Fund</t>
        </is>
      </c>
      <c r="B10034" t="inlineStr">
        <is>
          <t xml:space="preserve">PGIM India Equity Savings Fund - Direct Plan - Half yearly Dividend option</t>
        </is>
      </c>
      <c r="C10034" t="inlineStr">
        <is>
          <t xml:space="preserve">INF663L01YM8</t>
        </is>
      </c>
    </row>
    <row r="10035">
      <c r="A10035" t="inlineStr">
        <is>
          <t xml:space="preserve">PGIM India Mutual Fund</t>
        </is>
      </c>
      <c r="B10035" t="inlineStr">
        <is>
          <t xml:space="preserve">PGIM India Equity Savings Fund - Direct Plan - Monthly Dividend</t>
        </is>
      </c>
      <c r="C10035" t="inlineStr">
        <is>
          <t xml:space="preserve">INF223J01QE8</t>
        </is>
      </c>
    </row>
    <row r="10036">
      <c r="A10036" t="inlineStr">
        <is>
          <t xml:space="preserve">PGIM India Mutual Fund</t>
        </is>
      </c>
      <c r="B10036" t="inlineStr">
        <is>
          <t xml:space="preserve">PGIM India Equity Savings Fund - Direct Plan - Quarterly Dividend</t>
        </is>
      </c>
      <c r="C10036" t="inlineStr">
        <is>
          <t xml:space="preserve">INF223J01QG3</t>
        </is>
      </c>
    </row>
    <row r="10037">
      <c r="A10037" t="inlineStr">
        <is>
          <t xml:space="preserve">PGIM India Mutual Fund</t>
        </is>
      </c>
      <c r="B10037" t="inlineStr">
        <is>
          <t xml:space="preserve">PGIM India Equity Savings Fund - Direct Plan - Regular Dividend Option</t>
        </is>
      </c>
      <c r="C10037" t="inlineStr">
        <is>
          <t xml:space="preserve">INF663L01YQ9</t>
        </is>
      </c>
    </row>
    <row r="10038">
      <c r="A10038" t="inlineStr">
        <is>
          <t xml:space="preserve">PGIM India Mutual Fund</t>
        </is>
      </c>
      <c r="B10038" t="inlineStr">
        <is>
          <t xml:space="preserve">PGIM India Equity Savings Fund - Growth Option</t>
        </is>
      </c>
      <c r="C10038" t="inlineStr">
        <is>
          <t xml:space="preserve">INF223J01FB7</t>
        </is>
      </c>
    </row>
    <row r="10039">
      <c r="A10039" t="inlineStr">
        <is>
          <t xml:space="preserve">PGIM India Mutual Fund</t>
        </is>
      </c>
      <c r="B10039" t="inlineStr">
        <is>
          <t xml:space="preserve">PGIM India Equity Savings Fund - Monthly Dividend option</t>
        </is>
      </c>
      <c r="C10039" t="inlineStr">
        <is>
          <t xml:space="preserve">INF223J01FC5</t>
        </is>
      </c>
    </row>
    <row r="10040">
      <c r="A10040" t="inlineStr">
        <is>
          <t xml:space="preserve">PGIM India Mutual Fund</t>
        </is>
      </c>
      <c r="B10040" t="inlineStr">
        <is>
          <t xml:space="preserve">PGIM India Equity Savings Fund - Quarterly  Dividend</t>
        </is>
      </c>
      <c r="C10040" t="inlineStr">
        <is>
          <t xml:space="preserve">INF223J01FE1</t>
        </is>
      </c>
    </row>
    <row r="10041">
      <c r="A10041" t="inlineStr">
        <is>
          <t xml:space="preserve">PGIM India Mutual Fund</t>
        </is>
      </c>
      <c r="B10041" t="inlineStr">
        <is>
          <t xml:space="preserve">PGIM India Equity Savings Fund - Regular Plan - Regular Dividend Option</t>
        </is>
      </c>
      <c r="C10041" t="inlineStr">
        <is>
          <t xml:space="preserve">INF663L01YO4</t>
        </is>
      </c>
    </row>
    <row r="10042">
      <c r="A10042" t="inlineStr">
        <is>
          <t xml:space="preserve">PGIM India Mutual Fund</t>
        </is>
      </c>
      <c r="B10042" t="inlineStr">
        <is>
          <t xml:space="preserve">PGIM India Flexi Cap Fund - Direct Plan - Dividend Option</t>
        </is>
      </c>
      <c r="C10042" t="inlineStr">
        <is>
          <t xml:space="preserve">INF663L01FG9</t>
        </is>
      </c>
    </row>
    <row r="10043">
      <c r="A10043" t="inlineStr">
        <is>
          <t xml:space="preserve">PGIM India Mutual Fund</t>
        </is>
      </c>
      <c r="B10043" t="inlineStr">
        <is>
          <t xml:space="preserve">PGIM India Flexi Cap Fund - Direct Plan - Growth Option</t>
        </is>
      </c>
      <c r="C10043" t="inlineStr">
        <is>
          <t xml:space="preserve">INF663L01FF1</t>
        </is>
      </c>
    </row>
    <row r="10044">
      <c r="A10044" t="inlineStr">
        <is>
          <t xml:space="preserve">PGIM India Mutual Fund</t>
        </is>
      </c>
      <c r="B10044" t="inlineStr">
        <is>
          <t xml:space="preserve">PGIM India Flexi Cap Fund - Regular Plan - Dividend Option</t>
        </is>
      </c>
      <c r="C10044" t="inlineStr">
        <is>
          <t xml:space="preserve">INF663L01FK1</t>
        </is>
      </c>
    </row>
    <row r="10045">
      <c r="A10045" t="inlineStr">
        <is>
          <t xml:space="preserve">PGIM India Mutual Fund</t>
        </is>
      </c>
      <c r="B10045" t="inlineStr">
        <is>
          <t xml:space="preserve">PGIM India Flexi Cap Fund - Regular Plan - Growth Option</t>
        </is>
      </c>
      <c r="C10045" t="inlineStr">
        <is>
          <t xml:space="preserve">INF663L01FJ3</t>
        </is>
      </c>
    </row>
    <row r="10046">
      <c r="A10046" t="inlineStr">
        <is>
          <t xml:space="preserve">PGIM India Mutual Fund</t>
        </is>
      </c>
      <c r="B10046" t="inlineStr">
        <is>
          <t xml:space="preserve">PGIM India Gilt Fund - Bonus</t>
        </is>
      </c>
      <c r="C10046" t="inlineStr">
        <is>
          <t xml:space="preserve">INF223J01AR4</t>
        </is>
      </c>
    </row>
    <row r="10047">
      <c r="A10047" t="inlineStr">
        <is>
          <t xml:space="preserve">PGIM India Mutual Fund</t>
        </is>
      </c>
      <c r="B10047" t="inlineStr">
        <is>
          <t xml:space="preserve">PGIM India Gilt Fund - Direct Plan - Growth</t>
        </is>
      </c>
      <c r="C10047" t="inlineStr">
        <is>
          <t xml:space="preserve">INF223J01ND7</t>
        </is>
      </c>
    </row>
    <row r="10048">
      <c r="A10048" t="inlineStr">
        <is>
          <t xml:space="preserve">PGIM India Mutual Fund</t>
        </is>
      </c>
      <c r="B10048" t="inlineStr">
        <is>
          <t xml:space="preserve">PGIM India Gilt Fund - Direct Plan - Half Yearly Bonus</t>
        </is>
      </c>
      <c r="C10048" t="inlineStr">
        <is>
          <t xml:space="preserve">INF223J01VM1</t>
        </is>
      </c>
    </row>
    <row r="10049">
      <c r="A10049" t="inlineStr">
        <is>
          <t xml:space="preserve">PGIM India Mutual Fund</t>
        </is>
      </c>
      <c r="B10049" t="inlineStr">
        <is>
          <t xml:space="preserve">PGIM India Gilt Fund - Direct Plan - Quarterly Dividend</t>
        </is>
      </c>
      <c r="C10049" t="inlineStr">
        <is>
          <t xml:space="preserve">INF223J01NB1</t>
        </is>
      </c>
    </row>
    <row r="10050">
      <c r="A10050" t="inlineStr">
        <is>
          <t xml:space="preserve">PGIM India Mutual Fund</t>
        </is>
      </c>
      <c r="B10050" t="inlineStr">
        <is>
          <t xml:space="preserve">PGIM India Gilt Fund - Growth</t>
        </is>
      </c>
      <c r="C10050" t="inlineStr">
        <is>
          <t xml:space="preserve">INF223J01AQ6</t>
        </is>
      </c>
    </row>
    <row r="10051">
      <c r="A10051" t="inlineStr">
        <is>
          <t xml:space="preserve">PGIM India Mutual Fund</t>
        </is>
      </c>
      <c r="B10051" t="inlineStr">
        <is>
          <t xml:space="preserve">PGIM India Gilt Fund - Half Yearly Bonus</t>
        </is>
      </c>
      <c r="C10051" t="inlineStr">
        <is>
          <t xml:space="preserve">INF223J01VL3</t>
        </is>
      </c>
    </row>
    <row r="10052">
      <c r="A10052" t="inlineStr">
        <is>
          <t xml:space="preserve">PGIM India Mutual Fund</t>
        </is>
      </c>
      <c r="B10052" t="inlineStr">
        <is>
          <t xml:space="preserve">PGIM India Gilt Fund - Quarterly Dividend</t>
        </is>
      </c>
      <c r="C10052" t="inlineStr">
        <is>
          <t xml:space="preserve">INF223J01AO1</t>
        </is>
      </c>
    </row>
    <row r="10053">
      <c r="A10053" t="inlineStr">
        <is>
          <t xml:space="preserve">PGIM India Mutual Fund</t>
        </is>
      </c>
      <c r="B10053" t="inlineStr">
        <is>
          <t xml:space="preserve">PGIM India Global Equity Opportunities Fund of Fund - Bonus</t>
        </is>
      </c>
      <c r="C10053" t="inlineStr">
        <is>
          <t xml:space="preserve">INF223J01AV6</t>
        </is>
      </c>
    </row>
    <row r="10054">
      <c r="A10054" t="inlineStr">
        <is>
          <t xml:space="preserve">PGIM India Mutual Fund</t>
        </is>
      </c>
      <c r="B10054" t="inlineStr">
        <is>
          <t xml:space="preserve">PGIM India Global Equity Opportunities Fund of Fund- Direct Plan - Dividend</t>
        </is>
      </c>
      <c r="C10054" t="inlineStr">
        <is>
          <t xml:space="preserve">INF223J01NG0</t>
        </is>
      </c>
    </row>
    <row r="10055">
      <c r="A10055" t="inlineStr">
        <is>
          <t xml:space="preserve">PGIM India Mutual Fund</t>
        </is>
      </c>
      <c r="B10055" t="inlineStr">
        <is>
          <t xml:space="preserve">PGIM India Global Equity Opportunities Fund of Fund- Direct Plan - Growth</t>
        </is>
      </c>
      <c r="C10055" t="inlineStr">
        <is>
          <t xml:space="preserve">INF223J01NF2</t>
        </is>
      </c>
    </row>
    <row r="10056">
      <c r="A10056" t="inlineStr">
        <is>
          <t xml:space="preserve">PGIM India Mutual Fund</t>
        </is>
      </c>
      <c r="B10056" t="inlineStr">
        <is>
          <t xml:space="preserve">PGIM India Global Equity Opportunities Fund of Fund- Dividend</t>
        </is>
      </c>
      <c r="C10056" t="inlineStr">
        <is>
          <t xml:space="preserve">INF223J01AS2</t>
        </is>
      </c>
    </row>
    <row r="10057">
      <c r="A10057" t="inlineStr">
        <is>
          <t xml:space="preserve">PGIM India Mutual Fund</t>
        </is>
      </c>
      <c r="B10057" t="inlineStr">
        <is>
          <t xml:space="preserve">PGIM India Global Equity Opportunities Fund of Fund- Growth</t>
        </is>
      </c>
      <c r="C10057" t="inlineStr">
        <is>
          <t xml:space="preserve">INF223J01AU8</t>
        </is>
      </c>
    </row>
    <row r="10058">
      <c r="A10058" t="inlineStr">
        <is>
          <t xml:space="preserve">PGIM India Mutual Fund</t>
        </is>
      </c>
      <c r="B10058" t="inlineStr">
        <is>
          <t xml:space="preserve">PGIM India Global Select Real Estate Securities Fund of Fund - Direct Plan - Growth Option</t>
        </is>
      </c>
      <c r="C10058" t="inlineStr">
        <is>
          <t xml:space="preserve">INF663L01W63</t>
        </is>
      </c>
    </row>
    <row r="10059">
      <c r="A10059" t="inlineStr">
        <is>
          <t xml:space="preserve">PGIM India Mutual Fund</t>
        </is>
      </c>
      <c r="B10059" t="inlineStr">
        <is>
          <t xml:space="preserve">PGIM India Global Select Real Estate Securities Fund of Fund - Direct Plan - IDCW Option</t>
        </is>
      </c>
      <c r="C10059" t="inlineStr">
        <is>
          <t xml:space="preserve">INF663L01W71</t>
        </is>
      </c>
    </row>
    <row r="10060">
      <c r="A10060" t="inlineStr">
        <is>
          <t xml:space="preserve">PGIM India Mutual Fund</t>
        </is>
      </c>
      <c r="B10060" t="inlineStr">
        <is>
          <t xml:space="preserve">PGIM India Global Select Real Estate Securities Fund of Fund - Regular Plan - Growth Option</t>
        </is>
      </c>
      <c r="C10060" t="inlineStr">
        <is>
          <t xml:space="preserve">INF663L01W97</t>
        </is>
      </c>
    </row>
    <row r="10061">
      <c r="A10061" t="inlineStr">
        <is>
          <t xml:space="preserve">PGIM India Mutual Fund</t>
        </is>
      </c>
      <c r="B10061" t="inlineStr">
        <is>
          <t xml:space="preserve">PGIM India Global Select Real Estate Securities Fund of Fund - Regular Plan - IDCW Option</t>
        </is>
      </c>
      <c r="C10061" t="inlineStr">
        <is>
          <t xml:space="preserve">INF663L01X05</t>
        </is>
      </c>
    </row>
    <row r="10062">
      <c r="A10062" t="inlineStr">
        <is>
          <t xml:space="preserve">PGIM India Mutual Fund</t>
        </is>
      </c>
      <c r="B10062" t="inlineStr">
        <is>
          <t xml:space="preserve">PGIM India Healthcare Fund - Direct Plan - Growth Option</t>
        </is>
      </c>
      <c r="C10062" t="inlineStr">
        <is>
          <t xml:space="preserve">INF663L01Z45</t>
        </is>
      </c>
    </row>
    <row r="10063">
      <c r="A10063" t="inlineStr">
        <is>
          <t xml:space="preserve">PGIM India Mutual Fund</t>
        </is>
      </c>
      <c r="B10063" t="inlineStr">
        <is>
          <t xml:space="preserve">PGIM India Healthcare Fund - Direct Plan - IDCW Option</t>
        </is>
      </c>
      <c r="C10063" t="inlineStr">
        <is>
          <t xml:space="preserve">INF663L01Z60</t>
        </is>
      </c>
    </row>
    <row r="10064">
      <c r="A10064" t="inlineStr">
        <is>
          <t xml:space="preserve">PGIM India Mutual Fund</t>
        </is>
      </c>
      <c r="B10064" t="inlineStr">
        <is>
          <t xml:space="preserve">PGIM India Healthcare Fund - Regular Plan - Growth Option</t>
        </is>
      </c>
      <c r="C10064" t="inlineStr">
        <is>
          <t xml:space="preserve">INF663L01Z52</t>
        </is>
      </c>
    </row>
    <row r="10065">
      <c r="A10065" t="inlineStr">
        <is>
          <t xml:space="preserve">PGIM India Mutual Fund</t>
        </is>
      </c>
      <c r="B10065" t="inlineStr">
        <is>
          <t xml:space="preserve">PGIM India Healthcare Fund - Regular Plan - IDCW Option</t>
        </is>
      </c>
      <c r="C10065" t="inlineStr">
        <is>
          <t xml:space="preserve">INF663L01Z86</t>
        </is>
      </c>
    </row>
    <row r="10066">
      <c r="A10066" t="inlineStr">
        <is>
          <t xml:space="preserve">PGIM India Mutual Fund</t>
        </is>
      </c>
      <c r="B10066" t="inlineStr">
        <is>
          <t xml:space="preserve">PGIM India INSTA CASH FUND - Annual Bonus Option</t>
        </is>
      </c>
      <c r="C10066" t="inlineStr">
        <is>
          <t xml:space="preserve">INF223J01WV0</t>
        </is>
      </c>
    </row>
    <row r="10067">
      <c r="A10067" t="inlineStr">
        <is>
          <t xml:space="preserve">PGIM India Mutual Fund</t>
        </is>
      </c>
      <c r="B10067" t="inlineStr">
        <is>
          <t xml:space="preserve">PGIM India Insta Cash Fund - Direct Plan -  Annual Bonus Option</t>
        </is>
      </c>
      <c r="C10067" t="inlineStr">
        <is>
          <t xml:space="preserve">INF223J01WW8</t>
        </is>
      </c>
    </row>
    <row r="10068">
      <c r="A10068" t="inlineStr">
        <is>
          <t xml:space="preserve">PGIM India Mutual Fund</t>
        </is>
      </c>
      <c r="B10068" t="inlineStr">
        <is>
          <t xml:space="preserve">PGIM India Insta Cash Fund - Direct Plan -  Regular Bonus</t>
        </is>
      </c>
      <c r="C10068" t="inlineStr">
        <is>
          <t xml:space="preserve">INF223J01NQ9</t>
        </is>
      </c>
    </row>
    <row r="10069">
      <c r="A10069" t="inlineStr">
        <is>
          <t xml:space="preserve">PGIM India Mutual Fund</t>
        </is>
      </c>
      <c r="B10069" t="inlineStr">
        <is>
          <t xml:space="preserve">PGIM India Insta Cash Fund - Direct Plan - Annual Dividend</t>
        </is>
      </c>
      <c r="C10069" t="inlineStr">
        <is>
          <t xml:space="preserve">INF223J01NO4</t>
        </is>
      </c>
    </row>
    <row r="10070">
      <c r="A10070" t="inlineStr">
        <is>
          <t xml:space="preserve">PGIM India Mutual Fund</t>
        </is>
      </c>
      <c r="B10070" t="inlineStr">
        <is>
          <t xml:space="preserve">PGIM India Insta Cash Fund - Direct Plan - Quarterly Dividend</t>
        </is>
      </c>
      <c r="C10070" t="inlineStr">
        <is>
          <t xml:space="preserve">INF223J01NX5</t>
        </is>
      </c>
    </row>
    <row r="10071">
      <c r="A10071" t="inlineStr">
        <is>
          <t xml:space="preserve">PGIM India Mutual Fund</t>
        </is>
      </c>
      <c r="B10071" t="inlineStr">
        <is>
          <t xml:space="preserve">PGIM India Insta Cash Fund - Direct Plan -Monthly Bonus</t>
        </is>
      </c>
      <c r="C10071" t="inlineStr">
        <is>
          <t xml:space="preserve">INF223J01VE8</t>
        </is>
      </c>
    </row>
    <row r="10072">
      <c r="A10072" t="inlineStr">
        <is>
          <t xml:space="preserve">PGIM India Mutual Fund</t>
        </is>
      </c>
      <c r="B10072" t="inlineStr">
        <is>
          <t xml:space="preserve">PGIM India Insta Cash Fund - Quarterly Dividend Option</t>
        </is>
      </c>
      <c r="C10072" t="inlineStr">
        <is>
          <t xml:space="preserve">INF223J01IN6</t>
        </is>
      </c>
    </row>
    <row r="10073">
      <c r="A10073" t="inlineStr">
        <is>
          <t xml:space="preserve">PGIM India Mutual Fund</t>
        </is>
      </c>
      <c r="B10073" t="inlineStr">
        <is>
          <t xml:space="preserve">PGIM India INSTA CASH FUND - Regular Plan BONUS OPTION</t>
        </is>
      </c>
      <c r="C10073" t="inlineStr">
        <is>
          <t xml:space="preserve">INF223J01BH3</t>
        </is>
      </c>
    </row>
    <row r="10074">
      <c r="A10074" t="inlineStr">
        <is>
          <t xml:space="preserve">PGIM India Mutual Fund</t>
        </is>
      </c>
      <c r="B10074" t="inlineStr">
        <is>
          <t xml:space="preserve">PGIM India Insta Cash Fund- Annual Dividend Option</t>
        </is>
      </c>
      <c r="C10074" t="inlineStr">
        <is>
          <t xml:space="preserve">INF223J01IP1</t>
        </is>
      </c>
    </row>
    <row r="10075">
      <c r="A10075" t="inlineStr">
        <is>
          <t xml:space="preserve">PGIM India Mutual Fund</t>
        </is>
      </c>
      <c r="B10075" t="inlineStr">
        <is>
          <t xml:space="preserve">PGIM India Insta Cash Fund-DIVIDEND-WEEKLY DIVIDEND</t>
        </is>
      </c>
      <c r="C10075" t="inlineStr">
        <is>
          <t xml:space="preserve">INF223J01BN1</t>
        </is>
      </c>
    </row>
    <row r="10076">
      <c r="A10076" t="inlineStr">
        <is>
          <t xml:space="preserve">PGIM India Mutual Fund</t>
        </is>
      </c>
      <c r="B10076" t="inlineStr">
        <is>
          <t xml:space="preserve">PGIM India Insta Cash Fund-Institutional Plan-Daily Dividend</t>
        </is>
      </c>
      <c r="C10076" t="inlineStr">
        <is>
          <t xml:space="preserve">INF223J01BA8</t>
        </is>
      </c>
    </row>
    <row r="10077">
      <c r="A10077" t="inlineStr">
        <is>
          <t xml:space="preserve">PGIM India Mutual Fund</t>
        </is>
      </c>
      <c r="B10077" t="inlineStr">
        <is>
          <t xml:space="preserve">PGIM India Insta Cash Fund-Institutional Plan-Growth</t>
        </is>
      </c>
      <c r="C10077" t="inlineStr">
        <is>
          <t xml:space="preserve">INF223J01BB6</t>
        </is>
      </c>
    </row>
    <row r="10078">
      <c r="A10078" t="inlineStr">
        <is>
          <t xml:space="preserve">PGIM India Mutual Fund</t>
        </is>
      </c>
      <c r="B10078" t="inlineStr">
        <is>
          <t xml:space="preserve">PGIM India INSTA CASH FUND-Monthly Bonus Option</t>
        </is>
      </c>
      <c r="C10078" t="inlineStr">
        <is>
          <t xml:space="preserve">INF223J01VD0</t>
        </is>
      </c>
    </row>
    <row r="10079">
      <c r="A10079" t="inlineStr">
        <is>
          <t xml:space="preserve">PGIM India Mutual Fund</t>
        </is>
      </c>
      <c r="B10079" t="inlineStr">
        <is>
          <t xml:space="preserve">PGIM India Large and Midcap Fund - Direct Plan - Growth Option</t>
        </is>
      </c>
      <c r="C10079" t="inlineStr">
        <is>
          <t xml:space="preserve">INF663L01Y12</t>
        </is>
      </c>
    </row>
    <row r="10080">
      <c r="A10080" t="inlineStr">
        <is>
          <t xml:space="preserve">PGIM India Mutual Fund</t>
        </is>
      </c>
      <c r="B10080" t="inlineStr">
        <is>
          <t xml:space="preserve">PGIM India Large and Midcap Fund - Direct Plan - IDCW option</t>
        </is>
      </c>
      <c r="C10080" t="inlineStr">
        <is>
          <t xml:space="preserve">INF663L01Y20</t>
        </is>
      </c>
    </row>
    <row r="10081">
      <c r="A10081" t="inlineStr">
        <is>
          <t xml:space="preserve">PGIM India Mutual Fund</t>
        </is>
      </c>
      <c r="B10081" t="inlineStr">
        <is>
          <t xml:space="preserve">PGIM India Large and Midcap Fund - Regular Plan - Growth Option</t>
        </is>
      </c>
      <c r="C10081" t="inlineStr">
        <is>
          <t xml:space="preserve">INF663L01X88</t>
        </is>
      </c>
    </row>
    <row r="10082">
      <c r="A10082" t="inlineStr">
        <is>
          <t xml:space="preserve">PGIM India Mutual Fund</t>
        </is>
      </c>
      <c r="B10082" t="inlineStr">
        <is>
          <t xml:space="preserve">PGIM India Large and Midcap Fund - Regular Plan - IDCW Option</t>
        </is>
      </c>
      <c r="C10082" t="inlineStr">
        <is>
          <t xml:space="preserve">INF663L01X96</t>
        </is>
      </c>
    </row>
    <row r="10083">
      <c r="A10083" t="inlineStr">
        <is>
          <t xml:space="preserve">PGIM India Mutual Fund</t>
        </is>
      </c>
      <c r="B10083" t="inlineStr">
        <is>
          <t xml:space="preserve">PGIM India Large Cap Fund - BONUS OPTION</t>
        </is>
      </c>
      <c r="C10083" t="inlineStr">
        <is>
          <t xml:space="preserve">INF223J01895</t>
        </is>
      </c>
    </row>
    <row r="10084">
      <c r="A10084" t="inlineStr">
        <is>
          <t xml:space="preserve">PGIM India Mutual Fund</t>
        </is>
      </c>
      <c r="B10084" t="inlineStr">
        <is>
          <t xml:space="preserve">PGIM India Large Cap Fund - Direct Plan - Bonus</t>
        </is>
      </c>
      <c r="C10084" t="inlineStr">
        <is>
          <t xml:space="preserve">INF223J01MM0</t>
        </is>
      </c>
    </row>
    <row r="10085">
      <c r="A10085" t="inlineStr">
        <is>
          <t xml:space="preserve">PGIM India Mutual Fund</t>
        </is>
      </c>
      <c r="B10085" t="inlineStr">
        <is>
          <t xml:space="preserve">PGIM India Large Cap Fund - Direct Plan - Dividend</t>
        </is>
      </c>
      <c r="C10085" t="inlineStr">
        <is>
          <t xml:space="preserve">INF663L01GS2</t>
        </is>
      </c>
    </row>
    <row r="10086">
      <c r="A10086" t="inlineStr">
        <is>
          <t xml:space="preserve">PGIM India Mutual Fund</t>
        </is>
      </c>
      <c r="B10086" t="inlineStr">
        <is>
          <t xml:space="preserve">PGIM India Large Cap Fund - Direct Plan - Growth</t>
        </is>
      </c>
      <c r="C10086" t="inlineStr">
        <is>
          <t xml:space="preserve">INF663L01GR4</t>
        </is>
      </c>
    </row>
    <row r="10087">
      <c r="A10087" t="inlineStr">
        <is>
          <t xml:space="preserve">PGIM India Mutual Fund</t>
        </is>
      </c>
      <c r="B10087" t="inlineStr">
        <is>
          <t xml:space="preserve">PGIM India Large Cap Fund - Dividend</t>
        </is>
      </c>
      <c r="C10087" t="inlineStr">
        <is>
          <t xml:space="preserve">INF663L01GU8</t>
        </is>
      </c>
    </row>
    <row r="10088">
      <c r="A10088" t="inlineStr">
        <is>
          <t xml:space="preserve">PGIM India Mutual Fund</t>
        </is>
      </c>
      <c r="B10088" t="inlineStr">
        <is>
          <t xml:space="preserve">PGIM India Large Cap Fund - Growth</t>
        </is>
      </c>
      <c r="C10088" t="inlineStr">
        <is>
          <t xml:space="preserve">INF663L01GW4</t>
        </is>
      </c>
    </row>
    <row r="10089">
      <c r="A10089" t="inlineStr">
        <is>
          <t xml:space="preserve">PGIM India Mutual Fund</t>
        </is>
      </c>
      <c r="B10089" t="inlineStr">
        <is>
          <t xml:space="preserve">PGIM India Large Cap Fund Wealth Plan - Growth Option</t>
        </is>
      </c>
      <c r="C10089" t="inlineStr">
        <is>
          <t xml:space="preserve">INF223J01267</t>
        </is>
      </c>
    </row>
    <row r="10090">
      <c r="A10090" t="inlineStr">
        <is>
          <t xml:space="preserve">PGIM India Mutual Fund</t>
        </is>
      </c>
      <c r="B10090" t="inlineStr">
        <is>
          <t xml:space="preserve">PGIM India Large Cap Fund Wealth Plan -Dividend Option</t>
        </is>
      </c>
      <c r="C10090" t="inlineStr">
        <is>
          <t xml:space="preserve">INF223J01242</t>
        </is>
      </c>
    </row>
    <row r="10091">
      <c r="A10091" t="inlineStr">
        <is>
          <t xml:space="preserve">PGIM India Mutual Fund</t>
        </is>
      </c>
      <c r="B10091" t="inlineStr">
        <is>
          <t xml:space="preserve">PGIM India Liquid Fund - Bonus Option</t>
        </is>
      </c>
      <c r="C10091" t="inlineStr">
        <is>
          <t xml:space="preserve">INF223J01BQ4</t>
        </is>
      </c>
    </row>
    <row r="10092">
      <c r="A10092" t="inlineStr">
        <is>
          <t xml:space="preserve">PGIM India Mutual Fund</t>
        </is>
      </c>
      <c r="B10092" t="inlineStr">
        <is>
          <t xml:space="preserve">PGIM India Liquid Fund - Daily Dividend</t>
        </is>
      </c>
      <c r="C10092" t="inlineStr">
        <is>
          <t xml:space="preserve">INF223J01BO9</t>
        </is>
      </c>
    </row>
    <row r="10093">
      <c r="A10093" t="inlineStr">
        <is>
          <t xml:space="preserve">PGIM India Mutual Fund</t>
        </is>
      </c>
      <c r="B10093" t="inlineStr">
        <is>
          <t xml:space="preserve">PGIM India Liquid Fund - Direct Plan - Daily Dividend</t>
        </is>
      </c>
      <c r="C10093" t="inlineStr">
        <is>
          <t xml:space="preserve">INF223J01NR7</t>
        </is>
      </c>
    </row>
    <row r="10094">
      <c r="A10094" t="inlineStr">
        <is>
          <t xml:space="preserve">PGIM India Mutual Fund</t>
        </is>
      </c>
      <c r="B10094" t="inlineStr">
        <is>
          <t xml:space="preserve">PGIM India Liquid Fund - Direct Plan - Growth</t>
        </is>
      </c>
      <c r="C10094" t="inlineStr">
        <is>
          <t xml:space="preserve">INF223J01NS5</t>
        </is>
      </c>
    </row>
    <row r="10095">
      <c r="A10095" t="inlineStr">
        <is>
          <t xml:space="preserve">PGIM India Mutual Fund</t>
        </is>
      </c>
      <c r="B10095" t="inlineStr">
        <is>
          <t xml:space="preserve">PGIM India Liquid Fund - Direct Plan - Monthly Dividend</t>
        </is>
      </c>
      <c r="C10095" t="inlineStr">
        <is>
          <t xml:space="preserve">INF223J01NT3</t>
        </is>
      </c>
    </row>
    <row r="10096">
      <c r="A10096" t="inlineStr">
        <is>
          <t xml:space="preserve">PGIM India Mutual Fund</t>
        </is>
      </c>
      <c r="B10096" t="inlineStr">
        <is>
          <t xml:space="preserve">PGIM India Liquid Fund - Direct Plan - Weekly Dividend</t>
        </is>
      </c>
      <c r="C10096" t="inlineStr">
        <is>
          <t xml:space="preserve">INF223J01NV9</t>
        </is>
      </c>
    </row>
    <row r="10097">
      <c r="A10097" t="inlineStr">
        <is>
          <t xml:space="preserve">PGIM India Mutual Fund</t>
        </is>
      </c>
      <c r="B10097" t="inlineStr">
        <is>
          <t xml:space="preserve">PGIM India Liquid Fund - Growth</t>
        </is>
      </c>
      <c r="C10097" t="inlineStr">
        <is>
          <t xml:space="preserve">INF223J01BP6</t>
        </is>
      </c>
    </row>
    <row r="10098">
      <c r="A10098" t="inlineStr">
        <is>
          <t xml:space="preserve">PGIM India Mutual Fund</t>
        </is>
      </c>
      <c r="B10098" t="inlineStr">
        <is>
          <t xml:space="preserve">PGIM India Liquid Fund - Monthly Dividend</t>
        </is>
      </c>
      <c r="C10098" t="inlineStr">
        <is>
          <t xml:space="preserve">INF223J01BL5</t>
        </is>
      </c>
    </row>
    <row r="10099">
      <c r="A10099" t="inlineStr">
        <is>
          <t xml:space="preserve">PGIM India Mutual Fund</t>
        </is>
      </c>
      <c r="B10099" t="inlineStr">
        <is>
          <t xml:space="preserve">PGIM India Liquid Fund - Weekly Dividend</t>
        </is>
      </c>
      <c r="C10099" t="inlineStr">
        <is>
          <t xml:space="preserve">INF223J01BU6</t>
        </is>
      </c>
    </row>
    <row r="10100">
      <c r="A10100" t="inlineStr">
        <is>
          <t xml:space="preserve">PGIM India Mutual Fund</t>
        </is>
      </c>
      <c r="B10100" t="inlineStr">
        <is>
          <t xml:space="preserve">PGIM India Liquid Fund-DIVIDEND-Daily Dividend</t>
        </is>
      </c>
      <c r="C10100" t="inlineStr">
        <is>
          <t xml:space="preserve">INF223J01BI1</t>
        </is>
      </c>
    </row>
    <row r="10101">
      <c r="A10101" t="inlineStr">
        <is>
          <t xml:space="preserve">PGIM India Mutual Fund</t>
        </is>
      </c>
      <c r="B10101" t="inlineStr">
        <is>
          <t xml:space="preserve">PGIM India Liquid Fund-DIVIDEND-MONTHLY DIVIDEND</t>
        </is>
      </c>
      <c r="C10101" t="inlineStr">
        <is>
          <t xml:space="preserve">INF223J01BR2</t>
        </is>
      </c>
    </row>
    <row r="10102">
      <c r="A10102" t="inlineStr">
        <is>
          <t xml:space="preserve">PGIM India Mutual Fund</t>
        </is>
      </c>
      <c r="B10102" t="inlineStr">
        <is>
          <t xml:space="preserve">PGIM India Liquid Fund-Growth-GROWTH</t>
        </is>
      </c>
      <c r="C10102" t="inlineStr">
        <is>
          <t xml:space="preserve">INF223J01BJ9</t>
        </is>
      </c>
    </row>
    <row r="10103">
      <c r="A10103" t="inlineStr">
        <is>
          <t xml:space="preserve">PGIM India Mutual Fund</t>
        </is>
      </c>
      <c r="B10103" t="inlineStr">
        <is>
          <t xml:space="preserve">PGIM India Midcap Fund - Direct Plan - Dividend Option - Payout</t>
        </is>
      </c>
      <c r="C10103" t="inlineStr">
        <is>
          <t xml:space="preserve">INF663L01DW1</t>
        </is>
      </c>
    </row>
    <row r="10104">
      <c r="A10104" t="inlineStr">
        <is>
          <t xml:space="preserve">PGIM India Mutual Fund</t>
        </is>
      </c>
      <c r="B10104" t="inlineStr">
        <is>
          <t xml:space="preserve">PGIM India Midcap Fund - Direct Plan - Growth Option</t>
        </is>
      </c>
      <c r="C10104" t="inlineStr">
        <is>
          <t xml:space="preserve">INF663L01DV3</t>
        </is>
      </c>
    </row>
    <row r="10105">
      <c r="A10105" t="inlineStr">
        <is>
          <t xml:space="preserve">PGIM India Mutual Fund</t>
        </is>
      </c>
      <c r="B10105" t="inlineStr">
        <is>
          <t xml:space="preserve">PGIM India Midcap Fund - Regular Plan - Dividend Option - Payout</t>
        </is>
      </c>
      <c r="C10105" t="inlineStr">
        <is>
          <t xml:space="preserve">INF663L01EA5</t>
        </is>
      </c>
    </row>
    <row r="10106">
      <c r="A10106" t="inlineStr">
        <is>
          <t xml:space="preserve">PGIM India Mutual Fund</t>
        </is>
      </c>
      <c r="B10106" t="inlineStr">
        <is>
          <t xml:space="preserve">PGIM India Midcap Fund - Regular Plan - Growth Option</t>
        </is>
      </c>
      <c r="C10106" t="inlineStr">
        <is>
          <t xml:space="preserve">INF663L01DZ4</t>
        </is>
      </c>
    </row>
    <row r="10107">
      <c r="A10107" t="inlineStr">
        <is>
          <t xml:space="preserve">PGIM India Mutual Fund</t>
        </is>
      </c>
      <c r="B10107" t="inlineStr">
        <is>
          <t xml:space="preserve">PGIM India Money Market Fund - Direct Plan - Daily Dividend Option</t>
        </is>
      </c>
      <c r="C10107" t="inlineStr">
        <is>
          <t xml:space="preserve">INF663L01U16</t>
        </is>
      </c>
    </row>
    <row r="10108">
      <c r="A10108" t="inlineStr">
        <is>
          <t xml:space="preserve">PGIM India Mutual Fund</t>
        </is>
      </c>
      <c r="B10108" t="inlineStr">
        <is>
          <t xml:space="preserve">PGIM India Money Market Fund - Direct Plan - Growth Option</t>
        </is>
      </c>
      <c r="C10108" t="inlineStr">
        <is>
          <t xml:space="preserve">INF663L01T84</t>
        </is>
      </c>
    </row>
    <row r="10109">
      <c r="A10109" t="inlineStr">
        <is>
          <t xml:space="preserve">PGIM India Mutual Fund</t>
        </is>
      </c>
      <c r="B10109" t="inlineStr">
        <is>
          <t xml:space="preserve">PGIM India Money Market Fund - Direct Plan - Monthly Dividend Option</t>
        </is>
      </c>
      <c r="C10109" t="inlineStr">
        <is>
          <t xml:space="preserve">INF663L01T92</t>
        </is>
      </c>
    </row>
    <row r="10110">
      <c r="A10110" t="inlineStr">
        <is>
          <t xml:space="preserve">PGIM India Mutual Fund</t>
        </is>
      </c>
      <c r="B10110" t="inlineStr">
        <is>
          <t xml:space="preserve">PGIM India Money Market Fund - Direct Plan - Weekly Dividend Option</t>
        </is>
      </c>
      <c r="C10110" t="inlineStr">
        <is>
          <t xml:space="preserve">INF663L01U08</t>
        </is>
      </c>
    </row>
    <row r="10111">
      <c r="A10111" t="inlineStr">
        <is>
          <t xml:space="preserve">PGIM India Mutual Fund</t>
        </is>
      </c>
      <c r="B10111" t="inlineStr">
        <is>
          <t xml:space="preserve">PGIM India Money Market Fund - Regular Plan - Daily Dividend Option</t>
        </is>
      </c>
      <c r="C10111" t="inlineStr">
        <is>
          <t xml:space="preserve">INF663L01U57</t>
        </is>
      </c>
    </row>
    <row r="10112">
      <c r="A10112" t="inlineStr">
        <is>
          <t xml:space="preserve">PGIM India Mutual Fund</t>
        </is>
      </c>
      <c r="B10112" t="inlineStr">
        <is>
          <t xml:space="preserve">PGIM India Money Market Fund - Regular Plan - Growth Option</t>
        </is>
      </c>
      <c r="C10112" t="inlineStr">
        <is>
          <t xml:space="preserve">INF663L01U24</t>
        </is>
      </c>
    </row>
    <row r="10113">
      <c r="A10113" t="inlineStr">
        <is>
          <t xml:space="preserve">PGIM India Mutual Fund</t>
        </is>
      </c>
      <c r="B10113" t="inlineStr">
        <is>
          <t xml:space="preserve">PGIM India Money Market Fund - Regular Plan - Monthly Dividend Option</t>
        </is>
      </c>
      <c r="C10113" t="inlineStr">
        <is>
          <t xml:space="preserve">INF663L01U32</t>
        </is>
      </c>
    </row>
    <row r="10114">
      <c r="A10114" t="inlineStr">
        <is>
          <t xml:space="preserve">PGIM India Mutual Fund</t>
        </is>
      </c>
      <c r="B10114" t="inlineStr">
        <is>
          <t xml:space="preserve">PGIM India Money Market Fund - Regular Plan - Weekly Dividend Option</t>
        </is>
      </c>
      <c r="C10114" t="inlineStr">
        <is>
          <t xml:space="preserve">INF663L01U40</t>
        </is>
      </c>
    </row>
    <row r="10115">
      <c r="A10115" t="inlineStr">
        <is>
          <t xml:space="preserve">PGIM India Mutual Fund</t>
        </is>
      </c>
      <c r="B10115" t="inlineStr">
        <is>
          <t xml:space="preserve">PGIM India Multi Asset Allocation Fund - Direct Plan - Growth Option</t>
        </is>
      </c>
      <c r="C10115" t="inlineStr">
        <is>
          <t xml:space="preserve">INF663L010A3</t>
        </is>
      </c>
    </row>
    <row r="10116">
      <c r="A10116" t="inlineStr">
        <is>
          <t xml:space="preserve">PGIM India Mutual Fund</t>
        </is>
      </c>
      <c r="B10116" t="inlineStr">
        <is>
          <t xml:space="preserve">PGIM India Multi Asset Allocation Fund - Direct Plan - IDCW Option</t>
        </is>
      </c>
      <c r="C10116" t="inlineStr">
        <is>
          <t xml:space="preserve">INF663L011A1</t>
        </is>
      </c>
    </row>
    <row r="10117">
      <c r="A10117" t="inlineStr">
        <is>
          <t xml:space="preserve">PGIM India Mutual Fund</t>
        </is>
      </c>
      <c r="B10117" t="inlineStr">
        <is>
          <t xml:space="preserve">PGIM India Multi Asset Allocation Fund - Regular Plan - Growth Option</t>
        </is>
      </c>
      <c r="C10117" t="inlineStr">
        <is>
          <t xml:space="preserve">INF663L013A7</t>
        </is>
      </c>
    </row>
    <row r="10118">
      <c r="A10118" t="inlineStr">
        <is>
          <t xml:space="preserve">PGIM India Mutual Fund</t>
        </is>
      </c>
      <c r="B10118" t="inlineStr">
        <is>
          <t xml:space="preserve">PGIM India Multi Asset Allocation Fund - Regular Plan - IDCW Option</t>
        </is>
      </c>
      <c r="C10118" t="inlineStr">
        <is>
          <t xml:space="preserve">INF663L014A5</t>
        </is>
      </c>
    </row>
    <row r="10119">
      <c r="A10119" t="inlineStr">
        <is>
          <t xml:space="preserve">PGIM India Mutual Fund</t>
        </is>
      </c>
      <c r="B10119" t="inlineStr">
        <is>
          <t xml:space="preserve">PGIM India Multi Cap Fund - Direct Plan - Growth Option</t>
        </is>
      </c>
      <c r="C10119" t="inlineStr">
        <is>
          <t xml:space="preserve">INF663L01Z03</t>
        </is>
      </c>
    </row>
    <row r="10120">
      <c r="A10120" t="inlineStr">
        <is>
          <t xml:space="preserve">PGIM India Mutual Fund</t>
        </is>
      </c>
      <c r="B10120" t="inlineStr">
        <is>
          <t xml:space="preserve">PGIM India Multi Cap Fund - Direct Plan - IDCW Option</t>
        </is>
      </c>
      <c r="C10120" t="inlineStr">
        <is>
          <t xml:space="preserve">INF663L01Z11</t>
        </is>
      </c>
    </row>
    <row r="10121">
      <c r="A10121" t="inlineStr">
        <is>
          <t xml:space="preserve">PGIM India Mutual Fund</t>
        </is>
      </c>
      <c r="B10121" t="inlineStr">
        <is>
          <t xml:space="preserve">PGIM India Multi Cap Fund - Regular Plan - Growth Option</t>
        </is>
      </c>
      <c r="C10121" t="inlineStr">
        <is>
          <t xml:space="preserve">INF663L01Y87</t>
        </is>
      </c>
    </row>
    <row r="10122">
      <c r="A10122" t="inlineStr">
        <is>
          <t xml:space="preserve">PGIM India Mutual Fund</t>
        </is>
      </c>
      <c r="B10122" t="inlineStr">
        <is>
          <t xml:space="preserve">PGIM India Multi Cap Fund - Regular Plan - IDCW Option</t>
        </is>
      </c>
      <c r="C10122" t="inlineStr">
        <is>
          <t xml:space="preserve">INF663L01Y95</t>
        </is>
      </c>
    </row>
    <row r="10123">
      <c r="A10123" t="inlineStr">
        <is>
          <t xml:space="preserve">PGIM India Mutual Fund</t>
        </is>
      </c>
      <c r="B10123" t="inlineStr">
        <is>
          <t xml:space="preserve">PGIM India Overnight Fund - Direct Plan - Daily Dividend Option</t>
        </is>
      </c>
      <c r="C10123" t="inlineStr">
        <is>
          <t xml:space="preserve">INF663L01T35</t>
        </is>
      </c>
    </row>
    <row r="10124">
      <c r="A10124" t="inlineStr">
        <is>
          <t xml:space="preserve">PGIM India Mutual Fund</t>
        </is>
      </c>
      <c r="B10124" t="inlineStr">
        <is>
          <t xml:space="preserve">PGIM India Overnight Fund - Direct Plan - Growth Option</t>
        </is>
      </c>
      <c r="C10124" t="inlineStr">
        <is>
          <t xml:space="preserve">INF663L01T01</t>
        </is>
      </c>
    </row>
    <row r="10125">
      <c r="A10125" t="inlineStr">
        <is>
          <t xml:space="preserve">PGIM India Mutual Fund</t>
        </is>
      </c>
      <c r="B10125" t="inlineStr">
        <is>
          <t xml:space="preserve">PGIM India Overnight Fund - Direct Plan - Weekly Dividend Option</t>
        </is>
      </c>
      <c r="C10125" t="inlineStr">
        <is>
          <t xml:space="preserve">INF663L01T19</t>
        </is>
      </c>
    </row>
    <row r="10126">
      <c r="A10126" t="inlineStr">
        <is>
          <t xml:space="preserve">PGIM India Mutual Fund</t>
        </is>
      </c>
      <c r="B10126" t="inlineStr">
        <is>
          <t xml:space="preserve">PGIM India Overnight Fund - Regular Plan - Daily Dividend Option</t>
        </is>
      </c>
      <c r="C10126" t="inlineStr">
        <is>
          <t xml:space="preserve">INF663L01T76</t>
        </is>
      </c>
    </row>
    <row r="10127">
      <c r="A10127" t="inlineStr">
        <is>
          <t xml:space="preserve">PGIM India Mutual Fund</t>
        </is>
      </c>
      <c r="B10127" t="inlineStr">
        <is>
          <t xml:space="preserve">PGIM India Overnight Fund - Regular Plan - Weekly Dividend Option</t>
        </is>
      </c>
      <c r="C10127" t="inlineStr">
        <is>
          <t xml:space="preserve">INF663L01T50</t>
        </is>
      </c>
    </row>
    <row r="10128">
      <c r="A10128" t="inlineStr">
        <is>
          <t xml:space="preserve">PGIM India Mutual Fund</t>
        </is>
      </c>
      <c r="B10128" t="inlineStr">
        <is>
          <t xml:space="preserve">PGIM India Overnight Fund - Regular Plan- Growth Option</t>
        </is>
      </c>
      <c r="C10128" t="inlineStr">
        <is>
          <t xml:space="preserve">INF663L01T43</t>
        </is>
      </c>
    </row>
    <row r="10129">
      <c r="A10129" t="inlineStr">
        <is>
          <t xml:space="preserve">PGIM India Mutual Fund</t>
        </is>
      </c>
      <c r="B10129" t="inlineStr">
        <is>
          <t xml:space="preserve">PGIM India Premier Bond Fund - Annual Bonus</t>
        </is>
      </c>
      <c r="C10129" t="inlineStr">
        <is>
          <t xml:space="preserve">INF223J01WZ1</t>
        </is>
      </c>
    </row>
    <row r="10130">
      <c r="A10130" t="inlineStr">
        <is>
          <t xml:space="preserve">PGIM India Mutual Fund</t>
        </is>
      </c>
      <c r="B10130" t="inlineStr">
        <is>
          <t xml:space="preserve">PGIM India Premier Bond Fund - Bonus</t>
        </is>
      </c>
      <c r="C10130" t="inlineStr">
        <is>
          <t xml:space="preserve">INF223J01DA4</t>
        </is>
      </c>
    </row>
    <row r="10131">
      <c r="A10131" t="inlineStr">
        <is>
          <t xml:space="preserve">PGIM India Mutual Fund</t>
        </is>
      </c>
      <c r="B10131" t="inlineStr">
        <is>
          <t xml:space="preserve">PGIM India Premier Bond Fund - Direct Plan - Half-Yearly Bonus</t>
        </is>
      </c>
      <c r="C10131" t="inlineStr">
        <is>
          <t xml:space="preserve">INF223J01WG1</t>
        </is>
      </c>
    </row>
    <row r="10132">
      <c r="A10132" t="inlineStr">
        <is>
          <t xml:space="preserve">PGIM India Mutual Fund</t>
        </is>
      </c>
      <c r="B10132" t="inlineStr">
        <is>
          <t xml:space="preserve">PGIM India Premier Bond Fund - Half-Yearly Bonus</t>
        </is>
      </c>
      <c r="C10132" t="inlineStr">
        <is>
          <t xml:space="preserve">INF223J01WF3</t>
        </is>
      </c>
    </row>
    <row r="10133">
      <c r="A10133" t="inlineStr">
        <is>
          <t xml:space="preserve">PGIM India Mutual Fund</t>
        </is>
      </c>
      <c r="B10133" t="inlineStr">
        <is>
          <t xml:space="preserve">PGIM India Retirement Fund - Direct Plan - Growth Option</t>
        </is>
      </c>
      <c r="C10133" t="inlineStr">
        <is>
          <t xml:space="preserve">INF663L01Y61</t>
        </is>
      </c>
    </row>
    <row r="10134">
      <c r="A10134" t="inlineStr">
        <is>
          <t xml:space="preserve">PGIM India Mutual Fund</t>
        </is>
      </c>
      <c r="B10134" t="inlineStr">
        <is>
          <t xml:space="preserve">PGIM India Retirement Fund - Direct Plan - IDCW Payout Option</t>
        </is>
      </c>
      <c r="C10134" t="inlineStr">
        <is>
          <t xml:space="preserve">INF663L01Y79</t>
        </is>
      </c>
    </row>
    <row r="10135">
      <c r="A10135" t="inlineStr">
        <is>
          <t xml:space="preserve">PGIM India Mutual Fund</t>
        </is>
      </c>
      <c r="B10135" t="inlineStr">
        <is>
          <t xml:space="preserve">PGIM India Retirement Fund - Regular Plan - Growth Option</t>
        </is>
      </c>
      <c r="C10135" t="inlineStr">
        <is>
          <t xml:space="preserve">INF663L01Y46</t>
        </is>
      </c>
    </row>
    <row r="10136">
      <c r="A10136" t="inlineStr">
        <is>
          <t xml:space="preserve">PGIM India Mutual Fund</t>
        </is>
      </c>
      <c r="B10136" t="inlineStr">
        <is>
          <t xml:space="preserve">PGIM India Retirement Fund - Regular Plan - IDCW Payout Option</t>
        </is>
      </c>
      <c r="C10136" t="inlineStr">
        <is>
          <t xml:space="preserve">INF663L01Y53</t>
        </is>
      </c>
    </row>
    <row r="10137">
      <c r="A10137" t="inlineStr">
        <is>
          <t xml:space="preserve">PGIM India Mutual Fund</t>
        </is>
      </c>
      <c r="B10137" t="inlineStr">
        <is>
          <t xml:space="preserve">PGIM India Small Cap Fund - Direct Plan - IDCW Option</t>
        </is>
      </c>
      <c r="C10137" t="inlineStr">
        <is>
          <t xml:space="preserve">INF663L01W14</t>
        </is>
      </c>
    </row>
    <row r="10138">
      <c r="A10138" t="inlineStr">
        <is>
          <t xml:space="preserve">PGIM India Mutual Fund</t>
        </is>
      </c>
      <c r="B10138" t="inlineStr">
        <is>
          <t xml:space="preserve">PGIM India Small Cap Fund - Direct Plan- Growth Option</t>
        </is>
      </c>
      <c r="C10138" t="inlineStr">
        <is>
          <t xml:space="preserve">INF663L01W06</t>
        </is>
      </c>
    </row>
    <row r="10139">
      <c r="A10139" t="inlineStr">
        <is>
          <t xml:space="preserve">PGIM India Mutual Fund</t>
        </is>
      </c>
      <c r="B10139" t="inlineStr">
        <is>
          <t xml:space="preserve">PGIM India Small Cap Fund - Regular Plan - Growth Option</t>
        </is>
      </c>
      <c r="C10139" t="inlineStr">
        <is>
          <t xml:space="preserve">INF663L01W30</t>
        </is>
      </c>
    </row>
    <row r="10140">
      <c r="A10140" t="inlineStr">
        <is>
          <t xml:space="preserve">PGIM India Mutual Fund</t>
        </is>
      </c>
      <c r="B10140" t="inlineStr">
        <is>
          <t xml:space="preserve">PGIM India Small Cap Fund - Regular Plan - IDCW Option</t>
        </is>
      </c>
      <c r="C10140" t="inlineStr">
        <is>
          <t xml:space="preserve">INF663L01W48</t>
        </is>
      </c>
    </row>
    <row r="10141">
      <c r="A10141" t="inlineStr">
        <is>
          <t xml:space="preserve">PGIM India Mutual Fund</t>
        </is>
      </c>
      <c r="B10141" t="inlineStr">
        <is>
          <t xml:space="preserve">PGIM India Ultra Short Duration Fund - Daily Dividend</t>
        </is>
      </c>
      <c r="C10141" t="inlineStr">
        <is>
          <t xml:space="preserve">INF223J01FH4</t>
        </is>
      </c>
    </row>
    <row r="10142">
      <c r="A10142" t="inlineStr">
        <is>
          <t xml:space="preserve">PGIM India Mutual Fund</t>
        </is>
      </c>
      <c r="B10142" t="inlineStr">
        <is>
          <t xml:space="preserve">PGIM India Ultra Short Duration Fund - Direct Plan - Daily Dividend</t>
        </is>
      </c>
      <c r="C10142" t="inlineStr">
        <is>
          <t xml:space="preserve">INF223J01QL3</t>
        </is>
      </c>
    </row>
    <row r="10143">
      <c r="A10143" t="inlineStr">
        <is>
          <t xml:space="preserve">PGIM India Mutual Fund</t>
        </is>
      </c>
      <c r="B10143" t="inlineStr">
        <is>
          <t xml:space="preserve">PGIM India Ultra Short Duration Fund - Direct Plan - Growth</t>
        </is>
      </c>
      <c r="C10143" t="inlineStr">
        <is>
          <t xml:space="preserve">INF223J01QO7</t>
        </is>
      </c>
    </row>
    <row r="10144">
      <c r="A10144" t="inlineStr">
        <is>
          <t xml:space="preserve">PGIM India Mutual Fund</t>
        </is>
      </c>
      <c r="B10144" t="inlineStr">
        <is>
          <t xml:space="preserve">PGIM India Ultra Short Duration Fund - Direct Plan - Monthly Dividend</t>
        </is>
      </c>
      <c r="C10144" t="inlineStr">
        <is>
          <t xml:space="preserve">INF223J01QP4</t>
        </is>
      </c>
    </row>
    <row r="10145">
      <c r="A10145" t="inlineStr">
        <is>
          <t xml:space="preserve">PGIM India Mutual Fund</t>
        </is>
      </c>
      <c r="B10145" t="inlineStr">
        <is>
          <t xml:space="preserve">PGIM India Ultra Short Duration Fund - Direct Plan - Weekly Dividend</t>
        </is>
      </c>
      <c r="C10145" t="inlineStr">
        <is>
          <t xml:space="preserve">INF223J01QR0</t>
        </is>
      </c>
    </row>
    <row r="10146">
      <c r="A10146" t="inlineStr">
        <is>
          <t xml:space="preserve">PGIM India Mutual Fund</t>
        </is>
      </c>
      <c r="B10146" t="inlineStr">
        <is>
          <t xml:space="preserve">PGIM India Ultra Short Duration Fund - Growth</t>
        </is>
      </c>
      <c r="C10146" t="inlineStr">
        <is>
          <t xml:space="preserve">INF223J01FK8</t>
        </is>
      </c>
    </row>
    <row r="10147">
      <c r="A10147" t="inlineStr">
        <is>
          <t xml:space="preserve">PGIM India Mutual Fund</t>
        </is>
      </c>
      <c r="B10147" t="inlineStr">
        <is>
          <t xml:space="preserve">PGIM India Ultra Short Duration Fund - Monthly Dividend</t>
        </is>
      </c>
      <c r="C10147" t="inlineStr">
        <is>
          <t xml:space="preserve">INF223J01FL6</t>
        </is>
      </c>
    </row>
    <row r="10148">
      <c r="A10148" t="inlineStr">
        <is>
          <t xml:space="preserve">PGIM India Mutual Fund</t>
        </is>
      </c>
      <c r="B10148" t="inlineStr">
        <is>
          <t xml:space="preserve">PGIM India Ultra Short Duration Fund - Regular Plan - Daily Dividend</t>
        </is>
      </c>
      <c r="C10148" t="inlineStr">
        <is>
          <t xml:space="preserve">INF223J01FW3</t>
        </is>
      </c>
    </row>
    <row r="10149">
      <c r="A10149" t="inlineStr">
        <is>
          <t xml:space="preserve">PGIM India Mutual Fund</t>
        </is>
      </c>
      <c r="B10149" t="inlineStr">
        <is>
          <t xml:space="preserve">PGIM India Ultra Short Duration Fund - Regular Plan - Growth</t>
        </is>
      </c>
      <c r="C10149" t="inlineStr">
        <is>
          <t xml:space="preserve">INF223J01FX1</t>
        </is>
      </c>
    </row>
    <row r="10150">
      <c r="A10150" t="inlineStr">
        <is>
          <t xml:space="preserve">PGIM India Mutual Fund</t>
        </is>
      </c>
      <c r="B10150" t="inlineStr">
        <is>
          <t xml:space="preserve">PGIM India Ultra Short Duration Fund - Regular Plan - Monthly Dividend</t>
        </is>
      </c>
      <c r="C10150" t="inlineStr">
        <is>
          <t xml:space="preserve">INF223J01FY9</t>
        </is>
      </c>
    </row>
    <row r="10151">
      <c r="A10151" t="inlineStr">
        <is>
          <t xml:space="preserve">PGIM India Mutual Fund</t>
        </is>
      </c>
      <c r="B10151" t="inlineStr">
        <is>
          <t xml:space="preserve">PGIM India Ultra Short Duration Fund - Regular Plan - Weekly Dividend</t>
        </is>
      </c>
      <c r="C10151" t="inlineStr">
        <is>
          <t xml:space="preserve">INF223J01GC3</t>
        </is>
      </c>
    </row>
    <row r="10152">
      <c r="A10152" t="inlineStr">
        <is>
          <t xml:space="preserve">PGIM India Mutual Fund</t>
        </is>
      </c>
      <c r="B10152" t="inlineStr">
        <is>
          <t xml:space="preserve">PGIM India Ultra Short Duration Fund - Weekly Dividend</t>
        </is>
      </c>
      <c r="C10152" t="inlineStr">
        <is>
          <t xml:space="preserve">INF223J01FO0</t>
        </is>
      </c>
    </row>
    <row r="10153">
      <c r="A10153" t="inlineStr">
        <is>
          <t xml:space="preserve">PGIM India Mutual Fund</t>
        </is>
      </c>
      <c r="B10153" t="inlineStr">
        <is>
          <t xml:space="preserve">PGIM India Ultra Short Term Fund - Annual Bonus</t>
        </is>
      </c>
      <c r="C10153" t="inlineStr">
        <is>
          <t xml:space="preserve">INF223J01XH7</t>
        </is>
      </c>
    </row>
    <row r="10154">
      <c r="A10154" t="inlineStr">
        <is>
          <t xml:space="preserve">PGIM India Mutual Fund</t>
        </is>
      </c>
      <c r="B10154" t="inlineStr">
        <is>
          <t xml:space="preserve">PGIM India Ultra Short Term Fund - Annual Dividend</t>
        </is>
      </c>
      <c r="C10154" t="inlineStr">
        <is>
          <t xml:space="preserve">INF223J01JJ2</t>
        </is>
      </c>
    </row>
    <row r="10155">
      <c r="A10155" t="inlineStr">
        <is>
          <t xml:space="preserve">PGIM India Mutual Fund</t>
        </is>
      </c>
      <c r="B10155" t="inlineStr">
        <is>
          <t xml:space="preserve">PGIM India Ultra Short Term Fund - Bonus</t>
        </is>
      </c>
      <c r="C10155" t="inlineStr">
        <is>
          <t xml:space="preserve">INF223J01FN2</t>
        </is>
      </c>
    </row>
    <row r="10156">
      <c r="A10156" t="inlineStr">
        <is>
          <t xml:space="preserve">PGIM India Mutual Fund</t>
        </is>
      </c>
      <c r="B10156" t="inlineStr">
        <is>
          <t xml:space="preserve">PGIM India Ultra Short Term Fund - Direct Plan - Annual Bonus</t>
        </is>
      </c>
      <c r="C10156" t="inlineStr">
        <is>
          <t xml:space="preserve">INF223J01XI5</t>
        </is>
      </c>
    </row>
    <row r="10157">
      <c r="A10157" t="inlineStr">
        <is>
          <t xml:space="preserve">PGIM India Mutual Fund</t>
        </is>
      </c>
      <c r="B10157" t="inlineStr">
        <is>
          <t xml:space="preserve">PGIM India Ultra Short Term Fund - Direct Plan - Annual Dividend</t>
        </is>
      </c>
      <c r="C10157" t="inlineStr">
        <is>
          <t xml:space="preserve">INF223J01QI9</t>
        </is>
      </c>
    </row>
    <row r="10158">
      <c r="A10158" t="inlineStr">
        <is>
          <t xml:space="preserve">PGIM India Mutual Fund</t>
        </is>
      </c>
      <c r="B10158" t="inlineStr">
        <is>
          <t xml:space="preserve">PGIM India Ultra Short Term Fund - Direct Plan - Bonus</t>
        </is>
      </c>
      <c r="C10158" t="inlineStr">
        <is>
          <t xml:space="preserve">INF223J01QK5</t>
        </is>
      </c>
    </row>
    <row r="10159">
      <c r="A10159" t="inlineStr">
        <is>
          <t xml:space="preserve">PGIM India Mutual Fund</t>
        </is>
      </c>
      <c r="B10159" t="inlineStr">
        <is>
          <t xml:space="preserve">PGIM India Ultra Short Term Fund - Direct Plan - Dividend</t>
        </is>
      </c>
      <c r="C10159" t="inlineStr">
        <is>
          <t xml:space="preserve">INF223J01QM1</t>
        </is>
      </c>
    </row>
    <row r="10160">
      <c r="A10160" t="inlineStr">
        <is>
          <t xml:space="preserve">PGIM India Mutual Fund</t>
        </is>
      </c>
      <c r="B10160" t="inlineStr">
        <is>
          <t xml:space="preserve">PGIM India Ultra Short Term Fund - Direct Plan - Monthly Bonus</t>
        </is>
      </c>
      <c r="C10160" t="inlineStr">
        <is>
          <t xml:space="preserve">INF223J01VK5</t>
        </is>
      </c>
    </row>
    <row r="10161">
      <c r="A10161" t="inlineStr">
        <is>
          <t xml:space="preserve">PGIM India Mutual Fund</t>
        </is>
      </c>
      <c r="B10161" t="inlineStr">
        <is>
          <t xml:space="preserve">PGIM India Ultra Short Term Fund - Direct Plan - Quarterly Dividend</t>
        </is>
      </c>
      <c r="C10161" t="inlineStr">
        <is>
          <t xml:space="preserve">INF223J01QT6</t>
        </is>
      </c>
    </row>
    <row r="10162">
      <c r="A10162" t="inlineStr">
        <is>
          <t xml:space="preserve">PGIM India Mutual Fund</t>
        </is>
      </c>
      <c r="B10162" t="inlineStr">
        <is>
          <t xml:space="preserve">PGIM India Ultra Short Term Fund - Dividend</t>
        </is>
      </c>
      <c r="C10162" t="inlineStr">
        <is>
          <t xml:space="preserve">INF223J01FI2</t>
        </is>
      </c>
    </row>
    <row r="10163">
      <c r="A10163" t="inlineStr">
        <is>
          <t xml:space="preserve">PGIM India Mutual Fund</t>
        </is>
      </c>
      <c r="B10163" t="inlineStr">
        <is>
          <t xml:space="preserve">PGIM India Ultra Short Term Fund - Monthly Bonus</t>
        </is>
      </c>
      <c r="C10163" t="inlineStr">
        <is>
          <t xml:space="preserve">INF223J01VJ7</t>
        </is>
      </c>
    </row>
    <row r="10164">
      <c r="A10164" t="inlineStr">
        <is>
          <t xml:space="preserve">PGIM India Mutual Fund</t>
        </is>
      </c>
      <c r="B10164" t="inlineStr">
        <is>
          <t xml:space="preserve">PGIM India Ultra Short Term Fund - Quarterly Dividend</t>
        </is>
      </c>
      <c r="C10164" t="inlineStr">
        <is>
          <t xml:space="preserve">INF223J01JH6</t>
        </is>
      </c>
    </row>
    <row r="10165">
      <c r="A10165" t="inlineStr">
        <is>
          <t xml:space="preserve">PGIM India Mutual Fund</t>
        </is>
      </c>
      <c r="B10165" t="inlineStr">
        <is>
          <t xml:space="preserve">PGIM India Ultra Short Term Fund - Regular Plan - Bonus</t>
        </is>
      </c>
      <c r="C10165" t="inlineStr">
        <is>
          <t xml:space="preserve">INF223J01GA7</t>
        </is>
      </c>
    </row>
    <row r="10166">
      <c r="A10166" t="inlineStr">
        <is>
          <t xml:space="preserve">quant Mutual Fund</t>
        </is>
      </c>
      <c r="B10166" t="inlineStr">
        <is>
          <t xml:space="preserve">quant Aggressive Hybrid Fund - Growth Option - Regular Plan</t>
        </is>
      </c>
      <c r="C10166" t="inlineStr">
        <is>
          <t xml:space="preserve">INF966L01267</t>
        </is>
      </c>
    </row>
    <row r="10167">
      <c r="A10167" t="inlineStr">
        <is>
          <t xml:space="preserve">quant Mutual Fund</t>
        </is>
      </c>
      <c r="B10167" t="inlineStr">
        <is>
          <t xml:space="preserve">quant Aggressive Hybrid Fund-Growth Option-Direct Plan</t>
        </is>
      </c>
      <c r="C10167" t="inlineStr">
        <is>
          <t xml:space="preserve">INF966L01556</t>
        </is>
      </c>
    </row>
    <row r="10168">
      <c r="A10168" t="inlineStr">
        <is>
          <t xml:space="preserve">quant Mutual Fund</t>
        </is>
      </c>
      <c r="B10168" t="inlineStr">
        <is>
          <t xml:space="preserve">quant Aggressive Hybrid Fund-IDCW Option - Regular Plan</t>
        </is>
      </c>
      <c r="C10168" t="inlineStr">
        <is>
          <t xml:space="preserve">INF966L01242</t>
        </is>
      </c>
    </row>
    <row r="10169">
      <c r="A10169" t="inlineStr">
        <is>
          <t xml:space="preserve">quant Mutual Fund</t>
        </is>
      </c>
      <c r="B10169" t="inlineStr">
        <is>
          <t xml:space="preserve">quant Aggressive Hybrid Fund-IDCW Option-Direct Plan</t>
        </is>
      </c>
      <c r="C10169" t="inlineStr">
        <is>
          <t xml:space="preserve">INF966L01531</t>
        </is>
      </c>
    </row>
    <row r="10170">
      <c r="A10170" t="inlineStr">
        <is>
          <t xml:space="preserve">quant Mutual Fund</t>
        </is>
      </c>
      <c r="B10170" t="inlineStr">
        <is>
          <t xml:space="preserve">quant Arbitrage Fund - Growth Option - Direct Plan</t>
        </is>
      </c>
      <c r="C10170" t="inlineStr">
        <is>
          <t xml:space="preserve">INF966L01DW8</t>
        </is>
      </c>
    </row>
    <row r="10171">
      <c r="A10171" t="inlineStr">
        <is>
          <t xml:space="preserve">quant Mutual Fund</t>
        </is>
      </c>
      <c r="B10171" t="inlineStr">
        <is>
          <t xml:space="preserve">quant Arbitrage Fund - Growth Option - Regular Plan</t>
        </is>
      </c>
      <c r="C10171" t="inlineStr">
        <is>
          <t xml:space="preserve">INF966L01DZ1</t>
        </is>
      </c>
    </row>
    <row r="10172">
      <c r="A10172" t="inlineStr">
        <is>
          <t xml:space="preserve">quant Mutual Fund</t>
        </is>
      </c>
      <c r="B10172" t="inlineStr">
        <is>
          <t xml:space="preserve">quant Arbitrage Fund - IDCW Option - Direct Plan</t>
        </is>
      </c>
      <c r="C10172" t="inlineStr">
        <is>
          <t xml:space="preserve">INF966L01DX6</t>
        </is>
      </c>
    </row>
    <row r="10173">
      <c r="A10173" t="inlineStr">
        <is>
          <t xml:space="preserve">quant Mutual Fund</t>
        </is>
      </c>
      <c r="B10173" t="inlineStr">
        <is>
          <t xml:space="preserve">quant Arbitrage Fund - IDCW Option - Regular Plan</t>
        </is>
      </c>
      <c r="C10173" t="inlineStr">
        <is>
          <t xml:space="preserve">INF966L01EA2</t>
        </is>
      </c>
    </row>
    <row r="10174">
      <c r="A10174" t="inlineStr">
        <is>
          <t xml:space="preserve">quant Mutual Fund</t>
        </is>
      </c>
      <c r="B10174" t="inlineStr">
        <is>
          <t xml:space="preserve">quant BFSI Fund - Growth Option - Direct Plan</t>
        </is>
      </c>
      <c r="C10174" t="inlineStr">
        <is>
          <t xml:space="preserve">INF966L01BX0</t>
        </is>
      </c>
    </row>
    <row r="10175">
      <c r="A10175" t="inlineStr">
        <is>
          <t xml:space="preserve">quant Mutual Fund</t>
        </is>
      </c>
      <c r="B10175" t="inlineStr">
        <is>
          <t xml:space="preserve">quant BFSI Fund - Growth Option - Regular Plan</t>
        </is>
      </c>
      <c r="C10175" t="inlineStr">
        <is>
          <t xml:space="preserve">INF966L01CA6</t>
        </is>
      </c>
    </row>
    <row r="10176">
      <c r="A10176" t="inlineStr">
        <is>
          <t xml:space="preserve">quant Mutual Fund</t>
        </is>
      </c>
      <c r="B10176" t="inlineStr">
        <is>
          <t xml:space="preserve">quant BFSI Fund - IDCW Option - Direct Plan</t>
        </is>
      </c>
      <c r="C10176" t="inlineStr">
        <is>
          <t xml:space="preserve">INF966L01BY8</t>
        </is>
      </c>
    </row>
    <row r="10177">
      <c r="A10177" t="inlineStr">
        <is>
          <t xml:space="preserve">quant Mutual Fund</t>
        </is>
      </c>
      <c r="B10177" t="inlineStr">
        <is>
          <t xml:space="preserve">quant BFSI Fund - IDCW Option - Regular Plan</t>
        </is>
      </c>
      <c r="C10177" t="inlineStr">
        <is>
          <t xml:space="preserve">INF966L01CB4</t>
        </is>
      </c>
    </row>
    <row r="10178">
      <c r="A10178" t="inlineStr">
        <is>
          <t xml:space="preserve">quant Mutual Fund</t>
        </is>
      </c>
      <c r="B10178" t="inlineStr">
        <is>
          <t xml:space="preserve">quant Business Cycle Fund - Growth Option - Direct Plan</t>
        </is>
      </c>
      <c r="C10178" t="inlineStr">
        <is>
          <t xml:space="preserve">INF966L01BR2</t>
        </is>
      </c>
    </row>
    <row r="10179">
      <c r="A10179" t="inlineStr">
        <is>
          <t xml:space="preserve">quant Mutual Fund</t>
        </is>
      </c>
      <c r="B10179" t="inlineStr">
        <is>
          <t xml:space="preserve">quant Business Cycle Fund - Growth Option - Regular Plan</t>
        </is>
      </c>
      <c r="C10179" t="inlineStr">
        <is>
          <t xml:space="preserve">INF966L01BU6</t>
        </is>
      </c>
    </row>
    <row r="10180">
      <c r="A10180" t="inlineStr">
        <is>
          <t xml:space="preserve">quant Mutual Fund</t>
        </is>
      </c>
      <c r="B10180" t="inlineStr">
        <is>
          <t xml:space="preserve">quant Business Cycle Fund - IDCW Option - Direct Plan</t>
        </is>
      </c>
      <c r="C10180" t="inlineStr">
        <is>
          <t xml:space="preserve">INF966L01BS0</t>
        </is>
      </c>
    </row>
    <row r="10181">
      <c r="A10181" t="inlineStr">
        <is>
          <t xml:space="preserve">quant Mutual Fund</t>
        </is>
      </c>
      <c r="B10181" t="inlineStr">
        <is>
          <t xml:space="preserve">quant Business Cycle Fund - IDCW Option - Regular Plan</t>
        </is>
      </c>
      <c r="C10181" t="inlineStr">
        <is>
          <t xml:space="preserve">INF966L01BV4</t>
        </is>
      </c>
    </row>
    <row r="10182">
      <c r="A10182" t="inlineStr">
        <is>
          <t xml:space="preserve">quant Mutual Fund</t>
        </is>
      </c>
      <c r="B10182" t="inlineStr">
        <is>
          <t xml:space="preserve">quant Commodities Fund - Growth Option - Direct Plan</t>
        </is>
      </c>
      <c r="C10182" t="inlineStr">
        <is>
          <t xml:space="preserve">INF966L01DF3</t>
        </is>
      </c>
    </row>
    <row r="10183">
      <c r="A10183" t="inlineStr">
        <is>
          <t xml:space="preserve">quant Mutual Fund</t>
        </is>
      </c>
      <c r="B10183" t="inlineStr">
        <is>
          <t xml:space="preserve">quant Commodities Fund - Growth Option - Regular Plan</t>
        </is>
      </c>
      <c r="C10183" t="inlineStr">
        <is>
          <t xml:space="preserve">INF966L01DC0</t>
        </is>
      </c>
    </row>
    <row r="10184">
      <c r="A10184" t="inlineStr">
        <is>
          <t xml:space="preserve">quant Mutual Fund</t>
        </is>
      </c>
      <c r="B10184" t="inlineStr">
        <is>
          <t xml:space="preserve">quant Commodities Fund - IDCW Option - Direct Plan</t>
        </is>
      </c>
      <c r="C10184" t="inlineStr">
        <is>
          <t xml:space="preserve">INF966L01DG1</t>
        </is>
      </c>
    </row>
    <row r="10185">
      <c r="A10185" t="inlineStr">
        <is>
          <t xml:space="preserve">quant Mutual Fund</t>
        </is>
      </c>
      <c r="B10185" t="inlineStr">
        <is>
          <t xml:space="preserve">quant Commodities Fund - IDCW Option - Regular Plan</t>
        </is>
      </c>
      <c r="C10185" t="inlineStr">
        <is>
          <t xml:space="preserve">INF966L01DD8</t>
        </is>
      </c>
    </row>
    <row r="10186">
      <c r="A10186" t="inlineStr">
        <is>
          <t xml:space="preserve">quant Mutual Fund</t>
        </is>
      </c>
      <c r="B10186" t="inlineStr">
        <is>
          <t xml:space="preserve">quant Consumption Fund - Growth Option - Direct Plan</t>
        </is>
      </c>
      <c r="C10186" t="inlineStr">
        <is>
          <t xml:space="preserve">INF966L01DN7</t>
        </is>
      </c>
    </row>
    <row r="10187">
      <c r="A10187" t="inlineStr">
        <is>
          <t xml:space="preserve">quant Mutual Fund</t>
        </is>
      </c>
      <c r="B10187" t="inlineStr">
        <is>
          <t xml:space="preserve">quant Consumption Fund - Growth Option - Regular Plan</t>
        </is>
      </c>
      <c r="C10187" t="inlineStr">
        <is>
          <t xml:space="preserve">INF966L01DI7</t>
        </is>
      </c>
    </row>
    <row r="10188">
      <c r="A10188" t="inlineStr">
        <is>
          <t xml:space="preserve">quant Mutual Fund</t>
        </is>
      </c>
      <c r="B10188" t="inlineStr">
        <is>
          <t xml:space="preserve">quant Consumption Fund - IDCW Option - Direct Plan</t>
        </is>
      </c>
      <c r="C10188" t="inlineStr">
        <is>
          <t xml:space="preserve">INF966L01DO5</t>
        </is>
      </c>
    </row>
    <row r="10189">
      <c r="A10189" t="inlineStr">
        <is>
          <t xml:space="preserve">quant Mutual Fund</t>
        </is>
      </c>
      <c r="B10189" t="inlineStr">
        <is>
          <t xml:space="preserve">quant Consumption Fund - IDCW Option - Regular Plan</t>
        </is>
      </c>
      <c r="C10189" t="inlineStr">
        <is>
          <t xml:space="preserve">INF966L01DL1</t>
        </is>
      </c>
    </row>
    <row r="10190">
      <c r="A10190" t="inlineStr">
        <is>
          <t xml:space="preserve">quant Mutual Fund</t>
        </is>
      </c>
      <c r="B10190" t="inlineStr">
        <is>
          <t xml:space="preserve">quant Dynamic Asset Allocation Fund - Growth Option - Direct Plan</t>
        </is>
      </c>
      <c r="C10190" t="inlineStr">
        <is>
          <t xml:space="preserve">INF966L01BL5</t>
        </is>
      </c>
    </row>
    <row r="10191">
      <c r="A10191" t="inlineStr">
        <is>
          <t xml:space="preserve">quant Mutual Fund</t>
        </is>
      </c>
      <c r="B10191" t="inlineStr">
        <is>
          <t xml:space="preserve">quant Dynamic Asset Allocation Fund - Growth Option - Regular Plan</t>
        </is>
      </c>
      <c r="C10191" t="inlineStr">
        <is>
          <t xml:space="preserve">INF966L01BO9</t>
        </is>
      </c>
    </row>
    <row r="10192">
      <c r="A10192" t="inlineStr">
        <is>
          <t xml:space="preserve">quant Mutual Fund</t>
        </is>
      </c>
      <c r="B10192" t="inlineStr">
        <is>
          <t xml:space="preserve">quant Dynamic Asset Allocation Fund - IDCW Option - Direct Plan</t>
        </is>
      </c>
      <c r="C10192" t="inlineStr">
        <is>
          <t xml:space="preserve">INF966L01BM3</t>
        </is>
      </c>
    </row>
    <row r="10193">
      <c r="A10193" t="inlineStr">
        <is>
          <t xml:space="preserve">quant Mutual Fund</t>
        </is>
      </c>
      <c r="B10193" t="inlineStr">
        <is>
          <t xml:space="preserve">quant Dynamic Asset Allocation Fund - IDCW Option - Regular Plan</t>
        </is>
      </c>
      <c r="C10193" t="inlineStr">
        <is>
          <t xml:space="preserve">INF966L01BP6</t>
        </is>
      </c>
    </row>
    <row r="10194">
      <c r="A10194" t="inlineStr">
        <is>
          <t xml:space="preserve">quant Mutual Fund</t>
        </is>
      </c>
      <c r="B10194" t="inlineStr">
        <is>
          <t xml:space="preserve">quant ELSS Tax Saver Fund - Growth Option - Direct Plan</t>
        </is>
      </c>
      <c r="C10194" t="inlineStr">
        <is>
          <t xml:space="preserve">INF966L01986</t>
        </is>
      </c>
    </row>
    <row r="10195">
      <c r="A10195" t="inlineStr">
        <is>
          <t xml:space="preserve">quant Mutual Fund</t>
        </is>
      </c>
      <c r="B10195" t="inlineStr">
        <is>
          <t xml:space="preserve">quant ELSS Tax Saver Fund - Growth Option - Regular Plan</t>
        </is>
      </c>
      <c r="C10195" t="inlineStr">
        <is>
          <t xml:space="preserve">INF966L01135</t>
        </is>
      </c>
    </row>
    <row r="10196">
      <c r="A10196" t="inlineStr">
        <is>
          <t xml:space="preserve">quant Mutual Fund</t>
        </is>
      </c>
      <c r="B10196" t="inlineStr">
        <is>
          <t xml:space="preserve">quant ELSS Tax Saver Fund - IDCW Option - Direct Plan</t>
        </is>
      </c>
      <c r="C10196" t="inlineStr">
        <is>
          <t xml:space="preserve">INF966L01960</t>
        </is>
      </c>
    </row>
    <row r="10197">
      <c r="A10197" t="inlineStr">
        <is>
          <t xml:space="preserve">quant Mutual Fund</t>
        </is>
      </c>
      <c r="B10197" t="inlineStr">
        <is>
          <t xml:space="preserve">quant ELSS Tax Saver Fund - IDCW Option - Regular Plan</t>
        </is>
      </c>
      <c r="C10197" t="inlineStr">
        <is>
          <t xml:space="preserve">INF966L01119</t>
        </is>
      </c>
    </row>
    <row r="10198">
      <c r="A10198" t="inlineStr">
        <is>
          <t xml:space="preserve">quant Mutual Fund</t>
        </is>
      </c>
      <c r="B10198" t="inlineStr">
        <is>
          <t xml:space="preserve">quant Equity Savings Fund - Growth Option - Direct Plan</t>
        </is>
      </c>
      <c r="C10198" t="inlineStr">
        <is>
          <t xml:space="preserve">INF966L01EC8</t>
        </is>
      </c>
    </row>
    <row r="10199">
      <c r="A10199" t="inlineStr">
        <is>
          <t xml:space="preserve">quant Mutual Fund</t>
        </is>
      </c>
      <c r="B10199" t="inlineStr">
        <is>
          <t xml:space="preserve">quant Equity Savings Fund - Growth Option - Regular Plan</t>
        </is>
      </c>
      <c r="C10199" t="inlineStr">
        <is>
          <t xml:space="preserve">INF966L01EF1</t>
        </is>
      </c>
    </row>
    <row r="10200">
      <c r="A10200" t="inlineStr">
        <is>
          <t xml:space="preserve">quant Mutual Fund</t>
        </is>
      </c>
      <c r="B10200" t="inlineStr">
        <is>
          <t xml:space="preserve">quant Equity Savings Fund - IDCW Option - Direct Plan</t>
        </is>
      </c>
      <c r="C10200" t="inlineStr">
        <is>
          <t xml:space="preserve">INF966L01ED6</t>
        </is>
      </c>
    </row>
    <row r="10201">
      <c r="A10201" t="inlineStr">
        <is>
          <t xml:space="preserve">quant Mutual Fund</t>
        </is>
      </c>
      <c r="B10201" t="inlineStr">
        <is>
          <t xml:space="preserve">quant Equity Savings Fund - IDCW Option - Regular Plan</t>
        </is>
      </c>
      <c r="C10201" t="inlineStr">
        <is>
          <t xml:space="preserve">INF966L01EG9</t>
        </is>
      </c>
    </row>
    <row r="10202">
      <c r="A10202" t="inlineStr">
        <is>
          <t xml:space="preserve">quant Mutual Fund</t>
        </is>
      </c>
      <c r="B10202" t="inlineStr">
        <is>
          <t xml:space="preserve">quant ESG Integration Strategy Fund - Growth Option - Direct Plan</t>
        </is>
      </c>
      <c r="C10202" t="inlineStr">
        <is>
          <t xml:space="preserve">INF966L01AD4</t>
        </is>
      </c>
    </row>
    <row r="10203">
      <c r="A10203" t="inlineStr">
        <is>
          <t xml:space="preserve">quant Mutual Fund</t>
        </is>
      </c>
      <c r="B10203" t="inlineStr">
        <is>
          <t xml:space="preserve">quant ESG Integration Strategy Fund - Growth Option - Regular Plan</t>
        </is>
      </c>
      <c r="C10203" t="inlineStr">
        <is>
          <t xml:space="preserve">INF966L01AB8</t>
        </is>
      </c>
    </row>
    <row r="10204">
      <c r="A10204" t="inlineStr">
        <is>
          <t xml:space="preserve">quant Mutual Fund</t>
        </is>
      </c>
      <c r="B10204" t="inlineStr">
        <is>
          <t xml:space="preserve">quant ESG Integration Strategy Fund - IDCW Option - Direct Plan</t>
        </is>
      </c>
      <c r="C10204" t="inlineStr">
        <is>
          <t xml:space="preserve">INF966L01AE2</t>
        </is>
      </c>
    </row>
    <row r="10205">
      <c r="A10205" t="inlineStr">
        <is>
          <t xml:space="preserve">quant Mutual Fund</t>
        </is>
      </c>
      <c r="B10205" t="inlineStr">
        <is>
          <t xml:space="preserve">quant ESG Integration Strategy Fund - IDCW Option - Regular Plan</t>
        </is>
      </c>
      <c r="C10205" t="inlineStr">
        <is>
          <t xml:space="preserve">INF966L01AC6</t>
        </is>
      </c>
    </row>
    <row r="10206">
      <c r="A10206" t="inlineStr">
        <is>
          <t xml:space="preserve">quant Mutual Fund</t>
        </is>
      </c>
      <c r="B10206" t="inlineStr">
        <is>
          <t xml:space="preserve">quant Flexi Cap Fund - Growth Option - Regular Plan</t>
        </is>
      </c>
      <c r="C10206" t="inlineStr">
        <is>
          <t xml:space="preserve">INF966L01457</t>
        </is>
      </c>
    </row>
    <row r="10207">
      <c r="A10207" t="inlineStr">
        <is>
          <t xml:space="preserve">quant Mutual Fund</t>
        </is>
      </c>
      <c r="B10207" t="inlineStr">
        <is>
          <t xml:space="preserve">quant Flexi Cap Fund - Growth Option-Direct Plan</t>
        </is>
      </c>
      <c r="C10207" t="inlineStr">
        <is>
          <t xml:space="preserve">INF966L01911</t>
        </is>
      </c>
    </row>
    <row r="10208">
      <c r="A10208" t="inlineStr">
        <is>
          <t xml:space="preserve">quant Mutual Fund</t>
        </is>
      </c>
      <c r="B10208" t="inlineStr">
        <is>
          <t xml:space="preserve">quant Flexi Cap Fund - IDCW Option - Direct Plan</t>
        </is>
      </c>
      <c r="C10208" t="inlineStr">
        <is>
          <t xml:space="preserve">INF966L01895</t>
        </is>
      </c>
    </row>
    <row r="10209">
      <c r="A10209" t="inlineStr">
        <is>
          <t xml:space="preserve">quant Mutual Fund</t>
        </is>
      </c>
      <c r="B10209" t="inlineStr">
        <is>
          <t xml:space="preserve">quant Flexi Cap Fund - IDCW Option - Regular Plan</t>
        </is>
      </c>
      <c r="C10209" t="inlineStr">
        <is>
          <t xml:space="preserve">INF966L01432</t>
        </is>
      </c>
    </row>
    <row r="10210">
      <c r="A10210" t="inlineStr">
        <is>
          <t xml:space="preserve">quant Mutual Fund</t>
        </is>
      </c>
      <c r="B10210" t="inlineStr">
        <is>
          <t xml:space="preserve">quant Focused Fund - Growth Option - Regular Plan</t>
        </is>
      </c>
      <c r="C10210" t="inlineStr">
        <is>
          <t xml:space="preserve">INF966L01374</t>
        </is>
      </c>
    </row>
    <row r="10211">
      <c r="A10211" t="inlineStr">
        <is>
          <t xml:space="preserve">quant Mutual Fund</t>
        </is>
      </c>
      <c r="B10211" t="inlineStr">
        <is>
          <t xml:space="preserve">quant Focused Fund - Growth Option-Direct Plan</t>
        </is>
      </c>
      <c r="C10211" t="inlineStr">
        <is>
          <t xml:space="preserve">INF966L01853</t>
        </is>
      </c>
    </row>
    <row r="10212">
      <c r="A10212" t="inlineStr">
        <is>
          <t xml:space="preserve">quant Mutual Fund</t>
        </is>
      </c>
      <c r="B10212" t="inlineStr">
        <is>
          <t xml:space="preserve">quant Focused Fund - IDCW Option - Direct Plan</t>
        </is>
      </c>
      <c r="C10212" t="inlineStr">
        <is>
          <t xml:space="preserve">INF966L01838</t>
        </is>
      </c>
    </row>
    <row r="10213">
      <c r="A10213" t="inlineStr">
        <is>
          <t xml:space="preserve">quant Mutual Fund</t>
        </is>
      </c>
      <c r="B10213" t="inlineStr">
        <is>
          <t xml:space="preserve">quant Focused Fund - IDCW Option - Regular Plan</t>
        </is>
      </c>
      <c r="C10213" t="inlineStr">
        <is>
          <t xml:space="preserve">INF966L01358</t>
        </is>
      </c>
    </row>
    <row r="10214">
      <c r="A10214" t="inlineStr">
        <is>
          <t xml:space="preserve">quant Mutual Fund</t>
        </is>
      </c>
      <c r="B10214" t="inlineStr">
        <is>
          <t xml:space="preserve">quant Gilt Fund - Growth Option - Direct Plan</t>
        </is>
      </c>
      <c r="C10214" t="inlineStr">
        <is>
          <t xml:space="preserve">INF966L01BF7</t>
        </is>
      </c>
    </row>
    <row r="10215">
      <c r="A10215" t="inlineStr">
        <is>
          <t xml:space="preserve">quant Mutual Fund</t>
        </is>
      </c>
      <c r="B10215" t="inlineStr">
        <is>
          <t xml:space="preserve">quant Gilt Fund - Growth Option - Regular Plan</t>
        </is>
      </c>
      <c r="C10215" t="inlineStr">
        <is>
          <t xml:space="preserve">INF966L01BI1</t>
        </is>
      </c>
    </row>
    <row r="10216">
      <c r="A10216" t="inlineStr">
        <is>
          <t xml:space="preserve">quant Mutual Fund</t>
        </is>
      </c>
      <c r="B10216" t="inlineStr">
        <is>
          <t xml:space="preserve">quant Gilt Fund - IDCW Option - Direct Plan</t>
        </is>
      </c>
      <c r="C10216" t="inlineStr">
        <is>
          <t xml:space="preserve">INF966L01BG5</t>
        </is>
      </c>
    </row>
    <row r="10217">
      <c r="A10217" t="inlineStr">
        <is>
          <t xml:space="preserve">quant Mutual Fund</t>
        </is>
      </c>
      <c r="B10217" t="inlineStr">
        <is>
          <t xml:space="preserve">quant Gilt Fund - IDCW Option - Regular Plan</t>
        </is>
      </c>
      <c r="C10217" t="inlineStr">
        <is>
          <t xml:space="preserve">INF966L01BJ9</t>
        </is>
      </c>
    </row>
    <row r="10218">
      <c r="A10218" t="inlineStr">
        <is>
          <t xml:space="preserve">quant Mutual Fund</t>
        </is>
      </c>
      <c r="B10218" t="inlineStr">
        <is>
          <t xml:space="preserve">quant Healthcare Fund - Growth Option - Direct Plan</t>
        </is>
      </c>
      <c r="C10218" t="inlineStr">
        <is>
          <t xml:space="preserve">INF966L01CD0</t>
        </is>
      </c>
    </row>
    <row r="10219">
      <c r="A10219" t="inlineStr">
        <is>
          <t xml:space="preserve">quant Mutual Fund</t>
        </is>
      </c>
      <c r="B10219" t="inlineStr">
        <is>
          <t xml:space="preserve">quant Healthcare Fund - Growth Option - Regular Plan</t>
        </is>
      </c>
      <c r="C10219" t="inlineStr">
        <is>
          <t xml:space="preserve">INF966L01CG3</t>
        </is>
      </c>
    </row>
    <row r="10220">
      <c r="A10220" t="inlineStr">
        <is>
          <t xml:space="preserve">quant Mutual Fund</t>
        </is>
      </c>
      <c r="B10220" t="inlineStr">
        <is>
          <t xml:space="preserve">quant Healthcare Fund - IDCW Option - Direct Plan</t>
        </is>
      </c>
      <c r="C10220" t="inlineStr">
        <is>
          <t xml:space="preserve">INF966L01CE8</t>
        </is>
      </c>
    </row>
    <row r="10221">
      <c r="A10221" t="inlineStr">
        <is>
          <t xml:space="preserve">quant Mutual Fund</t>
        </is>
      </c>
      <c r="B10221" t="inlineStr">
        <is>
          <t xml:space="preserve">quant Healthcare Fund - IDCW Option - Regular Plan</t>
        </is>
      </c>
      <c r="C10221" t="inlineStr">
        <is>
          <t xml:space="preserve">INF966L01CH1</t>
        </is>
      </c>
    </row>
    <row r="10222">
      <c r="A10222" t="inlineStr">
        <is>
          <t xml:space="preserve">quant Mutual Fund</t>
        </is>
      </c>
      <c r="B10222" t="inlineStr">
        <is>
          <t xml:space="preserve">quant Infrastructure Fund - Growth Option</t>
        </is>
      </c>
      <c r="C10222" t="inlineStr">
        <is>
          <t xml:space="preserve">INF966L01523</t>
        </is>
      </c>
    </row>
    <row r="10223">
      <c r="A10223" t="inlineStr">
        <is>
          <t xml:space="preserve">quant Mutual Fund</t>
        </is>
      </c>
      <c r="B10223" t="inlineStr">
        <is>
          <t xml:space="preserve">quant Infrastructure Fund - Growth Option-Direct Plan</t>
        </is>
      </c>
      <c r="C10223" t="inlineStr">
        <is>
          <t xml:space="preserve">INF966L01721</t>
        </is>
      </c>
    </row>
    <row r="10224">
      <c r="A10224" t="inlineStr">
        <is>
          <t xml:space="preserve">quant Mutual Fund</t>
        </is>
      </c>
      <c r="B10224" t="inlineStr">
        <is>
          <t xml:space="preserve">quant Infrastructure Fund - IDCW Option - Direct Plan</t>
        </is>
      </c>
      <c r="C10224" t="inlineStr">
        <is>
          <t xml:space="preserve">INF966L01705</t>
        </is>
      </c>
    </row>
    <row r="10225">
      <c r="A10225" t="inlineStr">
        <is>
          <t xml:space="preserve">quant Mutual Fund</t>
        </is>
      </c>
      <c r="B10225" t="inlineStr">
        <is>
          <t xml:space="preserve">quant Infrastructure Fund - IDCW Option - Regular Plan</t>
        </is>
      </c>
      <c r="C10225" t="inlineStr">
        <is>
          <t xml:space="preserve">INF966L01507</t>
        </is>
      </c>
    </row>
    <row r="10226">
      <c r="A10226" t="inlineStr">
        <is>
          <t xml:space="preserve">quant Mutual Fund</t>
        </is>
      </c>
      <c r="B10226" t="inlineStr">
        <is>
          <t xml:space="preserve">quant Large &amp; Mid Cap Fund - Growth Option</t>
        </is>
      </c>
      <c r="C10226" t="inlineStr">
        <is>
          <t xml:space="preserve">INF966L01341</t>
        </is>
      </c>
    </row>
    <row r="10227">
      <c r="A10227" t="inlineStr">
        <is>
          <t xml:space="preserve">quant Mutual Fund</t>
        </is>
      </c>
      <c r="B10227" t="inlineStr">
        <is>
          <t xml:space="preserve">quant Large &amp; Mid Cap Fund - Growth Option-Direct Plan</t>
        </is>
      </c>
      <c r="C10227" t="inlineStr">
        <is>
          <t xml:space="preserve">INF966L01648</t>
        </is>
      </c>
    </row>
    <row r="10228">
      <c r="A10228" t="inlineStr">
        <is>
          <t xml:space="preserve">quant Mutual Fund</t>
        </is>
      </c>
      <c r="B10228" t="inlineStr">
        <is>
          <t xml:space="preserve">quant Large &amp; Mid Cap Fund - IDCW Option - Direct Plan</t>
        </is>
      </c>
      <c r="C10228" t="inlineStr">
        <is>
          <t xml:space="preserve">INF966L01622</t>
        </is>
      </c>
    </row>
    <row r="10229">
      <c r="A10229" t="inlineStr">
        <is>
          <t xml:space="preserve">quant Mutual Fund</t>
        </is>
      </c>
      <c r="B10229" t="inlineStr">
        <is>
          <t xml:space="preserve">quant Large &amp; Mid Cap Fund - IDCW Option - Regular Plan</t>
        </is>
      </c>
      <c r="C10229" t="inlineStr">
        <is>
          <t xml:space="preserve">INF966L01325</t>
        </is>
      </c>
    </row>
    <row r="10230">
      <c r="A10230" t="inlineStr">
        <is>
          <t xml:space="preserve">quant Mutual Fund</t>
        </is>
      </c>
      <c r="B10230" t="inlineStr">
        <is>
          <t xml:space="preserve">quant Large Cap Fund - Growth Option - Direct Plan</t>
        </is>
      </c>
      <c r="C10230" t="inlineStr">
        <is>
          <t xml:space="preserve">INF966L01AT0</t>
        </is>
      </c>
    </row>
    <row r="10231">
      <c r="A10231" t="inlineStr">
        <is>
          <t xml:space="preserve">quant Mutual Fund</t>
        </is>
      </c>
      <c r="B10231" t="inlineStr">
        <is>
          <t xml:space="preserve">quant Large Cap Fund - Growth Option - Regular Plan</t>
        </is>
      </c>
      <c r="C10231" t="inlineStr">
        <is>
          <t xml:space="preserve">INF966L01AW4</t>
        </is>
      </c>
    </row>
    <row r="10232">
      <c r="A10232" t="inlineStr">
        <is>
          <t xml:space="preserve">quant Mutual Fund</t>
        </is>
      </c>
      <c r="B10232" t="inlineStr">
        <is>
          <t xml:space="preserve">quant Large Cap Fund - IDCW Option - Direct Plan</t>
        </is>
      </c>
      <c r="C10232" t="inlineStr">
        <is>
          <t xml:space="preserve">INF966L01AU8</t>
        </is>
      </c>
    </row>
    <row r="10233">
      <c r="A10233" t="inlineStr">
        <is>
          <t xml:space="preserve">quant Mutual Fund</t>
        </is>
      </c>
      <c r="B10233" t="inlineStr">
        <is>
          <t xml:space="preserve">quant Large Cap Fund - IDCW Option - Regular Plan</t>
        </is>
      </c>
      <c r="C10233" t="inlineStr">
        <is>
          <t xml:space="preserve">INF966L01AX2</t>
        </is>
      </c>
    </row>
    <row r="10234">
      <c r="A10234" t="inlineStr">
        <is>
          <t xml:space="preserve">quant Mutual Fund</t>
        </is>
      </c>
      <c r="B10234" t="inlineStr">
        <is>
          <t xml:space="preserve">quant Liquid Fund - Growth Option - Direct Plan</t>
        </is>
      </c>
      <c r="C10234" t="inlineStr">
        <is>
          <t xml:space="preserve">INF966L01820</t>
        </is>
      </c>
    </row>
    <row r="10235">
      <c r="A10235" t="inlineStr">
        <is>
          <t xml:space="preserve">quant Mutual Fund</t>
        </is>
      </c>
      <c r="B10235" t="inlineStr">
        <is>
          <t xml:space="preserve">quant Liquid Fund - Growth Option - Regular Plan</t>
        </is>
      </c>
      <c r="C10235" t="inlineStr">
        <is>
          <t xml:space="preserve">INF966L01317</t>
        </is>
      </c>
    </row>
    <row r="10236">
      <c r="A10236" t="inlineStr">
        <is>
          <t xml:space="preserve">quant Mutual Fund</t>
        </is>
      </c>
      <c r="B10236" t="inlineStr">
        <is>
          <t xml:space="preserve">quant Liquid Fund - Monthly IDCW Option - Direct Plan</t>
        </is>
      </c>
      <c r="C10236" t="inlineStr">
        <is>
          <t xml:space="preserve">INF966L01796</t>
        </is>
      </c>
    </row>
    <row r="10237">
      <c r="A10237" t="inlineStr">
        <is>
          <t xml:space="preserve">quant Mutual Fund</t>
        </is>
      </c>
      <c r="B10237" t="inlineStr">
        <is>
          <t xml:space="preserve">quant Liquid Fund - Monthly IDCW Option - Regular Plan</t>
        </is>
      </c>
      <c r="C10237" t="inlineStr">
        <is>
          <t xml:space="preserve">INF966L01291</t>
        </is>
      </c>
    </row>
    <row r="10238">
      <c r="A10238" t="inlineStr">
        <is>
          <t xml:space="preserve">quant Mutual Fund</t>
        </is>
      </c>
      <c r="B10238" t="inlineStr">
        <is>
          <t xml:space="preserve">quant Liquid Fund - Weekly IDCW Option - Direct Plan</t>
        </is>
      </c>
      <c r="C10238" t="inlineStr">
        <is>
          <t xml:space="preserve">INF966L01788</t>
        </is>
      </c>
    </row>
    <row r="10239">
      <c r="A10239" t="inlineStr">
        <is>
          <t xml:space="preserve">quant Mutual Fund</t>
        </is>
      </c>
      <c r="B10239" t="inlineStr">
        <is>
          <t xml:space="preserve">quant Liquid Fund - Weekly IDCW Option - Regular Plan</t>
        </is>
      </c>
      <c r="C10239" t="inlineStr">
        <is>
          <t xml:space="preserve">INF966L01499</t>
        </is>
      </c>
    </row>
    <row r="10240">
      <c r="A10240" t="inlineStr">
        <is>
          <t xml:space="preserve">quant Mutual Fund</t>
        </is>
      </c>
      <c r="B10240" t="inlineStr">
        <is>
          <t xml:space="preserve">quant Liquid Fund-Daily IDCW Option - Direct Plan</t>
        </is>
      </c>
      <c r="C10240" t="inlineStr">
        <is>
          <t xml:space="preserve">INF966L01770</t>
        </is>
      </c>
    </row>
    <row r="10241">
      <c r="A10241" t="inlineStr">
        <is>
          <t xml:space="preserve">quant Mutual Fund</t>
        </is>
      </c>
      <c r="B10241" t="inlineStr">
        <is>
          <t xml:space="preserve">quant Liquid Fund-Daily IDCW Option - Regular Plan</t>
        </is>
      </c>
      <c r="C10241" t="inlineStr">
        <is>
          <t xml:space="preserve">INF966L01275</t>
        </is>
      </c>
    </row>
    <row r="10242">
      <c r="A10242" t="inlineStr">
        <is>
          <t xml:space="preserve">quant Mutual Fund</t>
        </is>
      </c>
      <c r="B10242" t="inlineStr">
        <is>
          <t xml:space="preserve">quant Manufacturing Fund - Growth Option - Direct Plan</t>
        </is>
      </c>
      <c r="C10242" t="inlineStr">
        <is>
          <t xml:space="preserve">INF966L01CJ7</t>
        </is>
      </c>
    </row>
    <row r="10243">
      <c r="A10243" t="inlineStr">
        <is>
          <t xml:space="preserve">quant Mutual Fund</t>
        </is>
      </c>
      <c r="B10243" t="inlineStr">
        <is>
          <t xml:space="preserve">quant Manufacturing Fund - Growth Option - Regular Plan</t>
        </is>
      </c>
      <c r="C10243" t="inlineStr">
        <is>
          <t xml:space="preserve">INF966L01CN9</t>
        </is>
      </c>
    </row>
    <row r="10244">
      <c r="A10244" t="inlineStr">
        <is>
          <t xml:space="preserve">quant Mutual Fund</t>
        </is>
      </c>
      <c r="B10244" t="inlineStr">
        <is>
          <t xml:space="preserve">quant Manufacturing Fund - IDCW Option - Direct Plan</t>
        </is>
      </c>
      <c r="C10244" t="inlineStr">
        <is>
          <t xml:space="preserve">INF966L01CK5</t>
        </is>
      </c>
    </row>
    <row r="10245">
      <c r="A10245" t="inlineStr">
        <is>
          <t xml:space="preserve">quant Mutual Fund</t>
        </is>
      </c>
      <c r="B10245" t="inlineStr">
        <is>
          <t xml:space="preserve">quant Manufacturing Fund - IDCW Option - Regular Plan</t>
        </is>
      </c>
      <c r="C10245" t="inlineStr">
        <is>
          <t xml:space="preserve">INF966L01CO7</t>
        </is>
      </c>
    </row>
    <row r="10246">
      <c r="A10246" t="inlineStr">
        <is>
          <t xml:space="preserve">quant Mutual Fund</t>
        </is>
      </c>
      <c r="B10246" t="inlineStr">
        <is>
          <t xml:space="preserve">quant Mid Cap Fund - Growth Option - Direct Plan</t>
        </is>
      </c>
      <c r="C10246" t="inlineStr">
        <is>
          <t xml:space="preserve">INF966L01887</t>
        </is>
      </c>
    </row>
    <row r="10247">
      <c r="A10247" t="inlineStr">
        <is>
          <t xml:space="preserve">quant Mutual Fund</t>
        </is>
      </c>
      <c r="B10247" t="inlineStr">
        <is>
          <t xml:space="preserve">quant Mid Cap Fund - Growth Option - Regular Plan</t>
        </is>
      </c>
      <c r="C10247" t="inlineStr">
        <is>
          <t xml:space="preserve">INF966L01176</t>
        </is>
      </c>
    </row>
    <row r="10248">
      <c r="A10248" t="inlineStr">
        <is>
          <t xml:space="preserve">quant Mutual Fund</t>
        </is>
      </c>
      <c r="B10248" t="inlineStr">
        <is>
          <t xml:space="preserve">quant Mid Cap Fund - IDCW Option - Direct Plan</t>
        </is>
      </c>
      <c r="C10248" t="inlineStr">
        <is>
          <t xml:space="preserve">INF966L01861</t>
        </is>
      </c>
    </row>
    <row r="10249">
      <c r="A10249" t="inlineStr">
        <is>
          <t xml:space="preserve">quant Mutual Fund</t>
        </is>
      </c>
      <c r="B10249" t="inlineStr">
        <is>
          <t xml:space="preserve">quant Mid Cap Fund - IDCW Option - Regular Plan</t>
        </is>
      </c>
      <c r="C10249" t="inlineStr">
        <is>
          <t xml:space="preserve">INF966L01150</t>
        </is>
      </c>
    </row>
    <row r="10250">
      <c r="A10250" t="inlineStr">
        <is>
          <t xml:space="preserve">quant Mutual Fund</t>
        </is>
      </c>
      <c r="B10250" t="inlineStr">
        <is>
          <t xml:space="preserve">quant Momentum Fund - Growth Option - Direct Plan</t>
        </is>
      </c>
      <c r="C10250" t="inlineStr">
        <is>
          <t xml:space="preserve">INF966L01CZ3</t>
        </is>
      </c>
    </row>
    <row r="10251">
      <c r="A10251" t="inlineStr">
        <is>
          <t xml:space="preserve">quant Mutual Fund</t>
        </is>
      </c>
      <c r="B10251" t="inlineStr">
        <is>
          <t xml:space="preserve">quant Momentum Fund - Growth Option - Regular Plan</t>
        </is>
      </c>
      <c r="C10251" t="inlineStr">
        <is>
          <t xml:space="preserve">INF966L01CW0</t>
        </is>
      </c>
    </row>
    <row r="10252">
      <c r="A10252" t="inlineStr">
        <is>
          <t xml:space="preserve">quant Mutual Fund</t>
        </is>
      </c>
      <c r="B10252" t="inlineStr">
        <is>
          <t xml:space="preserve">quant Momentum Fund - IDCW Option - Direct Plan</t>
        </is>
      </c>
      <c r="C10252" t="inlineStr">
        <is>
          <t xml:space="preserve">INF966L01DA4</t>
        </is>
      </c>
    </row>
    <row r="10253">
      <c r="A10253" t="inlineStr">
        <is>
          <t xml:space="preserve">quant Mutual Fund</t>
        </is>
      </c>
      <c r="B10253" t="inlineStr">
        <is>
          <t xml:space="preserve">quant Momentum Fund - IDCW Option - Regular Plan</t>
        </is>
      </c>
      <c r="C10253" t="inlineStr">
        <is>
          <t xml:space="preserve">INF966L01CX8</t>
        </is>
      </c>
    </row>
    <row r="10254">
      <c r="A10254" t="inlineStr">
        <is>
          <t xml:space="preserve">quant Mutual Fund</t>
        </is>
      </c>
      <c r="B10254" t="inlineStr">
        <is>
          <t xml:space="preserve">quant Multi Asset Allocation Fund - IDCW Option - Direct Plan</t>
        </is>
      </c>
      <c r="C10254" t="inlineStr">
        <is>
          <t xml:space="preserve">INF966L01564</t>
        </is>
      </c>
    </row>
    <row r="10255">
      <c r="A10255" t="inlineStr">
        <is>
          <t xml:space="preserve">quant Mutual Fund</t>
        </is>
      </c>
      <c r="B10255" t="inlineStr">
        <is>
          <t xml:space="preserve">quant Multi Asset Allocation Fund - IDCW Option - Regular Plan</t>
        </is>
      </c>
      <c r="C10255" t="inlineStr">
        <is>
          <t xml:space="preserve">INF966L01184</t>
        </is>
      </c>
    </row>
    <row r="10256">
      <c r="A10256" t="inlineStr">
        <is>
          <t xml:space="preserve">quant Mutual Fund</t>
        </is>
      </c>
      <c r="B10256" t="inlineStr">
        <is>
          <t xml:space="preserve">quant Multi Asset Allocation Fund-GROWTH OPTION - Regular Plan</t>
        </is>
      </c>
      <c r="C10256" t="inlineStr">
        <is>
          <t xml:space="preserve">INF966L01200</t>
        </is>
      </c>
    </row>
    <row r="10257">
      <c r="A10257" t="inlineStr">
        <is>
          <t xml:space="preserve">quant Mutual Fund</t>
        </is>
      </c>
      <c r="B10257" t="inlineStr">
        <is>
          <t xml:space="preserve">quant Multi Asset Allocation Fund-GROWTH OPTION-Direct Plan</t>
        </is>
      </c>
      <c r="C10257" t="inlineStr">
        <is>
          <t xml:space="preserve">INF966L01580</t>
        </is>
      </c>
    </row>
    <row r="10258">
      <c r="A10258" t="inlineStr">
        <is>
          <t xml:space="preserve">quant Mutual Fund</t>
        </is>
      </c>
      <c r="B10258" t="inlineStr">
        <is>
          <t xml:space="preserve">quant Multi Cap Fund-GROWTH OPTION - Regular Plan</t>
        </is>
      </c>
      <c r="C10258" t="inlineStr">
        <is>
          <t xml:space="preserve">INF966L01234</t>
        </is>
      </c>
    </row>
    <row r="10259">
      <c r="A10259" t="inlineStr">
        <is>
          <t xml:space="preserve">quant Mutual Fund</t>
        </is>
      </c>
      <c r="B10259" t="inlineStr">
        <is>
          <t xml:space="preserve">quant Multi Cap Fund-GROWTH OPTION-Direct Plan</t>
        </is>
      </c>
      <c r="C10259" t="inlineStr">
        <is>
          <t xml:space="preserve">INF966L01614</t>
        </is>
      </c>
    </row>
    <row r="10260">
      <c r="A10260" t="inlineStr">
        <is>
          <t xml:space="preserve">quant Mutual Fund</t>
        </is>
      </c>
      <c r="B10260" t="inlineStr">
        <is>
          <t xml:space="preserve">quant Multi Cap Fund-IDCW Option - Direct Plan</t>
        </is>
      </c>
      <c r="C10260" t="inlineStr">
        <is>
          <t xml:space="preserve">INF966L01598</t>
        </is>
      </c>
    </row>
    <row r="10261">
      <c r="A10261" t="inlineStr">
        <is>
          <t xml:space="preserve">quant Mutual Fund</t>
        </is>
      </c>
      <c r="B10261" t="inlineStr">
        <is>
          <t xml:space="preserve">quant Multi Cap Fund-IDCW Option - Regular Plan</t>
        </is>
      </c>
      <c r="C10261" t="inlineStr">
        <is>
          <t xml:space="preserve">INF966L01218</t>
        </is>
      </c>
    </row>
    <row r="10262">
      <c r="A10262" t="inlineStr">
        <is>
          <t xml:space="preserve">quant Mutual Fund</t>
        </is>
      </c>
      <c r="B10262" t="inlineStr">
        <is>
          <t xml:space="preserve">quant Overnight Fund - Growth Option - Direct Plan</t>
        </is>
      </c>
      <c r="C10262" t="inlineStr">
        <is>
          <t xml:space="preserve">INF966L01AZ7</t>
        </is>
      </c>
    </row>
    <row r="10263">
      <c r="A10263" t="inlineStr">
        <is>
          <t xml:space="preserve">quant Mutual Fund</t>
        </is>
      </c>
      <c r="B10263" t="inlineStr">
        <is>
          <t xml:space="preserve">quant Overnight Fund - Growth Option - Regular Plan</t>
        </is>
      </c>
      <c r="C10263" t="inlineStr">
        <is>
          <t xml:space="preserve">INF966L01BC4</t>
        </is>
      </c>
    </row>
    <row r="10264">
      <c r="A10264" t="inlineStr">
        <is>
          <t xml:space="preserve">quant Mutual Fund</t>
        </is>
      </c>
      <c r="B10264" t="inlineStr">
        <is>
          <t xml:space="preserve">quant Overnight Fund - IDCW Option - Direct Plan</t>
        </is>
      </c>
      <c r="C10264" t="inlineStr">
        <is>
          <t xml:space="preserve">INF966L01BA8</t>
        </is>
      </c>
    </row>
    <row r="10265">
      <c r="A10265" t="inlineStr">
        <is>
          <t xml:space="preserve">quant Mutual Fund</t>
        </is>
      </c>
      <c r="B10265" t="inlineStr">
        <is>
          <t xml:space="preserve">quant Overnight Fund - IDCW Option - Regular Plan</t>
        </is>
      </c>
      <c r="C10265" t="inlineStr">
        <is>
          <t xml:space="preserve">INF966L01BD2</t>
        </is>
      </c>
    </row>
    <row r="10266">
      <c r="A10266" t="inlineStr">
        <is>
          <t xml:space="preserve">quant Mutual Fund</t>
        </is>
      </c>
      <c r="B10266" t="inlineStr">
        <is>
          <t xml:space="preserve">quant PSU Fund - Growth Option - Direct Plan</t>
        </is>
      </c>
      <c r="C10266" t="inlineStr">
        <is>
          <t xml:space="preserve">INF966L01DT4</t>
        </is>
      </c>
    </row>
    <row r="10267">
      <c r="A10267" t="inlineStr">
        <is>
          <t xml:space="preserve">quant Mutual Fund</t>
        </is>
      </c>
      <c r="B10267" t="inlineStr">
        <is>
          <t xml:space="preserve">quant PSU Fund - Growth Option - Regular Plan</t>
        </is>
      </c>
      <c r="C10267" t="inlineStr">
        <is>
          <t xml:space="preserve">INF966L01DQ0</t>
        </is>
      </c>
    </row>
    <row r="10268">
      <c r="A10268" t="inlineStr">
        <is>
          <t xml:space="preserve">quant Mutual Fund</t>
        </is>
      </c>
      <c r="B10268" t="inlineStr">
        <is>
          <t xml:space="preserve">quant PSU Fund - IDCW Option - Direct Plan</t>
        </is>
      </c>
      <c r="C10268" t="inlineStr">
        <is>
          <t xml:space="preserve">INF966L01DU2</t>
        </is>
      </c>
    </row>
    <row r="10269">
      <c r="A10269" t="inlineStr">
        <is>
          <t xml:space="preserve">quant Mutual Fund</t>
        </is>
      </c>
      <c r="B10269" t="inlineStr">
        <is>
          <t xml:space="preserve">quant PSU Fund - IDCW Option - Regular Plan</t>
        </is>
      </c>
      <c r="C10269" t="inlineStr">
        <is>
          <t xml:space="preserve">INF966L01DR8</t>
        </is>
      </c>
    </row>
    <row r="10270">
      <c r="A10270" t="inlineStr">
        <is>
          <t xml:space="preserve">quant Mutual Fund</t>
        </is>
      </c>
      <c r="B10270" t="inlineStr">
        <is>
          <t xml:space="preserve">quant Quantamental Fund - Growth Option - Direct Plan</t>
        </is>
      </c>
      <c r="C10270" t="inlineStr">
        <is>
          <t xml:space="preserve">INF966L01AK9</t>
        </is>
      </c>
    </row>
    <row r="10271">
      <c r="A10271" t="inlineStr">
        <is>
          <t xml:space="preserve">quant Mutual Fund</t>
        </is>
      </c>
      <c r="B10271" t="inlineStr">
        <is>
          <t xml:space="preserve">quant Quantamental Fund - Growth Option - Regular Plan</t>
        </is>
      </c>
      <c r="C10271" t="inlineStr">
        <is>
          <t xml:space="preserve">INF966L01AH5</t>
        </is>
      </c>
    </row>
    <row r="10272">
      <c r="A10272" t="inlineStr">
        <is>
          <t xml:space="preserve">quant Mutual Fund</t>
        </is>
      </c>
      <c r="B10272" t="inlineStr">
        <is>
          <t xml:space="preserve">quant Quantamental Fund - IDCW Option - Direct Plan</t>
        </is>
      </c>
      <c r="C10272" t="inlineStr">
        <is>
          <t xml:space="preserve">INF966L01AL7</t>
        </is>
      </c>
    </row>
    <row r="10273">
      <c r="A10273" t="inlineStr">
        <is>
          <t xml:space="preserve">quant Mutual Fund</t>
        </is>
      </c>
      <c r="B10273" t="inlineStr">
        <is>
          <t xml:space="preserve">quant Quantamental Fund - IDCW Option - Regular Plan</t>
        </is>
      </c>
      <c r="C10273" t="inlineStr">
        <is>
          <t xml:space="preserve">INF966L01AI3</t>
        </is>
      </c>
    </row>
    <row r="10274">
      <c r="A10274" t="inlineStr">
        <is>
          <t xml:space="preserve">quant Mutual Fund</t>
        </is>
      </c>
      <c r="B10274" t="inlineStr">
        <is>
          <t xml:space="preserve">quant Small Cap Fund - Growth - Regular Plan</t>
        </is>
      </c>
      <c r="C10274" t="inlineStr">
        <is>
          <t xml:space="preserve">INF966L01AA0</t>
        </is>
      </c>
    </row>
    <row r="10275">
      <c r="A10275" t="inlineStr">
        <is>
          <t xml:space="preserve">quant Mutual Fund</t>
        </is>
      </c>
      <c r="B10275" t="inlineStr">
        <is>
          <t xml:space="preserve">quant Small Cap Fund - Growth Option - Direct Plan</t>
        </is>
      </c>
      <c r="C10275" t="inlineStr">
        <is>
          <t xml:space="preserve">INF966L01689</t>
        </is>
      </c>
    </row>
    <row r="10276">
      <c r="A10276" t="inlineStr">
        <is>
          <t xml:space="preserve">quant Mutual Fund</t>
        </is>
      </c>
      <c r="B10276" t="inlineStr">
        <is>
          <t xml:space="preserve">quant Small Cap Fund - IDCW Option - Direct Plan</t>
        </is>
      </c>
      <c r="C10276" t="inlineStr">
        <is>
          <t xml:space="preserve">INF966L01663</t>
        </is>
      </c>
    </row>
    <row r="10277">
      <c r="A10277" t="inlineStr">
        <is>
          <t xml:space="preserve">quant Mutual Fund</t>
        </is>
      </c>
      <c r="B10277" t="inlineStr">
        <is>
          <t xml:space="preserve">quant Small Cap Fund - IDCW Option - Regular Plan</t>
        </is>
      </c>
      <c r="C10277" t="inlineStr">
        <is>
          <t xml:space="preserve">INF206A01022</t>
        </is>
      </c>
    </row>
    <row r="10278">
      <c r="A10278" t="inlineStr">
        <is>
          <t xml:space="preserve">quant Mutual Fund</t>
        </is>
      </c>
      <c r="B10278" t="inlineStr">
        <is>
          <t xml:space="preserve">quant Teck Fund - Growth Option - Direct Plan</t>
        </is>
      </c>
      <c r="C10278" t="inlineStr">
        <is>
          <t xml:space="preserve">INF966L01CT6</t>
        </is>
      </c>
    </row>
    <row r="10279">
      <c r="A10279" t="inlineStr">
        <is>
          <t xml:space="preserve">quant Mutual Fund</t>
        </is>
      </c>
      <c r="B10279" t="inlineStr">
        <is>
          <t xml:space="preserve">quant Teck Fund - Growth Option - Regular Plan</t>
        </is>
      </c>
      <c r="C10279" t="inlineStr">
        <is>
          <t xml:space="preserve">INF966L01CQ2</t>
        </is>
      </c>
    </row>
    <row r="10280">
      <c r="A10280" t="inlineStr">
        <is>
          <t xml:space="preserve">quant Mutual Fund</t>
        </is>
      </c>
      <c r="B10280" t="inlineStr">
        <is>
          <t xml:space="preserve">quant Teck Fund - IDCW Option - Direct Plan</t>
        </is>
      </c>
      <c r="C10280" t="inlineStr">
        <is>
          <t xml:space="preserve">INF966L01CU4</t>
        </is>
      </c>
    </row>
    <row r="10281">
      <c r="A10281" t="inlineStr">
        <is>
          <t xml:space="preserve">quant Mutual Fund</t>
        </is>
      </c>
      <c r="B10281" t="inlineStr">
        <is>
          <t xml:space="preserve">quant Teck Fund - IDCW Option - Regular Plan</t>
        </is>
      </c>
      <c r="C10281" t="inlineStr">
        <is>
          <t xml:space="preserve">INF966L01CR0</t>
        </is>
      </c>
    </row>
    <row r="10282">
      <c r="A10282" t="inlineStr">
        <is>
          <t xml:space="preserve">quant Mutual Fund</t>
        </is>
      </c>
      <c r="B10282" t="inlineStr">
        <is>
          <t xml:space="preserve">Quant Value Fund - Growth Option  - Direct Plan</t>
        </is>
      </c>
      <c r="C10282" t="inlineStr">
        <is>
          <t xml:space="preserve">INF966L01AN3</t>
        </is>
      </c>
    </row>
    <row r="10283">
      <c r="A10283" t="inlineStr">
        <is>
          <t xml:space="preserve">quant Mutual Fund</t>
        </is>
      </c>
      <c r="B10283" t="inlineStr">
        <is>
          <t xml:space="preserve">Quant Value Fund - Growth Option - Regular Plan</t>
        </is>
      </c>
      <c r="C10283" t="inlineStr">
        <is>
          <t xml:space="preserve">INF966L01AQ6</t>
        </is>
      </c>
    </row>
    <row r="10284">
      <c r="A10284" t="inlineStr">
        <is>
          <t xml:space="preserve">quant Mutual Fund</t>
        </is>
      </c>
      <c r="B10284" t="inlineStr">
        <is>
          <t xml:space="preserve">Quant Value Fund - IDCW Option - Direct Plan</t>
        </is>
      </c>
      <c r="C10284" t="inlineStr">
        <is>
          <t xml:space="preserve">INF966L01AO1</t>
        </is>
      </c>
    </row>
    <row r="10285">
      <c r="A10285" t="inlineStr">
        <is>
          <t xml:space="preserve">quant Mutual Fund</t>
        </is>
      </c>
      <c r="B10285" t="inlineStr">
        <is>
          <t xml:space="preserve">Quant Value Fund - IDCW Option- Regular Plan</t>
        </is>
      </c>
      <c r="C10285" t="inlineStr">
        <is>
          <t xml:space="preserve">INF966L01AR4</t>
        </is>
      </c>
    </row>
    <row r="10286">
      <c r="A10286" t="inlineStr">
        <is>
          <t xml:space="preserve">Quantum Mutual Fund</t>
        </is>
      </c>
      <c r="B10286" t="inlineStr">
        <is>
          <t xml:space="preserve">Quantum Diversified Equity All Cap Active FOF - Direct Plan Growth Option</t>
        </is>
      </c>
      <c r="C10286" t="inlineStr">
        <is>
          <t xml:space="preserve">INF082J01093</t>
        </is>
      </c>
    </row>
    <row r="10287">
      <c r="A10287" t="inlineStr">
        <is>
          <t xml:space="preserve">Quantum Mutual Fund</t>
        </is>
      </c>
      <c r="B10287" t="inlineStr">
        <is>
          <t xml:space="preserve">Quantum Diversified Equity All Cap Active FOF - Direct Plan IDCW</t>
        </is>
      </c>
      <c r="C10287" t="inlineStr">
        <is>
          <t xml:space="preserve">INF082J01101</t>
        </is>
      </c>
    </row>
    <row r="10288">
      <c r="A10288" t="inlineStr">
        <is>
          <t xml:space="preserve">Quantum Mutual Fund</t>
        </is>
      </c>
      <c r="B10288" t="inlineStr">
        <is>
          <t xml:space="preserve">Quantum Diversified Equity All Cap Active FOF - Regular Plan Growth Option</t>
        </is>
      </c>
      <c r="C10288" t="inlineStr">
        <is>
          <t xml:space="preserve">INF082J01275</t>
        </is>
      </c>
    </row>
    <row r="10289">
      <c r="A10289" t="inlineStr">
        <is>
          <t xml:space="preserve">Quantum Mutual Fund</t>
        </is>
      </c>
      <c r="B10289" t="inlineStr">
        <is>
          <t xml:space="preserve">Quantum Diversified Equity All Cap Active FOF - Regular Plan IDCW</t>
        </is>
      </c>
      <c r="C10289" t="inlineStr">
        <is>
          <t xml:space="preserve">INF082J01283</t>
        </is>
      </c>
    </row>
    <row r="10290">
      <c r="A10290" t="inlineStr">
        <is>
          <t xml:space="preserve">Quantum Mutual Fund</t>
        </is>
      </c>
      <c r="B10290" t="inlineStr">
        <is>
          <t xml:space="preserve">Quantum Dynamic Term Fund - Direct Plan Growth Option</t>
        </is>
      </c>
      <c r="C10290" t="inlineStr">
        <is>
          <t xml:space="preserve">INF082J01176</t>
        </is>
      </c>
    </row>
    <row r="10291">
      <c r="A10291" t="inlineStr">
        <is>
          <t xml:space="preserve">Quantum Mutual Fund</t>
        </is>
      </c>
      <c r="B10291" t="inlineStr">
        <is>
          <t xml:space="preserve">Quantum Dynamic Term Fund - Direct Plan Monthly IDCW</t>
        </is>
      </c>
      <c r="C10291" t="inlineStr">
        <is>
          <t xml:space="preserve">INF082J01184</t>
        </is>
      </c>
    </row>
    <row r="10292">
      <c r="A10292" t="inlineStr">
        <is>
          <t xml:space="preserve">Quantum Mutual Fund</t>
        </is>
      </c>
      <c r="B10292" t="inlineStr">
        <is>
          <t xml:space="preserve">Quantum Dynamic Term Fund - Regular Plan Growth Option</t>
        </is>
      </c>
      <c r="C10292" t="inlineStr">
        <is>
          <t xml:space="preserve">INF082J01218</t>
        </is>
      </c>
    </row>
    <row r="10293">
      <c r="A10293" t="inlineStr">
        <is>
          <t xml:space="preserve">Quantum Mutual Fund</t>
        </is>
      </c>
      <c r="B10293" t="inlineStr">
        <is>
          <t xml:space="preserve">Quantum Dynamic Term Fund - Regular Plan Monthly IDCW</t>
        </is>
      </c>
      <c r="C10293" t="inlineStr">
        <is>
          <t xml:space="preserve">INF082J01226</t>
        </is>
      </c>
    </row>
    <row r="10294">
      <c r="A10294" t="inlineStr">
        <is>
          <t xml:space="preserve">Quantum Mutual Fund</t>
        </is>
      </c>
      <c r="B10294" t="inlineStr">
        <is>
          <t xml:space="preserve">Quantum ELSS Tax Saver Fund - Direct Plan Growth Option</t>
        </is>
      </c>
      <c r="C10294" t="inlineStr">
        <is>
          <t xml:space="preserve">INF082J01069</t>
        </is>
      </c>
    </row>
    <row r="10295">
      <c r="A10295" t="inlineStr">
        <is>
          <t xml:space="preserve">Quantum Mutual Fund</t>
        </is>
      </c>
      <c r="B10295" t="inlineStr">
        <is>
          <t xml:space="preserve">Quantum ELSS Tax Saver Fund - Direct Plan IDCW</t>
        </is>
      </c>
      <c r="C10295" t="inlineStr">
        <is>
          <t xml:space="preserve">INF082J01077</t>
        </is>
      </c>
    </row>
    <row r="10296">
      <c r="A10296" t="inlineStr">
        <is>
          <t xml:space="preserve">Quantum Mutual Fund</t>
        </is>
      </c>
      <c r="B10296" t="inlineStr">
        <is>
          <t xml:space="preserve">Quantum ELSS Tax Saver Fund - Regular Plan Growth Option</t>
        </is>
      </c>
      <c r="C10296" t="inlineStr">
        <is>
          <t xml:space="preserve">INF082J01366</t>
        </is>
      </c>
    </row>
    <row r="10297">
      <c r="A10297" t="inlineStr">
        <is>
          <t xml:space="preserve">Quantum Mutual Fund</t>
        </is>
      </c>
      <c r="B10297" t="inlineStr">
        <is>
          <t xml:space="preserve">Quantum ELSS Tax Saver Fund - Regular Plan IDCW</t>
        </is>
      </c>
      <c r="C10297" t="inlineStr">
        <is>
          <t xml:space="preserve">INF082J01374</t>
        </is>
      </c>
    </row>
    <row r="10298">
      <c r="A10298" t="inlineStr">
        <is>
          <t xml:space="preserve">Quantum Mutual Fund</t>
        </is>
      </c>
      <c r="B10298" t="inlineStr">
        <is>
          <t xml:space="preserve">QUANTUM ESG BEST IN CLASS STRATEGY FUND - DIRECT PLAN - GROWTH OPTION</t>
        </is>
      </c>
      <c r="C10298" t="inlineStr">
        <is>
          <t xml:space="preserve">INF082J01382</t>
        </is>
      </c>
    </row>
    <row r="10299">
      <c r="A10299" t="inlineStr">
        <is>
          <t xml:space="preserve">Quantum Mutual Fund</t>
        </is>
      </c>
      <c r="B10299" t="inlineStr">
        <is>
          <t xml:space="preserve">QUANTUM ESG BEST IN CLASS STRATEGY FUND - REGULAR PLAN - GROWTH OPTION</t>
        </is>
      </c>
      <c r="C10299" t="inlineStr">
        <is>
          <t xml:space="preserve">INF082J01390</t>
        </is>
      </c>
    </row>
    <row r="10300">
      <c r="A10300" t="inlineStr">
        <is>
          <t xml:space="preserve">Quantum Mutual Fund</t>
        </is>
      </c>
      <c r="B10300" t="inlineStr">
        <is>
          <t xml:space="preserve">Quantum Ethical Fund - Direct Plan Growth Option</t>
        </is>
      </c>
      <c r="C10300" t="inlineStr">
        <is>
          <t xml:space="preserve">INF082J01473</t>
        </is>
      </c>
    </row>
    <row r="10301">
      <c r="A10301" t="inlineStr">
        <is>
          <t xml:space="preserve">Quantum Mutual Fund</t>
        </is>
      </c>
      <c r="B10301" t="inlineStr">
        <is>
          <t xml:space="preserve">Quantum Ethical Fund - Regular Plan Growth Option</t>
        </is>
      </c>
      <c r="C10301" t="inlineStr">
        <is>
          <t xml:space="preserve">INF082J01481</t>
        </is>
      </c>
    </row>
    <row r="10302">
      <c r="A10302" t="inlineStr">
        <is>
          <t xml:space="preserve">Quantum Mutual Fund</t>
        </is>
      </c>
      <c r="B10302" t="inlineStr">
        <is>
          <t xml:space="preserve">Quantum Gold ETF</t>
        </is>
      </c>
      <c r="C10302" t="inlineStr">
        <is>
          <t xml:space="preserve">INF082J01408</t>
        </is>
      </c>
    </row>
    <row r="10303">
      <c r="A10303" t="inlineStr">
        <is>
          <t xml:space="preserve">Quantum Mutual Fund</t>
        </is>
      </c>
      <c r="B10303" t="inlineStr">
        <is>
          <t xml:space="preserve">Quantum Gold ETF FOF - Direct Plan Growth Option</t>
        </is>
      </c>
      <c r="C10303" t="inlineStr">
        <is>
          <t xml:space="preserve">INF082J01150</t>
        </is>
      </c>
    </row>
    <row r="10304">
      <c r="A10304" t="inlineStr">
        <is>
          <t xml:space="preserve">Quantum Mutual Fund</t>
        </is>
      </c>
      <c r="B10304" t="inlineStr">
        <is>
          <t xml:space="preserve">Quantum Gold ETF FOF - Regular Plan Growth Option</t>
        </is>
      </c>
      <c r="C10304" t="inlineStr">
        <is>
          <t xml:space="preserve">INF082J01358</t>
        </is>
      </c>
    </row>
    <row r="10305">
      <c r="A10305" t="inlineStr">
        <is>
          <t xml:space="preserve">Quantum Mutual Fund</t>
        </is>
      </c>
      <c r="B10305" t="inlineStr">
        <is>
          <t xml:space="preserve">Quantum Liquid Fund - Direct Plan Daily IDCW</t>
        </is>
      </c>
      <c r="C10305" t="inlineStr">
        <is>
          <t xml:space="preserve">INF082J01135</t>
        </is>
      </c>
    </row>
    <row r="10306">
      <c r="A10306" t="inlineStr">
        <is>
          <t xml:space="preserve">Quantum Mutual Fund</t>
        </is>
      </c>
      <c r="B10306" t="inlineStr">
        <is>
          <t xml:space="preserve">Quantum Liquid Fund - Direct Plan Growth Option</t>
        </is>
      </c>
      <c r="C10306" t="inlineStr">
        <is>
          <t xml:space="preserve">INF082J01127</t>
        </is>
      </c>
    </row>
    <row r="10307">
      <c r="A10307" t="inlineStr">
        <is>
          <t xml:space="preserve">Quantum Mutual Fund</t>
        </is>
      </c>
      <c r="B10307" t="inlineStr">
        <is>
          <t xml:space="preserve">Quantum Liquid Fund - Direct Plan Monthly IDCW</t>
        </is>
      </c>
      <c r="C10307" t="inlineStr">
        <is>
          <t xml:space="preserve">INF082J01143</t>
        </is>
      </c>
    </row>
    <row r="10308">
      <c r="A10308" t="inlineStr">
        <is>
          <t xml:space="preserve">Quantum Mutual Fund</t>
        </is>
      </c>
      <c r="B10308" t="inlineStr">
        <is>
          <t xml:space="preserve">Quantum Liquid Fund - Regular Plan Daily IDCW</t>
        </is>
      </c>
      <c r="C10308" t="inlineStr">
        <is>
          <t xml:space="preserve">INF082J01317</t>
        </is>
      </c>
    </row>
    <row r="10309">
      <c r="A10309" t="inlineStr">
        <is>
          <t xml:space="preserve">Quantum Mutual Fund</t>
        </is>
      </c>
      <c r="B10309" t="inlineStr">
        <is>
          <t xml:space="preserve">Quantum Liquid Fund - Regular Plan Growth Option</t>
        </is>
      </c>
      <c r="C10309" t="inlineStr">
        <is>
          <t xml:space="preserve">INF082J01309</t>
        </is>
      </c>
    </row>
    <row r="10310">
      <c r="A10310" t="inlineStr">
        <is>
          <t xml:space="preserve">Quantum Mutual Fund</t>
        </is>
      </c>
      <c r="B10310" t="inlineStr">
        <is>
          <t xml:space="preserve">Quantum Liquid Fund - Regular Plan Monthly IDCW</t>
        </is>
      </c>
      <c r="C10310" t="inlineStr">
        <is>
          <t xml:space="preserve">INF082J01325</t>
        </is>
      </c>
    </row>
    <row r="10311">
      <c r="A10311" t="inlineStr">
        <is>
          <t xml:space="preserve">Quantum Mutual Fund</t>
        </is>
      </c>
      <c r="B10311" t="inlineStr">
        <is>
          <t xml:space="preserve">Quantum Multi Asset Active FOF - Direct Plan Growth Option</t>
        </is>
      </c>
      <c r="C10311" t="inlineStr">
        <is>
          <t xml:space="preserve">INF082J01168</t>
        </is>
      </c>
    </row>
    <row r="10312">
      <c r="A10312" t="inlineStr">
        <is>
          <t xml:space="preserve">Quantum Mutual Fund</t>
        </is>
      </c>
      <c r="B10312" t="inlineStr">
        <is>
          <t xml:space="preserve">Quantum Multi Asset Active FOF - Regular Plan Growth Option</t>
        </is>
      </c>
      <c r="C10312" t="inlineStr">
        <is>
          <t xml:space="preserve">INF082J01341</t>
        </is>
      </c>
    </row>
    <row r="10313">
      <c r="A10313" t="inlineStr">
        <is>
          <t xml:space="preserve">Quantum Mutual Fund</t>
        </is>
      </c>
      <c r="B10313" t="inlineStr">
        <is>
          <t xml:space="preserve">Quantum Multi Asset Allocation Fund - Direct Plan Growth Option</t>
        </is>
      </c>
      <c r="C10313" t="inlineStr">
        <is>
          <t xml:space="preserve">INF082J01457</t>
        </is>
      </c>
    </row>
    <row r="10314">
      <c r="A10314" t="inlineStr">
        <is>
          <t xml:space="preserve">Quantum Mutual Fund</t>
        </is>
      </c>
      <c r="B10314" t="inlineStr">
        <is>
          <t xml:space="preserve">Quantum Multi Asset Allocation Fund - Regular Plan Growth Option</t>
        </is>
      </c>
      <c r="C10314" t="inlineStr">
        <is>
          <t xml:space="preserve">INF082J01465</t>
        </is>
      </c>
    </row>
    <row r="10315">
      <c r="A10315" t="inlineStr">
        <is>
          <t xml:space="preserve">Quantum Mutual Fund</t>
        </is>
      </c>
      <c r="B10315" t="inlineStr">
        <is>
          <t xml:space="preserve">Quantum Nifty 50 ETF</t>
        </is>
      </c>
      <c r="C10315" t="inlineStr">
        <is>
          <t xml:space="preserve">INF082J01499</t>
        </is>
      </c>
    </row>
    <row r="10316">
      <c r="A10316" t="inlineStr">
        <is>
          <t xml:space="preserve">Quantum Mutual Fund</t>
        </is>
      </c>
      <c r="B10316" t="inlineStr">
        <is>
          <t xml:space="preserve">Quantum Nifty 50 ETF FOF - Direct Plan - Growth</t>
        </is>
      </c>
      <c r="C10316" t="inlineStr">
        <is>
          <t xml:space="preserve">INF082J01416</t>
        </is>
      </c>
    </row>
    <row r="10317">
      <c r="A10317" t="inlineStr">
        <is>
          <t xml:space="preserve">Quantum Mutual Fund</t>
        </is>
      </c>
      <c r="B10317" t="inlineStr">
        <is>
          <t xml:space="preserve">Quantum Nifty 50 ETF FOF - Regular Plan - Growth</t>
        </is>
      </c>
      <c r="C10317" t="inlineStr">
        <is>
          <t xml:space="preserve">INF082J01424</t>
        </is>
      </c>
    </row>
    <row r="10318">
      <c r="A10318" t="inlineStr">
        <is>
          <t xml:space="preserve">Quantum Mutual Fund</t>
        </is>
      </c>
      <c r="B10318" t="inlineStr">
        <is>
          <t xml:space="preserve">QUANTUM SMALL CAP FUND - DIRECT PLAN GROWTH OPTION</t>
        </is>
      </c>
      <c r="C10318" t="inlineStr">
        <is>
          <t xml:space="preserve">INF082J01432</t>
        </is>
      </c>
    </row>
    <row r="10319">
      <c r="A10319" t="inlineStr">
        <is>
          <t xml:space="preserve">Quantum Mutual Fund</t>
        </is>
      </c>
      <c r="B10319" t="inlineStr">
        <is>
          <t xml:space="preserve">QUANTUM SMALL CAP FUND - REGULAR PLAN GROWTH OPTION</t>
        </is>
      </c>
      <c r="C10319" t="inlineStr">
        <is>
          <t xml:space="preserve">INF082J01440</t>
        </is>
      </c>
    </row>
    <row r="10320">
      <c r="A10320" t="inlineStr">
        <is>
          <t xml:space="preserve">Quantum Mutual Fund</t>
        </is>
      </c>
      <c r="B10320" t="inlineStr">
        <is>
          <t xml:space="preserve">Quantum Value Fund - Direct Plan Growth Option</t>
        </is>
      </c>
      <c r="C10320" t="inlineStr">
        <is>
          <t xml:space="preserve">INF082J01036</t>
        </is>
      </c>
    </row>
    <row r="10321">
      <c r="A10321" t="inlineStr">
        <is>
          <t xml:space="preserve">Quantum Mutual Fund</t>
        </is>
      </c>
      <c r="B10321" t="inlineStr">
        <is>
          <t xml:space="preserve">Quantum Value Fund - Direct Plan IDCW</t>
        </is>
      </c>
      <c r="C10321" t="inlineStr">
        <is>
          <t xml:space="preserve">INF082J01044</t>
        </is>
      </c>
    </row>
    <row r="10322">
      <c r="A10322" t="inlineStr">
        <is>
          <t xml:space="preserve">Quantum Mutual Fund</t>
        </is>
      </c>
      <c r="B10322" t="inlineStr">
        <is>
          <t xml:space="preserve">Quantum Value Fund - Regular Plan Growth Option</t>
        </is>
      </c>
      <c r="C10322" t="inlineStr">
        <is>
          <t xml:space="preserve">INF082J01242</t>
        </is>
      </c>
    </row>
    <row r="10323">
      <c r="A10323" t="inlineStr">
        <is>
          <t xml:space="preserve">Quantum Mutual Fund</t>
        </is>
      </c>
      <c r="B10323" t="inlineStr">
        <is>
          <t xml:space="preserve">Quantum Value Fund - Regular Plan IDCW</t>
        </is>
      </c>
      <c r="C10323" t="inlineStr">
        <is>
          <t xml:space="preserve">INF082J01259</t>
        </is>
      </c>
    </row>
    <row r="10324">
      <c r="A10324" t="inlineStr">
        <is>
          <t xml:space="preserve">Nippon India Mutual Fund</t>
        </is>
      </c>
      <c r="B10324" t="inlineStr">
        <is>
          <t xml:space="preserve">Reliance Capital Builder Fund II - Series B - Direct Plan - Dividend Payout Option</t>
        </is>
      </c>
      <c r="C10324" t="inlineStr">
        <is>
          <t xml:space="preserve">INF204KA1ZJ4</t>
        </is>
      </c>
    </row>
    <row r="10325">
      <c r="A10325" t="inlineStr">
        <is>
          <t xml:space="preserve">Nippon India Mutual Fund</t>
        </is>
      </c>
      <c r="B10325" t="inlineStr">
        <is>
          <t xml:space="preserve">Reliance Capital Builder Fund II - Series B - Direct Plan - Growth Option</t>
        </is>
      </c>
      <c r="C10325" t="inlineStr">
        <is>
          <t xml:space="preserve">INF204KA1ZI6</t>
        </is>
      </c>
    </row>
    <row r="10326">
      <c r="A10326" t="inlineStr">
        <is>
          <t xml:space="preserve">Nippon India Mutual Fund</t>
        </is>
      </c>
      <c r="B10326" t="inlineStr">
        <is>
          <t xml:space="preserve">Reliance Capital Builder Fund II - Series B - Dividend Payout Option</t>
        </is>
      </c>
      <c r="C10326" t="inlineStr">
        <is>
          <t xml:space="preserve">INF204KA1ZH8</t>
        </is>
      </c>
    </row>
    <row r="10327">
      <c r="A10327" t="inlineStr">
        <is>
          <t xml:space="preserve">Nippon India Mutual Fund</t>
        </is>
      </c>
      <c r="B10327" t="inlineStr">
        <is>
          <t xml:space="preserve">Reliance Capital Builder Fund II - Series B - Growth Option</t>
        </is>
      </c>
      <c r="C10327" t="inlineStr">
        <is>
          <t xml:space="preserve">INF204KA1ZG0</t>
        </is>
      </c>
    </row>
    <row r="10328">
      <c r="A10328" t="inlineStr">
        <is>
          <t xml:space="preserve">Nippon India Mutual Fund</t>
        </is>
      </c>
      <c r="B10328" t="inlineStr">
        <is>
          <t xml:space="preserve">Reliance Capital Builder Fund II - Series C - Direct Plan - Dividend Payout Option</t>
        </is>
      </c>
      <c r="C10328" t="inlineStr">
        <is>
          <t xml:space="preserve">INF204KA1F86</t>
        </is>
      </c>
    </row>
    <row r="10329">
      <c r="A10329" t="inlineStr">
        <is>
          <t xml:space="preserve">Nippon India Mutual Fund</t>
        </is>
      </c>
      <c r="B10329" t="inlineStr">
        <is>
          <t xml:space="preserve">Reliance Capital Builder Fund II - Series C - Direct Plan - Growth Option</t>
        </is>
      </c>
      <c r="C10329" t="inlineStr">
        <is>
          <t xml:space="preserve">INF204KA1F78</t>
        </is>
      </c>
    </row>
    <row r="10330">
      <c r="A10330" t="inlineStr">
        <is>
          <t xml:space="preserve">Nippon India Mutual Fund</t>
        </is>
      </c>
      <c r="B10330" t="inlineStr">
        <is>
          <t xml:space="preserve">Reliance Capital Builder Fund II - Series C - Dividend Payout Option</t>
        </is>
      </c>
      <c r="C10330" t="inlineStr">
        <is>
          <t xml:space="preserve">INF204KA1F60</t>
        </is>
      </c>
    </row>
    <row r="10331">
      <c r="A10331" t="inlineStr">
        <is>
          <t xml:space="preserve">Nippon India Mutual Fund</t>
        </is>
      </c>
      <c r="B10331" t="inlineStr">
        <is>
          <t xml:space="preserve">Reliance Capital Builder Fund II - Series C - Growth Option</t>
        </is>
      </c>
      <c r="C10331" t="inlineStr">
        <is>
          <t xml:space="preserve">INF204KA1F52</t>
        </is>
      </c>
    </row>
    <row r="10332">
      <c r="A10332" t="inlineStr">
        <is>
          <t xml:space="preserve">Nippon India Mutual Fund</t>
        </is>
      </c>
      <c r="B10332" t="inlineStr">
        <is>
          <t xml:space="preserve">Reliance Capital Builder Fund II- Series A- Direct Plan-Dividend Payout Option</t>
        </is>
      </c>
      <c r="C10332" t="inlineStr">
        <is>
          <t xml:space="preserve">INF204KA1YL3</t>
        </is>
      </c>
    </row>
    <row r="10333">
      <c r="A10333" t="inlineStr">
        <is>
          <t xml:space="preserve">Nippon India Mutual Fund</t>
        </is>
      </c>
      <c r="B10333" t="inlineStr">
        <is>
          <t xml:space="preserve">Reliance Capital Builder Fund II- Series A- Direct Plan-Growth Option</t>
        </is>
      </c>
      <c r="C10333" t="inlineStr">
        <is>
          <t xml:space="preserve">INF204KA1YK5</t>
        </is>
      </c>
    </row>
    <row r="10334">
      <c r="A10334" t="inlineStr">
        <is>
          <t xml:space="preserve">Nippon India Mutual Fund</t>
        </is>
      </c>
      <c r="B10334" t="inlineStr">
        <is>
          <t xml:space="preserve">Reliance Capital Builder Fund II- Series A- Dividend Payout Option</t>
        </is>
      </c>
      <c r="C10334" t="inlineStr">
        <is>
          <t xml:space="preserve">INF204KA1YJ7</t>
        </is>
      </c>
    </row>
    <row r="10335">
      <c r="A10335" t="inlineStr">
        <is>
          <t xml:space="preserve">Nippon India Mutual Fund</t>
        </is>
      </c>
      <c r="B10335" t="inlineStr">
        <is>
          <t xml:space="preserve">Reliance Capital Builder Fund II- Series A- Growth Option</t>
        </is>
      </c>
      <c r="C10335" t="inlineStr">
        <is>
          <t xml:space="preserve">INF204KA1YI9</t>
        </is>
      </c>
    </row>
    <row r="10336">
      <c r="A10336" t="inlineStr">
        <is>
          <t xml:space="preserve">Nippon India Mutual Fund</t>
        </is>
      </c>
      <c r="B10336" t="inlineStr">
        <is>
          <t xml:space="preserve">Reliance Capital Builder Fund III - Series A - Direct Plan - Dividend Payout Option</t>
        </is>
      </c>
      <c r="C10336" t="inlineStr">
        <is>
          <t xml:space="preserve">INF204KA16D0</t>
        </is>
      </c>
    </row>
    <row r="10337">
      <c r="A10337" t="inlineStr">
        <is>
          <t xml:space="preserve">Nippon India Mutual Fund</t>
        </is>
      </c>
      <c r="B10337" t="inlineStr">
        <is>
          <t xml:space="preserve">Reliance Capital Builder Fund III - Series A - Direct Plan - Growth Option</t>
        </is>
      </c>
      <c r="C10337" t="inlineStr">
        <is>
          <t xml:space="preserve">INF204KA15D2</t>
        </is>
      </c>
    </row>
    <row r="10338">
      <c r="A10338" t="inlineStr">
        <is>
          <t xml:space="preserve">Nippon India Mutual Fund</t>
        </is>
      </c>
      <c r="B10338" t="inlineStr">
        <is>
          <t xml:space="preserve">Reliance Capital Builder Fund III - Series A - Dividend Payout Option</t>
        </is>
      </c>
      <c r="C10338" t="inlineStr">
        <is>
          <t xml:space="preserve">INF204KA14D5</t>
        </is>
      </c>
    </row>
    <row r="10339">
      <c r="A10339" t="inlineStr">
        <is>
          <t xml:space="preserve">Nippon India Mutual Fund</t>
        </is>
      </c>
      <c r="B10339" t="inlineStr">
        <is>
          <t xml:space="preserve">Reliance Capital Builder Fund III - Series A - Growth Option</t>
        </is>
      </c>
      <c r="C10339" t="inlineStr">
        <is>
          <t xml:space="preserve">INF204KA13D7</t>
        </is>
      </c>
    </row>
    <row r="10340">
      <c r="A10340" t="inlineStr">
        <is>
          <t xml:space="preserve">Nippon India Mutual Fund</t>
        </is>
      </c>
      <c r="B10340" t="inlineStr">
        <is>
          <t xml:space="preserve">Reliance Capital Builder Fund- Series A- Direct Plan- Dividend Payout Opotion</t>
        </is>
      </c>
      <c r="C10340" t="inlineStr">
        <is>
          <t xml:space="preserve">INF204KA1RY0</t>
        </is>
      </c>
    </row>
    <row r="10341">
      <c r="A10341" t="inlineStr">
        <is>
          <t xml:space="preserve">Nippon India Mutual Fund</t>
        </is>
      </c>
      <c r="B10341" t="inlineStr">
        <is>
          <t xml:space="preserve">Reliance Capital Builder Fund- Series A- Direct Plan- Growth Option</t>
        </is>
      </c>
      <c r="C10341" t="inlineStr">
        <is>
          <t xml:space="preserve">INF204KA1RX2</t>
        </is>
      </c>
    </row>
    <row r="10342">
      <c r="A10342" t="inlineStr">
        <is>
          <t xml:space="preserve">Nippon India Mutual Fund</t>
        </is>
      </c>
      <c r="B10342" t="inlineStr">
        <is>
          <t xml:space="preserve">Reliance Capital Builder Fund- Series A- Dividend Payout Option</t>
        </is>
      </c>
      <c r="C10342" t="inlineStr">
        <is>
          <t xml:space="preserve">INF204KA1RW4</t>
        </is>
      </c>
    </row>
    <row r="10343">
      <c r="A10343" t="inlineStr">
        <is>
          <t xml:space="preserve">Nippon India Mutual Fund</t>
        </is>
      </c>
      <c r="B10343" t="inlineStr">
        <is>
          <t xml:space="preserve">Reliance Capital Builder Fund- Series A- Growth Option</t>
        </is>
      </c>
      <c r="C10343" t="inlineStr">
        <is>
          <t xml:space="preserve">INF204KA1RV6</t>
        </is>
      </c>
    </row>
    <row r="10344">
      <c r="A10344" t="inlineStr">
        <is>
          <t xml:space="preserve">Nippon India Mutual Fund</t>
        </is>
      </c>
      <c r="B10344" t="inlineStr">
        <is>
          <t xml:space="preserve">Reliance Capital Builder Fund- Series B- Direct Plan- Dividend Payout Option</t>
        </is>
      </c>
      <c r="C10344" t="inlineStr">
        <is>
          <t xml:space="preserve">INF204KA1SW2</t>
        </is>
      </c>
    </row>
    <row r="10345">
      <c r="A10345" t="inlineStr">
        <is>
          <t xml:space="preserve">Nippon India Mutual Fund</t>
        </is>
      </c>
      <c r="B10345" t="inlineStr">
        <is>
          <t xml:space="preserve">Reliance Capital Builder Fund- Series B- Direct Plan- Growth Opiton</t>
        </is>
      </c>
      <c r="C10345" t="inlineStr">
        <is>
          <t xml:space="preserve">INF204KA1SV4</t>
        </is>
      </c>
    </row>
    <row r="10346">
      <c r="A10346" t="inlineStr">
        <is>
          <t xml:space="preserve">Nippon India Mutual Fund</t>
        </is>
      </c>
      <c r="B10346" t="inlineStr">
        <is>
          <t xml:space="preserve">Reliance Capital Builder Fund- Series B- Dividend Payout Option</t>
        </is>
      </c>
      <c r="C10346" t="inlineStr">
        <is>
          <t xml:space="preserve">INF204KA1SU6</t>
        </is>
      </c>
    </row>
    <row r="10347">
      <c r="A10347" t="inlineStr">
        <is>
          <t xml:space="preserve">Nippon India Mutual Fund</t>
        </is>
      </c>
      <c r="B10347" t="inlineStr">
        <is>
          <t xml:space="preserve">Reliance Capital Builder Fund- Series B- Growth Option</t>
        </is>
      </c>
      <c r="C10347" t="inlineStr">
        <is>
          <t xml:space="preserve">INF204KA1ST8</t>
        </is>
      </c>
    </row>
    <row r="10348">
      <c r="A10348" t="inlineStr">
        <is>
          <t xml:space="preserve">Nippon India Mutual Fund</t>
        </is>
      </c>
      <c r="B10348" t="inlineStr">
        <is>
          <t xml:space="preserve">Reliance Capital Builder Fund- Series C- Direct Plan- Dividend Payout Option</t>
        </is>
      </c>
      <c r="C10348" t="inlineStr">
        <is>
          <t xml:space="preserve">INF204KA1UE6</t>
        </is>
      </c>
    </row>
    <row r="10349">
      <c r="A10349" t="inlineStr">
        <is>
          <t xml:space="preserve">Nippon India Mutual Fund</t>
        </is>
      </c>
      <c r="B10349" t="inlineStr">
        <is>
          <t xml:space="preserve">Reliance Capital Builder Fund- Series C- Direct Plan- Growth Option</t>
        </is>
      </c>
      <c r="C10349" t="inlineStr">
        <is>
          <t xml:space="preserve">INF204KA1UD8</t>
        </is>
      </c>
    </row>
    <row r="10350">
      <c r="A10350" t="inlineStr">
        <is>
          <t xml:space="preserve">Nippon India Mutual Fund</t>
        </is>
      </c>
      <c r="B10350" t="inlineStr">
        <is>
          <t xml:space="preserve">Reliance Capital Builder Fund- Series C- Dividend Payout Option</t>
        </is>
      </c>
      <c r="C10350" t="inlineStr">
        <is>
          <t xml:space="preserve">INF204KA1UC0</t>
        </is>
      </c>
    </row>
    <row r="10351">
      <c r="A10351" t="inlineStr">
        <is>
          <t xml:space="preserve">Nippon India Mutual Fund</t>
        </is>
      </c>
      <c r="B10351" t="inlineStr">
        <is>
          <t xml:space="preserve">Reliance Capital Builder Fund- Series C- Growth Option</t>
        </is>
      </c>
      <c r="C10351" t="inlineStr">
        <is>
          <t xml:space="preserve">INF204KA1UB2</t>
        </is>
      </c>
    </row>
    <row r="10352">
      <c r="A10352" t="inlineStr">
        <is>
          <t xml:space="preserve">Nippon India Mutual Fund</t>
        </is>
      </c>
      <c r="B10352" t="inlineStr">
        <is>
          <t xml:space="preserve">Reliance Close Ended Equity Fund - Series A - Direct Plan - Dividend Payout Option</t>
        </is>
      </c>
      <c r="C10352" t="inlineStr">
        <is>
          <t xml:space="preserve">INF204K018R7</t>
        </is>
      </c>
    </row>
    <row r="10353">
      <c r="A10353" t="inlineStr">
        <is>
          <t xml:space="preserve">Nippon India Mutual Fund</t>
        </is>
      </c>
      <c r="B10353" t="inlineStr">
        <is>
          <t xml:space="preserve">Reliance Close Ended Equity Fund - Series A - Direct Plan - Growth Option</t>
        </is>
      </c>
      <c r="C10353" t="inlineStr">
        <is>
          <t xml:space="preserve">INF204K017R9</t>
        </is>
      </c>
    </row>
    <row r="10354">
      <c r="A10354" t="inlineStr">
        <is>
          <t xml:space="preserve">Nippon India Mutual Fund</t>
        </is>
      </c>
      <c r="B10354" t="inlineStr">
        <is>
          <t xml:space="preserve">Reliance Close Ended Equity Fund - Series A - Dividend Payout Option</t>
        </is>
      </c>
      <c r="C10354" t="inlineStr">
        <is>
          <t xml:space="preserve">INF204K016R1</t>
        </is>
      </c>
    </row>
    <row r="10355">
      <c r="A10355" t="inlineStr">
        <is>
          <t xml:space="preserve">Nippon India Mutual Fund</t>
        </is>
      </c>
      <c r="B10355" t="inlineStr">
        <is>
          <t xml:space="preserve">Reliance Close Ended Equity Fund - Series A - Growth Option</t>
        </is>
      </c>
      <c r="C10355" t="inlineStr">
        <is>
          <t xml:space="preserve">INF204K015R3</t>
        </is>
      </c>
    </row>
    <row r="10356">
      <c r="A10356" t="inlineStr">
        <is>
          <t xml:space="preserve">Nippon India Mutual Fund</t>
        </is>
      </c>
      <c r="B10356" t="inlineStr">
        <is>
          <t xml:space="preserve">Reliance Close Ended Equity Fund - Series B - Direct Plan - Dividend Payout Option</t>
        </is>
      </c>
      <c r="C10356" t="inlineStr">
        <is>
          <t xml:space="preserve">INF204K012S8</t>
        </is>
      </c>
    </row>
    <row r="10357">
      <c r="A10357" t="inlineStr">
        <is>
          <t xml:space="preserve">Nippon India Mutual Fund</t>
        </is>
      </c>
      <c r="B10357" t="inlineStr">
        <is>
          <t xml:space="preserve">Reliance Close Ended Equity Fund - Series B - Direct Plan - Growth Option</t>
        </is>
      </c>
      <c r="C10357" t="inlineStr">
        <is>
          <t xml:space="preserve">INF204K011S0</t>
        </is>
      </c>
    </row>
    <row r="10358">
      <c r="A10358" t="inlineStr">
        <is>
          <t xml:space="preserve">Nippon India Mutual Fund</t>
        </is>
      </c>
      <c r="B10358" t="inlineStr">
        <is>
          <t xml:space="preserve">Reliance Close Ended Equity Fund - Series B - Dividend Payout Option</t>
        </is>
      </c>
      <c r="C10358" t="inlineStr">
        <is>
          <t xml:space="preserve">INF204K010S2</t>
        </is>
      </c>
    </row>
    <row r="10359">
      <c r="A10359" t="inlineStr">
        <is>
          <t xml:space="preserve">Nippon India Mutual Fund</t>
        </is>
      </c>
      <c r="B10359" t="inlineStr">
        <is>
          <t xml:space="preserve">Reliance Close Ended Equity Fund - Series B - Growth Option</t>
        </is>
      </c>
      <c r="C10359" t="inlineStr">
        <is>
          <t xml:space="preserve">INF204K019R5</t>
        </is>
      </c>
    </row>
    <row r="10360">
      <c r="A10360" t="inlineStr">
        <is>
          <t xml:space="preserve">Nippon India Mutual Fund</t>
        </is>
      </c>
      <c r="B10360" t="inlineStr">
        <is>
          <t xml:space="preserve">Reliance Close Ended Equity Fund II- Series A- Direct Plan- Dividend Payout Option</t>
        </is>
      </c>
      <c r="C10360" t="inlineStr">
        <is>
          <t xml:space="preserve">INF204KA1OW1</t>
        </is>
      </c>
    </row>
    <row r="10361">
      <c r="A10361" t="inlineStr">
        <is>
          <t xml:space="preserve">Nippon India Mutual Fund</t>
        </is>
      </c>
      <c r="B10361" t="inlineStr">
        <is>
          <t xml:space="preserve">Reliance Close Ended Equity Fund II- Series A- Direct Plan- Growth Option</t>
        </is>
      </c>
      <c r="C10361" t="inlineStr">
        <is>
          <t xml:space="preserve">INF204KA1OV3</t>
        </is>
      </c>
    </row>
    <row r="10362">
      <c r="A10362" t="inlineStr">
        <is>
          <t xml:space="preserve">Nippon India Mutual Fund</t>
        </is>
      </c>
      <c r="B10362" t="inlineStr">
        <is>
          <t xml:space="preserve">Reliance Close Ended Equity Fund II- Series A- Dividend Payout Option</t>
        </is>
      </c>
      <c r="C10362" t="inlineStr">
        <is>
          <t xml:space="preserve">INF204KA1OU5</t>
        </is>
      </c>
    </row>
    <row r="10363">
      <c r="A10363" t="inlineStr">
        <is>
          <t xml:space="preserve">Nippon India Mutual Fund</t>
        </is>
      </c>
      <c r="B10363" t="inlineStr">
        <is>
          <t xml:space="preserve">Reliance Close Ended Equity Fund II- Series A- Growth Option</t>
        </is>
      </c>
      <c r="C10363" t="inlineStr">
        <is>
          <t xml:space="preserve">INF204KA1OT7</t>
        </is>
      </c>
    </row>
    <row r="10364">
      <c r="A10364" t="inlineStr">
        <is>
          <t xml:space="preserve">Nippon India Mutual Fund</t>
        </is>
      </c>
      <c r="B10364" t="inlineStr">
        <is>
          <t xml:space="preserve">Reliance Dual Advantage Fixed Tenure Fund - II - Plan A - Dividend Payout Option</t>
        </is>
      </c>
      <c r="C10364" t="inlineStr">
        <is>
          <t xml:space="preserve">INF204KA1H68</t>
        </is>
      </c>
    </row>
    <row r="10365">
      <c r="A10365" t="inlineStr">
        <is>
          <t xml:space="preserve">Nippon India Mutual Fund</t>
        </is>
      </c>
      <c r="B10365" t="inlineStr">
        <is>
          <t xml:space="preserve">Reliance Dual Advantage Fixed Tenure Fund - II - Plan A - Growth Option</t>
        </is>
      </c>
      <c r="C10365" t="inlineStr">
        <is>
          <t xml:space="preserve">INF204KA1H50</t>
        </is>
      </c>
    </row>
    <row r="10366">
      <c r="A10366" t="inlineStr">
        <is>
          <t xml:space="preserve">Nippon India Mutual Fund</t>
        </is>
      </c>
      <c r="B10366" t="inlineStr">
        <is>
          <t xml:space="preserve">Reliance Dual Advantage Fixed Tenure Fund II - Plan B - Dividend Payout Option</t>
        </is>
      </c>
      <c r="C10366" t="inlineStr">
        <is>
          <t xml:space="preserve">INF204K01RS4</t>
        </is>
      </c>
    </row>
    <row r="10367">
      <c r="A10367" t="inlineStr">
        <is>
          <t xml:space="preserve">Nippon India Mutual Fund</t>
        </is>
      </c>
      <c r="B10367" t="inlineStr">
        <is>
          <t xml:space="preserve">Reliance Dual Advantage Fixed Tenure Fund II - Plan C - Dividend Payout Option</t>
        </is>
      </c>
      <c r="C10367" t="inlineStr">
        <is>
          <t xml:space="preserve">INF204KA1X68</t>
        </is>
      </c>
    </row>
    <row r="10368">
      <c r="A10368" t="inlineStr">
        <is>
          <t xml:space="preserve">Nippon India Mutual Fund</t>
        </is>
      </c>
      <c r="B10368" t="inlineStr">
        <is>
          <t xml:space="preserve">Reliance Dual Advantage Fixed Tenure Fund II - Plan C - Growth Option</t>
        </is>
      </c>
      <c r="C10368" t="inlineStr">
        <is>
          <t xml:space="preserve">INF204KA1X50</t>
        </is>
      </c>
    </row>
    <row r="10369">
      <c r="A10369" t="inlineStr">
        <is>
          <t xml:space="preserve">Nippon India Mutual Fund</t>
        </is>
      </c>
      <c r="B10369" t="inlineStr">
        <is>
          <t xml:space="preserve">Reliance Dual Advantage Fixed Tenure Fund II - Plan D - Dividend Payout Option</t>
        </is>
      </c>
      <c r="C10369" t="inlineStr">
        <is>
          <t xml:space="preserve">INF204K01RW6</t>
        </is>
      </c>
    </row>
    <row r="10370">
      <c r="A10370" t="inlineStr">
        <is>
          <t xml:space="preserve">Nippon India Mutual Fund</t>
        </is>
      </c>
      <c r="B10370" t="inlineStr">
        <is>
          <t xml:space="preserve">Reliance Dual Advantage Fixed Tenure Fund II - Plan D - Growth Option</t>
        </is>
      </c>
      <c r="C10370" t="inlineStr">
        <is>
          <t xml:space="preserve">INF204K01RV8</t>
        </is>
      </c>
    </row>
    <row r="10371">
      <c r="A10371" t="inlineStr">
        <is>
          <t xml:space="preserve">Nippon India Mutual Fund</t>
        </is>
      </c>
      <c r="B10371" t="inlineStr">
        <is>
          <t xml:space="preserve">Reliance Dual Advantage Fixed Tenure Fund II - Plan E - Dividend Payout Option</t>
        </is>
      </c>
      <c r="C10371" t="inlineStr">
        <is>
          <t xml:space="preserve">INF204K01RY2</t>
        </is>
      </c>
    </row>
    <row r="10372">
      <c r="A10372" t="inlineStr">
        <is>
          <t xml:space="preserve">Nippon India Mutual Fund</t>
        </is>
      </c>
      <c r="B10372" t="inlineStr">
        <is>
          <t xml:space="preserve">Reliance Dual Advantage Fixed Tenure Fund II - Plan E - Growth Option</t>
        </is>
      </c>
      <c r="C10372" t="inlineStr">
        <is>
          <t xml:space="preserve">INF204K01RX4</t>
        </is>
      </c>
    </row>
    <row r="10373">
      <c r="A10373" t="inlineStr">
        <is>
          <t xml:space="preserve">Nippon India Mutual Fund</t>
        </is>
      </c>
      <c r="B10373" t="inlineStr">
        <is>
          <t xml:space="preserve">Reliance Dual Advantage Fixed Tenure Fund II - Plan G - Dividend Payout Option</t>
        </is>
      </c>
      <c r="C10373" t="inlineStr">
        <is>
          <t xml:space="preserve">INF204K01SC6</t>
        </is>
      </c>
    </row>
    <row r="10374">
      <c r="A10374" t="inlineStr">
        <is>
          <t xml:space="preserve">Nippon India Mutual Fund</t>
        </is>
      </c>
      <c r="B10374" t="inlineStr">
        <is>
          <t xml:space="preserve">Reliance Dual Advantage Fixed Tenure Fund II - Plan G - Growth Option</t>
        </is>
      </c>
      <c r="C10374" t="inlineStr">
        <is>
          <t xml:space="preserve">INF204K01SB8</t>
        </is>
      </c>
    </row>
    <row r="10375">
      <c r="A10375" t="inlineStr">
        <is>
          <t xml:space="preserve">Nippon India Mutual Fund</t>
        </is>
      </c>
      <c r="B10375" t="inlineStr">
        <is>
          <t xml:space="preserve">Reliance Dual Advantage Fixed Tenure Fund II - Plan H - Dividend Payout Option</t>
        </is>
      </c>
      <c r="C10375" t="inlineStr">
        <is>
          <t xml:space="preserve">INF204K01SE2</t>
        </is>
      </c>
    </row>
    <row r="10376">
      <c r="A10376" t="inlineStr">
        <is>
          <t xml:space="preserve">Nippon India Mutual Fund</t>
        </is>
      </c>
      <c r="B10376" t="inlineStr">
        <is>
          <t xml:space="preserve">Reliance Dual Advantage Fixed Tenure Fund II - Plan H - Growth Option</t>
        </is>
      </c>
      <c r="C10376" t="inlineStr">
        <is>
          <t xml:space="preserve">INF204K01SD4</t>
        </is>
      </c>
    </row>
    <row r="10377">
      <c r="A10377" t="inlineStr">
        <is>
          <t xml:space="preserve">Nippon India Mutual Fund</t>
        </is>
      </c>
      <c r="B10377" t="inlineStr">
        <is>
          <t xml:space="preserve">Reliance Dual Advantage Fixed Tenure Fund III - Plan A - Direct Plan - Dividend Payout Option</t>
        </is>
      </c>
      <c r="C10377" t="inlineStr">
        <is>
          <t xml:space="preserve">INF204K01M96</t>
        </is>
      </c>
    </row>
    <row r="10378">
      <c r="A10378" t="inlineStr">
        <is>
          <t xml:space="preserve">Nippon India Mutual Fund</t>
        </is>
      </c>
      <c r="B10378" t="inlineStr">
        <is>
          <t xml:space="preserve">Reliance Dual Advantage Fixed Tenure Fund III - Plan A - Direct Plan - Growth Option</t>
        </is>
      </c>
      <c r="C10378" t="inlineStr">
        <is>
          <t xml:space="preserve">INF204K01M88</t>
        </is>
      </c>
    </row>
    <row r="10379">
      <c r="A10379" t="inlineStr">
        <is>
          <t xml:space="preserve">Nippon India Mutual Fund</t>
        </is>
      </c>
      <c r="B10379" t="inlineStr">
        <is>
          <t xml:space="preserve">Reliance Dual Advantage Fixed Tenure Fund III - Plan A - Dividend Payout Option</t>
        </is>
      </c>
      <c r="C10379" t="inlineStr">
        <is>
          <t xml:space="preserve">INF204K01M70</t>
        </is>
      </c>
    </row>
    <row r="10380">
      <c r="A10380" t="inlineStr">
        <is>
          <t xml:space="preserve">Nippon India Mutual Fund</t>
        </is>
      </c>
      <c r="B10380" t="inlineStr">
        <is>
          <t xml:space="preserve">Reliance Dual Advantage Fixed Tenure Fund III - Plan A - Growth Option</t>
        </is>
      </c>
      <c r="C10380" t="inlineStr">
        <is>
          <t xml:space="preserve">INF204K01M62</t>
        </is>
      </c>
    </row>
    <row r="10381">
      <c r="A10381" t="inlineStr">
        <is>
          <t xml:space="preserve">Nippon India Mutual Fund</t>
        </is>
      </c>
      <c r="B10381" t="inlineStr">
        <is>
          <t xml:space="preserve">Reliance Dual Advantage Fixed Tenure Fund III - Plan B - Direct Plan - Dividend Payout Option</t>
        </is>
      </c>
      <c r="C10381" t="inlineStr">
        <is>
          <t xml:space="preserve">INF204K01N38</t>
        </is>
      </c>
    </row>
    <row r="10382">
      <c r="A10382" t="inlineStr">
        <is>
          <t xml:space="preserve">Nippon India Mutual Fund</t>
        </is>
      </c>
      <c r="B10382" t="inlineStr">
        <is>
          <t xml:space="preserve">Reliance Dual Advantage Fixed Tenure Fund III - Plan B - Direct Plan - Growth Option</t>
        </is>
      </c>
      <c r="C10382" t="inlineStr">
        <is>
          <t xml:space="preserve">INF204K01N20</t>
        </is>
      </c>
    </row>
    <row r="10383">
      <c r="A10383" t="inlineStr">
        <is>
          <t xml:space="preserve">Nippon India Mutual Fund</t>
        </is>
      </c>
      <c r="B10383" t="inlineStr">
        <is>
          <t xml:space="preserve">Reliance Dual Advantage Fixed Tenure Fund III - Plan B - Dividend Payout Option</t>
        </is>
      </c>
      <c r="C10383" t="inlineStr">
        <is>
          <t xml:space="preserve">INF204K01N12</t>
        </is>
      </c>
    </row>
    <row r="10384">
      <c r="A10384" t="inlineStr">
        <is>
          <t xml:space="preserve">Nippon India Mutual Fund</t>
        </is>
      </c>
      <c r="B10384" t="inlineStr">
        <is>
          <t xml:space="preserve">Reliance Dual Advantage Fixed Tenure Fund III - Plan B - Growth Option</t>
        </is>
      </c>
      <c r="C10384" t="inlineStr">
        <is>
          <t xml:space="preserve">INF204K01N04</t>
        </is>
      </c>
    </row>
    <row r="10385">
      <c r="A10385" t="inlineStr">
        <is>
          <t xml:space="preserve">Nippon India Mutual Fund</t>
        </is>
      </c>
      <c r="B10385" t="inlineStr">
        <is>
          <t xml:space="preserve">Reliance Dual Advantage Fixed Tenure Fund III - Plan C - Direct Plan - Dividend Option</t>
        </is>
      </c>
      <c r="C10385" t="inlineStr">
        <is>
          <t xml:space="preserve">INF204K01N79</t>
        </is>
      </c>
    </row>
    <row r="10386">
      <c r="A10386" t="inlineStr">
        <is>
          <t xml:space="preserve">Nippon India Mutual Fund</t>
        </is>
      </c>
      <c r="B10386" t="inlineStr">
        <is>
          <t xml:space="preserve">Reliance Dual Advantage Fixed Tenure Fund III - Plan C - Dividend Option</t>
        </is>
      </c>
      <c r="C10386" t="inlineStr">
        <is>
          <t xml:space="preserve">INF204K01N53</t>
        </is>
      </c>
    </row>
    <row r="10387">
      <c r="A10387" t="inlineStr">
        <is>
          <t xml:space="preserve">Nippon India Mutual Fund</t>
        </is>
      </c>
      <c r="B10387" t="inlineStr">
        <is>
          <t xml:space="preserve">Reliance Dual Advantage Fixed Tenure Fund III - Plan C - Growth Option</t>
        </is>
      </c>
      <c r="C10387" t="inlineStr">
        <is>
          <t xml:space="preserve">INF204K01N46</t>
        </is>
      </c>
    </row>
    <row r="10388">
      <c r="A10388" t="inlineStr">
        <is>
          <t xml:space="preserve">Nippon India Mutual Fund</t>
        </is>
      </c>
      <c r="B10388" t="inlineStr">
        <is>
          <t xml:space="preserve">Reliance Dual Advantage Fixed Tenure Fund III - Plan D - Direct Plan - Dividend Payout Option</t>
        </is>
      </c>
      <c r="C10388" t="inlineStr">
        <is>
          <t xml:space="preserve">INF204K01O11</t>
        </is>
      </c>
    </row>
    <row r="10389">
      <c r="A10389" t="inlineStr">
        <is>
          <t xml:space="preserve">Nippon India Mutual Fund</t>
        </is>
      </c>
      <c r="B10389" t="inlineStr">
        <is>
          <t xml:space="preserve">Reliance Dual Advantage Fixed Tenure Fund III - Plan D - Direct Plan - Growth Option</t>
        </is>
      </c>
      <c r="C10389" t="inlineStr">
        <is>
          <t xml:space="preserve">INF204K01O03</t>
        </is>
      </c>
    </row>
    <row r="10390">
      <c r="A10390" t="inlineStr">
        <is>
          <t xml:space="preserve">Nippon India Mutual Fund</t>
        </is>
      </c>
      <c r="B10390" t="inlineStr">
        <is>
          <t xml:space="preserve">Reliance Dual Advantage Fixed Tenure Fund III - Plan D - Dividend Payout Option</t>
        </is>
      </c>
      <c r="C10390" t="inlineStr">
        <is>
          <t xml:space="preserve">INF204K01N95</t>
        </is>
      </c>
    </row>
    <row r="10391">
      <c r="A10391" t="inlineStr">
        <is>
          <t xml:space="preserve">Nippon India Mutual Fund</t>
        </is>
      </c>
      <c r="B10391" t="inlineStr">
        <is>
          <t xml:space="preserve">Reliance Dual Advantage Fixed Tenure Fund III - Plan D - Growth Option</t>
        </is>
      </c>
      <c r="C10391" t="inlineStr">
        <is>
          <t xml:space="preserve">INF204K01N87</t>
        </is>
      </c>
    </row>
    <row r="10392">
      <c r="A10392" t="inlineStr">
        <is>
          <t xml:space="preserve">Nippon India Mutual Fund</t>
        </is>
      </c>
      <c r="B10392" t="inlineStr">
        <is>
          <t xml:space="preserve">Reliance Dual Advantage Fixed Tenure Fund III -Plan C- Direct Plan - Growth Option</t>
        </is>
      </c>
      <c r="C10392" t="inlineStr">
        <is>
          <t xml:space="preserve">INF204K01N61</t>
        </is>
      </c>
    </row>
    <row r="10393">
      <c r="A10393" t="inlineStr">
        <is>
          <t xml:space="preserve">Nippon India Mutual Fund</t>
        </is>
      </c>
      <c r="B10393" t="inlineStr">
        <is>
          <t xml:space="preserve">Reliance Dual Advantage Fixed Tenure Fund IV - Plan A - Direct Plan -Growth Option</t>
        </is>
      </c>
      <c r="C10393" t="inlineStr">
        <is>
          <t xml:space="preserve">INF204KA1669</t>
        </is>
      </c>
    </row>
    <row r="10394">
      <c r="A10394" t="inlineStr">
        <is>
          <t xml:space="preserve">Nippon India Mutual Fund</t>
        </is>
      </c>
      <c r="B10394" t="inlineStr">
        <is>
          <t xml:space="preserve">Reliance Dual Advantage Fixed Tenure Fund IV - Plan A - Direct Plan- Dividend Payout option</t>
        </is>
      </c>
      <c r="C10394" t="inlineStr">
        <is>
          <t xml:space="preserve">INF204KA1677</t>
        </is>
      </c>
    </row>
    <row r="10395">
      <c r="A10395" t="inlineStr">
        <is>
          <t xml:space="preserve">Nippon India Mutual Fund</t>
        </is>
      </c>
      <c r="B10395" t="inlineStr">
        <is>
          <t xml:space="preserve">Reliance Dual Advantage Fixed Tenure Fund IV - Plan A - Dividend Option</t>
        </is>
      </c>
      <c r="C10395" t="inlineStr">
        <is>
          <t xml:space="preserve">INF204KA1651</t>
        </is>
      </c>
    </row>
    <row r="10396">
      <c r="A10396" t="inlineStr">
        <is>
          <t xml:space="preserve">Nippon India Mutual Fund</t>
        </is>
      </c>
      <c r="B10396" t="inlineStr">
        <is>
          <t xml:space="preserve">Reliance Dual Advantage Fixed Tenure Fund IV - Plan A - Growth Option</t>
        </is>
      </c>
      <c r="C10396" t="inlineStr">
        <is>
          <t xml:space="preserve">INF204KA1644</t>
        </is>
      </c>
    </row>
    <row r="10397">
      <c r="A10397" t="inlineStr">
        <is>
          <t xml:space="preserve">Nippon India Mutual Fund</t>
        </is>
      </c>
      <c r="B10397" t="inlineStr">
        <is>
          <t xml:space="preserve">Reliance Dual Advantage Fixed Tenure Fund IV - Plan B - Direct Plan - Growth Option</t>
        </is>
      </c>
      <c r="C10397" t="inlineStr">
        <is>
          <t xml:space="preserve">INF204KA1701</t>
        </is>
      </c>
    </row>
    <row r="10398">
      <c r="A10398" t="inlineStr">
        <is>
          <t xml:space="preserve">Nippon India Mutual Fund</t>
        </is>
      </c>
      <c r="B10398" t="inlineStr">
        <is>
          <t xml:space="preserve">Reliance Dual Advantage Fixed Tenure Fund IV - Plan B - Dividend Payout Option</t>
        </is>
      </c>
      <c r="C10398" t="inlineStr">
        <is>
          <t xml:space="preserve">INF204KA1693</t>
        </is>
      </c>
    </row>
    <row r="10399">
      <c r="A10399" t="inlineStr">
        <is>
          <t xml:space="preserve">Nippon India Mutual Fund</t>
        </is>
      </c>
      <c r="B10399" t="inlineStr">
        <is>
          <t xml:space="preserve">Reliance Dual Advantage Fixed Tenure Fund IV - Plan B - Growth Option</t>
        </is>
      </c>
      <c r="C10399" t="inlineStr">
        <is>
          <t xml:space="preserve">INF204KA1685</t>
        </is>
      </c>
    </row>
    <row r="10400">
      <c r="A10400" t="inlineStr">
        <is>
          <t xml:space="preserve">Nippon India Mutual Fund</t>
        </is>
      </c>
      <c r="B10400" t="inlineStr">
        <is>
          <t xml:space="preserve">Reliance Dual Advantage Fixed Tenure Fund IV - Plan C - Direct Plan - Dividend Payout Option</t>
        </is>
      </c>
      <c r="C10400" t="inlineStr">
        <is>
          <t xml:space="preserve">INF204KA1750</t>
        </is>
      </c>
    </row>
    <row r="10401">
      <c r="A10401" t="inlineStr">
        <is>
          <t xml:space="preserve">Nippon India Mutual Fund</t>
        </is>
      </c>
      <c r="B10401" t="inlineStr">
        <is>
          <t xml:space="preserve">Reliance Dual Advantage Fixed Tenure Fund IV - Plan C - Direct Plan - Growth Option</t>
        </is>
      </c>
      <c r="C10401" t="inlineStr">
        <is>
          <t xml:space="preserve">INF204KA1743</t>
        </is>
      </c>
    </row>
    <row r="10402">
      <c r="A10402" t="inlineStr">
        <is>
          <t xml:space="preserve">Nippon India Mutual Fund</t>
        </is>
      </c>
      <c r="B10402" t="inlineStr">
        <is>
          <t xml:space="preserve">Reliance Dual Advantage Fixed Tenure Fund IV - Plan C - Dividend Payout Option</t>
        </is>
      </c>
      <c r="C10402" t="inlineStr">
        <is>
          <t xml:space="preserve">INF204KA1735</t>
        </is>
      </c>
    </row>
    <row r="10403">
      <c r="A10403" t="inlineStr">
        <is>
          <t xml:space="preserve">Nippon India Mutual Fund</t>
        </is>
      </c>
      <c r="B10403" t="inlineStr">
        <is>
          <t xml:space="preserve">Reliance Dual Advantage Fixed Tenure Fund IV - Plan C - Growth Option</t>
        </is>
      </c>
      <c r="C10403" t="inlineStr">
        <is>
          <t xml:space="preserve">INF204KA1727</t>
        </is>
      </c>
    </row>
    <row r="10404">
      <c r="A10404" t="inlineStr">
        <is>
          <t xml:space="preserve">Nippon India Mutual Fund</t>
        </is>
      </c>
      <c r="B10404" t="inlineStr">
        <is>
          <t xml:space="preserve">Reliance Dual Advantage Fixed Tenure Fund IV - Plan D - Direct Plan - Dividend Payout Option</t>
        </is>
      </c>
      <c r="C10404" t="inlineStr">
        <is>
          <t xml:space="preserve">INF204KA1792</t>
        </is>
      </c>
    </row>
    <row r="10405">
      <c r="A10405" t="inlineStr">
        <is>
          <t xml:space="preserve">Nippon India Mutual Fund</t>
        </is>
      </c>
      <c r="B10405" t="inlineStr">
        <is>
          <t xml:space="preserve">Reliance Dual Advantage Fixed Tenure Fund IV - Plan D - Direct Plan - Growth Option</t>
        </is>
      </c>
      <c r="C10405" t="inlineStr">
        <is>
          <t xml:space="preserve">INF204KA1784</t>
        </is>
      </c>
    </row>
    <row r="10406">
      <c r="A10406" t="inlineStr">
        <is>
          <t xml:space="preserve">Nippon India Mutual Fund</t>
        </is>
      </c>
      <c r="B10406" t="inlineStr">
        <is>
          <t xml:space="preserve">Reliance Dual Advantage Fixed Tenure Fund IV - Plan D - Dividend Payout Option</t>
        </is>
      </c>
      <c r="C10406" t="inlineStr">
        <is>
          <t xml:space="preserve">INF204KA1776</t>
        </is>
      </c>
    </row>
    <row r="10407">
      <c r="A10407" t="inlineStr">
        <is>
          <t xml:space="preserve">Nippon India Mutual Fund</t>
        </is>
      </c>
      <c r="B10407" t="inlineStr">
        <is>
          <t xml:space="preserve">Reliance Dual Advantage Fixed Tenure Fund IV - Plan D - Growth Option</t>
        </is>
      </c>
      <c r="C10407" t="inlineStr">
        <is>
          <t xml:space="preserve">INF204KA1768</t>
        </is>
      </c>
    </row>
    <row r="10408">
      <c r="A10408" t="inlineStr">
        <is>
          <t xml:space="preserve">Nippon India Mutual Fund</t>
        </is>
      </c>
      <c r="B10408" t="inlineStr">
        <is>
          <t xml:space="preserve">Reliance Dual Advantage Fixed Tenure Fund IV - Plan E - Direct Plan - Dividend Payout Option</t>
        </is>
      </c>
      <c r="C10408" t="inlineStr">
        <is>
          <t xml:space="preserve">INF204KA1834</t>
        </is>
      </c>
    </row>
    <row r="10409">
      <c r="A10409" t="inlineStr">
        <is>
          <t xml:space="preserve">Nippon India Mutual Fund</t>
        </is>
      </c>
      <c r="B10409" t="inlineStr">
        <is>
          <t xml:space="preserve">Reliance Dual Advantage Fixed Tenure Fund IV - Plan E - Direct Plan - Growth Option</t>
        </is>
      </c>
      <c r="C10409" t="inlineStr">
        <is>
          <t xml:space="preserve">INF204KA1826</t>
        </is>
      </c>
    </row>
    <row r="10410">
      <c r="A10410" t="inlineStr">
        <is>
          <t xml:space="preserve">Nippon India Mutual Fund</t>
        </is>
      </c>
      <c r="B10410" t="inlineStr">
        <is>
          <t xml:space="preserve">Reliance Dual Advantage Fixed Tenure Fund IV - Plan E - Dividend Payout Option</t>
        </is>
      </c>
      <c r="C10410" t="inlineStr">
        <is>
          <t xml:space="preserve">INF204KA1818</t>
        </is>
      </c>
    </row>
    <row r="10411">
      <c r="A10411" t="inlineStr">
        <is>
          <t xml:space="preserve">Nippon India Mutual Fund</t>
        </is>
      </c>
      <c r="B10411" t="inlineStr">
        <is>
          <t xml:space="preserve">Reliance Dual Advantage Fixed Tenure Fund IV - Plan E - Growth Option</t>
        </is>
      </c>
      <c r="C10411" t="inlineStr">
        <is>
          <t xml:space="preserve">INF204KA1800</t>
        </is>
      </c>
    </row>
    <row r="10412">
      <c r="A10412" t="inlineStr">
        <is>
          <t xml:space="preserve">Nippon India Mutual Fund</t>
        </is>
      </c>
      <c r="B10412" t="inlineStr">
        <is>
          <t xml:space="preserve">Reliance Dual Advantage Fixed Tenure Fund IX- Plan A- Direct Plan-Dividend Payout Option</t>
        </is>
      </c>
      <c r="C10412" t="inlineStr">
        <is>
          <t xml:space="preserve">INF204KA17W8</t>
        </is>
      </c>
    </row>
    <row r="10413">
      <c r="A10413" t="inlineStr">
        <is>
          <t xml:space="preserve">Nippon India Mutual Fund</t>
        </is>
      </c>
      <c r="B10413" t="inlineStr">
        <is>
          <t xml:space="preserve">Reliance Dual Advantage Fixed Tenure Fund IX- Plan A- Direct Plan-Growth Option</t>
        </is>
      </c>
      <c r="C10413" t="inlineStr">
        <is>
          <t xml:space="preserve">INF204KA18W6</t>
        </is>
      </c>
    </row>
    <row r="10414">
      <c r="A10414" t="inlineStr">
        <is>
          <t xml:space="preserve">Nippon India Mutual Fund</t>
        </is>
      </c>
      <c r="B10414" t="inlineStr">
        <is>
          <t xml:space="preserve">Reliance Dual Advantage Fixed Tenure Fund IX- Plan A- Dividend Payout Option</t>
        </is>
      </c>
      <c r="C10414" t="inlineStr">
        <is>
          <t xml:space="preserve">INF204KA19W4</t>
        </is>
      </c>
    </row>
    <row r="10415">
      <c r="A10415" t="inlineStr">
        <is>
          <t xml:space="preserve">Nippon India Mutual Fund</t>
        </is>
      </c>
      <c r="B10415" t="inlineStr">
        <is>
          <t xml:space="preserve">Reliance Dual Advantage Fixed Tenure Fund IX- Plan A- Growth Option</t>
        </is>
      </c>
      <c r="C10415" t="inlineStr">
        <is>
          <t xml:space="preserve">INF204KA10X1</t>
        </is>
      </c>
    </row>
    <row r="10416">
      <c r="A10416" t="inlineStr">
        <is>
          <t xml:space="preserve">Nippon India Mutual Fund</t>
        </is>
      </c>
      <c r="B10416" t="inlineStr">
        <is>
          <t xml:space="preserve">Reliance Dual Advantage Fixed Tenure Fund IX- Plan B- Direct Plan-Dividend Payout Option</t>
        </is>
      </c>
      <c r="C10416" t="inlineStr">
        <is>
          <t xml:space="preserve">INF204KA15Z5</t>
        </is>
      </c>
    </row>
    <row r="10417">
      <c r="A10417" t="inlineStr">
        <is>
          <t xml:space="preserve">Nippon India Mutual Fund</t>
        </is>
      </c>
      <c r="B10417" t="inlineStr">
        <is>
          <t xml:space="preserve">Reliance Dual Advantage Fixed Tenure Fund IX- Plan B- Direct Plan-Growth Option</t>
        </is>
      </c>
      <c r="C10417" t="inlineStr">
        <is>
          <t xml:space="preserve">INF204KA16Z3</t>
        </is>
      </c>
    </row>
    <row r="10418">
      <c r="A10418" t="inlineStr">
        <is>
          <t xml:space="preserve">Nippon India Mutual Fund</t>
        </is>
      </c>
      <c r="B10418" t="inlineStr">
        <is>
          <t xml:space="preserve">Reliance Dual Advantage Fixed Tenure Fund IX- Plan B- Dividend Payout Option</t>
        </is>
      </c>
      <c r="C10418" t="inlineStr">
        <is>
          <t xml:space="preserve">INF204KA17Z1</t>
        </is>
      </c>
    </row>
    <row r="10419">
      <c r="A10419" t="inlineStr">
        <is>
          <t xml:space="preserve">Nippon India Mutual Fund</t>
        </is>
      </c>
      <c r="B10419" t="inlineStr">
        <is>
          <t xml:space="preserve">Reliance Dual Advantage Fixed Tenure Fund IX- Plan B- Growth Option</t>
        </is>
      </c>
      <c r="C10419" t="inlineStr">
        <is>
          <t xml:space="preserve">INF204KA18Z9</t>
        </is>
      </c>
    </row>
    <row r="10420">
      <c r="A10420" t="inlineStr">
        <is>
          <t xml:space="preserve">Nippon India Mutual Fund</t>
        </is>
      </c>
      <c r="B10420" t="inlineStr">
        <is>
          <t xml:space="preserve">Reliance Dual Advantage Fixed Tenure Fund IX- Plan C- Direct Plan-Dividend Payout Option</t>
        </is>
      </c>
      <c r="C10420" t="inlineStr">
        <is>
          <t xml:space="preserve">INF204KB1304</t>
        </is>
      </c>
    </row>
    <row r="10421">
      <c r="A10421" t="inlineStr">
        <is>
          <t xml:space="preserve">Nippon India Mutual Fund</t>
        </is>
      </c>
      <c r="B10421" t="inlineStr">
        <is>
          <t xml:space="preserve">Reliance Dual Advantage Fixed Tenure Fund IX- Plan C- Direct Plan-Growth Option</t>
        </is>
      </c>
      <c r="C10421" t="inlineStr">
        <is>
          <t xml:space="preserve">INF204KB1296</t>
        </is>
      </c>
    </row>
    <row r="10422">
      <c r="A10422" t="inlineStr">
        <is>
          <t xml:space="preserve">Nippon India Mutual Fund</t>
        </is>
      </c>
      <c r="B10422" t="inlineStr">
        <is>
          <t xml:space="preserve">Reliance Dual Advantage Fixed Tenure Fund IX- Plan C- Dividend Payout Option</t>
        </is>
      </c>
      <c r="C10422" t="inlineStr">
        <is>
          <t xml:space="preserve">INF204KB1304</t>
        </is>
      </c>
    </row>
    <row r="10423">
      <c r="A10423" t="inlineStr">
        <is>
          <t xml:space="preserve">Nippon India Mutual Fund</t>
        </is>
      </c>
      <c r="B10423" t="inlineStr">
        <is>
          <t xml:space="preserve">Reliance Dual Advantage Fixed Tenure Fund IX- Plan C- Growth Option</t>
        </is>
      </c>
      <c r="C10423" t="inlineStr">
        <is>
          <t xml:space="preserve">INF204KB1312</t>
        </is>
      </c>
    </row>
    <row r="10424">
      <c r="A10424" t="inlineStr">
        <is>
          <t xml:space="preserve">Nippon India Mutual Fund</t>
        </is>
      </c>
      <c r="B10424" t="inlineStr">
        <is>
          <t xml:space="preserve">Reliance Dual Advantage Fixed Tenure Fund V - Plan A - Direct Plan - Dividend Payout Option</t>
        </is>
      </c>
      <c r="C10424" t="inlineStr">
        <is>
          <t xml:space="preserve">INF204KA1HW5</t>
        </is>
      </c>
    </row>
    <row r="10425">
      <c r="A10425" t="inlineStr">
        <is>
          <t xml:space="preserve">Nippon India Mutual Fund</t>
        </is>
      </c>
      <c r="B10425" t="inlineStr">
        <is>
          <t xml:space="preserve">Reliance Dual Advantage Fixed Tenure Fund V - Plan A - Direct Plan - Growth Option</t>
        </is>
      </c>
      <c r="C10425" t="inlineStr">
        <is>
          <t xml:space="preserve">INF204KA1HV7</t>
        </is>
      </c>
    </row>
    <row r="10426">
      <c r="A10426" t="inlineStr">
        <is>
          <t xml:space="preserve">Nippon India Mutual Fund</t>
        </is>
      </c>
      <c r="B10426" t="inlineStr">
        <is>
          <t xml:space="preserve">Reliance Dual Advantage Fixed Tenure Fund V - Plan A - Dividend Payout Option</t>
        </is>
      </c>
      <c r="C10426" t="inlineStr">
        <is>
          <t xml:space="preserve">INF204KA1HU9</t>
        </is>
      </c>
    </row>
    <row r="10427">
      <c r="A10427" t="inlineStr">
        <is>
          <t xml:space="preserve">Nippon India Mutual Fund</t>
        </is>
      </c>
      <c r="B10427" t="inlineStr">
        <is>
          <t xml:space="preserve">Reliance Dual Advantage Fixed Tenure Fund V - Plan A - Growth Option</t>
        </is>
      </c>
      <c r="C10427" t="inlineStr">
        <is>
          <t xml:space="preserve">INF204KA1HT1</t>
        </is>
      </c>
    </row>
    <row r="10428">
      <c r="A10428" t="inlineStr">
        <is>
          <t xml:space="preserve">Nippon India Mutual Fund</t>
        </is>
      </c>
      <c r="B10428" t="inlineStr">
        <is>
          <t xml:space="preserve">Reliance Dual Advantage Fixed Tenure Fund V - Plan B - Direct Plan - Dividend Payout Option</t>
        </is>
      </c>
      <c r="C10428" t="inlineStr">
        <is>
          <t xml:space="preserve">INF204KA1IU7</t>
        </is>
      </c>
    </row>
    <row r="10429">
      <c r="A10429" t="inlineStr">
        <is>
          <t xml:space="preserve">Nippon India Mutual Fund</t>
        </is>
      </c>
      <c r="B10429" t="inlineStr">
        <is>
          <t xml:space="preserve">Reliance Dual Advantage Fixed Tenure Fund V - Plan B - Direct Plan - Growth Option</t>
        </is>
      </c>
      <c r="C10429" t="inlineStr">
        <is>
          <t xml:space="preserve">INF204KA1IT9</t>
        </is>
      </c>
    </row>
    <row r="10430">
      <c r="A10430" t="inlineStr">
        <is>
          <t xml:space="preserve">Nippon India Mutual Fund</t>
        </is>
      </c>
      <c r="B10430" t="inlineStr">
        <is>
          <t xml:space="preserve">Reliance Dual Advantage Fixed Tenure Fund V - Plan B - Dividend Payout Option</t>
        </is>
      </c>
      <c r="C10430" t="inlineStr">
        <is>
          <t xml:space="preserve">INF204KA1IS1</t>
        </is>
      </c>
    </row>
    <row r="10431">
      <c r="A10431" t="inlineStr">
        <is>
          <t xml:space="preserve">Nippon India Mutual Fund</t>
        </is>
      </c>
      <c r="B10431" t="inlineStr">
        <is>
          <t xml:space="preserve">Reliance Dual Advantage Fixed Tenure Fund V - Plan B - Growth Option</t>
        </is>
      </c>
      <c r="C10431" t="inlineStr">
        <is>
          <t xml:space="preserve">INF204KA1IR3</t>
        </is>
      </c>
    </row>
    <row r="10432">
      <c r="A10432" t="inlineStr">
        <is>
          <t xml:space="preserve">Nippon India Mutual Fund</t>
        </is>
      </c>
      <c r="B10432" t="inlineStr">
        <is>
          <t xml:space="preserve">Reliance Dual Advantage Fixed Tenure Fund V - Plan C -Direct Plan -Growth Option</t>
        </is>
      </c>
      <c r="C10432" t="inlineStr">
        <is>
          <t xml:space="preserve">INF204KA1IX1</t>
        </is>
      </c>
    </row>
    <row r="10433">
      <c r="A10433" t="inlineStr">
        <is>
          <t xml:space="preserve">Nippon India Mutual Fund</t>
        </is>
      </c>
      <c r="B10433" t="inlineStr">
        <is>
          <t xml:space="preserve">Reliance Dual Advantage Fixed Tenure Fund V - Plan C -Dividend Payout Option</t>
        </is>
      </c>
      <c r="C10433" t="inlineStr">
        <is>
          <t xml:space="preserve">INF204KA1IW3</t>
        </is>
      </c>
    </row>
    <row r="10434">
      <c r="A10434" t="inlineStr">
        <is>
          <t xml:space="preserve">Nippon India Mutual Fund</t>
        </is>
      </c>
      <c r="B10434" t="inlineStr">
        <is>
          <t xml:space="preserve">Reliance Dual Advantage Fixed Tenure Fund V - Plan C -Growth Option</t>
        </is>
      </c>
      <c r="C10434" t="inlineStr">
        <is>
          <t xml:space="preserve">INF204KA1IV5</t>
        </is>
      </c>
    </row>
    <row r="10435">
      <c r="A10435" t="inlineStr">
        <is>
          <t xml:space="preserve">Nippon India Mutual Fund</t>
        </is>
      </c>
      <c r="B10435" t="inlineStr">
        <is>
          <t xml:space="preserve">Reliance Dual Advantage Fixed Tenure Fund V - Plan E - Direct Plan - Dividend Payout Option</t>
        </is>
      </c>
      <c r="C10435" t="inlineStr">
        <is>
          <t xml:space="preserve">INF204KA1KU3</t>
        </is>
      </c>
    </row>
    <row r="10436">
      <c r="A10436" t="inlineStr">
        <is>
          <t xml:space="preserve">Nippon India Mutual Fund</t>
        </is>
      </c>
      <c r="B10436" t="inlineStr">
        <is>
          <t xml:space="preserve">Reliance Dual Advantage Fixed Tenure Fund V - Plan E - Direct Plan - Growth Option</t>
        </is>
      </c>
      <c r="C10436" t="inlineStr">
        <is>
          <t xml:space="preserve">INF204KA1KT5</t>
        </is>
      </c>
    </row>
    <row r="10437">
      <c r="A10437" t="inlineStr">
        <is>
          <t xml:space="preserve">Nippon India Mutual Fund</t>
        </is>
      </c>
      <c r="B10437" t="inlineStr">
        <is>
          <t xml:space="preserve">Reliance Dual Advantage Fixed Tenure Fund V - Plan E - Dividend Payout Option</t>
        </is>
      </c>
      <c r="C10437" t="inlineStr">
        <is>
          <t xml:space="preserve">INF204KA1KS7</t>
        </is>
      </c>
    </row>
    <row r="10438">
      <c r="A10438" t="inlineStr">
        <is>
          <t xml:space="preserve">Nippon India Mutual Fund</t>
        </is>
      </c>
      <c r="B10438" t="inlineStr">
        <is>
          <t xml:space="preserve">Reliance Dual Advantage Fixed Tenure Fund V - Plan E - Growth Option</t>
        </is>
      </c>
      <c r="C10438" t="inlineStr">
        <is>
          <t xml:space="preserve">INF204KA1KR9</t>
        </is>
      </c>
    </row>
    <row r="10439">
      <c r="A10439" t="inlineStr">
        <is>
          <t xml:space="preserve">Nippon India Mutual Fund</t>
        </is>
      </c>
      <c r="B10439" t="inlineStr">
        <is>
          <t xml:space="preserve">Reliance Dual Advantage Fixed Tenure Fund V - Plan F- Direct Plan - Dividend Payout Option</t>
        </is>
      </c>
      <c r="C10439" t="inlineStr">
        <is>
          <t xml:space="preserve">INF204KA1MB9</t>
        </is>
      </c>
    </row>
    <row r="10440">
      <c r="A10440" t="inlineStr">
        <is>
          <t xml:space="preserve">Nippon India Mutual Fund</t>
        </is>
      </c>
      <c r="B10440" t="inlineStr">
        <is>
          <t xml:space="preserve">Reliance Dual Advantage Fixed Tenure Fund V - Plan F- Direct Plan - Growth Option</t>
        </is>
      </c>
      <c r="C10440" t="inlineStr">
        <is>
          <t xml:space="preserve">INF204KA1MA1</t>
        </is>
      </c>
    </row>
    <row r="10441">
      <c r="A10441" t="inlineStr">
        <is>
          <t xml:space="preserve">Nippon India Mutual Fund</t>
        </is>
      </c>
      <c r="B10441" t="inlineStr">
        <is>
          <t xml:space="preserve">Reliance Dual Advantage Fixed Tenure Fund V - Plan F- Dividend Payout Option</t>
        </is>
      </c>
      <c r="C10441" t="inlineStr">
        <is>
          <t xml:space="preserve">INF204KA1LZ0</t>
        </is>
      </c>
    </row>
    <row r="10442">
      <c r="A10442" t="inlineStr">
        <is>
          <t xml:space="preserve">Nippon India Mutual Fund</t>
        </is>
      </c>
      <c r="B10442" t="inlineStr">
        <is>
          <t xml:space="preserve">Reliance Dual Advantage Fixed Tenure Fund V - Plan F- Growth Option</t>
        </is>
      </c>
      <c r="C10442" t="inlineStr">
        <is>
          <t xml:space="preserve">INF204KA1LY3</t>
        </is>
      </c>
    </row>
    <row r="10443">
      <c r="A10443" t="inlineStr">
        <is>
          <t xml:space="preserve">Nippon India Mutual Fund</t>
        </is>
      </c>
      <c r="B10443" t="inlineStr">
        <is>
          <t xml:space="preserve">Reliance Dual Advantage Fixed Tenure Fund V- Plan G- Direct Plan - Dividend Payout Option</t>
        </is>
      </c>
      <c r="C10443" t="inlineStr">
        <is>
          <t xml:space="preserve">INF204KA1NA9</t>
        </is>
      </c>
    </row>
    <row r="10444">
      <c r="A10444" t="inlineStr">
        <is>
          <t xml:space="preserve">Nippon India Mutual Fund</t>
        </is>
      </c>
      <c r="B10444" t="inlineStr">
        <is>
          <t xml:space="preserve">Reliance Dual Advantage Fixed Tenure Fund V- Plan G- Direct Plan - Growth Option</t>
        </is>
      </c>
      <c r="C10444" t="inlineStr">
        <is>
          <t xml:space="preserve">INF204KA1MZ8</t>
        </is>
      </c>
    </row>
    <row r="10445">
      <c r="A10445" t="inlineStr">
        <is>
          <t xml:space="preserve">Nippon India Mutual Fund</t>
        </is>
      </c>
      <c r="B10445" t="inlineStr">
        <is>
          <t xml:space="preserve">Reliance Dual Advantage Fixed Tenure Fund V- Plan G- Dividend Payout Option</t>
        </is>
      </c>
      <c r="C10445" t="inlineStr">
        <is>
          <t xml:space="preserve">INF204KA1MY1</t>
        </is>
      </c>
    </row>
    <row r="10446">
      <c r="A10446" t="inlineStr">
        <is>
          <t xml:space="preserve">Nippon India Mutual Fund</t>
        </is>
      </c>
      <c r="B10446" t="inlineStr">
        <is>
          <t xml:space="preserve">Reliance Dual Advantage Fixed Tenure Fund V- Plan G- Growth Option</t>
        </is>
      </c>
      <c r="C10446" t="inlineStr">
        <is>
          <t xml:space="preserve">INF204KA1MX3</t>
        </is>
      </c>
    </row>
    <row r="10447">
      <c r="A10447" t="inlineStr">
        <is>
          <t xml:space="preserve">Nippon India Mutual Fund</t>
        </is>
      </c>
      <c r="B10447" t="inlineStr">
        <is>
          <t xml:space="preserve">Reliance Dual Advantage Fixed Tenure Fund V- Plan H- Direct Plan- Dividend payout option</t>
        </is>
      </c>
      <c r="C10447" t="inlineStr">
        <is>
          <t xml:space="preserve">INF204KA1PM9</t>
        </is>
      </c>
    </row>
    <row r="10448">
      <c r="A10448" t="inlineStr">
        <is>
          <t xml:space="preserve">Nippon India Mutual Fund</t>
        </is>
      </c>
      <c r="B10448" t="inlineStr">
        <is>
          <t xml:space="preserve">Reliance Dual Advantage Fixed Tenure Fund V- Plan H- Direct Plan- Growth Option</t>
        </is>
      </c>
      <c r="C10448" t="inlineStr">
        <is>
          <t xml:space="preserve">INF204KA1PL1</t>
        </is>
      </c>
    </row>
    <row r="10449">
      <c r="A10449" t="inlineStr">
        <is>
          <t xml:space="preserve">Nippon India Mutual Fund</t>
        </is>
      </c>
      <c r="B10449" t="inlineStr">
        <is>
          <t xml:space="preserve">Reliance Dual Advantage Fixed Tenure Fund V- Plan H- Dividend Payout Option</t>
        </is>
      </c>
      <c r="C10449" t="inlineStr">
        <is>
          <t xml:space="preserve">INF204KA1PK3</t>
        </is>
      </c>
    </row>
    <row r="10450">
      <c r="A10450" t="inlineStr">
        <is>
          <t xml:space="preserve">Nippon India Mutual Fund</t>
        </is>
      </c>
      <c r="B10450" t="inlineStr">
        <is>
          <t xml:space="preserve">Reliance Dual Advantage Fixed Tenure Fund V- Plan H- Growth Option</t>
        </is>
      </c>
      <c r="C10450" t="inlineStr">
        <is>
          <t xml:space="preserve">INF204KA1PJ5</t>
        </is>
      </c>
    </row>
    <row r="10451">
      <c r="A10451" t="inlineStr">
        <is>
          <t xml:space="preserve">Nippon India Mutual Fund</t>
        </is>
      </c>
      <c r="B10451" t="inlineStr">
        <is>
          <t xml:space="preserve">Reliance Dual Advantage Fixed Tenure Fund VI Plan D- Growth Option</t>
        </is>
      </c>
      <c r="C10451" t="inlineStr">
        <is>
          <t xml:space="preserve">INF204KA1UO5</t>
        </is>
      </c>
    </row>
    <row r="10452">
      <c r="A10452" t="inlineStr">
        <is>
          <t xml:space="preserve">Nippon India Mutual Fund</t>
        </is>
      </c>
      <c r="B10452" t="inlineStr">
        <is>
          <t xml:space="preserve">Reliance Dual Advantage Fixed Tenure Fund VI- Plan A- Direct Plan- Growth Option</t>
        </is>
      </c>
      <c r="C10452" t="inlineStr">
        <is>
          <t xml:space="preserve">INF204KA1RQ6</t>
        </is>
      </c>
    </row>
    <row r="10453">
      <c r="A10453" t="inlineStr">
        <is>
          <t xml:space="preserve">Nippon India Mutual Fund</t>
        </is>
      </c>
      <c r="B10453" t="inlineStr">
        <is>
          <t xml:space="preserve">Reliance Dual Advantage Fixed Tenure Fund VI- Plan A- Growth Option</t>
        </is>
      </c>
      <c r="C10453" t="inlineStr">
        <is>
          <t xml:space="preserve">INF204KA1RO1</t>
        </is>
      </c>
    </row>
    <row r="10454">
      <c r="A10454" t="inlineStr">
        <is>
          <t xml:space="preserve">Nippon India Mutual Fund</t>
        </is>
      </c>
      <c r="B10454" t="inlineStr">
        <is>
          <t xml:space="preserve">Reliance Dual Advantage Fixed Tenure Fund VI- Plan B- Direct Plan- DIvidend Payout Option</t>
        </is>
      </c>
      <c r="C10454" t="inlineStr">
        <is>
          <t xml:space="preserve">INF204KA1TA6</t>
        </is>
      </c>
    </row>
    <row r="10455">
      <c r="A10455" t="inlineStr">
        <is>
          <t xml:space="preserve">Nippon India Mutual Fund</t>
        </is>
      </c>
      <c r="B10455" t="inlineStr">
        <is>
          <t xml:space="preserve">Reliance Dual Advantage Fixed Tenure Fund VI- Plan B- Direct Plan- Growth Option</t>
        </is>
      </c>
      <c r="C10455" t="inlineStr">
        <is>
          <t xml:space="preserve">INF204KA1SZ5</t>
        </is>
      </c>
    </row>
    <row r="10456">
      <c r="A10456" t="inlineStr">
        <is>
          <t xml:space="preserve">Nippon India Mutual Fund</t>
        </is>
      </c>
      <c r="B10456" t="inlineStr">
        <is>
          <t xml:space="preserve">Reliance Dual Advantage Fixed Tenure Fund VI- Plan B- Dividend Payout Option</t>
        </is>
      </c>
      <c r="C10456" t="inlineStr">
        <is>
          <t xml:space="preserve">INF204KA1SY8</t>
        </is>
      </c>
    </row>
    <row r="10457">
      <c r="A10457" t="inlineStr">
        <is>
          <t xml:space="preserve">Nippon India Mutual Fund</t>
        </is>
      </c>
      <c r="B10457" t="inlineStr">
        <is>
          <t xml:space="preserve">Reliance Dual Advantage Fixed Tenure Fund VI- Plan B- Growth Option</t>
        </is>
      </c>
      <c r="C10457" t="inlineStr">
        <is>
          <t xml:space="preserve">INF204KA1SX0</t>
        </is>
      </c>
    </row>
    <row r="10458">
      <c r="A10458" t="inlineStr">
        <is>
          <t xml:space="preserve">Nippon India Mutual Fund</t>
        </is>
      </c>
      <c r="B10458" t="inlineStr">
        <is>
          <t xml:space="preserve">Reliance Dual Advantage Fixed Tenure Fund VI- Plan C- Direct Plan Dividend Payout Option</t>
        </is>
      </c>
      <c r="C10458" t="inlineStr">
        <is>
          <t xml:space="preserve">INF204KA1UI7</t>
        </is>
      </c>
    </row>
    <row r="10459">
      <c r="A10459" t="inlineStr">
        <is>
          <t xml:space="preserve">Nippon India Mutual Fund</t>
        </is>
      </c>
      <c r="B10459" t="inlineStr">
        <is>
          <t xml:space="preserve">Reliance Dual Advantage Fixed Tenure Fund VI- Plan C- Direct Plan- Growth Option</t>
        </is>
      </c>
      <c r="C10459" t="inlineStr">
        <is>
          <t xml:space="preserve">INF204KA1UH9</t>
        </is>
      </c>
    </row>
    <row r="10460">
      <c r="A10460" t="inlineStr">
        <is>
          <t xml:space="preserve">Nippon India Mutual Fund</t>
        </is>
      </c>
      <c r="B10460" t="inlineStr">
        <is>
          <t xml:space="preserve">Reliance Dual Advantage Fixed Tenure Fund VI- Plan C- Dividend Payout Option</t>
        </is>
      </c>
      <c r="C10460" t="inlineStr">
        <is>
          <t xml:space="preserve">INF204KA1UG1</t>
        </is>
      </c>
    </row>
    <row r="10461">
      <c r="A10461" t="inlineStr">
        <is>
          <t xml:space="preserve">Nippon India Mutual Fund</t>
        </is>
      </c>
      <c r="B10461" t="inlineStr">
        <is>
          <t xml:space="preserve">Reliance Dual Advantage Fixed Tenure Fund VI- Plan C- Growth Option</t>
        </is>
      </c>
      <c r="C10461" t="inlineStr">
        <is>
          <t xml:space="preserve">INF204KA1UF3</t>
        </is>
      </c>
    </row>
    <row r="10462">
      <c r="A10462" t="inlineStr">
        <is>
          <t xml:space="preserve">Nippon India Mutual Fund</t>
        </is>
      </c>
      <c r="B10462" t="inlineStr">
        <is>
          <t xml:space="preserve">Reliance Dual Advantage Fixed Tenure Fund VI- Plan D- Direct Plan- Dividend Payout Option</t>
        </is>
      </c>
      <c r="C10462" t="inlineStr">
        <is>
          <t xml:space="preserve">INF204KA1UR8</t>
        </is>
      </c>
    </row>
    <row r="10463">
      <c r="A10463" t="inlineStr">
        <is>
          <t xml:space="preserve">Nippon India Mutual Fund</t>
        </is>
      </c>
      <c r="B10463" t="inlineStr">
        <is>
          <t xml:space="preserve">Reliance Dual Advantage Fixed Tenure Fund VI- Plan D- Direct Plan- Growth Option</t>
        </is>
      </c>
      <c r="C10463" t="inlineStr">
        <is>
          <t xml:space="preserve">INF204KA1UQ0</t>
        </is>
      </c>
    </row>
    <row r="10464">
      <c r="A10464" t="inlineStr">
        <is>
          <t xml:space="preserve">Nippon India Mutual Fund</t>
        </is>
      </c>
      <c r="B10464" t="inlineStr">
        <is>
          <t xml:space="preserve">Reliance Dual Advantage Fixed Tenure Fund VI- Plan D- Dividend Payout Option</t>
        </is>
      </c>
      <c r="C10464" t="inlineStr">
        <is>
          <t xml:space="preserve">INF204KA1UP2</t>
        </is>
      </c>
    </row>
    <row r="10465">
      <c r="A10465" t="inlineStr">
        <is>
          <t xml:space="preserve">Nippon India Mutual Fund</t>
        </is>
      </c>
      <c r="B10465" t="inlineStr">
        <is>
          <t xml:space="preserve">Reliance Dual Advantage Fixed Tenure Fund VI- Plan E - Growth Option</t>
        </is>
      </c>
      <c r="C10465" t="inlineStr">
        <is>
          <t xml:space="preserve">INF204KA1VS4</t>
        </is>
      </c>
    </row>
    <row r="10466">
      <c r="A10466" t="inlineStr">
        <is>
          <t xml:space="preserve">Nippon India Mutual Fund</t>
        </is>
      </c>
      <c r="B10466" t="inlineStr">
        <is>
          <t xml:space="preserve">Reliance Dual Advantage Fixed Tenure Fund VI- Plan E- Direct Plan- Growth Option</t>
        </is>
      </c>
      <c r="C10466" t="inlineStr">
        <is>
          <t xml:space="preserve">INF204KA1VU0</t>
        </is>
      </c>
    </row>
    <row r="10467">
      <c r="A10467" t="inlineStr">
        <is>
          <t xml:space="preserve">Nippon India Mutual Fund</t>
        </is>
      </c>
      <c r="B10467" t="inlineStr">
        <is>
          <t xml:space="preserve">Reliance Dual Advantage Fixed Tenure Fund VI- Plan E- Dividend Payout Option</t>
        </is>
      </c>
      <c r="C10467" t="inlineStr">
        <is>
          <t xml:space="preserve">INF204KA1VT2</t>
        </is>
      </c>
    </row>
    <row r="10468">
      <c r="A10468" t="inlineStr">
        <is>
          <t xml:space="preserve">Nippon India Mutual Fund</t>
        </is>
      </c>
      <c r="B10468" t="inlineStr">
        <is>
          <t xml:space="preserve">Reliance Dual Advantage Fixed Tenure Fund VI- Plan F- Direct Plan - Dividend Payout Option</t>
        </is>
      </c>
      <c r="C10468" t="inlineStr">
        <is>
          <t xml:space="preserve">INF204KA1WN3</t>
        </is>
      </c>
    </row>
    <row r="10469">
      <c r="A10469" t="inlineStr">
        <is>
          <t xml:space="preserve">Nippon India Mutual Fund</t>
        </is>
      </c>
      <c r="B10469" t="inlineStr">
        <is>
          <t xml:space="preserve">Reliance Dual Advantage Fixed Tenure Fund VI- Plan F- Direct Plan - Growth Option</t>
        </is>
      </c>
      <c r="C10469" t="inlineStr">
        <is>
          <t xml:space="preserve">INF204KA1WM5</t>
        </is>
      </c>
    </row>
    <row r="10470">
      <c r="A10470" t="inlineStr">
        <is>
          <t xml:space="preserve">Nippon India Mutual Fund</t>
        </is>
      </c>
      <c r="B10470" t="inlineStr">
        <is>
          <t xml:space="preserve">Reliance Dual Advantage Fixed Tenure Fund VI- Plan F- Dividend Payout Option</t>
        </is>
      </c>
      <c r="C10470" t="inlineStr">
        <is>
          <t xml:space="preserve">INF204KA1WL7</t>
        </is>
      </c>
    </row>
    <row r="10471">
      <c r="A10471" t="inlineStr">
        <is>
          <t xml:space="preserve">Nippon India Mutual Fund</t>
        </is>
      </c>
      <c r="B10471" t="inlineStr">
        <is>
          <t xml:space="preserve">Reliance Dual Advantage Fixed Tenure Fund VI- Plan F- Growth Option</t>
        </is>
      </c>
      <c r="C10471" t="inlineStr">
        <is>
          <t xml:space="preserve">INF204KA1WK9</t>
        </is>
      </c>
    </row>
    <row r="10472">
      <c r="A10472" t="inlineStr">
        <is>
          <t xml:space="preserve">Nippon India Mutual Fund</t>
        </is>
      </c>
      <c r="B10472" t="inlineStr">
        <is>
          <t xml:space="preserve">Reliance Dual Advantage Fixed Tenure Fund VII - Plan B - Direct Plan - Dividend Payout Option</t>
        </is>
      </c>
      <c r="C10472" t="inlineStr">
        <is>
          <t xml:space="preserve">INF204KA1ZC9</t>
        </is>
      </c>
    </row>
    <row r="10473">
      <c r="A10473" t="inlineStr">
        <is>
          <t xml:space="preserve">Nippon India Mutual Fund</t>
        </is>
      </c>
      <c r="B10473" t="inlineStr">
        <is>
          <t xml:space="preserve">Reliance Dual Advantage Fixed Tenure Fund VII - Plan B - Direct Plan - Growth Option</t>
        </is>
      </c>
      <c r="C10473" t="inlineStr">
        <is>
          <t xml:space="preserve">INF204KA1ZD7</t>
        </is>
      </c>
    </row>
    <row r="10474">
      <c r="A10474" t="inlineStr">
        <is>
          <t xml:space="preserve">Nippon India Mutual Fund</t>
        </is>
      </c>
      <c r="B10474" t="inlineStr">
        <is>
          <t xml:space="preserve">Reliance Dual Advantage Fixed Tenure Fund VII - Plan B - Dividend Payout Option</t>
        </is>
      </c>
      <c r="C10474" t="inlineStr">
        <is>
          <t xml:space="preserve">INF204KA1ZE5</t>
        </is>
      </c>
    </row>
    <row r="10475">
      <c r="A10475" t="inlineStr">
        <is>
          <t xml:space="preserve">Nippon India Mutual Fund</t>
        </is>
      </c>
      <c r="B10475" t="inlineStr">
        <is>
          <t xml:space="preserve">Reliance Dual Advantage Fixed Tenure Fund VII - Plan B - Growth Option</t>
        </is>
      </c>
      <c r="C10475" t="inlineStr">
        <is>
          <t xml:space="preserve">INF204KA1ZF2</t>
        </is>
      </c>
    </row>
    <row r="10476">
      <c r="A10476" t="inlineStr">
        <is>
          <t xml:space="preserve">Nippon India Mutual Fund</t>
        </is>
      </c>
      <c r="B10476" t="inlineStr">
        <is>
          <t xml:space="preserve">Reliance Dual Advantage Fixed Tenure Fund VII- Plan A- Direct Plan-Dividend Payout Option</t>
        </is>
      </c>
      <c r="C10476" t="inlineStr">
        <is>
          <t xml:space="preserve">INF204KA1XU6</t>
        </is>
      </c>
    </row>
    <row r="10477">
      <c r="A10477" t="inlineStr">
        <is>
          <t xml:space="preserve">Nippon India Mutual Fund</t>
        </is>
      </c>
      <c r="B10477" t="inlineStr">
        <is>
          <t xml:space="preserve">Reliance Dual Advantage Fixed Tenure Fund VII- Plan A- Direct Plan-Growth Option</t>
        </is>
      </c>
      <c r="C10477" t="inlineStr">
        <is>
          <t xml:space="preserve">INF204KA1XV4</t>
        </is>
      </c>
    </row>
    <row r="10478">
      <c r="A10478" t="inlineStr">
        <is>
          <t xml:space="preserve">Nippon India Mutual Fund</t>
        </is>
      </c>
      <c r="B10478" t="inlineStr">
        <is>
          <t xml:space="preserve">Reliance Dual Advantage Fixed Tenure Fund VII- Plan A- Dividend Payout Option</t>
        </is>
      </c>
      <c r="C10478" t="inlineStr">
        <is>
          <t xml:space="preserve">INF204KA1XW2</t>
        </is>
      </c>
    </row>
    <row r="10479">
      <c r="A10479" t="inlineStr">
        <is>
          <t xml:space="preserve">Nippon India Mutual Fund</t>
        </is>
      </c>
      <c r="B10479" t="inlineStr">
        <is>
          <t xml:space="preserve">Reliance Dual Advantage Fixed Tenure Fund VII- Plan A- Growth Option</t>
        </is>
      </c>
      <c r="C10479" t="inlineStr">
        <is>
          <t xml:space="preserve">INF204KA1XX0</t>
        </is>
      </c>
    </row>
    <row r="10480">
      <c r="A10480" t="inlineStr">
        <is>
          <t xml:space="preserve">Nippon India Mutual Fund</t>
        </is>
      </c>
      <c r="B10480" t="inlineStr">
        <is>
          <t xml:space="preserve">Reliance Dual Advantage Fixed Tenure Fund VII- Plan C- Direct Plan-Dividend Payout Option</t>
        </is>
      </c>
      <c r="C10480" t="inlineStr">
        <is>
          <t xml:space="preserve">INF204KA1B23</t>
        </is>
      </c>
    </row>
    <row r="10481">
      <c r="A10481" t="inlineStr">
        <is>
          <t xml:space="preserve">Nippon India Mutual Fund</t>
        </is>
      </c>
      <c r="B10481" t="inlineStr">
        <is>
          <t xml:space="preserve">Reliance Dual Advantage Fixed Tenure Fund VII- Plan C- Direct Plan-Growth Option</t>
        </is>
      </c>
      <c r="C10481" t="inlineStr">
        <is>
          <t xml:space="preserve">INF204KA1B31</t>
        </is>
      </c>
    </row>
    <row r="10482">
      <c r="A10482" t="inlineStr">
        <is>
          <t xml:space="preserve">Nippon India Mutual Fund</t>
        </is>
      </c>
      <c r="B10482" t="inlineStr">
        <is>
          <t xml:space="preserve">Reliance Dual Advantage Fixed Tenure Fund VII- Plan C- Dividend Payout Option</t>
        </is>
      </c>
      <c r="C10482" t="inlineStr">
        <is>
          <t xml:space="preserve">INF204KA1B49</t>
        </is>
      </c>
    </row>
    <row r="10483">
      <c r="A10483" t="inlineStr">
        <is>
          <t xml:space="preserve">Nippon India Mutual Fund</t>
        </is>
      </c>
      <c r="B10483" t="inlineStr">
        <is>
          <t xml:space="preserve">Reliance Dual Advantage Fixed Tenure Fund VII- Plan C- Growth Option</t>
        </is>
      </c>
      <c r="C10483" t="inlineStr">
        <is>
          <t xml:space="preserve">INF204KA1B56</t>
        </is>
      </c>
    </row>
    <row r="10484">
      <c r="A10484" t="inlineStr">
        <is>
          <t xml:space="preserve">Nippon India Mutual Fund</t>
        </is>
      </c>
      <c r="B10484" t="inlineStr">
        <is>
          <t xml:space="preserve">Reliance Dual Advantage Fixed Tenure Fund VII- Plan D- Direct Plan- Growth Option</t>
        </is>
      </c>
      <c r="C10484" t="inlineStr">
        <is>
          <t xml:space="preserve">INF204KA1G44</t>
        </is>
      </c>
    </row>
    <row r="10485">
      <c r="A10485" t="inlineStr">
        <is>
          <t xml:space="preserve">Nippon India Mutual Fund</t>
        </is>
      </c>
      <c r="B10485" t="inlineStr">
        <is>
          <t xml:space="preserve">Reliance Dual Advantage Fixed Tenure Fund VII- Plan D- Direct Plan-Dividend Payout Option</t>
        </is>
      </c>
      <c r="C10485" t="inlineStr">
        <is>
          <t xml:space="preserve">INF204KA1G36</t>
        </is>
      </c>
    </row>
    <row r="10486">
      <c r="A10486" t="inlineStr">
        <is>
          <t xml:space="preserve">Nippon India Mutual Fund</t>
        </is>
      </c>
      <c r="B10486" t="inlineStr">
        <is>
          <t xml:space="preserve">Reliance Dual Advantage Fixed Tenure Fund VII- Plan D- Dividend Payout Option</t>
        </is>
      </c>
      <c r="C10486" t="inlineStr">
        <is>
          <t xml:space="preserve">INF204KA1G51</t>
        </is>
      </c>
    </row>
    <row r="10487">
      <c r="A10487" t="inlineStr">
        <is>
          <t xml:space="preserve">Nippon India Mutual Fund</t>
        </is>
      </c>
      <c r="B10487" t="inlineStr">
        <is>
          <t xml:space="preserve">Reliance Dual Advantage Fixed Tenure Fund VII- Plan D- Growth Option</t>
        </is>
      </c>
      <c r="C10487" t="inlineStr">
        <is>
          <t xml:space="preserve">INF204KA1G69</t>
        </is>
      </c>
    </row>
    <row r="10488">
      <c r="A10488" t="inlineStr">
        <is>
          <t xml:space="preserve">Nippon India Mutual Fund</t>
        </is>
      </c>
      <c r="B10488" t="inlineStr">
        <is>
          <t xml:space="preserve">Reliance Dual Advantage Fixed Tenure Fund VII- Plan E- Direct Plan-Dividend Payout Option</t>
        </is>
      </c>
      <c r="C10488" t="inlineStr">
        <is>
          <t xml:space="preserve">INF204KA1L70</t>
        </is>
      </c>
    </row>
    <row r="10489">
      <c r="A10489" t="inlineStr">
        <is>
          <t xml:space="preserve">Nippon India Mutual Fund</t>
        </is>
      </c>
      <c r="B10489" t="inlineStr">
        <is>
          <t xml:space="preserve">Reliance Dual Advantage Fixed Tenure Fund VII- Plan E- Direct Plan-Growth Option</t>
        </is>
      </c>
      <c r="C10489" t="inlineStr">
        <is>
          <t xml:space="preserve">INF204KA1L88</t>
        </is>
      </c>
    </row>
    <row r="10490">
      <c r="A10490" t="inlineStr">
        <is>
          <t xml:space="preserve">Nippon India Mutual Fund</t>
        </is>
      </c>
      <c r="B10490" t="inlineStr">
        <is>
          <t xml:space="preserve">Reliance Dual Advantage Fixed Tenure Fund VII- Plan E- Dividend Payout Option</t>
        </is>
      </c>
      <c r="C10490" t="inlineStr">
        <is>
          <t xml:space="preserve">INF204KA1L96</t>
        </is>
      </c>
    </row>
    <row r="10491">
      <c r="A10491" t="inlineStr">
        <is>
          <t xml:space="preserve">Nippon India Mutual Fund</t>
        </is>
      </c>
      <c r="B10491" t="inlineStr">
        <is>
          <t xml:space="preserve">Reliance Dual Advantage Fixed Tenure Fund VII- Plan E- Growth Option</t>
        </is>
      </c>
      <c r="C10491" t="inlineStr">
        <is>
          <t xml:space="preserve">INF204KA1M04</t>
        </is>
      </c>
    </row>
    <row r="10492">
      <c r="A10492" t="inlineStr">
        <is>
          <t xml:space="preserve">Nippon India Mutual Fund</t>
        </is>
      </c>
      <c r="B10492" t="inlineStr">
        <is>
          <t xml:space="preserve">Reliance Dual Advantage Fixed Tenure Fund VIII- Plan A- Direct Plan- Growth Option</t>
        </is>
      </c>
      <c r="C10492" t="inlineStr">
        <is>
          <t xml:space="preserve">INF204KA11J8</t>
        </is>
      </c>
    </row>
    <row r="10493">
      <c r="A10493" t="inlineStr">
        <is>
          <t xml:space="preserve">Nippon India Mutual Fund</t>
        </is>
      </c>
      <c r="B10493" t="inlineStr">
        <is>
          <t xml:space="preserve">Reliance Dual Advantage Fixed Tenure Fund VIII- Plan A- Direct Plan-Dividend Payout Option</t>
        </is>
      </c>
      <c r="C10493" t="inlineStr">
        <is>
          <t xml:space="preserve">INF204KA10J0</t>
        </is>
      </c>
    </row>
    <row r="10494">
      <c r="A10494" t="inlineStr">
        <is>
          <t xml:space="preserve">Nippon India Mutual Fund</t>
        </is>
      </c>
      <c r="B10494" t="inlineStr">
        <is>
          <t xml:space="preserve">Reliance Dual Advantage Fixed Tenure Fund VIII- Plan A- Dividend Payout Option</t>
        </is>
      </c>
      <c r="C10494" t="inlineStr">
        <is>
          <t xml:space="preserve">INF204KA12J6</t>
        </is>
      </c>
    </row>
    <row r="10495">
      <c r="A10495" t="inlineStr">
        <is>
          <t xml:space="preserve">Nippon India Mutual Fund</t>
        </is>
      </c>
      <c r="B10495" t="inlineStr">
        <is>
          <t xml:space="preserve">Reliance Dual Advantage Fixed Tenure Fund VIII- Plan A- Growth Option</t>
        </is>
      </c>
      <c r="C10495" t="inlineStr">
        <is>
          <t xml:space="preserve">INF204KA13J4</t>
        </is>
      </c>
    </row>
    <row r="10496">
      <c r="A10496" t="inlineStr">
        <is>
          <t xml:space="preserve">Nippon India Mutual Fund</t>
        </is>
      </c>
      <c r="B10496" t="inlineStr">
        <is>
          <t xml:space="preserve">Reliance Dual Advantage Fixed Tenure Fund VIII- Plan B-Direct Plan-Dividend Payout Option</t>
        </is>
      </c>
      <c r="C10496" t="inlineStr">
        <is>
          <t xml:space="preserve">INF204KA18K1</t>
        </is>
      </c>
    </row>
    <row r="10497">
      <c r="A10497" t="inlineStr">
        <is>
          <t xml:space="preserve">Nippon India Mutual Fund</t>
        </is>
      </c>
      <c r="B10497" t="inlineStr">
        <is>
          <t xml:space="preserve">Reliance Dual Advantage Fixed Tenure Fund VIII- Plan B-Direct Plan-Growth Option</t>
        </is>
      </c>
      <c r="C10497" t="inlineStr">
        <is>
          <t xml:space="preserve">INF204KA19K9</t>
        </is>
      </c>
    </row>
    <row r="10498">
      <c r="A10498" t="inlineStr">
        <is>
          <t xml:space="preserve">Nippon India Mutual Fund</t>
        </is>
      </c>
      <c r="B10498" t="inlineStr">
        <is>
          <t xml:space="preserve">Reliance Dual Advantage Fixed Tenure Fund VIII- Plan B-Dividend Payout Option</t>
        </is>
      </c>
      <c r="C10498" t="inlineStr">
        <is>
          <t xml:space="preserve">INF204KA10L6</t>
        </is>
      </c>
    </row>
    <row r="10499">
      <c r="A10499" t="inlineStr">
        <is>
          <t xml:space="preserve">Nippon India Mutual Fund</t>
        </is>
      </c>
      <c r="B10499" t="inlineStr">
        <is>
          <t xml:space="preserve">Reliance Dual Advantage Fixed Tenure Fund VIII- Plan B-Growth Option</t>
        </is>
      </c>
      <c r="C10499" t="inlineStr">
        <is>
          <t xml:space="preserve">INF204KA11L4</t>
        </is>
      </c>
    </row>
    <row r="10500">
      <c r="A10500" t="inlineStr">
        <is>
          <t xml:space="preserve">Nippon India Mutual Fund</t>
        </is>
      </c>
      <c r="B10500" t="inlineStr">
        <is>
          <t xml:space="preserve">Reliance Dual Advantage Fixed Tenure Fund VIII- Plan C- Direct Plan-Dividend Payout Option</t>
        </is>
      </c>
      <c r="C10500" t="inlineStr">
        <is>
          <t xml:space="preserve">INF204KA11O8</t>
        </is>
      </c>
    </row>
    <row r="10501">
      <c r="A10501" t="inlineStr">
        <is>
          <t xml:space="preserve">Nippon India Mutual Fund</t>
        </is>
      </c>
      <c r="B10501" t="inlineStr">
        <is>
          <t xml:space="preserve">Reliance Dual Advantage Fixed Tenure Fund VIII- Plan C- Direct Plan-Growth Option</t>
        </is>
      </c>
      <c r="C10501" t="inlineStr">
        <is>
          <t xml:space="preserve">INF204KA12O6</t>
        </is>
      </c>
    </row>
    <row r="10502">
      <c r="A10502" t="inlineStr">
        <is>
          <t xml:space="preserve">Nippon India Mutual Fund</t>
        </is>
      </c>
      <c r="B10502" t="inlineStr">
        <is>
          <t xml:space="preserve">Reliance Dual Advantage Fixed Tenure Fund VIII- Plan C- Dividend Payout Option</t>
        </is>
      </c>
      <c r="C10502" t="inlineStr">
        <is>
          <t xml:space="preserve">INF204KA13O4</t>
        </is>
      </c>
    </row>
    <row r="10503">
      <c r="A10503" t="inlineStr">
        <is>
          <t xml:space="preserve">Nippon India Mutual Fund</t>
        </is>
      </c>
      <c r="B10503" t="inlineStr">
        <is>
          <t xml:space="preserve">Reliance Dual Advantage Fixed Tenure Fund VIII- Plan C- Growth Option</t>
        </is>
      </c>
      <c r="C10503" t="inlineStr">
        <is>
          <t xml:space="preserve">INF204KA14O2</t>
        </is>
      </c>
    </row>
    <row r="10504">
      <c r="A10504" t="inlineStr">
        <is>
          <t xml:space="preserve">Nippon India Mutual Fund</t>
        </is>
      </c>
      <c r="B10504" t="inlineStr">
        <is>
          <t xml:space="preserve">Reliance Dual Advantage Fixed Tenure Fund- VI- Plan A- Direct Plan- Dividend Payout Option</t>
        </is>
      </c>
      <c r="C10504" t="inlineStr">
        <is>
          <t xml:space="preserve">INF204KA1RR4</t>
        </is>
      </c>
    </row>
    <row r="10505">
      <c r="A10505" t="inlineStr">
        <is>
          <t xml:space="preserve">Nippon India Mutual Fund</t>
        </is>
      </c>
      <c r="B10505" t="inlineStr">
        <is>
          <t xml:space="preserve">Reliance Dual Advantage Fixed Tenure Fund- VI- Plan A- Dividend Payout Option</t>
        </is>
      </c>
      <c r="C10505" t="inlineStr">
        <is>
          <t xml:space="preserve">INF204KA1RP8</t>
        </is>
      </c>
    </row>
    <row r="10506">
      <c r="A10506" t="inlineStr">
        <is>
          <t xml:space="preserve">Nippon India Mutual Fund</t>
        </is>
      </c>
      <c r="B10506" t="inlineStr">
        <is>
          <t xml:space="preserve">Reliance Dual Advantge Fixed Tenure Fund II - Plan B - Growth Option</t>
        </is>
      </c>
      <c r="C10506" t="inlineStr">
        <is>
          <t xml:space="preserve">INF204K01RR6</t>
        </is>
      </c>
    </row>
    <row r="10507">
      <c r="A10507" t="inlineStr">
        <is>
          <t xml:space="preserve">Nippon India Mutual Fund</t>
        </is>
      </c>
      <c r="B10507" t="inlineStr">
        <is>
          <t xml:space="preserve">Reliance Equity Linked Saving Fund - Series I - Dividend Plan</t>
        </is>
      </c>
      <c r="C10507" t="inlineStr">
        <is>
          <t xml:space="preserve">INF204K01ON2</t>
        </is>
      </c>
    </row>
    <row r="10508">
      <c r="A10508" t="inlineStr">
        <is>
          <t xml:space="preserve">Nippon India Mutual Fund</t>
        </is>
      </c>
      <c r="B10508" t="inlineStr">
        <is>
          <t xml:space="preserve">Reliance Equity Linked Saving Fund - Series I - Growth Plan</t>
        </is>
      </c>
      <c r="C10508" t="inlineStr">
        <is>
          <t xml:space="preserve">INF204K01OM4</t>
        </is>
      </c>
    </row>
    <row r="10509">
      <c r="A10509" t="inlineStr">
        <is>
          <t xml:space="preserve">Nippon India Mutual Fund</t>
        </is>
      </c>
      <c r="B10509" t="inlineStr">
        <is>
          <t xml:space="preserve">Reliance Fixed Horizon Fund - XXII - Series 21 - Dividend Payout Option</t>
        </is>
      </c>
      <c r="C10509" t="inlineStr">
        <is>
          <t xml:space="preserve">INF204KA1TS8</t>
        </is>
      </c>
    </row>
    <row r="10510">
      <c r="A10510" t="inlineStr">
        <is>
          <t xml:space="preserve">Nippon India Mutual Fund</t>
        </is>
      </c>
      <c r="B10510" t="inlineStr">
        <is>
          <t xml:space="preserve">Reliance Fixed Horizon Fund - XXII - Series 21 - Growth Option</t>
        </is>
      </c>
      <c r="C10510" t="inlineStr">
        <is>
          <t xml:space="preserve">INF204KA1TR0</t>
        </is>
      </c>
    </row>
    <row r="10511">
      <c r="A10511" t="inlineStr">
        <is>
          <t xml:space="preserve">Nippon India Mutual Fund</t>
        </is>
      </c>
      <c r="B10511" t="inlineStr">
        <is>
          <t xml:space="preserve">Reliance Fixed Horizon Fund - XXII - Series 22 - Dividend Payout Option</t>
        </is>
      </c>
      <c r="C10511" t="inlineStr">
        <is>
          <t xml:space="preserve">INF204KA1VJ3</t>
        </is>
      </c>
    </row>
    <row r="10512">
      <c r="A10512" t="inlineStr">
        <is>
          <t xml:space="preserve">Nippon India Mutual Fund</t>
        </is>
      </c>
      <c r="B10512" t="inlineStr">
        <is>
          <t xml:space="preserve">Reliance Fixed Horizon Fund - XXII - Series 22 - Growth Option</t>
        </is>
      </c>
      <c r="C10512" t="inlineStr">
        <is>
          <t xml:space="preserve">INF204KA1VI5</t>
        </is>
      </c>
    </row>
    <row r="10513">
      <c r="A10513" t="inlineStr">
        <is>
          <t xml:space="preserve">Nippon India Mutual Fund</t>
        </is>
      </c>
      <c r="B10513" t="inlineStr">
        <is>
          <t xml:space="preserve">Reliance Fixed Horizon Fund - XXII - Series 23 - Dividend Payout Option</t>
        </is>
      </c>
      <c r="C10513" t="inlineStr">
        <is>
          <t xml:space="preserve">INF204K01VM9</t>
        </is>
      </c>
    </row>
    <row r="10514">
      <c r="A10514" t="inlineStr">
        <is>
          <t xml:space="preserve">Nippon India Mutual Fund</t>
        </is>
      </c>
      <c r="B10514" t="inlineStr">
        <is>
          <t xml:space="preserve">Reliance Fixed Horizon Fund - XXII - Series 23 - Growth Option</t>
        </is>
      </c>
      <c r="C10514" t="inlineStr">
        <is>
          <t xml:space="preserve">INF204K01VL1</t>
        </is>
      </c>
    </row>
    <row r="10515">
      <c r="A10515" t="inlineStr">
        <is>
          <t xml:space="preserve">Nippon India Mutual Fund</t>
        </is>
      </c>
      <c r="B10515" t="inlineStr">
        <is>
          <t xml:space="preserve">Reliance Fixed Horizon Fund - XXII - Series 24 - Dividend Payout Option</t>
        </is>
      </c>
      <c r="C10515" t="inlineStr">
        <is>
          <t xml:space="preserve">INF204K01VO5</t>
        </is>
      </c>
    </row>
    <row r="10516">
      <c r="A10516" t="inlineStr">
        <is>
          <t xml:space="preserve">Nippon India Mutual Fund</t>
        </is>
      </c>
      <c r="B10516" t="inlineStr">
        <is>
          <t xml:space="preserve">Reliance Fixed Horizon Fund - XXII - Series 24 - Growth Option</t>
        </is>
      </c>
      <c r="C10516" t="inlineStr">
        <is>
          <t xml:space="preserve">INF204K01VN7</t>
        </is>
      </c>
    </row>
    <row r="10517">
      <c r="A10517" t="inlineStr">
        <is>
          <t xml:space="preserve">Nippon India Mutual Fund</t>
        </is>
      </c>
      <c r="B10517" t="inlineStr">
        <is>
          <t xml:space="preserve">Reliance Fixed Horizon Fund - XXII - Series 26 - Dividend Payout Option</t>
        </is>
      </c>
      <c r="C10517" t="inlineStr">
        <is>
          <t xml:space="preserve">INF204KA1VX4</t>
        </is>
      </c>
    </row>
    <row r="10518">
      <c r="A10518" t="inlineStr">
        <is>
          <t xml:space="preserve">Nippon India Mutual Fund</t>
        </is>
      </c>
      <c r="B10518" t="inlineStr">
        <is>
          <t xml:space="preserve">Reliance Fixed Horizon Fund - XXII - Series 26 - Growth Option</t>
        </is>
      </c>
      <c r="C10518" t="inlineStr">
        <is>
          <t xml:space="preserve">INF204KA1VW6</t>
        </is>
      </c>
    </row>
    <row r="10519">
      <c r="A10519" t="inlineStr">
        <is>
          <t xml:space="preserve">Nippon India Mutual Fund</t>
        </is>
      </c>
      <c r="B10519" t="inlineStr">
        <is>
          <t xml:space="preserve">Reliance Fixed Horizon Fund - XXII - Series 29 - Dividend Option</t>
        </is>
      </c>
      <c r="C10519" t="inlineStr">
        <is>
          <t xml:space="preserve">INF204KA1XF7</t>
        </is>
      </c>
    </row>
    <row r="10520">
      <c r="A10520" t="inlineStr">
        <is>
          <t xml:space="preserve">Nippon India Mutual Fund</t>
        </is>
      </c>
      <c r="B10520" t="inlineStr">
        <is>
          <t xml:space="preserve">Reliance Fixed Horizon Fund - XXII - Series 29 - Growth Option</t>
        </is>
      </c>
      <c r="C10520" t="inlineStr">
        <is>
          <t xml:space="preserve">INF204KA1XE0</t>
        </is>
      </c>
    </row>
    <row r="10521">
      <c r="A10521" t="inlineStr">
        <is>
          <t xml:space="preserve">Nippon India Mutual Fund</t>
        </is>
      </c>
      <c r="B10521" t="inlineStr">
        <is>
          <t xml:space="preserve">Reliance Fixed Horizon Fund - XXII - Series 34 - Dividend Payout Option</t>
        </is>
      </c>
      <c r="C10521" t="inlineStr">
        <is>
          <t xml:space="preserve">INF204K01WI5</t>
        </is>
      </c>
    </row>
    <row r="10522">
      <c r="A10522" t="inlineStr">
        <is>
          <t xml:space="preserve">Nippon India Mutual Fund</t>
        </is>
      </c>
      <c r="B10522" t="inlineStr">
        <is>
          <t xml:space="preserve">Reliance Fixed Horizon Fund - XXII -Series -34 Growth Option</t>
        </is>
      </c>
      <c r="C10522" t="inlineStr">
        <is>
          <t xml:space="preserve">INF204K01WH7</t>
        </is>
      </c>
    </row>
    <row r="10523">
      <c r="A10523" t="inlineStr">
        <is>
          <t xml:space="preserve">Nippon India Mutual Fund</t>
        </is>
      </c>
      <c r="B10523" t="inlineStr">
        <is>
          <t xml:space="preserve">Reliance Fixed Horizon Fund - XXIII - Series 11 - Direct Plan - Growth Option</t>
        </is>
      </c>
      <c r="C10523" t="inlineStr">
        <is>
          <t xml:space="preserve">INF204K016B5</t>
        </is>
      </c>
    </row>
    <row r="10524">
      <c r="A10524" t="inlineStr">
        <is>
          <t xml:space="preserve">Nippon India Mutual Fund</t>
        </is>
      </c>
      <c r="B10524" t="inlineStr">
        <is>
          <t xml:space="preserve">Reliance Fixed Horizon Fund - XXIII - Series 11 - Dividend Payout Option</t>
        </is>
      </c>
      <c r="C10524" t="inlineStr">
        <is>
          <t xml:space="preserve">INF204K015B7</t>
        </is>
      </c>
    </row>
    <row r="10525">
      <c r="A10525" t="inlineStr">
        <is>
          <t xml:space="preserve">Nippon India Mutual Fund</t>
        </is>
      </c>
      <c r="B10525" t="inlineStr">
        <is>
          <t xml:space="preserve">Reliance Fixed Horizon Fund - XXIII - Series 11 - Growth Option</t>
        </is>
      </c>
      <c r="C10525" t="inlineStr">
        <is>
          <t xml:space="preserve">INF204K014B0</t>
        </is>
      </c>
    </row>
    <row r="10526">
      <c r="A10526" t="inlineStr">
        <is>
          <t xml:space="preserve">Nippon India Mutual Fund</t>
        </is>
      </c>
      <c r="B10526" t="inlineStr">
        <is>
          <t xml:space="preserve">Reliance Fixed Horizon Fund - XXIII - Series 12 - Direct Plan - Growth  Option</t>
        </is>
      </c>
      <c r="C10526" t="inlineStr">
        <is>
          <t xml:space="preserve">INF204K010C6</t>
        </is>
      </c>
    </row>
    <row r="10527">
      <c r="A10527" t="inlineStr">
        <is>
          <t xml:space="preserve">Nippon India Mutual Fund</t>
        </is>
      </c>
      <c r="B10527" t="inlineStr">
        <is>
          <t xml:space="preserve">Reliance Fixed Horizon Fund - XXIII - Series 12 - Dividend Payout Option</t>
        </is>
      </c>
      <c r="C10527" t="inlineStr">
        <is>
          <t xml:space="preserve">INF204K019B9</t>
        </is>
      </c>
    </row>
    <row r="10528">
      <c r="A10528" t="inlineStr">
        <is>
          <t xml:space="preserve">Nippon India Mutual Fund</t>
        </is>
      </c>
      <c r="B10528" t="inlineStr">
        <is>
          <t xml:space="preserve">Reliance Fixed Horizon Fund - XXIII - Series 12 - Growth Option</t>
        </is>
      </c>
      <c r="C10528" t="inlineStr">
        <is>
          <t xml:space="preserve">INF204K018B1</t>
        </is>
      </c>
    </row>
    <row r="10529">
      <c r="A10529" t="inlineStr">
        <is>
          <t xml:space="preserve">Nippon India Mutual Fund</t>
        </is>
      </c>
      <c r="B10529" t="inlineStr">
        <is>
          <t xml:space="preserve">Reliance Fixed Horizon Fund - XXIII - Series 8 - Direct Plan - Dividend Payout Option</t>
        </is>
      </c>
      <c r="C10529" t="inlineStr">
        <is>
          <t xml:space="preserve">INF204K015A9</t>
        </is>
      </c>
    </row>
    <row r="10530">
      <c r="A10530" t="inlineStr">
        <is>
          <t xml:space="preserve">Nippon India Mutual Fund</t>
        </is>
      </c>
      <c r="B10530" t="inlineStr">
        <is>
          <t xml:space="preserve">Reliance Fixed Horizon Fund - XXIII - Series 8 - Direct Plan - Growth Option</t>
        </is>
      </c>
      <c r="C10530" t="inlineStr">
        <is>
          <t xml:space="preserve">INF204K014A2</t>
        </is>
      </c>
    </row>
    <row r="10531">
      <c r="A10531" t="inlineStr">
        <is>
          <t xml:space="preserve">Nippon India Mutual Fund</t>
        </is>
      </c>
      <c r="B10531" t="inlineStr">
        <is>
          <t xml:space="preserve">Reliance Fixed Horizon Fund - XXIII - Series 8 - Dividend Payout Option</t>
        </is>
      </c>
      <c r="C10531" t="inlineStr">
        <is>
          <t xml:space="preserve">INF204K013A4</t>
        </is>
      </c>
    </row>
    <row r="10532">
      <c r="A10532" t="inlineStr">
        <is>
          <t xml:space="preserve">Nippon India Mutual Fund</t>
        </is>
      </c>
      <c r="B10532" t="inlineStr">
        <is>
          <t xml:space="preserve">Reliance Fixed Horizon Fund - XXIII - Series 8 - Growth Option</t>
        </is>
      </c>
      <c r="C10532" t="inlineStr">
        <is>
          <t xml:space="preserve">INF204K012A6</t>
        </is>
      </c>
    </row>
    <row r="10533">
      <c r="A10533" t="inlineStr">
        <is>
          <t xml:space="preserve">Nippon India Mutual Fund</t>
        </is>
      </c>
      <c r="B10533" t="inlineStr">
        <is>
          <t xml:space="preserve">Reliance Fixed Horizon Fund - XXIV - Series 10 - Direct Plan - Dividend Payout Option</t>
        </is>
      </c>
      <c r="C10533" t="inlineStr">
        <is>
          <t xml:space="preserve">INF204KA1032</t>
        </is>
      </c>
    </row>
    <row r="10534">
      <c r="A10534" t="inlineStr">
        <is>
          <t xml:space="preserve">Nippon India Mutual Fund</t>
        </is>
      </c>
      <c r="B10534" t="inlineStr">
        <is>
          <t xml:space="preserve">Reliance Fixed Horizon Fund - XXIV - Series 10 - Direct Plan - Growth Option</t>
        </is>
      </c>
      <c r="C10534" t="inlineStr">
        <is>
          <t xml:space="preserve">INF204KA1024</t>
        </is>
      </c>
    </row>
    <row r="10535">
      <c r="A10535" t="inlineStr">
        <is>
          <t xml:space="preserve">Nippon India Mutual Fund</t>
        </is>
      </c>
      <c r="B10535" t="inlineStr">
        <is>
          <t xml:space="preserve">Reliance Fixed Horizon Fund - XXIV - Series 10 - Dividend Payout Option</t>
        </is>
      </c>
      <c r="C10535" t="inlineStr">
        <is>
          <t xml:space="preserve">INF204KA1016</t>
        </is>
      </c>
    </row>
    <row r="10536">
      <c r="A10536" t="inlineStr">
        <is>
          <t xml:space="preserve">Nippon India Mutual Fund</t>
        </is>
      </c>
      <c r="B10536" t="inlineStr">
        <is>
          <t xml:space="preserve">Reliance Fixed Horizon Fund - XXIV - Series 10 - Growth Option</t>
        </is>
      </c>
      <c r="C10536" t="inlineStr">
        <is>
          <t xml:space="preserve">INF204K019Z8</t>
        </is>
      </c>
    </row>
    <row r="10537">
      <c r="A10537" t="inlineStr">
        <is>
          <t xml:space="preserve">Nippon India Mutual Fund</t>
        </is>
      </c>
      <c r="B10537" t="inlineStr">
        <is>
          <t xml:space="preserve">Reliance Fixed Horizon Fund - XXIV - Series 11 - Direct Plan - Growth Option</t>
        </is>
      </c>
      <c r="C10537" t="inlineStr">
        <is>
          <t xml:space="preserve">INF204KA1TP4</t>
        </is>
      </c>
    </row>
    <row r="10538">
      <c r="A10538" t="inlineStr">
        <is>
          <t xml:space="preserve">Nippon India Mutual Fund</t>
        </is>
      </c>
      <c r="B10538" t="inlineStr">
        <is>
          <t xml:space="preserve">Reliance Fixed Horizon Fund - XXIV - Series 11 - Growth Option</t>
        </is>
      </c>
      <c r="C10538" t="inlineStr">
        <is>
          <t xml:space="preserve">INF204KA1TN9</t>
        </is>
      </c>
    </row>
    <row r="10539">
      <c r="A10539" t="inlineStr">
        <is>
          <t xml:space="preserve">Nippon India Mutual Fund</t>
        </is>
      </c>
      <c r="B10539" t="inlineStr">
        <is>
          <t xml:space="preserve">Reliance Fixed Horizon Fund - XXIV - Series 13 -Direct Plan -Growth Option</t>
        </is>
      </c>
      <c r="C10539" t="inlineStr">
        <is>
          <t xml:space="preserve">INF204KA1149</t>
        </is>
      </c>
    </row>
    <row r="10540">
      <c r="A10540" t="inlineStr">
        <is>
          <t xml:space="preserve">Nippon India Mutual Fund</t>
        </is>
      </c>
      <c r="B10540" t="inlineStr">
        <is>
          <t xml:space="preserve">Reliance Fixed Horizon Fund - XXIV - Series 13 -Dividend Payout Option</t>
        </is>
      </c>
      <c r="C10540" t="inlineStr">
        <is>
          <t xml:space="preserve">INF204KA1131</t>
        </is>
      </c>
    </row>
    <row r="10541">
      <c r="A10541" t="inlineStr">
        <is>
          <t xml:space="preserve">Nippon India Mutual Fund</t>
        </is>
      </c>
      <c r="B10541" t="inlineStr">
        <is>
          <t xml:space="preserve">Reliance Fixed Horizon Fund - XXIV - Series 13 -Growth Option</t>
        </is>
      </c>
      <c r="C10541" t="inlineStr">
        <is>
          <t xml:space="preserve">INF204KA1123</t>
        </is>
      </c>
    </row>
    <row r="10542">
      <c r="A10542" t="inlineStr">
        <is>
          <t xml:space="preserve">Nippon India Mutual Fund</t>
        </is>
      </c>
      <c r="B10542" t="inlineStr">
        <is>
          <t xml:space="preserve">Reliance Fixed Horizon Fund - XXIV - Series 15-Direct Plan -Growth Option</t>
        </is>
      </c>
      <c r="C10542" t="inlineStr">
        <is>
          <t xml:space="preserve">INF204KA1UL1</t>
        </is>
      </c>
    </row>
    <row r="10543">
      <c r="A10543" t="inlineStr">
        <is>
          <t xml:space="preserve">Nippon India Mutual Fund</t>
        </is>
      </c>
      <c r="B10543" t="inlineStr">
        <is>
          <t xml:space="preserve">Reliance Fixed Horizon Fund - XXIV - Series 15-Dividend Payout Option</t>
        </is>
      </c>
      <c r="C10543" t="inlineStr">
        <is>
          <t xml:space="preserve">INF204KA1UK3</t>
        </is>
      </c>
    </row>
    <row r="10544">
      <c r="A10544" t="inlineStr">
        <is>
          <t xml:space="preserve">Nippon India Mutual Fund</t>
        </is>
      </c>
      <c r="B10544" t="inlineStr">
        <is>
          <t xml:space="preserve">Reliance Fixed Horizon Fund - XXIV - Series 15-Growth Option</t>
        </is>
      </c>
      <c r="C10544" t="inlineStr">
        <is>
          <t xml:space="preserve">INF204KA1UJ5</t>
        </is>
      </c>
    </row>
    <row r="10545">
      <c r="A10545" t="inlineStr">
        <is>
          <t xml:space="preserve">Nippon India Mutual Fund</t>
        </is>
      </c>
      <c r="B10545" t="inlineStr">
        <is>
          <t xml:space="preserve">Reliance Fixed Horizon Fund - XXIV - Series 16 - Direct Plan - Growth Plan</t>
        </is>
      </c>
      <c r="C10545" t="inlineStr">
        <is>
          <t xml:space="preserve">INF204KA1UY4</t>
        </is>
      </c>
    </row>
    <row r="10546">
      <c r="A10546" t="inlineStr">
        <is>
          <t xml:space="preserve">Nippon India Mutual Fund</t>
        </is>
      </c>
      <c r="B10546" t="inlineStr">
        <is>
          <t xml:space="preserve">Reliance Fixed Horizon Fund - XXIV - Series 16 - Growth Plan</t>
        </is>
      </c>
      <c r="C10546" t="inlineStr">
        <is>
          <t xml:space="preserve">INF204KA1UW8</t>
        </is>
      </c>
    </row>
    <row r="10547">
      <c r="A10547" t="inlineStr">
        <is>
          <t xml:space="preserve">Nippon India Mutual Fund</t>
        </is>
      </c>
      <c r="B10547" t="inlineStr">
        <is>
          <t xml:space="preserve">Reliance Fixed Horizon Fund - XXIV - Series 17 -Dividend Payout Option</t>
        </is>
      </c>
      <c r="C10547" t="inlineStr">
        <is>
          <t xml:space="preserve">INF204KA1VF1</t>
        </is>
      </c>
    </row>
    <row r="10548">
      <c r="A10548" t="inlineStr">
        <is>
          <t xml:space="preserve">Nippon India Mutual Fund</t>
        </is>
      </c>
      <c r="B10548" t="inlineStr">
        <is>
          <t xml:space="preserve">Reliance Fixed Horizon Fund - XXIV - Series 17- Direct Plan -Dividend Payout Option</t>
        </is>
      </c>
      <c r="C10548" t="inlineStr">
        <is>
          <t xml:space="preserve">INF204KA1VH7</t>
        </is>
      </c>
    </row>
    <row r="10549">
      <c r="A10549" t="inlineStr">
        <is>
          <t xml:space="preserve">Nippon India Mutual Fund</t>
        </is>
      </c>
      <c r="B10549" t="inlineStr">
        <is>
          <t xml:space="preserve">Reliance Fixed Horizon Fund - XXIV - Series 17-Direct Plan -Growth Option</t>
        </is>
      </c>
      <c r="C10549" t="inlineStr">
        <is>
          <t xml:space="preserve">INF204KA1VG9</t>
        </is>
      </c>
    </row>
    <row r="10550">
      <c r="A10550" t="inlineStr">
        <is>
          <t xml:space="preserve">Nippon India Mutual Fund</t>
        </is>
      </c>
      <c r="B10550" t="inlineStr">
        <is>
          <t xml:space="preserve">Reliance Fixed Horizon Fund - XXIV - Series 17-Growth Option</t>
        </is>
      </c>
      <c r="C10550" t="inlineStr">
        <is>
          <t xml:space="preserve">INF204KA1VE4</t>
        </is>
      </c>
    </row>
    <row r="10551">
      <c r="A10551" t="inlineStr">
        <is>
          <t xml:space="preserve">Nippon India Mutual Fund</t>
        </is>
      </c>
      <c r="B10551" t="inlineStr">
        <is>
          <t xml:space="preserve">Reliance Fixed Horizon Fund - XXIV - Series 18 -Direct Plan -Growth Option</t>
        </is>
      </c>
      <c r="C10551" t="inlineStr">
        <is>
          <t xml:space="preserve">INF204KA1VM7</t>
        </is>
      </c>
    </row>
    <row r="10552">
      <c r="A10552" t="inlineStr">
        <is>
          <t xml:space="preserve">Nippon India Mutual Fund</t>
        </is>
      </c>
      <c r="B10552" t="inlineStr">
        <is>
          <t xml:space="preserve">Reliance Fixed Horizon Fund - XXIV - Series 18 -Dividend Payout Optioin</t>
        </is>
      </c>
      <c r="C10552" t="inlineStr">
        <is>
          <t xml:space="preserve">INF204KA1VL9</t>
        </is>
      </c>
    </row>
    <row r="10553">
      <c r="A10553" t="inlineStr">
        <is>
          <t xml:space="preserve">Nippon India Mutual Fund</t>
        </is>
      </c>
      <c r="B10553" t="inlineStr">
        <is>
          <t xml:space="preserve">Reliance Fixed Horizon Fund - XXIV - Series 18-Growth Option</t>
        </is>
      </c>
      <c r="C10553" t="inlineStr">
        <is>
          <t xml:space="preserve">INF204KA1VK1</t>
        </is>
      </c>
    </row>
    <row r="10554">
      <c r="A10554" t="inlineStr">
        <is>
          <t xml:space="preserve">Nippon India Mutual Fund</t>
        </is>
      </c>
      <c r="B10554" t="inlineStr">
        <is>
          <t xml:space="preserve">Reliance Fixed Horizon Fund - XXIV - Series 2 - Direct Plan - Dividend Payout Option</t>
        </is>
      </c>
      <c r="C10554" t="inlineStr">
        <is>
          <t xml:space="preserve">INF204K010X2</t>
        </is>
      </c>
    </row>
    <row r="10555">
      <c r="A10555" t="inlineStr">
        <is>
          <t xml:space="preserve">Nippon India Mutual Fund</t>
        </is>
      </c>
      <c r="B10555" t="inlineStr">
        <is>
          <t xml:space="preserve">Reliance Fixed Horizon Fund - XXIV - Series 2 - Direct Plan - Growth Option</t>
        </is>
      </c>
      <c r="C10555" t="inlineStr">
        <is>
          <t xml:space="preserve">INF204K019W5</t>
        </is>
      </c>
    </row>
    <row r="10556">
      <c r="A10556" t="inlineStr">
        <is>
          <t xml:space="preserve">Nippon India Mutual Fund</t>
        </is>
      </c>
      <c r="B10556" t="inlineStr">
        <is>
          <t xml:space="preserve">Reliance Fixed Horizon Fund - XXIV - Series 2 - Dividend Payout Option</t>
        </is>
      </c>
      <c r="C10556" t="inlineStr">
        <is>
          <t xml:space="preserve">INF204K018W7</t>
        </is>
      </c>
    </row>
    <row r="10557">
      <c r="A10557" t="inlineStr">
        <is>
          <t xml:space="preserve">Nippon India Mutual Fund</t>
        </is>
      </c>
      <c r="B10557" t="inlineStr">
        <is>
          <t xml:space="preserve">Reliance Fixed Horizon Fund - XXIV - Series 2 - Growth Option</t>
        </is>
      </c>
      <c r="C10557" t="inlineStr">
        <is>
          <t xml:space="preserve">INF204K017W9</t>
        </is>
      </c>
    </row>
    <row r="10558">
      <c r="A10558" t="inlineStr">
        <is>
          <t xml:space="preserve">Nippon India Mutual Fund</t>
        </is>
      </c>
      <c r="B10558" t="inlineStr">
        <is>
          <t xml:space="preserve">Reliance Fixed Horizon Fund - XXIV - Series 20 - Direct Plan - Dividend Payout Option</t>
        </is>
      </c>
      <c r="C10558" t="inlineStr">
        <is>
          <t xml:space="preserve">INF204KA1438</t>
        </is>
      </c>
    </row>
    <row r="10559">
      <c r="A10559" t="inlineStr">
        <is>
          <t xml:space="preserve">Nippon India Mutual Fund</t>
        </is>
      </c>
      <c r="B10559" t="inlineStr">
        <is>
          <t xml:space="preserve">Reliance Fixed Horizon Fund - XXIV - Series 20 - Direct Plan - Growth Option</t>
        </is>
      </c>
      <c r="C10559" t="inlineStr">
        <is>
          <t xml:space="preserve">INF204KA1420</t>
        </is>
      </c>
    </row>
    <row r="10560">
      <c r="A10560" t="inlineStr">
        <is>
          <t xml:space="preserve">Nippon India Mutual Fund</t>
        </is>
      </c>
      <c r="B10560" t="inlineStr">
        <is>
          <t xml:space="preserve">Reliance Fixed Horizon Fund - XXIV - Series 20 - Dividend Payout Option</t>
        </is>
      </c>
      <c r="C10560" t="inlineStr">
        <is>
          <t xml:space="preserve">INF204KA1412</t>
        </is>
      </c>
    </row>
    <row r="10561">
      <c r="A10561" t="inlineStr">
        <is>
          <t xml:space="preserve">Nippon India Mutual Fund</t>
        </is>
      </c>
      <c r="B10561" t="inlineStr">
        <is>
          <t xml:space="preserve">Reliance Fixed Horizon Fund - XXIV - Series 20 - Growth Option</t>
        </is>
      </c>
      <c r="C10561" t="inlineStr">
        <is>
          <t xml:space="preserve">INF204KA1404</t>
        </is>
      </c>
    </row>
    <row r="10562">
      <c r="A10562" t="inlineStr">
        <is>
          <t xml:space="preserve">Nippon India Mutual Fund</t>
        </is>
      </c>
      <c r="B10562" t="inlineStr">
        <is>
          <t xml:space="preserve">Reliance Fixed Horizon Fund - XXIV - Series 22 - Direct Plan - Dividend Payout Option</t>
        </is>
      </c>
      <c r="C10562" t="inlineStr">
        <is>
          <t xml:space="preserve">INF204KA11E9</t>
        </is>
      </c>
    </row>
    <row r="10563">
      <c r="A10563" t="inlineStr">
        <is>
          <t xml:space="preserve">Nippon India Mutual Fund</t>
        </is>
      </c>
      <c r="B10563" t="inlineStr">
        <is>
          <t xml:space="preserve">Reliance Fixed Horizon Fund - XXIV - Series 22 - Direct Plan - Growth Option</t>
        </is>
      </c>
      <c r="C10563" t="inlineStr">
        <is>
          <t xml:space="preserve">INF204KA10E1</t>
        </is>
      </c>
    </row>
    <row r="10564">
      <c r="A10564" t="inlineStr">
        <is>
          <t xml:space="preserve">Nippon India Mutual Fund</t>
        </is>
      </c>
      <c r="B10564" t="inlineStr">
        <is>
          <t xml:space="preserve">Reliance Fixed Horizon Fund - XXIV - Series 22 - Dividend Payout Option</t>
        </is>
      </c>
      <c r="C10564" t="inlineStr">
        <is>
          <t xml:space="preserve">INF204KA19D4</t>
        </is>
      </c>
    </row>
    <row r="10565">
      <c r="A10565" t="inlineStr">
        <is>
          <t xml:space="preserve">Nippon India Mutual Fund</t>
        </is>
      </c>
      <c r="B10565" t="inlineStr">
        <is>
          <t xml:space="preserve">Reliance Fixed Horizon Fund - XXIV - Series 22 - Growth Option</t>
        </is>
      </c>
      <c r="C10565" t="inlineStr">
        <is>
          <t xml:space="preserve">INF204KA18D6</t>
        </is>
      </c>
    </row>
    <row r="10566">
      <c r="A10566" t="inlineStr">
        <is>
          <t xml:space="preserve">Nippon India Mutual Fund</t>
        </is>
      </c>
      <c r="B10566" t="inlineStr">
        <is>
          <t xml:space="preserve">Reliance Fixed Horizon Fund - XXIV - Series 24 - Direct Plan - Dividend Payout Option</t>
        </is>
      </c>
      <c r="C10566" t="inlineStr">
        <is>
          <t xml:space="preserve">INF204KA1594</t>
        </is>
      </c>
    </row>
    <row r="10567">
      <c r="A10567" t="inlineStr">
        <is>
          <t xml:space="preserve">Nippon India Mutual Fund</t>
        </is>
      </c>
      <c r="B10567" t="inlineStr">
        <is>
          <t xml:space="preserve">Reliance Fixed Horizon Fund - XXIV - Series 24 - Direct Plan - Growth Option</t>
        </is>
      </c>
      <c r="C10567" t="inlineStr">
        <is>
          <t xml:space="preserve">INF204KA1586</t>
        </is>
      </c>
    </row>
    <row r="10568">
      <c r="A10568" t="inlineStr">
        <is>
          <t xml:space="preserve">Nippon India Mutual Fund</t>
        </is>
      </c>
      <c r="B10568" t="inlineStr">
        <is>
          <t xml:space="preserve">Reliance Fixed Horizon Fund - XXIV - Series 24 - Dividend Payout Option</t>
        </is>
      </c>
      <c r="C10568" t="inlineStr">
        <is>
          <t xml:space="preserve">INF204KA1578</t>
        </is>
      </c>
    </row>
    <row r="10569">
      <c r="A10569" t="inlineStr">
        <is>
          <t xml:space="preserve">Nippon India Mutual Fund</t>
        </is>
      </c>
      <c r="B10569" t="inlineStr">
        <is>
          <t xml:space="preserve">Reliance Fixed Horizon Fund - XXIV - Series 24 - Growth Option</t>
        </is>
      </c>
      <c r="C10569" t="inlineStr">
        <is>
          <t xml:space="preserve">INF204KA1560</t>
        </is>
      </c>
    </row>
    <row r="10570">
      <c r="A10570" t="inlineStr">
        <is>
          <t xml:space="preserve">Nippon India Mutual Fund</t>
        </is>
      </c>
      <c r="B10570" t="inlineStr">
        <is>
          <t xml:space="preserve">Reliance Fixed Horizon Fund - XXIV - Series 25 - Direct Plan - Dividend Payout Option</t>
        </is>
      </c>
      <c r="C10570" t="inlineStr">
        <is>
          <t xml:space="preserve">INF204KA1636</t>
        </is>
      </c>
    </row>
    <row r="10571">
      <c r="A10571" t="inlineStr">
        <is>
          <t xml:space="preserve">Nippon India Mutual Fund</t>
        </is>
      </c>
      <c r="B10571" t="inlineStr">
        <is>
          <t xml:space="preserve">Reliance Fixed Horizon Fund - XXIV - Series 25 - Dividend Payout Option</t>
        </is>
      </c>
      <c r="C10571" t="inlineStr">
        <is>
          <t xml:space="preserve">INF204KA1610</t>
        </is>
      </c>
    </row>
    <row r="10572">
      <c r="A10572" t="inlineStr">
        <is>
          <t xml:space="preserve">Nippon India Mutual Fund</t>
        </is>
      </c>
      <c r="B10572" t="inlineStr">
        <is>
          <t xml:space="preserve">Reliance Fixed Horizon Fund - XXIV - Series 25 - Growth Option</t>
        </is>
      </c>
      <c r="C10572" t="inlineStr">
        <is>
          <t xml:space="preserve">INF204KA1602</t>
        </is>
      </c>
    </row>
    <row r="10573">
      <c r="A10573" t="inlineStr">
        <is>
          <t xml:space="preserve">Nippon India Mutual Fund</t>
        </is>
      </c>
      <c r="B10573" t="inlineStr">
        <is>
          <t xml:space="preserve">Reliance Fixed Horizon Fund - XXIV - Series 25- Direct Plan - Growth Option</t>
        </is>
      </c>
      <c r="C10573" t="inlineStr">
        <is>
          <t xml:space="preserve">INF204KA1628</t>
        </is>
      </c>
    </row>
    <row r="10574">
      <c r="A10574" t="inlineStr">
        <is>
          <t xml:space="preserve">Nippon India Mutual Fund</t>
        </is>
      </c>
      <c r="B10574" t="inlineStr">
        <is>
          <t xml:space="preserve">Reliance Fixed Horizon Fund - XXIV - Series 3-Direct Plan - Dividend Payout Option</t>
        </is>
      </c>
      <c r="C10574" t="inlineStr">
        <is>
          <t xml:space="preserve">INF204KA1SG5</t>
        </is>
      </c>
    </row>
    <row r="10575">
      <c r="A10575" t="inlineStr">
        <is>
          <t xml:space="preserve">Nippon India Mutual Fund</t>
        </is>
      </c>
      <c r="B10575" t="inlineStr">
        <is>
          <t xml:space="preserve">Reliance Fixed Horizon Fund - XXIV - Series 3-Direct Plan - Growth Option</t>
        </is>
      </c>
      <c r="C10575" t="inlineStr">
        <is>
          <t xml:space="preserve">INF204KA1SF7</t>
        </is>
      </c>
    </row>
    <row r="10576">
      <c r="A10576" t="inlineStr">
        <is>
          <t xml:space="preserve">Nippon India Mutual Fund</t>
        </is>
      </c>
      <c r="B10576" t="inlineStr">
        <is>
          <t xml:space="preserve">Reliance Fixed Horizon Fund - XXIV - Series 3-Dividend payout Option</t>
        </is>
      </c>
      <c r="C10576" t="inlineStr">
        <is>
          <t xml:space="preserve">INF204KA1SE0</t>
        </is>
      </c>
    </row>
    <row r="10577">
      <c r="A10577" t="inlineStr">
        <is>
          <t xml:space="preserve">Nippon India Mutual Fund</t>
        </is>
      </c>
      <c r="B10577" t="inlineStr">
        <is>
          <t xml:space="preserve">Reliance Fixed Horizon Fund - XXIV - Series 3-Growth Option</t>
        </is>
      </c>
      <c r="C10577" t="inlineStr">
        <is>
          <t xml:space="preserve">INF204KA1SD2</t>
        </is>
      </c>
    </row>
    <row r="10578">
      <c r="A10578" t="inlineStr">
        <is>
          <t xml:space="preserve">Nippon India Mutual Fund</t>
        </is>
      </c>
      <c r="B10578" t="inlineStr">
        <is>
          <t xml:space="preserve">Reliance Fixed Horizon Fund - XXIV - Series 4-Direct Plan - Dividend Payout Option</t>
        </is>
      </c>
      <c r="C10578" t="inlineStr">
        <is>
          <t xml:space="preserve">INF204KA1TE8</t>
        </is>
      </c>
    </row>
    <row r="10579">
      <c r="A10579" t="inlineStr">
        <is>
          <t xml:space="preserve">Nippon India Mutual Fund</t>
        </is>
      </c>
      <c r="B10579" t="inlineStr">
        <is>
          <t xml:space="preserve">Reliance Fixed Horizon Fund - XXIV - Series 4-Direct Plan - Growth Option</t>
        </is>
      </c>
      <c r="C10579" t="inlineStr">
        <is>
          <t xml:space="preserve">INF204KA1TD0</t>
        </is>
      </c>
    </row>
    <row r="10580">
      <c r="A10580" t="inlineStr">
        <is>
          <t xml:space="preserve">Nippon India Mutual Fund</t>
        </is>
      </c>
      <c r="B10580" t="inlineStr">
        <is>
          <t xml:space="preserve">Reliance Fixed Horizon Fund - XXIV - Series 4-Dividend payout Option</t>
        </is>
      </c>
      <c r="C10580" t="inlineStr">
        <is>
          <t xml:space="preserve">INF204KA1TC2</t>
        </is>
      </c>
    </row>
    <row r="10581">
      <c r="A10581" t="inlineStr">
        <is>
          <t xml:space="preserve">Nippon India Mutual Fund</t>
        </is>
      </c>
      <c r="B10581" t="inlineStr">
        <is>
          <t xml:space="preserve">Reliance Fixed Horizon Fund - XXIV - Series 4-Growth Option</t>
        </is>
      </c>
      <c r="C10581" t="inlineStr">
        <is>
          <t xml:space="preserve">INF204KA1TB4</t>
        </is>
      </c>
    </row>
    <row r="10582">
      <c r="A10582" t="inlineStr">
        <is>
          <t xml:space="preserve">Nippon India Mutual Fund</t>
        </is>
      </c>
      <c r="B10582" t="inlineStr">
        <is>
          <t xml:space="preserve">Reliance Fixed Horizon Fund - XXIV - Series 5 - Direct Plan - Dividend Payout Option</t>
        </is>
      </c>
      <c r="C10582" t="inlineStr">
        <is>
          <t xml:space="preserve">INF204K012Y6</t>
        </is>
      </c>
    </row>
    <row r="10583">
      <c r="A10583" t="inlineStr">
        <is>
          <t xml:space="preserve">Nippon India Mutual Fund</t>
        </is>
      </c>
      <c r="B10583" t="inlineStr">
        <is>
          <t xml:space="preserve">Reliance Fixed Horizon Fund - XXIV - Series 5 - Direct Plan - Growth Option</t>
        </is>
      </c>
      <c r="C10583" t="inlineStr">
        <is>
          <t xml:space="preserve">INF204K011Y8</t>
        </is>
      </c>
    </row>
    <row r="10584">
      <c r="A10584" t="inlineStr">
        <is>
          <t xml:space="preserve">Nippon India Mutual Fund</t>
        </is>
      </c>
      <c r="B10584" t="inlineStr">
        <is>
          <t xml:space="preserve">Reliance Fixed Horizon Fund - XXIV - Series 5 - Dividend Payout Option</t>
        </is>
      </c>
      <c r="C10584" t="inlineStr">
        <is>
          <t xml:space="preserve">INF204K010Y0</t>
        </is>
      </c>
    </row>
    <row r="10585">
      <c r="A10585" t="inlineStr">
        <is>
          <t xml:space="preserve">Nippon India Mutual Fund</t>
        </is>
      </c>
      <c r="B10585" t="inlineStr">
        <is>
          <t xml:space="preserve">Reliance Fixed Horizon Fund - XXIV - Series 5 - Growth Option</t>
        </is>
      </c>
      <c r="C10585" t="inlineStr">
        <is>
          <t xml:space="preserve">INF204K019X3</t>
        </is>
      </c>
    </row>
    <row r="10586">
      <c r="A10586" t="inlineStr">
        <is>
          <t xml:space="preserve">Nippon India Mutual Fund</t>
        </is>
      </c>
      <c r="B10586" t="inlineStr">
        <is>
          <t xml:space="preserve">Reliance Fixed Horizon Fund - XXIV - Series 6 - Direct Plan - Dividend Payout Option</t>
        </is>
      </c>
      <c r="C10586" t="inlineStr">
        <is>
          <t xml:space="preserve">INF204KA12B3</t>
        </is>
      </c>
    </row>
    <row r="10587">
      <c r="A10587" t="inlineStr">
        <is>
          <t xml:space="preserve">Nippon India Mutual Fund</t>
        </is>
      </c>
      <c r="B10587" t="inlineStr">
        <is>
          <t xml:space="preserve">Reliance Fixed Horizon Fund - XXIV - Series 6 - Direct Plan - Growth Option</t>
        </is>
      </c>
      <c r="C10587" t="inlineStr">
        <is>
          <t xml:space="preserve">INF204KA11B5</t>
        </is>
      </c>
    </row>
    <row r="10588">
      <c r="A10588" t="inlineStr">
        <is>
          <t xml:space="preserve">Nippon India Mutual Fund</t>
        </is>
      </c>
      <c r="B10588" t="inlineStr">
        <is>
          <t xml:space="preserve">Reliance Fixed Horizon Fund - XXIV - Series 6 - Dividend Payout Option</t>
        </is>
      </c>
      <c r="C10588" t="inlineStr">
        <is>
          <t xml:space="preserve">INF204KA10B7</t>
        </is>
      </c>
    </row>
    <row r="10589">
      <c r="A10589" t="inlineStr">
        <is>
          <t xml:space="preserve">Nippon India Mutual Fund</t>
        </is>
      </c>
      <c r="B10589" t="inlineStr">
        <is>
          <t xml:space="preserve">Reliance Fixed Horizon Fund - XXIV - Series 6 - Growth Option</t>
        </is>
      </c>
      <c r="C10589" t="inlineStr">
        <is>
          <t xml:space="preserve">INF204KA19A0</t>
        </is>
      </c>
    </row>
    <row r="10590">
      <c r="A10590" t="inlineStr">
        <is>
          <t xml:space="preserve">Nippon India Mutual Fund</t>
        </is>
      </c>
      <c r="B10590" t="inlineStr">
        <is>
          <t xml:space="preserve">Reliance Fixed Horizon Fund - XXIV - Series 7 - Direct Plan - Dividend Payout Option</t>
        </is>
      </c>
      <c r="C10590" t="inlineStr">
        <is>
          <t xml:space="preserve">INF204K010Z7</t>
        </is>
      </c>
    </row>
    <row r="10591">
      <c r="A10591" t="inlineStr">
        <is>
          <t xml:space="preserve">Nippon India Mutual Fund</t>
        </is>
      </c>
      <c r="B10591" t="inlineStr">
        <is>
          <t xml:space="preserve">Reliance Fixed Horizon Fund - XXIV - Series 7 - Direct Plan - Growth Option</t>
        </is>
      </c>
      <c r="C10591" t="inlineStr">
        <is>
          <t xml:space="preserve">INF204K019Y1</t>
        </is>
      </c>
    </row>
    <row r="10592">
      <c r="A10592" t="inlineStr">
        <is>
          <t xml:space="preserve">Nippon India Mutual Fund</t>
        </is>
      </c>
      <c r="B10592" t="inlineStr">
        <is>
          <t xml:space="preserve">Reliance Fixed Horizon Fund - XXIV - Series 7 - Dividend Payout Option</t>
        </is>
      </c>
      <c r="C10592" t="inlineStr">
        <is>
          <t xml:space="preserve">INF204K018Y3</t>
        </is>
      </c>
    </row>
    <row r="10593">
      <c r="A10593" t="inlineStr">
        <is>
          <t xml:space="preserve">Nippon India Mutual Fund</t>
        </is>
      </c>
      <c r="B10593" t="inlineStr">
        <is>
          <t xml:space="preserve">Reliance Fixed Horizon Fund - XXIV - Series 7 - Growth Option</t>
        </is>
      </c>
      <c r="C10593" t="inlineStr">
        <is>
          <t xml:space="preserve">INF204K017Y5</t>
        </is>
      </c>
    </row>
    <row r="10594">
      <c r="A10594" t="inlineStr">
        <is>
          <t xml:space="preserve">Nippon India Mutual Fund</t>
        </is>
      </c>
      <c r="B10594" t="inlineStr">
        <is>
          <t xml:space="preserve">Reliance Fixed Horizon Fund - XXIV - Series 8-Direct Plan-Growth Option</t>
        </is>
      </c>
      <c r="C10594" t="inlineStr">
        <is>
          <t xml:space="preserve">INF204K013Z1</t>
        </is>
      </c>
    </row>
    <row r="10595">
      <c r="A10595" t="inlineStr">
        <is>
          <t xml:space="preserve">Nippon India Mutual Fund</t>
        </is>
      </c>
      <c r="B10595" t="inlineStr">
        <is>
          <t xml:space="preserve">Reliance Fixed Horizon Fund - XXIV - Series 8-Dividend Payout Option</t>
        </is>
      </c>
      <c r="C10595" t="inlineStr">
        <is>
          <t xml:space="preserve">INF204K012Z3</t>
        </is>
      </c>
    </row>
    <row r="10596">
      <c r="A10596" t="inlineStr">
        <is>
          <t xml:space="preserve">Nippon India Mutual Fund</t>
        </is>
      </c>
      <c r="B10596" t="inlineStr">
        <is>
          <t xml:space="preserve">Reliance Fixed Horizon Fund - XXIV - Series 8-Growth Option</t>
        </is>
      </c>
      <c r="C10596" t="inlineStr">
        <is>
          <t xml:space="preserve">INF204K011Z5</t>
        </is>
      </c>
    </row>
    <row r="10597">
      <c r="A10597" t="inlineStr">
        <is>
          <t xml:space="preserve">Nippon India Mutual Fund</t>
        </is>
      </c>
      <c r="B10597" t="inlineStr">
        <is>
          <t xml:space="preserve">Reliance Fixed Horizon Fund - XXIV - Series 9 -Direct Plan -Growth Option</t>
        </is>
      </c>
      <c r="C10597" t="inlineStr">
        <is>
          <t xml:space="preserve">INF204KA1TL3</t>
        </is>
      </c>
    </row>
    <row r="10598">
      <c r="A10598" t="inlineStr">
        <is>
          <t xml:space="preserve">Nippon India Mutual Fund</t>
        </is>
      </c>
      <c r="B10598" t="inlineStr">
        <is>
          <t xml:space="preserve">Reliance Fixed Horizon Fund - XXIV - Series 9 -Dividend Payout Option</t>
        </is>
      </c>
      <c r="C10598" t="inlineStr">
        <is>
          <t xml:space="preserve">INF204KA1TK5</t>
        </is>
      </c>
    </row>
    <row r="10599">
      <c r="A10599" t="inlineStr">
        <is>
          <t xml:space="preserve">Nippon India Mutual Fund</t>
        </is>
      </c>
      <c r="B10599" t="inlineStr">
        <is>
          <t xml:space="preserve">Reliance Fixed Horizon Fund - XXIV - Series 9-Growth Option</t>
        </is>
      </c>
      <c r="C10599" t="inlineStr">
        <is>
          <t xml:space="preserve">INF204KA1TJ7</t>
        </is>
      </c>
    </row>
    <row r="10600">
      <c r="A10600" t="inlineStr">
        <is>
          <t xml:space="preserve">Nippon India Mutual Fund</t>
        </is>
      </c>
      <c r="B10600" t="inlineStr">
        <is>
          <t xml:space="preserve">Reliance Fixed Horizon Fund - XXV - Series 1 -Direct Plan -Dividend Payout Option</t>
        </is>
      </c>
      <c r="C10600" t="inlineStr">
        <is>
          <t xml:space="preserve">INF204KA19H5</t>
        </is>
      </c>
    </row>
    <row r="10601">
      <c r="A10601" t="inlineStr">
        <is>
          <t xml:space="preserve">Nippon India Mutual Fund</t>
        </is>
      </c>
      <c r="B10601" t="inlineStr">
        <is>
          <t xml:space="preserve">Reliance Fixed Horizon Fund - XXV - Series 1-Direct Plan -Growth Option</t>
        </is>
      </c>
      <c r="C10601" t="inlineStr">
        <is>
          <t xml:space="preserve">INF204KA18H7</t>
        </is>
      </c>
    </row>
    <row r="10602">
      <c r="A10602" t="inlineStr">
        <is>
          <t xml:space="preserve">Nippon India Mutual Fund</t>
        </is>
      </c>
      <c r="B10602" t="inlineStr">
        <is>
          <t xml:space="preserve">Reliance Fixed Horizon Fund - XXV - Series 1-Dividend Payout Option</t>
        </is>
      </c>
      <c r="C10602" t="inlineStr">
        <is>
          <t xml:space="preserve">INF204KA17H9</t>
        </is>
      </c>
    </row>
    <row r="10603">
      <c r="A10603" t="inlineStr">
        <is>
          <t xml:space="preserve">Nippon India Mutual Fund</t>
        </is>
      </c>
      <c r="B10603" t="inlineStr">
        <is>
          <t xml:space="preserve">Reliance Fixed Horizon Fund - XXV - Series 1-Growth Option</t>
        </is>
      </c>
      <c r="C10603" t="inlineStr">
        <is>
          <t xml:space="preserve">INF204KA16H1</t>
        </is>
      </c>
    </row>
    <row r="10604">
      <c r="A10604" t="inlineStr">
        <is>
          <t xml:space="preserve">Nippon India Mutual Fund</t>
        </is>
      </c>
      <c r="B10604" t="inlineStr">
        <is>
          <t xml:space="preserve">Reliance Fixed Horizon Fund - XXV - Series 11 - Direct Plan - Growth Option</t>
        </is>
      </c>
      <c r="C10604" t="inlineStr">
        <is>
          <t xml:space="preserve">INF204KA1GF2</t>
        </is>
      </c>
    </row>
    <row r="10605">
      <c r="A10605" t="inlineStr">
        <is>
          <t xml:space="preserve">Nippon India Mutual Fund</t>
        </is>
      </c>
      <c r="B10605" t="inlineStr">
        <is>
          <t xml:space="preserve">Reliance Fixed Horizon Fund - XXV - Series 11 - Growth Option</t>
        </is>
      </c>
      <c r="C10605" t="inlineStr">
        <is>
          <t xml:space="preserve">INF204KA1GH8</t>
        </is>
      </c>
    </row>
    <row r="10606">
      <c r="A10606" t="inlineStr">
        <is>
          <t xml:space="preserve">Nippon India Mutual Fund</t>
        </is>
      </c>
      <c r="B10606" t="inlineStr">
        <is>
          <t xml:space="preserve">Reliance Fixed Horizon Fund - XXV - Series 12 - Direct Plan - Growth Option</t>
        </is>
      </c>
      <c r="C10606" t="inlineStr">
        <is>
          <t xml:space="preserve">INF204KA1GJ4</t>
        </is>
      </c>
    </row>
    <row r="10607">
      <c r="A10607" t="inlineStr">
        <is>
          <t xml:space="preserve">Nippon India Mutual Fund</t>
        </is>
      </c>
      <c r="B10607" t="inlineStr">
        <is>
          <t xml:space="preserve">Reliance Fixed Horizon Fund - XXV - Series 12 - Dividend Payout Option</t>
        </is>
      </c>
      <c r="C10607" t="inlineStr">
        <is>
          <t xml:space="preserve">INF204KA1GM8</t>
        </is>
      </c>
    </row>
    <row r="10608">
      <c r="A10608" t="inlineStr">
        <is>
          <t xml:space="preserve">Nippon India Mutual Fund</t>
        </is>
      </c>
      <c r="B10608" t="inlineStr">
        <is>
          <t xml:space="preserve">Reliance Fixed Horizon Fund - XXV - Series 12 - Growth Option</t>
        </is>
      </c>
      <c r="C10608" t="inlineStr">
        <is>
          <t xml:space="preserve">INF204KA1GL0</t>
        </is>
      </c>
    </row>
    <row r="10609">
      <c r="A10609" t="inlineStr">
        <is>
          <t xml:space="preserve">Nippon India Mutual Fund</t>
        </is>
      </c>
      <c r="B10609" t="inlineStr">
        <is>
          <t xml:space="preserve">Reliance Fixed Horizon Fund - XXV - Series 13 - Direct Plan - Growth Option</t>
        </is>
      </c>
      <c r="C10609" t="inlineStr">
        <is>
          <t xml:space="preserve">INF204KA1GN6</t>
        </is>
      </c>
    </row>
    <row r="10610">
      <c r="A10610" t="inlineStr">
        <is>
          <t xml:space="preserve">Nippon India Mutual Fund</t>
        </is>
      </c>
      <c r="B10610" t="inlineStr">
        <is>
          <t xml:space="preserve">Reliance Fixed Horizon Fund - XXV - Series 13 - Dividend Payout Option</t>
        </is>
      </c>
      <c r="C10610" t="inlineStr">
        <is>
          <t xml:space="preserve">INF204KA1GQ9</t>
        </is>
      </c>
    </row>
    <row r="10611">
      <c r="A10611" t="inlineStr">
        <is>
          <t xml:space="preserve">Nippon India Mutual Fund</t>
        </is>
      </c>
      <c r="B10611" t="inlineStr">
        <is>
          <t xml:space="preserve">Reliance Fixed Horizon Fund - XXV - Series 13 - Growth Option</t>
        </is>
      </c>
      <c r="C10611" t="inlineStr">
        <is>
          <t xml:space="preserve">INF204KA1GP1</t>
        </is>
      </c>
    </row>
    <row r="10612">
      <c r="A10612" t="inlineStr">
        <is>
          <t xml:space="preserve">Nippon India Mutual Fund</t>
        </is>
      </c>
      <c r="B10612" t="inlineStr">
        <is>
          <t xml:space="preserve">Reliance Fixed Horizon Fund - XXV - Series 14-Direct Plan -Growth Option</t>
        </is>
      </c>
      <c r="C10612" t="inlineStr">
        <is>
          <t xml:space="preserve">INF204KA1GR7</t>
        </is>
      </c>
    </row>
    <row r="10613">
      <c r="A10613" t="inlineStr">
        <is>
          <t xml:space="preserve">Nippon India Mutual Fund</t>
        </is>
      </c>
      <c r="B10613" t="inlineStr">
        <is>
          <t xml:space="preserve">Reliance Fixed Horizon Fund - XXV - Series 14-Growth Option</t>
        </is>
      </c>
      <c r="C10613" t="inlineStr">
        <is>
          <t xml:space="preserve">INF204KA1GT3</t>
        </is>
      </c>
    </row>
    <row r="10614">
      <c r="A10614" t="inlineStr">
        <is>
          <t xml:space="preserve">Nippon India Mutual Fund</t>
        </is>
      </c>
      <c r="B10614" t="inlineStr">
        <is>
          <t xml:space="preserve">Reliance Fixed Horizon Fund - XXV - Series 16 - Direct Plan - Dividend Payout Option</t>
        </is>
      </c>
      <c r="C10614" t="inlineStr">
        <is>
          <t xml:space="preserve">INF204KA1HA1</t>
        </is>
      </c>
    </row>
    <row r="10615">
      <c r="A10615" t="inlineStr">
        <is>
          <t xml:space="preserve">Nippon India Mutual Fund</t>
        </is>
      </c>
      <c r="B10615" t="inlineStr">
        <is>
          <t xml:space="preserve">Reliance Fixed Horizon Fund - XXV - Series 16 - Direct Plan - Growth Option</t>
        </is>
      </c>
      <c r="C10615" t="inlineStr">
        <is>
          <t xml:space="preserve">INF204KA1GZ0</t>
        </is>
      </c>
    </row>
    <row r="10616">
      <c r="A10616" t="inlineStr">
        <is>
          <t xml:space="preserve">Nippon India Mutual Fund</t>
        </is>
      </c>
      <c r="B10616" t="inlineStr">
        <is>
          <t xml:space="preserve">Reliance Fixed Horizon Fund - XXV - Series 16 - Dividend Payout Option</t>
        </is>
      </c>
      <c r="C10616" t="inlineStr">
        <is>
          <t xml:space="preserve">INF204KA1HC7</t>
        </is>
      </c>
    </row>
    <row r="10617">
      <c r="A10617" t="inlineStr">
        <is>
          <t xml:space="preserve">Nippon India Mutual Fund</t>
        </is>
      </c>
      <c r="B10617" t="inlineStr">
        <is>
          <t xml:space="preserve">Reliance Fixed Horizon Fund - XXV - Series 16 - Growth Option</t>
        </is>
      </c>
      <c r="C10617" t="inlineStr">
        <is>
          <t xml:space="preserve">INF204KA1HB9</t>
        </is>
      </c>
    </row>
    <row r="10618">
      <c r="A10618" t="inlineStr">
        <is>
          <t xml:space="preserve">Nippon India Mutual Fund</t>
        </is>
      </c>
      <c r="B10618" t="inlineStr">
        <is>
          <t xml:space="preserve">Reliance Fixed Horizon Fund - XXV - Series 17 - Direct Plan - Dividend Payout Option</t>
        </is>
      </c>
      <c r="C10618" t="inlineStr">
        <is>
          <t xml:space="preserve">INF204KA1HE3</t>
        </is>
      </c>
    </row>
    <row r="10619">
      <c r="A10619" t="inlineStr">
        <is>
          <t xml:space="preserve">Nippon India Mutual Fund</t>
        </is>
      </c>
      <c r="B10619" t="inlineStr">
        <is>
          <t xml:space="preserve">Reliance Fixed Horizon Fund - XXV - Series 17 - Direct Plan - Growth Option</t>
        </is>
      </c>
      <c r="C10619" t="inlineStr">
        <is>
          <t xml:space="preserve">INF204KA1HD5</t>
        </is>
      </c>
    </row>
    <row r="10620">
      <c r="A10620" t="inlineStr">
        <is>
          <t xml:space="preserve">Nippon India Mutual Fund</t>
        </is>
      </c>
      <c r="B10620" t="inlineStr">
        <is>
          <t xml:space="preserve">Reliance Fixed Horizon Fund - XXV - Series 17 - Growth Option</t>
        </is>
      </c>
      <c r="C10620" t="inlineStr">
        <is>
          <t xml:space="preserve">INF204KA1HF0</t>
        </is>
      </c>
    </row>
    <row r="10621">
      <c r="A10621" t="inlineStr">
        <is>
          <t xml:space="preserve">Nippon India Mutual Fund</t>
        </is>
      </c>
      <c r="B10621" t="inlineStr">
        <is>
          <t xml:space="preserve">Reliance Fixed Horizon Fund - XXV - Series 18 - Direct Plan - Growth Option</t>
        </is>
      </c>
      <c r="C10621" t="inlineStr">
        <is>
          <t xml:space="preserve">INF204KA1E46</t>
        </is>
      </c>
    </row>
    <row r="10622">
      <c r="A10622" t="inlineStr">
        <is>
          <t xml:space="preserve">Nippon India Mutual Fund</t>
        </is>
      </c>
      <c r="B10622" t="inlineStr">
        <is>
          <t xml:space="preserve">Reliance Fixed Horizon Fund - XXV - Series 18 - Growth Option</t>
        </is>
      </c>
      <c r="C10622" t="inlineStr">
        <is>
          <t xml:space="preserve">INF204KA1E20</t>
        </is>
      </c>
    </row>
    <row r="10623">
      <c r="A10623" t="inlineStr">
        <is>
          <t xml:space="preserve">Nippon India Mutual Fund</t>
        </is>
      </c>
      <c r="B10623" t="inlineStr">
        <is>
          <t xml:space="preserve">Reliance Fixed Horizon Fund - XXV - Series 19 - Direct Plan - Growth Option</t>
        </is>
      </c>
      <c r="C10623" t="inlineStr">
        <is>
          <t xml:space="preserve">INF204KA1HL8</t>
        </is>
      </c>
    </row>
    <row r="10624">
      <c r="A10624" t="inlineStr">
        <is>
          <t xml:space="preserve">Nippon India Mutual Fund</t>
        </is>
      </c>
      <c r="B10624" t="inlineStr">
        <is>
          <t xml:space="preserve">Reliance Fixed Horizon Fund - XXV - Series 19 - Dividend Payout Option</t>
        </is>
      </c>
      <c r="C10624" t="inlineStr">
        <is>
          <t xml:space="preserve">INF204KA1HO2</t>
        </is>
      </c>
    </row>
    <row r="10625">
      <c r="A10625" t="inlineStr">
        <is>
          <t xml:space="preserve">Nippon India Mutual Fund</t>
        </is>
      </c>
      <c r="B10625" t="inlineStr">
        <is>
          <t xml:space="preserve">Reliance Fixed Horizon Fund - XXV - Series 19 - Growth Option</t>
        </is>
      </c>
      <c r="C10625" t="inlineStr">
        <is>
          <t xml:space="preserve">INF204KA1HN4</t>
        </is>
      </c>
    </row>
    <row r="10626">
      <c r="A10626" t="inlineStr">
        <is>
          <t xml:space="preserve">Nippon India Mutual Fund</t>
        </is>
      </c>
      <c r="B10626" t="inlineStr">
        <is>
          <t xml:space="preserve">Reliance Fixed Horizon Fund - XXV - Series 2 -Direct Plan -Dividend Payout Option</t>
        </is>
      </c>
      <c r="C10626" t="inlineStr">
        <is>
          <t xml:space="preserve">INF204KA1EW2</t>
        </is>
      </c>
    </row>
    <row r="10627">
      <c r="A10627" t="inlineStr">
        <is>
          <t xml:space="preserve">Nippon India Mutual Fund</t>
        </is>
      </c>
      <c r="B10627" t="inlineStr">
        <is>
          <t xml:space="preserve">Reliance Fixed Horizon Fund - XXV - Series 2-Direct Plan-Growth Option</t>
        </is>
      </c>
      <c r="C10627" t="inlineStr">
        <is>
          <t xml:space="preserve">INF204KA1EV4</t>
        </is>
      </c>
    </row>
    <row r="10628">
      <c r="A10628" t="inlineStr">
        <is>
          <t xml:space="preserve">Nippon India Mutual Fund</t>
        </is>
      </c>
      <c r="B10628" t="inlineStr">
        <is>
          <t xml:space="preserve">Reliance Fixed Horizon Fund - XXV - Series 2-Dividend Payout Option</t>
        </is>
      </c>
      <c r="C10628" t="inlineStr">
        <is>
          <t xml:space="preserve">INF204KA1EY8</t>
        </is>
      </c>
    </row>
    <row r="10629">
      <c r="A10629" t="inlineStr">
        <is>
          <t xml:space="preserve">Nippon India Mutual Fund</t>
        </is>
      </c>
      <c r="B10629" t="inlineStr">
        <is>
          <t xml:space="preserve">Reliance Fixed Horizon Fund - XXV - Series 2-Growth Option</t>
        </is>
      </c>
      <c r="C10629" t="inlineStr">
        <is>
          <t xml:space="preserve">INF204KA1EX0</t>
        </is>
      </c>
    </row>
    <row r="10630">
      <c r="A10630" t="inlineStr">
        <is>
          <t xml:space="preserve">Nippon India Mutual Fund</t>
        </is>
      </c>
      <c r="B10630" t="inlineStr">
        <is>
          <t xml:space="preserve">Reliance Fixed Horizon Fund - XXV - Series 20 - Direct Plan - Dividend Payout Option</t>
        </is>
      </c>
      <c r="C10630" t="inlineStr">
        <is>
          <t xml:space="preserve">INF204KA1HQ7</t>
        </is>
      </c>
    </row>
    <row r="10631">
      <c r="A10631" t="inlineStr">
        <is>
          <t xml:space="preserve">Nippon India Mutual Fund</t>
        </is>
      </c>
      <c r="B10631" t="inlineStr">
        <is>
          <t xml:space="preserve">Reliance Fixed Horizon Fund - XXV - Series 20 - Direct Plan - Growth Option</t>
        </is>
      </c>
      <c r="C10631" t="inlineStr">
        <is>
          <t xml:space="preserve">INF204KA1HP9</t>
        </is>
      </c>
    </row>
    <row r="10632">
      <c r="A10632" t="inlineStr">
        <is>
          <t xml:space="preserve">Nippon India Mutual Fund</t>
        </is>
      </c>
      <c r="B10632" t="inlineStr">
        <is>
          <t xml:space="preserve">Reliance Fixed Horizon Fund - XXV - Series 20 - Dividend Payout Option</t>
        </is>
      </c>
      <c r="C10632" t="inlineStr">
        <is>
          <t xml:space="preserve">INF204KA1HS3</t>
        </is>
      </c>
    </row>
    <row r="10633">
      <c r="A10633" t="inlineStr">
        <is>
          <t xml:space="preserve">Nippon India Mutual Fund</t>
        </is>
      </c>
      <c r="B10633" t="inlineStr">
        <is>
          <t xml:space="preserve">Reliance Fixed Horizon Fund - XXV - Series 20 - Growth Option</t>
        </is>
      </c>
      <c r="C10633" t="inlineStr">
        <is>
          <t xml:space="preserve">INF204KA1HR5</t>
        </is>
      </c>
    </row>
    <row r="10634">
      <c r="A10634" t="inlineStr">
        <is>
          <t xml:space="preserve">Nippon India Mutual Fund</t>
        </is>
      </c>
      <c r="B10634" t="inlineStr">
        <is>
          <t xml:space="preserve">Reliance Fixed Horizon Fund - XXV - Series 21 - Direct Plan - Dividend Payout Option</t>
        </is>
      </c>
      <c r="C10634" t="inlineStr">
        <is>
          <t xml:space="preserve">INF204KA1HY1</t>
        </is>
      </c>
    </row>
    <row r="10635">
      <c r="A10635" t="inlineStr">
        <is>
          <t xml:space="preserve">Nippon India Mutual Fund</t>
        </is>
      </c>
      <c r="B10635" t="inlineStr">
        <is>
          <t xml:space="preserve">Reliance Fixed Horizon Fund - XXV - Series 21 - Direct Plan - Growth Option</t>
        </is>
      </c>
      <c r="C10635" t="inlineStr">
        <is>
          <t xml:space="preserve">INF204KA1HX3</t>
        </is>
      </c>
    </row>
    <row r="10636">
      <c r="A10636" t="inlineStr">
        <is>
          <t xml:space="preserve">Nippon India Mutual Fund</t>
        </is>
      </c>
      <c r="B10636" t="inlineStr">
        <is>
          <t xml:space="preserve">Reliance Fixed Horizon Fund - XXV - Series 21 - Dividend Payout Option</t>
        </is>
      </c>
      <c r="C10636" t="inlineStr">
        <is>
          <t xml:space="preserve">INF204KA1IA9</t>
        </is>
      </c>
    </row>
    <row r="10637">
      <c r="A10637" t="inlineStr">
        <is>
          <t xml:space="preserve">Nippon India Mutual Fund</t>
        </is>
      </c>
      <c r="B10637" t="inlineStr">
        <is>
          <t xml:space="preserve">Reliance Fixed Horizon Fund - XXV - Series 21 - Growth Option</t>
        </is>
      </c>
      <c r="C10637" t="inlineStr">
        <is>
          <t xml:space="preserve">INF204KA1HZ8</t>
        </is>
      </c>
    </row>
    <row r="10638">
      <c r="A10638" t="inlineStr">
        <is>
          <t xml:space="preserve">Nippon India Mutual Fund</t>
        </is>
      </c>
      <c r="B10638" t="inlineStr">
        <is>
          <t xml:space="preserve">Reliance Fixed Horizon Fund - XXV - Series 22 - Direct Plan - Dividend Payout Option</t>
        </is>
      </c>
      <c r="C10638" t="inlineStr">
        <is>
          <t xml:space="preserve">INF204KA1IC5</t>
        </is>
      </c>
    </row>
    <row r="10639">
      <c r="A10639" t="inlineStr">
        <is>
          <t xml:space="preserve">Nippon India Mutual Fund</t>
        </is>
      </c>
      <c r="B10639" t="inlineStr">
        <is>
          <t xml:space="preserve">Reliance Fixed Horizon Fund - XXV - Series 22 - Direct Plan - Growth Option</t>
        </is>
      </c>
      <c r="C10639" t="inlineStr">
        <is>
          <t xml:space="preserve">INF204KA1IB7</t>
        </is>
      </c>
    </row>
    <row r="10640">
      <c r="A10640" t="inlineStr">
        <is>
          <t xml:space="preserve">Nippon India Mutual Fund</t>
        </is>
      </c>
      <c r="B10640" t="inlineStr">
        <is>
          <t xml:space="preserve">Reliance Fixed Horizon Fund - XXV - Series 22 - Dividend Payout Option</t>
        </is>
      </c>
      <c r="C10640" t="inlineStr">
        <is>
          <t xml:space="preserve">INF204KA1IE1</t>
        </is>
      </c>
    </row>
    <row r="10641">
      <c r="A10641" t="inlineStr">
        <is>
          <t xml:space="preserve">Nippon India Mutual Fund</t>
        </is>
      </c>
      <c r="B10641" t="inlineStr">
        <is>
          <t xml:space="preserve">Reliance Fixed Horizon Fund - XXV - Series 22 - Growth Option</t>
        </is>
      </c>
      <c r="C10641" t="inlineStr">
        <is>
          <t xml:space="preserve">INF204KA1ID3</t>
        </is>
      </c>
    </row>
    <row r="10642">
      <c r="A10642" t="inlineStr">
        <is>
          <t xml:space="preserve">Nippon India Mutual Fund</t>
        </is>
      </c>
      <c r="B10642" t="inlineStr">
        <is>
          <t xml:space="preserve">Reliance Fixed Horizon Fund - XXV - Series 23 - Direct Plan - Dividend Payout Option</t>
        </is>
      </c>
      <c r="C10642" t="inlineStr">
        <is>
          <t xml:space="preserve">INF204KA1II2</t>
        </is>
      </c>
    </row>
    <row r="10643">
      <c r="A10643" t="inlineStr">
        <is>
          <t xml:space="preserve">Nippon India Mutual Fund</t>
        </is>
      </c>
      <c r="B10643" t="inlineStr">
        <is>
          <t xml:space="preserve">Reliance Fixed Horizon Fund - XXV - Series 23 - Direct Plan - Growth Option</t>
        </is>
      </c>
      <c r="C10643" t="inlineStr">
        <is>
          <t xml:space="preserve">INF204KA1IH4</t>
        </is>
      </c>
    </row>
    <row r="10644">
      <c r="A10644" t="inlineStr">
        <is>
          <t xml:space="preserve">Nippon India Mutual Fund</t>
        </is>
      </c>
      <c r="B10644" t="inlineStr">
        <is>
          <t xml:space="preserve">Reliance Fixed Horizon Fund - XXV - Series 23 - Dividend Payout Option</t>
        </is>
      </c>
      <c r="C10644" t="inlineStr">
        <is>
          <t xml:space="preserve">INF204KA1IG6</t>
        </is>
      </c>
    </row>
    <row r="10645">
      <c r="A10645" t="inlineStr">
        <is>
          <t xml:space="preserve">Nippon India Mutual Fund</t>
        </is>
      </c>
      <c r="B10645" t="inlineStr">
        <is>
          <t xml:space="preserve">Reliance Fixed Horizon Fund - XXV - Series 23 - Growth Option</t>
        </is>
      </c>
      <c r="C10645" t="inlineStr">
        <is>
          <t xml:space="preserve">INF204KA1IF8</t>
        </is>
      </c>
    </row>
    <row r="10646">
      <c r="A10646" t="inlineStr">
        <is>
          <t xml:space="preserve">Nippon India Mutual Fund</t>
        </is>
      </c>
      <c r="B10646" t="inlineStr">
        <is>
          <t xml:space="preserve">Reliance Fixed Horizon Fund - XXV - Series 24 - Direct Plan - Growth Option</t>
        </is>
      </c>
      <c r="C10646" t="inlineStr">
        <is>
          <t xml:space="preserve">INF204KA1G10</t>
        </is>
      </c>
    </row>
    <row r="10647">
      <c r="A10647" t="inlineStr">
        <is>
          <t xml:space="preserve">Nippon India Mutual Fund</t>
        </is>
      </c>
      <c r="B10647" t="inlineStr">
        <is>
          <t xml:space="preserve">Reliance Fixed Horizon Fund - XXV - Series 24 - Growth Option</t>
        </is>
      </c>
      <c r="C10647" t="inlineStr">
        <is>
          <t xml:space="preserve">INF204KA1F94</t>
        </is>
      </c>
    </row>
    <row r="10648">
      <c r="A10648" t="inlineStr">
        <is>
          <t xml:space="preserve">Nippon India Mutual Fund</t>
        </is>
      </c>
      <c r="B10648" t="inlineStr">
        <is>
          <t xml:space="preserve">Reliance Fixed Horizon Fund - XXV - Series 25 - Direct Plan - Dividend Payout Option</t>
        </is>
      </c>
      <c r="C10648" t="inlineStr">
        <is>
          <t xml:space="preserve">INF204KA1IQ5</t>
        </is>
      </c>
    </row>
    <row r="10649">
      <c r="A10649" t="inlineStr">
        <is>
          <t xml:space="preserve">Nippon India Mutual Fund</t>
        </is>
      </c>
      <c r="B10649" t="inlineStr">
        <is>
          <t xml:space="preserve">Reliance Fixed Horizon Fund - XXV - Series 25 - Direct Plan - Growth Option</t>
        </is>
      </c>
      <c r="C10649" t="inlineStr">
        <is>
          <t xml:space="preserve">INF204KA1IP7</t>
        </is>
      </c>
    </row>
    <row r="10650">
      <c r="A10650" t="inlineStr">
        <is>
          <t xml:space="preserve">Nippon India Mutual Fund</t>
        </is>
      </c>
      <c r="B10650" t="inlineStr">
        <is>
          <t xml:space="preserve">Reliance Fixed Horizon Fund - XXV - Series 25 - Dividend Payout Option</t>
        </is>
      </c>
      <c r="C10650" t="inlineStr">
        <is>
          <t xml:space="preserve">INF204KA1IO0</t>
        </is>
      </c>
    </row>
    <row r="10651">
      <c r="A10651" t="inlineStr">
        <is>
          <t xml:space="preserve">Nippon India Mutual Fund</t>
        </is>
      </c>
      <c r="B10651" t="inlineStr">
        <is>
          <t xml:space="preserve">Reliance Fixed Horizon Fund - XXV - Series 25 - Growth Option</t>
        </is>
      </c>
      <c r="C10651" t="inlineStr">
        <is>
          <t xml:space="preserve">INF204KA1IN2</t>
        </is>
      </c>
    </row>
    <row r="10652">
      <c r="A10652" t="inlineStr">
        <is>
          <t xml:space="preserve">Nippon India Mutual Fund</t>
        </is>
      </c>
      <c r="B10652" t="inlineStr">
        <is>
          <t xml:space="preserve">Reliance Fixed Horizon Fund - XXV - Series 26 - Direct Plan - Growth Option</t>
        </is>
      </c>
      <c r="C10652" t="inlineStr">
        <is>
          <t xml:space="preserve">INF204KA1JB5</t>
        </is>
      </c>
    </row>
    <row r="10653">
      <c r="A10653" t="inlineStr">
        <is>
          <t xml:space="preserve">Nippon India Mutual Fund</t>
        </is>
      </c>
      <c r="B10653" t="inlineStr">
        <is>
          <t xml:space="preserve">Reliance Fixed Horizon Fund - XXV - Series 26 - Growth Option</t>
        </is>
      </c>
      <c r="C10653" t="inlineStr">
        <is>
          <t xml:space="preserve">INF204KA1IZ6</t>
        </is>
      </c>
    </row>
    <row r="10654">
      <c r="A10654" t="inlineStr">
        <is>
          <t xml:space="preserve">Nippon India Mutual Fund</t>
        </is>
      </c>
      <c r="B10654" t="inlineStr">
        <is>
          <t xml:space="preserve">Reliance Fixed Horizon Fund - XXV - Series 27 - Direct Plan - Dividend Payout Option</t>
        </is>
      </c>
      <c r="C10654" t="inlineStr">
        <is>
          <t xml:space="preserve">INF204KA1JG4</t>
        </is>
      </c>
    </row>
    <row r="10655">
      <c r="A10655" t="inlineStr">
        <is>
          <t xml:space="preserve">Nippon India Mutual Fund</t>
        </is>
      </c>
      <c r="B10655" t="inlineStr">
        <is>
          <t xml:space="preserve">Reliance Fixed Horizon Fund - XXV - Series 27 - Direct Plan - Growth Option</t>
        </is>
      </c>
      <c r="C10655" t="inlineStr">
        <is>
          <t xml:space="preserve">INF204KA1JF6</t>
        </is>
      </c>
    </row>
    <row r="10656">
      <c r="A10656" t="inlineStr">
        <is>
          <t xml:space="preserve">Nippon India Mutual Fund</t>
        </is>
      </c>
      <c r="B10656" t="inlineStr">
        <is>
          <t xml:space="preserve">Reliance Fixed Horizon Fund - XXV - Series 27 - Dividend Payout Option</t>
        </is>
      </c>
      <c r="C10656" t="inlineStr">
        <is>
          <t xml:space="preserve">INF204KA1JE9</t>
        </is>
      </c>
    </row>
    <row r="10657">
      <c r="A10657" t="inlineStr">
        <is>
          <t xml:space="preserve">Nippon India Mutual Fund</t>
        </is>
      </c>
      <c r="B10657" t="inlineStr">
        <is>
          <t xml:space="preserve">Reliance Fixed Horizon Fund - XXV - Series 27 - Growth Option</t>
        </is>
      </c>
      <c r="C10657" t="inlineStr">
        <is>
          <t xml:space="preserve">INF204KA1JD1</t>
        </is>
      </c>
    </row>
    <row r="10658">
      <c r="A10658" t="inlineStr">
        <is>
          <t xml:space="preserve">Nippon India Mutual Fund</t>
        </is>
      </c>
      <c r="B10658" t="inlineStr">
        <is>
          <t xml:space="preserve">Reliance Fixed Horizon Fund - XXV - Series 28 - Direct Plan - Dividend Payout Option</t>
        </is>
      </c>
      <c r="C10658" t="inlineStr">
        <is>
          <t xml:space="preserve">INF204KA1JK6</t>
        </is>
      </c>
    </row>
    <row r="10659">
      <c r="A10659" t="inlineStr">
        <is>
          <t xml:space="preserve">Nippon India Mutual Fund</t>
        </is>
      </c>
      <c r="B10659" t="inlineStr">
        <is>
          <t xml:space="preserve">Reliance Fixed Horizon Fund - XXV - Series 28 - Direct Plan - Growth Option</t>
        </is>
      </c>
      <c r="C10659" t="inlineStr">
        <is>
          <t xml:space="preserve">INF204KA1JJ8</t>
        </is>
      </c>
    </row>
    <row r="10660">
      <c r="A10660" t="inlineStr">
        <is>
          <t xml:space="preserve">Nippon India Mutual Fund</t>
        </is>
      </c>
      <c r="B10660" t="inlineStr">
        <is>
          <t xml:space="preserve">Reliance Fixed Horizon Fund - XXV - Series 28 - Dividend Payout Option</t>
        </is>
      </c>
      <c r="C10660" t="inlineStr">
        <is>
          <t xml:space="preserve">INF204KA1JI0</t>
        </is>
      </c>
    </row>
    <row r="10661">
      <c r="A10661" t="inlineStr">
        <is>
          <t xml:space="preserve">Nippon India Mutual Fund</t>
        </is>
      </c>
      <c r="B10661" t="inlineStr">
        <is>
          <t xml:space="preserve">Reliance Fixed Horizon Fund - XXV - Series 28 - Growth Option</t>
        </is>
      </c>
      <c r="C10661" t="inlineStr">
        <is>
          <t xml:space="preserve">INF204KA1JH2</t>
        </is>
      </c>
    </row>
    <row r="10662">
      <c r="A10662" t="inlineStr">
        <is>
          <t xml:space="preserve">Nippon India Mutual Fund</t>
        </is>
      </c>
      <c r="B10662" t="inlineStr">
        <is>
          <t xml:space="preserve">Reliance Fixed Horizon Fund - XXV - Series 3  - Dividend Payout Option</t>
        </is>
      </c>
      <c r="C10662" t="inlineStr">
        <is>
          <t xml:space="preserve">INF204KA19G7</t>
        </is>
      </c>
    </row>
    <row r="10663">
      <c r="A10663" t="inlineStr">
        <is>
          <t xml:space="preserve">Nippon India Mutual Fund</t>
        </is>
      </c>
      <c r="B10663" t="inlineStr">
        <is>
          <t xml:space="preserve">Reliance Fixed Horizon Fund - XXV - Series 3 - Direct Plan - Dividend Payout Option</t>
        </is>
      </c>
      <c r="C10663" t="inlineStr">
        <is>
          <t xml:space="preserve">INF204KA11H2</t>
        </is>
      </c>
    </row>
    <row r="10664">
      <c r="A10664" t="inlineStr">
        <is>
          <t xml:space="preserve">Nippon India Mutual Fund</t>
        </is>
      </c>
      <c r="B10664" t="inlineStr">
        <is>
          <t xml:space="preserve">Reliance Fixed Horizon Fund - XXV - Series 3 - Direct Plan - Growth Option</t>
        </is>
      </c>
      <c r="C10664" t="inlineStr">
        <is>
          <t xml:space="preserve">INF204KA10H4</t>
        </is>
      </c>
    </row>
    <row r="10665">
      <c r="A10665" t="inlineStr">
        <is>
          <t xml:space="preserve">Nippon India Mutual Fund</t>
        </is>
      </c>
      <c r="B10665" t="inlineStr">
        <is>
          <t xml:space="preserve">Reliance Fixed Horizon Fund - XXV - Series 3 - Growth Option</t>
        </is>
      </c>
      <c r="C10665" t="inlineStr">
        <is>
          <t xml:space="preserve">INF204KA18G9</t>
        </is>
      </c>
    </row>
    <row r="10666">
      <c r="A10666" t="inlineStr">
        <is>
          <t xml:space="preserve">Nippon India Mutual Fund</t>
        </is>
      </c>
      <c r="B10666" t="inlineStr">
        <is>
          <t xml:space="preserve">Reliance Fixed Horizon Fund - XXV - Series 30 - Direct Plan - Dividend Payout Option</t>
        </is>
      </c>
      <c r="C10666" t="inlineStr">
        <is>
          <t xml:space="preserve">INF204KA1JS9</t>
        </is>
      </c>
    </row>
    <row r="10667">
      <c r="A10667" t="inlineStr">
        <is>
          <t xml:space="preserve">Nippon India Mutual Fund</t>
        </is>
      </c>
      <c r="B10667" t="inlineStr">
        <is>
          <t xml:space="preserve">Reliance Fixed Horizon Fund - XXV - Series 30 - Direct Plan - Growth Option</t>
        </is>
      </c>
      <c r="C10667" t="inlineStr">
        <is>
          <t xml:space="preserve">INF204KA1JR1</t>
        </is>
      </c>
    </row>
    <row r="10668">
      <c r="A10668" t="inlineStr">
        <is>
          <t xml:space="preserve">Nippon India Mutual Fund</t>
        </is>
      </c>
      <c r="B10668" t="inlineStr">
        <is>
          <t xml:space="preserve">Reliance Fixed Horizon Fund - XXV - Series 30 - Dividend Payout Option</t>
        </is>
      </c>
      <c r="C10668" t="inlineStr">
        <is>
          <t xml:space="preserve">INF204KA1JQ3</t>
        </is>
      </c>
    </row>
    <row r="10669">
      <c r="A10669" t="inlineStr">
        <is>
          <t xml:space="preserve">Nippon India Mutual Fund</t>
        </is>
      </c>
      <c r="B10669" t="inlineStr">
        <is>
          <t xml:space="preserve">Reliance Fixed Horizon Fund - XXV - Series 30 - Growth Option</t>
        </is>
      </c>
      <c r="C10669" t="inlineStr">
        <is>
          <t xml:space="preserve">INF204KA1JP5</t>
        </is>
      </c>
    </row>
    <row r="10670">
      <c r="A10670" t="inlineStr">
        <is>
          <t xml:space="preserve">Nippon India Mutual Fund</t>
        </is>
      </c>
      <c r="B10670" t="inlineStr">
        <is>
          <t xml:space="preserve">Reliance Fixed Horizon Fund - XXV - Series 31 - Direct Plan - Growth Option</t>
        </is>
      </c>
      <c r="C10670" t="inlineStr">
        <is>
          <t xml:space="preserve">INF204KA1JV3</t>
        </is>
      </c>
    </row>
    <row r="10671">
      <c r="A10671" t="inlineStr">
        <is>
          <t xml:space="preserve">Nippon India Mutual Fund</t>
        </is>
      </c>
      <c r="B10671" t="inlineStr">
        <is>
          <t xml:space="preserve">Reliance Fixed Horizon Fund - XXV - Series 31 - Dividend Payout Option</t>
        </is>
      </c>
      <c r="C10671" t="inlineStr">
        <is>
          <t xml:space="preserve">INF204KA1JU5</t>
        </is>
      </c>
    </row>
    <row r="10672">
      <c r="A10672" t="inlineStr">
        <is>
          <t xml:space="preserve">Nippon India Mutual Fund</t>
        </is>
      </c>
      <c r="B10672" t="inlineStr">
        <is>
          <t xml:space="preserve">Reliance Fixed Horizon Fund - XXV - Series 31 - Growth Option</t>
        </is>
      </c>
      <c r="C10672" t="inlineStr">
        <is>
          <t xml:space="preserve">INF204KA1JT7</t>
        </is>
      </c>
    </row>
    <row r="10673">
      <c r="A10673" t="inlineStr">
        <is>
          <t xml:space="preserve">Nippon India Mutual Fund</t>
        </is>
      </c>
      <c r="B10673" t="inlineStr">
        <is>
          <t xml:space="preserve">Reliance Fixed Horizon Fund - XXV - Series 32 - Direct Plan - Growth Option</t>
        </is>
      </c>
      <c r="C10673" t="inlineStr">
        <is>
          <t xml:space="preserve">INF204KA1KD9</t>
        </is>
      </c>
    </row>
    <row r="10674">
      <c r="A10674" t="inlineStr">
        <is>
          <t xml:space="preserve">Nippon India Mutual Fund</t>
        </is>
      </c>
      <c r="B10674" t="inlineStr">
        <is>
          <t xml:space="preserve">Reliance Fixed Horizon Fund - XXV - Series 32 - Growth Option</t>
        </is>
      </c>
      <c r="C10674" t="inlineStr">
        <is>
          <t xml:space="preserve">INF204KA1KB3</t>
        </is>
      </c>
    </row>
    <row r="10675">
      <c r="A10675" t="inlineStr">
        <is>
          <t xml:space="preserve">Nippon India Mutual Fund</t>
        </is>
      </c>
      <c r="B10675" t="inlineStr">
        <is>
          <t xml:space="preserve">Reliance Fixed Horizon Fund - XXV - Series 33 - Direct Plan - Growth Option</t>
        </is>
      </c>
      <c r="C10675" t="inlineStr">
        <is>
          <t xml:space="preserve">INF204KA1KH0</t>
        </is>
      </c>
    </row>
    <row r="10676">
      <c r="A10676" t="inlineStr">
        <is>
          <t xml:space="preserve">Nippon India Mutual Fund</t>
        </is>
      </c>
      <c r="B10676" t="inlineStr">
        <is>
          <t xml:space="preserve">Reliance Fixed Horizon Fund - XXV - Series 33 - Dividend Payout Option</t>
        </is>
      </c>
      <c r="C10676" t="inlineStr">
        <is>
          <t xml:space="preserve">INF204KA1KG2</t>
        </is>
      </c>
    </row>
    <row r="10677">
      <c r="A10677" t="inlineStr">
        <is>
          <t xml:space="preserve">Nippon India Mutual Fund</t>
        </is>
      </c>
      <c r="B10677" t="inlineStr">
        <is>
          <t xml:space="preserve">Reliance Fixed Horizon Fund - XXV - Series 33 - Growth Option</t>
        </is>
      </c>
      <c r="C10677" t="inlineStr">
        <is>
          <t xml:space="preserve">INF204KA1KF4</t>
        </is>
      </c>
    </row>
    <row r="10678">
      <c r="A10678" t="inlineStr">
        <is>
          <t xml:space="preserve">Nippon India Mutual Fund</t>
        </is>
      </c>
      <c r="B10678" t="inlineStr">
        <is>
          <t xml:space="preserve">Reliance Fixed Horizon Fund - XXV - Series 34 - Direct Plan - Growth Option</t>
        </is>
      </c>
      <c r="C10678" t="inlineStr">
        <is>
          <t xml:space="preserve">INF204KA1KL2</t>
        </is>
      </c>
    </row>
    <row r="10679">
      <c r="A10679" t="inlineStr">
        <is>
          <t xml:space="preserve">Nippon India Mutual Fund</t>
        </is>
      </c>
      <c r="B10679" t="inlineStr">
        <is>
          <t xml:space="preserve">Reliance Fixed Horizon Fund - XXV - Series 34 - Growth Option</t>
        </is>
      </c>
      <c r="C10679" t="inlineStr">
        <is>
          <t xml:space="preserve">INF204KA1KJ6</t>
        </is>
      </c>
    </row>
    <row r="10680">
      <c r="A10680" t="inlineStr">
        <is>
          <t xml:space="preserve">Nippon India Mutual Fund</t>
        </is>
      </c>
      <c r="B10680" t="inlineStr">
        <is>
          <t xml:space="preserve">Reliance Fixed Horizon Fund - XXV - Series 35- Direct Plan - Dividend Payout Option</t>
        </is>
      </c>
      <c r="C10680" t="inlineStr">
        <is>
          <t xml:space="preserve">INF204KA1LC9</t>
        </is>
      </c>
    </row>
    <row r="10681">
      <c r="A10681" t="inlineStr">
        <is>
          <t xml:space="preserve">Nippon India Mutual Fund</t>
        </is>
      </c>
      <c r="B10681" t="inlineStr">
        <is>
          <t xml:space="preserve">Reliance Fixed Horizon Fund - XXV - Series 35- Direct Plan - Growth Option</t>
        </is>
      </c>
      <c r="C10681" t="inlineStr">
        <is>
          <t xml:space="preserve">INF204KA1LB1</t>
        </is>
      </c>
    </row>
    <row r="10682">
      <c r="A10682" t="inlineStr">
        <is>
          <t xml:space="preserve">Nippon India Mutual Fund</t>
        </is>
      </c>
      <c r="B10682" t="inlineStr">
        <is>
          <t xml:space="preserve">Reliance Fixed Horizon Fund - XXV - Series 35- Dividend Payout Option</t>
        </is>
      </c>
      <c r="C10682" t="inlineStr">
        <is>
          <t xml:space="preserve">INF204KA1LA3</t>
        </is>
      </c>
    </row>
    <row r="10683">
      <c r="A10683" t="inlineStr">
        <is>
          <t xml:space="preserve">Nippon India Mutual Fund</t>
        </is>
      </c>
      <c r="B10683" t="inlineStr">
        <is>
          <t xml:space="preserve">Reliance Fixed Horizon Fund - XXV - Series 35- Growth Option</t>
        </is>
      </c>
      <c r="C10683" t="inlineStr">
        <is>
          <t xml:space="preserve">INF204KA1KZ2</t>
        </is>
      </c>
    </row>
    <row r="10684">
      <c r="A10684" t="inlineStr">
        <is>
          <t xml:space="preserve">Nippon India Mutual Fund</t>
        </is>
      </c>
      <c r="B10684" t="inlineStr">
        <is>
          <t xml:space="preserve">Reliance Fixed Horizon Fund - XXV - Series 4 - Direct Plan - Dividend Payout Option</t>
        </is>
      </c>
      <c r="C10684" t="inlineStr">
        <is>
          <t xml:space="preserve">INF204KA1YP4</t>
        </is>
      </c>
    </row>
    <row r="10685">
      <c r="A10685" t="inlineStr">
        <is>
          <t xml:space="preserve">Nippon India Mutual Fund</t>
        </is>
      </c>
      <c r="B10685" t="inlineStr">
        <is>
          <t xml:space="preserve">Reliance Fixed Horizon Fund - XXV - Series 4 - Direct Plan - Growth Option</t>
        </is>
      </c>
      <c r="C10685" t="inlineStr">
        <is>
          <t xml:space="preserve">INF204KA1YO7</t>
        </is>
      </c>
    </row>
    <row r="10686">
      <c r="A10686" t="inlineStr">
        <is>
          <t xml:space="preserve">Nippon India Mutual Fund</t>
        </is>
      </c>
      <c r="B10686" t="inlineStr">
        <is>
          <t xml:space="preserve">Reliance Fixed Horizon Fund - XXV - Series 4 - Growth Option</t>
        </is>
      </c>
      <c r="C10686" t="inlineStr">
        <is>
          <t xml:space="preserve">INF204KA1YM1</t>
        </is>
      </c>
    </row>
    <row r="10687">
      <c r="A10687" t="inlineStr">
        <is>
          <t xml:space="preserve">Nippon India Mutual Fund</t>
        </is>
      </c>
      <c r="B10687" t="inlineStr">
        <is>
          <t xml:space="preserve">Reliance Fixed Horizon Fund - XXV - Series 6 - Direct Plan - Dividend Payout Option</t>
        </is>
      </c>
      <c r="C10687" t="inlineStr">
        <is>
          <t xml:space="preserve">INF204KA1FM0</t>
        </is>
      </c>
    </row>
    <row r="10688">
      <c r="A10688" t="inlineStr">
        <is>
          <t xml:space="preserve">Nippon India Mutual Fund</t>
        </is>
      </c>
      <c r="B10688" t="inlineStr">
        <is>
          <t xml:space="preserve">Reliance Fixed Horizon Fund - XXV - Series 6 - Direct Plan - Growth Option</t>
        </is>
      </c>
      <c r="C10688" t="inlineStr">
        <is>
          <t xml:space="preserve">INF204KA1FL2</t>
        </is>
      </c>
    </row>
    <row r="10689">
      <c r="A10689" t="inlineStr">
        <is>
          <t xml:space="preserve">Nippon India Mutual Fund</t>
        </is>
      </c>
      <c r="B10689" t="inlineStr">
        <is>
          <t xml:space="preserve">Reliance Fixed Horizon Fund - XXV - Series 6 - Dividend Payout Option</t>
        </is>
      </c>
      <c r="C10689" t="inlineStr">
        <is>
          <t xml:space="preserve">INF204KA1FO6</t>
        </is>
      </c>
    </row>
    <row r="10690">
      <c r="A10690" t="inlineStr">
        <is>
          <t xml:space="preserve">Nippon India Mutual Fund</t>
        </is>
      </c>
      <c r="B10690" t="inlineStr">
        <is>
          <t xml:space="preserve">Reliance Fixed Horizon Fund - XXV - Series 6 - Growth Option</t>
        </is>
      </c>
      <c r="C10690" t="inlineStr">
        <is>
          <t xml:space="preserve">INF204KA1FN8</t>
        </is>
      </c>
    </row>
    <row r="10691">
      <c r="A10691" t="inlineStr">
        <is>
          <t xml:space="preserve">Nippon India Mutual Fund</t>
        </is>
      </c>
      <c r="B10691" t="inlineStr">
        <is>
          <t xml:space="preserve">Reliance Fixed Horizon Fund - XXVI - Series 1 - Direct Plan - Dividend Payout Option</t>
        </is>
      </c>
      <c r="C10691" t="inlineStr">
        <is>
          <t xml:space="preserve">INF204KA1KA5</t>
        </is>
      </c>
    </row>
    <row r="10692">
      <c r="A10692" t="inlineStr">
        <is>
          <t xml:space="preserve">Nippon India Mutual Fund</t>
        </is>
      </c>
      <c r="B10692" t="inlineStr">
        <is>
          <t xml:space="preserve">Reliance Fixed Horizon Fund - XXVI - Series 1 - Direct Plan - Growth Option</t>
        </is>
      </c>
      <c r="C10692" t="inlineStr">
        <is>
          <t xml:space="preserve">INF204KA1JZ4</t>
        </is>
      </c>
    </row>
    <row r="10693">
      <c r="A10693" t="inlineStr">
        <is>
          <t xml:space="preserve">Nippon India Mutual Fund</t>
        </is>
      </c>
      <c r="B10693" t="inlineStr">
        <is>
          <t xml:space="preserve">Reliance Fixed Horizon Fund - XXVI - Series 1 - Dividend Payout Option</t>
        </is>
      </c>
      <c r="C10693" t="inlineStr">
        <is>
          <t xml:space="preserve">INF204KA1JY7</t>
        </is>
      </c>
    </row>
    <row r="10694">
      <c r="A10694" t="inlineStr">
        <is>
          <t xml:space="preserve">Nippon India Mutual Fund</t>
        </is>
      </c>
      <c r="B10694" t="inlineStr">
        <is>
          <t xml:space="preserve">Reliance Fixed Horizon Fund - XXVI - Series 1 - Growth Option</t>
        </is>
      </c>
      <c r="C10694" t="inlineStr">
        <is>
          <t xml:space="preserve">INF204KA1JX9</t>
        </is>
      </c>
    </row>
    <row r="10695">
      <c r="A10695" t="inlineStr">
        <is>
          <t xml:space="preserve">Nippon India Mutual Fund</t>
        </is>
      </c>
      <c r="B10695" t="inlineStr">
        <is>
          <t xml:space="preserve">Reliance Fixed Horizon Fund - XXVI - Series 14- Direct Plan - Dividend Payout Option</t>
        </is>
      </c>
      <c r="C10695" t="inlineStr">
        <is>
          <t xml:space="preserve">INF204KA1NM4</t>
        </is>
      </c>
    </row>
    <row r="10696">
      <c r="A10696" t="inlineStr">
        <is>
          <t xml:space="preserve">Nippon India Mutual Fund</t>
        </is>
      </c>
      <c r="B10696" t="inlineStr">
        <is>
          <t xml:space="preserve">Reliance Fixed Horizon Fund - XXVI - Series 14- Direct Plan - Growth Option</t>
        </is>
      </c>
      <c r="C10696" t="inlineStr">
        <is>
          <t xml:space="preserve">INF204KA1NL6</t>
        </is>
      </c>
    </row>
    <row r="10697">
      <c r="A10697" t="inlineStr">
        <is>
          <t xml:space="preserve">Nippon India Mutual Fund</t>
        </is>
      </c>
      <c r="B10697" t="inlineStr">
        <is>
          <t xml:space="preserve">Reliance Fixed Horizon Fund - XXVI - Series 14- Dividend payout Option</t>
        </is>
      </c>
      <c r="C10697" t="inlineStr">
        <is>
          <t xml:space="preserve">INF204KA1NK8</t>
        </is>
      </c>
    </row>
    <row r="10698">
      <c r="A10698" t="inlineStr">
        <is>
          <t xml:space="preserve">Nippon India Mutual Fund</t>
        </is>
      </c>
      <c r="B10698" t="inlineStr">
        <is>
          <t xml:space="preserve">Reliance Fixed Horizon Fund - XXVI - Series 14- Growth Option</t>
        </is>
      </c>
      <c r="C10698" t="inlineStr">
        <is>
          <t xml:space="preserve">INF204KA1NJ0</t>
        </is>
      </c>
    </row>
    <row r="10699">
      <c r="A10699" t="inlineStr">
        <is>
          <t xml:space="preserve">Nippon India Mutual Fund</t>
        </is>
      </c>
      <c r="B10699" t="inlineStr">
        <is>
          <t xml:space="preserve">Reliance Fixed Horizon Fund - XXVI - Series 17- Direct Plan - Growth Option</t>
        </is>
      </c>
      <c r="C10699" t="inlineStr">
        <is>
          <t xml:space="preserve">INF204KA1NX1</t>
        </is>
      </c>
    </row>
    <row r="10700">
      <c r="A10700" t="inlineStr">
        <is>
          <t xml:space="preserve">Nippon India Mutual Fund</t>
        </is>
      </c>
      <c r="B10700" t="inlineStr">
        <is>
          <t xml:space="preserve">Reliance Fixed Horizon Fund - XXVI - Series 17- Dividend payout Option</t>
        </is>
      </c>
      <c r="C10700" t="inlineStr">
        <is>
          <t xml:space="preserve">INF204KA1NW3</t>
        </is>
      </c>
    </row>
    <row r="10701">
      <c r="A10701" t="inlineStr">
        <is>
          <t xml:space="preserve">Nippon India Mutual Fund</t>
        </is>
      </c>
      <c r="B10701" t="inlineStr">
        <is>
          <t xml:space="preserve">Reliance Fixed Horizon Fund - XXVI - Series 17- Growth Option</t>
        </is>
      </c>
      <c r="C10701" t="inlineStr">
        <is>
          <t xml:space="preserve">INF204KA1NV5</t>
        </is>
      </c>
    </row>
    <row r="10702">
      <c r="A10702" t="inlineStr">
        <is>
          <t xml:space="preserve">Nippon India Mutual Fund</t>
        </is>
      </c>
      <c r="B10702" t="inlineStr">
        <is>
          <t xml:space="preserve">Reliance Fixed Horizon Fund - XXVI - Series 18- Direct Plan - Dividend Payout Option</t>
        </is>
      </c>
      <c r="C10702" t="inlineStr">
        <is>
          <t xml:space="preserve">INF204KA1OC3</t>
        </is>
      </c>
    </row>
    <row r="10703">
      <c r="A10703" t="inlineStr">
        <is>
          <t xml:space="preserve">Nippon India Mutual Fund</t>
        </is>
      </c>
      <c r="B10703" t="inlineStr">
        <is>
          <t xml:space="preserve">Reliance Fixed Horizon Fund - XXVI - Series 18- Direct Plan - Growth Option</t>
        </is>
      </c>
      <c r="C10703" t="inlineStr">
        <is>
          <t xml:space="preserve">INF204KA1OB5</t>
        </is>
      </c>
    </row>
    <row r="10704">
      <c r="A10704" t="inlineStr">
        <is>
          <t xml:space="preserve">Nippon India Mutual Fund</t>
        </is>
      </c>
      <c r="B10704" t="inlineStr">
        <is>
          <t xml:space="preserve">Reliance Fixed Horizon Fund - XXVI - Series 18- Dividend payout Option</t>
        </is>
      </c>
      <c r="C10704" t="inlineStr">
        <is>
          <t xml:space="preserve">INF204KA1OA7</t>
        </is>
      </c>
    </row>
    <row r="10705">
      <c r="A10705" t="inlineStr">
        <is>
          <t xml:space="preserve">Nippon India Mutual Fund</t>
        </is>
      </c>
      <c r="B10705" t="inlineStr">
        <is>
          <t xml:space="preserve">Reliance Fixed Horizon Fund - XXVI - Series 18- Growth Option</t>
        </is>
      </c>
      <c r="C10705" t="inlineStr">
        <is>
          <t xml:space="preserve">INF204KA1NZ6</t>
        </is>
      </c>
    </row>
    <row r="10706">
      <c r="A10706" t="inlineStr">
        <is>
          <t xml:space="preserve">Nippon India Mutual Fund</t>
        </is>
      </c>
      <c r="B10706" t="inlineStr">
        <is>
          <t xml:space="preserve">Reliance Fixed Horizon Fund - XXVI - Series 2 - Direct Plan - Growth Option</t>
        </is>
      </c>
      <c r="C10706" t="inlineStr">
        <is>
          <t xml:space="preserve">INF204KA1KX7</t>
        </is>
      </c>
    </row>
    <row r="10707">
      <c r="A10707" t="inlineStr">
        <is>
          <t xml:space="preserve">Nippon India Mutual Fund</t>
        </is>
      </c>
      <c r="B10707" t="inlineStr">
        <is>
          <t xml:space="preserve">Reliance Fixed Horizon Fund - XXVI - Series 2 - Dividend Payout Option</t>
        </is>
      </c>
      <c r="C10707" t="inlineStr">
        <is>
          <t xml:space="preserve">INF204KA1KW9</t>
        </is>
      </c>
    </row>
    <row r="10708">
      <c r="A10708" t="inlineStr">
        <is>
          <t xml:space="preserve">Nippon India Mutual Fund</t>
        </is>
      </c>
      <c r="B10708" t="inlineStr">
        <is>
          <t xml:space="preserve">Reliance Fixed Horizon Fund - XXVI - Series 2 - Growth Option</t>
        </is>
      </c>
      <c r="C10708" t="inlineStr">
        <is>
          <t xml:space="preserve">INF204KA1KV1</t>
        </is>
      </c>
    </row>
    <row r="10709">
      <c r="A10709" t="inlineStr">
        <is>
          <t xml:space="preserve">Nippon India Mutual Fund</t>
        </is>
      </c>
      <c r="B10709" t="inlineStr">
        <is>
          <t xml:space="preserve">Reliance Fixed Horizon Fund - XXVI - Series 29 - Direct Plan - Dividend Payout Option</t>
        </is>
      </c>
      <c r="C10709" t="inlineStr">
        <is>
          <t xml:space="preserve">INF204KA1QO3</t>
        </is>
      </c>
    </row>
    <row r="10710">
      <c r="A10710" t="inlineStr">
        <is>
          <t xml:space="preserve">Nippon India Mutual Fund</t>
        </is>
      </c>
      <c r="B10710" t="inlineStr">
        <is>
          <t xml:space="preserve">Reliance Fixed Horizon Fund - XXVI - Series 29 - Direct Plan - Growth Option</t>
        </is>
      </c>
      <c r="C10710" t="inlineStr">
        <is>
          <t xml:space="preserve">INF204KA1QN5</t>
        </is>
      </c>
    </row>
    <row r="10711">
      <c r="A10711" t="inlineStr">
        <is>
          <t xml:space="preserve">Nippon India Mutual Fund</t>
        </is>
      </c>
      <c r="B10711" t="inlineStr">
        <is>
          <t xml:space="preserve">Reliance Fixed Horizon Fund - XXVI - Series 29 - Dividend Payout Option</t>
        </is>
      </c>
      <c r="C10711" t="inlineStr">
        <is>
          <t xml:space="preserve">INF204KA1QM7</t>
        </is>
      </c>
    </row>
    <row r="10712">
      <c r="A10712" t="inlineStr">
        <is>
          <t xml:space="preserve">Nippon India Mutual Fund</t>
        </is>
      </c>
      <c r="B10712" t="inlineStr">
        <is>
          <t xml:space="preserve">Reliance Fixed Horizon Fund - XXVI - Series 29 - Growth Option</t>
        </is>
      </c>
      <c r="C10712" t="inlineStr">
        <is>
          <t xml:space="preserve">INF204KA1QL9</t>
        </is>
      </c>
    </row>
    <row r="10713">
      <c r="A10713" t="inlineStr">
        <is>
          <t xml:space="preserve">Nippon India Mutual Fund</t>
        </is>
      </c>
      <c r="B10713" t="inlineStr">
        <is>
          <t xml:space="preserve">Reliance Fixed Horizon Fund - XXVI - Series 30 - Direct Plan - Dividend Payout Option</t>
        </is>
      </c>
      <c r="C10713" t="inlineStr">
        <is>
          <t xml:space="preserve">INF204KA1QS4</t>
        </is>
      </c>
    </row>
    <row r="10714">
      <c r="A10714" t="inlineStr">
        <is>
          <t xml:space="preserve">Nippon India Mutual Fund</t>
        </is>
      </c>
      <c r="B10714" t="inlineStr">
        <is>
          <t xml:space="preserve">Reliance Fixed Horizon Fund - XXVI - Series 30 - Direct Plan - Growth Option</t>
        </is>
      </c>
      <c r="C10714" t="inlineStr">
        <is>
          <t xml:space="preserve">INF204KA1QR6</t>
        </is>
      </c>
    </row>
    <row r="10715">
      <c r="A10715" t="inlineStr">
        <is>
          <t xml:space="preserve">Nippon India Mutual Fund</t>
        </is>
      </c>
      <c r="B10715" t="inlineStr">
        <is>
          <t xml:space="preserve">Reliance Fixed Horizon Fund - XXVI - Series 30 - Dividend Payout Option</t>
        </is>
      </c>
      <c r="C10715" t="inlineStr">
        <is>
          <t xml:space="preserve">INF204KA1QQ8</t>
        </is>
      </c>
    </row>
    <row r="10716">
      <c r="A10716" t="inlineStr">
        <is>
          <t xml:space="preserve">Nippon India Mutual Fund</t>
        </is>
      </c>
      <c r="B10716" t="inlineStr">
        <is>
          <t xml:space="preserve">Reliance Fixed Horizon Fund - XXVI - Series 30 - Growth Option</t>
        </is>
      </c>
      <c r="C10716" t="inlineStr">
        <is>
          <t xml:space="preserve">INF204KA1QP0</t>
        </is>
      </c>
    </row>
    <row r="10717">
      <c r="A10717" t="inlineStr">
        <is>
          <t xml:space="preserve">Nippon India Mutual Fund</t>
        </is>
      </c>
      <c r="B10717" t="inlineStr">
        <is>
          <t xml:space="preserve">Reliance Fixed Horizon Fund - XXVI - Series 31 - Direct Plan - Dividend Payout Option</t>
        </is>
      </c>
      <c r="C10717" t="inlineStr">
        <is>
          <t xml:space="preserve">INF204KA1QW6</t>
        </is>
      </c>
    </row>
    <row r="10718">
      <c r="A10718" t="inlineStr">
        <is>
          <t xml:space="preserve">Nippon India Mutual Fund</t>
        </is>
      </c>
      <c r="B10718" t="inlineStr">
        <is>
          <t xml:space="preserve">Reliance Fixed Horizon Fund - XXVI - Series 31 - Direct Plan - Growth Option</t>
        </is>
      </c>
      <c r="C10718" t="inlineStr">
        <is>
          <t xml:space="preserve">INF204KA1QV8</t>
        </is>
      </c>
    </row>
    <row r="10719">
      <c r="A10719" t="inlineStr">
        <is>
          <t xml:space="preserve">Nippon India Mutual Fund</t>
        </is>
      </c>
      <c r="B10719" t="inlineStr">
        <is>
          <t xml:space="preserve">Reliance Fixed Horizon Fund - XXVI - Series 31 - Dividend Payout Option</t>
        </is>
      </c>
      <c r="C10719" t="inlineStr">
        <is>
          <t xml:space="preserve">INF204KA1QU0</t>
        </is>
      </c>
    </row>
    <row r="10720">
      <c r="A10720" t="inlineStr">
        <is>
          <t xml:space="preserve">Nippon India Mutual Fund</t>
        </is>
      </c>
      <c r="B10720" t="inlineStr">
        <is>
          <t xml:space="preserve">Reliance Fixed Horizon Fund - XXVI - Series 31 - Growth Option</t>
        </is>
      </c>
      <c r="C10720" t="inlineStr">
        <is>
          <t xml:space="preserve">INF204KA1QT2</t>
        </is>
      </c>
    </row>
    <row r="10721">
      <c r="A10721" t="inlineStr">
        <is>
          <t xml:space="preserve">Nippon India Mutual Fund</t>
        </is>
      </c>
      <c r="B10721" t="inlineStr">
        <is>
          <t xml:space="preserve">Reliance Fixed Horizon Fund - XXVI - Series 4-Direct Plan - Dividend Payout Option</t>
        </is>
      </c>
      <c r="C10721" t="inlineStr">
        <is>
          <t xml:space="preserve">INF204KA1LL0</t>
        </is>
      </c>
    </row>
    <row r="10722">
      <c r="A10722" t="inlineStr">
        <is>
          <t xml:space="preserve">Nippon India Mutual Fund</t>
        </is>
      </c>
      <c r="B10722" t="inlineStr">
        <is>
          <t xml:space="preserve">Reliance Fixed Horizon Fund - XXVI - Series 4-Direct Plan - Growth Option</t>
        </is>
      </c>
      <c r="C10722" t="inlineStr">
        <is>
          <t xml:space="preserve">INF204KA1LK2</t>
        </is>
      </c>
    </row>
    <row r="10723">
      <c r="A10723" t="inlineStr">
        <is>
          <t xml:space="preserve">Nippon India Mutual Fund</t>
        </is>
      </c>
      <c r="B10723" t="inlineStr">
        <is>
          <t xml:space="preserve">Reliance Fixed Horizon Fund - XXVI - Series 4-Dividend payout Option</t>
        </is>
      </c>
      <c r="C10723" t="inlineStr">
        <is>
          <t xml:space="preserve">INF204KA1LJ4</t>
        </is>
      </c>
    </row>
    <row r="10724">
      <c r="A10724" t="inlineStr">
        <is>
          <t xml:space="preserve">Nippon India Mutual Fund</t>
        </is>
      </c>
      <c r="B10724" t="inlineStr">
        <is>
          <t xml:space="preserve">Reliance Fixed Horizon Fund - XXVI - Series 4-Growth Option</t>
        </is>
      </c>
      <c r="C10724" t="inlineStr">
        <is>
          <t xml:space="preserve">INF204KA1LI6</t>
        </is>
      </c>
    </row>
    <row r="10725">
      <c r="A10725" t="inlineStr">
        <is>
          <t xml:space="preserve">Nippon India Mutual Fund</t>
        </is>
      </c>
      <c r="B10725" t="inlineStr">
        <is>
          <t xml:space="preserve">Reliance Fixed Horizon Fund - XXVI- Series 5- Direct Plan - Growth Option</t>
        </is>
      </c>
      <c r="C10725" t="inlineStr">
        <is>
          <t xml:space="preserve">INF204KA1LO4</t>
        </is>
      </c>
    </row>
    <row r="10726">
      <c r="A10726" t="inlineStr">
        <is>
          <t xml:space="preserve">Nippon India Mutual Fund</t>
        </is>
      </c>
      <c r="B10726" t="inlineStr">
        <is>
          <t xml:space="preserve">Reliance Fixed Horizon Fund - XXVI- Series 5- Dividend payout Option</t>
        </is>
      </c>
      <c r="C10726" t="inlineStr">
        <is>
          <t xml:space="preserve">INF204KA1LN6</t>
        </is>
      </c>
    </row>
    <row r="10727">
      <c r="A10727" t="inlineStr">
        <is>
          <t xml:space="preserve">Nippon India Mutual Fund</t>
        </is>
      </c>
      <c r="B10727" t="inlineStr">
        <is>
          <t xml:space="preserve">Reliance Fixed Horizon Fund - XXVI- Series 5- Growth Option</t>
        </is>
      </c>
      <c r="C10727" t="inlineStr">
        <is>
          <t xml:space="preserve">INF204KA1LM8</t>
        </is>
      </c>
    </row>
    <row r="10728">
      <c r="A10728" t="inlineStr">
        <is>
          <t xml:space="preserve">Nippon India Mutual Fund</t>
        </is>
      </c>
      <c r="B10728" t="inlineStr">
        <is>
          <t xml:space="preserve">Reliance Fixed Horizon Fund - XXVII - Series 5 - Direct Plan - Growth Option</t>
        </is>
      </c>
      <c r="C10728" t="inlineStr">
        <is>
          <t xml:space="preserve">INF204KA1TV2</t>
        </is>
      </c>
    </row>
    <row r="10729">
      <c r="A10729" t="inlineStr">
        <is>
          <t xml:space="preserve">Nippon India Mutual Fund</t>
        </is>
      </c>
      <c r="B10729" t="inlineStr">
        <is>
          <t xml:space="preserve">Reliance Fixed Horizon Fund - XXVII - Series 5 - Dividend Payout Option</t>
        </is>
      </c>
      <c r="C10729" t="inlineStr">
        <is>
          <t xml:space="preserve">INF204KA1TU4</t>
        </is>
      </c>
    </row>
    <row r="10730">
      <c r="A10730" t="inlineStr">
        <is>
          <t xml:space="preserve">Nippon India Mutual Fund</t>
        </is>
      </c>
      <c r="B10730" t="inlineStr">
        <is>
          <t xml:space="preserve">Reliance Fixed Horizon Fund - XXVII - Series 5 - Growth Option</t>
        </is>
      </c>
      <c r="C10730" t="inlineStr">
        <is>
          <t xml:space="preserve">INF204KA1TT6</t>
        </is>
      </c>
    </row>
    <row r="10731">
      <c r="A10731" t="inlineStr">
        <is>
          <t xml:space="preserve">Nippon India Mutual Fund</t>
        </is>
      </c>
      <c r="B10731" t="inlineStr">
        <is>
          <t xml:space="preserve">Reliance Fixed Horizon Fund XLI - Series 2 - Direct Plan - Dividend Payout Option</t>
        </is>
      </c>
      <c r="C10731" t="inlineStr">
        <is>
          <t xml:space="preserve">INF204KB1Z49</t>
        </is>
      </c>
    </row>
    <row r="10732">
      <c r="A10732" t="inlineStr">
        <is>
          <t xml:space="preserve">Nippon India Mutual Fund</t>
        </is>
      </c>
      <c r="B10732" t="inlineStr">
        <is>
          <t xml:space="preserve">Reliance Fixed Horizon Fund XLI - Series 2 - Direct Plan - Growth Option</t>
        </is>
      </c>
      <c r="C10732" t="inlineStr">
        <is>
          <t xml:space="preserve">INF204KB1Z31</t>
        </is>
      </c>
    </row>
    <row r="10733">
      <c r="A10733" t="inlineStr">
        <is>
          <t xml:space="preserve">Nippon India Mutual Fund</t>
        </is>
      </c>
      <c r="B10733" t="inlineStr">
        <is>
          <t xml:space="preserve">Reliance Fixed Horizon Fund XLI - Series 2 - Dividend Payout Option</t>
        </is>
      </c>
      <c r="C10733" t="inlineStr">
        <is>
          <t xml:space="preserve">INF204KB1Z23</t>
        </is>
      </c>
    </row>
    <row r="10734">
      <c r="A10734" t="inlineStr">
        <is>
          <t xml:space="preserve">Nippon India Mutual Fund</t>
        </is>
      </c>
      <c r="B10734" t="inlineStr">
        <is>
          <t xml:space="preserve">Reliance Fixed Horizon Fund XLI - Series 2 - Growth Option</t>
        </is>
      </c>
      <c r="C10734" t="inlineStr">
        <is>
          <t xml:space="preserve">INF204KB1Z15</t>
        </is>
      </c>
    </row>
    <row r="10735">
      <c r="A10735" t="inlineStr">
        <is>
          <t xml:space="preserve">Nippon India Mutual Fund</t>
        </is>
      </c>
      <c r="B10735" t="inlineStr">
        <is>
          <t xml:space="preserve">Reliance Fixed Horizon Fund XXII - Sereis 30 - Dividend Payout Option</t>
        </is>
      </c>
      <c r="C10735" t="inlineStr">
        <is>
          <t xml:space="preserve">INF204K01WA2</t>
        </is>
      </c>
    </row>
    <row r="10736">
      <c r="A10736" t="inlineStr">
        <is>
          <t xml:space="preserve">Nippon India Mutual Fund</t>
        </is>
      </c>
      <c r="B10736" t="inlineStr">
        <is>
          <t xml:space="preserve">Reliance Fixed Horizon Fund XXII - Series 30 - Growth Option</t>
        </is>
      </c>
      <c r="C10736" t="inlineStr">
        <is>
          <t xml:space="preserve">INF204K01VZ1</t>
        </is>
      </c>
    </row>
    <row r="10737">
      <c r="A10737" t="inlineStr">
        <is>
          <t xml:space="preserve">Nippon India Mutual Fund</t>
        </is>
      </c>
      <c r="B10737" t="inlineStr">
        <is>
          <t xml:space="preserve">Reliance Fixed Horizon Fund XXII - Series 32 - Dividend Payout Option</t>
        </is>
      </c>
      <c r="C10737" t="inlineStr">
        <is>
          <t xml:space="preserve">INF204K01WE4</t>
        </is>
      </c>
    </row>
    <row r="10738">
      <c r="A10738" t="inlineStr">
        <is>
          <t xml:space="preserve">Nippon India Mutual Fund</t>
        </is>
      </c>
      <c r="B10738" t="inlineStr">
        <is>
          <t xml:space="preserve">Reliance Fixed Horizon Fund XXII - Series 32 - Growth Option</t>
        </is>
      </c>
      <c r="C10738" t="inlineStr">
        <is>
          <t xml:space="preserve">INF204K01WD6</t>
        </is>
      </c>
    </row>
    <row r="10739">
      <c r="A10739" t="inlineStr">
        <is>
          <t xml:space="preserve">Nippon India Mutual Fund</t>
        </is>
      </c>
      <c r="B10739" t="inlineStr">
        <is>
          <t xml:space="preserve">Reliance Fixed Horizon Fund XXIII - Series 10 - Direct Plan - Growth Option</t>
        </is>
      </c>
      <c r="C10739" t="inlineStr">
        <is>
          <t xml:space="preserve">INF204KA1Z17</t>
        </is>
      </c>
    </row>
    <row r="10740">
      <c r="A10740" t="inlineStr">
        <is>
          <t xml:space="preserve">Nippon India Mutual Fund</t>
        </is>
      </c>
      <c r="B10740" t="inlineStr">
        <is>
          <t xml:space="preserve">Reliance Fixed Horizon Fund XXIII - Series 10 - Dividend Option</t>
        </is>
      </c>
      <c r="C10740" t="inlineStr">
        <is>
          <t xml:space="preserve">INF204KA1Z09</t>
        </is>
      </c>
    </row>
    <row r="10741">
      <c r="A10741" t="inlineStr">
        <is>
          <t xml:space="preserve">Nippon India Mutual Fund</t>
        </is>
      </c>
      <c r="B10741" t="inlineStr">
        <is>
          <t xml:space="preserve">Reliance Fixed Horizon Fund XXIII - Series 10 -Growth Option</t>
        </is>
      </c>
      <c r="C10741" t="inlineStr">
        <is>
          <t xml:space="preserve">INF204KA1Y91</t>
        </is>
      </c>
    </row>
    <row r="10742">
      <c r="A10742" t="inlineStr">
        <is>
          <t xml:space="preserve">Nippon India Mutual Fund</t>
        </is>
      </c>
      <c r="B10742" t="inlineStr">
        <is>
          <t xml:space="preserve">Reliance Fixed Horizon Fund XXIX - Series 1- Direct Plan-Dividend Payout Option</t>
        </is>
      </c>
      <c r="C10742" t="inlineStr">
        <is>
          <t xml:space="preserve">INF204KA17J5</t>
        </is>
      </c>
    </row>
    <row r="10743">
      <c r="A10743" t="inlineStr">
        <is>
          <t xml:space="preserve">Nippon India Mutual Fund</t>
        </is>
      </c>
      <c r="B10743" t="inlineStr">
        <is>
          <t xml:space="preserve">Reliance Fixed Horizon Fund XXIX - Series 1- Direct Plan-Growth Option</t>
        </is>
      </c>
      <c r="C10743" t="inlineStr">
        <is>
          <t xml:space="preserve">INF204KA16J7</t>
        </is>
      </c>
    </row>
    <row r="10744">
      <c r="A10744" t="inlineStr">
        <is>
          <t xml:space="preserve">Nippon India Mutual Fund</t>
        </is>
      </c>
      <c r="B10744" t="inlineStr">
        <is>
          <t xml:space="preserve">Reliance Fixed Horizon Fund XXIX - Series 1- Dividend Payout Option</t>
        </is>
      </c>
      <c r="C10744" t="inlineStr">
        <is>
          <t xml:space="preserve">INF204KA15J9</t>
        </is>
      </c>
    </row>
    <row r="10745">
      <c r="A10745" t="inlineStr">
        <is>
          <t xml:space="preserve">Nippon India Mutual Fund</t>
        </is>
      </c>
      <c r="B10745" t="inlineStr">
        <is>
          <t xml:space="preserve">Reliance Fixed Horizon Fund XXIX - Series 1- Growth Option</t>
        </is>
      </c>
      <c r="C10745" t="inlineStr">
        <is>
          <t xml:space="preserve">INF204KA14J2</t>
        </is>
      </c>
    </row>
    <row r="10746">
      <c r="A10746" t="inlineStr">
        <is>
          <t xml:space="preserve">Nippon India Mutual Fund</t>
        </is>
      </c>
      <c r="B10746" t="inlineStr">
        <is>
          <t xml:space="preserve">Reliance Fixed Horizon Fund XXIX - Series 2 - Direct Plan - Dividend Payout Option</t>
        </is>
      </c>
      <c r="C10746" t="inlineStr">
        <is>
          <t xml:space="preserve">INF204KA11K6</t>
        </is>
      </c>
    </row>
    <row r="10747">
      <c r="A10747" t="inlineStr">
        <is>
          <t xml:space="preserve">Nippon India Mutual Fund</t>
        </is>
      </c>
      <c r="B10747" t="inlineStr">
        <is>
          <t xml:space="preserve">Reliance Fixed Horizon Fund XXIX - Series 2 - Direct Plan - Growth Option</t>
        </is>
      </c>
      <c r="C10747" t="inlineStr">
        <is>
          <t xml:space="preserve">INF204KA10K8</t>
        </is>
      </c>
    </row>
    <row r="10748">
      <c r="A10748" t="inlineStr">
        <is>
          <t xml:space="preserve">Nippon India Mutual Fund</t>
        </is>
      </c>
      <c r="B10748" t="inlineStr">
        <is>
          <t xml:space="preserve">Reliance Fixed Horizon Fund XXIX - Series 2 - Regular Plan - Dividend Payout Option</t>
        </is>
      </c>
      <c r="C10748" t="inlineStr">
        <is>
          <t xml:space="preserve">INF204KA19J1</t>
        </is>
      </c>
    </row>
    <row r="10749">
      <c r="A10749" t="inlineStr">
        <is>
          <t xml:space="preserve">Nippon India Mutual Fund</t>
        </is>
      </c>
      <c r="B10749" t="inlineStr">
        <is>
          <t xml:space="preserve">Reliance Fixed Horizon Fund XXIX - Series 2 - Regular Plan - Growth Option</t>
        </is>
      </c>
      <c r="C10749" t="inlineStr">
        <is>
          <t xml:space="preserve">INF204KA18J3</t>
        </is>
      </c>
    </row>
    <row r="10750">
      <c r="A10750" t="inlineStr">
        <is>
          <t xml:space="preserve">Nippon India Mutual Fund</t>
        </is>
      </c>
      <c r="B10750" t="inlineStr">
        <is>
          <t xml:space="preserve">Reliance Fixed Horizon Fund XXIX- Series 10- Direct Plan-Growth Option</t>
        </is>
      </c>
      <c r="C10750" t="inlineStr">
        <is>
          <t xml:space="preserve">INF204KA13P1</t>
        </is>
      </c>
    </row>
    <row r="10751">
      <c r="A10751" t="inlineStr">
        <is>
          <t xml:space="preserve">Nippon India Mutual Fund</t>
        </is>
      </c>
      <c r="B10751" t="inlineStr">
        <is>
          <t xml:space="preserve">Reliance Fixed Horizon Fund XXIX- Series 10- Dividend Payout Option</t>
        </is>
      </c>
      <c r="C10751" t="inlineStr">
        <is>
          <t xml:space="preserve">INF204KA14P9</t>
        </is>
      </c>
    </row>
    <row r="10752">
      <c r="A10752" t="inlineStr">
        <is>
          <t xml:space="preserve">Nippon India Mutual Fund</t>
        </is>
      </c>
      <c r="B10752" t="inlineStr">
        <is>
          <t xml:space="preserve">Reliance Fixed Horizon Fund XXIX- Series 10- Growth Option</t>
        </is>
      </c>
      <c r="C10752" t="inlineStr">
        <is>
          <t xml:space="preserve">INF204KA11P5</t>
        </is>
      </c>
    </row>
    <row r="10753">
      <c r="A10753" t="inlineStr">
        <is>
          <t xml:space="preserve">Nippon India Mutual Fund</t>
        </is>
      </c>
      <c r="B10753" t="inlineStr">
        <is>
          <t xml:space="preserve">Reliance Fixed Horizon Fund XXIX- Series 13- Direct Plan-Dividend Payout Option</t>
        </is>
      </c>
      <c r="C10753" t="inlineStr">
        <is>
          <t xml:space="preserve">INF204KA16Q2</t>
        </is>
      </c>
    </row>
    <row r="10754">
      <c r="A10754" t="inlineStr">
        <is>
          <t xml:space="preserve">Nippon India Mutual Fund</t>
        </is>
      </c>
      <c r="B10754" t="inlineStr">
        <is>
          <t xml:space="preserve">Reliance Fixed Horizon Fund XXIX- Series 13- Direct Plan-Growth Option</t>
        </is>
      </c>
      <c r="C10754" t="inlineStr">
        <is>
          <t xml:space="preserve">INF204KA15Q4</t>
        </is>
      </c>
    </row>
    <row r="10755">
      <c r="A10755" t="inlineStr">
        <is>
          <t xml:space="preserve">Nippon India Mutual Fund</t>
        </is>
      </c>
      <c r="B10755" t="inlineStr">
        <is>
          <t xml:space="preserve">Reliance Fixed Horizon Fund XXIX- Series 13- Dividend Payout Option</t>
        </is>
      </c>
      <c r="C10755" t="inlineStr">
        <is>
          <t xml:space="preserve">INF204KA14Q7</t>
        </is>
      </c>
    </row>
    <row r="10756">
      <c r="A10756" t="inlineStr">
        <is>
          <t xml:space="preserve">Nippon India Mutual Fund</t>
        </is>
      </c>
      <c r="B10756" t="inlineStr">
        <is>
          <t xml:space="preserve">Reliance Fixed Horizon Fund XXIX- Series 13- Growth Option</t>
        </is>
      </c>
      <c r="C10756" t="inlineStr">
        <is>
          <t xml:space="preserve">INF204KA13Q9</t>
        </is>
      </c>
    </row>
    <row r="10757">
      <c r="A10757" t="inlineStr">
        <is>
          <t xml:space="preserve">Nippon India Mutual Fund</t>
        </is>
      </c>
      <c r="B10757" t="inlineStr">
        <is>
          <t xml:space="preserve">Reliance Fixed Horizon Fund XXIX- Series 14- Direct Plan-Dividend Payout Option</t>
        </is>
      </c>
      <c r="C10757" t="inlineStr">
        <is>
          <t xml:space="preserve">INF204KA10R3</t>
        </is>
      </c>
    </row>
    <row r="10758">
      <c r="A10758" t="inlineStr">
        <is>
          <t xml:space="preserve">Nippon India Mutual Fund</t>
        </is>
      </c>
      <c r="B10758" t="inlineStr">
        <is>
          <t xml:space="preserve">Reliance Fixed Horizon Fund XXIX- Series 14- Growth Option</t>
        </is>
      </c>
      <c r="C10758" t="inlineStr">
        <is>
          <t xml:space="preserve">INF204KA17Q0</t>
        </is>
      </c>
    </row>
    <row r="10759">
      <c r="A10759" t="inlineStr">
        <is>
          <t xml:space="preserve">Nippon India Mutual Fund</t>
        </is>
      </c>
      <c r="B10759" t="inlineStr">
        <is>
          <t xml:space="preserve">Reliance Fixed Horizon Fund XXIX- Series 14-Direct Plan-Growth Option</t>
        </is>
      </c>
      <c r="C10759" t="inlineStr">
        <is>
          <t xml:space="preserve">INF204KA19Q6</t>
        </is>
      </c>
    </row>
    <row r="10760">
      <c r="A10760" t="inlineStr">
        <is>
          <t xml:space="preserve">Nippon India Mutual Fund</t>
        </is>
      </c>
      <c r="B10760" t="inlineStr">
        <is>
          <t xml:space="preserve">Reliance Fixed Horizon Fund XXIX- Series 14-Dividend Payout Option</t>
        </is>
      </c>
      <c r="C10760" t="inlineStr">
        <is>
          <t xml:space="preserve">INF204KA18Q8</t>
        </is>
      </c>
    </row>
    <row r="10761">
      <c r="A10761" t="inlineStr">
        <is>
          <t xml:space="preserve">Nippon India Mutual Fund</t>
        </is>
      </c>
      <c r="B10761" t="inlineStr">
        <is>
          <t xml:space="preserve">Reliance Fixed Horizon Fund XXIX- Series 16- Direct Plan-Dividend Payout Option</t>
        </is>
      </c>
      <c r="C10761" t="inlineStr">
        <is>
          <t xml:space="preserve">INF204KA12S7</t>
        </is>
      </c>
    </row>
    <row r="10762">
      <c r="A10762" t="inlineStr">
        <is>
          <t xml:space="preserve">Nippon India Mutual Fund</t>
        </is>
      </c>
      <c r="B10762" t="inlineStr">
        <is>
          <t xml:space="preserve">Reliance Fixed Horizon Fund XXIX- Series 16- Direct Plan-Growth Option</t>
        </is>
      </c>
      <c r="C10762" t="inlineStr">
        <is>
          <t xml:space="preserve">INF204KA11S9</t>
        </is>
      </c>
    </row>
    <row r="10763">
      <c r="A10763" t="inlineStr">
        <is>
          <t xml:space="preserve">Nippon India Mutual Fund</t>
        </is>
      </c>
      <c r="B10763" t="inlineStr">
        <is>
          <t xml:space="preserve">Reliance Fixed Horizon Fund XXIX- Series 16- Growth Option</t>
        </is>
      </c>
      <c r="C10763" t="inlineStr">
        <is>
          <t xml:space="preserve">INF204KA19R4</t>
        </is>
      </c>
    </row>
    <row r="10764">
      <c r="A10764" t="inlineStr">
        <is>
          <t xml:space="preserve">Nippon India Mutual Fund</t>
        </is>
      </c>
      <c r="B10764" t="inlineStr">
        <is>
          <t xml:space="preserve">Reliance Fixed Horizon Fund XXIX- Series 18- Direct Plan-Dividend Payout Option</t>
        </is>
      </c>
      <c r="C10764" t="inlineStr">
        <is>
          <t xml:space="preserve">INF204KA10T9</t>
        </is>
      </c>
    </row>
    <row r="10765">
      <c r="A10765" t="inlineStr">
        <is>
          <t xml:space="preserve">Nippon India Mutual Fund</t>
        </is>
      </c>
      <c r="B10765" t="inlineStr">
        <is>
          <t xml:space="preserve">Reliance Fixed Horizon Fund XXIX- Series 18- Direct Plan-Growth Option</t>
        </is>
      </c>
      <c r="C10765" t="inlineStr">
        <is>
          <t xml:space="preserve">INF204KA19S2</t>
        </is>
      </c>
    </row>
    <row r="10766">
      <c r="A10766" t="inlineStr">
        <is>
          <t xml:space="preserve">Nippon India Mutual Fund</t>
        </is>
      </c>
      <c r="B10766" t="inlineStr">
        <is>
          <t xml:space="preserve">Reliance Fixed Horizon Fund XXIX- Series 18- Dividend Payout Option</t>
        </is>
      </c>
      <c r="C10766" t="inlineStr">
        <is>
          <t xml:space="preserve">INF204KA18S4</t>
        </is>
      </c>
    </row>
    <row r="10767">
      <c r="A10767" t="inlineStr">
        <is>
          <t xml:space="preserve">Nippon India Mutual Fund</t>
        </is>
      </c>
      <c r="B10767" t="inlineStr">
        <is>
          <t xml:space="preserve">Reliance Fixed Horizon Fund XXIX- Series 18- Growth Option</t>
        </is>
      </c>
      <c r="C10767" t="inlineStr">
        <is>
          <t xml:space="preserve">INF204KA17S6</t>
        </is>
      </c>
    </row>
    <row r="10768">
      <c r="A10768" t="inlineStr">
        <is>
          <t xml:space="preserve">Nippon India Mutual Fund</t>
        </is>
      </c>
      <c r="B10768" t="inlineStr">
        <is>
          <t xml:space="preserve">Reliance Fixed Horizon Fund XXIX- Series 19- Direct Plan-Dividend Payout Option</t>
        </is>
      </c>
      <c r="C10768" t="inlineStr">
        <is>
          <t xml:space="preserve">INF204KA14T1</t>
        </is>
      </c>
    </row>
    <row r="10769">
      <c r="A10769" t="inlineStr">
        <is>
          <t xml:space="preserve">Nippon India Mutual Fund</t>
        </is>
      </c>
      <c r="B10769" t="inlineStr">
        <is>
          <t xml:space="preserve">Reliance Fixed Horizon Fund XXIX- Series 19- Direct Plan-Growth Option</t>
        </is>
      </c>
      <c r="C10769" t="inlineStr">
        <is>
          <t xml:space="preserve">INF204KA13T3</t>
        </is>
      </c>
    </row>
    <row r="10770">
      <c r="A10770" t="inlineStr">
        <is>
          <t xml:space="preserve">Nippon India Mutual Fund</t>
        </is>
      </c>
      <c r="B10770" t="inlineStr">
        <is>
          <t xml:space="preserve">Reliance Fixed Horizon Fund XXIX- Series 19- Dividend Payout Option</t>
        </is>
      </c>
      <c r="C10770" t="inlineStr">
        <is>
          <t xml:space="preserve">INF204KA12T5</t>
        </is>
      </c>
    </row>
    <row r="10771">
      <c r="A10771" t="inlineStr">
        <is>
          <t xml:space="preserve">Nippon India Mutual Fund</t>
        </is>
      </c>
      <c r="B10771" t="inlineStr">
        <is>
          <t xml:space="preserve">Reliance Fixed Horizon Fund XXIX- Series 19- Growth Option</t>
        </is>
      </c>
      <c r="C10771" t="inlineStr">
        <is>
          <t xml:space="preserve">INF204KA11T7</t>
        </is>
      </c>
    </row>
    <row r="10772">
      <c r="A10772" t="inlineStr">
        <is>
          <t xml:space="preserve">Nippon India Mutual Fund</t>
        </is>
      </c>
      <c r="B10772" t="inlineStr">
        <is>
          <t xml:space="preserve">Reliance Fixed Horizon Fund XXIX- Series 20- Direct Plan-Growth Option</t>
        </is>
      </c>
      <c r="C10772" t="inlineStr">
        <is>
          <t xml:space="preserve">INF204KA17T4</t>
        </is>
      </c>
    </row>
    <row r="10773">
      <c r="A10773" t="inlineStr">
        <is>
          <t xml:space="preserve">Nippon India Mutual Fund</t>
        </is>
      </c>
      <c r="B10773" t="inlineStr">
        <is>
          <t xml:space="preserve">Reliance Fixed Horizon Fund XXIX- Series 20- Dividend Payout Option</t>
        </is>
      </c>
      <c r="C10773" t="inlineStr">
        <is>
          <t xml:space="preserve">INF204KA16T6</t>
        </is>
      </c>
    </row>
    <row r="10774">
      <c r="A10774" t="inlineStr">
        <is>
          <t xml:space="preserve">Nippon India Mutual Fund</t>
        </is>
      </c>
      <c r="B10774" t="inlineStr">
        <is>
          <t xml:space="preserve">Reliance Fixed Horizon Fund XXIX- Series 20- Growth Option</t>
        </is>
      </c>
      <c r="C10774" t="inlineStr">
        <is>
          <t xml:space="preserve">INF204KA15T8</t>
        </is>
      </c>
    </row>
    <row r="10775">
      <c r="A10775" t="inlineStr">
        <is>
          <t xml:space="preserve">Nippon India Mutual Fund</t>
        </is>
      </c>
      <c r="B10775" t="inlineStr">
        <is>
          <t xml:space="preserve">Reliance Fixed Horizon Fund XXIX- Series 3- Direct Plan-Dividend Payout Option</t>
        </is>
      </c>
      <c r="C10775" t="inlineStr">
        <is>
          <t xml:space="preserve">INF204KA15K7</t>
        </is>
      </c>
    </row>
    <row r="10776">
      <c r="A10776" t="inlineStr">
        <is>
          <t xml:space="preserve">Nippon India Mutual Fund</t>
        </is>
      </c>
      <c r="B10776" t="inlineStr">
        <is>
          <t xml:space="preserve">Reliance Fixed Horizon Fund XXIX- Series 3- Direct Plan-Growth Option</t>
        </is>
      </c>
      <c r="C10776" t="inlineStr">
        <is>
          <t xml:space="preserve">INF204KA14K0</t>
        </is>
      </c>
    </row>
    <row r="10777">
      <c r="A10777" t="inlineStr">
        <is>
          <t xml:space="preserve">Nippon India Mutual Fund</t>
        </is>
      </c>
      <c r="B10777" t="inlineStr">
        <is>
          <t xml:space="preserve">Reliance Fixed Horizon Fund XXIX- Series 3- Dividend Payout Option</t>
        </is>
      </c>
      <c r="C10777" t="inlineStr">
        <is>
          <t xml:space="preserve">INF204KA13K2</t>
        </is>
      </c>
    </row>
    <row r="10778">
      <c r="A10778" t="inlineStr">
        <is>
          <t xml:space="preserve">Nippon India Mutual Fund</t>
        </is>
      </c>
      <c r="B10778" t="inlineStr">
        <is>
          <t xml:space="preserve">Reliance Fixed Horizon Fund XXIX- Series 3- Growth Option</t>
        </is>
      </c>
      <c r="C10778" t="inlineStr">
        <is>
          <t xml:space="preserve">INF204KA12K4</t>
        </is>
      </c>
    </row>
    <row r="10779">
      <c r="A10779" t="inlineStr">
        <is>
          <t xml:space="preserve">Nippon India Mutual Fund</t>
        </is>
      </c>
      <c r="B10779" t="inlineStr">
        <is>
          <t xml:space="preserve">Reliance Fixed Horizon Fund XXIX- Series 6- Direct Plan - Growth Option</t>
        </is>
      </c>
      <c r="C10779" t="inlineStr">
        <is>
          <t xml:space="preserve">INF204KA16M1</t>
        </is>
      </c>
    </row>
    <row r="10780">
      <c r="A10780" t="inlineStr">
        <is>
          <t xml:space="preserve">Nippon India Mutual Fund</t>
        </is>
      </c>
      <c r="B10780" t="inlineStr">
        <is>
          <t xml:space="preserve">Reliance Fixed Horizon Fund XXIX- Series 6- Dividend Payout Option</t>
        </is>
      </c>
      <c r="C10780" t="inlineStr">
        <is>
          <t xml:space="preserve">INF204KA15M3</t>
        </is>
      </c>
    </row>
    <row r="10781">
      <c r="A10781" t="inlineStr">
        <is>
          <t xml:space="preserve">Nippon India Mutual Fund</t>
        </is>
      </c>
      <c r="B10781" t="inlineStr">
        <is>
          <t xml:space="preserve">Reliance Fixed Horizon Fund XXIX- Series 6- Growth Option</t>
        </is>
      </c>
      <c r="C10781" t="inlineStr">
        <is>
          <t xml:space="preserve">INF204KA14M6</t>
        </is>
      </c>
    </row>
    <row r="10782">
      <c r="A10782" t="inlineStr">
        <is>
          <t xml:space="preserve">Nippon India Mutual Fund</t>
        </is>
      </c>
      <c r="B10782" t="inlineStr">
        <is>
          <t xml:space="preserve">Reliance Fixed Horizon Fund XXIX- Series 7- Direct Plan- Growth Option</t>
        </is>
      </c>
      <c r="C10782" t="inlineStr">
        <is>
          <t xml:space="preserve">INF204KA14N4</t>
        </is>
      </c>
    </row>
    <row r="10783">
      <c r="A10783" t="inlineStr">
        <is>
          <t xml:space="preserve">Nippon India Mutual Fund</t>
        </is>
      </c>
      <c r="B10783" t="inlineStr">
        <is>
          <t xml:space="preserve">Reliance Fixed Horizon Fund XXIX- Series 7- Dividend Payout Option</t>
        </is>
      </c>
      <c r="C10783" t="inlineStr">
        <is>
          <t xml:space="preserve">INF204KA15N1</t>
        </is>
      </c>
    </row>
    <row r="10784">
      <c r="A10784" t="inlineStr">
        <is>
          <t xml:space="preserve">Nippon India Mutual Fund</t>
        </is>
      </c>
      <c r="B10784" t="inlineStr">
        <is>
          <t xml:space="preserve">Reliance Fixed Horizon Fund XXIX- Series 7- Growth Option</t>
        </is>
      </c>
      <c r="C10784" t="inlineStr">
        <is>
          <t xml:space="preserve">INF204KA16N9</t>
        </is>
      </c>
    </row>
    <row r="10785">
      <c r="A10785" t="inlineStr">
        <is>
          <t xml:space="preserve">Nippon India Mutual Fund</t>
        </is>
      </c>
      <c r="B10785" t="inlineStr">
        <is>
          <t xml:space="preserve">Reliance Fixed Horizon Fund XXIX- Series 8- Direct Plan-Growth Option</t>
        </is>
      </c>
      <c r="C10785" t="inlineStr">
        <is>
          <t xml:space="preserve">INF204KA18N5</t>
        </is>
      </c>
    </row>
    <row r="10786">
      <c r="A10786" t="inlineStr">
        <is>
          <t xml:space="preserve">Nippon India Mutual Fund</t>
        </is>
      </c>
      <c r="B10786" t="inlineStr">
        <is>
          <t xml:space="preserve">Reliance Fixed Horizon Fund XXIX- Series 8- Dividend Payout Option</t>
        </is>
      </c>
      <c r="C10786" t="inlineStr">
        <is>
          <t xml:space="preserve">INF204KA19N3</t>
        </is>
      </c>
    </row>
    <row r="10787">
      <c r="A10787" t="inlineStr">
        <is>
          <t xml:space="preserve">Nippon India Mutual Fund</t>
        </is>
      </c>
      <c r="B10787" t="inlineStr">
        <is>
          <t xml:space="preserve">Reliance Fixed Horizon Fund XXIX- Series 8- Growth Option</t>
        </is>
      </c>
      <c r="C10787" t="inlineStr">
        <is>
          <t xml:space="preserve">INF204KA10O0</t>
        </is>
      </c>
    </row>
    <row r="10788">
      <c r="A10788" t="inlineStr">
        <is>
          <t xml:space="preserve">Nippon India Mutual Fund</t>
        </is>
      </c>
      <c r="B10788" t="inlineStr">
        <is>
          <t xml:space="preserve">Reliance Fixed Horizon Fund XXIX- Series 9- Direct Plan-Growth Option</t>
        </is>
      </c>
      <c r="C10788" t="inlineStr">
        <is>
          <t xml:space="preserve">INF204KA18O3</t>
        </is>
      </c>
    </row>
    <row r="10789">
      <c r="A10789" t="inlineStr">
        <is>
          <t xml:space="preserve">Nippon India Mutual Fund</t>
        </is>
      </c>
      <c r="B10789" t="inlineStr">
        <is>
          <t xml:space="preserve">Reliance Fixed Horizon Fund XXIX- Series 9- Dividend Payout Option</t>
        </is>
      </c>
      <c r="C10789" t="inlineStr">
        <is>
          <t xml:space="preserve">INF204KA19O1</t>
        </is>
      </c>
    </row>
    <row r="10790">
      <c r="A10790" t="inlineStr">
        <is>
          <t xml:space="preserve">Nippon India Mutual Fund</t>
        </is>
      </c>
      <c r="B10790" t="inlineStr">
        <is>
          <t xml:space="preserve">Reliance Fixed Horizon Fund XXIX- Series 9- Growth Option</t>
        </is>
      </c>
      <c r="C10790" t="inlineStr">
        <is>
          <t xml:space="preserve">INF204KA10P7</t>
        </is>
      </c>
    </row>
    <row r="10791">
      <c r="A10791" t="inlineStr">
        <is>
          <t xml:space="preserve">Nippon India Mutual Fund</t>
        </is>
      </c>
      <c r="B10791" t="inlineStr">
        <is>
          <t xml:space="preserve">Reliance Fixed Horizon Fund XXVI Series- 33- Dividend Payout Option</t>
        </is>
      </c>
      <c r="C10791" t="inlineStr">
        <is>
          <t xml:space="preserve">INF204KA1RC6</t>
        </is>
      </c>
    </row>
    <row r="10792">
      <c r="A10792" t="inlineStr">
        <is>
          <t xml:space="preserve">Nippon India Mutual Fund</t>
        </is>
      </c>
      <c r="B10792" t="inlineStr">
        <is>
          <t xml:space="preserve">Reliance Fixed Horizon Fund XXVI-  Series 35- Direct Plan- Growth Option</t>
        </is>
      </c>
      <c r="C10792" t="inlineStr">
        <is>
          <t xml:space="preserve">INF204KA1RM5</t>
        </is>
      </c>
    </row>
    <row r="10793">
      <c r="A10793" t="inlineStr">
        <is>
          <t xml:space="preserve">Nippon India Mutual Fund</t>
        </is>
      </c>
      <c r="B10793" t="inlineStr">
        <is>
          <t xml:space="preserve">Reliance Fixed Horizon Fund XXVI- Series 15- Direct Plan - Dividend Payout Option</t>
        </is>
      </c>
      <c r="C10793" t="inlineStr">
        <is>
          <t xml:space="preserve">INF204KA1NQ5</t>
        </is>
      </c>
    </row>
    <row r="10794">
      <c r="A10794" t="inlineStr">
        <is>
          <t xml:space="preserve">Nippon India Mutual Fund</t>
        </is>
      </c>
      <c r="B10794" t="inlineStr">
        <is>
          <t xml:space="preserve">Reliance Fixed Horizon Fund XXVI- Series 15- Direct Plan - Growth Option</t>
        </is>
      </c>
      <c r="C10794" t="inlineStr">
        <is>
          <t xml:space="preserve">INF204KA1NP7</t>
        </is>
      </c>
    </row>
    <row r="10795">
      <c r="A10795" t="inlineStr">
        <is>
          <t xml:space="preserve">Nippon India Mutual Fund</t>
        </is>
      </c>
      <c r="B10795" t="inlineStr">
        <is>
          <t xml:space="preserve">Reliance Fixed Horizon Fund XXVI- Series 15- Dividend payout Option</t>
        </is>
      </c>
      <c r="C10795" t="inlineStr">
        <is>
          <t xml:space="preserve">INF204KA1NO0</t>
        </is>
      </c>
    </row>
    <row r="10796">
      <c r="A10796" t="inlineStr">
        <is>
          <t xml:space="preserve">Nippon India Mutual Fund</t>
        </is>
      </c>
      <c r="B10796" t="inlineStr">
        <is>
          <t xml:space="preserve">Reliance Fixed Horizon Fund XXVI- Series 15- Growth Option</t>
        </is>
      </c>
      <c r="C10796" t="inlineStr">
        <is>
          <t xml:space="preserve">INF204KA1NN2</t>
        </is>
      </c>
    </row>
    <row r="10797">
      <c r="A10797" t="inlineStr">
        <is>
          <t xml:space="preserve">Nippon India Mutual Fund</t>
        </is>
      </c>
      <c r="B10797" t="inlineStr">
        <is>
          <t xml:space="preserve">Reliance Fixed Horizon Fund XXVI- Series 20- Direct Plan- Growth Option</t>
        </is>
      </c>
      <c r="C10797" t="inlineStr">
        <is>
          <t xml:space="preserve">INF204KA1OJ8</t>
        </is>
      </c>
    </row>
    <row r="10798">
      <c r="A10798" t="inlineStr">
        <is>
          <t xml:space="preserve">Nippon India Mutual Fund</t>
        </is>
      </c>
      <c r="B10798" t="inlineStr">
        <is>
          <t xml:space="preserve">Reliance Fixed Horizon Fund XXVI- Series 20- Dividend Payout Option</t>
        </is>
      </c>
      <c r="C10798" t="inlineStr">
        <is>
          <t xml:space="preserve">INF204KA1OI0</t>
        </is>
      </c>
    </row>
    <row r="10799">
      <c r="A10799" t="inlineStr">
        <is>
          <t xml:space="preserve">Nippon India Mutual Fund</t>
        </is>
      </c>
      <c r="B10799" t="inlineStr">
        <is>
          <t xml:space="preserve">Reliance Fixed Horizon Fund XXVI- Series 20- Growth Option</t>
        </is>
      </c>
      <c r="C10799" t="inlineStr">
        <is>
          <t xml:space="preserve">INF204KA1OH2</t>
        </is>
      </c>
    </row>
    <row r="10800">
      <c r="A10800" t="inlineStr">
        <is>
          <t xml:space="preserve">Nippon India Mutual Fund</t>
        </is>
      </c>
      <c r="B10800" t="inlineStr">
        <is>
          <t xml:space="preserve">Reliance Fixed Horizon Fund XXVI- Series 22- Direct Plan- Dividend Payout Option</t>
        </is>
      </c>
      <c r="C10800" t="inlineStr">
        <is>
          <t xml:space="preserve">INF204KA1OS9</t>
        </is>
      </c>
    </row>
    <row r="10801">
      <c r="A10801" t="inlineStr">
        <is>
          <t xml:space="preserve">Nippon India Mutual Fund</t>
        </is>
      </c>
      <c r="B10801" t="inlineStr">
        <is>
          <t xml:space="preserve">Reliance Fixed Horizon Fund XXVI- Series 22- Direct Plan- Growth Option</t>
        </is>
      </c>
      <c r="C10801" t="inlineStr">
        <is>
          <t xml:space="preserve">INF204KA1OR1</t>
        </is>
      </c>
    </row>
    <row r="10802">
      <c r="A10802" t="inlineStr">
        <is>
          <t xml:space="preserve">Nippon India Mutual Fund</t>
        </is>
      </c>
      <c r="B10802" t="inlineStr">
        <is>
          <t xml:space="preserve">Reliance Fixed Horizon Fund XXVI- Series 22- Dividend Payout Option</t>
        </is>
      </c>
      <c r="C10802" t="inlineStr">
        <is>
          <t xml:space="preserve">INF204KA1OQ3</t>
        </is>
      </c>
    </row>
    <row r="10803">
      <c r="A10803" t="inlineStr">
        <is>
          <t xml:space="preserve">Nippon India Mutual Fund</t>
        </is>
      </c>
      <c r="B10803" t="inlineStr">
        <is>
          <t xml:space="preserve">Reliance Fixed Horizon Fund XXVI- Series 22- Growth Option</t>
        </is>
      </c>
      <c r="C10803" t="inlineStr">
        <is>
          <t xml:space="preserve">INF204KA1OP5</t>
        </is>
      </c>
    </row>
    <row r="10804">
      <c r="A10804" t="inlineStr">
        <is>
          <t xml:space="preserve">Nippon India Mutual Fund</t>
        </is>
      </c>
      <c r="B10804" t="inlineStr">
        <is>
          <t xml:space="preserve">Reliance Fixed Horizon Fund XXVI- Series 23- Direct Plan- Growth Option</t>
        </is>
      </c>
      <c r="C10804" t="inlineStr">
        <is>
          <t xml:space="preserve">INF204KA1OZ4</t>
        </is>
      </c>
    </row>
    <row r="10805">
      <c r="A10805" t="inlineStr">
        <is>
          <t xml:space="preserve">Nippon India Mutual Fund</t>
        </is>
      </c>
      <c r="B10805" t="inlineStr">
        <is>
          <t xml:space="preserve">Reliance Fixed Horizon Fund XXVI- Series 25- Direct Plan- Dividend Payout Option</t>
        </is>
      </c>
      <c r="C10805" t="inlineStr">
        <is>
          <t xml:space="preserve">INF204KA11D1</t>
        </is>
      </c>
    </row>
    <row r="10806">
      <c r="A10806" t="inlineStr">
        <is>
          <t xml:space="preserve">Nippon India Mutual Fund</t>
        </is>
      </c>
      <c r="B10806" t="inlineStr">
        <is>
          <t xml:space="preserve">Reliance Fixed Horizon Fund XXVI- Series 25- Direct Plan- Growth Option</t>
        </is>
      </c>
      <c r="C10806" t="inlineStr">
        <is>
          <t xml:space="preserve">INF204KA10D3</t>
        </is>
      </c>
    </row>
    <row r="10807">
      <c r="A10807" t="inlineStr">
        <is>
          <t xml:space="preserve">Nippon India Mutual Fund</t>
        </is>
      </c>
      <c r="B10807" t="inlineStr">
        <is>
          <t xml:space="preserve">Reliance Fixed Horizon Fund XXVI- Series 25- Dividend Payout Option</t>
        </is>
      </c>
      <c r="C10807" t="inlineStr">
        <is>
          <t xml:space="preserve">INF204KA19C6</t>
        </is>
      </c>
    </row>
    <row r="10808">
      <c r="A10808" t="inlineStr">
        <is>
          <t xml:space="preserve">Nippon India Mutual Fund</t>
        </is>
      </c>
      <c r="B10808" t="inlineStr">
        <is>
          <t xml:space="preserve">Reliance Fixed Horizon Fund XXVI- Series 25- Growth Option</t>
        </is>
      </c>
      <c r="C10808" t="inlineStr">
        <is>
          <t xml:space="preserve">INF204KA12D9</t>
        </is>
      </c>
    </row>
    <row r="10809">
      <c r="A10809" t="inlineStr">
        <is>
          <t xml:space="preserve">Nippon India Mutual Fund</t>
        </is>
      </c>
      <c r="B10809" t="inlineStr">
        <is>
          <t xml:space="preserve">Reliance Fixed Horizon Fund XXVI- Series 26- Direct Plan- Dividend Payout Option</t>
        </is>
      </c>
      <c r="C10809" t="inlineStr">
        <is>
          <t xml:space="preserve">INF204KA1PQ0</t>
        </is>
      </c>
    </row>
    <row r="10810">
      <c r="A10810" t="inlineStr">
        <is>
          <t xml:space="preserve">Nippon India Mutual Fund</t>
        </is>
      </c>
      <c r="B10810" t="inlineStr">
        <is>
          <t xml:space="preserve">Reliance Fixed Horizon Fund XXVI- Series 26- Direct Plan- Growth Option</t>
        </is>
      </c>
      <c r="C10810" t="inlineStr">
        <is>
          <t xml:space="preserve">INF204KA1PP2</t>
        </is>
      </c>
    </row>
    <row r="10811">
      <c r="A10811" t="inlineStr">
        <is>
          <t xml:space="preserve">Nippon India Mutual Fund</t>
        </is>
      </c>
      <c r="B10811" t="inlineStr">
        <is>
          <t xml:space="preserve">Reliance Fixed Horizon Fund XXVI- Series 26- Dividend Payout Option</t>
        </is>
      </c>
      <c r="C10811" t="inlineStr">
        <is>
          <t xml:space="preserve">INF204KA1PO5</t>
        </is>
      </c>
    </row>
    <row r="10812">
      <c r="A10812" t="inlineStr">
        <is>
          <t xml:space="preserve">Nippon India Mutual Fund</t>
        </is>
      </c>
      <c r="B10812" t="inlineStr">
        <is>
          <t xml:space="preserve">Reliance Fixed Horizon Fund XXVI- Series 32- Direct Plan- Growth Option</t>
        </is>
      </c>
      <c r="C10812" t="inlineStr">
        <is>
          <t xml:space="preserve">INF204KA1QZ9</t>
        </is>
      </c>
    </row>
    <row r="10813">
      <c r="A10813" t="inlineStr">
        <is>
          <t xml:space="preserve">Nippon India Mutual Fund</t>
        </is>
      </c>
      <c r="B10813" t="inlineStr">
        <is>
          <t xml:space="preserve">Reliance Fixed Horizon Fund XXVI- Series 32- Dividend Payout Option</t>
        </is>
      </c>
      <c r="C10813" t="inlineStr">
        <is>
          <t xml:space="preserve">INF204KA1QY2</t>
        </is>
      </c>
    </row>
    <row r="10814">
      <c r="A10814" t="inlineStr">
        <is>
          <t xml:space="preserve">Nippon India Mutual Fund</t>
        </is>
      </c>
      <c r="B10814" t="inlineStr">
        <is>
          <t xml:space="preserve">Reliance Fixed Horizon Fund XXVI- Series 32- Growth Option</t>
        </is>
      </c>
      <c r="C10814" t="inlineStr">
        <is>
          <t xml:space="preserve">INF204KA1QX4</t>
        </is>
      </c>
    </row>
    <row r="10815">
      <c r="A10815" t="inlineStr">
        <is>
          <t xml:space="preserve">Nippon India Mutual Fund</t>
        </is>
      </c>
      <c r="B10815" t="inlineStr">
        <is>
          <t xml:space="preserve">Reliance Fixed Horizon Fund XXVI- Series 33- Direct Plan- Dividend Payout Option</t>
        </is>
      </c>
      <c r="C10815" t="inlineStr">
        <is>
          <t xml:space="preserve">INF204KA1RE2</t>
        </is>
      </c>
    </row>
    <row r="10816">
      <c r="A10816" t="inlineStr">
        <is>
          <t xml:space="preserve">Nippon India Mutual Fund</t>
        </is>
      </c>
      <c r="B10816" t="inlineStr">
        <is>
          <t xml:space="preserve">Reliance Fixed Horizon Fund XXVI- Series 33- Direct Plan- Growth Option</t>
        </is>
      </c>
      <c r="C10816" t="inlineStr">
        <is>
          <t xml:space="preserve">INF204KA1RD4</t>
        </is>
      </c>
    </row>
    <row r="10817">
      <c r="A10817" t="inlineStr">
        <is>
          <t xml:space="preserve">Nippon India Mutual Fund</t>
        </is>
      </c>
      <c r="B10817" t="inlineStr">
        <is>
          <t xml:space="preserve">Reliance Fixed Horizon Fund XXVI- Series 33- Growth Option</t>
        </is>
      </c>
      <c r="C10817" t="inlineStr">
        <is>
          <t xml:space="preserve">INF204KA1RB8</t>
        </is>
      </c>
    </row>
    <row r="10818">
      <c r="A10818" t="inlineStr">
        <is>
          <t xml:space="preserve">Nippon India Mutual Fund</t>
        </is>
      </c>
      <c r="B10818" t="inlineStr">
        <is>
          <t xml:space="preserve">Reliance Fixed Horizon Fund XXVI- Series 35- Direct Plan- Dividend Payout Option</t>
        </is>
      </c>
      <c r="C10818" t="inlineStr">
        <is>
          <t xml:space="preserve">INF204KA1RN3</t>
        </is>
      </c>
    </row>
    <row r="10819">
      <c r="A10819" t="inlineStr">
        <is>
          <t xml:space="preserve">Nippon India Mutual Fund</t>
        </is>
      </c>
      <c r="B10819" t="inlineStr">
        <is>
          <t xml:space="preserve">Reliance Fixed Horizon Fund XXVI- Series 35- Dividend payout option</t>
        </is>
      </c>
      <c r="C10819" t="inlineStr">
        <is>
          <t xml:space="preserve">INF204KA1RK9</t>
        </is>
      </c>
    </row>
    <row r="10820">
      <c r="A10820" t="inlineStr">
        <is>
          <t xml:space="preserve">Nippon India Mutual Fund</t>
        </is>
      </c>
      <c r="B10820" t="inlineStr">
        <is>
          <t xml:space="preserve">Reliance Fixed Horizon Fund XXVI- Series 35- Growth Option</t>
        </is>
      </c>
      <c r="C10820" t="inlineStr">
        <is>
          <t xml:space="preserve">INF204KA1RJ1</t>
        </is>
      </c>
    </row>
    <row r="10821">
      <c r="A10821" t="inlineStr">
        <is>
          <t xml:space="preserve">Nippon India Mutual Fund</t>
        </is>
      </c>
      <c r="B10821" t="inlineStr">
        <is>
          <t xml:space="preserve">Reliance Fixed Horizon Fund XXVII- Series 11- Direct Plan-Dividend Payout Option</t>
        </is>
      </c>
      <c r="C10821" t="inlineStr">
        <is>
          <t xml:space="preserve">INF204KA1WZ7</t>
        </is>
      </c>
    </row>
    <row r="10822">
      <c r="A10822" t="inlineStr">
        <is>
          <t xml:space="preserve">Nippon India Mutual Fund</t>
        </is>
      </c>
      <c r="B10822" t="inlineStr">
        <is>
          <t xml:space="preserve">Reliance Fixed Horizon Fund XXVII- Series 11- Direct Plan-Growth Option</t>
        </is>
      </c>
      <c r="C10822" t="inlineStr">
        <is>
          <t xml:space="preserve">INF204KA1WY0</t>
        </is>
      </c>
    </row>
    <row r="10823">
      <c r="A10823" t="inlineStr">
        <is>
          <t xml:space="preserve">Nippon India Mutual Fund</t>
        </is>
      </c>
      <c r="B10823" t="inlineStr">
        <is>
          <t xml:space="preserve">Reliance Fixed Horizon Fund XXVII- Series 11- Growth Option</t>
        </is>
      </c>
      <c r="C10823" t="inlineStr">
        <is>
          <t xml:space="preserve">INF204KA1WW4</t>
        </is>
      </c>
    </row>
    <row r="10824">
      <c r="A10824" t="inlineStr">
        <is>
          <t xml:space="preserve">Nippon India Mutual Fund</t>
        </is>
      </c>
      <c r="B10824" t="inlineStr">
        <is>
          <t xml:space="preserve">Reliance Fixed Horizon Fund XXVII- Series 15- Direct Plan- Dividend Payout Option</t>
        </is>
      </c>
      <c r="C10824" t="inlineStr">
        <is>
          <t xml:space="preserve">INF204KA1YT6</t>
        </is>
      </c>
    </row>
    <row r="10825">
      <c r="A10825" t="inlineStr">
        <is>
          <t xml:space="preserve">Nippon India Mutual Fund</t>
        </is>
      </c>
      <c r="B10825" t="inlineStr">
        <is>
          <t xml:space="preserve">Reliance Fixed Horizon Fund XXVII- Series 15- Direct Plan- Growth Option</t>
        </is>
      </c>
      <c r="C10825" t="inlineStr">
        <is>
          <t xml:space="preserve">INF204KA1YS8</t>
        </is>
      </c>
    </row>
    <row r="10826">
      <c r="A10826" t="inlineStr">
        <is>
          <t xml:space="preserve">Nippon India Mutual Fund</t>
        </is>
      </c>
      <c r="B10826" t="inlineStr">
        <is>
          <t xml:space="preserve">Reliance Fixed Horizon Fund XXVII- Series 15- Dividend Payout Option</t>
        </is>
      </c>
      <c r="C10826" t="inlineStr">
        <is>
          <t xml:space="preserve">INF204KA1YR0</t>
        </is>
      </c>
    </row>
    <row r="10827">
      <c r="A10827" t="inlineStr">
        <is>
          <t xml:space="preserve">Nippon India Mutual Fund</t>
        </is>
      </c>
      <c r="B10827" t="inlineStr">
        <is>
          <t xml:space="preserve">Reliance Fixed Horizon Fund XXVII- Series 15- Growth Option</t>
        </is>
      </c>
      <c r="C10827" t="inlineStr">
        <is>
          <t xml:space="preserve">INF204KA1YQ2</t>
        </is>
      </c>
    </row>
    <row r="10828">
      <c r="A10828" t="inlineStr">
        <is>
          <t xml:space="preserve">Nippon India Mutual Fund</t>
        </is>
      </c>
      <c r="B10828" t="inlineStr">
        <is>
          <t xml:space="preserve">Reliance Fixed Horizon Fund XXVII- Series 3- Direct Plan- Dividend Payout Option</t>
        </is>
      </c>
      <c r="C10828" t="inlineStr">
        <is>
          <t xml:space="preserve">INF204KA1SS0</t>
        </is>
      </c>
    </row>
    <row r="10829">
      <c r="A10829" t="inlineStr">
        <is>
          <t xml:space="preserve">Nippon India Mutual Fund</t>
        </is>
      </c>
      <c r="B10829" t="inlineStr">
        <is>
          <t xml:space="preserve">Reliance Fixed Horizon Fund XXVII- Series 3- Direct Plan- Growth Option</t>
        </is>
      </c>
      <c r="C10829" t="inlineStr">
        <is>
          <t xml:space="preserve">INF204KA1SR2</t>
        </is>
      </c>
    </row>
    <row r="10830">
      <c r="A10830" t="inlineStr">
        <is>
          <t xml:space="preserve">Nippon India Mutual Fund</t>
        </is>
      </c>
      <c r="B10830" t="inlineStr">
        <is>
          <t xml:space="preserve">Reliance Fixed Horizon Fund XXVII- Series 3- Dividend Payout option</t>
        </is>
      </c>
      <c r="C10830" t="inlineStr">
        <is>
          <t xml:space="preserve">INF204KA1SQ4</t>
        </is>
      </c>
    </row>
    <row r="10831">
      <c r="A10831" t="inlineStr">
        <is>
          <t xml:space="preserve">Nippon India Mutual Fund</t>
        </is>
      </c>
      <c r="B10831" t="inlineStr">
        <is>
          <t xml:space="preserve">Reliance Fixed Horizon Fund XXVII- Series 3- Growth Option</t>
        </is>
      </c>
      <c r="C10831" t="inlineStr">
        <is>
          <t xml:space="preserve">INF204KA1SP6</t>
        </is>
      </c>
    </row>
    <row r="10832">
      <c r="A10832" t="inlineStr">
        <is>
          <t xml:space="preserve">Nippon India Mutual Fund</t>
        </is>
      </c>
      <c r="B10832" t="inlineStr">
        <is>
          <t xml:space="preserve">Reliance Fixed Horizon Fund XXVII- Series 4- Direct Plan- Growth Option</t>
        </is>
      </c>
      <c r="C10832" t="inlineStr">
        <is>
          <t xml:space="preserve">INF204KA1TH1</t>
        </is>
      </c>
    </row>
    <row r="10833">
      <c r="A10833" t="inlineStr">
        <is>
          <t xml:space="preserve">Nippon India Mutual Fund</t>
        </is>
      </c>
      <c r="B10833" t="inlineStr">
        <is>
          <t xml:space="preserve">Reliance Fixed Horizon Fund XXVII- Series 4- Dividend Payout Option</t>
        </is>
      </c>
      <c r="C10833" t="inlineStr">
        <is>
          <t xml:space="preserve">INF204KA1TG3</t>
        </is>
      </c>
    </row>
    <row r="10834">
      <c r="A10834" t="inlineStr">
        <is>
          <t xml:space="preserve">Nippon India Mutual Fund</t>
        </is>
      </c>
      <c r="B10834" t="inlineStr">
        <is>
          <t xml:space="preserve">Reliance Fixed Horizon Fund XXVII- Series 4- Growth Option</t>
        </is>
      </c>
      <c r="C10834" t="inlineStr">
        <is>
          <t xml:space="preserve">INF204KA1TF5</t>
        </is>
      </c>
    </row>
    <row r="10835">
      <c r="A10835" t="inlineStr">
        <is>
          <t xml:space="preserve">Nippon India Mutual Fund</t>
        </is>
      </c>
      <c r="B10835" t="inlineStr">
        <is>
          <t xml:space="preserve">Reliance Fixed Horizon Fund XXVII- Series 6- Direct Plan- Growth Option</t>
        </is>
      </c>
      <c r="C10835" t="inlineStr">
        <is>
          <t xml:space="preserve">INF204KA1TZ3</t>
        </is>
      </c>
    </row>
    <row r="10836">
      <c r="A10836" t="inlineStr">
        <is>
          <t xml:space="preserve">Nippon India Mutual Fund</t>
        </is>
      </c>
      <c r="B10836" t="inlineStr">
        <is>
          <t xml:space="preserve">Reliance Fixed Horizon Fund XXVII- Series 6- Growth Option</t>
        </is>
      </c>
      <c r="C10836" t="inlineStr">
        <is>
          <t xml:space="preserve">INF204KA1TX8</t>
        </is>
      </c>
    </row>
    <row r="10837">
      <c r="A10837" t="inlineStr">
        <is>
          <t xml:space="preserve">Nippon India Mutual Fund</t>
        </is>
      </c>
      <c r="B10837" t="inlineStr">
        <is>
          <t xml:space="preserve">Reliance Fixed Horizon Fund XXVII- Series 7- Direct Plan- Growth Option</t>
        </is>
      </c>
      <c r="C10837" t="inlineStr">
        <is>
          <t xml:space="preserve">INF204KA1UU2</t>
        </is>
      </c>
    </row>
    <row r="10838">
      <c r="A10838" t="inlineStr">
        <is>
          <t xml:space="preserve">Nippon India Mutual Fund</t>
        </is>
      </c>
      <c r="B10838" t="inlineStr">
        <is>
          <t xml:space="preserve">Reliance Fixed Horizon Fund XXVII- Series 7- Dividend Payout Option</t>
        </is>
      </c>
      <c r="C10838" t="inlineStr">
        <is>
          <t xml:space="preserve">INF204KA1UT4</t>
        </is>
      </c>
    </row>
    <row r="10839">
      <c r="A10839" t="inlineStr">
        <is>
          <t xml:space="preserve">Nippon India Mutual Fund</t>
        </is>
      </c>
      <c r="B10839" t="inlineStr">
        <is>
          <t xml:space="preserve">Reliance Fixed Horizon Fund XXVII- Series 7- Growth Option</t>
        </is>
      </c>
      <c r="C10839" t="inlineStr">
        <is>
          <t xml:space="preserve">INF204KA1US6</t>
        </is>
      </c>
    </row>
    <row r="10840">
      <c r="A10840" t="inlineStr">
        <is>
          <t xml:space="preserve">Nippon India Mutual Fund</t>
        </is>
      </c>
      <c r="B10840" t="inlineStr">
        <is>
          <t xml:space="preserve">Reliance Fixed Horizon Fund XXVII- Series 8- Direct Plan- Dividend Payout Option</t>
        </is>
      </c>
      <c r="C10840" t="inlineStr">
        <is>
          <t xml:space="preserve">INF204KA1UV0</t>
        </is>
      </c>
    </row>
    <row r="10841">
      <c r="A10841" t="inlineStr">
        <is>
          <t xml:space="preserve">Nippon India Mutual Fund</t>
        </is>
      </c>
      <c r="B10841" t="inlineStr">
        <is>
          <t xml:space="preserve">Reliance Fixed Horizon Fund XXVII- Series 8- Direct Plan- Growth Option</t>
        </is>
      </c>
      <c r="C10841" t="inlineStr">
        <is>
          <t xml:space="preserve">INF204KA1UU2</t>
        </is>
      </c>
    </row>
    <row r="10842">
      <c r="A10842" t="inlineStr">
        <is>
          <t xml:space="preserve">Nippon India Mutual Fund</t>
        </is>
      </c>
      <c r="B10842" t="inlineStr">
        <is>
          <t xml:space="preserve">Reliance Fixed Horizon Fund XXVII- Series 8- Growth Option</t>
        </is>
      </c>
      <c r="C10842" t="inlineStr">
        <is>
          <t xml:space="preserve">INF204KA1US6</t>
        </is>
      </c>
    </row>
    <row r="10843">
      <c r="A10843" t="inlineStr">
        <is>
          <t xml:space="preserve">Nippon India Mutual Fund</t>
        </is>
      </c>
      <c r="B10843" t="inlineStr">
        <is>
          <t xml:space="preserve">Reliance Fixed Horizon Fund XXVII- Series 9- Direct Plan-Dividend Payout Option</t>
        </is>
      </c>
      <c r="C10843" t="inlineStr">
        <is>
          <t xml:space="preserve">INF204KA1WJ1</t>
        </is>
      </c>
    </row>
    <row r="10844">
      <c r="A10844" t="inlineStr">
        <is>
          <t xml:space="preserve">Nippon India Mutual Fund</t>
        </is>
      </c>
      <c r="B10844" t="inlineStr">
        <is>
          <t xml:space="preserve">Reliance Fixed Horizon Fund XXVII- Series 9- Direct Plan-Growth option</t>
        </is>
      </c>
      <c r="C10844" t="inlineStr">
        <is>
          <t xml:space="preserve">INF204KA1WI3</t>
        </is>
      </c>
    </row>
    <row r="10845">
      <c r="A10845" t="inlineStr">
        <is>
          <t xml:space="preserve">Nippon India Mutual Fund</t>
        </is>
      </c>
      <c r="B10845" t="inlineStr">
        <is>
          <t xml:space="preserve">Reliance Fixed Horizon Fund XXVII- Series 9- Dividend Payout Option</t>
        </is>
      </c>
      <c r="C10845" t="inlineStr">
        <is>
          <t xml:space="preserve">INF204KA1WH5</t>
        </is>
      </c>
    </row>
    <row r="10846">
      <c r="A10846" t="inlineStr">
        <is>
          <t xml:space="preserve">Nippon India Mutual Fund</t>
        </is>
      </c>
      <c r="B10846" t="inlineStr">
        <is>
          <t xml:space="preserve">Reliance Fixed Horizon Fund XXVII- Series 9- Growth option</t>
        </is>
      </c>
      <c r="C10846" t="inlineStr">
        <is>
          <t xml:space="preserve">INF204KA1WG7</t>
        </is>
      </c>
    </row>
    <row r="10847">
      <c r="A10847" t="inlineStr">
        <is>
          <t xml:space="preserve">Nippon India Mutual Fund</t>
        </is>
      </c>
      <c r="B10847" t="inlineStr">
        <is>
          <t xml:space="preserve">Reliance Fixed Horizon Fund XXVIII- Series 10- Direct Plan- Growth Option</t>
        </is>
      </c>
      <c r="C10847" t="inlineStr">
        <is>
          <t xml:space="preserve">INF204KA1H35</t>
        </is>
      </c>
    </row>
    <row r="10848">
      <c r="A10848" t="inlineStr">
        <is>
          <t xml:space="preserve">Nippon India Mutual Fund</t>
        </is>
      </c>
      <c r="B10848" t="inlineStr">
        <is>
          <t xml:space="preserve">Reliance Fixed Horizon Fund XXVIII- Series 10- Dividend Payout Option</t>
        </is>
      </c>
      <c r="C10848" t="inlineStr">
        <is>
          <t xml:space="preserve">INF204KA1H27</t>
        </is>
      </c>
    </row>
    <row r="10849">
      <c r="A10849" t="inlineStr">
        <is>
          <t xml:space="preserve">Nippon India Mutual Fund</t>
        </is>
      </c>
      <c r="B10849" t="inlineStr">
        <is>
          <t xml:space="preserve">Reliance Fixed Horizon Fund XXVIII- Series 10- Growth Option</t>
        </is>
      </c>
      <c r="C10849" t="inlineStr">
        <is>
          <t xml:space="preserve">INF204KA1H19</t>
        </is>
      </c>
    </row>
    <row r="10850">
      <c r="A10850" t="inlineStr">
        <is>
          <t xml:space="preserve">Nippon India Mutual Fund</t>
        </is>
      </c>
      <c r="B10850" t="inlineStr">
        <is>
          <t xml:space="preserve">Reliance Fixed Horizon Fund XXVIII- Series 14- Direct Plan-Dividend Payout Option</t>
        </is>
      </c>
      <c r="C10850" t="inlineStr">
        <is>
          <t xml:space="preserve">INF204KA1J66</t>
        </is>
      </c>
    </row>
    <row r="10851">
      <c r="A10851" t="inlineStr">
        <is>
          <t xml:space="preserve">Nippon India Mutual Fund</t>
        </is>
      </c>
      <c r="B10851" t="inlineStr">
        <is>
          <t xml:space="preserve">Reliance Fixed Horizon Fund XXVIII- Series 14- Direct Plan-Growth Option</t>
        </is>
      </c>
      <c r="C10851" t="inlineStr">
        <is>
          <t xml:space="preserve">INF204KA1J58</t>
        </is>
      </c>
    </row>
    <row r="10852">
      <c r="A10852" t="inlineStr">
        <is>
          <t xml:space="preserve">Nippon India Mutual Fund</t>
        </is>
      </c>
      <c r="B10852" t="inlineStr">
        <is>
          <t xml:space="preserve">Reliance Fixed Horizon Fund XXVIII- Series 14- Dividend Payout Option</t>
        </is>
      </c>
      <c r="C10852" t="inlineStr">
        <is>
          <t xml:space="preserve">INF204KA1J41</t>
        </is>
      </c>
    </row>
    <row r="10853">
      <c r="A10853" t="inlineStr">
        <is>
          <t xml:space="preserve">Nippon India Mutual Fund</t>
        </is>
      </c>
      <c r="B10853" t="inlineStr">
        <is>
          <t xml:space="preserve">Reliance Fixed Horizon Fund XXVIII- Series 14- Growth Option</t>
        </is>
      </c>
      <c r="C10853" t="inlineStr">
        <is>
          <t xml:space="preserve">INF204KA1J33</t>
        </is>
      </c>
    </row>
    <row r="10854">
      <c r="A10854" t="inlineStr">
        <is>
          <t xml:space="preserve">Nippon India Mutual Fund</t>
        </is>
      </c>
      <c r="B10854" t="inlineStr">
        <is>
          <t xml:space="preserve">Reliance Fixed Horizon Fund XXVIII- Series 18- Direct Plan-Dividend Payout Option</t>
        </is>
      </c>
      <c r="C10854" t="inlineStr">
        <is>
          <t xml:space="preserve">INF204KA1V86</t>
        </is>
      </c>
    </row>
    <row r="10855">
      <c r="A10855" t="inlineStr">
        <is>
          <t xml:space="preserve">Nippon India Mutual Fund</t>
        </is>
      </c>
      <c r="B10855" t="inlineStr">
        <is>
          <t xml:space="preserve">Reliance Fixed Horizon Fund XXVIII- Series 18- Direct Plan-Growth Option</t>
        </is>
      </c>
      <c r="C10855" t="inlineStr">
        <is>
          <t xml:space="preserve">INF204KA1V78</t>
        </is>
      </c>
    </row>
    <row r="10856">
      <c r="A10856" t="inlineStr">
        <is>
          <t xml:space="preserve">Nippon India Mutual Fund</t>
        </is>
      </c>
      <c r="B10856" t="inlineStr">
        <is>
          <t xml:space="preserve">Reliance Fixed Horizon Fund XXVIII- Series 18- Dividend Payout Option</t>
        </is>
      </c>
      <c r="C10856" t="inlineStr">
        <is>
          <t xml:space="preserve">INF204KA1V60</t>
        </is>
      </c>
    </row>
    <row r="10857">
      <c r="A10857" t="inlineStr">
        <is>
          <t xml:space="preserve">Nippon India Mutual Fund</t>
        </is>
      </c>
      <c r="B10857" t="inlineStr">
        <is>
          <t xml:space="preserve">Reliance Fixed Horizon Fund XXVIII- Series 18- Growth Option</t>
        </is>
      </c>
      <c r="C10857" t="inlineStr">
        <is>
          <t xml:space="preserve">INF204KA1V52</t>
        </is>
      </c>
    </row>
    <row r="10858">
      <c r="A10858" t="inlineStr">
        <is>
          <t xml:space="preserve">Nippon India Mutual Fund</t>
        </is>
      </c>
      <c r="B10858" t="inlineStr">
        <is>
          <t xml:space="preserve">Reliance Fixed Horizon Fund XXVIII- Series 19- Direct Plan-Growth Option</t>
        </is>
      </c>
      <c r="C10858" t="inlineStr">
        <is>
          <t xml:space="preserve">INF204KA13A3</t>
        </is>
      </c>
    </row>
    <row r="10859">
      <c r="A10859" t="inlineStr">
        <is>
          <t xml:space="preserve">Nippon India Mutual Fund</t>
        </is>
      </c>
      <c r="B10859" t="inlineStr">
        <is>
          <t xml:space="preserve">Reliance Fixed Horizon Fund XXVIII- Series 19- Dividend Payout Option</t>
        </is>
      </c>
      <c r="C10859" t="inlineStr">
        <is>
          <t xml:space="preserve">INF204KA12A5</t>
        </is>
      </c>
    </row>
    <row r="10860">
      <c r="A10860" t="inlineStr">
        <is>
          <t xml:space="preserve">Nippon India Mutual Fund</t>
        </is>
      </c>
      <c r="B10860" t="inlineStr">
        <is>
          <t xml:space="preserve">Reliance Fixed Horizon Fund XXVIII- Series 19- Growth Option</t>
        </is>
      </c>
      <c r="C10860" t="inlineStr">
        <is>
          <t xml:space="preserve">INF204KA11A7</t>
        </is>
      </c>
    </row>
    <row r="10861">
      <c r="A10861" t="inlineStr">
        <is>
          <t xml:space="preserve">Nippon India Mutual Fund</t>
        </is>
      </c>
      <c r="B10861" t="inlineStr">
        <is>
          <t xml:space="preserve">Reliance Fixed Horizon Fund XXVIII- Series 2- Direct Plan-Dividend Payout Option</t>
        </is>
      </c>
      <c r="C10861" t="inlineStr">
        <is>
          <t xml:space="preserve">INF204KA1ZR7</t>
        </is>
      </c>
    </row>
    <row r="10862">
      <c r="A10862" t="inlineStr">
        <is>
          <t xml:space="preserve">Nippon India Mutual Fund</t>
        </is>
      </c>
      <c r="B10862" t="inlineStr">
        <is>
          <t xml:space="preserve">Reliance Fixed Horizon Fund XXVIII- Series 2- Direct Plan-Growth Option</t>
        </is>
      </c>
      <c r="C10862" t="inlineStr">
        <is>
          <t xml:space="preserve">INF204KA1ZQ9</t>
        </is>
      </c>
    </row>
    <row r="10863">
      <c r="A10863" t="inlineStr">
        <is>
          <t xml:space="preserve">Nippon India Mutual Fund</t>
        </is>
      </c>
      <c r="B10863" t="inlineStr">
        <is>
          <t xml:space="preserve">Reliance Fixed Horizon Fund XXVIII- Series 2- Dividend Payout Option</t>
        </is>
      </c>
      <c r="C10863" t="inlineStr">
        <is>
          <t xml:space="preserve">INF204KA1ZP1</t>
        </is>
      </c>
    </row>
    <row r="10864">
      <c r="A10864" t="inlineStr">
        <is>
          <t xml:space="preserve">Nippon India Mutual Fund</t>
        </is>
      </c>
      <c r="B10864" t="inlineStr">
        <is>
          <t xml:space="preserve">Reliance Fixed Horizon Fund XXVIII- Series 2- Growth Option</t>
        </is>
      </c>
      <c r="C10864" t="inlineStr">
        <is>
          <t xml:space="preserve">INF204KA1ZO4</t>
        </is>
      </c>
    </row>
    <row r="10865">
      <c r="A10865" t="inlineStr">
        <is>
          <t xml:space="preserve">Nippon India Mutual Fund</t>
        </is>
      </c>
      <c r="B10865" t="inlineStr">
        <is>
          <t xml:space="preserve">Reliance Fixed Horizon Fund XXVIII- Series 4- Direct Plan-Dividend Payout Option</t>
        </is>
      </c>
      <c r="C10865" t="inlineStr">
        <is>
          <t xml:space="preserve">INF204KA1B15</t>
        </is>
      </c>
    </row>
    <row r="10866">
      <c r="A10866" t="inlineStr">
        <is>
          <t xml:space="preserve">Nippon India Mutual Fund</t>
        </is>
      </c>
      <c r="B10866" t="inlineStr">
        <is>
          <t xml:space="preserve">Reliance Fixed Horizon Fund XXVIII- Series 4- Dividend Payout Option</t>
        </is>
      </c>
      <c r="C10866" t="inlineStr">
        <is>
          <t xml:space="preserve">INF204KA1A99</t>
        </is>
      </c>
    </row>
    <row r="10867">
      <c r="A10867" t="inlineStr">
        <is>
          <t xml:space="preserve">Nippon India Mutual Fund</t>
        </is>
      </c>
      <c r="B10867" t="inlineStr">
        <is>
          <t xml:space="preserve">Reliance Fixed Horizon Fund XXVIII- Series 4- Growth Option</t>
        </is>
      </c>
      <c r="C10867" t="inlineStr">
        <is>
          <t xml:space="preserve">INF204KA1A81</t>
        </is>
      </c>
    </row>
    <row r="10868">
      <c r="A10868" t="inlineStr">
        <is>
          <t xml:space="preserve">Nippon India Mutual Fund</t>
        </is>
      </c>
      <c r="B10868" t="inlineStr">
        <is>
          <t xml:space="preserve">Reliance Fixed Horizon Fund XXVIII- Series 4-Direct Plan- Growth Option</t>
        </is>
      </c>
      <c r="C10868" t="inlineStr">
        <is>
          <t xml:space="preserve">INF204KA1B07</t>
        </is>
      </c>
    </row>
    <row r="10869">
      <c r="A10869" t="inlineStr">
        <is>
          <t xml:space="preserve">Nippon India Mutual Fund</t>
        </is>
      </c>
      <c r="B10869" t="inlineStr">
        <is>
          <t xml:space="preserve">Reliance Fixed Horizon Fund XXVIII- Series 7- Direct Plan-Growth Option</t>
        </is>
      </c>
      <c r="C10869" t="inlineStr">
        <is>
          <t xml:space="preserve">INF204KA1E95</t>
        </is>
      </c>
    </row>
    <row r="10870">
      <c r="A10870" t="inlineStr">
        <is>
          <t xml:space="preserve">Nippon India Mutual Fund</t>
        </is>
      </c>
      <c r="B10870" t="inlineStr">
        <is>
          <t xml:space="preserve">Reliance Fixed Horizon Fund XXVIII- Series 7- Dividend Payout Option</t>
        </is>
      </c>
      <c r="C10870" t="inlineStr">
        <is>
          <t xml:space="preserve">INF204KA1E87</t>
        </is>
      </c>
    </row>
    <row r="10871">
      <c r="A10871" t="inlineStr">
        <is>
          <t xml:space="preserve">Nippon India Mutual Fund</t>
        </is>
      </c>
      <c r="B10871" t="inlineStr">
        <is>
          <t xml:space="preserve">Reliance Fixed Horizon Fund XXVIII- Series 7- Growth Option</t>
        </is>
      </c>
      <c r="C10871" t="inlineStr">
        <is>
          <t xml:space="preserve">INF204KA1E79</t>
        </is>
      </c>
    </row>
    <row r="10872">
      <c r="A10872" t="inlineStr">
        <is>
          <t xml:space="preserve">Nippon India Mutual Fund</t>
        </is>
      </c>
      <c r="B10872" t="inlineStr">
        <is>
          <t xml:space="preserve">Reliance Fixed Horizon Fund XXX- Series 1 - Dividend Payout Option</t>
        </is>
      </c>
      <c r="C10872" t="inlineStr">
        <is>
          <t xml:space="preserve">INF204KA10U7</t>
        </is>
      </c>
    </row>
    <row r="10873">
      <c r="A10873" t="inlineStr">
        <is>
          <t xml:space="preserve">Nippon India Mutual Fund</t>
        </is>
      </c>
      <c r="B10873" t="inlineStr">
        <is>
          <t xml:space="preserve">Reliance Fixed Horizon Fund XXX- Series 1 -Direct Plan- Dividend Payout Option</t>
        </is>
      </c>
      <c r="C10873" t="inlineStr">
        <is>
          <t xml:space="preserve">INF204KA12U3</t>
        </is>
      </c>
    </row>
    <row r="10874">
      <c r="A10874" t="inlineStr">
        <is>
          <t xml:space="preserve">Nippon India Mutual Fund</t>
        </is>
      </c>
      <c r="B10874" t="inlineStr">
        <is>
          <t xml:space="preserve">Reliance Fixed Horizon Fund XXX- Series 1 -Direct Plan- Growth Option</t>
        </is>
      </c>
      <c r="C10874" t="inlineStr">
        <is>
          <t xml:space="preserve">INF204KA11U5</t>
        </is>
      </c>
    </row>
    <row r="10875">
      <c r="A10875" t="inlineStr">
        <is>
          <t xml:space="preserve">Nippon India Mutual Fund</t>
        </is>
      </c>
      <c r="B10875" t="inlineStr">
        <is>
          <t xml:space="preserve">Reliance Fixed Horizon Fund XXX- Series 1 -Growth Option</t>
        </is>
      </c>
      <c r="C10875" t="inlineStr">
        <is>
          <t xml:space="preserve">INF204KA19T0</t>
        </is>
      </c>
    </row>
    <row r="10876">
      <c r="A10876" t="inlineStr">
        <is>
          <t xml:space="preserve">Nippon India Mutual Fund</t>
        </is>
      </c>
      <c r="B10876" t="inlineStr">
        <is>
          <t xml:space="preserve">Reliance Fixed Horizon Fund XXX- Series 10- Direct Plan-Dividend Payout Option</t>
        </is>
      </c>
      <c r="C10876" t="inlineStr">
        <is>
          <t xml:space="preserve">INF204KA16Y6</t>
        </is>
      </c>
    </row>
    <row r="10877">
      <c r="A10877" t="inlineStr">
        <is>
          <t xml:space="preserve">Nippon India Mutual Fund</t>
        </is>
      </c>
      <c r="B10877" t="inlineStr">
        <is>
          <t xml:space="preserve">Reliance Fixed Horizon Fund XXX- Series 10- Direct Plan-Growth Option</t>
        </is>
      </c>
      <c r="C10877" t="inlineStr">
        <is>
          <t xml:space="preserve">INF204KA15Y8</t>
        </is>
      </c>
    </row>
    <row r="10878">
      <c r="A10878" t="inlineStr">
        <is>
          <t xml:space="preserve">Nippon India Mutual Fund</t>
        </is>
      </c>
      <c r="B10878" t="inlineStr">
        <is>
          <t xml:space="preserve">Reliance Fixed Horizon Fund XXX- Series 10- Growth Option</t>
        </is>
      </c>
      <c r="C10878" t="inlineStr">
        <is>
          <t xml:space="preserve">INF204KA13Y3</t>
        </is>
      </c>
    </row>
    <row r="10879">
      <c r="A10879" t="inlineStr">
        <is>
          <t xml:space="preserve">Nippon India Mutual Fund</t>
        </is>
      </c>
      <c r="B10879" t="inlineStr">
        <is>
          <t xml:space="preserve">Reliance Fixed Horizon Fund XXX- Series 11- Direct Plan-Dividend Payout Option</t>
        </is>
      </c>
      <c r="C10879" t="inlineStr">
        <is>
          <t xml:space="preserve">INF204KA10Z6</t>
        </is>
      </c>
    </row>
    <row r="10880">
      <c r="A10880" t="inlineStr">
        <is>
          <t xml:space="preserve">Nippon India Mutual Fund</t>
        </is>
      </c>
      <c r="B10880" t="inlineStr">
        <is>
          <t xml:space="preserve">Reliance Fixed Horizon Fund XXX- Series 11- Direct Plan-Growth Option</t>
        </is>
      </c>
      <c r="C10880" t="inlineStr">
        <is>
          <t xml:space="preserve">INF204KA19Y0</t>
        </is>
      </c>
    </row>
    <row r="10881">
      <c r="A10881" t="inlineStr">
        <is>
          <t xml:space="preserve">Nippon India Mutual Fund</t>
        </is>
      </c>
      <c r="B10881" t="inlineStr">
        <is>
          <t xml:space="preserve">Reliance Fixed Horizon Fund XXX- Series 11- Dividend Payout Option</t>
        </is>
      </c>
      <c r="C10881" t="inlineStr">
        <is>
          <t xml:space="preserve">INF204KA18Y2</t>
        </is>
      </c>
    </row>
    <row r="10882">
      <c r="A10882" t="inlineStr">
        <is>
          <t xml:space="preserve">Nippon India Mutual Fund</t>
        </is>
      </c>
      <c r="B10882" t="inlineStr">
        <is>
          <t xml:space="preserve">Reliance Fixed Horizon Fund XXX- Series 11- Growth Option</t>
        </is>
      </c>
      <c r="C10882" t="inlineStr">
        <is>
          <t xml:space="preserve">INF204KA17Y4</t>
        </is>
      </c>
    </row>
    <row r="10883">
      <c r="A10883" t="inlineStr">
        <is>
          <t xml:space="preserve">Nippon India Mutual Fund</t>
        </is>
      </c>
      <c r="B10883" t="inlineStr">
        <is>
          <t xml:space="preserve">Reliance Fixed Horizon Fund XXX- Series 12- Direct Plan-Dividend Payout Option</t>
        </is>
      </c>
      <c r="C10883" t="inlineStr">
        <is>
          <t xml:space="preserve">INF204KA14Z8</t>
        </is>
      </c>
    </row>
    <row r="10884">
      <c r="A10884" t="inlineStr">
        <is>
          <t xml:space="preserve">Nippon India Mutual Fund</t>
        </is>
      </c>
      <c r="B10884" t="inlineStr">
        <is>
          <t xml:space="preserve">Reliance Fixed Horizon Fund XXX- Series 12- Direct Plan-Growth Option</t>
        </is>
      </c>
      <c r="C10884" t="inlineStr">
        <is>
          <t xml:space="preserve">INF204KA13Z0</t>
        </is>
      </c>
    </row>
    <row r="10885">
      <c r="A10885" t="inlineStr">
        <is>
          <t xml:space="preserve">Nippon India Mutual Fund</t>
        </is>
      </c>
      <c r="B10885" t="inlineStr">
        <is>
          <t xml:space="preserve">Reliance Fixed Horizon Fund XXX- Series 12- Dividend Payout Option</t>
        </is>
      </c>
      <c r="C10885" t="inlineStr">
        <is>
          <t xml:space="preserve">INF204KA12Z2</t>
        </is>
      </c>
    </row>
    <row r="10886">
      <c r="A10886" t="inlineStr">
        <is>
          <t xml:space="preserve">Nippon India Mutual Fund</t>
        </is>
      </c>
      <c r="B10886" t="inlineStr">
        <is>
          <t xml:space="preserve">Reliance Fixed Horizon Fund XXX- Series 12- Growth Option</t>
        </is>
      </c>
      <c r="C10886" t="inlineStr">
        <is>
          <t xml:space="preserve">INF204KA11Z4</t>
        </is>
      </c>
    </row>
    <row r="10887">
      <c r="A10887" t="inlineStr">
        <is>
          <t xml:space="preserve">Nippon India Mutual Fund</t>
        </is>
      </c>
      <c r="B10887" t="inlineStr">
        <is>
          <t xml:space="preserve">Reliance Fixed Horizon Fund XXX- Series 13 -Direct Plan- Dividend Payout Option</t>
        </is>
      </c>
      <c r="C10887" t="inlineStr">
        <is>
          <t xml:space="preserve">INF204KB1114</t>
        </is>
      </c>
    </row>
    <row r="10888">
      <c r="A10888" t="inlineStr">
        <is>
          <t xml:space="preserve">Nippon India Mutual Fund</t>
        </is>
      </c>
      <c r="B10888" t="inlineStr">
        <is>
          <t xml:space="preserve">Reliance Fixed Horizon Fund XXX- Series 13 -Direct Plan- Growth Option</t>
        </is>
      </c>
      <c r="C10888" t="inlineStr">
        <is>
          <t xml:space="preserve">INF204KB1106</t>
        </is>
      </c>
    </row>
    <row r="10889">
      <c r="A10889" t="inlineStr">
        <is>
          <t xml:space="preserve">Nippon India Mutual Fund</t>
        </is>
      </c>
      <c r="B10889" t="inlineStr">
        <is>
          <t xml:space="preserve">Reliance Fixed Horizon Fund XXX- Series 13 -Dividend Payout Option</t>
        </is>
      </c>
      <c r="C10889" t="inlineStr">
        <is>
          <t xml:space="preserve">INF204KB1098</t>
        </is>
      </c>
    </row>
    <row r="10890">
      <c r="A10890" t="inlineStr">
        <is>
          <t xml:space="preserve">Nippon India Mutual Fund</t>
        </is>
      </c>
      <c r="B10890" t="inlineStr">
        <is>
          <t xml:space="preserve">Reliance Fixed Horizon Fund XXX- Series 13 -Growth Option</t>
        </is>
      </c>
      <c r="C10890" t="inlineStr">
        <is>
          <t xml:space="preserve">INF204KB1080</t>
        </is>
      </c>
    </row>
    <row r="10891">
      <c r="A10891" t="inlineStr">
        <is>
          <t xml:space="preserve">Nippon India Mutual Fund</t>
        </is>
      </c>
      <c r="B10891" t="inlineStr">
        <is>
          <t xml:space="preserve">Reliance Fixed Horizon Fund XXX- Series 14 - Growth Option</t>
        </is>
      </c>
      <c r="C10891" t="inlineStr">
        <is>
          <t xml:space="preserve">INF204KA19Z7</t>
        </is>
      </c>
    </row>
    <row r="10892">
      <c r="A10892" t="inlineStr">
        <is>
          <t xml:space="preserve">Nippon India Mutual Fund</t>
        </is>
      </c>
      <c r="B10892" t="inlineStr">
        <is>
          <t xml:space="preserve">Reliance Fixed Horizon Fund XXX- Series 14 -Direct Plan- Dividend Payout Option</t>
        </is>
      </c>
      <c r="C10892" t="inlineStr">
        <is>
          <t xml:space="preserve">INF204KB1031</t>
        </is>
      </c>
    </row>
    <row r="10893">
      <c r="A10893" t="inlineStr">
        <is>
          <t xml:space="preserve">Nippon India Mutual Fund</t>
        </is>
      </c>
      <c r="B10893" t="inlineStr">
        <is>
          <t xml:space="preserve">Reliance Fixed Horizon Fund XXX- Series 14 -Direct Plan- Growth Option</t>
        </is>
      </c>
      <c r="C10893" t="inlineStr">
        <is>
          <t xml:space="preserve">INF204KB1023</t>
        </is>
      </c>
    </row>
    <row r="10894">
      <c r="A10894" t="inlineStr">
        <is>
          <t xml:space="preserve">Nippon India Mutual Fund</t>
        </is>
      </c>
      <c r="B10894" t="inlineStr">
        <is>
          <t xml:space="preserve">Reliance Fixed Horizon Fund XXX- Series 14 -Dividend Payout Option</t>
        </is>
      </c>
      <c r="C10894" t="inlineStr">
        <is>
          <t xml:space="preserve">INF204KB1015</t>
        </is>
      </c>
    </row>
    <row r="10895">
      <c r="A10895" t="inlineStr">
        <is>
          <t xml:space="preserve">Nippon India Mutual Fund</t>
        </is>
      </c>
      <c r="B10895" t="inlineStr">
        <is>
          <t xml:space="preserve">Reliance Fixed Horizon Fund XXX- Series 17- Direct Plan-Dividend Payout Option</t>
        </is>
      </c>
      <c r="C10895" t="inlineStr">
        <is>
          <t xml:space="preserve">INF204KB1197</t>
        </is>
      </c>
    </row>
    <row r="10896">
      <c r="A10896" t="inlineStr">
        <is>
          <t xml:space="preserve">Nippon India Mutual Fund</t>
        </is>
      </c>
      <c r="B10896" t="inlineStr">
        <is>
          <t xml:space="preserve">Reliance Fixed Horizon Fund XXX- Series 17- Direct Plan-Growth Option</t>
        </is>
      </c>
      <c r="C10896" t="inlineStr">
        <is>
          <t xml:space="preserve">INF204KB1189</t>
        </is>
      </c>
    </row>
    <row r="10897">
      <c r="A10897" t="inlineStr">
        <is>
          <t xml:space="preserve">Nippon India Mutual Fund</t>
        </is>
      </c>
      <c r="B10897" t="inlineStr">
        <is>
          <t xml:space="preserve">Reliance Fixed Horizon Fund XXX- Series 17- Dividend Payout Option</t>
        </is>
      </c>
      <c r="C10897" t="inlineStr">
        <is>
          <t xml:space="preserve">INF204KB1171</t>
        </is>
      </c>
    </row>
    <row r="10898">
      <c r="A10898" t="inlineStr">
        <is>
          <t xml:space="preserve">Nippon India Mutual Fund</t>
        </is>
      </c>
      <c r="B10898" t="inlineStr">
        <is>
          <t xml:space="preserve">Reliance Fixed Horizon Fund XXX- Series 17- Growth Option</t>
        </is>
      </c>
      <c r="C10898" t="inlineStr">
        <is>
          <t xml:space="preserve">INF204KB1163</t>
        </is>
      </c>
    </row>
    <row r="10899">
      <c r="A10899" t="inlineStr">
        <is>
          <t xml:space="preserve">Nippon India Mutual Fund</t>
        </is>
      </c>
      <c r="B10899" t="inlineStr">
        <is>
          <t xml:space="preserve">Reliance Fixed Horizon Fund XXX- Series 18- Direct Plan-Dividend Payout Option</t>
        </is>
      </c>
      <c r="C10899" t="inlineStr">
        <is>
          <t xml:space="preserve">INF204KB1270</t>
        </is>
      </c>
    </row>
    <row r="10900">
      <c r="A10900" t="inlineStr">
        <is>
          <t xml:space="preserve">Nippon India Mutual Fund</t>
        </is>
      </c>
      <c r="B10900" t="inlineStr">
        <is>
          <t xml:space="preserve">Reliance Fixed Horizon Fund XXX- Series 18- Direct Plan-Growth Option</t>
        </is>
      </c>
      <c r="C10900" t="inlineStr">
        <is>
          <t xml:space="preserve">INF204KB1262</t>
        </is>
      </c>
    </row>
    <row r="10901">
      <c r="A10901" t="inlineStr">
        <is>
          <t xml:space="preserve">Nippon India Mutual Fund</t>
        </is>
      </c>
      <c r="B10901" t="inlineStr">
        <is>
          <t xml:space="preserve">Reliance Fixed Horizon Fund XXX- Series 18- Dividend Payout Option</t>
        </is>
      </c>
      <c r="C10901" t="inlineStr">
        <is>
          <t xml:space="preserve">INF204KB1254</t>
        </is>
      </c>
    </row>
    <row r="10902">
      <c r="A10902" t="inlineStr">
        <is>
          <t xml:space="preserve">Nippon India Mutual Fund</t>
        </is>
      </c>
      <c r="B10902" t="inlineStr">
        <is>
          <t xml:space="preserve">Reliance Fixed Horizon Fund XXX- Series 18- Growth Option</t>
        </is>
      </c>
      <c r="C10902" t="inlineStr">
        <is>
          <t xml:space="preserve">INF204KB1247</t>
        </is>
      </c>
    </row>
    <row r="10903">
      <c r="A10903" t="inlineStr">
        <is>
          <t xml:space="preserve">Nippon India Mutual Fund</t>
        </is>
      </c>
      <c r="B10903" t="inlineStr">
        <is>
          <t xml:space="preserve">Reliance Fixed Horizon Fund XXX- Series 19- Direct Plan-Dividend Payout Option</t>
        </is>
      </c>
      <c r="C10903" t="inlineStr">
        <is>
          <t xml:space="preserve">INF204KB1353</t>
        </is>
      </c>
    </row>
    <row r="10904">
      <c r="A10904" t="inlineStr">
        <is>
          <t xml:space="preserve">Nippon India Mutual Fund</t>
        </is>
      </c>
      <c r="B10904" t="inlineStr">
        <is>
          <t xml:space="preserve">Reliance Fixed Horizon Fund XXX- Series 19- Direct Plan-Growth Option</t>
        </is>
      </c>
      <c r="C10904" t="inlineStr">
        <is>
          <t xml:space="preserve">INF204KB1346</t>
        </is>
      </c>
    </row>
    <row r="10905">
      <c r="A10905" t="inlineStr">
        <is>
          <t xml:space="preserve">Nippon India Mutual Fund</t>
        </is>
      </c>
      <c r="B10905" t="inlineStr">
        <is>
          <t xml:space="preserve">Reliance Fixed Horizon Fund XXX- Series 19- Dividend Payout Option</t>
        </is>
      </c>
      <c r="C10905" t="inlineStr">
        <is>
          <t xml:space="preserve">INF204KB1338</t>
        </is>
      </c>
    </row>
    <row r="10906">
      <c r="A10906" t="inlineStr">
        <is>
          <t xml:space="preserve">Nippon India Mutual Fund</t>
        </is>
      </c>
      <c r="B10906" t="inlineStr">
        <is>
          <t xml:space="preserve">Reliance Fixed Horizon Fund XXX- Series 19- Growth Option</t>
        </is>
      </c>
      <c r="C10906" t="inlineStr">
        <is>
          <t xml:space="preserve">INF204KB1320</t>
        </is>
      </c>
    </row>
    <row r="10907">
      <c r="A10907" t="inlineStr">
        <is>
          <t xml:space="preserve">Nippon India Mutual Fund</t>
        </is>
      </c>
      <c r="B10907" t="inlineStr">
        <is>
          <t xml:space="preserve">Reliance Fixed Horizon Fund XXX- Series 2 - Dividend Payout Option</t>
        </is>
      </c>
      <c r="C10907" t="inlineStr">
        <is>
          <t xml:space="preserve">INF204KA14U9</t>
        </is>
      </c>
    </row>
    <row r="10908">
      <c r="A10908" t="inlineStr">
        <is>
          <t xml:space="preserve">Nippon India Mutual Fund</t>
        </is>
      </c>
      <c r="B10908" t="inlineStr">
        <is>
          <t xml:space="preserve">Reliance Fixed Horizon Fund XXX- Series 2 - Growth Option</t>
        </is>
      </c>
      <c r="C10908" t="inlineStr">
        <is>
          <t xml:space="preserve">INF204KA13U1</t>
        </is>
      </c>
    </row>
    <row r="10909">
      <c r="A10909" t="inlineStr">
        <is>
          <t xml:space="preserve">Nippon India Mutual Fund</t>
        </is>
      </c>
      <c r="B10909" t="inlineStr">
        <is>
          <t xml:space="preserve">Reliance Fixed Horizon Fund XXX- Series 2 -Direct Plan- Dividend Payout Option</t>
        </is>
      </c>
      <c r="C10909" t="inlineStr">
        <is>
          <t xml:space="preserve">INF204KA16U4</t>
        </is>
      </c>
    </row>
    <row r="10910">
      <c r="A10910" t="inlineStr">
        <is>
          <t xml:space="preserve">Nippon India Mutual Fund</t>
        </is>
      </c>
      <c r="B10910" t="inlineStr">
        <is>
          <t xml:space="preserve">Reliance Fixed Horizon Fund XXX- Series 2 -Direct Plan- Growth Option</t>
        </is>
      </c>
      <c r="C10910" t="inlineStr">
        <is>
          <t xml:space="preserve">INF204KA15U6</t>
        </is>
      </c>
    </row>
    <row r="10911">
      <c r="A10911" t="inlineStr">
        <is>
          <t xml:space="preserve">Nippon India Mutual Fund</t>
        </is>
      </c>
      <c r="B10911" t="inlineStr">
        <is>
          <t xml:space="preserve">Reliance Fixed Horizon Fund XXX- Series 20- Direct Plan-Dividend Payout Option</t>
        </is>
      </c>
      <c r="C10911" t="inlineStr">
        <is>
          <t xml:space="preserve">INF204KB1478</t>
        </is>
      </c>
    </row>
    <row r="10912">
      <c r="A10912" t="inlineStr">
        <is>
          <t xml:space="preserve">Nippon India Mutual Fund</t>
        </is>
      </c>
      <c r="B10912" t="inlineStr">
        <is>
          <t xml:space="preserve">Reliance Fixed Horizon Fund XXX- Series 20- Direct Plan-Growth Option</t>
        </is>
      </c>
      <c r="C10912" t="inlineStr">
        <is>
          <t xml:space="preserve">INF204KB1460</t>
        </is>
      </c>
    </row>
    <row r="10913">
      <c r="A10913" t="inlineStr">
        <is>
          <t xml:space="preserve">Nippon India Mutual Fund</t>
        </is>
      </c>
      <c r="B10913" t="inlineStr">
        <is>
          <t xml:space="preserve">Reliance Fixed Horizon Fund XXX- Series 20- Dividend Payout Option</t>
        </is>
      </c>
      <c r="C10913" t="inlineStr">
        <is>
          <t xml:space="preserve">INF204KB1452</t>
        </is>
      </c>
    </row>
    <row r="10914">
      <c r="A10914" t="inlineStr">
        <is>
          <t xml:space="preserve">Nippon India Mutual Fund</t>
        </is>
      </c>
      <c r="B10914" t="inlineStr">
        <is>
          <t xml:space="preserve">Reliance Fixed Horizon Fund XXX- Series 20- Growth Option</t>
        </is>
      </c>
      <c r="C10914" t="inlineStr">
        <is>
          <t xml:space="preserve">INF204KB1445</t>
        </is>
      </c>
    </row>
    <row r="10915">
      <c r="A10915" t="inlineStr">
        <is>
          <t xml:space="preserve">Nippon India Mutual Fund</t>
        </is>
      </c>
      <c r="B10915" t="inlineStr">
        <is>
          <t xml:space="preserve">Reliance Fixed Horizon Fund XXX- Series 4 -Direct Plan- Dividend Payout Option</t>
        </is>
      </c>
      <c r="C10915" t="inlineStr">
        <is>
          <t xml:space="preserve">INF204KA18V8</t>
        </is>
      </c>
    </row>
    <row r="10916">
      <c r="A10916" t="inlineStr">
        <is>
          <t xml:space="preserve">Nippon India Mutual Fund</t>
        </is>
      </c>
      <c r="B10916" t="inlineStr">
        <is>
          <t xml:space="preserve">Reliance Fixed Horizon Fund XXX- Series 4 -Direct Plan- Growth Option</t>
        </is>
      </c>
      <c r="C10916" t="inlineStr">
        <is>
          <t xml:space="preserve">INF204KA17V0</t>
        </is>
      </c>
    </row>
    <row r="10917">
      <c r="A10917" t="inlineStr">
        <is>
          <t xml:space="preserve">Nippon India Mutual Fund</t>
        </is>
      </c>
      <c r="B10917" t="inlineStr">
        <is>
          <t xml:space="preserve">Reliance Fixed Horizon Fund XXX- Series 4 -Dividend Payout Option</t>
        </is>
      </c>
      <c r="C10917" t="inlineStr">
        <is>
          <t xml:space="preserve">INF204KA16V2</t>
        </is>
      </c>
    </row>
    <row r="10918">
      <c r="A10918" t="inlineStr">
        <is>
          <t xml:space="preserve">Nippon India Mutual Fund</t>
        </is>
      </c>
      <c r="B10918" t="inlineStr">
        <is>
          <t xml:space="preserve">Reliance Fixed Horizon Fund XXX- Series 4 -Growth Option</t>
        </is>
      </c>
      <c r="C10918" t="inlineStr">
        <is>
          <t xml:space="preserve">INF204KA15V4</t>
        </is>
      </c>
    </row>
    <row r="10919">
      <c r="A10919" t="inlineStr">
        <is>
          <t xml:space="preserve">Nippon India Mutual Fund</t>
        </is>
      </c>
      <c r="B10919" t="inlineStr">
        <is>
          <t xml:space="preserve">Reliance Fixed Horizon Fund XXX- Series 5- Direct Plan- Growth Option</t>
        </is>
      </c>
      <c r="C10919" t="inlineStr">
        <is>
          <t xml:space="preserve">INF204KA12W9</t>
        </is>
      </c>
    </row>
    <row r="10920">
      <c r="A10920" t="inlineStr">
        <is>
          <t xml:space="preserve">Nippon India Mutual Fund</t>
        </is>
      </c>
      <c r="B10920" t="inlineStr">
        <is>
          <t xml:space="preserve">Reliance Fixed Horizon Fund XXX- Series 5- Direct Plan-Dividend Payout Option</t>
        </is>
      </c>
      <c r="C10920" t="inlineStr">
        <is>
          <t xml:space="preserve">INF204KA11W1</t>
        </is>
      </c>
    </row>
    <row r="10921">
      <c r="A10921" t="inlineStr">
        <is>
          <t xml:space="preserve">Nippon India Mutual Fund</t>
        </is>
      </c>
      <c r="B10921" t="inlineStr">
        <is>
          <t xml:space="preserve">Reliance Fixed Horizon Fund XXX- Series 5- Dividend Payout Option</t>
        </is>
      </c>
      <c r="C10921" t="inlineStr">
        <is>
          <t xml:space="preserve">INF204KA10W3</t>
        </is>
      </c>
    </row>
    <row r="10922">
      <c r="A10922" t="inlineStr">
        <is>
          <t xml:space="preserve">Nippon India Mutual Fund</t>
        </is>
      </c>
      <c r="B10922" t="inlineStr">
        <is>
          <t xml:space="preserve">Reliance Fixed Horizon Fund XXX- Series 5- Growth Option</t>
        </is>
      </c>
      <c r="C10922" t="inlineStr">
        <is>
          <t xml:space="preserve">INF204KA19V6</t>
        </is>
      </c>
    </row>
    <row r="10923">
      <c r="A10923" t="inlineStr">
        <is>
          <t xml:space="preserve">Nippon India Mutual Fund</t>
        </is>
      </c>
      <c r="B10923" t="inlineStr">
        <is>
          <t xml:space="preserve">Reliance Fixed Horizon Fund XXX- Series 6- Direct Plan-Dividend Payout Option</t>
        </is>
      </c>
      <c r="C10923" t="inlineStr">
        <is>
          <t xml:space="preserve">INF204KA16W0</t>
        </is>
      </c>
    </row>
    <row r="10924">
      <c r="A10924" t="inlineStr">
        <is>
          <t xml:space="preserve">Nippon India Mutual Fund</t>
        </is>
      </c>
      <c r="B10924" t="inlineStr">
        <is>
          <t xml:space="preserve">Reliance Fixed Horizon Fund XXX- Series 6- Direct Plan-Growth Option</t>
        </is>
      </c>
      <c r="C10924" t="inlineStr">
        <is>
          <t xml:space="preserve">INF204KA15W2</t>
        </is>
      </c>
    </row>
    <row r="10925">
      <c r="A10925" t="inlineStr">
        <is>
          <t xml:space="preserve">Nippon India Mutual Fund</t>
        </is>
      </c>
      <c r="B10925" t="inlineStr">
        <is>
          <t xml:space="preserve">Reliance Fixed Horizon Fund XXX- Series 6- Growth Option</t>
        </is>
      </c>
      <c r="C10925" t="inlineStr">
        <is>
          <t xml:space="preserve">INF204KA13W7</t>
        </is>
      </c>
    </row>
    <row r="10926">
      <c r="A10926" t="inlineStr">
        <is>
          <t xml:space="preserve">Nippon India Mutual Fund</t>
        </is>
      </c>
      <c r="B10926" t="inlineStr">
        <is>
          <t xml:space="preserve">Reliance Fixed Horizon Fund XXX- Series 7- Direct Plan-Growth Option</t>
        </is>
      </c>
      <c r="C10926" t="inlineStr">
        <is>
          <t xml:space="preserve">INF204KA13X5</t>
        </is>
      </c>
    </row>
    <row r="10927">
      <c r="A10927" t="inlineStr">
        <is>
          <t xml:space="preserve">Nippon India Mutual Fund</t>
        </is>
      </c>
      <c r="B10927" t="inlineStr">
        <is>
          <t xml:space="preserve">Reliance Fixed Horizon Fund XXX- Series 7- Growth Option</t>
        </is>
      </c>
      <c r="C10927" t="inlineStr">
        <is>
          <t xml:space="preserve">INF204KA11X9</t>
        </is>
      </c>
    </row>
    <row r="10928">
      <c r="A10928" t="inlineStr">
        <is>
          <t xml:space="preserve">Nippon India Mutual Fund</t>
        </is>
      </c>
      <c r="B10928" t="inlineStr">
        <is>
          <t xml:space="preserve">Reliance Fixed Horizon Fund XXX- Series 8- Direct Plan- Dividen Payout Option</t>
        </is>
      </c>
      <c r="C10928" t="inlineStr">
        <is>
          <t xml:space="preserve">INF204KA18X4</t>
        </is>
      </c>
    </row>
    <row r="10929">
      <c r="A10929" t="inlineStr">
        <is>
          <t xml:space="preserve">Nippon India Mutual Fund</t>
        </is>
      </c>
      <c r="B10929" t="inlineStr">
        <is>
          <t xml:space="preserve">Reliance Fixed Horizon Fund XXX- Series 8- Direct Plan- Growth Option</t>
        </is>
      </c>
      <c r="C10929" t="inlineStr">
        <is>
          <t xml:space="preserve">INF204KA17X6</t>
        </is>
      </c>
    </row>
    <row r="10930">
      <c r="A10930" t="inlineStr">
        <is>
          <t xml:space="preserve">Nippon India Mutual Fund</t>
        </is>
      </c>
      <c r="B10930" t="inlineStr">
        <is>
          <t xml:space="preserve">Reliance Fixed Horizon Fund XXX- Series 8- Dividend Payout Option</t>
        </is>
      </c>
      <c r="C10930" t="inlineStr">
        <is>
          <t xml:space="preserve">INF204KA16X8</t>
        </is>
      </c>
    </row>
    <row r="10931">
      <c r="A10931" t="inlineStr">
        <is>
          <t xml:space="preserve">Nippon India Mutual Fund</t>
        </is>
      </c>
      <c r="B10931" t="inlineStr">
        <is>
          <t xml:space="preserve">Reliance Fixed Horizon Fund XXX- Series 8- Growth Option</t>
        </is>
      </c>
      <c r="C10931" t="inlineStr">
        <is>
          <t xml:space="preserve">INF204KA15X0</t>
        </is>
      </c>
    </row>
    <row r="10932">
      <c r="A10932" t="inlineStr">
        <is>
          <t xml:space="preserve">Nippon India Mutual Fund</t>
        </is>
      </c>
      <c r="B10932" t="inlineStr">
        <is>
          <t xml:space="preserve">Reliance Fixed Horizon Fund XXX- Series 9- Direct Plan-Dividend Payout Option</t>
        </is>
      </c>
      <c r="C10932" t="inlineStr">
        <is>
          <t xml:space="preserve">INF204KA12Y5</t>
        </is>
      </c>
    </row>
    <row r="10933">
      <c r="A10933" t="inlineStr">
        <is>
          <t xml:space="preserve">Nippon India Mutual Fund</t>
        </is>
      </c>
      <c r="B10933" t="inlineStr">
        <is>
          <t xml:space="preserve">Reliance Fixed Horizon Fund XXX- Series 9- Direct Plan-Growth Option</t>
        </is>
      </c>
      <c r="C10933" t="inlineStr">
        <is>
          <t xml:space="preserve">INF204KA11Y7</t>
        </is>
      </c>
    </row>
    <row r="10934">
      <c r="A10934" t="inlineStr">
        <is>
          <t xml:space="preserve">Nippon India Mutual Fund</t>
        </is>
      </c>
      <c r="B10934" t="inlineStr">
        <is>
          <t xml:space="preserve">Reliance Fixed Horizon Fund XXX- Series 9- Dividend Payout Option</t>
        </is>
      </c>
      <c r="C10934" t="inlineStr">
        <is>
          <t xml:space="preserve">INF204KA10Y9</t>
        </is>
      </c>
    </row>
    <row r="10935">
      <c r="A10935" t="inlineStr">
        <is>
          <t xml:space="preserve">Nippon India Mutual Fund</t>
        </is>
      </c>
      <c r="B10935" t="inlineStr">
        <is>
          <t xml:space="preserve">Reliance Fixed Horizon Fund XXX- Series 9- Growth Option</t>
        </is>
      </c>
      <c r="C10935" t="inlineStr">
        <is>
          <t xml:space="preserve">INF204KA19X2</t>
        </is>
      </c>
    </row>
    <row r="10936">
      <c r="A10936" t="inlineStr">
        <is>
          <t xml:space="preserve">Nippon India Mutual Fund</t>
        </is>
      </c>
      <c r="B10936" t="inlineStr">
        <is>
          <t xml:space="preserve">Reliance Fixed Horizon Fund XXX-Series 3- Direct Plan-Dividend Payout Option</t>
        </is>
      </c>
      <c r="C10936" t="inlineStr">
        <is>
          <t xml:space="preserve">INF204KA14V7</t>
        </is>
      </c>
    </row>
    <row r="10937">
      <c r="A10937" t="inlineStr">
        <is>
          <t xml:space="preserve">Nippon India Mutual Fund</t>
        </is>
      </c>
      <c r="B10937" t="inlineStr">
        <is>
          <t xml:space="preserve">Reliance Fixed Horizon Fund XXX-Series 3- Direct Plan-Growth Option</t>
        </is>
      </c>
      <c r="C10937" t="inlineStr">
        <is>
          <t xml:space="preserve">INF204KA13V9</t>
        </is>
      </c>
    </row>
    <row r="10938">
      <c r="A10938" t="inlineStr">
        <is>
          <t xml:space="preserve">Nippon India Mutual Fund</t>
        </is>
      </c>
      <c r="B10938" t="inlineStr">
        <is>
          <t xml:space="preserve">Reliance Fixed Horizon Fund XXX-Series 3- Dividend Payout Option</t>
        </is>
      </c>
      <c r="C10938" t="inlineStr">
        <is>
          <t xml:space="preserve">INF204KA12V1</t>
        </is>
      </c>
    </row>
    <row r="10939">
      <c r="A10939" t="inlineStr">
        <is>
          <t xml:space="preserve">Nippon India Mutual Fund</t>
        </is>
      </c>
      <c r="B10939" t="inlineStr">
        <is>
          <t xml:space="preserve">Reliance Fixed Horizon Fund XXX-Series 3- Growth Option</t>
        </is>
      </c>
      <c r="C10939" t="inlineStr">
        <is>
          <t xml:space="preserve">INF204KA11V3</t>
        </is>
      </c>
    </row>
    <row r="10940">
      <c r="A10940" t="inlineStr">
        <is>
          <t xml:space="preserve">Nippon India Mutual Fund</t>
        </is>
      </c>
      <c r="B10940" t="inlineStr">
        <is>
          <t xml:space="preserve">Reliance Fixed Horizon Fund XXXI Series 2 - Direct Plan - Dividend Payout Option</t>
        </is>
      </c>
      <c r="C10940" t="inlineStr">
        <is>
          <t xml:space="preserve">INF204KB1635</t>
        </is>
      </c>
    </row>
    <row r="10941">
      <c r="A10941" t="inlineStr">
        <is>
          <t xml:space="preserve">Nippon India Mutual Fund</t>
        </is>
      </c>
      <c r="B10941" t="inlineStr">
        <is>
          <t xml:space="preserve">Reliance Fixed Horizon Fund XXXI Series 2 - Direct Plan - Growth Option</t>
        </is>
      </c>
      <c r="C10941" t="inlineStr">
        <is>
          <t xml:space="preserve">INF204KB1627</t>
        </is>
      </c>
    </row>
    <row r="10942">
      <c r="A10942" t="inlineStr">
        <is>
          <t xml:space="preserve">Nippon India Mutual Fund</t>
        </is>
      </c>
      <c r="B10942" t="inlineStr">
        <is>
          <t xml:space="preserve">Reliance Fixed Horizon Fund XXXI Series 2 - Dividend Payout Option</t>
        </is>
      </c>
      <c r="C10942" t="inlineStr">
        <is>
          <t xml:space="preserve">INF204KB1619</t>
        </is>
      </c>
    </row>
    <row r="10943">
      <c r="A10943" t="inlineStr">
        <is>
          <t xml:space="preserve">Nippon India Mutual Fund</t>
        </is>
      </c>
      <c r="B10943" t="inlineStr">
        <is>
          <t xml:space="preserve">Reliance Fixed Horizon Fund XXXI Series 2 - Growth Option</t>
        </is>
      </c>
      <c r="C10943" t="inlineStr">
        <is>
          <t xml:space="preserve">INF204KB1601</t>
        </is>
      </c>
    </row>
    <row r="10944">
      <c r="A10944" t="inlineStr">
        <is>
          <t xml:space="preserve">Nippon India Mutual Fund</t>
        </is>
      </c>
      <c r="B10944" t="inlineStr">
        <is>
          <t xml:space="preserve">Reliance Fixed Horizon Fund XXXI- Series 1- Direct Plan-Dividend Payout Option</t>
        </is>
      </c>
      <c r="C10944" t="inlineStr">
        <is>
          <t xml:space="preserve">INF204KB1593</t>
        </is>
      </c>
    </row>
    <row r="10945">
      <c r="A10945" t="inlineStr">
        <is>
          <t xml:space="preserve">Nippon India Mutual Fund</t>
        </is>
      </c>
      <c r="B10945" t="inlineStr">
        <is>
          <t xml:space="preserve">Reliance Fixed Horizon Fund XXXI- Series 1- Direct Plan-Growth Option</t>
        </is>
      </c>
      <c r="C10945" t="inlineStr">
        <is>
          <t xml:space="preserve">INF204KB1585</t>
        </is>
      </c>
    </row>
    <row r="10946">
      <c r="A10946" t="inlineStr">
        <is>
          <t xml:space="preserve">Nippon India Mutual Fund</t>
        </is>
      </c>
      <c r="B10946" t="inlineStr">
        <is>
          <t xml:space="preserve">Reliance Fixed Horizon Fund XXXI- Series 1- Growth Option</t>
        </is>
      </c>
      <c r="C10946" t="inlineStr">
        <is>
          <t xml:space="preserve">INF204KB1569</t>
        </is>
      </c>
    </row>
    <row r="10947">
      <c r="A10947" t="inlineStr">
        <is>
          <t xml:space="preserve">Nippon India Mutual Fund</t>
        </is>
      </c>
      <c r="B10947" t="inlineStr">
        <is>
          <t xml:space="preserve">Reliance Fixed Horizon Fund XXXI- Series 11- Direct Plan-Dividend Payout Option</t>
        </is>
      </c>
      <c r="C10947" t="inlineStr">
        <is>
          <t xml:space="preserve">INF204KB1CU9</t>
        </is>
      </c>
    </row>
    <row r="10948">
      <c r="A10948" t="inlineStr">
        <is>
          <t xml:space="preserve">Nippon India Mutual Fund</t>
        </is>
      </c>
      <c r="B10948" t="inlineStr">
        <is>
          <t xml:space="preserve">Reliance Fixed Horizon Fund XXXI- Series 11- Direct Plan-Growth Option</t>
        </is>
      </c>
      <c r="C10948" t="inlineStr">
        <is>
          <t xml:space="preserve">INF204KB1CT1</t>
        </is>
      </c>
    </row>
    <row r="10949">
      <c r="A10949" t="inlineStr">
        <is>
          <t xml:space="preserve">Nippon India Mutual Fund</t>
        </is>
      </c>
      <c r="B10949" t="inlineStr">
        <is>
          <t xml:space="preserve">Reliance Fixed Horizon Fund XXXI- Series 11- Dividend Payout Option</t>
        </is>
      </c>
      <c r="C10949" t="inlineStr">
        <is>
          <t xml:space="preserve">INF204KB1CS3</t>
        </is>
      </c>
    </row>
    <row r="10950">
      <c r="A10950" t="inlineStr">
        <is>
          <t xml:space="preserve">Nippon India Mutual Fund</t>
        </is>
      </c>
      <c r="B10950" t="inlineStr">
        <is>
          <t xml:space="preserve">Reliance Fixed Horizon Fund XXXI- Series 11- Growth Option</t>
        </is>
      </c>
      <c r="C10950" t="inlineStr">
        <is>
          <t xml:space="preserve">INF204KB1CR5</t>
        </is>
      </c>
    </row>
    <row r="10951">
      <c r="A10951" t="inlineStr">
        <is>
          <t xml:space="preserve">Nippon India Mutual Fund</t>
        </is>
      </c>
      <c r="B10951" t="inlineStr">
        <is>
          <t xml:space="preserve">Reliance Fixed Horizon Fund XXXI- Series 4- Direct Plan-Dividend Payout Option</t>
        </is>
      </c>
      <c r="C10951" t="inlineStr">
        <is>
          <t xml:space="preserve">INF204KB1791</t>
        </is>
      </c>
    </row>
    <row r="10952">
      <c r="A10952" t="inlineStr">
        <is>
          <t xml:space="preserve">Nippon India Mutual Fund</t>
        </is>
      </c>
      <c r="B10952" t="inlineStr">
        <is>
          <t xml:space="preserve">Reliance Fixed Horizon Fund XXXI- Series 4- Direct Plan-Growth Option</t>
        </is>
      </c>
      <c r="C10952" t="inlineStr">
        <is>
          <t xml:space="preserve">INF204KB1783</t>
        </is>
      </c>
    </row>
    <row r="10953">
      <c r="A10953" t="inlineStr">
        <is>
          <t xml:space="preserve">Nippon India Mutual Fund</t>
        </is>
      </c>
      <c r="B10953" t="inlineStr">
        <is>
          <t xml:space="preserve">Reliance Fixed Horizon Fund XXXI- Series 4- Dividend Payout Option</t>
        </is>
      </c>
      <c r="C10953" t="inlineStr">
        <is>
          <t xml:space="preserve">INF204KB1775</t>
        </is>
      </c>
    </row>
    <row r="10954">
      <c r="A10954" t="inlineStr">
        <is>
          <t xml:space="preserve">Nippon India Mutual Fund</t>
        </is>
      </c>
      <c r="B10954" t="inlineStr">
        <is>
          <t xml:space="preserve">Reliance Fixed Horizon Fund XXXI- Series 4- Growth Option</t>
        </is>
      </c>
      <c r="C10954" t="inlineStr">
        <is>
          <t xml:space="preserve">INF204KB1767</t>
        </is>
      </c>
    </row>
    <row r="10955">
      <c r="A10955" t="inlineStr">
        <is>
          <t xml:space="preserve">Nippon India Mutual Fund</t>
        </is>
      </c>
      <c r="B10955" t="inlineStr">
        <is>
          <t xml:space="preserve">Reliance Fixed Horizon Fund XXXI- Series 5- Direct Plan-Growth Option</t>
        </is>
      </c>
      <c r="C10955" t="inlineStr">
        <is>
          <t xml:space="preserve">INF204KB1AD9</t>
        </is>
      </c>
    </row>
    <row r="10956">
      <c r="A10956" t="inlineStr">
        <is>
          <t xml:space="preserve">Nippon India Mutual Fund</t>
        </is>
      </c>
      <c r="B10956" t="inlineStr">
        <is>
          <t xml:space="preserve">Reliance Fixed Horizon Fund XXXI- Series 5- Dividend Payout Option</t>
        </is>
      </c>
      <c r="C10956" t="inlineStr">
        <is>
          <t xml:space="preserve">INF204KB1AC1</t>
        </is>
      </c>
    </row>
    <row r="10957">
      <c r="A10957" t="inlineStr">
        <is>
          <t xml:space="preserve">Nippon India Mutual Fund</t>
        </is>
      </c>
      <c r="B10957" t="inlineStr">
        <is>
          <t xml:space="preserve">Reliance Fixed Horizon Fund XXXI- Series 5- Growth Option</t>
        </is>
      </c>
      <c r="C10957" t="inlineStr">
        <is>
          <t xml:space="preserve">INF204KB1AB3</t>
        </is>
      </c>
    </row>
    <row r="10958">
      <c r="A10958" t="inlineStr">
        <is>
          <t xml:space="preserve">Nippon India Mutual Fund</t>
        </is>
      </c>
      <c r="B10958" t="inlineStr">
        <is>
          <t xml:space="preserve">Reliance Fixed Horizon Fund XXXI- Series 6- Direct Plan-Dividend Payout Option</t>
        </is>
      </c>
      <c r="C10958" t="inlineStr">
        <is>
          <t xml:space="preserve">INF204KB1AI8</t>
        </is>
      </c>
    </row>
    <row r="10959">
      <c r="A10959" t="inlineStr">
        <is>
          <t xml:space="preserve">Nippon India Mutual Fund</t>
        </is>
      </c>
      <c r="B10959" t="inlineStr">
        <is>
          <t xml:space="preserve">Reliance Fixed Horizon Fund XXXI- Series 6- Direct Plan-Growth Option</t>
        </is>
      </c>
      <c r="C10959" t="inlineStr">
        <is>
          <t xml:space="preserve">INF204KB1AH0</t>
        </is>
      </c>
    </row>
    <row r="10960">
      <c r="A10960" t="inlineStr">
        <is>
          <t xml:space="preserve">Nippon India Mutual Fund</t>
        </is>
      </c>
      <c r="B10960" t="inlineStr">
        <is>
          <t xml:space="preserve">Reliance Fixed Horizon Fund XXXI- Series 6- Dividend Payout Option</t>
        </is>
      </c>
      <c r="C10960" t="inlineStr">
        <is>
          <t xml:space="preserve">INF204KB1AG2</t>
        </is>
      </c>
    </row>
    <row r="10961">
      <c r="A10961" t="inlineStr">
        <is>
          <t xml:space="preserve">Nippon India Mutual Fund</t>
        </is>
      </c>
      <c r="B10961" t="inlineStr">
        <is>
          <t xml:space="preserve">Reliance Fixed Horizon Fund XXXI- Series 6- Growth Option</t>
        </is>
      </c>
      <c r="C10961" t="inlineStr">
        <is>
          <t xml:space="preserve">INF204KB1AF4</t>
        </is>
      </c>
    </row>
    <row r="10962">
      <c r="A10962" t="inlineStr">
        <is>
          <t xml:space="preserve">Nippon India Mutual Fund</t>
        </is>
      </c>
      <c r="B10962" t="inlineStr">
        <is>
          <t xml:space="preserve">Reliance Fixed Horizon Fund XXXI- Series 7- Direct Plan - Dividend Payout Option</t>
        </is>
      </c>
      <c r="C10962" t="inlineStr">
        <is>
          <t xml:space="preserve">INF204KB1AQ1</t>
        </is>
      </c>
    </row>
    <row r="10963">
      <c r="A10963" t="inlineStr">
        <is>
          <t xml:space="preserve">Nippon India Mutual Fund</t>
        </is>
      </c>
      <c r="B10963" t="inlineStr">
        <is>
          <t xml:space="preserve">Reliance Fixed Horizon Fund XXXI- Series 7- Direct Plan-Growth Option</t>
        </is>
      </c>
      <c r="C10963" t="inlineStr">
        <is>
          <t xml:space="preserve">INF204KB1AP3</t>
        </is>
      </c>
    </row>
    <row r="10964">
      <c r="A10964" t="inlineStr">
        <is>
          <t xml:space="preserve">Nippon India Mutual Fund</t>
        </is>
      </c>
      <c r="B10964" t="inlineStr">
        <is>
          <t xml:space="preserve">Reliance Fixed Horizon Fund XXXI- Series 7- Dividend Payout Option</t>
        </is>
      </c>
      <c r="C10964" t="inlineStr">
        <is>
          <t xml:space="preserve">INF204KB1AO6</t>
        </is>
      </c>
    </row>
    <row r="10965">
      <c r="A10965" t="inlineStr">
        <is>
          <t xml:space="preserve">Nippon India Mutual Fund</t>
        </is>
      </c>
      <c r="B10965" t="inlineStr">
        <is>
          <t xml:space="preserve">Reliance Fixed Horizon Fund XXXI- Series 7- Growth Option</t>
        </is>
      </c>
      <c r="C10965" t="inlineStr">
        <is>
          <t xml:space="preserve">INF204KB1AN8</t>
        </is>
      </c>
    </row>
    <row r="10966">
      <c r="A10966" t="inlineStr">
        <is>
          <t xml:space="preserve">Nippon India Mutual Fund</t>
        </is>
      </c>
      <c r="B10966" t="inlineStr">
        <is>
          <t xml:space="preserve">Reliance Fixed Horizon Fund XXXIX Series 10- Direct Plan- Growth Option</t>
        </is>
      </c>
      <c r="C10966" t="inlineStr">
        <is>
          <t xml:space="preserve">INF204KB1L29</t>
        </is>
      </c>
    </row>
    <row r="10967">
      <c r="A10967" t="inlineStr">
        <is>
          <t xml:space="preserve">Nippon India Mutual Fund</t>
        </is>
      </c>
      <c r="B10967" t="inlineStr">
        <is>
          <t xml:space="preserve">Reliance Fixed Horizon Fund XXXIX- Series 10- Direct Plan- Dividend Option</t>
        </is>
      </c>
      <c r="C10967" t="inlineStr">
        <is>
          <t xml:space="preserve">INF204KB1L37</t>
        </is>
      </c>
    </row>
    <row r="10968">
      <c r="A10968" t="inlineStr">
        <is>
          <t xml:space="preserve">Nippon India Mutual Fund</t>
        </is>
      </c>
      <c r="B10968" t="inlineStr">
        <is>
          <t xml:space="preserve">Reliance Fixed Horizon Fund XXXIX- Series 10- Dividend Option</t>
        </is>
      </c>
      <c r="C10968" t="inlineStr">
        <is>
          <t xml:space="preserve">INF204KB1L11</t>
        </is>
      </c>
    </row>
    <row r="10969">
      <c r="A10969" t="inlineStr">
        <is>
          <t xml:space="preserve">Nippon India Mutual Fund</t>
        </is>
      </c>
      <c r="B10969" t="inlineStr">
        <is>
          <t xml:space="preserve">Reliance Fixed Horizon Fund XXXIX- Series 10- Growth Option</t>
        </is>
      </c>
      <c r="C10969" t="inlineStr">
        <is>
          <t xml:space="preserve">INF204KB1L03</t>
        </is>
      </c>
    </row>
    <row r="10970">
      <c r="A10970" t="inlineStr">
        <is>
          <t xml:space="preserve">Nippon India Mutual Fund</t>
        </is>
      </c>
      <c r="B10970" t="inlineStr">
        <is>
          <t xml:space="preserve">Reliance Fixed Horizon Fund XXXIX- Series 3 - Direct Plan- Dividend Plan</t>
        </is>
      </c>
      <c r="C10970" t="inlineStr">
        <is>
          <t xml:space="preserve">INF204KB1I16</t>
        </is>
      </c>
    </row>
    <row r="10971">
      <c r="A10971" t="inlineStr">
        <is>
          <t xml:space="preserve">Nippon India Mutual Fund</t>
        </is>
      </c>
      <c r="B10971" t="inlineStr">
        <is>
          <t xml:space="preserve">Reliance Fixed Horizon Fund XXXIX- Series 3- Direct Plan- Growth Option</t>
        </is>
      </c>
      <c r="C10971" t="inlineStr">
        <is>
          <t xml:space="preserve">INF204KB1I08</t>
        </is>
      </c>
    </row>
    <row r="10972">
      <c r="A10972" t="inlineStr">
        <is>
          <t xml:space="preserve">Nippon India Mutual Fund</t>
        </is>
      </c>
      <c r="B10972" t="inlineStr">
        <is>
          <t xml:space="preserve">Reliance Fixed Horizon Fund XXXIX- Series 3- Dividend Plan</t>
        </is>
      </c>
      <c r="C10972" t="inlineStr">
        <is>
          <t xml:space="preserve">INF204KB1H90</t>
        </is>
      </c>
    </row>
    <row r="10973">
      <c r="A10973" t="inlineStr">
        <is>
          <t xml:space="preserve">Nippon India Mutual Fund</t>
        </is>
      </c>
      <c r="B10973" t="inlineStr">
        <is>
          <t xml:space="preserve">Reliance Fixed Horizon Fund XXXIX- Series 3- Growth Option</t>
        </is>
      </c>
      <c r="C10973" t="inlineStr">
        <is>
          <t xml:space="preserve">INF204KB1H82</t>
        </is>
      </c>
    </row>
    <row r="10974">
      <c r="A10974" t="inlineStr">
        <is>
          <t xml:space="preserve">Nippon India Mutual Fund</t>
        </is>
      </c>
      <c r="B10974" t="inlineStr">
        <is>
          <t xml:space="preserve">Reliance Fixed Horizon Fund XXXIX- Series 7- Direct Plan- Dividend Option</t>
        </is>
      </c>
      <c r="C10974" t="inlineStr">
        <is>
          <t xml:space="preserve">INF204KB1K12</t>
        </is>
      </c>
    </row>
    <row r="10975">
      <c r="A10975" t="inlineStr">
        <is>
          <t xml:space="preserve">Nippon India Mutual Fund</t>
        </is>
      </c>
      <c r="B10975" t="inlineStr">
        <is>
          <t xml:space="preserve">Reliance Fixed Horizon Fund XXXIX- Series 7- Direct Plan- Growth Option</t>
        </is>
      </c>
      <c r="C10975" t="inlineStr">
        <is>
          <t xml:space="preserve">INF204KB1K04</t>
        </is>
      </c>
    </row>
    <row r="10976">
      <c r="A10976" t="inlineStr">
        <is>
          <t xml:space="preserve">Nippon India Mutual Fund</t>
        </is>
      </c>
      <c r="B10976" t="inlineStr">
        <is>
          <t xml:space="preserve">Reliance Fixed Horizon Fund XXXIX- Series 7- Growth Option</t>
        </is>
      </c>
      <c r="C10976" t="inlineStr">
        <is>
          <t xml:space="preserve">INF204KB1J80</t>
        </is>
      </c>
    </row>
    <row r="10977">
      <c r="A10977" t="inlineStr">
        <is>
          <t xml:space="preserve">Nippon India Mutual Fund</t>
        </is>
      </c>
      <c r="B10977" t="inlineStr">
        <is>
          <t xml:space="preserve">Reliance Fixed Horizon Fund XXXVI- Series 4- Direct Plan-Dividend Payout Option</t>
        </is>
      </c>
      <c r="C10977" t="inlineStr">
        <is>
          <t xml:space="preserve">INF204KB1UT3</t>
        </is>
      </c>
    </row>
    <row r="10978">
      <c r="A10978" t="inlineStr">
        <is>
          <t xml:space="preserve">Nippon India Mutual Fund</t>
        </is>
      </c>
      <c r="B10978" t="inlineStr">
        <is>
          <t xml:space="preserve">Reliance Fixed Horizon Fund XXXVI- Series 4- Direct Plan-Growth Option</t>
        </is>
      </c>
      <c r="C10978" t="inlineStr">
        <is>
          <t xml:space="preserve">INF204KB1US5</t>
        </is>
      </c>
    </row>
    <row r="10979">
      <c r="A10979" t="inlineStr">
        <is>
          <t xml:space="preserve">Nippon India Mutual Fund</t>
        </is>
      </c>
      <c r="B10979" t="inlineStr">
        <is>
          <t xml:space="preserve">Reliance Fixed Horizon Fund XXXVI- Series 4- Dividend Payout Option</t>
        </is>
      </c>
      <c r="C10979" t="inlineStr">
        <is>
          <t xml:space="preserve">INF204KB1UR7</t>
        </is>
      </c>
    </row>
    <row r="10980">
      <c r="A10980" t="inlineStr">
        <is>
          <t xml:space="preserve">Nippon India Mutual Fund</t>
        </is>
      </c>
      <c r="B10980" t="inlineStr">
        <is>
          <t xml:space="preserve">Reliance Fixed Horizon Fund XXXVI- Series 4- Growth Option</t>
        </is>
      </c>
      <c r="C10980" t="inlineStr">
        <is>
          <t xml:space="preserve">INF204KB1UQ9</t>
        </is>
      </c>
    </row>
    <row r="10981">
      <c r="A10981" t="inlineStr">
        <is>
          <t xml:space="preserve">Nippon India Mutual Fund</t>
        </is>
      </c>
      <c r="B10981" t="inlineStr">
        <is>
          <t xml:space="preserve">Reliance Fixed Horizon Fund XXXVII- Series 11- Direct Plan- Dividend Payout Option</t>
        </is>
      </c>
      <c r="C10981" t="inlineStr">
        <is>
          <t xml:space="preserve">INF204KB1XV3</t>
        </is>
      </c>
    </row>
    <row r="10982">
      <c r="A10982" t="inlineStr">
        <is>
          <t xml:space="preserve">Nippon India Mutual Fund</t>
        </is>
      </c>
      <c r="B10982" t="inlineStr">
        <is>
          <t xml:space="preserve">Reliance Fixed Horizon Fund XXXVII- Series 11- Direct Plan- Growth Option</t>
        </is>
      </c>
      <c r="C10982" t="inlineStr">
        <is>
          <t xml:space="preserve">INF204KB1XU5</t>
        </is>
      </c>
    </row>
    <row r="10983">
      <c r="A10983" t="inlineStr">
        <is>
          <t xml:space="preserve">Nippon India Mutual Fund</t>
        </is>
      </c>
      <c r="B10983" t="inlineStr">
        <is>
          <t xml:space="preserve">Reliance Fixed Horizon Fund XXXVII- Series 11- Dividend Payout Option</t>
        </is>
      </c>
      <c r="C10983" t="inlineStr">
        <is>
          <t xml:space="preserve">INF204KB1XT7</t>
        </is>
      </c>
    </row>
    <row r="10984">
      <c r="A10984" t="inlineStr">
        <is>
          <t xml:space="preserve">Nippon India Mutual Fund</t>
        </is>
      </c>
      <c r="B10984" t="inlineStr">
        <is>
          <t xml:space="preserve">Reliance Fixed Horizon Fund XXXVII- Series 11- Growth Option</t>
        </is>
      </c>
      <c r="C10984" t="inlineStr">
        <is>
          <t xml:space="preserve">INF204KB1XS9</t>
        </is>
      </c>
    </row>
    <row r="10985">
      <c r="A10985" t="inlineStr">
        <is>
          <t xml:space="preserve">Nippon India Mutual Fund</t>
        </is>
      </c>
      <c r="B10985" t="inlineStr">
        <is>
          <t xml:space="preserve">Reliance Fixed Horizon Fund XXXVII- Series 13- Direct Plan- Dividend Payout Option</t>
        </is>
      </c>
      <c r="C10985" t="inlineStr">
        <is>
          <t xml:space="preserve">INF204KB1YD9</t>
        </is>
      </c>
    </row>
    <row r="10986">
      <c r="A10986" t="inlineStr">
        <is>
          <t xml:space="preserve">Nippon India Mutual Fund</t>
        </is>
      </c>
      <c r="B10986" t="inlineStr">
        <is>
          <t xml:space="preserve">Reliance Fixed Horizon Fund XXXVII- Series 13- Direct Plan- Growth Option</t>
        </is>
      </c>
      <c r="C10986" t="inlineStr">
        <is>
          <t xml:space="preserve">INF204KB1YC1</t>
        </is>
      </c>
    </row>
    <row r="10987">
      <c r="A10987" t="inlineStr">
        <is>
          <t xml:space="preserve">Nippon India Mutual Fund</t>
        </is>
      </c>
      <c r="B10987" t="inlineStr">
        <is>
          <t xml:space="preserve">Reliance Fixed Horizon Fund XXXVII- Series 13- Dividend Payout Option</t>
        </is>
      </c>
      <c r="C10987" t="inlineStr">
        <is>
          <t xml:space="preserve">INF204KB1YB3</t>
        </is>
      </c>
    </row>
    <row r="10988">
      <c r="A10988" t="inlineStr">
        <is>
          <t xml:space="preserve">Nippon India Mutual Fund</t>
        </is>
      </c>
      <c r="B10988" t="inlineStr">
        <is>
          <t xml:space="preserve">Reliance Fixed Horizon Fund XXXVII- Series 13- Growth Option</t>
        </is>
      </c>
      <c r="C10988" t="inlineStr">
        <is>
          <t xml:space="preserve">INF204KB1YA5</t>
        </is>
      </c>
    </row>
    <row r="10989">
      <c r="A10989" t="inlineStr">
        <is>
          <t xml:space="preserve">Nippon India Mutual Fund</t>
        </is>
      </c>
      <c r="B10989" t="inlineStr">
        <is>
          <t xml:space="preserve">Reliance Fixed Horizon Fund XXXVII- Series 7- Direct Plan- Dividend Payout Option</t>
        </is>
      </c>
      <c r="C10989" t="inlineStr">
        <is>
          <t xml:space="preserve">INF204KB1XF6</t>
        </is>
      </c>
    </row>
    <row r="10990">
      <c r="A10990" t="inlineStr">
        <is>
          <t xml:space="preserve">Nippon India Mutual Fund</t>
        </is>
      </c>
      <c r="B10990" t="inlineStr">
        <is>
          <t xml:space="preserve">Reliance Fixed Horizon Fund XXXVII- Series 7- Direct Plan- Growth Option</t>
        </is>
      </c>
      <c r="C10990" t="inlineStr">
        <is>
          <t xml:space="preserve">INF204KB1XE9</t>
        </is>
      </c>
    </row>
    <row r="10991">
      <c r="A10991" t="inlineStr">
        <is>
          <t xml:space="preserve">Nippon India Mutual Fund</t>
        </is>
      </c>
      <c r="B10991" t="inlineStr">
        <is>
          <t xml:space="preserve">Reliance Fixed Horizon Fund XXXVII- Series 7- Dividend Payout Option</t>
        </is>
      </c>
      <c r="C10991" t="inlineStr">
        <is>
          <t xml:space="preserve">INF204KB1XD1</t>
        </is>
      </c>
    </row>
    <row r="10992">
      <c r="A10992" t="inlineStr">
        <is>
          <t xml:space="preserve">Nippon India Mutual Fund</t>
        </is>
      </c>
      <c r="B10992" t="inlineStr">
        <is>
          <t xml:space="preserve">Reliance Fixed Horizon Fund XXXVII- Series 7- Growth Option</t>
        </is>
      </c>
      <c r="C10992" t="inlineStr">
        <is>
          <t xml:space="preserve">INF204KB1XC3</t>
        </is>
      </c>
    </row>
    <row r="10993">
      <c r="A10993" t="inlineStr">
        <is>
          <t xml:space="preserve">Nippon India Mutual Fund</t>
        </is>
      </c>
      <c r="B10993" t="inlineStr">
        <is>
          <t xml:space="preserve">Reliance Fixed Horizon Fund XXXVII- Series 8- Direct Plan- Dividend Payout Option</t>
        </is>
      </c>
      <c r="C10993" t="inlineStr">
        <is>
          <t xml:space="preserve">INF204KB1XJ8</t>
        </is>
      </c>
    </row>
    <row r="10994">
      <c r="A10994" t="inlineStr">
        <is>
          <t xml:space="preserve">Nippon India Mutual Fund</t>
        </is>
      </c>
      <c r="B10994" t="inlineStr">
        <is>
          <t xml:space="preserve">Reliance Fixed Horizon Fund XXXVII- Series 8- Direct Plan- Growth Option</t>
        </is>
      </c>
      <c r="C10994" t="inlineStr">
        <is>
          <t xml:space="preserve">INF204KB1XI0</t>
        </is>
      </c>
    </row>
    <row r="10995">
      <c r="A10995" t="inlineStr">
        <is>
          <t xml:space="preserve">Nippon India Mutual Fund</t>
        </is>
      </c>
      <c r="B10995" t="inlineStr">
        <is>
          <t xml:space="preserve">Reliance Fixed Horizon Fund XXXVII- Series 8- Dividend Payout Option</t>
        </is>
      </c>
      <c r="C10995" t="inlineStr">
        <is>
          <t xml:space="preserve">INF204KB1XH2</t>
        </is>
      </c>
    </row>
    <row r="10996">
      <c r="A10996" t="inlineStr">
        <is>
          <t xml:space="preserve">Nippon India Mutual Fund</t>
        </is>
      </c>
      <c r="B10996" t="inlineStr">
        <is>
          <t xml:space="preserve">Reliance Fixed Horizon Fund XXXVII- Series 8- Growth Option</t>
        </is>
      </c>
      <c r="C10996" t="inlineStr">
        <is>
          <t xml:space="preserve">INF204KB1XG4</t>
        </is>
      </c>
    </row>
    <row r="10997">
      <c r="A10997" t="inlineStr">
        <is>
          <t xml:space="preserve">Nippon India Mutual Fund</t>
        </is>
      </c>
      <c r="B10997" t="inlineStr">
        <is>
          <t xml:space="preserve">Reliance Fixed Horizon Fund XXXVIII- Series 13 - Direct Plan- Dividend Plan</t>
        </is>
      </c>
      <c r="C10997" t="inlineStr">
        <is>
          <t xml:space="preserve">INF204KB1F76</t>
        </is>
      </c>
    </row>
    <row r="10998">
      <c r="A10998" t="inlineStr">
        <is>
          <t xml:space="preserve">Nippon India Mutual Fund</t>
        </is>
      </c>
      <c r="B10998" t="inlineStr">
        <is>
          <t xml:space="preserve">Reliance Fixed Horizon Fund XXXVIII- Series 13- Direct Plan- Growth Option</t>
        </is>
      </c>
      <c r="C10998" t="inlineStr">
        <is>
          <t xml:space="preserve">INF204KB1F68</t>
        </is>
      </c>
    </row>
    <row r="10999">
      <c r="A10999" t="inlineStr">
        <is>
          <t xml:space="preserve">Nippon India Mutual Fund</t>
        </is>
      </c>
      <c r="B10999" t="inlineStr">
        <is>
          <t xml:space="preserve">Reliance Fixed Horizon Fund XXXVIII- Series 13- Dividend Plan</t>
        </is>
      </c>
      <c r="C10999" t="inlineStr">
        <is>
          <t xml:space="preserve">INF204KB1F50</t>
        </is>
      </c>
    </row>
    <row r="11000">
      <c r="A11000" t="inlineStr">
        <is>
          <t xml:space="preserve">Nippon India Mutual Fund</t>
        </is>
      </c>
      <c r="B11000" t="inlineStr">
        <is>
          <t xml:space="preserve">Reliance Fixed Horizon Fund XXXVIII- Series 13- Growth Option</t>
        </is>
      </c>
      <c r="C11000" t="inlineStr">
        <is>
          <t xml:space="preserve">INF204KB1F43</t>
        </is>
      </c>
    </row>
    <row r="11001">
      <c r="A11001" t="inlineStr">
        <is>
          <t xml:space="preserve">Nippon India Mutual Fund</t>
        </is>
      </c>
      <c r="B11001" t="inlineStr">
        <is>
          <t xml:space="preserve">Reliance Fixed Horizon Fund XXXVIII- Series 15 - Direct Plan- Dividend Plan</t>
        </is>
      </c>
      <c r="C11001" t="inlineStr">
        <is>
          <t xml:space="preserve">INF204KB1G91</t>
        </is>
      </c>
    </row>
    <row r="11002">
      <c r="A11002" t="inlineStr">
        <is>
          <t xml:space="preserve">Nippon India Mutual Fund</t>
        </is>
      </c>
      <c r="B11002" t="inlineStr">
        <is>
          <t xml:space="preserve">Reliance Fixed Horizon Fund XXXVIII- Series 15- Direct Plan- Growth Option</t>
        </is>
      </c>
      <c r="C11002" t="inlineStr">
        <is>
          <t xml:space="preserve">INF204KB1G83</t>
        </is>
      </c>
    </row>
    <row r="11003">
      <c r="A11003" t="inlineStr">
        <is>
          <t xml:space="preserve">Nippon India Mutual Fund</t>
        </is>
      </c>
      <c r="B11003" t="inlineStr">
        <is>
          <t xml:space="preserve">Reliance Fixed Horizon Fund XXXVIII- Series 15- Dividend Plan</t>
        </is>
      </c>
      <c r="C11003" t="inlineStr">
        <is>
          <t xml:space="preserve">INF204KB1G75</t>
        </is>
      </c>
    </row>
    <row r="11004">
      <c r="A11004" t="inlineStr">
        <is>
          <t xml:space="preserve">Nippon India Mutual Fund</t>
        </is>
      </c>
      <c r="B11004" t="inlineStr">
        <is>
          <t xml:space="preserve">Reliance Fixed Horizon Fund XXXVIII- Series 15- Growth Option</t>
        </is>
      </c>
      <c r="C11004" t="inlineStr">
        <is>
          <t xml:space="preserve">INF204KB1G67</t>
        </is>
      </c>
    </row>
    <row r="11005">
      <c r="A11005" t="inlineStr">
        <is>
          <t xml:space="preserve">Nippon India Mutual Fund</t>
        </is>
      </c>
      <c r="B11005" t="inlineStr">
        <is>
          <t xml:space="preserve">Reliance Fixed Horizon Fund XXXVIII- Series 4- Direct Plan- Dividend Plan</t>
        </is>
      </c>
      <c r="C11005" t="inlineStr">
        <is>
          <t xml:space="preserve">INF204KB1C12</t>
        </is>
      </c>
    </row>
    <row r="11006">
      <c r="A11006" t="inlineStr">
        <is>
          <t xml:space="preserve">Nippon India Mutual Fund</t>
        </is>
      </c>
      <c r="B11006" t="inlineStr">
        <is>
          <t xml:space="preserve">Reliance Fixed Horizon Fund XXXVIII- Series 4- Direct Plan- Growth Option</t>
        </is>
      </c>
      <c r="C11006" t="inlineStr">
        <is>
          <t xml:space="preserve">INF204KB1C04</t>
        </is>
      </c>
    </row>
    <row r="11007">
      <c r="A11007" t="inlineStr">
        <is>
          <t xml:space="preserve">Nippon India Mutual Fund</t>
        </is>
      </c>
      <c r="B11007" t="inlineStr">
        <is>
          <t xml:space="preserve">Reliance Fixed Horizon Fund XXXVIII- Series 4- Growth Option</t>
        </is>
      </c>
      <c r="C11007" t="inlineStr">
        <is>
          <t xml:space="preserve">INF204KB1B88</t>
        </is>
      </c>
    </row>
    <row r="11008">
      <c r="A11008" t="inlineStr">
        <is>
          <t xml:space="preserve">Nippon India Mutual Fund</t>
        </is>
      </c>
      <c r="B11008" t="inlineStr">
        <is>
          <t xml:space="preserve">Reliance Fixed Horizon Fund XXXVIII- Series 8- Direct Plan- Dividend Plan</t>
        </is>
      </c>
      <c r="C11008" t="inlineStr">
        <is>
          <t xml:space="preserve">INF204KB1D78</t>
        </is>
      </c>
    </row>
    <row r="11009">
      <c r="A11009" t="inlineStr">
        <is>
          <t xml:space="preserve">Nippon India Mutual Fund</t>
        </is>
      </c>
      <c r="B11009" t="inlineStr">
        <is>
          <t xml:space="preserve">Reliance Fixed Horizon Fund XXXVIII- Series 8- Direct Plan- Growth Option</t>
        </is>
      </c>
      <c r="C11009" t="inlineStr">
        <is>
          <t xml:space="preserve">INF204KB1D60</t>
        </is>
      </c>
    </row>
    <row r="11010">
      <c r="A11010" t="inlineStr">
        <is>
          <t xml:space="preserve">Nippon India Mutual Fund</t>
        </is>
      </c>
      <c r="B11010" t="inlineStr">
        <is>
          <t xml:space="preserve">Reliance Fixed Horizon Fund XXXVIII- Series 8- Dividend Plan</t>
        </is>
      </c>
      <c r="C11010" t="inlineStr">
        <is>
          <t xml:space="preserve">INF204KB1D52</t>
        </is>
      </c>
    </row>
    <row r="11011">
      <c r="A11011" t="inlineStr">
        <is>
          <t xml:space="preserve">Nippon India Mutual Fund</t>
        </is>
      </c>
      <c r="B11011" t="inlineStr">
        <is>
          <t xml:space="preserve">Reliance Fixed Horizon Fund XXXVIII- Series 8- Growth Option</t>
        </is>
      </c>
      <c r="C11011" t="inlineStr">
        <is>
          <t xml:space="preserve">INF204KB1D45</t>
        </is>
      </c>
    </row>
    <row r="11012">
      <c r="A11012" t="inlineStr">
        <is>
          <t xml:space="preserve">Nippon India Mutual Fund</t>
        </is>
      </c>
      <c r="B11012" t="inlineStr">
        <is>
          <t xml:space="preserve">Reliance Fixed Horizon Fund- XXVI- Series 12- Direct Plan - Dividend Payout Option</t>
        </is>
      </c>
      <c r="C11012" t="inlineStr">
        <is>
          <t xml:space="preserve">INF204KA1NE1</t>
        </is>
      </c>
    </row>
    <row r="11013">
      <c r="A11013" t="inlineStr">
        <is>
          <t xml:space="preserve">Nippon India Mutual Fund</t>
        </is>
      </c>
      <c r="B11013" t="inlineStr">
        <is>
          <t xml:space="preserve">Reliance Fixed Horizon Fund- XXVI- Series 12- Direct Plan - Growth Option</t>
        </is>
      </c>
      <c r="C11013" t="inlineStr">
        <is>
          <t xml:space="preserve">INF204KA1ND3</t>
        </is>
      </c>
    </row>
    <row r="11014">
      <c r="A11014" t="inlineStr">
        <is>
          <t xml:space="preserve">Nippon India Mutual Fund</t>
        </is>
      </c>
      <c r="B11014" t="inlineStr">
        <is>
          <t xml:space="preserve">Reliance Fixed Horizon Fund- XXVI- Series 12- Dividend payout Option</t>
        </is>
      </c>
      <c r="C11014" t="inlineStr">
        <is>
          <t xml:space="preserve">INF204KA1NC5</t>
        </is>
      </c>
    </row>
    <row r="11015">
      <c r="A11015" t="inlineStr">
        <is>
          <t xml:space="preserve">Nippon India Mutual Fund</t>
        </is>
      </c>
      <c r="B11015" t="inlineStr">
        <is>
          <t xml:space="preserve">Reliance Fixed Horizon Fund- XXVI- Series 12- Growth Option</t>
        </is>
      </c>
      <c r="C11015" t="inlineStr">
        <is>
          <t xml:space="preserve">INF204KA1NB7</t>
        </is>
      </c>
    </row>
    <row r="11016">
      <c r="A11016" t="inlineStr">
        <is>
          <t xml:space="preserve">Nippon India Mutual Fund</t>
        </is>
      </c>
      <c r="B11016" t="inlineStr">
        <is>
          <t xml:space="preserve">Reliance Fixed Horizon Fund- XXVI- Series 13- Direct Plan - Dividend Payout Option</t>
        </is>
      </c>
      <c r="C11016" t="inlineStr">
        <is>
          <t xml:space="preserve">INF204KA1NI2</t>
        </is>
      </c>
    </row>
    <row r="11017">
      <c r="A11017" t="inlineStr">
        <is>
          <t xml:space="preserve">Nippon India Mutual Fund</t>
        </is>
      </c>
      <c r="B11017" t="inlineStr">
        <is>
          <t xml:space="preserve">Reliance Fixed Horizon Fund- XXVI- Series 13- Direct Plan - Growth Option</t>
        </is>
      </c>
      <c r="C11017" t="inlineStr">
        <is>
          <t xml:space="preserve">INF204KA1NH4</t>
        </is>
      </c>
    </row>
    <row r="11018">
      <c r="A11018" t="inlineStr">
        <is>
          <t xml:space="preserve">Nippon India Mutual Fund</t>
        </is>
      </c>
      <c r="B11018" t="inlineStr">
        <is>
          <t xml:space="preserve">Reliance Fixed Horizon Fund- XXVI- Series 13- Dividend payout Option</t>
        </is>
      </c>
      <c r="C11018" t="inlineStr">
        <is>
          <t xml:space="preserve">INF204KA1NG6</t>
        </is>
      </c>
    </row>
    <row r="11019">
      <c r="A11019" t="inlineStr">
        <is>
          <t xml:space="preserve">Nippon India Mutual Fund</t>
        </is>
      </c>
      <c r="B11019" t="inlineStr">
        <is>
          <t xml:space="preserve">Reliance Fixed Horizon Fund- XXVI- Series 13- Growth Option</t>
        </is>
      </c>
      <c r="C11019" t="inlineStr">
        <is>
          <t xml:space="preserve">INF204KA1NF8</t>
        </is>
      </c>
    </row>
    <row r="11020">
      <c r="A11020" t="inlineStr">
        <is>
          <t xml:space="preserve">Nippon India Mutual Fund</t>
        </is>
      </c>
      <c r="B11020" t="inlineStr">
        <is>
          <t xml:space="preserve">Reliance Fixed Horizon Fund- XXVI- Series 16- Direct Plan - Dividend Payout Option</t>
        </is>
      </c>
      <c r="C11020" t="inlineStr">
        <is>
          <t xml:space="preserve">INF204KA1NU7</t>
        </is>
      </c>
    </row>
    <row r="11021">
      <c r="A11021" t="inlineStr">
        <is>
          <t xml:space="preserve">Nippon India Mutual Fund</t>
        </is>
      </c>
      <c r="B11021" t="inlineStr">
        <is>
          <t xml:space="preserve">Reliance Fixed Horizon Fund- XXVI- Series 16- Direct Plan - Growth Option</t>
        </is>
      </c>
      <c r="C11021" t="inlineStr">
        <is>
          <t xml:space="preserve">INF204KA1NT9</t>
        </is>
      </c>
    </row>
    <row r="11022">
      <c r="A11022" t="inlineStr">
        <is>
          <t xml:space="preserve">Nippon India Mutual Fund</t>
        </is>
      </c>
      <c r="B11022" t="inlineStr">
        <is>
          <t xml:space="preserve">Reliance Fixed Horizon Fund- XXVI- Series 16- Dividend payout Option</t>
        </is>
      </c>
      <c r="C11022" t="inlineStr">
        <is>
          <t xml:space="preserve">INF204KA1NS1</t>
        </is>
      </c>
    </row>
    <row r="11023">
      <c r="A11023" t="inlineStr">
        <is>
          <t xml:space="preserve">Nippon India Mutual Fund</t>
        </is>
      </c>
      <c r="B11023" t="inlineStr">
        <is>
          <t xml:space="preserve">Reliance Fixed Horizon Fund- XXVI- Series 16- Growth Option</t>
        </is>
      </c>
      <c r="C11023" t="inlineStr">
        <is>
          <t xml:space="preserve">INF204KA1NR3</t>
        </is>
      </c>
    </row>
    <row r="11024">
      <c r="A11024" t="inlineStr">
        <is>
          <t xml:space="preserve">Nippon India Mutual Fund</t>
        </is>
      </c>
      <c r="B11024" t="inlineStr">
        <is>
          <t xml:space="preserve">Reliance Fixed Horizon Fund- XXVI- Series 19- Direct Plan- Growth Option</t>
        </is>
      </c>
      <c r="C11024" t="inlineStr">
        <is>
          <t xml:space="preserve">INF204KA1OF6</t>
        </is>
      </c>
    </row>
    <row r="11025">
      <c r="A11025" t="inlineStr">
        <is>
          <t xml:space="preserve">Nippon India Mutual Fund</t>
        </is>
      </c>
      <c r="B11025" t="inlineStr">
        <is>
          <t xml:space="preserve">Reliance Fixed Horizon Fund- XXVI- Series 19- Dividend Payout Option</t>
        </is>
      </c>
      <c r="C11025" t="inlineStr">
        <is>
          <t xml:space="preserve">INF204KA1OE9</t>
        </is>
      </c>
    </row>
    <row r="11026">
      <c r="A11026" t="inlineStr">
        <is>
          <t xml:space="preserve">Nippon India Mutual Fund</t>
        </is>
      </c>
      <c r="B11026" t="inlineStr">
        <is>
          <t xml:space="preserve">Reliance Fixed Horizon Fund- XXVI- Series 19- Growth Option</t>
        </is>
      </c>
      <c r="C11026" t="inlineStr">
        <is>
          <t xml:space="preserve">INF204KA1OD1</t>
        </is>
      </c>
    </row>
    <row r="11027">
      <c r="A11027" t="inlineStr">
        <is>
          <t xml:space="preserve">Nippon India Mutual Fund</t>
        </is>
      </c>
      <c r="B11027" t="inlineStr">
        <is>
          <t xml:space="preserve">Reliance Fixed Horizon Fund- XXVI- Series 21- Direct Plan- Growth Option</t>
        </is>
      </c>
      <c r="C11027" t="inlineStr">
        <is>
          <t xml:space="preserve">INF204KA1ON0</t>
        </is>
      </c>
    </row>
    <row r="11028">
      <c r="A11028" t="inlineStr">
        <is>
          <t xml:space="preserve">Nippon India Mutual Fund</t>
        </is>
      </c>
      <c r="B11028" t="inlineStr">
        <is>
          <t xml:space="preserve">Reliance Fixed Horizon Fund- XXVI- Series 21- Dividend Payout Option</t>
        </is>
      </c>
      <c r="C11028" t="inlineStr">
        <is>
          <t xml:space="preserve">INF204KA1OM2</t>
        </is>
      </c>
    </row>
    <row r="11029">
      <c r="A11029" t="inlineStr">
        <is>
          <t xml:space="preserve">Nippon India Mutual Fund</t>
        </is>
      </c>
      <c r="B11029" t="inlineStr">
        <is>
          <t xml:space="preserve">Reliance Fixed Horizon Fund- XXVI- Series 21- Growth Option</t>
        </is>
      </c>
      <c r="C11029" t="inlineStr">
        <is>
          <t xml:space="preserve">INF204KA1OL4</t>
        </is>
      </c>
    </row>
    <row r="11030">
      <c r="A11030" t="inlineStr">
        <is>
          <t xml:space="preserve">Nippon India Mutual Fund</t>
        </is>
      </c>
      <c r="B11030" t="inlineStr">
        <is>
          <t xml:space="preserve">Reliance Fixed Horizon Fund- XXVI- Series 23- Direct Plan- Dividend Payout Option</t>
        </is>
      </c>
      <c r="C11030" t="inlineStr">
        <is>
          <t xml:space="preserve">INF204KA1PA4</t>
        </is>
      </c>
    </row>
    <row r="11031">
      <c r="A11031" t="inlineStr">
        <is>
          <t xml:space="preserve">Nippon India Mutual Fund</t>
        </is>
      </c>
      <c r="B11031" t="inlineStr">
        <is>
          <t xml:space="preserve">Reliance Fixed Horizon Fund- XXVI- Series 23- Dividend Payout Opiton</t>
        </is>
      </c>
      <c r="C11031" t="inlineStr">
        <is>
          <t xml:space="preserve">INF204KA1OY7</t>
        </is>
      </c>
    </row>
    <row r="11032">
      <c r="A11032" t="inlineStr">
        <is>
          <t xml:space="preserve">Nippon India Mutual Fund</t>
        </is>
      </c>
      <c r="B11032" t="inlineStr">
        <is>
          <t xml:space="preserve">Reliance Fixed Horizon Fund- XXVI- Series 23- Growth Option</t>
        </is>
      </c>
      <c r="C11032" t="inlineStr">
        <is>
          <t xml:space="preserve">INF204KA1OX9</t>
        </is>
      </c>
    </row>
    <row r="11033">
      <c r="A11033" t="inlineStr">
        <is>
          <t xml:space="preserve">Nippon India Mutual Fund</t>
        </is>
      </c>
      <c r="B11033" t="inlineStr">
        <is>
          <t xml:space="preserve">Reliance Fixed Horizon Fund- XXVI- Series 24- Direct Plan- Dividend Payout Option</t>
        </is>
      </c>
      <c r="C11033" t="inlineStr">
        <is>
          <t xml:space="preserve">INF204KA1PE6</t>
        </is>
      </c>
    </row>
    <row r="11034">
      <c r="A11034" t="inlineStr">
        <is>
          <t xml:space="preserve">Nippon India Mutual Fund</t>
        </is>
      </c>
      <c r="B11034" t="inlineStr">
        <is>
          <t xml:space="preserve">Reliance Fixed Horizon Fund- XXVI- Series 24- Direct Plan- Growth Option</t>
        </is>
      </c>
      <c r="C11034" t="inlineStr">
        <is>
          <t xml:space="preserve">INF204KA1PD8</t>
        </is>
      </c>
    </row>
    <row r="11035">
      <c r="A11035" t="inlineStr">
        <is>
          <t xml:space="preserve">Nippon India Mutual Fund</t>
        </is>
      </c>
      <c r="B11035" t="inlineStr">
        <is>
          <t xml:space="preserve">Reliance Fixed Horizon Fund- XXVI- Series 24- Dividend Payout Option</t>
        </is>
      </c>
      <c r="C11035" t="inlineStr">
        <is>
          <t xml:space="preserve">INF204KA1PC0</t>
        </is>
      </c>
    </row>
    <row r="11036">
      <c r="A11036" t="inlineStr">
        <is>
          <t xml:space="preserve">Nippon India Mutual Fund</t>
        </is>
      </c>
      <c r="B11036" t="inlineStr">
        <is>
          <t xml:space="preserve">Reliance Fixed Horizon Fund- XXVI- Series 24- Growth Option</t>
        </is>
      </c>
      <c r="C11036" t="inlineStr">
        <is>
          <t xml:space="preserve">INF204KA1PB2</t>
        </is>
      </c>
    </row>
    <row r="11037">
      <c r="A11037" t="inlineStr">
        <is>
          <t xml:space="preserve">Nippon India Mutual Fund</t>
        </is>
      </c>
      <c r="B11037" t="inlineStr">
        <is>
          <t xml:space="preserve">Reliance Fixed Horizon Fund- XXVI- Series 26- Growth Option</t>
        </is>
      </c>
      <c r="C11037" t="inlineStr">
        <is>
          <t xml:space="preserve">INF204KA1PN7</t>
        </is>
      </c>
    </row>
    <row r="11038">
      <c r="A11038" t="inlineStr">
        <is>
          <t xml:space="preserve">Nippon India Mutual Fund</t>
        </is>
      </c>
      <c r="B11038" t="inlineStr">
        <is>
          <t xml:space="preserve">Reliance Fixed Horizon Fund- XXVI- Series 6-  Growth Option</t>
        </is>
      </c>
      <c r="C11038" t="inlineStr">
        <is>
          <t xml:space="preserve">INF204KA1LQ9</t>
        </is>
      </c>
    </row>
    <row r="11039">
      <c r="A11039" t="inlineStr">
        <is>
          <t xml:space="preserve">Nippon India Mutual Fund</t>
        </is>
      </c>
      <c r="B11039" t="inlineStr">
        <is>
          <t xml:space="preserve">Reliance Fixed Horizon Fund- XXVI- Series 6- Direct Plan - Dividend Payout Option</t>
        </is>
      </c>
      <c r="C11039" t="inlineStr">
        <is>
          <t xml:space="preserve">INF204KA1LT3</t>
        </is>
      </c>
    </row>
    <row r="11040">
      <c r="A11040" t="inlineStr">
        <is>
          <t xml:space="preserve">Nippon India Mutual Fund</t>
        </is>
      </c>
      <c r="B11040" t="inlineStr">
        <is>
          <t xml:space="preserve">Reliance Fixed Horizon Fund- XXVI- Series 6- Direct Plan - Growth Option</t>
        </is>
      </c>
      <c r="C11040" t="inlineStr">
        <is>
          <t xml:space="preserve">INF204KA1LS5</t>
        </is>
      </c>
    </row>
    <row r="11041">
      <c r="A11041" t="inlineStr">
        <is>
          <t xml:space="preserve">Nippon India Mutual Fund</t>
        </is>
      </c>
      <c r="B11041" t="inlineStr">
        <is>
          <t xml:space="preserve">Reliance Fixed Horizon Fund- XXVI- Series 7- Direct Plan - Dividend Payout Option</t>
        </is>
      </c>
      <c r="C11041" t="inlineStr">
        <is>
          <t xml:space="preserve">INF204KA1LX5</t>
        </is>
      </c>
    </row>
    <row r="11042">
      <c r="A11042" t="inlineStr">
        <is>
          <t xml:space="preserve">Nippon India Mutual Fund</t>
        </is>
      </c>
      <c r="B11042" t="inlineStr">
        <is>
          <t xml:space="preserve">Reliance Fixed Horizon Fund- XXVI- Series 7- Direct Plan - Growth Option</t>
        </is>
      </c>
      <c r="C11042" t="inlineStr">
        <is>
          <t xml:space="preserve">INF204KA1LW7</t>
        </is>
      </c>
    </row>
    <row r="11043">
      <c r="A11043" t="inlineStr">
        <is>
          <t xml:space="preserve">Nippon India Mutual Fund</t>
        </is>
      </c>
      <c r="B11043" t="inlineStr">
        <is>
          <t xml:space="preserve">Reliance Fixed Horizon Fund- XXVI- Series 7- Dividend payout Option</t>
        </is>
      </c>
      <c r="C11043" t="inlineStr">
        <is>
          <t xml:space="preserve">INF204KA1LV9</t>
        </is>
      </c>
    </row>
    <row r="11044">
      <c r="A11044" t="inlineStr">
        <is>
          <t xml:space="preserve">Nippon India Mutual Fund</t>
        </is>
      </c>
      <c r="B11044" t="inlineStr">
        <is>
          <t xml:space="preserve">Reliance Fixed Horizon Fund- XXVI- Series 7- Growth Option</t>
        </is>
      </c>
      <c r="C11044" t="inlineStr">
        <is>
          <t xml:space="preserve">INF204KA1LU1</t>
        </is>
      </c>
    </row>
    <row r="11045">
      <c r="A11045" t="inlineStr">
        <is>
          <t xml:space="preserve">Nippon India Mutual Fund</t>
        </is>
      </c>
      <c r="B11045" t="inlineStr">
        <is>
          <t xml:space="preserve">Reliance Fixed Horizon Fund- XXVI- Series 8- Direct Plan - Dividend Payout Option</t>
        </is>
      </c>
      <c r="C11045" t="inlineStr">
        <is>
          <t xml:space="preserve">INF204KA1MF0</t>
        </is>
      </c>
    </row>
    <row r="11046">
      <c r="A11046" t="inlineStr">
        <is>
          <t xml:space="preserve">Nippon India Mutual Fund</t>
        </is>
      </c>
      <c r="B11046" t="inlineStr">
        <is>
          <t xml:space="preserve">Reliance Fixed Horizon Fund- XXVI- Series 8- Direct Plan - Growth Option</t>
        </is>
      </c>
      <c r="C11046" t="inlineStr">
        <is>
          <t xml:space="preserve">INF204KA1ME3</t>
        </is>
      </c>
    </row>
    <row r="11047">
      <c r="A11047" t="inlineStr">
        <is>
          <t xml:space="preserve">Nippon India Mutual Fund</t>
        </is>
      </c>
      <c r="B11047" t="inlineStr">
        <is>
          <t xml:space="preserve">Reliance Fixed Horizon Fund- XXVI- Series 8- Dividend payout Option</t>
        </is>
      </c>
      <c r="C11047" t="inlineStr">
        <is>
          <t xml:space="preserve">INF204KA1MD5</t>
        </is>
      </c>
    </row>
    <row r="11048">
      <c r="A11048" t="inlineStr">
        <is>
          <t xml:space="preserve">Nippon India Mutual Fund</t>
        </is>
      </c>
      <c r="B11048" t="inlineStr">
        <is>
          <t xml:space="preserve">Reliance Fixed Horizon Fund- XXVI- Series 8- Growth Option</t>
        </is>
      </c>
      <c r="C11048" t="inlineStr">
        <is>
          <t xml:space="preserve">INF204KA1MC7</t>
        </is>
      </c>
    </row>
    <row r="11049">
      <c r="A11049" t="inlineStr">
        <is>
          <t xml:space="preserve">Nippon India Mutual Fund</t>
        </is>
      </c>
      <c r="B11049" t="inlineStr">
        <is>
          <t xml:space="preserve">Reliance Fixed Horizon Fund- XXVI- Series 9- Direct Plan - Growth Option</t>
        </is>
      </c>
      <c r="C11049" t="inlineStr">
        <is>
          <t xml:space="preserve">INF204KA1MI4</t>
        </is>
      </c>
    </row>
    <row r="11050">
      <c r="A11050" t="inlineStr">
        <is>
          <t xml:space="preserve">Nippon India Mutual Fund</t>
        </is>
      </c>
      <c r="B11050" t="inlineStr">
        <is>
          <t xml:space="preserve">Reliance Fixed Horizon Fund- XXVI- Series 9- Dividend payout Option</t>
        </is>
      </c>
      <c r="C11050" t="inlineStr">
        <is>
          <t xml:space="preserve">INF204KA1MH6</t>
        </is>
      </c>
    </row>
    <row r="11051">
      <c r="A11051" t="inlineStr">
        <is>
          <t xml:space="preserve">Nippon India Mutual Fund</t>
        </is>
      </c>
      <c r="B11051" t="inlineStr">
        <is>
          <t xml:space="preserve">Reliance Fixed Horizon Fund- XXVI- Series 9- Growth Option</t>
        </is>
      </c>
      <c r="C11051" t="inlineStr">
        <is>
          <t xml:space="preserve">INF204KA1MG8</t>
        </is>
      </c>
    </row>
    <row r="11052">
      <c r="A11052" t="inlineStr">
        <is>
          <t xml:space="preserve">Nippon India Mutual Fund</t>
        </is>
      </c>
      <c r="B11052" t="inlineStr">
        <is>
          <t xml:space="preserve">Reliance Fixed Horizon Fund-XXVI-Series 28-Direct Plan-Growth Option</t>
        </is>
      </c>
      <c r="C11052" t="inlineStr">
        <is>
          <t xml:space="preserve">INF204KA1PX6</t>
        </is>
      </c>
    </row>
    <row r="11053">
      <c r="A11053" t="inlineStr">
        <is>
          <t xml:space="preserve">Nippon India Mutual Fund</t>
        </is>
      </c>
      <c r="B11053" t="inlineStr">
        <is>
          <t xml:space="preserve">Reliance Fixed Horizon Fund-XXVI-Series 28-Dividend Payout Option</t>
        </is>
      </c>
      <c r="C11053" t="inlineStr">
        <is>
          <t xml:space="preserve">INF204KA1PW8</t>
        </is>
      </c>
    </row>
    <row r="11054">
      <c r="A11054" t="inlineStr">
        <is>
          <t xml:space="preserve">Nippon India Mutual Fund</t>
        </is>
      </c>
      <c r="B11054" t="inlineStr">
        <is>
          <t xml:space="preserve">Reliance Fixed Horizon Fund-XXVI-Series 28-Growth Option</t>
        </is>
      </c>
      <c r="C11054" t="inlineStr">
        <is>
          <t xml:space="preserve">INF204KA1PV0</t>
        </is>
      </c>
    </row>
    <row r="11055">
      <c r="A11055" t="inlineStr">
        <is>
          <t xml:space="preserve">Nippon India Mutual Fund</t>
        </is>
      </c>
      <c r="B11055" t="inlineStr">
        <is>
          <t xml:space="preserve">Reliance Interval Fund - II - Series 1 -Direct Plan -Growth Option</t>
        </is>
      </c>
      <c r="C11055" t="inlineStr">
        <is>
          <t xml:space="preserve">INF204KA1AI9</t>
        </is>
      </c>
    </row>
    <row r="11056">
      <c r="A11056" t="inlineStr">
        <is>
          <t xml:space="preserve">Nippon India Mutual Fund</t>
        </is>
      </c>
      <c r="B11056" t="inlineStr">
        <is>
          <t xml:space="preserve">Reliance Interval Fund - II - Series 1 -Dividend Option</t>
        </is>
      </c>
      <c r="C11056" t="inlineStr">
        <is>
          <t xml:space="preserve">INF204KA1AJ7</t>
        </is>
      </c>
    </row>
    <row r="11057">
      <c r="A11057" t="inlineStr">
        <is>
          <t xml:space="preserve">Nippon India Mutual Fund</t>
        </is>
      </c>
      <c r="B11057" t="inlineStr">
        <is>
          <t xml:space="preserve">Reliance Interval Fund - II - Series 1 -Growth Plan</t>
        </is>
      </c>
      <c r="C11057" t="inlineStr">
        <is>
          <t xml:space="preserve">INF204KA1AL3</t>
        </is>
      </c>
    </row>
    <row r="11058">
      <c r="A11058" t="inlineStr">
        <is>
          <t xml:space="preserve">Nippon India Mutual Fund</t>
        </is>
      </c>
      <c r="B11058" t="inlineStr">
        <is>
          <t xml:space="preserve">Reliance Interval Fund - II - Series 2 - Direct Plan - Dividend Plan - Dividend Option</t>
        </is>
      </c>
      <c r="C11058" t="inlineStr">
        <is>
          <t xml:space="preserve">INF204KA1AM1</t>
        </is>
      </c>
    </row>
    <row r="11059">
      <c r="A11059" t="inlineStr">
        <is>
          <t xml:space="preserve">Nippon India Mutual Fund</t>
        </is>
      </c>
      <c r="B11059" t="inlineStr">
        <is>
          <t xml:space="preserve">Reliance Interval Fund - II - Series 2 - Direct Plan - Growth Plan - Growth Option</t>
        </is>
      </c>
      <c r="C11059" t="inlineStr">
        <is>
          <t xml:space="preserve">INF204KA1AO7</t>
        </is>
      </c>
    </row>
    <row r="11060">
      <c r="A11060" t="inlineStr">
        <is>
          <t xml:space="preserve">Nippon India Mutual Fund</t>
        </is>
      </c>
      <c r="B11060" t="inlineStr">
        <is>
          <t xml:space="preserve">Reliance Interval Fund - II - Series 2 - Dividend Plan - Dividend Option</t>
        </is>
      </c>
      <c r="C11060" t="inlineStr">
        <is>
          <t xml:space="preserve">INF204KA1AP4</t>
        </is>
      </c>
    </row>
    <row r="11061">
      <c r="A11061" t="inlineStr">
        <is>
          <t xml:space="preserve">Nippon India Mutual Fund</t>
        </is>
      </c>
      <c r="B11061" t="inlineStr">
        <is>
          <t xml:space="preserve">Reliance Interval Fund - II - Series 2 - Growth Plan - Growth Option</t>
        </is>
      </c>
      <c r="C11061" t="inlineStr">
        <is>
          <t xml:space="preserve">INF204KA1AR0</t>
        </is>
      </c>
    </row>
    <row r="11062">
      <c r="A11062" t="inlineStr">
        <is>
          <t xml:space="preserve">Nippon India Mutual Fund</t>
        </is>
      </c>
      <c r="B11062" t="inlineStr">
        <is>
          <t xml:space="preserve">Reliance Interval Fund - II - Series 3 - Direct Plan - Dividend Plan - Dividend Option</t>
        </is>
      </c>
      <c r="C11062" t="inlineStr">
        <is>
          <t xml:space="preserve">INF204KA1AS8</t>
        </is>
      </c>
    </row>
    <row r="11063">
      <c r="A11063" t="inlineStr">
        <is>
          <t xml:space="preserve">Nippon India Mutual Fund</t>
        </is>
      </c>
      <c r="B11063" t="inlineStr">
        <is>
          <t xml:space="preserve">Reliance Interval Fund - II - Series 3 - Direct Plan - Growth Plan - Growth Option</t>
        </is>
      </c>
      <c r="C11063" t="inlineStr">
        <is>
          <t xml:space="preserve">INF204KA1AU4</t>
        </is>
      </c>
    </row>
    <row r="11064">
      <c r="A11064" t="inlineStr">
        <is>
          <t xml:space="preserve">Nippon India Mutual Fund</t>
        </is>
      </c>
      <c r="B11064" t="inlineStr">
        <is>
          <t xml:space="preserve">Reliance Interval Fund - II - Series 3 - Dividend Plan - Dividend Option</t>
        </is>
      </c>
      <c r="C11064" t="inlineStr">
        <is>
          <t xml:space="preserve">INF204KA1AV2</t>
        </is>
      </c>
    </row>
    <row r="11065">
      <c r="A11065" t="inlineStr">
        <is>
          <t xml:space="preserve">Nippon India Mutual Fund</t>
        </is>
      </c>
      <c r="B11065" t="inlineStr">
        <is>
          <t xml:space="preserve">Reliance Interval Fund - II - Series 3 - Growth Plan - Growth Option</t>
        </is>
      </c>
      <c r="C11065" t="inlineStr">
        <is>
          <t xml:space="preserve">INF204KA1AX8</t>
        </is>
      </c>
    </row>
    <row r="11066">
      <c r="A11066" t="inlineStr">
        <is>
          <t xml:space="preserve">Nippon India Mutual Fund</t>
        </is>
      </c>
      <c r="B11066" t="inlineStr">
        <is>
          <t xml:space="preserve">Reliance Interval Fund - II - Series 4-Direct Plan-Growth Plan -Growth Option</t>
        </is>
      </c>
      <c r="C11066" t="inlineStr">
        <is>
          <t xml:space="preserve">INF204KA1BA4</t>
        </is>
      </c>
    </row>
    <row r="11067">
      <c r="A11067" t="inlineStr">
        <is>
          <t xml:space="preserve">Nippon India Mutual Fund</t>
        </is>
      </c>
      <c r="B11067" t="inlineStr">
        <is>
          <t xml:space="preserve">Reliance Interval Fund - II - Series 4-Dividend Plan -Dividend Option</t>
        </is>
      </c>
      <c r="C11067" t="inlineStr">
        <is>
          <t xml:space="preserve">INF204KA1BB2</t>
        </is>
      </c>
    </row>
    <row r="11068">
      <c r="A11068" t="inlineStr">
        <is>
          <t xml:space="preserve">Nippon India Mutual Fund</t>
        </is>
      </c>
      <c r="B11068" t="inlineStr">
        <is>
          <t xml:space="preserve">Reliance Interval Fund - II - Series 4-Growth Plan-Growth Option</t>
        </is>
      </c>
      <c r="C11068" t="inlineStr">
        <is>
          <t xml:space="preserve">INF204KA1BD8</t>
        </is>
      </c>
    </row>
    <row r="11069">
      <c r="A11069" t="inlineStr">
        <is>
          <t xml:space="preserve">Nippon India Mutual Fund</t>
        </is>
      </c>
      <c r="B11069" t="inlineStr">
        <is>
          <t xml:space="preserve">Reliance Interval Fund -IV -Series 2 - Direct Plan - Dividend Payout Option</t>
        </is>
      </c>
      <c r="C11069" t="inlineStr">
        <is>
          <t xml:space="preserve">INF204KA12F4</t>
        </is>
      </c>
    </row>
    <row r="11070">
      <c r="A11070" t="inlineStr">
        <is>
          <t xml:space="preserve">Nippon India Mutual Fund</t>
        </is>
      </c>
      <c r="B11070" t="inlineStr">
        <is>
          <t xml:space="preserve">Reliance Interval Fund -IV -Series 2 - Direct Plan - Growth Option</t>
        </is>
      </c>
      <c r="C11070" t="inlineStr">
        <is>
          <t xml:space="preserve">INF204KA13F2</t>
        </is>
      </c>
    </row>
    <row r="11071">
      <c r="A11071" t="inlineStr">
        <is>
          <t xml:space="preserve">Nippon India Mutual Fund</t>
        </is>
      </c>
      <c r="B11071" t="inlineStr">
        <is>
          <t xml:space="preserve">Reliance Interval Fund -IV -Series 2 - Dividend Payout Option</t>
        </is>
      </c>
      <c r="C11071" t="inlineStr">
        <is>
          <t xml:space="preserve">INF204KA10F8</t>
        </is>
      </c>
    </row>
    <row r="11072">
      <c r="A11072" t="inlineStr">
        <is>
          <t xml:space="preserve">Nippon India Mutual Fund</t>
        </is>
      </c>
      <c r="B11072" t="inlineStr">
        <is>
          <t xml:space="preserve">Reliance Interval Fund -IV -Series 2 - Growth Option</t>
        </is>
      </c>
      <c r="C11072" t="inlineStr">
        <is>
          <t xml:space="preserve">INF204KA11F6</t>
        </is>
      </c>
    </row>
    <row r="11073">
      <c r="A11073" t="inlineStr">
        <is>
          <t xml:space="preserve">Nippon India Mutual Fund</t>
        </is>
      </c>
      <c r="B11073" t="inlineStr">
        <is>
          <t xml:space="preserve">Reliance Interval Fund III- Series 1- Direct Plan- Growth Option</t>
        </is>
      </c>
      <c r="C11073" t="inlineStr">
        <is>
          <t xml:space="preserve">INF204KA1VD6</t>
        </is>
      </c>
    </row>
    <row r="11074">
      <c r="A11074" t="inlineStr">
        <is>
          <t xml:space="preserve">Nippon India Mutual Fund</t>
        </is>
      </c>
      <c r="B11074" t="inlineStr">
        <is>
          <t xml:space="preserve">Reliance Interval Fund III- Series 1- Growth Option</t>
        </is>
      </c>
      <c r="C11074" t="inlineStr">
        <is>
          <t xml:space="preserve">INF204KA1VB0</t>
        </is>
      </c>
    </row>
    <row r="11075">
      <c r="A11075" t="inlineStr">
        <is>
          <t xml:space="preserve">Nippon India Mutual Fund</t>
        </is>
      </c>
      <c r="B11075" t="inlineStr">
        <is>
          <t xml:space="preserve">Reliance Interval Fund IV- Series 3- Direct Plan-Dividend Payout Option</t>
        </is>
      </c>
      <c r="C11075" t="inlineStr">
        <is>
          <t xml:space="preserve">INF204KA14I4</t>
        </is>
      </c>
    </row>
    <row r="11076">
      <c r="A11076" t="inlineStr">
        <is>
          <t xml:space="preserve">Nippon India Mutual Fund</t>
        </is>
      </c>
      <c r="B11076" t="inlineStr">
        <is>
          <t xml:space="preserve">Reliance Interval Fund IV- Series 3- Direct Plan-Growth option</t>
        </is>
      </c>
      <c r="C11076" t="inlineStr">
        <is>
          <t xml:space="preserve">INF204KA15I1</t>
        </is>
      </c>
    </row>
    <row r="11077">
      <c r="A11077" t="inlineStr">
        <is>
          <t xml:space="preserve">Nippon India Mutual Fund</t>
        </is>
      </c>
      <c r="B11077" t="inlineStr">
        <is>
          <t xml:space="preserve">Reliance Interval Fund IV- Series 3- Dividend Payout Option</t>
        </is>
      </c>
      <c r="C11077" t="inlineStr">
        <is>
          <t xml:space="preserve">INF204KA12I8</t>
        </is>
      </c>
    </row>
    <row r="11078">
      <c r="A11078" t="inlineStr">
        <is>
          <t xml:space="preserve">Nippon India Mutual Fund</t>
        </is>
      </c>
      <c r="B11078" t="inlineStr">
        <is>
          <t xml:space="preserve">Reliance Interval Fund IV- Series 3- Growth option</t>
        </is>
      </c>
      <c r="C11078" t="inlineStr">
        <is>
          <t xml:space="preserve">INF204KA13I6</t>
        </is>
      </c>
    </row>
    <row r="11079">
      <c r="A11079" t="inlineStr">
        <is>
          <t xml:space="preserve">Nippon India Mutual Fund</t>
        </is>
      </c>
      <c r="B11079" t="inlineStr">
        <is>
          <t xml:space="preserve">Reliance Yearly Interval Fund - Series 3 - Direct Plan - Growth Plan - Growth Option</t>
        </is>
      </c>
      <c r="C11079" t="inlineStr">
        <is>
          <t xml:space="preserve">INF204K01S33</t>
        </is>
      </c>
    </row>
    <row r="11080">
      <c r="A11080" t="inlineStr">
        <is>
          <t xml:space="preserve">Nippon India Mutual Fund</t>
        </is>
      </c>
      <c r="B11080" t="inlineStr">
        <is>
          <t xml:space="preserve">Reliance Yearly Interval Fund - Series 3 - Dividend Plan - Dividend Option</t>
        </is>
      </c>
      <c r="C11080" t="inlineStr">
        <is>
          <t xml:space="preserve">INF204K01S17</t>
        </is>
      </c>
    </row>
    <row r="11081">
      <c r="A11081" t="inlineStr">
        <is>
          <t xml:space="preserve">Nippon India Mutual Fund</t>
        </is>
      </c>
      <c r="B11081" t="inlineStr">
        <is>
          <t xml:space="preserve">Reliance Yearly Interval Fund - Series 3 - Growth Plan - Growth Option</t>
        </is>
      </c>
      <c r="C11081" t="inlineStr">
        <is>
          <t xml:space="preserve">INF204K01S09</t>
        </is>
      </c>
    </row>
    <row r="11082">
      <c r="A11082" t="inlineStr">
        <is>
          <t xml:space="preserve">Nippon India Mutual Fund</t>
        </is>
      </c>
      <c r="B11082" t="inlineStr">
        <is>
          <t xml:space="preserve">Reliance Yearly Interval Fund - Series 4 - Direct Plan - Dividend Plan - Dividend Option</t>
        </is>
      </c>
      <c r="C11082" t="inlineStr">
        <is>
          <t xml:space="preserve">INF204K01T08</t>
        </is>
      </c>
    </row>
    <row r="11083">
      <c r="A11083" t="inlineStr">
        <is>
          <t xml:space="preserve">Nippon India Mutual Fund</t>
        </is>
      </c>
      <c r="B11083" t="inlineStr">
        <is>
          <t xml:space="preserve">Reliance Yearly Interval Fund - Series 4 - Direct Plan - Growth Plan - Growth Option</t>
        </is>
      </c>
      <c r="C11083" t="inlineStr">
        <is>
          <t xml:space="preserve">INF204K01S90</t>
        </is>
      </c>
    </row>
    <row r="11084">
      <c r="A11084" t="inlineStr">
        <is>
          <t xml:space="preserve">Nippon India Mutual Fund</t>
        </is>
      </c>
      <c r="B11084" t="inlineStr">
        <is>
          <t xml:space="preserve">Reliance Yearly Interval Fund - Series 4 - Dividend Plan - Dividend Option</t>
        </is>
      </c>
      <c r="C11084" t="inlineStr">
        <is>
          <t xml:space="preserve">INF204K01S74</t>
        </is>
      </c>
    </row>
    <row r="11085">
      <c r="A11085" t="inlineStr">
        <is>
          <t xml:space="preserve">Nippon India Mutual Fund</t>
        </is>
      </c>
      <c r="B11085" t="inlineStr">
        <is>
          <t xml:space="preserve">Reliance Yearly Interval Fund - Series 4- Growth Plan - Growth Option</t>
        </is>
      </c>
      <c r="C11085" t="inlineStr">
        <is>
          <t xml:space="preserve">INF204K01S66</t>
        </is>
      </c>
    </row>
    <row r="11086">
      <c r="A11086" t="inlineStr">
        <is>
          <t xml:space="preserve">Nippon India Mutual Fund</t>
        </is>
      </c>
      <c r="B11086" t="inlineStr">
        <is>
          <t xml:space="preserve">Reliance Yearly Interval Fund - Series 5 - Direct Plan - Growth Plan - Growth Option</t>
        </is>
      </c>
      <c r="C11086" t="inlineStr">
        <is>
          <t xml:space="preserve">INF204K01T57</t>
        </is>
      </c>
    </row>
    <row r="11087">
      <c r="A11087" t="inlineStr">
        <is>
          <t xml:space="preserve">Nippon India Mutual Fund</t>
        </is>
      </c>
      <c r="B11087" t="inlineStr">
        <is>
          <t xml:space="preserve">Reliance Yearly Interval Fund - Series 5 - Growth Plan - Growth Option</t>
        </is>
      </c>
      <c r="C11087" t="inlineStr">
        <is>
          <t xml:space="preserve">INF204K01T24</t>
        </is>
      </c>
    </row>
    <row r="11088">
      <c r="A11088" t="inlineStr">
        <is>
          <t xml:space="preserve">Nippon India Mutual Fund</t>
        </is>
      </c>
      <c r="B11088" t="inlineStr">
        <is>
          <t xml:space="preserve">Reliance Yearly Interval Fund - Series 6 - Direct Plan - Dividend Option</t>
        </is>
      </c>
      <c r="C11088" t="inlineStr">
        <is>
          <t xml:space="preserve">INF204K01U21</t>
        </is>
      </c>
    </row>
    <row r="11089">
      <c r="A11089" t="inlineStr">
        <is>
          <t xml:space="preserve">Nippon India Mutual Fund</t>
        </is>
      </c>
      <c r="B11089" t="inlineStr">
        <is>
          <t xml:space="preserve">Reliance Yearly Interval Fund - Series 6 - Direct Plan - Growth Option</t>
        </is>
      </c>
      <c r="C11089" t="inlineStr">
        <is>
          <t xml:space="preserve">INF204K01U13</t>
        </is>
      </c>
    </row>
    <row r="11090">
      <c r="A11090" t="inlineStr">
        <is>
          <t xml:space="preserve">Nippon India Mutual Fund</t>
        </is>
      </c>
      <c r="B11090" t="inlineStr">
        <is>
          <t xml:space="preserve">Reliance Yearly Interval Fund - Series 6 - Dividend Option</t>
        </is>
      </c>
      <c r="C11090" t="inlineStr">
        <is>
          <t xml:space="preserve">INF204K01T99</t>
        </is>
      </c>
    </row>
    <row r="11091">
      <c r="A11091" t="inlineStr">
        <is>
          <t xml:space="preserve">Nippon India Mutual Fund</t>
        </is>
      </c>
      <c r="B11091" t="inlineStr">
        <is>
          <t xml:space="preserve">Reliance Yearly Interval Fund - Series 6 - Growth Option</t>
        </is>
      </c>
      <c r="C11091" t="inlineStr">
        <is>
          <t xml:space="preserve">INF204K01T81</t>
        </is>
      </c>
    </row>
    <row r="11092">
      <c r="A11092" t="inlineStr">
        <is>
          <t xml:space="preserve">Nippon India Mutual Fund</t>
        </is>
      </c>
      <c r="B11092" t="inlineStr">
        <is>
          <t xml:space="preserve">Reliance Yearly Interval Fund - Series 7 - Direct Plan - Dividend Option</t>
        </is>
      </c>
      <c r="C11092" t="inlineStr">
        <is>
          <t xml:space="preserve">INF204K01U88</t>
        </is>
      </c>
    </row>
    <row r="11093">
      <c r="A11093" t="inlineStr">
        <is>
          <t xml:space="preserve">Nippon India Mutual Fund</t>
        </is>
      </c>
      <c r="B11093" t="inlineStr">
        <is>
          <t xml:space="preserve">Reliance Yearly Interval Fund - Series 7 - Direct Plan - Growth Option</t>
        </is>
      </c>
      <c r="C11093" t="inlineStr">
        <is>
          <t xml:space="preserve">INF204K01U70</t>
        </is>
      </c>
    </row>
    <row r="11094">
      <c r="A11094" t="inlineStr">
        <is>
          <t xml:space="preserve">Nippon India Mutual Fund</t>
        </is>
      </c>
      <c r="B11094" t="inlineStr">
        <is>
          <t xml:space="preserve">Reliance Yearly Interval Fund - Series 7- Dividend Option</t>
        </is>
      </c>
      <c r="C11094" t="inlineStr">
        <is>
          <t xml:space="preserve">INF204K01U54</t>
        </is>
      </c>
    </row>
    <row r="11095">
      <c r="A11095" t="inlineStr">
        <is>
          <t xml:space="preserve">Nippon India Mutual Fund</t>
        </is>
      </c>
      <c r="B11095" t="inlineStr">
        <is>
          <t xml:space="preserve">Reliance Yearly Interval Fund - Series 7- Growth Option</t>
        </is>
      </c>
      <c r="C11095" t="inlineStr">
        <is>
          <t xml:space="preserve">INF204K01U47</t>
        </is>
      </c>
    </row>
    <row r="11096">
      <c r="A11096" t="inlineStr">
        <is>
          <t xml:space="preserve">Nippon India Mutual Fund</t>
        </is>
      </c>
      <c r="B11096" t="inlineStr">
        <is>
          <t xml:space="preserve">Reliance Yearly Interval Fund - Series 8 - Direct Plan - Dividend Plan - Dividend Option</t>
        </is>
      </c>
      <c r="C11096" t="inlineStr">
        <is>
          <t xml:space="preserve">INF204K01V46</t>
        </is>
      </c>
    </row>
    <row r="11097">
      <c r="A11097" t="inlineStr">
        <is>
          <t xml:space="preserve">Nippon India Mutual Fund</t>
        </is>
      </c>
      <c r="B11097" t="inlineStr">
        <is>
          <t xml:space="preserve">Reliance Yearly Interval Fund - Series 8 - Direct Plan - Growth Plan - Growth Option</t>
        </is>
      </c>
      <c r="C11097" t="inlineStr">
        <is>
          <t xml:space="preserve">INF204K01V38</t>
        </is>
      </c>
    </row>
    <row r="11098">
      <c r="A11098" t="inlineStr">
        <is>
          <t xml:space="preserve">Nippon India Mutual Fund</t>
        </is>
      </c>
      <c r="B11098" t="inlineStr">
        <is>
          <t xml:space="preserve">Reliance Yearly Interval Fund - Series 8 - Dividend Plan - Dividend Option</t>
        </is>
      </c>
      <c r="C11098" t="inlineStr">
        <is>
          <t xml:space="preserve">INF204K01V12</t>
        </is>
      </c>
    </row>
    <row r="11099">
      <c r="A11099" t="inlineStr">
        <is>
          <t xml:space="preserve">Nippon India Mutual Fund</t>
        </is>
      </c>
      <c r="B11099" t="inlineStr">
        <is>
          <t xml:space="preserve">Reliance Yearly Interval Fund - Series 8 - Growth Plan - Growth Option</t>
        </is>
      </c>
      <c r="C11099" t="inlineStr">
        <is>
          <t xml:space="preserve">INF204K01V04</t>
        </is>
      </c>
    </row>
    <row r="11100">
      <c r="A11100" t="inlineStr">
        <is>
          <t xml:space="preserve">Nippon India Mutual Fund</t>
        </is>
      </c>
      <c r="B11100" t="inlineStr">
        <is>
          <t xml:space="preserve">Reliance Yearly Interval Fund - Series 9 - Direct Plan - Growth Plan - Growth Option</t>
        </is>
      </c>
      <c r="C11100" t="inlineStr">
        <is>
          <t xml:space="preserve">INF204K01V95</t>
        </is>
      </c>
    </row>
    <row r="11101">
      <c r="A11101" t="inlineStr">
        <is>
          <t xml:space="preserve">Nippon India Mutual Fund</t>
        </is>
      </c>
      <c r="B11101" t="inlineStr">
        <is>
          <t xml:space="preserve">Reliance Yearly Interval Fund - Series 9 - Dividend Plan - Dividend Option</t>
        </is>
      </c>
      <c r="C11101" t="inlineStr">
        <is>
          <t xml:space="preserve">INF204K01V79</t>
        </is>
      </c>
    </row>
    <row r="11102">
      <c r="A11102" t="inlineStr">
        <is>
          <t xml:space="preserve">Nippon India Mutual Fund</t>
        </is>
      </c>
      <c r="B11102" t="inlineStr">
        <is>
          <t xml:space="preserve">Reliance Yearly Interval Fund - Series 9 - Growth Plan - Growth Option</t>
        </is>
      </c>
      <c r="C11102" t="inlineStr">
        <is>
          <t xml:space="preserve">INF204K01V61</t>
        </is>
      </c>
    </row>
    <row r="11103">
      <c r="A11103" t="inlineStr">
        <is>
          <t xml:space="preserve">Samco Mutual Fund</t>
        </is>
      </c>
      <c r="B11103" t="inlineStr">
        <is>
          <t xml:space="preserve">Samco Active Momentum Fund - Direct Plan - Growth Option</t>
        </is>
      </c>
      <c r="C11103" t="inlineStr">
        <is>
          <t xml:space="preserve">INF0K1H01081</t>
        </is>
      </c>
    </row>
    <row r="11104">
      <c r="A11104" t="inlineStr">
        <is>
          <t xml:space="preserve">Samco Mutual Fund</t>
        </is>
      </c>
      <c r="B11104" t="inlineStr">
        <is>
          <t xml:space="preserve">Samco Active Momentum Fund - Regular Plan - Growth Option</t>
        </is>
      </c>
      <c r="C11104" t="inlineStr">
        <is>
          <t xml:space="preserve">INF0K1H01073</t>
        </is>
      </c>
    </row>
    <row r="11105">
      <c r="A11105" t="inlineStr">
        <is>
          <t xml:space="preserve">Samco Mutual Fund</t>
        </is>
      </c>
      <c r="B11105" t="inlineStr">
        <is>
          <t xml:space="preserve">Samco Arbitrage Fund - Direct Plan - Growth</t>
        </is>
      </c>
      <c r="C11105" t="inlineStr">
        <is>
          <t xml:space="preserve">INF0K1H01214</t>
        </is>
      </c>
    </row>
    <row r="11106">
      <c r="A11106" t="inlineStr">
        <is>
          <t xml:space="preserve">Samco Mutual Fund</t>
        </is>
      </c>
      <c r="B11106" t="inlineStr">
        <is>
          <t xml:space="preserve">Samco Arbitrage Fund - Regular Plan - Growth</t>
        </is>
      </c>
      <c r="C11106" t="inlineStr">
        <is>
          <t xml:space="preserve">INF0K1H01222</t>
        </is>
      </c>
    </row>
    <row r="11107">
      <c r="A11107" t="inlineStr">
        <is>
          <t xml:space="preserve">Samco Mutual Fund</t>
        </is>
      </c>
      <c r="B11107" t="inlineStr">
        <is>
          <t xml:space="preserve">Samco Dynamic Asset Allocation Fund - Direct Plan - Growth Option</t>
        </is>
      </c>
      <c r="C11107" t="inlineStr">
        <is>
          <t xml:space="preserve">INF0K1H01131</t>
        </is>
      </c>
    </row>
    <row r="11108">
      <c r="A11108" t="inlineStr">
        <is>
          <t xml:space="preserve">Samco Mutual Fund</t>
        </is>
      </c>
      <c r="B11108" t="inlineStr">
        <is>
          <t xml:space="preserve">Samco Dynamic Asset Allocation Fund - Direct Plan - IDCW Option</t>
        </is>
      </c>
      <c r="C11108" t="inlineStr">
        <is>
          <t xml:space="preserve">INF0K1H01149</t>
        </is>
      </c>
    </row>
    <row r="11109">
      <c r="A11109" t="inlineStr">
        <is>
          <t xml:space="preserve">Samco Mutual Fund</t>
        </is>
      </c>
      <c r="B11109" t="inlineStr">
        <is>
          <t xml:space="preserve">Samco Dynamic Asset Allocation Fund - Regular Plan - Growth Option</t>
        </is>
      </c>
      <c r="C11109" t="inlineStr">
        <is>
          <t xml:space="preserve">INF0K1H01099</t>
        </is>
      </c>
    </row>
    <row r="11110">
      <c r="A11110" t="inlineStr">
        <is>
          <t xml:space="preserve">Samco Mutual Fund</t>
        </is>
      </c>
      <c r="B11110" t="inlineStr">
        <is>
          <t xml:space="preserve">Samco Dynamic Asset Allocation Fund - Regular Plan - IDCW Option</t>
        </is>
      </c>
      <c r="C11110" t="inlineStr">
        <is>
          <t xml:space="preserve">INF0K1H01107</t>
        </is>
      </c>
    </row>
    <row r="11111">
      <c r="A11111" t="inlineStr">
        <is>
          <t xml:space="preserve">Samco Mutual Fund</t>
        </is>
      </c>
      <c r="B11111" t="inlineStr">
        <is>
          <t xml:space="preserve">Samco ELSS Tax Saver Fund - Direct Plan - Growth Option</t>
        </is>
      </c>
      <c r="C11111" t="inlineStr">
        <is>
          <t xml:space="preserve">INF0K1H01065</t>
        </is>
      </c>
    </row>
    <row r="11112">
      <c r="A11112" t="inlineStr">
        <is>
          <t xml:space="preserve">Samco Mutual Fund</t>
        </is>
      </c>
      <c r="B11112" t="inlineStr">
        <is>
          <t xml:space="preserve">Samco ELSS Tax Saver Fund - Regular Plan - Growth Option</t>
        </is>
      </c>
      <c r="C11112" t="inlineStr">
        <is>
          <t xml:space="preserve">INF0K1H01057</t>
        </is>
      </c>
    </row>
    <row r="11113">
      <c r="A11113" t="inlineStr">
        <is>
          <t xml:space="preserve">Samco Mutual Fund</t>
        </is>
      </c>
      <c r="B11113" t="inlineStr">
        <is>
          <t xml:space="preserve">Samco Flexi Cap Fund - Direct Plan - Growth Option</t>
        </is>
      </c>
      <c r="C11113" t="inlineStr">
        <is>
          <t xml:space="preserve">INF0K1H01024</t>
        </is>
      </c>
    </row>
    <row r="11114">
      <c r="A11114" t="inlineStr">
        <is>
          <t xml:space="preserve">Samco Mutual Fund</t>
        </is>
      </c>
      <c r="B11114" t="inlineStr">
        <is>
          <t xml:space="preserve">Samco Flexi Cap Fund - Regular Plan - Growth Option</t>
        </is>
      </c>
      <c r="C11114" t="inlineStr">
        <is>
          <t xml:space="preserve">INF0K1H01016</t>
        </is>
      </c>
    </row>
    <row r="11115">
      <c r="A11115" t="inlineStr">
        <is>
          <t xml:space="preserve">Samco Mutual Fund</t>
        </is>
      </c>
      <c r="B11115" t="inlineStr">
        <is>
          <t xml:space="preserve">Samco Large &amp; Mid Cap Fund - Direct Plan - Growth Option</t>
        </is>
      </c>
      <c r="C11115" t="inlineStr">
        <is>
          <t xml:space="preserve">INF0K1H01271</t>
        </is>
      </c>
    </row>
    <row r="11116">
      <c r="A11116" t="inlineStr">
        <is>
          <t xml:space="preserve">Samco Mutual Fund</t>
        </is>
      </c>
      <c r="B11116" t="inlineStr">
        <is>
          <t xml:space="preserve">Samco Large &amp; Mid Cap Fund - Regular Plan - Growth Option</t>
        </is>
      </c>
      <c r="C11116" t="inlineStr">
        <is>
          <t xml:space="preserve">INF0K1H01289</t>
        </is>
      </c>
    </row>
    <row r="11117">
      <c r="A11117" t="inlineStr">
        <is>
          <t xml:space="preserve">Samco Mutual Fund</t>
        </is>
      </c>
      <c r="B11117" t="inlineStr">
        <is>
          <t xml:space="preserve">Samco Large Cap Fund - Direct Plan - Growth Option</t>
        </is>
      </c>
      <c r="C11117" t="inlineStr">
        <is>
          <t xml:space="preserve">INF0K1H01255</t>
        </is>
      </c>
    </row>
    <row r="11118">
      <c r="A11118" t="inlineStr">
        <is>
          <t xml:space="preserve">Samco Mutual Fund</t>
        </is>
      </c>
      <c r="B11118" t="inlineStr">
        <is>
          <t xml:space="preserve">Samco Large Cap Fund - Regular Plan - Growth Option</t>
        </is>
      </c>
      <c r="C11118" t="inlineStr">
        <is>
          <t xml:space="preserve">INF0K1H01263</t>
        </is>
      </c>
    </row>
    <row r="11119">
      <c r="A11119" t="inlineStr">
        <is>
          <t xml:space="preserve">Samco Mutual Fund</t>
        </is>
      </c>
      <c r="B11119" t="inlineStr">
        <is>
          <t xml:space="preserve">Samco Mid Cap Fund - Direct Plan</t>
        </is>
      </c>
      <c r="C11119" t="inlineStr">
        <is>
          <t xml:space="preserve">INF0K1H01313</t>
        </is>
      </c>
    </row>
    <row r="11120">
      <c r="A11120" t="inlineStr">
        <is>
          <t xml:space="preserve">Samco Mutual Fund</t>
        </is>
      </c>
      <c r="B11120" t="inlineStr">
        <is>
          <t xml:space="preserve">Samco Mid Cap Fund - Regular Plan</t>
        </is>
      </c>
      <c r="C11120" t="inlineStr">
        <is>
          <t xml:space="preserve">INF0K1H01321</t>
        </is>
      </c>
    </row>
    <row r="11121">
      <c r="A11121" t="inlineStr">
        <is>
          <t xml:space="preserve">Samco Mutual Fund</t>
        </is>
      </c>
      <c r="B11121" t="inlineStr">
        <is>
          <t xml:space="preserve">Samco Multi Asset Allocation Fund - Direct Plan - Growth</t>
        </is>
      </c>
      <c r="C11121" t="inlineStr">
        <is>
          <t xml:space="preserve">INF0K1H01230</t>
        </is>
      </c>
    </row>
    <row r="11122">
      <c r="A11122" t="inlineStr">
        <is>
          <t xml:space="preserve">Samco Mutual Fund</t>
        </is>
      </c>
      <c r="B11122" t="inlineStr">
        <is>
          <t xml:space="preserve">Samco Multi Asset Allocation Fund - Regular Plan - Growth</t>
        </is>
      </c>
      <c r="C11122" t="inlineStr">
        <is>
          <t xml:space="preserve">INF0K1H01248</t>
        </is>
      </c>
    </row>
    <row r="11123">
      <c r="A11123" t="inlineStr">
        <is>
          <t xml:space="preserve">Samco Mutual Fund</t>
        </is>
      </c>
      <c r="B11123" t="inlineStr">
        <is>
          <t xml:space="preserve">Samco Multi Cap Fund - Direct Plan - Growth</t>
        </is>
      </c>
      <c r="C11123" t="inlineStr">
        <is>
          <t xml:space="preserve">INF0K1H01198</t>
        </is>
      </c>
    </row>
    <row r="11124">
      <c r="A11124" t="inlineStr">
        <is>
          <t xml:space="preserve">Samco Mutual Fund</t>
        </is>
      </c>
      <c r="B11124" t="inlineStr">
        <is>
          <t xml:space="preserve">Samco Multi Cap Fund - Regular Plan - Growth</t>
        </is>
      </c>
      <c r="C11124" t="inlineStr">
        <is>
          <t xml:space="preserve">INF0K1H01206</t>
        </is>
      </c>
    </row>
    <row r="11125">
      <c r="A11125" t="inlineStr">
        <is>
          <t xml:space="preserve">Samco Mutual Fund</t>
        </is>
      </c>
      <c r="B11125" t="inlineStr">
        <is>
          <t xml:space="preserve">Samco Overnight Fund - Direct Plan - Growth Option</t>
        </is>
      </c>
      <c r="C11125" t="inlineStr">
        <is>
          <t xml:space="preserve">INF0K1H01040</t>
        </is>
      </c>
    </row>
    <row r="11126">
      <c r="A11126" t="inlineStr">
        <is>
          <t xml:space="preserve">Samco Mutual Fund</t>
        </is>
      </c>
      <c r="B11126" t="inlineStr">
        <is>
          <t xml:space="preserve">Samco Overnight Fund - Regular Plan - Growth Option</t>
        </is>
      </c>
      <c r="C11126" t="inlineStr">
        <is>
          <t xml:space="preserve">INF0K1H01032</t>
        </is>
      </c>
    </row>
    <row r="11127">
      <c r="A11127" t="inlineStr">
        <is>
          <t xml:space="preserve">Samco Mutual Fund</t>
        </is>
      </c>
      <c r="B11127" t="inlineStr">
        <is>
          <t xml:space="preserve">Samco Small Cap Fund - Direct Plan</t>
        </is>
      </c>
      <c r="C11127" t="inlineStr">
        <is>
          <t xml:space="preserve">INF0K1H01297</t>
        </is>
      </c>
    </row>
    <row r="11128">
      <c r="A11128" t="inlineStr">
        <is>
          <t xml:space="preserve">Samco Mutual Fund</t>
        </is>
      </c>
      <c r="B11128" t="inlineStr">
        <is>
          <t xml:space="preserve">Samco Small Cap Fund - Regular Plan</t>
        </is>
      </c>
      <c r="C11128" t="inlineStr">
        <is>
          <t xml:space="preserve">INF0K1H01305</t>
        </is>
      </c>
    </row>
    <row r="11129">
      <c r="A11129" t="inlineStr">
        <is>
          <t xml:space="preserve">Samco Mutual Fund</t>
        </is>
      </c>
      <c r="B11129" t="inlineStr">
        <is>
          <t xml:space="preserve">Samco Special Opportunities Fund - Direct Plan - Growth</t>
        </is>
      </c>
      <c r="C11129" t="inlineStr">
        <is>
          <t xml:space="preserve">INF0K1H01180</t>
        </is>
      </c>
    </row>
    <row r="11130">
      <c r="A11130" t="inlineStr">
        <is>
          <t xml:space="preserve">Samco Mutual Fund</t>
        </is>
      </c>
      <c r="B11130" t="inlineStr">
        <is>
          <t xml:space="preserve">Samco Special Opportunities Fund - Regular Plan - Growth</t>
        </is>
      </c>
      <c r="C11130" t="inlineStr">
        <is>
          <t xml:space="preserve">INF0K1H01172</t>
        </is>
      </c>
    </row>
    <row r="11131">
      <c r="A11131" t="inlineStr">
        <is>
          <t xml:space="preserve">SBI Mutual Fund</t>
        </is>
      </c>
      <c r="B11131" t="inlineStr">
        <is>
          <t xml:space="preserve">SBI  SAVINGS FUND - DIRECT PLAN - GROWTH</t>
        </is>
      </c>
      <c r="C11131" t="inlineStr">
        <is>
          <t xml:space="preserve">INF200K01SZ5</t>
        </is>
      </c>
    </row>
    <row r="11132">
      <c r="A11132" t="inlineStr">
        <is>
          <t xml:space="preserve">SBI Mutual Fund</t>
        </is>
      </c>
      <c r="B11132" t="inlineStr">
        <is>
          <t xml:space="preserve">SBI  SAVINGS FUND - REGULAR PLAN - GROWTH</t>
        </is>
      </c>
      <c r="C11132" t="inlineStr">
        <is>
          <t xml:space="preserve">INF200K01636</t>
        </is>
      </c>
    </row>
    <row r="11133">
      <c r="A11133" t="inlineStr">
        <is>
          <t xml:space="preserve">SBI Mutual Fund</t>
        </is>
      </c>
      <c r="B11133" t="inlineStr">
        <is>
          <t xml:space="preserve">SBI Arbitrage Opportunities Fund - Direct Plan - Gr</t>
        </is>
      </c>
      <c r="C11133" t="inlineStr">
        <is>
          <t xml:space="preserve">INF200K01QU0</t>
        </is>
      </c>
    </row>
    <row r="11134">
      <c r="A11134" t="inlineStr">
        <is>
          <t xml:space="preserve">SBI Mutual Fund</t>
        </is>
      </c>
      <c r="B11134" t="inlineStr">
        <is>
          <t xml:space="preserve">SBI Arbitrage Opportunities Fund - Direct Plan - Income Distribution cum Capital Withdrawal Option (IDCW)</t>
        </is>
      </c>
      <c r="C11134" t="inlineStr">
        <is>
          <t xml:space="preserve">INF200K01QS4</t>
        </is>
      </c>
    </row>
    <row r="11135">
      <c r="A11135" t="inlineStr">
        <is>
          <t xml:space="preserve">SBI Mutual Fund</t>
        </is>
      </c>
      <c r="B11135" t="inlineStr">
        <is>
          <t xml:space="preserve">SBI Arbitrage Opportunities Fund - Regular Plan - Gr</t>
        </is>
      </c>
      <c r="C11135" t="inlineStr">
        <is>
          <t xml:space="preserve">INF200K01156</t>
        </is>
      </c>
    </row>
    <row r="11136">
      <c r="A11136" t="inlineStr">
        <is>
          <t xml:space="preserve">SBI Mutual Fund</t>
        </is>
      </c>
      <c r="B11136" t="inlineStr">
        <is>
          <t xml:space="preserve">SBI Arbitrage Opportunities Fund - Regular Plan - Income Distribution cum Capital Withdrawal Option (IDCW)</t>
        </is>
      </c>
      <c r="C11136" t="inlineStr">
        <is>
          <t xml:space="preserve">INF200K01131</t>
        </is>
      </c>
    </row>
    <row r="11137">
      <c r="A11137" t="inlineStr">
        <is>
          <t xml:space="preserve">SBI Mutual Fund</t>
        </is>
      </c>
      <c r="B11137" t="inlineStr">
        <is>
          <t xml:space="preserve">SBI Automotive Opportunities Fund - Direct Plan - Growth</t>
        </is>
      </c>
      <c r="C11137" t="inlineStr">
        <is>
          <t xml:space="preserve">INF200KB1183</t>
        </is>
      </c>
    </row>
    <row r="11138">
      <c r="A11138" t="inlineStr">
        <is>
          <t xml:space="preserve">SBI Mutual Fund</t>
        </is>
      </c>
      <c r="B11138" t="inlineStr">
        <is>
          <t xml:space="preserve">SBI Automotive Opportunities Fund - Direct Plan - Income Distribution Cum Capital Withdrawal Option</t>
        </is>
      </c>
      <c r="C11138" t="inlineStr">
        <is>
          <t xml:space="preserve">INF200KB1191</t>
        </is>
      </c>
    </row>
    <row r="11139">
      <c r="A11139" t="inlineStr">
        <is>
          <t xml:space="preserve">SBI Mutual Fund</t>
        </is>
      </c>
      <c r="B11139" t="inlineStr">
        <is>
          <t xml:space="preserve">SBI Automotive Opportunities Fund - Regular Plan - Growth</t>
        </is>
      </c>
      <c r="C11139" t="inlineStr">
        <is>
          <t xml:space="preserve">INF200KB1159</t>
        </is>
      </c>
    </row>
    <row r="11140">
      <c r="A11140" t="inlineStr">
        <is>
          <t xml:space="preserve">SBI Mutual Fund</t>
        </is>
      </c>
      <c r="B11140" t="inlineStr">
        <is>
          <t xml:space="preserve">SBI Automotive Opportunities Fund - Regular Plan - Income Distribution Cum Capital Withdrawal Option</t>
        </is>
      </c>
      <c r="C11140" t="inlineStr">
        <is>
          <t xml:space="preserve">INF200KB1167</t>
        </is>
      </c>
    </row>
    <row r="11141">
      <c r="A11141" t="inlineStr">
        <is>
          <t xml:space="preserve">SBI Mutual Fund</t>
        </is>
      </c>
      <c r="B11141" t="inlineStr">
        <is>
          <t xml:space="preserve">SBI Balanced Advantage Fund - Direct Plan - Growth</t>
        </is>
      </c>
      <c r="C11141" t="inlineStr">
        <is>
          <t xml:space="preserve">INF200KA1Y73</t>
        </is>
      </c>
    </row>
    <row r="11142">
      <c r="A11142" t="inlineStr">
        <is>
          <t xml:space="preserve">SBI Mutual Fund</t>
        </is>
      </c>
      <c r="B11142" t="inlineStr">
        <is>
          <t xml:space="preserve">SBI Balanced Advantage Fund - Direct Plan - Income Distribution cum Capital Withdrawal Option (IDCW)</t>
        </is>
      </c>
      <c r="C11142" t="inlineStr">
        <is>
          <t xml:space="preserve">INF200KA1Y81</t>
        </is>
      </c>
    </row>
    <row r="11143">
      <c r="A11143" t="inlineStr">
        <is>
          <t xml:space="preserve">SBI Mutual Fund</t>
        </is>
      </c>
      <c r="B11143" t="inlineStr">
        <is>
          <t xml:space="preserve">SBI Balanced Advantage Fund - Regular Plan - Growth</t>
        </is>
      </c>
      <c r="C11143" t="inlineStr">
        <is>
          <t xml:space="preserve">INF200KA1Y40</t>
        </is>
      </c>
    </row>
    <row r="11144">
      <c r="A11144" t="inlineStr">
        <is>
          <t xml:space="preserve">SBI Mutual Fund</t>
        </is>
      </c>
      <c r="B11144" t="inlineStr">
        <is>
          <t xml:space="preserve">SBI Balanced Advantage Fund - Regular Plan - Income Distribution cum Capital Withdrawal Option (IDCW)</t>
        </is>
      </c>
      <c r="C11144" t="inlineStr">
        <is>
          <t xml:space="preserve">INF200KA1Y57</t>
        </is>
      </c>
    </row>
    <row r="11145">
      <c r="A11145" t="inlineStr">
        <is>
          <t xml:space="preserve">SBI Mutual Fund</t>
        </is>
      </c>
      <c r="B11145" t="inlineStr">
        <is>
          <t xml:space="preserve">SBI BANKING &amp; FINANCIAL SERVICES FUND - DIRECT PLAN - GROWTH</t>
        </is>
      </c>
      <c r="C11145" t="inlineStr">
        <is>
          <t xml:space="preserve">INF200KA1507</t>
        </is>
      </c>
    </row>
    <row r="11146">
      <c r="A11146" t="inlineStr">
        <is>
          <t xml:space="preserve">SBI Mutual Fund</t>
        </is>
      </c>
      <c r="B11146" t="inlineStr">
        <is>
          <t xml:space="preserve">SBI Banking &amp; Financial Services Fund - Direct Plan - Income Distribution cum Capital Withdrawal Option (IDCW)</t>
        </is>
      </c>
      <c r="C11146" t="inlineStr">
        <is>
          <t xml:space="preserve">INF200KA1515</t>
        </is>
      </c>
    </row>
    <row r="11147">
      <c r="A11147" t="inlineStr">
        <is>
          <t xml:space="preserve">SBI Mutual Fund</t>
        </is>
      </c>
      <c r="B11147" t="inlineStr">
        <is>
          <t xml:space="preserve">SBI BANKING &amp; FINANCIAL SERVICES FUND - REGULAR PLAN - GROWTH</t>
        </is>
      </c>
      <c r="C11147" t="inlineStr">
        <is>
          <t xml:space="preserve">INF200KA1473</t>
        </is>
      </c>
    </row>
    <row r="11148">
      <c r="A11148" t="inlineStr">
        <is>
          <t xml:space="preserve">SBI Mutual Fund</t>
        </is>
      </c>
      <c r="B11148" t="inlineStr">
        <is>
          <t xml:space="preserve">SBI Banking &amp; Financial Services Fund - Regular Plan - Income Distribution cum Capital Withdrawal Option (IDCW)</t>
        </is>
      </c>
      <c r="C11148" t="inlineStr">
        <is>
          <t xml:space="preserve">INF200KA1481</t>
        </is>
      </c>
    </row>
    <row r="11149">
      <c r="A11149" t="inlineStr">
        <is>
          <t xml:space="preserve">SBI Mutual Fund</t>
        </is>
      </c>
      <c r="B11149" t="inlineStr">
        <is>
          <t xml:space="preserve">SBI Banking &amp; PSU Fund - Direct Plan - Daily Income Distribution cum Capital Withdrawal Option (IDCW)</t>
        </is>
      </c>
      <c r="C11149" t="inlineStr">
        <is>
          <t xml:space="preserve">INF200K01V16</t>
        </is>
      </c>
    </row>
    <row r="11150">
      <c r="A11150" t="inlineStr">
        <is>
          <t xml:space="preserve">SBI Mutual Fund</t>
        </is>
      </c>
      <c r="B11150" t="inlineStr">
        <is>
          <t xml:space="preserve">SBI BANKING &amp; PSU FUND - Direct Plan - Growth</t>
        </is>
      </c>
      <c r="C11150" t="inlineStr">
        <is>
          <t xml:space="preserve">INF200K01V08</t>
        </is>
      </c>
    </row>
    <row r="11151">
      <c r="A11151" t="inlineStr">
        <is>
          <t xml:space="preserve">SBI Mutual Fund</t>
        </is>
      </c>
      <c r="B11151" t="inlineStr">
        <is>
          <t xml:space="preserve">SBI Banking &amp; PSU Fund - Direct Plan - Monthly Income Distribution cum Capital Withdrawal Option (IDCW)</t>
        </is>
      </c>
      <c r="C11151" t="inlineStr">
        <is>
          <t xml:space="preserve">INF200K01V40</t>
        </is>
      </c>
    </row>
    <row r="11152">
      <c r="A11152" t="inlineStr">
        <is>
          <t xml:space="preserve">SBI Mutual Fund</t>
        </is>
      </c>
      <c r="B11152" t="inlineStr">
        <is>
          <t xml:space="preserve">SBI Banking &amp; PSU Fund - Direct Plan - Weekly Income Distribution cum Capital Withdrawal Option (IDCW)</t>
        </is>
      </c>
      <c r="C11152" t="inlineStr">
        <is>
          <t xml:space="preserve">INF200K01V32</t>
        </is>
      </c>
    </row>
    <row r="11153">
      <c r="A11153" t="inlineStr">
        <is>
          <t xml:space="preserve">SBI Mutual Fund</t>
        </is>
      </c>
      <c r="B11153" t="inlineStr">
        <is>
          <t xml:space="preserve">SBI BANKING &amp; PSU FUND - Regular Paln - Growth</t>
        </is>
      </c>
      <c r="C11153" t="inlineStr">
        <is>
          <t xml:space="preserve">INF200K01U41</t>
        </is>
      </c>
    </row>
    <row r="11154">
      <c r="A11154" t="inlineStr">
        <is>
          <t xml:space="preserve">SBI Mutual Fund</t>
        </is>
      </c>
      <c r="B11154" t="inlineStr">
        <is>
          <t xml:space="preserve">SBI Banking &amp; PSU Fund - Regular Plan - Daily Income Distribution cum Capital Withdrawal Option (IDCW)</t>
        </is>
      </c>
      <c r="C11154" t="inlineStr">
        <is>
          <t xml:space="preserve">INF200K01U58</t>
        </is>
      </c>
    </row>
    <row r="11155">
      <c r="A11155" t="inlineStr">
        <is>
          <t xml:space="preserve">SBI Mutual Fund</t>
        </is>
      </c>
      <c r="B11155" t="inlineStr">
        <is>
          <t xml:space="preserve">SBI Banking &amp; PSU Fund - Regular Plan - Monthly Income Distribution cum Capital Withdrawal Option (IDCW)</t>
        </is>
      </c>
      <c r="C11155" t="inlineStr">
        <is>
          <t xml:space="preserve">INF200K01U82</t>
        </is>
      </c>
    </row>
    <row r="11156">
      <c r="A11156" t="inlineStr">
        <is>
          <t xml:space="preserve">SBI Mutual Fund</t>
        </is>
      </c>
      <c r="B11156" t="inlineStr">
        <is>
          <t xml:space="preserve">SBI Banking &amp; PSU Fund - Regular Plan - Weekly Income Distribution cum Capital Withdrawal Option (IDCW)</t>
        </is>
      </c>
      <c r="C11156" t="inlineStr">
        <is>
          <t xml:space="preserve">INF200K01U74</t>
        </is>
      </c>
    </row>
    <row r="11157">
      <c r="A11157" t="inlineStr">
        <is>
          <t xml:space="preserve">SBI Mutual Fund</t>
        </is>
      </c>
      <c r="B11157" t="inlineStr">
        <is>
          <t xml:space="preserve">SBI BSE 100 ETF</t>
        </is>
      </c>
      <c r="C11157" t="inlineStr">
        <is>
          <t xml:space="preserve">INF200KA1572</t>
        </is>
      </c>
    </row>
    <row r="11158">
      <c r="A11158" t="inlineStr">
        <is>
          <t xml:space="preserve">SBI Mutual Fund</t>
        </is>
      </c>
      <c r="B11158" t="inlineStr">
        <is>
          <t xml:space="preserve">SBI BSE PSU BANK ETF</t>
        </is>
      </c>
      <c r="C11158" t="inlineStr">
        <is>
          <t xml:space="preserve">INF200KB1712</t>
        </is>
      </c>
    </row>
    <row r="11159">
      <c r="A11159" t="inlineStr">
        <is>
          <t xml:space="preserve">SBI Mutual Fund</t>
        </is>
      </c>
      <c r="B11159" t="inlineStr">
        <is>
          <t xml:space="preserve">SBI BSE PSU BANK INDEX FUND- Direct Plan- Growth</t>
        </is>
      </c>
      <c r="C11159" t="inlineStr">
        <is>
          <t xml:space="preserve">INF200KB1688</t>
        </is>
      </c>
    </row>
    <row r="11160">
      <c r="A11160" t="inlineStr">
        <is>
          <t xml:space="preserve">SBI Mutual Fund</t>
        </is>
      </c>
      <c r="B11160" t="inlineStr">
        <is>
          <t xml:space="preserve">SBI BSE PSU BANK INDEX FUND- Direct Plan- Income Distribution Cum Capital Withdrawal Option (IDCW)</t>
        </is>
      </c>
      <c r="C11160" t="inlineStr">
        <is>
          <t xml:space="preserve">INF200KB1704</t>
        </is>
      </c>
    </row>
    <row r="11161">
      <c r="A11161" t="inlineStr">
        <is>
          <t xml:space="preserve">SBI Mutual Fund</t>
        </is>
      </c>
      <c r="B11161" t="inlineStr">
        <is>
          <t xml:space="preserve">SBI BSE PSU BANK INDEX FUND- Regular Plan- Growth</t>
        </is>
      </c>
      <c r="C11161" t="inlineStr">
        <is>
          <t xml:space="preserve">INF200KB1654</t>
        </is>
      </c>
    </row>
    <row r="11162">
      <c r="A11162" t="inlineStr">
        <is>
          <t xml:space="preserve">SBI Mutual Fund</t>
        </is>
      </c>
      <c r="B11162" t="inlineStr">
        <is>
          <t xml:space="preserve">SBI BSE PSU BANK INDEX FUND- Regular Plan- Income Distribution Cum Capital Withdrawal Option (IDCW)</t>
        </is>
      </c>
      <c r="C11162" t="inlineStr">
        <is>
          <t xml:space="preserve">INF200KB1662</t>
        </is>
      </c>
    </row>
    <row r="11163">
      <c r="A11163" t="inlineStr">
        <is>
          <t xml:space="preserve">SBI Mutual Fund</t>
        </is>
      </c>
      <c r="B11163" t="inlineStr">
        <is>
          <t xml:space="preserve">SBI BSE SENSEX ETF</t>
        </is>
      </c>
      <c r="C11163" t="inlineStr">
        <is>
          <t xml:space="preserve">INF200K01VT2</t>
        </is>
      </c>
    </row>
    <row r="11164">
      <c r="A11164" t="inlineStr">
        <is>
          <t xml:space="preserve">SBI Mutual Fund</t>
        </is>
      </c>
      <c r="B11164" t="inlineStr">
        <is>
          <t xml:space="preserve">SBI BSE Sensex Index Fund - Direct Plan - Growth</t>
        </is>
      </c>
      <c r="C11164" t="inlineStr">
        <is>
          <t xml:space="preserve">INF200KA16Y4</t>
        </is>
      </c>
    </row>
    <row r="11165">
      <c r="A11165" t="inlineStr">
        <is>
          <t xml:space="preserve">SBI Mutual Fund</t>
        </is>
      </c>
      <c r="B11165" t="inlineStr">
        <is>
          <t xml:space="preserve">SBI BSE Sensex Index Fund - Direct Plan - IDCW</t>
        </is>
      </c>
      <c r="C11165" t="inlineStr">
        <is>
          <t xml:space="preserve">INF200KA17Y2</t>
        </is>
      </c>
    </row>
    <row r="11166">
      <c r="A11166" t="inlineStr">
        <is>
          <t xml:space="preserve">SBI Mutual Fund</t>
        </is>
      </c>
      <c r="B11166" t="inlineStr">
        <is>
          <t xml:space="preserve">SBI BSE Sensex Index Fund - Regular Plan - Growth</t>
        </is>
      </c>
      <c r="C11166" t="inlineStr">
        <is>
          <t xml:space="preserve">INF200KA13Y1</t>
        </is>
      </c>
    </row>
    <row r="11167">
      <c r="A11167" t="inlineStr">
        <is>
          <t xml:space="preserve">SBI Mutual Fund</t>
        </is>
      </c>
      <c r="B11167" t="inlineStr">
        <is>
          <t xml:space="preserve">SBI BSE Sensex Index Fund - Regular Plan - IDCW</t>
        </is>
      </c>
      <c r="C11167" t="inlineStr">
        <is>
          <t xml:space="preserve">INF200KA14Y9</t>
        </is>
      </c>
    </row>
    <row r="11168">
      <c r="A11168" t="inlineStr">
        <is>
          <t xml:space="preserve">SBI Mutual Fund</t>
        </is>
      </c>
      <c r="B11168" t="inlineStr">
        <is>
          <t xml:space="preserve">SBI BSE Sensex Next 50 ETF</t>
        </is>
      </c>
      <c r="C11168" t="inlineStr">
        <is>
          <t xml:space="preserve">INF200KA1VQ2</t>
        </is>
      </c>
    </row>
    <row r="11169">
      <c r="A11169" t="inlineStr">
        <is>
          <t xml:space="preserve">SBI Mutual Fund</t>
        </is>
      </c>
      <c r="B11169" t="inlineStr">
        <is>
          <t xml:space="preserve">SBI Children's Fund - Investment Plan - Direct Plan - Growth</t>
        </is>
      </c>
      <c r="C11169" t="inlineStr">
        <is>
          <t xml:space="preserve">INF200KA1R07</t>
        </is>
      </c>
    </row>
    <row r="11170">
      <c r="A11170" t="inlineStr">
        <is>
          <t xml:space="preserve">SBI Mutual Fund</t>
        </is>
      </c>
      <c r="B11170" t="inlineStr">
        <is>
          <t xml:space="preserve">SBI Children's Fund - Investment Plan - Regular Plan - Growth</t>
        </is>
      </c>
      <c r="C11170" t="inlineStr">
        <is>
          <t xml:space="preserve">INF200KA1Q99</t>
        </is>
      </c>
    </row>
    <row r="11171">
      <c r="A11171" t="inlineStr">
        <is>
          <t xml:space="preserve">SBI Mutual Fund</t>
        </is>
      </c>
      <c r="B11171" t="inlineStr">
        <is>
          <t xml:space="preserve">SBI Children's Fund - Savings Plan - DIRECT PLAN - GROWTH</t>
        </is>
      </c>
      <c r="C11171" t="inlineStr">
        <is>
          <t xml:space="preserve">INF200K01QR6</t>
        </is>
      </c>
    </row>
    <row r="11172">
      <c r="A11172" t="inlineStr">
        <is>
          <t xml:space="preserve">SBI Mutual Fund</t>
        </is>
      </c>
      <c r="B11172" t="inlineStr">
        <is>
          <t xml:space="preserve">SBI Children's Fund - Savings Plan - REGULAR PLAN - GROWTH</t>
        </is>
      </c>
      <c r="C11172" t="inlineStr">
        <is>
          <t xml:space="preserve">INF200K01776</t>
        </is>
      </c>
    </row>
    <row r="11173">
      <c r="A11173" t="inlineStr">
        <is>
          <t xml:space="preserve">SBI Mutual Fund</t>
        </is>
      </c>
      <c r="B11173" t="inlineStr">
        <is>
          <t xml:space="preserve">SBI COMMA Fund - DIRECT PLAN - Growth</t>
        </is>
      </c>
      <c r="C11173" t="inlineStr">
        <is>
          <t xml:space="preserve">INF200K01SB6</t>
        </is>
      </c>
    </row>
    <row r="11174">
      <c r="A11174" t="inlineStr">
        <is>
          <t xml:space="preserve">SBI Mutual Fund</t>
        </is>
      </c>
      <c r="B11174" t="inlineStr">
        <is>
          <t xml:space="preserve">SBI Comma Fund - Direct Plan - Income Distribution cum Capital Withdrawal Option (IDCW)</t>
        </is>
      </c>
      <c r="C11174" t="inlineStr">
        <is>
          <t xml:space="preserve">INF200K01RZ7</t>
        </is>
      </c>
    </row>
    <row r="11175">
      <c r="A11175" t="inlineStr">
        <is>
          <t xml:space="preserve">SBI Mutual Fund</t>
        </is>
      </c>
      <c r="B11175" t="inlineStr">
        <is>
          <t xml:space="preserve">SBI COMMA Fund - REGULAR PLAN - Growth</t>
        </is>
      </c>
      <c r="C11175" t="inlineStr">
        <is>
          <t xml:space="preserve">INF200K01339</t>
        </is>
      </c>
    </row>
    <row r="11176">
      <c r="A11176" t="inlineStr">
        <is>
          <t xml:space="preserve">SBI Mutual Fund</t>
        </is>
      </c>
      <c r="B11176" t="inlineStr">
        <is>
          <t xml:space="preserve">SBI Comma Fund - Regular Plan - Income Distribution cum Capital Withdrawal Option (IDCW)</t>
        </is>
      </c>
      <c r="C11176" t="inlineStr">
        <is>
          <t xml:space="preserve">INF200K01313</t>
        </is>
      </c>
    </row>
    <row r="11177">
      <c r="A11177" t="inlineStr">
        <is>
          <t xml:space="preserve">SBI Mutual Fund</t>
        </is>
      </c>
      <c r="B11177" t="inlineStr">
        <is>
          <t xml:space="preserve">SBI Conservative Hybrid Fund  - Direct Plan - Quarterly Income Distribution cum Capital Withdrawal Option (IDCW)</t>
        </is>
      </c>
      <c r="C11177" t="inlineStr">
        <is>
          <t xml:space="preserve">INF200K01TV2</t>
        </is>
      </c>
    </row>
    <row r="11178">
      <c r="A11178" t="inlineStr">
        <is>
          <t xml:space="preserve">SBI Mutual Fund</t>
        </is>
      </c>
      <c r="B11178" t="inlineStr">
        <is>
          <t xml:space="preserve">SBI Conservative Hybrid Fund - Direct Plan - Annual Income Distribution cum Capital Withdrawal Option (IDCW)</t>
        </is>
      </c>
      <c r="C11178" t="inlineStr">
        <is>
          <t xml:space="preserve">INF200K01TQ2</t>
        </is>
      </c>
    </row>
    <row r="11179">
      <c r="A11179" t="inlineStr">
        <is>
          <t xml:space="preserve">SBI Mutual Fund</t>
        </is>
      </c>
      <c r="B11179" t="inlineStr">
        <is>
          <t xml:space="preserve">SBI Conservative Hybrid Fund - Direct Plan - Growth</t>
        </is>
      </c>
      <c r="C11179" t="inlineStr">
        <is>
          <t xml:space="preserve">INF200K01TS8</t>
        </is>
      </c>
    </row>
    <row r="11180">
      <c r="A11180" t="inlineStr">
        <is>
          <t xml:space="preserve">SBI Mutual Fund</t>
        </is>
      </c>
      <c r="B11180" t="inlineStr">
        <is>
          <t xml:space="preserve">SBI Conservative Hybrid Fund - Direct Plan - Monthly Income Distribution cum Capital Withdrawal Option (IDCW)</t>
        </is>
      </c>
      <c r="C11180" t="inlineStr">
        <is>
          <t xml:space="preserve">INF200K01TT6</t>
        </is>
      </c>
    </row>
    <row r="11181">
      <c r="A11181" t="inlineStr">
        <is>
          <t xml:space="preserve">SBI Mutual Fund</t>
        </is>
      </c>
      <c r="B11181" t="inlineStr">
        <is>
          <t xml:space="preserve">SBI Conservative Hybrid Fund - Regular Plan - Annual Income Distribution cum Capital Withdrawal Option (IDCW)</t>
        </is>
      </c>
      <c r="C11181" t="inlineStr">
        <is>
          <t xml:space="preserve">INF200K01909</t>
        </is>
      </c>
    </row>
    <row r="11182">
      <c r="A11182" t="inlineStr">
        <is>
          <t xml:space="preserve">SBI Mutual Fund</t>
        </is>
      </c>
      <c r="B11182" t="inlineStr">
        <is>
          <t xml:space="preserve">SBI Conservative Hybrid Fund - Regular Plan - Growth</t>
        </is>
      </c>
      <c r="C11182" t="inlineStr">
        <is>
          <t xml:space="preserve">INF200K01859</t>
        </is>
      </c>
    </row>
    <row r="11183">
      <c r="A11183" t="inlineStr">
        <is>
          <t xml:space="preserve">SBI Mutual Fund</t>
        </is>
      </c>
      <c r="B11183" t="inlineStr">
        <is>
          <t xml:space="preserve">SBI Conservative Hybrid Fund - Regular Plan - Monthly Income Distribution cum Capital Withdrawal Option (IDCW)</t>
        </is>
      </c>
      <c r="C11183" t="inlineStr">
        <is>
          <t xml:space="preserve">INF200K01867</t>
        </is>
      </c>
    </row>
    <row r="11184">
      <c r="A11184" t="inlineStr">
        <is>
          <t xml:space="preserve">SBI Mutual Fund</t>
        </is>
      </c>
      <c r="B11184" t="inlineStr">
        <is>
          <t xml:space="preserve">SBI Conservative Hybrid Fund - Regular Plan - Quarterly Income Distribution cum Capital Withdrawal Option (IDCW)</t>
        </is>
      </c>
      <c r="C11184" t="inlineStr">
        <is>
          <t xml:space="preserve">INF200K01883</t>
        </is>
      </c>
    </row>
    <row r="11185">
      <c r="A11185" t="inlineStr">
        <is>
          <t xml:space="preserve">SBI Mutual Fund</t>
        </is>
      </c>
      <c r="B11185" t="inlineStr">
        <is>
          <t xml:space="preserve">SBI CONSTANT MATURITY 10 YEAR GILT FUND - DIRECT PLAN - GROWTH</t>
        </is>
      </c>
      <c r="C11185" t="inlineStr">
        <is>
          <t xml:space="preserve">INF200K01SK7</t>
        </is>
      </c>
    </row>
    <row r="11186">
      <c r="A11186" t="inlineStr">
        <is>
          <t xml:space="preserve">SBI Mutual Fund</t>
        </is>
      </c>
      <c r="B11186" t="inlineStr">
        <is>
          <t xml:space="preserve">SBI Constant Maturity 10 Year Gilt Fund - Direct Plan - Income Distribution cum Capital Withdrawal Option (IDCW)</t>
        </is>
      </c>
      <c r="C11186" t="inlineStr">
        <is>
          <t xml:space="preserve">INF200K01SI1</t>
        </is>
      </c>
    </row>
    <row r="11187">
      <c r="A11187" t="inlineStr">
        <is>
          <t xml:space="preserve">SBI Mutual Fund</t>
        </is>
      </c>
      <c r="B11187" t="inlineStr">
        <is>
          <t xml:space="preserve">SBI CONSTANT MATURITY 10 Year GILT FUND - REGULAR PLAN - GROWTH</t>
        </is>
      </c>
      <c r="C11187" t="inlineStr">
        <is>
          <t xml:space="preserve">INF200K01AN9</t>
        </is>
      </c>
    </row>
    <row r="11188">
      <c r="A11188" t="inlineStr">
        <is>
          <t xml:space="preserve">SBI Mutual Fund</t>
        </is>
      </c>
      <c r="B11188" t="inlineStr">
        <is>
          <t xml:space="preserve">SBI Constant Maturity 10 Year Gilt Fund - Regular Plan - Income Distribution cum Capital Withdrawal Option (IDCW)</t>
        </is>
      </c>
      <c r="C11188" t="inlineStr">
        <is>
          <t xml:space="preserve">INF200K01AO7</t>
        </is>
      </c>
    </row>
    <row r="11189">
      <c r="A11189" t="inlineStr">
        <is>
          <t xml:space="preserve">SBI Mutual Fund</t>
        </is>
      </c>
      <c r="B11189" t="inlineStr">
        <is>
          <t xml:space="preserve">SBI CONSUMPTION OPPORTUNITIES FUND - DIRECT PLAN - GROWTH</t>
        </is>
      </c>
      <c r="C11189" t="inlineStr">
        <is>
          <t xml:space="preserve">INF200K01RM5</t>
        </is>
      </c>
    </row>
    <row r="11190">
      <c r="A11190" t="inlineStr">
        <is>
          <t xml:space="preserve">SBI Mutual Fund</t>
        </is>
      </c>
      <c r="B11190" t="inlineStr">
        <is>
          <t xml:space="preserve">SBI Consumption Opportunities Fund - Direct Plan - Income Distribution cum Capital Withdrawal Option (IDCW)</t>
        </is>
      </c>
      <c r="C11190" t="inlineStr">
        <is>
          <t xml:space="preserve">INF200K01RK9</t>
        </is>
      </c>
    </row>
    <row r="11191">
      <c r="A11191" t="inlineStr">
        <is>
          <t xml:space="preserve">SBI Mutual Fund</t>
        </is>
      </c>
      <c r="B11191" t="inlineStr">
        <is>
          <t xml:space="preserve">SBI CONSUMPTION OPPORTUNITIES FUND - REGULAR - GROWTH</t>
        </is>
      </c>
      <c r="C11191" t="inlineStr">
        <is>
          <t xml:space="preserve">INF200K01VR6</t>
        </is>
      </c>
    </row>
    <row r="11192">
      <c r="A11192" t="inlineStr">
        <is>
          <t xml:space="preserve">SBI Mutual Fund</t>
        </is>
      </c>
      <c r="B11192" t="inlineStr">
        <is>
          <t xml:space="preserve">SBI Consumption Opportunities Fund - Regular Plan - Income Distribution cum Capital Withdrawal Option (IDCW)</t>
        </is>
      </c>
      <c r="C11192" t="inlineStr">
        <is>
          <t xml:space="preserve">INF200K01404</t>
        </is>
      </c>
    </row>
    <row r="11193">
      <c r="A11193" t="inlineStr">
        <is>
          <t xml:space="preserve">SBI Mutual Fund</t>
        </is>
      </c>
      <c r="B11193" t="inlineStr">
        <is>
          <t xml:space="preserve">SBI CONTRA FUND - DIRECT PLAN - GROWTH</t>
        </is>
      </c>
      <c r="C11193" t="inlineStr">
        <is>
          <t xml:space="preserve">INF200K01RA0</t>
        </is>
      </c>
    </row>
    <row r="11194">
      <c r="A11194" t="inlineStr">
        <is>
          <t xml:space="preserve">SBI Mutual Fund</t>
        </is>
      </c>
      <c r="B11194" t="inlineStr">
        <is>
          <t xml:space="preserve">SBI Contra Fund - Direct Plan - Income Distribution cum Capital Withdrawal Option (IDCW)</t>
        </is>
      </c>
      <c r="C11194" t="inlineStr">
        <is>
          <t xml:space="preserve">INF200K01QY2</t>
        </is>
      </c>
    </row>
    <row r="11195">
      <c r="A11195" t="inlineStr">
        <is>
          <t xml:space="preserve">SBI Mutual Fund</t>
        </is>
      </c>
      <c r="B11195" t="inlineStr">
        <is>
          <t xml:space="preserve">SBI Contra Fund - Regular Plan - Income Distribution cum Capital Withdrawal Option (IDCW)</t>
        </is>
      </c>
      <c r="C11195" t="inlineStr">
        <is>
          <t xml:space="preserve">INF200K01347</t>
        </is>
      </c>
    </row>
    <row r="11196">
      <c r="A11196" t="inlineStr">
        <is>
          <t xml:space="preserve">SBI Mutual Fund</t>
        </is>
      </c>
      <c r="B11196" t="inlineStr">
        <is>
          <t xml:space="preserve">SBI CONTRA FUND - REGULAR PLAN -GROWTH</t>
        </is>
      </c>
      <c r="C11196" t="inlineStr">
        <is>
          <t xml:space="preserve">INF200K01362</t>
        </is>
      </c>
    </row>
    <row r="11197">
      <c r="A11197" t="inlineStr">
        <is>
          <t xml:space="preserve">SBI Mutual Fund</t>
        </is>
      </c>
      <c r="B11197" t="inlineStr">
        <is>
          <t xml:space="preserve">SBI Corporate Bond Fund - Direct Plan - Growth</t>
        </is>
      </c>
      <c r="C11197" t="inlineStr">
        <is>
          <t xml:space="preserve">INF200KA1YR4</t>
        </is>
      </c>
    </row>
    <row r="11198">
      <c r="A11198" t="inlineStr">
        <is>
          <t xml:space="preserve">SBI Mutual Fund</t>
        </is>
      </c>
      <c r="B11198" t="inlineStr">
        <is>
          <t xml:space="preserve">SBI Corporate Bond Fund - Direct Plan - Monthly Income Distribution cum Capital Withdrawal Option (IDCW)</t>
        </is>
      </c>
      <c r="C11198" t="inlineStr">
        <is>
          <t xml:space="preserve">INF200KA1YS2</t>
        </is>
      </c>
    </row>
    <row r="11199">
      <c r="A11199" t="inlineStr">
        <is>
          <t xml:space="preserve">SBI Mutual Fund</t>
        </is>
      </c>
      <c r="B11199" t="inlineStr">
        <is>
          <t xml:space="preserve">SBI Corporate Bond Fund - Direct Plan - Quarterly Income Distribution cum Capital Withdrawal Option (IDCW)</t>
        </is>
      </c>
      <c r="C11199" t="inlineStr">
        <is>
          <t xml:space="preserve">INF200KA1YU8</t>
        </is>
      </c>
    </row>
    <row r="11200">
      <c r="A11200" t="inlineStr">
        <is>
          <t xml:space="preserve">SBI Mutual Fund</t>
        </is>
      </c>
      <c r="B11200" t="inlineStr">
        <is>
          <t xml:space="preserve">SBI Corporate Bond Fund - Regular Plan - Growth</t>
        </is>
      </c>
      <c r="C11200" t="inlineStr">
        <is>
          <t xml:space="preserve">INF200KA1YM5</t>
        </is>
      </c>
    </row>
    <row r="11201">
      <c r="A11201" t="inlineStr">
        <is>
          <t xml:space="preserve">SBI Mutual Fund</t>
        </is>
      </c>
      <c r="B11201" t="inlineStr">
        <is>
          <t xml:space="preserve">SBI Corporate Bond Fund - Regular Plan - Monthly Income Distribution cum Capital Withdrawal Option (IDCW)</t>
        </is>
      </c>
      <c r="C11201" t="inlineStr">
        <is>
          <t xml:space="preserve">INF200KA1YN3</t>
        </is>
      </c>
    </row>
    <row r="11202">
      <c r="A11202" t="inlineStr">
        <is>
          <t xml:space="preserve">SBI Mutual Fund</t>
        </is>
      </c>
      <c r="B11202" t="inlineStr">
        <is>
          <t xml:space="preserve">SBI Corporate Bond Fund - Regular Plan - Quarterly Income Distribution cum Capital Withdrawal Option (IDCW)</t>
        </is>
      </c>
      <c r="C11202" t="inlineStr">
        <is>
          <t xml:space="preserve">INF200KA1YP8</t>
        </is>
      </c>
    </row>
    <row r="11203">
      <c r="A11203" t="inlineStr">
        <is>
          <t xml:space="preserve">SBI Mutual Fund</t>
        </is>
      </c>
      <c r="B11203" t="inlineStr">
        <is>
          <t xml:space="preserve">SBI CPSE Bond Plus SDL Sep 2026 50:50 Index Fund - Direct Plan - Growth</t>
        </is>
      </c>
      <c r="C11203" t="inlineStr">
        <is>
          <t xml:space="preserve">INF200KA13D5</t>
        </is>
      </c>
    </row>
    <row r="11204">
      <c r="A11204" t="inlineStr">
        <is>
          <t xml:space="preserve">SBI Mutual Fund</t>
        </is>
      </c>
      <c r="B11204" t="inlineStr">
        <is>
          <t xml:space="preserve">SBI CPSE Bond Plus SDL Sep 2026 50:50 Index Fund - Direct Plan - Income Distribution cum Capital Withdrawal Option (IDCW)</t>
        </is>
      </c>
      <c r="C11204" t="inlineStr">
        <is>
          <t xml:space="preserve">INF200KA14D3</t>
        </is>
      </c>
    </row>
    <row r="11205">
      <c r="A11205" t="inlineStr">
        <is>
          <t xml:space="preserve">SBI Mutual Fund</t>
        </is>
      </c>
      <c r="B11205" t="inlineStr">
        <is>
          <t xml:space="preserve">SBI CPSE Bond Plus SDL Sep 2026 50:50 Index Fund - Regular Plan - Growth</t>
        </is>
      </c>
      <c r="C11205" t="inlineStr">
        <is>
          <t xml:space="preserve">INF200KA10D1</t>
        </is>
      </c>
    </row>
    <row r="11206">
      <c r="A11206" t="inlineStr">
        <is>
          <t xml:space="preserve">SBI Mutual Fund</t>
        </is>
      </c>
      <c r="B11206" t="inlineStr">
        <is>
          <t xml:space="preserve">SBI CPSE Bond Plus SDL Sep 2026 50:50 Index Fund - Regular Plan - Income Distribution cum Capital Withdrawal Option (IDCW)</t>
        </is>
      </c>
      <c r="C11206" t="inlineStr">
        <is>
          <t xml:space="preserve">INF200KA11D9</t>
        </is>
      </c>
    </row>
    <row r="11207">
      <c r="A11207" t="inlineStr">
        <is>
          <t xml:space="preserve">SBI Mutual Fund</t>
        </is>
      </c>
      <c r="B11207" t="inlineStr">
        <is>
          <t xml:space="preserve">SBI Credit Risk Fund - Direct Plan - Daily Income Distribution cum Capital Withdrawal Option (IDCW)</t>
        </is>
      </c>
      <c r="C11207" t="inlineStr">
        <is>
          <t xml:space="preserve">INF200K01SS0</t>
        </is>
      </c>
    </row>
    <row r="11208">
      <c r="A11208" t="inlineStr">
        <is>
          <t xml:space="preserve">SBI Mutual Fund</t>
        </is>
      </c>
      <c r="B11208" t="inlineStr">
        <is>
          <t xml:space="preserve">SBI Credit Risk Fund - Direct Plan - Income Distribution cum Capital Withdrawal Option (IDCW)</t>
        </is>
      </c>
      <c r="C11208" t="inlineStr">
        <is>
          <t xml:space="preserve">INF200K01ST8</t>
        </is>
      </c>
    </row>
    <row r="11209">
      <c r="A11209" t="inlineStr">
        <is>
          <t xml:space="preserve">SBI Mutual Fund</t>
        </is>
      </c>
      <c r="B11209" t="inlineStr">
        <is>
          <t xml:space="preserve">SBI CREDIT RISK FUND - DIRECT PLAN -GROWTH</t>
        </is>
      </c>
      <c r="C11209" t="inlineStr">
        <is>
          <t xml:space="preserve">INF200K01SV4</t>
        </is>
      </c>
    </row>
    <row r="11210">
      <c r="A11210" t="inlineStr">
        <is>
          <t xml:space="preserve">SBI Mutual Fund</t>
        </is>
      </c>
      <c r="B11210" t="inlineStr">
        <is>
          <t xml:space="preserve">SBI Credit Risk Fund - Regular Plan - Daily Income Distribution cum Capital Withdrawal Option (IDCW)</t>
        </is>
      </c>
      <c r="C11210" t="inlineStr">
        <is>
          <t xml:space="preserve">INF200K01QK1</t>
        </is>
      </c>
    </row>
    <row r="11211">
      <c r="A11211" t="inlineStr">
        <is>
          <t xml:space="preserve">SBI Mutual Fund</t>
        </is>
      </c>
      <c r="B11211" t="inlineStr">
        <is>
          <t xml:space="preserve">SBI CREDIT RISK FUND - REGULAR PLAN - GROWTH</t>
        </is>
      </c>
      <c r="C11211" t="inlineStr">
        <is>
          <t xml:space="preserve">INF200K01685</t>
        </is>
      </c>
    </row>
    <row r="11212">
      <c r="A11212" t="inlineStr">
        <is>
          <t xml:space="preserve">SBI Mutual Fund</t>
        </is>
      </c>
      <c r="B11212" t="inlineStr">
        <is>
          <t xml:space="preserve">SBI Credit Risk Fund - Regular Plan - Income Distribution cum Capital Withdrawal Option (IDCW)</t>
        </is>
      </c>
      <c r="C11212" t="inlineStr">
        <is>
          <t xml:space="preserve">INF200K01693</t>
        </is>
      </c>
    </row>
    <row r="11213">
      <c r="A11213" t="inlineStr">
        <is>
          <t xml:space="preserve">SBI Mutual Fund</t>
        </is>
      </c>
      <c r="B11213" t="inlineStr">
        <is>
          <t xml:space="preserve">SBI CRISIL - IBX Financial Services 3-6 Months Debt Index Fund - Direct Plan - Growth</t>
        </is>
      </c>
      <c r="C11213" t="inlineStr">
        <is>
          <t xml:space="preserve">INF200KB1AO0</t>
        </is>
      </c>
    </row>
    <row r="11214">
      <c r="A11214" t="inlineStr">
        <is>
          <t xml:space="preserve">SBI Mutual Fund</t>
        </is>
      </c>
      <c r="B11214" t="inlineStr">
        <is>
          <t xml:space="preserve">SBI CRISIL - IBX Financial Services 3-6 Months Debt Index Fund - Direct Plan - IDCW</t>
        </is>
      </c>
      <c r="C11214" t="inlineStr">
        <is>
          <t xml:space="preserve">INF200KB1AP7</t>
        </is>
      </c>
    </row>
    <row r="11215">
      <c r="A11215" t="inlineStr">
        <is>
          <t xml:space="preserve">SBI Mutual Fund</t>
        </is>
      </c>
      <c r="B11215" t="inlineStr">
        <is>
          <t xml:space="preserve">SBI CRISIL - IBX Financial Services 3-6 Months Debt Index Fund - Regular Plan - Growth</t>
        </is>
      </c>
      <c r="C11215" t="inlineStr">
        <is>
          <t xml:space="preserve">INF200KB1AL6</t>
        </is>
      </c>
    </row>
    <row r="11216">
      <c r="A11216" t="inlineStr">
        <is>
          <t xml:space="preserve">SBI Mutual Fund</t>
        </is>
      </c>
      <c r="B11216" t="inlineStr">
        <is>
          <t xml:space="preserve">SBI CRISIL - IBX Financial Services 3-6 Months Debt Index Fund - Regular Plan - IDCW</t>
        </is>
      </c>
      <c r="C11216" t="inlineStr">
        <is>
          <t xml:space="preserve">INF200KB1AM4</t>
        </is>
      </c>
    </row>
    <row r="11217">
      <c r="A11217" t="inlineStr">
        <is>
          <t xml:space="preserve">SBI Mutual Fund</t>
        </is>
      </c>
      <c r="B11217" t="inlineStr">
        <is>
          <t xml:space="preserve">SBI CRISIL - IBX Financial Services 9-12 Months Debt Index Fund - Direct Plan - Growth</t>
        </is>
      </c>
      <c r="C11217" t="inlineStr">
        <is>
          <t xml:space="preserve">INF200KB1AU7</t>
        </is>
      </c>
    </row>
    <row r="11218">
      <c r="A11218" t="inlineStr">
        <is>
          <t xml:space="preserve">SBI Mutual Fund</t>
        </is>
      </c>
      <c r="B11218" t="inlineStr">
        <is>
          <t xml:space="preserve">SBI CRISIL - IBX Financial Services 9-12 Months Debt Index Fund - Direct Plan - IDCW</t>
        </is>
      </c>
      <c r="C11218" t="inlineStr">
        <is>
          <t xml:space="preserve">INF200KB1AV5</t>
        </is>
      </c>
    </row>
    <row r="11219">
      <c r="A11219" t="inlineStr">
        <is>
          <t xml:space="preserve">SBI Mutual Fund</t>
        </is>
      </c>
      <c r="B11219" t="inlineStr">
        <is>
          <t xml:space="preserve">SBI CRISIL - IBX Financial Services 9-12 Months Debt Index Fund - Regular Plan - Growth</t>
        </is>
      </c>
      <c r="C11219" t="inlineStr">
        <is>
          <t xml:space="preserve">INF200KB1AR3</t>
        </is>
      </c>
    </row>
    <row r="11220">
      <c r="A11220" t="inlineStr">
        <is>
          <t xml:space="preserve">SBI Mutual Fund</t>
        </is>
      </c>
      <c r="B11220" t="inlineStr">
        <is>
          <t xml:space="preserve">SBI CRISIL - IBX Financial Services 9-12 Months Debt Index Fund - Regular Plan - IDCW</t>
        </is>
      </c>
      <c r="C11220" t="inlineStr">
        <is>
          <t xml:space="preserve">INF200KB1AS1</t>
        </is>
      </c>
    </row>
    <row r="11221">
      <c r="A11221" t="inlineStr">
        <is>
          <t xml:space="preserve">SBI Mutual Fund</t>
        </is>
      </c>
      <c r="B11221" t="inlineStr">
        <is>
          <t xml:space="preserve">SBI CRISIL IBX Gilt Index - April 2029 Fund - Direct Plan - Growth</t>
        </is>
      </c>
      <c r="C11221" t="inlineStr">
        <is>
          <t xml:space="preserve">INF200KA18Q6</t>
        </is>
      </c>
    </row>
    <row r="11222">
      <c r="A11222" t="inlineStr">
        <is>
          <t xml:space="preserve">SBI Mutual Fund</t>
        </is>
      </c>
      <c r="B11222" t="inlineStr">
        <is>
          <t xml:space="preserve">SBI CRISIL IBX Gilt Index - April 2029 Fund - Direct Plan - Income Distribution cum Capital Withdrawal Option (IDCW)</t>
        </is>
      </c>
      <c r="C11222" t="inlineStr">
        <is>
          <t xml:space="preserve">INF200KA19Q4</t>
        </is>
      </c>
    </row>
    <row r="11223">
      <c r="A11223" t="inlineStr">
        <is>
          <t xml:space="preserve">SBI Mutual Fund</t>
        </is>
      </c>
      <c r="B11223" t="inlineStr">
        <is>
          <t xml:space="preserve">SBI CRISIL IBX Gilt Index - April 2029 Fund - Regular Plan - Growth</t>
        </is>
      </c>
      <c r="C11223" t="inlineStr">
        <is>
          <t xml:space="preserve">INF200KA15Q2</t>
        </is>
      </c>
    </row>
    <row r="11224">
      <c r="A11224" t="inlineStr">
        <is>
          <t xml:space="preserve">SBI Mutual Fund</t>
        </is>
      </c>
      <c r="B11224" t="inlineStr">
        <is>
          <t xml:space="preserve">SBI CRISIL IBX Gilt Index - April 2029 Fund - Regular Plan - Income Distribution cum Capital Withdrawal Option (IDCW)</t>
        </is>
      </c>
      <c r="C11224" t="inlineStr">
        <is>
          <t xml:space="preserve">INF200KA16Q0</t>
        </is>
      </c>
    </row>
    <row r="11225">
      <c r="A11225" t="inlineStr">
        <is>
          <t xml:space="preserve">SBI Mutual Fund</t>
        </is>
      </c>
      <c r="B11225" t="inlineStr">
        <is>
          <t xml:space="preserve">SBI CRISIL IBX Gilt Index - June 2036 Fund - Direct Plan - Income Distribution cum Capital Withdrawal Option (IDCW)</t>
        </is>
      </c>
      <c r="C11225" t="inlineStr">
        <is>
          <t xml:space="preserve">INF200KA13Q7</t>
        </is>
      </c>
    </row>
    <row r="11226">
      <c r="A11226" t="inlineStr">
        <is>
          <t xml:space="preserve">SBI Mutual Fund</t>
        </is>
      </c>
      <c r="B11226" t="inlineStr">
        <is>
          <t xml:space="preserve">SBI CRISIL IBX Gilt Index - June 2036 Fund - Regular Plan - Growth</t>
        </is>
      </c>
      <c r="C11226" t="inlineStr">
        <is>
          <t xml:space="preserve">INF200KA19P6</t>
        </is>
      </c>
    </row>
    <row r="11227">
      <c r="A11227" t="inlineStr">
        <is>
          <t xml:space="preserve">SBI Mutual Fund</t>
        </is>
      </c>
      <c r="B11227" t="inlineStr">
        <is>
          <t xml:space="preserve">SBI CRISIL IBX Gilt Index - June 2036 Fund - Regular Plan - Income Distribution cum Capital Withdrawal Option (IDCW)</t>
        </is>
      </c>
      <c r="C11227" t="inlineStr">
        <is>
          <t xml:space="preserve">INF200KA10Q3</t>
        </is>
      </c>
    </row>
    <row r="11228">
      <c r="A11228" t="inlineStr">
        <is>
          <t xml:space="preserve">SBI Mutual Fund</t>
        </is>
      </c>
      <c r="B11228" t="inlineStr">
        <is>
          <t xml:space="preserve">SBI CRISIL IBX SDL Index - September 2027 Fund - Direct Plan - Growth</t>
        </is>
      </c>
      <c r="C11228" t="inlineStr">
        <is>
          <t xml:space="preserve">INF200KA14R3</t>
        </is>
      </c>
    </row>
    <row r="11229">
      <c r="A11229" t="inlineStr">
        <is>
          <t xml:space="preserve">SBI Mutual Fund</t>
        </is>
      </c>
      <c r="B11229" t="inlineStr">
        <is>
          <t xml:space="preserve">SBI CRISIL IBX SDL Index - September 2027 Fund - Direct Plan - Income Distribution cum Capital Withdrawal Option (IDCW)</t>
        </is>
      </c>
      <c r="C11229" t="inlineStr">
        <is>
          <t xml:space="preserve">INF200KA15R0</t>
        </is>
      </c>
    </row>
    <row r="11230">
      <c r="A11230" t="inlineStr">
        <is>
          <t xml:space="preserve">SBI Mutual Fund</t>
        </is>
      </c>
      <c r="B11230" t="inlineStr">
        <is>
          <t xml:space="preserve">SBI CRISIL IBX SDL Index - September 2027 Fund - Regular Plan - Growth</t>
        </is>
      </c>
      <c r="C11230" t="inlineStr">
        <is>
          <t xml:space="preserve">INF200KA11R9</t>
        </is>
      </c>
    </row>
    <row r="11231">
      <c r="A11231" t="inlineStr">
        <is>
          <t xml:space="preserve">SBI Mutual Fund</t>
        </is>
      </c>
      <c r="B11231" t="inlineStr">
        <is>
          <t xml:space="preserve">SBI CRISIL IBX SDL Index - September 2027 Fund - Regular Plan - Income Distribution cum Capital Withdrawal Option (IDCW)</t>
        </is>
      </c>
      <c r="C11231" t="inlineStr">
        <is>
          <t xml:space="preserve">INF200KA12R7</t>
        </is>
      </c>
    </row>
    <row r="11232">
      <c r="A11232" t="inlineStr">
        <is>
          <t xml:space="preserve">SBI Mutual Fund</t>
        </is>
      </c>
      <c r="B11232" t="inlineStr">
        <is>
          <t xml:space="preserve">SBI CRISIL-IBX 10:90 Gilt + SDL Index - Dec 2029 Index Fund - Regular - Growth</t>
        </is>
      </c>
      <c r="C11232" t="inlineStr">
        <is>
          <t xml:space="preserve">INF200KB1BF6</t>
        </is>
      </c>
    </row>
    <row r="11233">
      <c r="A11233" t="inlineStr">
        <is>
          <t xml:space="preserve">SBI Mutual Fund</t>
        </is>
      </c>
      <c r="B11233" t="inlineStr">
        <is>
          <t xml:space="preserve">SBI CRISIL-IBX 10:90 GILT + SDL INDEX DEC 2029 INDEX FUND - DIRECT - GROWTH</t>
        </is>
      </c>
      <c r="C11233" t="inlineStr">
        <is>
          <t xml:space="preserve">INF200KB1BI0</t>
        </is>
      </c>
    </row>
    <row r="11234">
      <c r="A11234" t="inlineStr">
        <is>
          <t xml:space="preserve">SBI Mutual Fund</t>
        </is>
      </c>
      <c r="B11234" t="inlineStr">
        <is>
          <t xml:space="preserve">SBI CRISIL-IBX 10:90 GLIT + SDL INDEX DEC 2029 INDEX FUND - DIRECT IDCW</t>
        </is>
      </c>
      <c r="C11234" t="inlineStr">
        <is>
          <t xml:space="preserve">INF200KB1BJ8</t>
        </is>
      </c>
    </row>
    <row r="11235">
      <c r="A11235" t="inlineStr">
        <is>
          <t xml:space="preserve">SBI Mutual Fund</t>
        </is>
      </c>
      <c r="B11235" t="inlineStr">
        <is>
          <t xml:space="preserve">SBI CRISIL-IBX 10:90 GLIT + SDL INDEX DEC 2029 INDEX FUND - REGULAR - IDCW</t>
        </is>
      </c>
      <c r="C11235" t="inlineStr">
        <is>
          <t xml:space="preserve">INF200KB1BG4</t>
        </is>
      </c>
    </row>
    <row r="11236">
      <c r="A11236" t="inlineStr">
        <is>
          <t xml:space="preserve">SBI Mutual Fund</t>
        </is>
      </c>
      <c r="B11236" t="inlineStr">
        <is>
          <t xml:space="preserve">SBI Dividend Yield Fund - Direct Plan - Growth</t>
        </is>
      </c>
      <c r="C11236" t="inlineStr">
        <is>
          <t xml:space="preserve">INF200KA14W3</t>
        </is>
      </c>
    </row>
    <row r="11237">
      <c r="A11237" t="inlineStr">
        <is>
          <t xml:space="preserve">SBI Mutual Fund</t>
        </is>
      </c>
      <c r="B11237" t="inlineStr">
        <is>
          <t xml:space="preserve">SBI Dividend Yield Fund - Direct Plan - Income Distribution cum Capital Withdrawal (IDCW) Option</t>
        </is>
      </c>
      <c r="C11237" t="inlineStr">
        <is>
          <t xml:space="preserve">INF200KA15W0</t>
        </is>
      </c>
    </row>
    <row r="11238">
      <c r="A11238" t="inlineStr">
        <is>
          <t xml:space="preserve">SBI Mutual Fund</t>
        </is>
      </c>
      <c r="B11238" t="inlineStr">
        <is>
          <t xml:space="preserve">SBI Dividend Yield Fund - Regular Plan - Growth</t>
        </is>
      </c>
      <c r="C11238" t="inlineStr">
        <is>
          <t xml:space="preserve">INF200KA11W9</t>
        </is>
      </c>
    </row>
    <row r="11239">
      <c r="A11239" t="inlineStr">
        <is>
          <t xml:space="preserve">SBI Mutual Fund</t>
        </is>
      </c>
      <c r="B11239" t="inlineStr">
        <is>
          <t xml:space="preserve">SBI Dividend Yield Fund - Regular Plan - Income Distribution cum Capital Withdrawal (IDCW) Option</t>
        </is>
      </c>
      <c r="C11239" t="inlineStr">
        <is>
          <t xml:space="preserve">INF200KA12W7</t>
        </is>
      </c>
    </row>
    <row r="11240">
      <c r="A11240" t="inlineStr">
        <is>
          <t xml:space="preserve">SBI Mutual Fund</t>
        </is>
      </c>
      <c r="B11240" t="inlineStr">
        <is>
          <t xml:space="preserve">SBI Dynamic Asset Allocation Active FoF - Direct Plan - Growth</t>
        </is>
      </c>
      <c r="C11240" t="inlineStr">
        <is>
          <t xml:space="preserve">INF200KB1AA9</t>
        </is>
      </c>
    </row>
    <row r="11241">
      <c r="A11241" t="inlineStr">
        <is>
          <t xml:space="preserve">SBI Mutual Fund</t>
        </is>
      </c>
      <c r="B11241" t="inlineStr">
        <is>
          <t xml:space="preserve">SBI Dynamic Asset Allocation Active FoF - Regular Plan - Growth</t>
        </is>
      </c>
      <c r="C11241" t="inlineStr">
        <is>
          <t xml:space="preserve">INF200KB1977</t>
        </is>
      </c>
    </row>
    <row r="11242">
      <c r="A11242" t="inlineStr">
        <is>
          <t xml:space="preserve">SBI Mutual Fund</t>
        </is>
      </c>
      <c r="B11242" t="inlineStr">
        <is>
          <t xml:space="preserve">SBI Dynamic Asset Allocation Active FoF - Regular Plan - Income Distribution Cum Capital Withdrawal Option</t>
        </is>
      </c>
      <c r="C11242" t="inlineStr">
        <is>
          <t xml:space="preserve">INF200KB1985</t>
        </is>
      </c>
    </row>
    <row r="11243">
      <c r="A11243" t="inlineStr">
        <is>
          <t xml:space="preserve">SBI Mutual Fund</t>
        </is>
      </c>
      <c r="B11243" t="inlineStr">
        <is>
          <t xml:space="preserve">SBI Dynamic Asset Allocation Active FoF- Direct Plan- Income Cum Distribution Capital Withdrawal Option</t>
        </is>
      </c>
      <c r="C11243" t="inlineStr">
        <is>
          <t xml:space="preserve">INF200KB1AB7</t>
        </is>
      </c>
    </row>
    <row r="11244">
      <c r="A11244" t="inlineStr">
        <is>
          <t xml:space="preserve">SBI Mutual Fund</t>
        </is>
      </c>
      <c r="B11244" t="inlineStr">
        <is>
          <t xml:space="preserve">SBI Dynamic Bond Fund - DIRECT PLAN - Growth</t>
        </is>
      </c>
      <c r="C11244" t="inlineStr">
        <is>
          <t xml:space="preserve">INF200K01RD4</t>
        </is>
      </c>
    </row>
    <row r="11245">
      <c r="A11245" t="inlineStr">
        <is>
          <t xml:space="preserve">SBI Mutual Fund</t>
        </is>
      </c>
      <c r="B11245" t="inlineStr">
        <is>
          <t xml:space="preserve">SBI Dynamic Bond Fund - Direct Plan - Income Distribution cum Capital Withdrawal Option (IDCW)</t>
        </is>
      </c>
      <c r="C11245" t="inlineStr">
        <is>
          <t xml:space="preserve">INF200K01RB8</t>
        </is>
      </c>
    </row>
    <row r="11246">
      <c r="A11246" t="inlineStr">
        <is>
          <t xml:space="preserve">SBI Mutual Fund</t>
        </is>
      </c>
      <c r="B11246" t="inlineStr">
        <is>
          <t xml:space="preserve">SBI Dynamic Bond Fund - REGULAR PLAN - Growth</t>
        </is>
      </c>
      <c r="C11246" t="inlineStr">
        <is>
          <t xml:space="preserve">INF200K01958</t>
        </is>
      </c>
    </row>
    <row r="11247">
      <c r="A11247" t="inlineStr">
        <is>
          <t xml:space="preserve">SBI Mutual Fund</t>
        </is>
      </c>
      <c r="B11247" t="inlineStr">
        <is>
          <t xml:space="preserve">SBI Dynamic Bond Fund - Regular Plan - Income Distribution cum Capital Withdrawal Option (IDCW)</t>
        </is>
      </c>
      <c r="C11247" t="inlineStr">
        <is>
          <t xml:space="preserve">INF200K01966</t>
        </is>
      </c>
    </row>
    <row r="11248">
      <c r="A11248" t="inlineStr">
        <is>
          <t xml:space="preserve">SBI Mutual Fund</t>
        </is>
      </c>
      <c r="B11248" t="inlineStr">
        <is>
          <t xml:space="preserve">SBI ELSS Tax Saver Fund - Direct Plan - Income Distribution cum Capital Withdrawal Option (IDCW)</t>
        </is>
      </c>
      <c r="C11248" t="inlineStr">
        <is>
          <t xml:space="preserve">INF200K01UK3</t>
        </is>
      </c>
    </row>
    <row r="11249">
      <c r="A11249" t="inlineStr">
        <is>
          <t xml:space="preserve">SBI Mutual Fund</t>
        </is>
      </c>
      <c r="B11249" t="inlineStr">
        <is>
          <t xml:space="preserve">SBI ELSS Tax Saver FUND - DIRECT PLAN -GROWTH</t>
        </is>
      </c>
      <c r="C11249" t="inlineStr">
        <is>
          <t xml:space="preserve">INF200K01UM9</t>
        </is>
      </c>
    </row>
    <row r="11250">
      <c r="A11250" t="inlineStr">
        <is>
          <t xml:space="preserve">SBI Mutual Fund</t>
        </is>
      </c>
      <c r="B11250" t="inlineStr">
        <is>
          <t xml:space="preserve">SBI ELSS Tax Saver Fund - Regular Plan - Income Distribution cum Capital Withdrawal Option (IDCW)</t>
        </is>
      </c>
      <c r="C11250" t="inlineStr">
        <is>
          <t xml:space="preserve">INF200K01479</t>
        </is>
      </c>
    </row>
    <row r="11251">
      <c r="A11251" t="inlineStr">
        <is>
          <t xml:space="preserve">SBI Mutual Fund</t>
        </is>
      </c>
      <c r="B11251" t="inlineStr">
        <is>
          <t xml:space="preserve">SBI ELSS Tax Saver FUND - REGULAR PLAN- GROWTH</t>
        </is>
      </c>
      <c r="C11251" t="inlineStr">
        <is>
          <t xml:space="preserve">INF200K01495</t>
        </is>
      </c>
    </row>
    <row r="11252">
      <c r="A11252" t="inlineStr">
        <is>
          <t xml:space="preserve">SBI Mutual Fund</t>
        </is>
      </c>
      <c r="B11252" t="inlineStr">
        <is>
          <t xml:space="preserve">SBI Energy Opportunities Fund - Direct Plan - Growth</t>
        </is>
      </c>
      <c r="C11252" t="inlineStr">
        <is>
          <t xml:space="preserve">INF200KB1126</t>
        </is>
      </c>
    </row>
    <row r="11253">
      <c r="A11253" t="inlineStr">
        <is>
          <t xml:space="preserve">SBI Mutual Fund</t>
        </is>
      </c>
      <c r="B11253" t="inlineStr">
        <is>
          <t xml:space="preserve">SBI Energy Opportunities Fund - Direct Plan - Income Distribution Cum Capital Withdrawal Option</t>
        </is>
      </c>
      <c r="C11253" t="inlineStr">
        <is>
          <t xml:space="preserve">INF200KB1134</t>
        </is>
      </c>
    </row>
    <row r="11254">
      <c r="A11254" t="inlineStr">
        <is>
          <t xml:space="preserve">SBI Mutual Fund</t>
        </is>
      </c>
      <c r="B11254" t="inlineStr">
        <is>
          <t xml:space="preserve">SBI Energy Opportunities Fund - Regular Plan - Growth</t>
        </is>
      </c>
      <c r="C11254" t="inlineStr">
        <is>
          <t xml:space="preserve">INF200KB1092</t>
        </is>
      </c>
    </row>
    <row r="11255">
      <c r="A11255" t="inlineStr">
        <is>
          <t xml:space="preserve">SBI Mutual Fund</t>
        </is>
      </c>
      <c r="B11255" t="inlineStr">
        <is>
          <t xml:space="preserve">SBI Energy Opportunities Fund - Regular Plan - Income Distribution Cum Capital Withdrawal Option</t>
        </is>
      </c>
      <c r="C11255" t="inlineStr">
        <is>
          <t xml:space="preserve">INF200KB1100</t>
        </is>
      </c>
    </row>
    <row r="11256">
      <c r="A11256" t="inlineStr">
        <is>
          <t xml:space="preserve">SBI Mutual Fund</t>
        </is>
      </c>
      <c r="B11256" t="inlineStr">
        <is>
          <t xml:space="preserve">SBI EQUITY HYBRID FUND - DIRECT PLAN - Growth</t>
        </is>
      </c>
      <c r="C11256" t="inlineStr">
        <is>
          <t xml:space="preserve">INF200K01RY0</t>
        </is>
      </c>
    </row>
    <row r="11257">
      <c r="A11257" t="inlineStr">
        <is>
          <t xml:space="preserve">SBI Mutual Fund</t>
        </is>
      </c>
      <c r="B11257" t="inlineStr">
        <is>
          <t xml:space="preserve">SBI Equity Hybrid Fund - Direct Plan - Income Distribution cum Capital Withdrawal Option (IDCW)</t>
        </is>
      </c>
      <c r="C11257" t="inlineStr">
        <is>
          <t xml:space="preserve">INF200K01RW4</t>
        </is>
      </c>
    </row>
    <row r="11258">
      <c r="A11258" t="inlineStr">
        <is>
          <t xml:space="preserve">SBI Mutual Fund</t>
        </is>
      </c>
      <c r="B11258" t="inlineStr">
        <is>
          <t xml:space="preserve">SBI Equity Hybrid Fund - Regular Plan - Income Distribution cum Capital Withdrawal Option (IDCW)</t>
        </is>
      </c>
      <c r="C11258" t="inlineStr">
        <is>
          <t xml:space="preserve">INF200K01115</t>
        </is>
      </c>
    </row>
    <row r="11259">
      <c r="A11259" t="inlineStr">
        <is>
          <t xml:space="preserve">SBI Mutual Fund</t>
        </is>
      </c>
      <c r="B11259" t="inlineStr">
        <is>
          <t xml:space="preserve">SBI EQUITY HYBRID FUND - REGULAR PLAN -Growth</t>
        </is>
      </c>
      <c r="C11259" t="inlineStr">
        <is>
          <t xml:space="preserve">INF200K01107</t>
        </is>
      </c>
    </row>
    <row r="11260">
      <c r="A11260" t="inlineStr">
        <is>
          <t xml:space="preserve">SBI Mutual Fund</t>
        </is>
      </c>
      <c r="B11260" t="inlineStr">
        <is>
          <t xml:space="preserve">SBI Equity Minimum Variance Fund - Direct Plan - Growth</t>
        </is>
      </c>
      <c r="C11260" t="inlineStr">
        <is>
          <t xml:space="preserve">INF200KA1A71</t>
        </is>
      </c>
    </row>
    <row r="11261">
      <c r="A11261" t="inlineStr">
        <is>
          <t xml:space="preserve">SBI Mutual Fund</t>
        </is>
      </c>
      <c r="B11261" t="inlineStr">
        <is>
          <t xml:space="preserve">SBI Equity Minimum Variance Fund - Direct Plan - Income Distribution cum Capital Withdrawal Option (IDCW)</t>
        </is>
      </c>
      <c r="C11261" t="inlineStr">
        <is>
          <t xml:space="preserve">INF200KA1A89</t>
        </is>
      </c>
    </row>
    <row r="11262">
      <c r="A11262" t="inlineStr">
        <is>
          <t xml:space="preserve">SBI Mutual Fund</t>
        </is>
      </c>
      <c r="B11262" t="inlineStr">
        <is>
          <t xml:space="preserve">SBI Equity Minimum Variance Fund - Regular Plan - Growth</t>
        </is>
      </c>
      <c r="C11262" t="inlineStr">
        <is>
          <t xml:space="preserve">INF200KA1A48</t>
        </is>
      </c>
    </row>
    <row r="11263">
      <c r="A11263" t="inlineStr">
        <is>
          <t xml:space="preserve">SBI Mutual Fund</t>
        </is>
      </c>
      <c r="B11263" t="inlineStr">
        <is>
          <t xml:space="preserve">SBI Equity Minimum Variance Fund - Regular Plan - Income Distribution cum Capital Withdrawal Option (IDCW)</t>
        </is>
      </c>
      <c r="C11263" t="inlineStr">
        <is>
          <t xml:space="preserve">INF200KA1A55</t>
        </is>
      </c>
    </row>
    <row r="11264">
      <c r="A11264" t="inlineStr">
        <is>
          <t xml:space="preserve">SBI Mutual Fund</t>
        </is>
      </c>
      <c r="B11264" t="inlineStr">
        <is>
          <t xml:space="preserve">SBI Equity Savings Fund - Direct Plan - Growth</t>
        </is>
      </c>
      <c r="C11264" t="inlineStr">
        <is>
          <t xml:space="preserve">INF200KA1DF3</t>
        </is>
      </c>
    </row>
    <row r="11265">
      <c r="A11265" t="inlineStr">
        <is>
          <t xml:space="preserve">SBI Mutual Fund</t>
        </is>
      </c>
      <c r="B11265" t="inlineStr">
        <is>
          <t xml:space="preserve">SBI Equity Savings Fund - Direct Plan - Monthly Income Distribution cum Capital Withdrawal Option (IDCW)</t>
        </is>
      </c>
      <c r="C11265" t="inlineStr">
        <is>
          <t xml:space="preserve">INF200KA1DG1</t>
        </is>
      </c>
    </row>
    <row r="11266">
      <c r="A11266" t="inlineStr">
        <is>
          <t xml:space="preserve">SBI Mutual Fund</t>
        </is>
      </c>
      <c r="B11266" t="inlineStr">
        <is>
          <t xml:space="preserve">SBI Equity Savings Fund - Direct Plan - Quarterly Income Distribution cum Capital Withdrawal Option (IDCW)</t>
        </is>
      </c>
      <c r="C11266" t="inlineStr">
        <is>
          <t xml:space="preserve">INF200KA1DI7</t>
        </is>
      </c>
    </row>
    <row r="11267">
      <c r="A11267" t="inlineStr">
        <is>
          <t xml:space="preserve">SBI Mutual Fund</t>
        </is>
      </c>
      <c r="B11267" t="inlineStr">
        <is>
          <t xml:space="preserve">SBI Equity Savings Fund - Regular Plan - Growth</t>
        </is>
      </c>
      <c r="C11267" t="inlineStr">
        <is>
          <t xml:space="preserve">INF200KA1DA4</t>
        </is>
      </c>
    </row>
    <row r="11268">
      <c r="A11268" t="inlineStr">
        <is>
          <t xml:space="preserve">SBI Mutual Fund</t>
        </is>
      </c>
      <c r="B11268" t="inlineStr">
        <is>
          <t xml:space="preserve">SBI Equity Savings Fund - Regular Plan - Monthly Income Distribution cum Capital Withdrawal Option (IDCW)</t>
        </is>
      </c>
      <c r="C11268" t="inlineStr">
        <is>
          <t xml:space="preserve">INF200KA1DB2</t>
        </is>
      </c>
    </row>
    <row r="11269">
      <c r="A11269" t="inlineStr">
        <is>
          <t xml:space="preserve">SBI Mutual Fund</t>
        </is>
      </c>
      <c r="B11269" t="inlineStr">
        <is>
          <t xml:space="preserve">SBI Equity Savings Fund - Regular Plan - Quarterly Income Distribution cum Capital Withdrawal Option (IDCW)</t>
        </is>
      </c>
      <c r="C11269" t="inlineStr">
        <is>
          <t xml:space="preserve">INF200KA1DD8</t>
        </is>
      </c>
    </row>
    <row r="11270">
      <c r="A11270" t="inlineStr">
        <is>
          <t xml:space="preserve">SBI Mutual Fund</t>
        </is>
      </c>
      <c r="B11270" t="inlineStr">
        <is>
          <t xml:space="preserve">SBI ESG Exclusionary Strategy Fund - Direct Plan - Income Distribution cum Capital Withdrawal Option (IDCW)</t>
        </is>
      </c>
      <c r="C11270" t="inlineStr">
        <is>
          <t xml:space="preserve">INF200K01SC4</t>
        </is>
      </c>
    </row>
    <row r="11271">
      <c r="A11271" t="inlineStr">
        <is>
          <t xml:space="preserve">SBI Mutual Fund</t>
        </is>
      </c>
      <c r="B11271" t="inlineStr">
        <is>
          <t xml:space="preserve">SBI ESG Exclusionary Strategy Fund - Direct Plan -Growth</t>
        </is>
      </c>
      <c r="C11271" t="inlineStr">
        <is>
          <t xml:space="preserve">INF200K01SE0</t>
        </is>
      </c>
    </row>
    <row r="11272">
      <c r="A11272" t="inlineStr">
        <is>
          <t xml:space="preserve">SBI Mutual Fund</t>
        </is>
      </c>
      <c r="B11272" t="inlineStr">
        <is>
          <t xml:space="preserve">SBI ESG Exclusionary Strategy Fund - Regular Plan - Growth</t>
        </is>
      </c>
      <c r="C11272" t="inlineStr">
        <is>
          <t xml:space="preserve">INF200K01214</t>
        </is>
      </c>
    </row>
    <row r="11273">
      <c r="A11273" t="inlineStr">
        <is>
          <t xml:space="preserve">SBI Mutual Fund</t>
        </is>
      </c>
      <c r="B11273" t="inlineStr">
        <is>
          <t xml:space="preserve">SBI ESG Exclusionary Strategy Fund - Regular Plan - Income Distribution cum Capital Withdrawal Option (IDCW)</t>
        </is>
      </c>
      <c r="C11273" t="inlineStr">
        <is>
          <t xml:space="preserve">INF200K01198</t>
        </is>
      </c>
    </row>
    <row r="11274">
      <c r="A11274" t="inlineStr">
        <is>
          <t xml:space="preserve">SBI Mutual Fund</t>
        </is>
      </c>
      <c r="B11274" t="inlineStr">
        <is>
          <t xml:space="preserve">SBI Fixed Maturity Plan (FMP) - Series 1 (3668 Days) - Direct Plan - Growth</t>
        </is>
      </c>
      <c r="C11274" t="inlineStr">
        <is>
          <t xml:space="preserve">INF200KA1D03</t>
        </is>
      </c>
    </row>
    <row r="11275">
      <c r="A11275" t="inlineStr">
        <is>
          <t xml:space="preserve">SBI Mutual Fund</t>
        </is>
      </c>
      <c r="B11275" t="inlineStr">
        <is>
          <t xml:space="preserve">SBI Fixed Maturity Plan (FMP) - Series 1 (3668 Days) - Direct Plan - Income Distribution cum Capital Withdrawal Option (IDCW)</t>
        </is>
      </c>
      <c r="C11275" t="inlineStr">
        <is>
          <t xml:space="preserve">INF200KA1D11</t>
        </is>
      </c>
    </row>
    <row r="11276">
      <c r="A11276" t="inlineStr">
        <is>
          <t xml:space="preserve">SBI Mutual Fund</t>
        </is>
      </c>
      <c r="B11276" t="inlineStr">
        <is>
          <t xml:space="preserve">SBI Fixed Maturity Plan (FMP) - Series 1 (3668 Days) - Regular Plan - Growth</t>
        </is>
      </c>
      <c r="C11276" t="inlineStr">
        <is>
          <t xml:space="preserve">INF200KA1C87</t>
        </is>
      </c>
    </row>
    <row r="11277">
      <c r="A11277" t="inlineStr">
        <is>
          <t xml:space="preserve">SBI Mutual Fund</t>
        </is>
      </c>
      <c r="B11277" t="inlineStr">
        <is>
          <t xml:space="preserve">SBI Fixed Maturity Plan (FMP) - Series 1 (3668 Days) - Regular Plan - Income Distribution cum Capital Withdrawal Option (IDCW)</t>
        </is>
      </c>
      <c r="C11277" t="inlineStr">
        <is>
          <t xml:space="preserve">INF200KA1C95</t>
        </is>
      </c>
    </row>
    <row r="11278">
      <c r="A11278" t="inlineStr">
        <is>
          <t xml:space="preserve">SBI Mutual Fund</t>
        </is>
      </c>
      <c r="B11278" t="inlineStr">
        <is>
          <t xml:space="preserve">SBI Fixed Maturity Plan (FMP) - Series 34 (3682 Days) - Direct Plan - Growth</t>
        </is>
      </c>
      <c r="C11278" t="inlineStr">
        <is>
          <t xml:space="preserve">INF200KA1Q73</t>
        </is>
      </c>
    </row>
    <row r="11279">
      <c r="A11279" t="inlineStr">
        <is>
          <t xml:space="preserve">SBI Mutual Fund</t>
        </is>
      </c>
      <c r="B11279" t="inlineStr">
        <is>
          <t xml:space="preserve">SBI Fixed Maturity Plan (FMP) - Series 34 (3682 Days) - Direct Plan - Income Distribution cum Capital Withdrawal Option (IDCW)</t>
        </is>
      </c>
      <c r="C11279" t="inlineStr">
        <is>
          <t xml:space="preserve">INF200KA1Q81</t>
        </is>
      </c>
    </row>
    <row r="11280">
      <c r="A11280" t="inlineStr">
        <is>
          <t xml:space="preserve">SBI Mutual Fund</t>
        </is>
      </c>
      <c r="B11280" t="inlineStr">
        <is>
          <t xml:space="preserve">SBI Fixed Maturity Plan (FMP) - Series 34 (3682 Days) - Regular Plan - Growth</t>
        </is>
      </c>
      <c r="C11280" t="inlineStr">
        <is>
          <t xml:space="preserve">INF200KA1Q57</t>
        </is>
      </c>
    </row>
    <row r="11281">
      <c r="A11281" t="inlineStr">
        <is>
          <t xml:space="preserve">SBI Mutual Fund</t>
        </is>
      </c>
      <c r="B11281" t="inlineStr">
        <is>
          <t xml:space="preserve">SBI Fixed Maturity Plan (FMP) - Series 34 (3682 Days) - Regular Plan - Income Distribution cum Capital Withdrawal Option (IDCW)</t>
        </is>
      </c>
      <c r="C11281" t="inlineStr">
        <is>
          <t xml:space="preserve">INF200KA1Q65</t>
        </is>
      </c>
    </row>
    <row r="11282">
      <c r="A11282" t="inlineStr">
        <is>
          <t xml:space="preserve">SBI Mutual Fund</t>
        </is>
      </c>
      <c r="B11282" t="inlineStr">
        <is>
          <t xml:space="preserve">SBI Fixed Maturity Plan (FMP) - Series 42 (1857 Days) Direct Plan - Income Distribution cum Capital Withdrawal Option (IDCW)</t>
        </is>
      </c>
      <c r="C11282" t="inlineStr">
        <is>
          <t xml:space="preserve">INF200KA1V27</t>
        </is>
      </c>
    </row>
    <row r="11283">
      <c r="A11283" t="inlineStr">
        <is>
          <t xml:space="preserve">SBI Mutual Fund</t>
        </is>
      </c>
      <c r="B11283" t="inlineStr">
        <is>
          <t xml:space="preserve">SBI Fixed Maturity Plan (FMP) - Series 42 (1857 Days) Regular Plan - Income Distribution cum Capital Withdrawal Option (IDCW)</t>
        </is>
      </c>
      <c r="C11283" t="inlineStr">
        <is>
          <t xml:space="preserve">INF200KA1V01</t>
        </is>
      </c>
    </row>
    <row r="11284">
      <c r="A11284" t="inlineStr">
        <is>
          <t xml:space="preserve">SBI Mutual Fund</t>
        </is>
      </c>
      <c r="B11284" t="inlineStr">
        <is>
          <t xml:space="preserve">SBI Fixed Maturity Plan (FMP) - Series 44 (1855 Days) - Direct Plan - Growth</t>
        </is>
      </c>
      <c r="C11284" t="inlineStr">
        <is>
          <t xml:space="preserve">INF200KA1W59</t>
        </is>
      </c>
    </row>
    <row r="11285">
      <c r="A11285" t="inlineStr">
        <is>
          <t xml:space="preserve">SBI Mutual Fund</t>
        </is>
      </c>
      <c r="B11285" t="inlineStr">
        <is>
          <t xml:space="preserve">SBI Fixed Maturity Plan (FMP) - Series 44 (1855 Days) - Direct Plan - Income Distribution cum Capital Withdrawal Option (IDCW)</t>
        </is>
      </c>
      <c r="C11285" t="inlineStr">
        <is>
          <t xml:space="preserve">INF200KA1W67</t>
        </is>
      </c>
    </row>
    <row r="11286">
      <c r="A11286" t="inlineStr">
        <is>
          <t xml:space="preserve">SBI Mutual Fund</t>
        </is>
      </c>
      <c r="B11286" t="inlineStr">
        <is>
          <t xml:space="preserve">SBI Fixed Maturity Plan (FMP) - Series 44 (1855 Days) - Regular Plan - Growth</t>
        </is>
      </c>
      <c r="C11286" t="inlineStr">
        <is>
          <t xml:space="preserve">INF200KA1W34</t>
        </is>
      </c>
    </row>
    <row r="11287">
      <c r="A11287" t="inlineStr">
        <is>
          <t xml:space="preserve">SBI Mutual Fund</t>
        </is>
      </c>
      <c r="B11287" t="inlineStr">
        <is>
          <t xml:space="preserve">SBI Fixed Maturity Plan (FMP) - Series 46 (1850 Days) - Direct Plan - Growth</t>
        </is>
      </c>
      <c r="C11287" t="inlineStr">
        <is>
          <t xml:space="preserve">INF200KA1X41</t>
        </is>
      </c>
    </row>
    <row r="11288">
      <c r="A11288" t="inlineStr">
        <is>
          <t xml:space="preserve">SBI Mutual Fund</t>
        </is>
      </c>
      <c r="B11288" t="inlineStr">
        <is>
          <t xml:space="preserve">SBI Fixed Maturity Plan (FMP) - Series 46 (1850 Days) - Direct Plan - Income Distribution cum Capital Withdrawal Option (IDCW)</t>
        </is>
      </c>
      <c r="C11288" t="inlineStr">
        <is>
          <t xml:space="preserve">INF200KA1X58</t>
        </is>
      </c>
    </row>
    <row r="11289">
      <c r="A11289" t="inlineStr">
        <is>
          <t xml:space="preserve">SBI Mutual Fund</t>
        </is>
      </c>
      <c r="B11289" t="inlineStr">
        <is>
          <t xml:space="preserve">SBI Fixed Maturity Plan (FMP) - Series 46 (1850 Days) - Regular Plan - Growth</t>
        </is>
      </c>
      <c r="C11289" t="inlineStr">
        <is>
          <t xml:space="preserve">INF200KA1X25</t>
        </is>
      </c>
    </row>
    <row r="11290">
      <c r="A11290" t="inlineStr">
        <is>
          <t xml:space="preserve">SBI Mutual Fund</t>
        </is>
      </c>
      <c r="B11290" t="inlineStr">
        <is>
          <t xml:space="preserve">SBI Fixed Maturity Plan (FMP) - Series 46 (1850 Days) - Regular Plan - Income Distribution cum Capital Withdrawal Option (IDCW)</t>
        </is>
      </c>
      <c r="C11290" t="inlineStr">
        <is>
          <t xml:space="preserve">INF200KA1X33</t>
        </is>
      </c>
    </row>
    <row r="11291">
      <c r="A11291" t="inlineStr">
        <is>
          <t xml:space="preserve">SBI Mutual Fund</t>
        </is>
      </c>
      <c r="B11291" t="inlineStr">
        <is>
          <t xml:space="preserve">SBI Fixed Maturity Plan (FMP) - Series 49 (1823 Days) - Direct Plan - Growth</t>
        </is>
      </c>
      <c r="C11291" t="inlineStr">
        <is>
          <t xml:space="preserve">INF200KA1Z23</t>
        </is>
      </c>
    </row>
    <row r="11292">
      <c r="A11292" t="inlineStr">
        <is>
          <t xml:space="preserve">SBI Mutual Fund</t>
        </is>
      </c>
      <c r="B11292" t="inlineStr">
        <is>
          <t xml:space="preserve">SBI Fixed Maturity Plan (FMP) - Series 49 (1823 Days) - Direct Plan - Income Distribution cum Capital Withdrawal Option (IDCW)</t>
        </is>
      </c>
      <c r="C11292" t="inlineStr">
        <is>
          <t xml:space="preserve">INF200KA1Z31</t>
        </is>
      </c>
    </row>
    <row r="11293">
      <c r="A11293" t="inlineStr">
        <is>
          <t xml:space="preserve">SBI Mutual Fund</t>
        </is>
      </c>
      <c r="B11293" t="inlineStr">
        <is>
          <t xml:space="preserve">SBI Fixed Maturity Plan (FMP) - Series 49 (1823 Days) - Regular Plan - Growth</t>
        </is>
      </c>
      <c r="C11293" t="inlineStr">
        <is>
          <t xml:space="preserve">INF200KA1Z07</t>
        </is>
      </c>
    </row>
    <row r="11294">
      <c r="A11294" t="inlineStr">
        <is>
          <t xml:space="preserve">SBI Mutual Fund</t>
        </is>
      </c>
      <c r="B11294" t="inlineStr">
        <is>
          <t xml:space="preserve">SBI Fixed Maturity Plan (FMP) - Series 49 (1823 Days) - Regular Plan - Income Distribution cum Capital Withdrawal Option (IDCW)</t>
        </is>
      </c>
      <c r="C11294" t="inlineStr">
        <is>
          <t xml:space="preserve">INF200KA1Z15</t>
        </is>
      </c>
    </row>
    <row r="11295">
      <c r="A11295" t="inlineStr">
        <is>
          <t xml:space="preserve">SBI Mutual Fund</t>
        </is>
      </c>
      <c r="B11295" t="inlineStr">
        <is>
          <t xml:space="preserve">SBI Fixed Maturity Plan (FMP) - Series 50 (1843 Days) - Direct Plan - Growth</t>
        </is>
      </c>
      <c r="C11295" t="inlineStr">
        <is>
          <t xml:space="preserve">INF200KA1Z64</t>
        </is>
      </c>
    </row>
    <row r="11296">
      <c r="A11296" t="inlineStr">
        <is>
          <t xml:space="preserve">SBI Mutual Fund</t>
        </is>
      </c>
      <c r="B11296" t="inlineStr">
        <is>
          <t xml:space="preserve">SBI Fixed Maturity Plan (FMP) - Series 50 (1843 Days) - Direct Plan - Income Distribution Capital Withdrawal Option (IDCW)</t>
        </is>
      </c>
      <c r="C11296" t="inlineStr">
        <is>
          <t xml:space="preserve">INF200KA1Z72</t>
        </is>
      </c>
    </row>
    <row r="11297">
      <c r="A11297" t="inlineStr">
        <is>
          <t xml:space="preserve">SBI Mutual Fund</t>
        </is>
      </c>
      <c r="B11297" t="inlineStr">
        <is>
          <t xml:space="preserve">SBI Fixed Maturity Plan (FMP) - Series 50 (1843 Days) - Regular Plan - Growth</t>
        </is>
      </c>
      <c r="C11297" t="inlineStr">
        <is>
          <t xml:space="preserve">INF200KA1Z49</t>
        </is>
      </c>
    </row>
    <row r="11298">
      <c r="A11298" t="inlineStr">
        <is>
          <t xml:space="preserve">SBI Mutual Fund</t>
        </is>
      </c>
      <c r="B11298" t="inlineStr">
        <is>
          <t xml:space="preserve">SBI Fixed Maturity Plan (FMP) - Series 50 (1843 Days) - Regular Plan -Income Distribution Capital Withdrawal Option (IDCW)</t>
        </is>
      </c>
      <c r="C11298" t="inlineStr">
        <is>
          <t xml:space="preserve">INF200KA1Z56</t>
        </is>
      </c>
    </row>
    <row r="11299">
      <c r="A11299" t="inlineStr">
        <is>
          <t xml:space="preserve">SBI Mutual Fund</t>
        </is>
      </c>
      <c r="B11299" t="inlineStr">
        <is>
          <t xml:space="preserve">SBI Fixed Maturity Plan (FMP) - Series 51 (1846 Days) - Direct Plan - Growth</t>
        </is>
      </c>
      <c r="C11299" t="inlineStr">
        <is>
          <t xml:space="preserve">INF200KA10A7</t>
        </is>
      </c>
    </row>
    <row r="11300">
      <c r="A11300" t="inlineStr">
        <is>
          <t xml:space="preserve">SBI Mutual Fund</t>
        </is>
      </c>
      <c r="B11300" t="inlineStr">
        <is>
          <t xml:space="preserve">SBI Fixed Maturity Plan (FMP) - Series 51 (1846 Days) - Direct Plan - Income Distribution Capital Withdrawal Option (IDCW)</t>
        </is>
      </c>
      <c r="C11300" t="inlineStr">
        <is>
          <t xml:space="preserve">INF200KA11A5</t>
        </is>
      </c>
    </row>
    <row r="11301">
      <c r="A11301" t="inlineStr">
        <is>
          <t xml:space="preserve">SBI Mutual Fund</t>
        </is>
      </c>
      <c r="B11301" t="inlineStr">
        <is>
          <t xml:space="preserve">SBI Fixed Maturity Plan (FMP) - Series 51 (1846 Days) - Regular Plan - Growth</t>
        </is>
      </c>
      <c r="C11301" t="inlineStr">
        <is>
          <t xml:space="preserve">INF200KA1Z80</t>
        </is>
      </c>
    </row>
    <row r="11302">
      <c r="A11302" t="inlineStr">
        <is>
          <t xml:space="preserve">SBI Mutual Fund</t>
        </is>
      </c>
      <c r="B11302" t="inlineStr">
        <is>
          <t xml:space="preserve">SBI Fixed Maturity Plan (FMP) - Series 51 (1846 Days) - Regular Plan - Income Distribution Capital Withdrawal Option (IDCW)</t>
        </is>
      </c>
      <c r="C11302" t="inlineStr">
        <is>
          <t xml:space="preserve">INF200KA1Z98</t>
        </is>
      </c>
    </row>
    <row r="11303">
      <c r="A11303" t="inlineStr">
        <is>
          <t xml:space="preserve">SBI Mutual Fund</t>
        </is>
      </c>
      <c r="B11303" t="inlineStr">
        <is>
          <t xml:space="preserve">SBI Fixed Maturity Plan (FMP) - Series 52 (1848 Days) - Direct Plan - Growth</t>
        </is>
      </c>
      <c r="C11303" t="inlineStr">
        <is>
          <t xml:space="preserve">INF200KA14A9</t>
        </is>
      </c>
    </row>
    <row r="11304">
      <c r="A11304" t="inlineStr">
        <is>
          <t xml:space="preserve">SBI Mutual Fund</t>
        </is>
      </c>
      <c r="B11304" t="inlineStr">
        <is>
          <t xml:space="preserve">SBI Fixed Maturity Plan (FMP) - Series 52 (1848 Days) - Direct Plan - Income Distribution Cum Withdrawal (IDCW)</t>
        </is>
      </c>
      <c r="C11304" t="inlineStr">
        <is>
          <t xml:space="preserve">INF200KA15A6</t>
        </is>
      </c>
    </row>
    <row r="11305">
      <c r="A11305" t="inlineStr">
        <is>
          <t xml:space="preserve">SBI Mutual Fund</t>
        </is>
      </c>
      <c r="B11305" t="inlineStr">
        <is>
          <t xml:space="preserve">SBI Fixed Maturity Plan (FMP) - Series 52 (1848 Days) - Regular Plan - Growth</t>
        </is>
      </c>
      <c r="C11305" t="inlineStr">
        <is>
          <t xml:space="preserve">INF200KA12A3</t>
        </is>
      </c>
    </row>
    <row r="11306">
      <c r="A11306" t="inlineStr">
        <is>
          <t xml:space="preserve">SBI Mutual Fund</t>
        </is>
      </c>
      <c r="B11306" t="inlineStr">
        <is>
          <t xml:space="preserve">SBI Fixed Maturity Plan (FMP) - Series 52 (1848 Days) - Regular Plan - Income Distribution Cum Withdrawal (IDCW)</t>
        </is>
      </c>
      <c r="C11306" t="inlineStr">
        <is>
          <t xml:space="preserve">INF200KA13A1</t>
        </is>
      </c>
    </row>
    <row r="11307">
      <c r="A11307" t="inlineStr">
        <is>
          <t xml:space="preserve">SBI Mutual Fund</t>
        </is>
      </c>
      <c r="B11307" t="inlineStr">
        <is>
          <t xml:space="preserve">SBI Fixed Maturity Plan (FMP) - Series 53 (1839 Days) - Direct Plan - Growth</t>
        </is>
      </c>
      <c r="C11307" t="inlineStr">
        <is>
          <t xml:space="preserve">INF200KA18A0</t>
        </is>
      </c>
    </row>
    <row r="11308">
      <c r="A11308" t="inlineStr">
        <is>
          <t xml:space="preserve">SBI Mutual Fund</t>
        </is>
      </c>
      <c r="B11308" t="inlineStr">
        <is>
          <t xml:space="preserve">SBI Fixed Maturity Plan (FMP) - Series 53 (1839 Days) - Direct Plan - Income Distribution Cum Withdrawal Option (IDCW)</t>
        </is>
      </c>
      <c r="C11308" t="inlineStr">
        <is>
          <t xml:space="preserve">INF200KA19A8</t>
        </is>
      </c>
    </row>
    <row r="11309">
      <c r="A11309" t="inlineStr">
        <is>
          <t xml:space="preserve">SBI Mutual Fund</t>
        </is>
      </c>
      <c r="B11309" t="inlineStr">
        <is>
          <t xml:space="preserve">SBI Fixed Maturity Plan (FMP) - Series 53 (1839 Days) - Regular Plan - Growth</t>
        </is>
      </c>
      <c r="C11309" t="inlineStr">
        <is>
          <t xml:space="preserve">INF200KA16A4</t>
        </is>
      </c>
    </row>
    <row r="11310">
      <c r="A11310" t="inlineStr">
        <is>
          <t xml:space="preserve">SBI Mutual Fund</t>
        </is>
      </c>
      <c r="B11310" t="inlineStr">
        <is>
          <t xml:space="preserve">SBI Fixed Maturity Plan (FMP) - Series 53 (1839 Days) - Regular Plan - Income  Distribution Cum Withdrawal Option (IDCW)</t>
        </is>
      </c>
      <c r="C11310" t="inlineStr">
        <is>
          <t xml:space="preserve">INF200KA17A2</t>
        </is>
      </c>
    </row>
    <row r="11311">
      <c r="A11311" t="inlineStr">
        <is>
          <t xml:space="preserve">SBI Mutual Fund</t>
        </is>
      </c>
      <c r="B11311" t="inlineStr">
        <is>
          <t xml:space="preserve">SBI Fixed Maturity Plan (FMP) - Series 54 (1842 Days) - Direct Plan - Growth</t>
        </is>
      </c>
      <c r="C11311" t="inlineStr">
        <is>
          <t xml:space="preserve">INF200KA12B1</t>
        </is>
      </c>
    </row>
    <row r="11312">
      <c r="A11312" t="inlineStr">
        <is>
          <t xml:space="preserve">SBI Mutual Fund</t>
        </is>
      </c>
      <c r="B11312" t="inlineStr">
        <is>
          <t xml:space="preserve">SBI Fixed Maturity Plan (FMP) - Series 54 (1842 Days) - Direct Plan - Income Distribution Cum Withdrawal Option (IDCW)</t>
        </is>
      </c>
      <c r="C11312" t="inlineStr">
        <is>
          <t xml:space="preserve">INF200KA13B9</t>
        </is>
      </c>
    </row>
    <row r="11313">
      <c r="A11313" t="inlineStr">
        <is>
          <t xml:space="preserve">SBI Mutual Fund</t>
        </is>
      </c>
      <c r="B11313" t="inlineStr">
        <is>
          <t xml:space="preserve">SBI Fixed Maturity Plan (FMP) - Series 54 (1842 Days) - Regular Plan - Growth</t>
        </is>
      </c>
      <c r="C11313" t="inlineStr">
        <is>
          <t xml:space="preserve">INF200KA10B5</t>
        </is>
      </c>
    </row>
    <row r="11314">
      <c r="A11314" t="inlineStr">
        <is>
          <t xml:space="preserve">SBI Mutual Fund</t>
        </is>
      </c>
      <c r="B11314" t="inlineStr">
        <is>
          <t xml:space="preserve">SBI Fixed Maturity Plan (FMP) - Series 54 (1842 Days) - Regular Plan - Income Distribution Cum Capital Withdrawal Option (IDCW)</t>
        </is>
      </c>
      <c r="C11314" t="inlineStr">
        <is>
          <t xml:space="preserve">INF200KA11B3</t>
        </is>
      </c>
    </row>
    <row r="11315">
      <c r="A11315" t="inlineStr">
        <is>
          <t xml:space="preserve">SBI Mutual Fund</t>
        </is>
      </c>
      <c r="B11315" t="inlineStr">
        <is>
          <t xml:space="preserve">SBI Fixed Maturity Plan (FMP) - Series 55 (1849 Days) - Direct Plan - Growth</t>
        </is>
      </c>
      <c r="C11315" t="inlineStr">
        <is>
          <t xml:space="preserve">INF200KA16B2</t>
        </is>
      </c>
    </row>
    <row r="11316">
      <c r="A11316" t="inlineStr">
        <is>
          <t xml:space="preserve">SBI Mutual Fund</t>
        </is>
      </c>
      <c r="B11316" t="inlineStr">
        <is>
          <t xml:space="preserve">SBI Fixed Maturity Plan (FMP) - Series 55 (1849 Days) - Direct Plan - Income Distribution cum Capital Withdrawal Option (IDCW)</t>
        </is>
      </c>
      <c r="C11316" t="inlineStr">
        <is>
          <t xml:space="preserve">INF200KA17B0</t>
        </is>
      </c>
    </row>
    <row r="11317">
      <c r="A11317" t="inlineStr">
        <is>
          <t xml:space="preserve">SBI Mutual Fund</t>
        </is>
      </c>
      <c r="B11317" t="inlineStr">
        <is>
          <t xml:space="preserve">SBI Fixed Maturity Plan (FMP) - Series 55 (1849 Days) - Regular Plan - Growth</t>
        </is>
      </c>
      <c r="C11317" t="inlineStr">
        <is>
          <t xml:space="preserve">INF200KA14B7</t>
        </is>
      </c>
    </row>
    <row r="11318">
      <c r="A11318" t="inlineStr">
        <is>
          <t xml:space="preserve">SBI Mutual Fund</t>
        </is>
      </c>
      <c r="B11318" t="inlineStr">
        <is>
          <t xml:space="preserve">SBI Fixed Maturity Plan (FMP) - Series 55 (1849 Days) - Regular Plan - Income Distribution Cum Capital Withdrawal Option (IDCW)</t>
        </is>
      </c>
      <c r="C11318" t="inlineStr">
        <is>
          <t xml:space="preserve">INF200KA15B4</t>
        </is>
      </c>
    </row>
    <row r="11319">
      <c r="A11319" t="inlineStr">
        <is>
          <t xml:space="preserve">SBI Mutual Fund</t>
        </is>
      </c>
      <c r="B11319" t="inlineStr">
        <is>
          <t xml:space="preserve">SBI Fixed Maturity Plan (FMP) - Series 57 (1835 Days) - Direct Plan - Growth</t>
        </is>
      </c>
      <c r="C11319" t="inlineStr">
        <is>
          <t xml:space="preserve">INF200KA14C5</t>
        </is>
      </c>
    </row>
    <row r="11320">
      <c r="A11320" t="inlineStr">
        <is>
          <t xml:space="preserve">SBI Mutual Fund</t>
        </is>
      </c>
      <c r="B11320" t="inlineStr">
        <is>
          <t xml:space="preserve">SBI Fixed Maturity Plan (FMP) - Series 57 (1835 Days) - Direct Plan - Income Distribution cum Capital Withdrawal Option (IDCW)</t>
        </is>
      </c>
      <c r="C11320" t="inlineStr">
        <is>
          <t xml:space="preserve">INF200KA15C2</t>
        </is>
      </c>
    </row>
    <row r="11321">
      <c r="A11321" t="inlineStr">
        <is>
          <t xml:space="preserve">SBI Mutual Fund</t>
        </is>
      </c>
      <c r="B11321" t="inlineStr">
        <is>
          <t xml:space="preserve">SBI Fixed Maturity Plan (FMP) - Series 57 (1835 Days) - Regular Plan - Growth</t>
        </is>
      </c>
      <c r="C11321" t="inlineStr">
        <is>
          <t xml:space="preserve">INF200KA12C9</t>
        </is>
      </c>
    </row>
    <row r="11322">
      <c r="A11322" t="inlineStr">
        <is>
          <t xml:space="preserve">SBI Mutual Fund</t>
        </is>
      </c>
      <c r="B11322" t="inlineStr">
        <is>
          <t xml:space="preserve">SBI Fixed Maturity Plan (FMP) - Series 57 (1835 Days) - Regular Plan - Income Distribution cum Capital Withdrawal Option (IDCW)</t>
        </is>
      </c>
      <c r="C11322" t="inlineStr">
        <is>
          <t xml:space="preserve">INF200KA13C7</t>
        </is>
      </c>
    </row>
    <row r="11323">
      <c r="A11323" t="inlineStr">
        <is>
          <t xml:space="preserve">SBI Mutual Fund</t>
        </is>
      </c>
      <c r="B11323" t="inlineStr">
        <is>
          <t xml:space="preserve">SBI Fixed Maturity Plan (FMP) - Series 58 (1842 Days) - Direct Plan - Growth</t>
        </is>
      </c>
      <c r="C11323" t="inlineStr">
        <is>
          <t xml:space="preserve">INF200KA18C6</t>
        </is>
      </c>
    </row>
    <row r="11324">
      <c r="A11324" t="inlineStr">
        <is>
          <t xml:space="preserve">SBI Mutual Fund</t>
        </is>
      </c>
      <c r="B11324" t="inlineStr">
        <is>
          <t xml:space="preserve">SBI Fixed Maturity Plan (FMP) - Series 58 (1842 Days) - Direct Plan - Income Distribution cum Capital withdrawal option (IDCW)</t>
        </is>
      </c>
      <c r="C11324" t="inlineStr">
        <is>
          <t xml:space="preserve">INF200KA19C4</t>
        </is>
      </c>
    </row>
    <row r="11325">
      <c r="A11325" t="inlineStr">
        <is>
          <t xml:space="preserve">SBI Mutual Fund</t>
        </is>
      </c>
      <c r="B11325" t="inlineStr">
        <is>
          <t xml:space="preserve">SBI Fixed Maturity Plan (FMP) - Series 58 (1842 Days) - Regular Plan - Growth</t>
        </is>
      </c>
      <c r="C11325" t="inlineStr">
        <is>
          <t xml:space="preserve">INF200KA16C0</t>
        </is>
      </c>
    </row>
    <row r="11326">
      <c r="A11326" t="inlineStr">
        <is>
          <t xml:space="preserve">SBI Mutual Fund</t>
        </is>
      </c>
      <c r="B11326" t="inlineStr">
        <is>
          <t xml:space="preserve">SBI Fixed Maturity Plan (FMP) - Series 58 (1842 Days) - Regular Plan - Income Distribution cum Capital withdrawal option (IDCW)</t>
        </is>
      </c>
      <c r="C11326" t="inlineStr">
        <is>
          <t xml:space="preserve">INF200KA17C8</t>
        </is>
      </c>
    </row>
    <row r="11327">
      <c r="A11327" t="inlineStr">
        <is>
          <t xml:space="preserve">SBI Mutual Fund</t>
        </is>
      </c>
      <c r="B11327" t="inlineStr">
        <is>
          <t xml:space="preserve">SBI Fixed Maturity Plan (FMP) - Series 59 (1618 Days) - Direct Plan - Growth</t>
        </is>
      </c>
      <c r="C11327" t="inlineStr">
        <is>
          <t xml:space="preserve">INF200KA19D2</t>
        </is>
      </c>
    </row>
    <row r="11328">
      <c r="A11328" t="inlineStr">
        <is>
          <t xml:space="preserve">SBI Mutual Fund</t>
        </is>
      </c>
      <c r="B11328" t="inlineStr">
        <is>
          <t xml:space="preserve">SBI Fixed Maturity Plan (FMP) - Series 59 (1618 Days) - Direct Plan - Income Distribution cum Capital Withdrawal Option (IDCW)</t>
        </is>
      </c>
      <c r="C11328" t="inlineStr">
        <is>
          <t xml:space="preserve">INF200KA10E9</t>
        </is>
      </c>
    </row>
    <row r="11329">
      <c r="A11329" t="inlineStr">
        <is>
          <t xml:space="preserve">SBI Mutual Fund</t>
        </is>
      </c>
      <c r="B11329" t="inlineStr">
        <is>
          <t xml:space="preserve">SBI Fixed Maturity Plan (FMP) - Series 59 (1618 Days) - Regular Plan - Growth</t>
        </is>
      </c>
      <c r="C11329" t="inlineStr">
        <is>
          <t xml:space="preserve">INF200KA17D6</t>
        </is>
      </c>
    </row>
    <row r="11330">
      <c r="A11330" t="inlineStr">
        <is>
          <t xml:space="preserve">SBI Mutual Fund</t>
        </is>
      </c>
      <c r="B11330" t="inlineStr">
        <is>
          <t xml:space="preserve">SBI Fixed Maturity Plan (FMP) - Series 59 (1618 Days) - Regular Plan - Income Distribution cum Capital Withdrawal Option (IDCW)</t>
        </is>
      </c>
      <c r="C11330" t="inlineStr">
        <is>
          <t xml:space="preserve">INF200KA18D4</t>
        </is>
      </c>
    </row>
    <row r="11331">
      <c r="A11331" t="inlineStr">
        <is>
          <t xml:space="preserve">SBI Mutual Fund</t>
        </is>
      </c>
      <c r="B11331" t="inlineStr">
        <is>
          <t xml:space="preserve">SBI Fixed Maturity Plan (FMP) - Series 6 (3668 Days) - Direct Plan - Growth</t>
        </is>
      </c>
      <c r="C11331" t="inlineStr">
        <is>
          <t xml:space="preserve">INF200KA1F27</t>
        </is>
      </c>
    </row>
    <row r="11332">
      <c r="A11332" t="inlineStr">
        <is>
          <t xml:space="preserve">SBI Mutual Fund</t>
        </is>
      </c>
      <c r="B11332" t="inlineStr">
        <is>
          <t xml:space="preserve">SBI Fixed Maturity Plan (FMP) - Series 6 (3668 Days) - Direct Plan - Income Distribution cum Capital Withdrawal Option (IDCW)</t>
        </is>
      </c>
      <c r="C11332" t="inlineStr">
        <is>
          <t xml:space="preserve">INF200KA1F35</t>
        </is>
      </c>
    </row>
    <row r="11333">
      <c r="A11333" t="inlineStr">
        <is>
          <t xml:space="preserve">SBI Mutual Fund</t>
        </is>
      </c>
      <c r="B11333" t="inlineStr">
        <is>
          <t xml:space="preserve">SBI Fixed Maturity Plan (FMP) - Series 6 (3668 Days) - Regular Plan - Growth</t>
        </is>
      </c>
      <c r="C11333" t="inlineStr">
        <is>
          <t xml:space="preserve">INF200KA1F01</t>
        </is>
      </c>
    </row>
    <row r="11334">
      <c r="A11334" t="inlineStr">
        <is>
          <t xml:space="preserve">SBI Mutual Fund</t>
        </is>
      </c>
      <c r="B11334" t="inlineStr">
        <is>
          <t xml:space="preserve">SBI Fixed Maturity Plan (FMP) - Series 6 (3668 Days) - Regular Plan - Income Distribution cum Capital Withdrawal Option (IDCW)</t>
        </is>
      </c>
      <c r="C11334" t="inlineStr">
        <is>
          <t xml:space="preserve">INF200KA1F19</t>
        </is>
      </c>
    </row>
    <row r="11335">
      <c r="A11335" t="inlineStr">
        <is>
          <t xml:space="preserve">SBI Mutual Fund</t>
        </is>
      </c>
      <c r="B11335" t="inlineStr">
        <is>
          <t xml:space="preserve">SBI Fixed Maturity Plan (FMP) - Series 60 (1878 Days) - Direct Plan - Growth</t>
        </is>
      </c>
      <c r="C11335" t="inlineStr">
        <is>
          <t xml:space="preserve">INF200KA13E3</t>
        </is>
      </c>
    </row>
    <row r="11336">
      <c r="A11336" t="inlineStr">
        <is>
          <t xml:space="preserve">SBI Mutual Fund</t>
        </is>
      </c>
      <c r="B11336" t="inlineStr">
        <is>
          <t xml:space="preserve">SBI Fixed Maturity Plan (FMP) - Series 60 (1878 Days) - Direct Plan - Income Distribution cum Capital Withdrwal Option (IDCW)</t>
        </is>
      </c>
      <c r="C11336" t="inlineStr">
        <is>
          <t xml:space="preserve">INF200KA14E1</t>
        </is>
      </c>
    </row>
    <row r="11337">
      <c r="A11337" t="inlineStr">
        <is>
          <t xml:space="preserve">SBI Mutual Fund</t>
        </is>
      </c>
      <c r="B11337" t="inlineStr">
        <is>
          <t xml:space="preserve">SBI Fixed Maturity Plan (FMP) - Series 60 (1878 Days) - Regular Plan - Growth</t>
        </is>
      </c>
      <c r="C11337" t="inlineStr">
        <is>
          <t xml:space="preserve">INF200KA11E7</t>
        </is>
      </c>
    </row>
    <row r="11338">
      <c r="A11338" t="inlineStr">
        <is>
          <t xml:space="preserve">SBI Mutual Fund</t>
        </is>
      </c>
      <c r="B11338" t="inlineStr">
        <is>
          <t xml:space="preserve">SBI Fixed Maturity Plan (FMP) - Series 60 (1878 Days) - Regular Plan - Income Distribution cum Capital Withdrawal Option (IDCW)</t>
        </is>
      </c>
      <c r="C11338" t="inlineStr">
        <is>
          <t xml:space="preserve">INF200KA12E5</t>
        </is>
      </c>
    </row>
    <row r="11339">
      <c r="A11339" t="inlineStr">
        <is>
          <t xml:space="preserve">SBI Mutual Fund</t>
        </is>
      </c>
      <c r="B11339" t="inlineStr">
        <is>
          <t xml:space="preserve">SBI Fixed Maturity Plan (FMP) - Series 66 (1361 Days) - Direct Plan - Growth</t>
        </is>
      </c>
      <c r="C11339" t="inlineStr">
        <is>
          <t xml:space="preserve">INF200KA11M0</t>
        </is>
      </c>
    </row>
    <row r="11340">
      <c r="A11340" t="inlineStr">
        <is>
          <t xml:space="preserve">SBI Mutual Fund</t>
        </is>
      </c>
      <c r="B11340" t="inlineStr">
        <is>
          <t xml:space="preserve">SBI Fixed Maturity Plan (FMP) - Series 66 (1361 Days) - Direct Plan - Income Distribution cum Capital Withdrawal Option (IDCW)</t>
        </is>
      </c>
      <c r="C11340" t="inlineStr">
        <is>
          <t xml:space="preserve">INF200KA12M8</t>
        </is>
      </c>
    </row>
    <row r="11341">
      <c r="A11341" t="inlineStr">
        <is>
          <t xml:space="preserve">SBI Mutual Fund</t>
        </is>
      </c>
      <c r="B11341" t="inlineStr">
        <is>
          <t xml:space="preserve">SBI Fixed Maturity Plan (FMP) - Series 66 (1361 Days) - Regular Plan - Growth</t>
        </is>
      </c>
      <c r="C11341" t="inlineStr">
        <is>
          <t xml:space="preserve">INF200KA19L5</t>
        </is>
      </c>
    </row>
    <row r="11342">
      <c r="A11342" t="inlineStr">
        <is>
          <t xml:space="preserve">SBI Mutual Fund</t>
        </is>
      </c>
      <c r="B11342" t="inlineStr">
        <is>
          <t xml:space="preserve">SBI Fixed Maturity Plan (FMP) - Series 66 (1361 Days) - Regular Plan - Income Distribution cum Capital Withdrawal Option (IDCW)</t>
        </is>
      </c>
      <c r="C11342" t="inlineStr">
        <is>
          <t xml:space="preserve">INF200KA10M2</t>
        </is>
      </c>
    </row>
    <row r="11343">
      <c r="A11343" t="inlineStr">
        <is>
          <t xml:space="preserve">SBI Mutual Fund</t>
        </is>
      </c>
      <c r="B11343" t="inlineStr">
        <is>
          <t xml:space="preserve">SBI Fixed Maturity Plan (FMP) - Series 67 (1467 Days) - Direct Plan - Growth</t>
        </is>
      </c>
      <c r="C11343" t="inlineStr">
        <is>
          <t xml:space="preserve">INF200KA15M1</t>
        </is>
      </c>
    </row>
    <row r="11344">
      <c r="A11344" t="inlineStr">
        <is>
          <t xml:space="preserve">SBI Mutual Fund</t>
        </is>
      </c>
      <c r="B11344" t="inlineStr">
        <is>
          <t xml:space="preserve">SBI Fixed Maturity Plan (FMP) - Series 67 (1467 Days) - Direct Plan - IDCW Payout</t>
        </is>
      </c>
      <c r="C11344" t="inlineStr">
        <is>
          <t xml:space="preserve">INF200KA16M9</t>
        </is>
      </c>
    </row>
    <row r="11345">
      <c r="A11345" t="inlineStr">
        <is>
          <t xml:space="preserve">SBI Mutual Fund</t>
        </is>
      </c>
      <c r="B11345" t="inlineStr">
        <is>
          <t xml:space="preserve">SBI Fixed Maturity Plan (FMP) - Series 67 (1467 Days) - Regular Plan - Growth</t>
        </is>
      </c>
      <c r="C11345" t="inlineStr">
        <is>
          <t xml:space="preserve">INF200KA13M6</t>
        </is>
      </c>
    </row>
    <row r="11346">
      <c r="A11346" t="inlineStr">
        <is>
          <t xml:space="preserve">SBI Mutual Fund</t>
        </is>
      </c>
      <c r="B11346" t="inlineStr">
        <is>
          <t xml:space="preserve">SBI Fixed Maturity Plan (FMP) - Series 67 (1467 Days) - Regular Plan - IDCW Payout</t>
        </is>
      </c>
      <c r="C11346" t="inlineStr">
        <is>
          <t xml:space="preserve">INF200KA14M4</t>
        </is>
      </c>
    </row>
    <row r="11347">
      <c r="A11347" t="inlineStr">
        <is>
          <t xml:space="preserve">SBI Mutual Fund</t>
        </is>
      </c>
      <c r="B11347" t="inlineStr">
        <is>
          <t xml:space="preserve">SBI Fixed Maturity Plan (FMP) - Series 68 (1302 Days) - Direct Plan - Growth</t>
        </is>
      </c>
      <c r="C11347" t="inlineStr">
        <is>
          <t xml:space="preserve">INF200KA15O7</t>
        </is>
      </c>
    </row>
    <row r="11348">
      <c r="A11348" t="inlineStr">
        <is>
          <t xml:space="preserve">SBI Mutual Fund</t>
        </is>
      </c>
      <c r="B11348" t="inlineStr">
        <is>
          <t xml:space="preserve">SBI Fixed Maturity Plan (FMP) - Series 68 (1302 Days) - Direct Plan - IDCW Payout</t>
        </is>
      </c>
      <c r="C11348" t="inlineStr">
        <is>
          <t xml:space="preserve">INF200KA16O5</t>
        </is>
      </c>
    </row>
    <row r="11349">
      <c r="A11349" t="inlineStr">
        <is>
          <t xml:space="preserve">SBI Mutual Fund</t>
        </is>
      </c>
      <c r="B11349" t="inlineStr">
        <is>
          <t xml:space="preserve">SBI Fixed Maturity Plan (FMP) - Series 68 (1302 Days) - Regular Plan - Growth</t>
        </is>
      </c>
      <c r="C11349" t="inlineStr">
        <is>
          <t xml:space="preserve">INF200KA13O2</t>
        </is>
      </c>
    </row>
    <row r="11350">
      <c r="A11350" t="inlineStr">
        <is>
          <t xml:space="preserve">SBI Mutual Fund</t>
        </is>
      </c>
      <c r="B11350" t="inlineStr">
        <is>
          <t xml:space="preserve">SBI Fixed Maturity Plan (FMP) - Series 68 (1302 Days) - Regular Plan - IDCW Payout</t>
        </is>
      </c>
      <c r="C11350" t="inlineStr">
        <is>
          <t xml:space="preserve">INF200KA14O0</t>
        </is>
      </c>
    </row>
    <row r="11351">
      <c r="A11351" t="inlineStr">
        <is>
          <t xml:space="preserve">SBI Mutual Fund</t>
        </is>
      </c>
      <c r="B11351" t="inlineStr">
        <is>
          <t xml:space="preserve">SBI Fixed Maturity Plan (FMP) - Series 73 (1226 Days) - Direct Plan - Growth</t>
        </is>
      </c>
      <c r="C11351" t="inlineStr">
        <is>
          <t xml:space="preserve">INF200KA11T5</t>
        </is>
      </c>
    </row>
    <row r="11352">
      <c r="A11352" t="inlineStr">
        <is>
          <t xml:space="preserve">SBI Mutual Fund</t>
        </is>
      </c>
      <c r="B11352" t="inlineStr">
        <is>
          <t xml:space="preserve">SBI Fixed Maturity Plan (FMP) - Series 73 (1226 Days) - Direct Plan - IDCW Payout</t>
        </is>
      </c>
      <c r="C11352" t="inlineStr">
        <is>
          <t xml:space="preserve">INF200KA12T3</t>
        </is>
      </c>
    </row>
    <row r="11353">
      <c r="A11353" t="inlineStr">
        <is>
          <t xml:space="preserve">SBI Mutual Fund</t>
        </is>
      </c>
      <c r="B11353" t="inlineStr">
        <is>
          <t xml:space="preserve">SBI Fixed Maturity Plan (FMP) - Series 73 (1226 Days) - Regular Plan - Growth</t>
        </is>
      </c>
      <c r="C11353" t="inlineStr">
        <is>
          <t xml:space="preserve">INF200KA19S0</t>
        </is>
      </c>
    </row>
    <row r="11354">
      <c r="A11354" t="inlineStr">
        <is>
          <t xml:space="preserve">SBI Mutual Fund</t>
        </is>
      </c>
      <c r="B11354" t="inlineStr">
        <is>
          <t xml:space="preserve">SBI Fixed Maturity Plan (FMP) - Series 73 (1226 Days) - Regular Plan - IDCW Payout</t>
        </is>
      </c>
      <c r="C11354" t="inlineStr">
        <is>
          <t xml:space="preserve">INF200KA10T7</t>
        </is>
      </c>
    </row>
    <row r="11355">
      <c r="A11355" t="inlineStr">
        <is>
          <t xml:space="preserve">SBI Mutual Fund</t>
        </is>
      </c>
      <c r="B11355" t="inlineStr">
        <is>
          <t xml:space="preserve">SBI Fixed Maturity Plan (FMP) - Series 76 (1221 Days) - Direct Plan - Growth</t>
        </is>
      </c>
      <c r="C11355" t="inlineStr">
        <is>
          <t xml:space="preserve">INF200KA19U6</t>
        </is>
      </c>
    </row>
    <row r="11356">
      <c r="A11356" t="inlineStr">
        <is>
          <t xml:space="preserve">SBI Mutual Fund</t>
        </is>
      </c>
      <c r="B11356" t="inlineStr">
        <is>
          <t xml:space="preserve">SBI Fixed Maturity Plan (FMP) - Series 76 (1221 Days) - Direct Plan - Income Distribution Cum Capital Withdrawal Payout</t>
        </is>
      </c>
      <c r="C11356" t="inlineStr">
        <is>
          <t xml:space="preserve">INF200KA10V3</t>
        </is>
      </c>
    </row>
    <row r="11357">
      <c r="A11357" t="inlineStr">
        <is>
          <t xml:space="preserve">SBI Mutual Fund</t>
        </is>
      </c>
      <c r="B11357" t="inlineStr">
        <is>
          <t xml:space="preserve">SBI Fixed Maturity Plan (FMP) - Series 76 (1221 Days) - Regular Plan - Growth</t>
        </is>
      </c>
      <c r="C11357" t="inlineStr">
        <is>
          <t xml:space="preserve">INF200KA17U0</t>
        </is>
      </c>
    </row>
    <row r="11358">
      <c r="A11358" t="inlineStr">
        <is>
          <t xml:space="preserve">SBI Mutual Fund</t>
        </is>
      </c>
      <c r="B11358" t="inlineStr">
        <is>
          <t xml:space="preserve">SBI Fixed Maturity Plan (FMP) - Series 76 (1221 Days) - Regular Plan - Income Distribution Cum Capital Withdrawal Payout</t>
        </is>
      </c>
      <c r="C11358" t="inlineStr">
        <is>
          <t xml:space="preserve">INF200KA18U8</t>
        </is>
      </c>
    </row>
    <row r="11359">
      <c r="A11359" t="inlineStr">
        <is>
          <t xml:space="preserve">SBI Mutual Fund</t>
        </is>
      </c>
      <c r="B11359" t="inlineStr">
        <is>
          <t xml:space="preserve">SBI Fixed Maturity Plan (FMP) - Series 79 (1130 Days) - Direct Plan - Growth</t>
        </is>
      </c>
      <c r="C11359" t="inlineStr">
        <is>
          <t xml:space="preserve">INF200KA19W2</t>
        </is>
      </c>
    </row>
    <row r="11360">
      <c r="A11360" t="inlineStr">
        <is>
          <t xml:space="preserve">SBI Mutual Fund</t>
        </is>
      </c>
      <c r="B11360" t="inlineStr">
        <is>
          <t xml:space="preserve">SBI Fixed Maturity Plan (FMP) - Series 79 (1130 Days) - Direct Plan - Income Distribution cum Capital Withdrawal Payout</t>
        </is>
      </c>
      <c r="C11360" t="inlineStr">
        <is>
          <t xml:space="preserve">INF200KA10X9</t>
        </is>
      </c>
    </row>
    <row r="11361">
      <c r="A11361" t="inlineStr">
        <is>
          <t xml:space="preserve">SBI Mutual Fund</t>
        </is>
      </c>
      <c r="B11361" t="inlineStr">
        <is>
          <t xml:space="preserve">SBI Fixed Maturity Plan (FMP) - Series 79 (1130 Days) - Regular Plan - Growth</t>
        </is>
      </c>
      <c r="C11361" t="inlineStr">
        <is>
          <t xml:space="preserve">INF200KA17W6</t>
        </is>
      </c>
    </row>
    <row r="11362">
      <c r="A11362" t="inlineStr">
        <is>
          <t xml:space="preserve">SBI Mutual Fund</t>
        </is>
      </c>
      <c r="B11362" t="inlineStr">
        <is>
          <t xml:space="preserve">SBI Fixed Maturity Plan (FMP) - Series 79 (1130 Days) - Regular Plan - Income Distribution cum Capital Withdrawal Payout</t>
        </is>
      </c>
      <c r="C11362" t="inlineStr">
        <is>
          <t xml:space="preserve">INF200KA18W4</t>
        </is>
      </c>
    </row>
    <row r="11363">
      <c r="A11363" t="inlineStr">
        <is>
          <t xml:space="preserve">SBI Mutual Fund</t>
        </is>
      </c>
      <c r="B11363" t="inlineStr">
        <is>
          <t xml:space="preserve">SBI Fixed Maturity Plan (FMP) Series 42 (1857 Days) - Direct Plan - Growth</t>
        </is>
      </c>
      <c r="C11363" t="inlineStr">
        <is>
          <t xml:space="preserve">INF200KA1V19</t>
        </is>
      </c>
    </row>
    <row r="11364">
      <c r="A11364" t="inlineStr">
        <is>
          <t xml:space="preserve">SBI Mutual Fund</t>
        </is>
      </c>
      <c r="B11364" t="inlineStr">
        <is>
          <t xml:space="preserve">SBI Fixed Maturity Plan (FMP) Series 42 (1857 Days) - Regular Plan - Growth</t>
        </is>
      </c>
      <c r="C11364" t="inlineStr">
        <is>
          <t xml:space="preserve">INF200KA1U93</t>
        </is>
      </c>
    </row>
    <row r="11365">
      <c r="A11365" t="inlineStr">
        <is>
          <t xml:space="preserve">SBI Mutual Fund</t>
        </is>
      </c>
      <c r="B11365" t="inlineStr">
        <is>
          <t xml:space="preserve">SBI Fixed Maturity Plan (FMP) Series 44 (1855 Days) - Regular Plan - Income Distribution cum Capital Withdrawal Option (IDCW)</t>
        </is>
      </c>
      <c r="C11365" t="inlineStr">
        <is>
          <t xml:space="preserve">INF200KA1W42</t>
        </is>
      </c>
    </row>
    <row r="11366">
      <c r="A11366" t="inlineStr">
        <is>
          <t xml:space="preserve">SBI Mutual Fund</t>
        </is>
      </c>
      <c r="B11366" t="inlineStr">
        <is>
          <t xml:space="preserve">SBI Fixed Maturity Plan (FMP) Series 45 (1840 Days) - Direct Plan - Growth</t>
        </is>
      </c>
      <c r="C11366" t="inlineStr">
        <is>
          <t xml:space="preserve">INF200KA1W91</t>
        </is>
      </c>
    </row>
    <row r="11367">
      <c r="A11367" t="inlineStr">
        <is>
          <t xml:space="preserve">SBI Mutual Fund</t>
        </is>
      </c>
      <c r="B11367" t="inlineStr">
        <is>
          <t xml:space="preserve">SBI Fixed Maturity Plan (FMP) Series 45 (1840 Days) - Direct Plan - Income Distribution cum Capital Withdrawal Option (IDCW)</t>
        </is>
      </c>
      <c r="C11367" t="inlineStr">
        <is>
          <t xml:space="preserve">INF200KA1X09</t>
        </is>
      </c>
    </row>
    <row r="11368">
      <c r="A11368" t="inlineStr">
        <is>
          <t xml:space="preserve">SBI Mutual Fund</t>
        </is>
      </c>
      <c r="B11368" t="inlineStr">
        <is>
          <t xml:space="preserve">SBI Fixed Maturity Plan (FMP) Series 45 (1840 Days) - Regular Plan - Growth</t>
        </is>
      </c>
      <c r="C11368" t="inlineStr">
        <is>
          <t xml:space="preserve">INF200KA1W75</t>
        </is>
      </c>
    </row>
    <row r="11369">
      <c r="A11369" t="inlineStr">
        <is>
          <t xml:space="preserve">SBI Mutual Fund</t>
        </is>
      </c>
      <c r="B11369" t="inlineStr">
        <is>
          <t xml:space="preserve">SBI Fixed Maturity Plan (FMP) Series 45 (1840Days) - Regular Plan - Income Distribution cum Capital Withdrawal Option (IDCW)</t>
        </is>
      </c>
      <c r="C11369" t="inlineStr">
        <is>
          <t xml:space="preserve">INF200KA1W83</t>
        </is>
      </c>
    </row>
    <row r="11370">
      <c r="A11370" t="inlineStr">
        <is>
          <t xml:space="preserve">SBI Mutual Fund</t>
        </is>
      </c>
      <c r="B11370" t="inlineStr">
        <is>
          <t xml:space="preserve">SBI Fixed Maturity Plan (FMP)- Series 61 (1927 Days)- Direct Plan- Growth option</t>
        </is>
      </c>
      <c r="C11370" t="inlineStr">
        <is>
          <t xml:space="preserve">INF200KA13F0</t>
        </is>
      </c>
    </row>
    <row r="11371">
      <c r="A11371" t="inlineStr">
        <is>
          <t xml:space="preserve">SBI Mutual Fund</t>
        </is>
      </c>
      <c r="B11371" t="inlineStr">
        <is>
          <t xml:space="preserve">SBI Fixed Maturity Plan (FMP)- Series 61 (1927 Days)- Direct Plan- Income Distribution Cum Capital withdrawal option</t>
        </is>
      </c>
      <c r="C11371" t="inlineStr">
        <is>
          <t xml:space="preserve">INF200KA14F8</t>
        </is>
      </c>
    </row>
    <row r="11372">
      <c r="A11372" t="inlineStr">
        <is>
          <t xml:space="preserve">SBI Mutual Fund</t>
        </is>
      </c>
      <c r="B11372" t="inlineStr">
        <is>
          <t xml:space="preserve">SBI Fixed Maturity Plan (FMP)- Series 61 (1927 Days)- Regular Plan- Growth option</t>
        </is>
      </c>
      <c r="C11372" t="inlineStr">
        <is>
          <t xml:space="preserve">INF200KA11F4</t>
        </is>
      </c>
    </row>
    <row r="11373">
      <c r="A11373" t="inlineStr">
        <is>
          <t xml:space="preserve">SBI Mutual Fund</t>
        </is>
      </c>
      <c r="B11373" t="inlineStr">
        <is>
          <t xml:space="preserve">SBI Fixed Maturity Plan (FMP)- Series 61 (1927 Days)- Regular Plan- Income Distribution Cum Capital withdrawal option</t>
        </is>
      </c>
      <c r="C11373" t="inlineStr">
        <is>
          <t xml:space="preserve">INF200KA12F2</t>
        </is>
      </c>
    </row>
    <row r="11374">
      <c r="A11374" t="inlineStr">
        <is>
          <t xml:space="preserve">SBI Mutual Fund</t>
        </is>
      </c>
      <c r="B11374" t="inlineStr">
        <is>
          <t xml:space="preserve">SBI Fixed Maturity Plan (FMP)-Series 72 (1239 Days) Direct Plan- Growth</t>
        </is>
      </c>
      <c r="C11374" t="inlineStr">
        <is>
          <t xml:space="preserve">INF200KA17S4</t>
        </is>
      </c>
    </row>
    <row r="11375">
      <c r="A11375" t="inlineStr">
        <is>
          <t xml:space="preserve">SBI Mutual Fund</t>
        </is>
      </c>
      <c r="B11375" t="inlineStr">
        <is>
          <t xml:space="preserve">SBI Fixed Maturity Plan (FMP)-Series 72 (1239 Days) Direct Plan- Income Distribution Cum Capital Withdrawal Payout</t>
        </is>
      </c>
      <c r="C11375" t="inlineStr">
        <is>
          <t xml:space="preserve">INF200KA18S2</t>
        </is>
      </c>
    </row>
    <row r="11376">
      <c r="A11376" t="inlineStr">
        <is>
          <t xml:space="preserve">SBI Mutual Fund</t>
        </is>
      </c>
      <c r="B11376" t="inlineStr">
        <is>
          <t xml:space="preserve">SBI Fixed Maturity Plan (FMP)-Series 72 (1239 Days) Regular Plan- Growth</t>
        </is>
      </c>
      <c r="C11376" t="inlineStr">
        <is>
          <t xml:space="preserve">INF200KA15S8</t>
        </is>
      </c>
    </row>
    <row r="11377">
      <c r="A11377" t="inlineStr">
        <is>
          <t xml:space="preserve">SBI Mutual Fund</t>
        </is>
      </c>
      <c r="B11377" t="inlineStr">
        <is>
          <t xml:space="preserve">SBI Fixed Maturity Plan (FMP)-Series 72 (1239 Days) Regular Plan- Income Distribution Cum Capital Withdrawal Payout</t>
        </is>
      </c>
      <c r="C11377" t="inlineStr">
        <is>
          <t xml:space="preserve">INF200KA16S6</t>
        </is>
      </c>
    </row>
    <row r="11378">
      <c r="A11378" t="inlineStr">
        <is>
          <t xml:space="preserve">SBI Mutual Fund</t>
        </is>
      </c>
      <c r="B11378" t="inlineStr">
        <is>
          <t xml:space="preserve">SBI Fixed Maturity Plan (FMP)-Series 74 (1243 Days)- Direct Plan- Growth</t>
        </is>
      </c>
      <c r="C11378" t="inlineStr">
        <is>
          <t xml:space="preserve">INF200KA11U3</t>
        </is>
      </c>
    </row>
    <row r="11379">
      <c r="A11379" t="inlineStr">
        <is>
          <t xml:space="preserve">SBI Mutual Fund</t>
        </is>
      </c>
      <c r="B11379" t="inlineStr">
        <is>
          <t xml:space="preserve">SBI Fixed Maturity Plan (FMP)-Series 74 (1243 Days)- Direct Plan- Income Distribution Cum Capital Withdrawal Payout</t>
        </is>
      </c>
      <c r="C11379" t="inlineStr">
        <is>
          <t xml:space="preserve">INF200KA12U1</t>
        </is>
      </c>
    </row>
    <row r="11380">
      <c r="A11380" t="inlineStr">
        <is>
          <t xml:space="preserve">SBI Mutual Fund</t>
        </is>
      </c>
      <c r="B11380" t="inlineStr">
        <is>
          <t xml:space="preserve">SBI Fixed Maturity Plan (FMP)-Series 74 (1243 Days)- Regular Plan- Growth</t>
        </is>
      </c>
      <c r="C11380" t="inlineStr">
        <is>
          <t xml:space="preserve">INF200KA19T8</t>
        </is>
      </c>
    </row>
    <row r="11381">
      <c r="A11381" t="inlineStr">
        <is>
          <t xml:space="preserve">SBI Mutual Fund</t>
        </is>
      </c>
      <c r="B11381" t="inlineStr">
        <is>
          <t xml:space="preserve">SBI Fixed Maturity Plan (FMP)-Series 74 (1243 Days)- Regular Plan- Income Distribution Cum Capital Withdrawal Payout</t>
        </is>
      </c>
      <c r="C11381" t="inlineStr">
        <is>
          <t xml:space="preserve">INF200KA10U5</t>
        </is>
      </c>
    </row>
    <row r="11382">
      <c r="A11382" t="inlineStr">
        <is>
          <t xml:space="preserve">SBI Mutual Fund</t>
        </is>
      </c>
      <c r="B11382" t="inlineStr">
        <is>
          <t xml:space="preserve">SBI Fixed Maturity Plan (FMP)-Series 78 (1170 Days) Direct Plan- Growth</t>
        </is>
      </c>
      <c r="C11382" t="inlineStr">
        <is>
          <t xml:space="preserve">INF200KA19V4</t>
        </is>
      </c>
    </row>
    <row r="11383">
      <c r="A11383" t="inlineStr">
        <is>
          <t xml:space="preserve">SBI Mutual Fund</t>
        </is>
      </c>
      <c r="B11383" t="inlineStr">
        <is>
          <t xml:space="preserve">SBI Fixed Maturity Plan (FMP)-Series 78 (1170 Days) Direct Plan- Income Distribution Cum Capital Withdrawal Payout</t>
        </is>
      </c>
      <c r="C11383" t="inlineStr">
        <is>
          <t xml:space="preserve">INF200KA10W1</t>
        </is>
      </c>
    </row>
    <row r="11384">
      <c r="A11384" t="inlineStr">
        <is>
          <t xml:space="preserve">SBI Mutual Fund</t>
        </is>
      </c>
      <c r="B11384" t="inlineStr">
        <is>
          <t xml:space="preserve">SBI Fixed Maturity Plan (FMP)-Series 78 (1170 Days) Regular Plan- Growth</t>
        </is>
      </c>
      <c r="C11384" t="inlineStr">
        <is>
          <t xml:space="preserve">INF200KA17V8</t>
        </is>
      </c>
    </row>
    <row r="11385">
      <c r="A11385" t="inlineStr">
        <is>
          <t xml:space="preserve">SBI Mutual Fund</t>
        </is>
      </c>
      <c r="B11385" t="inlineStr">
        <is>
          <t xml:space="preserve">SBI Fixed Maturity Plan (FMP)-Series 78 (1170 Days) Regular Plan- Income Distribution Cum Capital Withdrawal Payout</t>
        </is>
      </c>
      <c r="C11385" t="inlineStr">
        <is>
          <t xml:space="preserve">INF200KA18V6</t>
        </is>
      </c>
    </row>
    <row r="11386">
      <c r="A11386" t="inlineStr">
        <is>
          <t xml:space="preserve">SBI Mutual Fund</t>
        </is>
      </c>
      <c r="B11386" t="inlineStr">
        <is>
          <t xml:space="preserve">SBI Fixed Maturity Plan (FMP)-Series 81 (1157 Days) Direct Plan- Growth</t>
        </is>
      </c>
      <c r="C11386" t="inlineStr">
        <is>
          <t xml:space="preserve">INF200KA17X4</t>
        </is>
      </c>
    </row>
    <row r="11387">
      <c r="A11387" t="inlineStr">
        <is>
          <t xml:space="preserve">SBI Mutual Fund</t>
        </is>
      </c>
      <c r="B11387" t="inlineStr">
        <is>
          <t xml:space="preserve">SBI Fixed Maturity Plan (FMP)-Series 81 (1157 Days) Direct Plan- Income Distribution Cum Capital Withdrawal Payout</t>
        </is>
      </c>
      <c r="C11387" t="inlineStr">
        <is>
          <t xml:space="preserve">INF200KA18X2</t>
        </is>
      </c>
    </row>
    <row r="11388">
      <c r="A11388" t="inlineStr">
        <is>
          <t xml:space="preserve">SBI Mutual Fund</t>
        </is>
      </c>
      <c r="B11388" t="inlineStr">
        <is>
          <t xml:space="preserve">SBI Fixed Maturity Plan (FMP)-Series 81 (1157 Days) Regular Plan- Growth</t>
        </is>
      </c>
      <c r="C11388" t="inlineStr">
        <is>
          <t xml:space="preserve">INF200KA15X8</t>
        </is>
      </c>
    </row>
    <row r="11389">
      <c r="A11389" t="inlineStr">
        <is>
          <t xml:space="preserve">SBI Mutual Fund</t>
        </is>
      </c>
      <c r="B11389" t="inlineStr">
        <is>
          <t xml:space="preserve">SBI Fixed Maturity Plan (FMP)-Series 81 (1157 Days) Regular Plan- Income Distribution Cum Capital Withdrawal Payout</t>
        </is>
      </c>
      <c r="C11389" t="inlineStr">
        <is>
          <t xml:space="preserve">INF200KA16X6</t>
        </is>
      </c>
    </row>
    <row r="11390">
      <c r="A11390" t="inlineStr">
        <is>
          <t xml:space="preserve">SBI Mutual Fund</t>
        </is>
      </c>
      <c r="B11390" t="inlineStr">
        <is>
          <t xml:space="preserve">SBI Flexicap Fund - DIRECT PLAN - Growth Option</t>
        </is>
      </c>
      <c r="C11390" t="inlineStr">
        <is>
          <t xml:space="preserve">INF200K01UG1</t>
        </is>
      </c>
    </row>
    <row r="11391">
      <c r="A11391" t="inlineStr">
        <is>
          <t xml:space="preserve">SBI Mutual Fund</t>
        </is>
      </c>
      <c r="B11391" t="inlineStr">
        <is>
          <t xml:space="preserve">SBI Flexicap Fund - Direct Plan - Income Distribution cum Capital Withdrawal Option (IDCW)</t>
        </is>
      </c>
      <c r="C11391" t="inlineStr">
        <is>
          <t xml:space="preserve">INF200K01UE6</t>
        </is>
      </c>
    </row>
    <row r="11392">
      <c r="A11392" t="inlineStr">
        <is>
          <t xml:space="preserve">SBI Mutual Fund</t>
        </is>
      </c>
      <c r="B11392" t="inlineStr">
        <is>
          <t xml:space="preserve">SBI Flexicap Fund - Regular Plan - Income Distribution cum Capital Withdrawal Option (IDCW)</t>
        </is>
      </c>
      <c r="C11392" t="inlineStr">
        <is>
          <t xml:space="preserve">INF200K01230</t>
        </is>
      </c>
    </row>
    <row r="11393">
      <c r="A11393" t="inlineStr">
        <is>
          <t xml:space="preserve">SBI Mutual Fund</t>
        </is>
      </c>
      <c r="B11393" t="inlineStr">
        <is>
          <t xml:space="preserve">SBI Flexicap Fund - REGULAR PLAN -Growth Option</t>
        </is>
      </c>
      <c r="C11393" t="inlineStr">
        <is>
          <t xml:space="preserve">INF200K01222</t>
        </is>
      </c>
    </row>
    <row r="11394">
      <c r="A11394" t="inlineStr">
        <is>
          <t xml:space="preserve">SBI Mutual Fund</t>
        </is>
      </c>
      <c r="B11394" t="inlineStr">
        <is>
          <t xml:space="preserve">SBI Floating Rate Debt Fund - Direct Plan - Growth</t>
        </is>
      </c>
      <c r="C11394" t="inlineStr">
        <is>
          <t xml:space="preserve">INF200KA1R64</t>
        </is>
      </c>
    </row>
    <row r="11395">
      <c r="A11395" t="inlineStr">
        <is>
          <t xml:space="preserve">SBI Mutual Fund</t>
        </is>
      </c>
      <c r="B11395" t="inlineStr">
        <is>
          <t xml:space="preserve">SBI Floating Rate DEBT Fund - Direct Plan - Monthly Income Distribution cum Capital Withdrawal Option (IDCW)</t>
        </is>
      </c>
      <c r="C11395" t="inlineStr">
        <is>
          <t xml:space="preserve">INF200KA1R72</t>
        </is>
      </c>
    </row>
    <row r="11396">
      <c r="A11396" t="inlineStr">
        <is>
          <t xml:space="preserve">SBI Mutual Fund</t>
        </is>
      </c>
      <c r="B11396" t="inlineStr">
        <is>
          <t xml:space="preserve">SBI Floating Rate DEBT Fund - Direct Plan - Quarterly Income Distribution cum Capital Withdrawal Option (IDCW)</t>
        </is>
      </c>
      <c r="C11396" t="inlineStr">
        <is>
          <t xml:space="preserve">INF200KA1R98</t>
        </is>
      </c>
    </row>
    <row r="11397">
      <c r="A11397" t="inlineStr">
        <is>
          <t xml:space="preserve">SBI Mutual Fund</t>
        </is>
      </c>
      <c r="B11397" t="inlineStr">
        <is>
          <t xml:space="preserve">SBI Floating Rate Debt Fund - Regular Plan - Growth</t>
        </is>
      </c>
      <c r="C11397" t="inlineStr">
        <is>
          <t xml:space="preserve">INF200KA1R15</t>
        </is>
      </c>
    </row>
    <row r="11398">
      <c r="A11398" t="inlineStr">
        <is>
          <t xml:space="preserve">SBI Mutual Fund</t>
        </is>
      </c>
      <c r="B11398" t="inlineStr">
        <is>
          <t xml:space="preserve">SBI Floating Rate DEBT Fund - Regular Plan - Monthly Income Distribution cum Capital Withdrawal Option (IDCW)</t>
        </is>
      </c>
      <c r="C11398" t="inlineStr">
        <is>
          <t xml:space="preserve">INF200KA1R23</t>
        </is>
      </c>
    </row>
    <row r="11399">
      <c r="A11399" t="inlineStr">
        <is>
          <t xml:space="preserve">SBI Mutual Fund</t>
        </is>
      </c>
      <c r="B11399" t="inlineStr">
        <is>
          <t xml:space="preserve">SBI Floating Rate DEBT Fund - Regular Plan - Quarterly Income Distribution cum Capital Withdrawal Option (IDCW)</t>
        </is>
      </c>
      <c r="C11399" t="inlineStr">
        <is>
          <t xml:space="preserve">INF200KA1R49</t>
        </is>
      </c>
    </row>
    <row r="11400">
      <c r="A11400" t="inlineStr">
        <is>
          <t xml:space="preserve">SBI Mutual Fund</t>
        </is>
      </c>
      <c r="B11400" t="inlineStr">
        <is>
          <t xml:space="preserve">SBI Focused Fund - Direct Plan - Income Distribution cum Capital Withdrawal Option (IDCW)</t>
        </is>
      </c>
      <c r="C11400" t="inlineStr">
        <is>
          <t xml:space="preserve">INF200K01RH5</t>
        </is>
      </c>
    </row>
    <row r="11401">
      <c r="A11401" t="inlineStr">
        <is>
          <t xml:space="preserve">SBI Mutual Fund</t>
        </is>
      </c>
      <c r="B11401" t="inlineStr">
        <is>
          <t xml:space="preserve">SBI FOCUSED FUND - DIRECT PLAN -GROWTH</t>
        </is>
      </c>
      <c r="C11401" t="inlineStr">
        <is>
          <t xml:space="preserve">INF200K01RJ1</t>
        </is>
      </c>
    </row>
    <row r="11402">
      <c r="A11402" t="inlineStr">
        <is>
          <t xml:space="preserve">SBI Mutual Fund</t>
        </is>
      </c>
      <c r="B11402" t="inlineStr">
        <is>
          <t xml:space="preserve">SBI Focused Fund - Regular Plan - Income Distribution cum Capital Withdrawal Option (IDCW)</t>
        </is>
      </c>
      <c r="C11402" t="inlineStr">
        <is>
          <t xml:space="preserve">INF200K01388</t>
        </is>
      </c>
    </row>
    <row r="11403">
      <c r="A11403" t="inlineStr">
        <is>
          <t xml:space="preserve">SBI Mutual Fund</t>
        </is>
      </c>
      <c r="B11403" t="inlineStr">
        <is>
          <t xml:space="preserve">SBI FOCUSED FUND - REGULAR PLAN -GROWTH</t>
        </is>
      </c>
      <c r="C11403" t="inlineStr">
        <is>
          <t xml:space="preserve">INF200K01370</t>
        </is>
      </c>
    </row>
    <row r="11404">
      <c r="A11404" t="inlineStr">
        <is>
          <t xml:space="preserve">SBI Mutual Fund</t>
        </is>
      </c>
      <c r="B11404" t="inlineStr">
        <is>
          <t xml:space="preserve">SBI GILT FUND -  GROWTH - PF (Fixed Period - 3 Yrs) Option</t>
        </is>
      </c>
      <c r="C11404" t="inlineStr">
        <is>
          <t xml:space="preserve">INF200K01AH1</t>
        </is>
      </c>
    </row>
    <row r="11405">
      <c r="A11405" t="inlineStr">
        <is>
          <t xml:space="preserve">SBI Mutual Fund</t>
        </is>
      </c>
      <c r="B11405" t="inlineStr">
        <is>
          <t xml:space="preserve">SBI GILT FUND -  GROWTH - PF (Regular) Option</t>
        </is>
      </c>
      <c r="C11405" t="inlineStr">
        <is>
          <t xml:space="preserve">INF200K01AK5</t>
        </is>
      </c>
    </row>
    <row r="11406">
      <c r="A11406" t="inlineStr">
        <is>
          <t xml:space="preserve">SBI Mutual Fund</t>
        </is>
      </c>
      <c r="B11406" t="inlineStr">
        <is>
          <t xml:space="preserve">SBI GILT FUND - DIRECT PLAN - GROWTH</t>
        </is>
      </c>
      <c r="C11406" t="inlineStr">
        <is>
          <t xml:space="preserve">INF200K01SH3</t>
        </is>
      </c>
    </row>
    <row r="11407">
      <c r="A11407" t="inlineStr">
        <is>
          <t xml:space="preserve">SBI Mutual Fund</t>
        </is>
      </c>
      <c r="B11407" t="inlineStr">
        <is>
          <t xml:space="preserve">SBI Gilt Fund - Direct Plan - Income Distribution cum Capital Withdrawal Option (IDCW)</t>
        </is>
      </c>
      <c r="C11407" t="inlineStr">
        <is>
          <t xml:space="preserve">INF200K01SF7</t>
        </is>
      </c>
    </row>
    <row r="11408">
      <c r="A11408" t="inlineStr">
        <is>
          <t xml:space="preserve">SBI Mutual Fund</t>
        </is>
      </c>
      <c r="B11408" t="inlineStr">
        <is>
          <t xml:space="preserve">SBI Gilt Fund - Income Distribution cum Capital Withdrawal Option (IDCW) - PF (Fixed Period - 1 Yr)</t>
        </is>
      </c>
      <c r="C11408" t="inlineStr">
        <is>
          <t xml:space="preserve">INF200K01AC2</t>
        </is>
      </c>
    </row>
    <row r="11409">
      <c r="A11409" t="inlineStr">
        <is>
          <t xml:space="preserve">SBI Mutual Fund</t>
        </is>
      </c>
      <c r="B11409" t="inlineStr">
        <is>
          <t xml:space="preserve">SBI Gilt Fund - Income Distribution cum Capital Withdrawal Option (IDCW) - PF (Fixed Period - 2 Yrs)</t>
        </is>
      </c>
      <c r="C11409" t="inlineStr">
        <is>
          <t xml:space="preserve">INF200K01AF5</t>
        </is>
      </c>
    </row>
    <row r="11410">
      <c r="A11410" t="inlineStr">
        <is>
          <t xml:space="preserve">SBI Mutual Fund</t>
        </is>
      </c>
      <c r="B11410" t="inlineStr">
        <is>
          <t xml:space="preserve">SBI Gilt Fund - Income Distribution cum Capital Withdrawal Option (IDCW) - PF (Fixed Period - 3 Yrs)</t>
        </is>
      </c>
      <c r="C11410" t="inlineStr">
        <is>
          <t xml:space="preserve">INF200K01AI9</t>
        </is>
      </c>
    </row>
    <row r="11411">
      <c r="A11411" t="inlineStr">
        <is>
          <t xml:space="preserve">SBI Mutual Fund</t>
        </is>
      </c>
      <c r="B11411" t="inlineStr">
        <is>
          <t xml:space="preserve">SBI GILT FUND - REGULAR PLAN - GROWTH</t>
        </is>
      </c>
      <c r="C11411" t="inlineStr">
        <is>
          <t xml:space="preserve">INF200K01982</t>
        </is>
      </c>
    </row>
    <row r="11412">
      <c r="A11412" t="inlineStr">
        <is>
          <t xml:space="preserve">SBI Mutual Fund</t>
        </is>
      </c>
      <c r="B11412" t="inlineStr">
        <is>
          <t xml:space="preserve">SBI Gilt Fund - Regular Plan - Income Distribution cum Capital Withdrawal Option (IDCW)</t>
        </is>
      </c>
      <c r="C11412" t="inlineStr">
        <is>
          <t xml:space="preserve">INF200K01990</t>
        </is>
      </c>
    </row>
    <row r="11413">
      <c r="A11413" t="inlineStr">
        <is>
          <t xml:space="preserve">SBI Mutual Fund</t>
        </is>
      </c>
      <c r="B11413" t="inlineStr">
        <is>
          <t xml:space="preserve">SBI Gold ETF</t>
        </is>
      </c>
      <c r="C11413" t="inlineStr">
        <is>
          <t xml:space="preserve">INF200KA16D8</t>
        </is>
      </c>
    </row>
    <row r="11414">
      <c r="A11414" t="inlineStr">
        <is>
          <t xml:space="preserve">SBI Mutual Fund</t>
        </is>
      </c>
      <c r="B11414" t="inlineStr">
        <is>
          <t xml:space="preserve">SBI Gold Fund - Direct Plan - Income Distribution cum Capital Withdrawal Option (IDCW)</t>
        </is>
      </c>
      <c r="C11414" t="inlineStr">
        <is>
          <t xml:space="preserve">INF200K01RN3</t>
        </is>
      </c>
    </row>
    <row r="11415">
      <c r="A11415" t="inlineStr">
        <is>
          <t xml:space="preserve">SBI Mutual Fund</t>
        </is>
      </c>
      <c r="B11415" t="inlineStr">
        <is>
          <t xml:space="preserve">SBI Gold Fund - Regular Plan - Income Distribution cum Capital Withdrawal Option (IDCW)</t>
        </is>
      </c>
      <c r="C11415" t="inlineStr">
        <is>
          <t xml:space="preserve">INF200K01HB9</t>
        </is>
      </c>
    </row>
    <row r="11416">
      <c r="A11416" t="inlineStr">
        <is>
          <t xml:space="preserve">SBI Mutual Fund</t>
        </is>
      </c>
      <c r="B11416" t="inlineStr">
        <is>
          <t xml:space="preserve">SBI GOLD FUND REGULAR PLAN - GROWTH</t>
        </is>
      </c>
      <c r="C11416" t="inlineStr">
        <is>
          <t xml:space="preserve">INF200K01HA1</t>
        </is>
      </c>
    </row>
    <row r="11417">
      <c r="A11417" t="inlineStr">
        <is>
          <t xml:space="preserve">SBI Mutual Fund</t>
        </is>
      </c>
      <c r="B11417" t="inlineStr">
        <is>
          <t xml:space="preserve">SBI GOLD FUND- DIRECT PLAN - GROWTH</t>
        </is>
      </c>
      <c r="C11417" t="inlineStr">
        <is>
          <t xml:space="preserve">INF200K01RP8</t>
        </is>
      </c>
    </row>
    <row r="11418">
      <c r="A11418" t="inlineStr">
        <is>
          <t xml:space="preserve">SBI Mutual Fund</t>
        </is>
      </c>
      <c r="B11418" t="inlineStr">
        <is>
          <t xml:space="preserve">SBI Healthcare Opportunities Fund - Direct Plan - Income Distribution cum Capital Withdrawal Option (IDCW)</t>
        </is>
      </c>
      <c r="C11418" t="inlineStr">
        <is>
          <t xml:space="preserve">INF200K01UN7</t>
        </is>
      </c>
    </row>
    <row r="11419">
      <c r="A11419" t="inlineStr">
        <is>
          <t xml:space="preserve">SBI Mutual Fund</t>
        </is>
      </c>
      <c r="B11419" t="inlineStr">
        <is>
          <t xml:space="preserve">SBI HEALTHCARE OPPORTUNITIES FUND - DIRECT PLAN -GROWTH</t>
        </is>
      </c>
      <c r="C11419" t="inlineStr">
        <is>
          <t xml:space="preserve">INF200K01UP2</t>
        </is>
      </c>
    </row>
    <row r="11420">
      <c r="A11420" t="inlineStr">
        <is>
          <t xml:space="preserve">SBI Mutual Fund</t>
        </is>
      </c>
      <c r="B11420" t="inlineStr">
        <is>
          <t xml:space="preserve">SBI Healthcare Opportunities Fund - Regular Plan - Income Distribution cum Capital Withdrawal Option (IDCW)</t>
        </is>
      </c>
      <c r="C11420" t="inlineStr">
        <is>
          <t xml:space="preserve">INF200K01453</t>
        </is>
      </c>
    </row>
    <row r="11421">
      <c r="A11421" t="inlineStr">
        <is>
          <t xml:space="preserve">SBI Mutual Fund</t>
        </is>
      </c>
      <c r="B11421" t="inlineStr">
        <is>
          <t xml:space="preserve">SBI HEALTHCARE OPPORTUNITIES FUND - REGULAR PLAN -GROWTH</t>
        </is>
      </c>
      <c r="C11421" t="inlineStr">
        <is>
          <t xml:space="preserve">INF200K01446</t>
        </is>
      </c>
    </row>
    <row r="11422">
      <c r="A11422" t="inlineStr">
        <is>
          <t xml:space="preserve">SBI Mutual Fund</t>
        </is>
      </c>
      <c r="B11422" t="inlineStr">
        <is>
          <t xml:space="preserve">SBI Income Plus Arbitrage Active FOF- Direct Plan- Growth</t>
        </is>
      </c>
      <c r="C11422" t="inlineStr">
        <is>
          <t xml:space="preserve">INF200KB1753</t>
        </is>
      </c>
    </row>
    <row r="11423">
      <c r="A11423" t="inlineStr">
        <is>
          <t xml:space="preserve">SBI Mutual Fund</t>
        </is>
      </c>
      <c r="B11423" t="inlineStr">
        <is>
          <t xml:space="preserve">SBI Income Plus Arbitrage Active FOF- Direct Plan- Income Distribution Cum Capital Withdrawal Option</t>
        </is>
      </c>
      <c r="C11423" t="inlineStr">
        <is>
          <t xml:space="preserve">INF200KB1761</t>
        </is>
      </c>
    </row>
    <row r="11424">
      <c r="A11424" t="inlineStr">
        <is>
          <t xml:space="preserve">SBI Mutual Fund</t>
        </is>
      </c>
      <c r="B11424" t="inlineStr">
        <is>
          <t xml:space="preserve">SBI Income Plus Arbitrage Active FOF- Regular Plan- Growth</t>
        </is>
      </c>
      <c r="C11424" t="inlineStr">
        <is>
          <t xml:space="preserve">INF200KB1720</t>
        </is>
      </c>
    </row>
    <row r="11425">
      <c r="A11425" t="inlineStr">
        <is>
          <t xml:space="preserve">SBI Mutual Fund</t>
        </is>
      </c>
      <c r="B11425" t="inlineStr">
        <is>
          <t xml:space="preserve">SBI Income Plus Arbitrage Active FOF- Regular Plan- Income Distribution Cum Capital Withdrawal Option</t>
        </is>
      </c>
      <c r="C11425" t="inlineStr">
        <is>
          <t xml:space="preserve">INF200KB1738</t>
        </is>
      </c>
    </row>
    <row r="11426">
      <c r="A11426" t="inlineStr">
        <is>
          <t xml:space="preserve">SBI Mutual Fund</t>
        </is>
      </c>
      <c r="B11426" t="inlineStr">
        <is>
          <t xml:space="preserve">SBI INFRASTRUCTURE FUND -  DIRECT PLAN - GROWTH</t>
        </is>
      </c>
      <c r="C11426" t="inlineStr">
        <is>
          <t xml:space="preserve">INF200K01RS2</t>
        </is>
      </c>
    </row>
    <row r="11427">
      <c r="A11427" t="inlineStr">
        <is>
          <t xml:space="preserve">SBI Mutual Fund</t>
        </is>
      </c>
      <c r="B11427" t="inlineStr">
        <is>
          <t xml:space="preserve">SBI INFRASTRUCTURE FUND -  REGULAR PLAN - GROWTH</t>
        </is>
      </c>
      <c r="C11427" t="inlineStr">
        <is>
          <t xml:space="preserve">INF200K01CT2</t>
        </is>
      </c>
    </row>
    <row r="11428">
      <c r="A11428" t="inlineStr">
        <is>
          <t xml:space="preserve">SBI Mutual Fund</t>
        </is>
      </c>
      <c r="B11428" t="inlineStr">
        <is>
          <t xml:space="preserve">SBI Infrastructure Fund - Direct Plan - Income Distribution cum Capital Withdrawal Option (IDCW)</t>
        </is>
      </c>
      <c r="C11428" t="inlineStr">
        <is>
          <t xml:space="preserve">INF200K01RQ6</t>
        </is>
      </c>
    </row>
    <row r="11429">
      <c r="A11429" t="inlineStr">
        <is>
          <t xml:space="preserve">SBI Mutual Fund</t>
        </is>
      </c>
      <c r="B11429" t="inlineStr">
        <is>
          <t xml:space="preserve">SBI Infrastructure Fund - Regular Plan - Income Distribution cum Capital Withdrawal Option (IDCW)</t>
        </is>
      </c>
      <c r="C11429" t="inlineStr">
        <is>
          <t xml:space="preserve">INF200K01CU0</t>
        </is>
      </c>
    </row>
    <row r="11430">
      <c r="A11430" t="inlineStr">
        <is>
          <t xml:space="preserve">SBI Mutual Fund</t>
        </is>
      </c>
      <c r="B11430" t="inlineStr">
        <is>
          <t xml:space="preserve">SBI Innovative Opportunities Fund - Direct Plan - Growth</t>
        </is>
      </c>
      <c r="C11430" t="inlineStr">
        <is>
          <t xml:space="preserve">INF200KB1324</t>
        </is>
      </c>
    </row>
    <row r="11431">
      <c r="A11431" t="inlineStr">
        <is>
          <t xml:space="preserve">SBI Mutual Fund</t>
        </is>
      </c>
      <c r="B11431" t="inlineStr">
        <is>
          <t xml:space="preserve">SBI Innovative Opportunities Fund - Direct Plan - Income Distribution Cum Capital Withdrawal Option</t>
        </is>
      </c>
      <c r="C11431" t="inlineStr">
        <is>
          <t xml:space="preserve">INF200KB1332</t>
        </is>
      </c>
    </row>
    <row r="11432">
      <c r="A11432" t="inlineStr">
        <is>
          <t xml:space="preserve">SBI Mutual Fund</t>
        </is>
      </c>
      <c r="B11432" t="inlineStr">
        <is>
          <t xml:space="preserve">SBI Innovative Opportunities Fund - Regular Plan - Growth</t>
        </is>
      </c>
      <c r="C11432" t="inlineStr">
        <is>
          <t xml:space="preserve">INF200KB1290</t>
        </is>
      </c>
    </row>
    <row r="11433">
      <c r="A11433" t="inlineStr">
        <is>
          <t xml:space="preserve">SBI Mutual Fund</t>
        </is>
      </c>
      <c r="B11433" t="inlineStr">
        <is>
          <t xml:space="preserve">SBI Innovative Opportunities Fund - Regular Plan - Income Distribution Cum Capital Withdrawal Option</t>
        </is>
      </c>
      <c r="C11433" t="inlineStr">
        <is>
          <t xml:space="preserve">INF200KB1308</t>
        </is>
      </c>
    </row>
    <row r="11434">
      <c r="A11434" t="inlineStr">
        <is>
          <t xml:space="preserve">SBI Mutual Fund</t>
        </is>
      </c>
      <c r="B11434" t="inlineStr">
        <is>
          <t xml:space="preserve">SBI Large &amp; Midcap Fund - Direct Plan - Income Distribution cum Capital Withdrawal Option (IDCW)</t>
        </is>
      </c>
      <c r="C11434" t="inlineStr">
        <is>
          <t xml:space="preserve">INF200K01UH9</t>
        </is>
      </c>
    </row>
    <row r="11435">
      <c r="A11435" t="inlineStr">
        <is>
          <t xml:space="preserve">SBI Mutual Fund</t>
        </is>
      </c>
      <c r="B11435" t="inlineStr">
        <is>
          <t xml:space="preserve">SBI Large &amp; Midcap Fund - Regular Plan - Income Distribution cum Capital Withdrawal Option (IDCW)</t>
        </is>
      </c>
      <c r="C11435" t="inlineStr">
        <is>
          <t xml:space="preserve">INF200K01289</t>
        </is>
      </c>
    </row>
    <row r="11436">
      <c r="A11436" t="inlineStr">
        <is>
          <t xml:space="preserve">SBI Mutual Fund</t>
        </is>
      </c>
      <c r="B11436" t="inlineStr">
        <is>
          <t xml:space="preserve">SBI LARGE &amp; MIDCAP FUND -DIRECT PLAN -Growth</t>
        </is>
      </c>
      <c r="C11436" t="inlineStr">
        <is>
          <t xml:space="preserve">INF200K01UJ5</t>
        </is>
      </c>
    </row>
    <row r="11437">
      <c r="A11437" t="inlineStr">
        <is>
          <t xml:space="preserve">SBI Mutual Fund</t>
        </is>
      </c>
      <c r="B11437" t="inlineStr">
        <is>
          <t xml:space="preserve">SBI LARGE &amp; MIDCAP FUND- REGULAR PLAN -Growth</t>
        </is>
      </c>
      <c r="C11437" t="inlineStr">
        <is>
          <t xml:space="preserve">INF200K01305</t>
        </is>
      </c>
    </row>
    <row r="11438">
      <c r="A11438" t="inlineStr">
        <is>
          <t xml:space="preserve">SBI Mutual Fund</t>
        </is>
      </c>
      <c r="B11438" t="inlineStr">
        <is>
          <t xml:space="preserve">SBI Large Cap Fund - Direct Plan - Income Distribution cum Capital Withdrawal Option (IDCW)</t>
        </is>
      </c>
      <c r="C11438" t="inlineStr">
        <is>
          <t xml:space="preserve">INF200K01QV8</t>
        </is>
      </c>
    </row>
    <row r="11439">
      <c r="A11439" t="inlineStr">
        <is>
          <t xml:space="preserve">SBI Mutual Fund</t>
        </is>
      </c>
      <c r="B11439" t="inlineStr">
        <is>
          <t xml:space="preserve">SBI Large Cap Fund - Regular Plan - Income Distribution cum Capital Withdrawal Option (IDCW)</t>
        </is>
      </c>
      <c r="C11439" t="inlineStr">
        <is>
          <t xml:space="preserve">INF200K01164</t>
        </is>
      </c>
    </row>
    <row r="11440">
      <c r="A11440" t="inlineStr">
        <is>
          <t xml:space="preserve">SBI Mutual Fund</t>
        </is>
      </c>
      <c r="B11440" t="inlineStr">
        <is>
          <t xml:space="preserve">SBI Large Cap FUND-DIRECT PLAN -GROWTH</t>
        </is>
      </c>
      <c r="C11440" t="inlineStr">
        <is>
          <t xml:space="preserve">INF200K01QX4</t>
        </is>
      </c>
    </row>
    <row r="11441">
      <c r="A11441" t="inlineStr">
        <is>
          <t xml:space="preserve">SBI Mutual Fund</t>
        </is>
      </c>
      <c r="B11441" t="inlineStr">
        <is>
          <t xml:space="preserve">SBI Large Cap FUND-REGULAR PLAN GROWTH</t>
        </is>
      </c>
      <c r="C11441" t="inlineStr">
        <is>
          <t xml:space="preserve">INF200K01180</t>
        </is>
      </c>
    </row>
    <row r="11442">
      <c r="A11442" t="inlineStr">
        <is>
          <t xml:space="preserve">SBI Mutual Fund</t>
        </is>
      </c>
      <c r="B11442" t="inlineStr">
        <is>
          <t xml:space="preserve">SBI Liquid Fund - Direct Paln - Fortnightly Income Distribution cum Capital Withdrawal Option (IDCW)</t>
        </is>
      </c>
      <c r="C11442" t="inlineStr">
        <is>
          <t xml:space="preserve">INF200K01UR8</t>
        </is>
      </c>
    </row>
    <row r="11443">
      <c r="A11443" t="inlineStr">
        <is>
          <t xml:space="preserve">SBI Mutual Fund</t>
        </is>
      </c>
      <c r="B11443" t="inlineStr">
        <is>
          <t xml:space="preserve">SBI Liquid Fund - Direct Plan - Daily Income Distribution cum Capital Withdrawal Option (IDCW)</t>
        </is>
      </c>
      <c r="C11443" t="inlineStr">
        <is>
          <t xml:space="preserve">INF200K01UQ0</t>
        </is>
      </c>
    </row>
    <row r="11444">
      <c r="A11444" t="inlineStr">
        <is>
          <t xml:space="preserve">SBI Mutual Fund</t>
        </is>
      </c>
      <c r="B11444" t="inlineStr">
        <is>
          <t xml:space="preserve">SBI Liquid Fund - Direct Plan - Weekly Income Distribution cum Capital Withdrawal Option (IDCW)</t>
        </is>
      </c>
      <c r="C11444" t="inlineStr">
        <is>
          <t xml:space="preserve">INF200K01UU2</t>
        </is>
      </c>
    </row>
    <row r="11445">
      <c r="A11445" t="inlineStr">
        <is>
          <t xml:space="preserve">SBI Mutual Fund</t>
        </is>
      </c>
      <c r="B11445" t="inlineStr">
        <is>
          <t xml:space="preserve">SBI Liquid Fund - DIRECT PLAN -Growth</t>
        </is>
      </c>
      <c r="C11445" t="inlineStr">
        <is>
          <t xml:space="preserve">INF200K01UT4</t>
        </is>
      </c>
    </row>
    <row r="11446">
      <c r="A11446" t="inlineStr">
        <is>
          <t xml:space="preserve">SBI Mutual Fund</t>
        </is>
      </c>
      <c r="B11446" t="inlineStr">
        <is>
          <t xml:space="preserve">SBI Liquid Fund - Institutional - Growth</t>
        </is>
      </c>
      <c r="C11446" t="inlineStr">
        <is>
          <t xml:space="preserve">INF200K01LU1</t>
        </is>
      </c>
    </row>
    <row r="11447">
      <c r="A11447" t="inlineStr">
        <is>
          <t xml:space="preserve">SBI Mutual Fund</t>
        </is>
      </c>
      <c r="B11447" t="inlineStr">
        <is>
          <t xml:space="preserve">SBI Liquid Fund - Institutional Daily Income Distribution cum Capital Withdrawal Option (IDCW)</t>
        </is>
      </c>
      <c r="C11447" t="inlineStr">
        <is>
          <t xml:space="preserve">INF200K01LR7</t>
        </is>
      </c>
    </row>
    <row r="11448">
      <c r="A11448" t="inlineStr">
        <is>
          <t xml:space="preserve">SBI Mutual Fund</t>
        </is>
      </c>
      <c r="B11448" t="inlineStr">
        <is>
          <t xml:space="preserve">SBI Liquid Fund - Regular Plan - Daily Income Distribution cum Capital Withdrawal Option (IDCW)</t>
        </is>
      </c>
      <c r="C11448" t="inlineStr">
        <is>
          <t xml:space="preserve">INF200K01LX5</t>
        </is>
      </c>
    </row>
    <row r="11449">
      <c r="A11449" t="inlineStr">
        <is>
          <t xml:space="preserve">SBI Mutual Fund</t>
        </is>
      </c>
      <c r="B11449" t="inlineStr">
        <is>
          <t xml:space="preserve">SBI Liquid Fund - Regular Plan - Fortnightly Income Distribution cum Capital Withdrawal Option (IDCW)</t>
        </is>
      </c>
      <c r="C11449" t="inlineStr">
        <is>
          <t xml:space="preserve">INF200K01LY3</t>
        </is>
      </c>
    </row>
    <row r="11450">
      <c r="A11450" t="inlineStr">
        <is>
          <t xml:space="preserve">SBI Mutual Fund</t>
        </is>
      </c>
      <c r="B11450" t="inlineStr">
        <is>
          <t xml:space="preserve">SBI Liquid Fund - Regular Plan - Weekly Income Distribution cum Capital Withdrawal Option (IDCW)</t>
        </is>
      </c>
      <c r="C11450" t="inlineStr">
        <is>
          <t xml:space="preserve">INF200K01MB9</t>
        </is>
      </c>
    </row>
    <row r="11451">
      <c r="A11451" t="inlineStr">
        <is>
          <t xml:space="preserve">SBI Mutual Fund</t>
        </is>
      </c>
      <c r="B11451" t="inlineStr">
        <is>
          <t xml:space="preserve">SBI Liquid Fund - REGULAR PLAN -Growth</t>
        </is>
      </c>
      <c r="C11451" t="inlineStr">
        <is>
          <t xml:space="preserve">INF200K01MA1</t>
        </is>
      </c>
    </row>
    <row r="11452">
      <c r="A11452" t="inlineStr">
        <is>
          <t xml:space="preserve">SBI Mutual Fund</t>
        </is>
      </c>
      <c r="B11452" t="inlineStr">
        <is>
          <t xml:space="preserve">SBI Long Duration Fund - Direct Plan - Growth</t>
        </is>
      </c>
      <c r="C11452" t="inlineStr">
        <is>
          <t xml:space="preserve">INF200KA16T4</t>
        </is>
      </c>
    </row>
    <row r="11453">
      <c r="A11453" t="inlineStr">
        <is>
          <t xml:space="preserve">SBI Mutual Fund</t>
        </is>
      </c>
      <c r="B11453" t="inlineStr">
        <is>
          <t xml:space="preserve">SBI Long Duration Fund - Direct Plan - Income Distribution cum Capital Withdrawal Option (IDCW)</t>
        </is>
      </c>
      <c r="C11453" t="inlineStr">
        <is>
          <t xml:space="preserve">INF200KA17T2</t>
        </is>
      </c>
    </row>
    <row r="11454">
      <c r="A11454" t="inlineStr">
        <is>
          <t xml:space="preserve">SBI Mutual Fund</t>
        </is>
      </c>
      <c r="B11454" t="inlineStr">
        <is>
          <t xml:space="preserve">SBI Long Duration Fund - Regular Plan - Growth</t>
        </is>
      </c>
      <c r="C11454" t="inlineStr">
        <is>
          <t xml:space="preserve">INF200KA13T1</t>
        </is>
      </c>
    </row>
    <row r="11455">
      <c r="A11455" t="inlineStr">
        <is>
          <t xml:space="preserve">SBI Mutual Fund</t>
        </is>
      </c>
      <c r="B11455" t="inlineStr">
        <is>
          <t xml:space="preserve">SBI Long Duration Fund - Regular Plan - Income Distribution cum Capital Withdrawal Option (IDCW)</t>
        </is>
      </c>
      <c r="C11455" t="inlineStr">
        <is>
          <t xml:space="preserve">INF200KA14T9</t>
        </is>
      </c>
    </row>
    <row r="11456">
      <c r="A11456" t="inlineStr">
        <is>
          <t xml:space="preserve">SBI Mutual Fund</t>
        </is>
      </c>
      <c r="B11456" t="inlineStr">
        <is>
          <t xml:space="preserve">SBI Long Term Advantage Fund - Series IV - Direct Plan - Growth</t>
        </is>
      </c>
      <c r="C11456" t="inlineStr">
        <is>
          <t xml:space="preserve">INF200KA1LS9</t>
        </is>
      </c>
    </row>
    <row r="11457">
      <c r="A11457" t="inlineStr">
        <is>
          <t xml:space="preserve">SBI Mutual Fund</t>
        </is>
      </c>
      <c r="B11457" t="inlineStr">
        <is>
          <t xml:space="preserve">SBI Long Term Advantage Fund - Series IV - Direct Plan - Income Distribution cum Capital Withdrawal Option (IDCW)</t>
        </is>
      </c>
      <c r="C11457" t="inlineStr">
        <is>
          <t xml:space="preserve">INF200KA1LT7</t>
        </is>
      </c>
    </row>
    <row r="11458">
      <c r="A11458" t="inlineStr">
        <is>
          <t xml:space="preserve">SBI Mutual Fund</t>
        </is>
      </c>
      <c r="B11458" t="inlineStr">
        <is>
          <t xml:space="preserve">SBI Long Term Advantage Fund - Series IV - Regular Plan - Growth</t>
        </is>
      </c>
      <c r="C11458" t="inlineStr">
        <is>
          <t xml:space="preserve">INF200KA1LQ3</t>
        </is>
      </c>
    </row>
    <row r="11459">
      <c r="A11459" t="inlineStr">
        <is>
          <t xml:space="preserve">SBI Mutual Fund</t>
        </is>
      </c>
      <c r="B11459" t="inlineStr">
        <is>
          <t xml:space="preserve">SBI Long Term Advantage Fund - Series IV - Regular Plan - Income Distribution cum Capital Withdrawal Option (IDCW)</t>
        </is>
      </c>
      <c r="C11459" t="inlineStr">
        <is>
          <t xml:space="preserve">INF200KA1LR1</t>
        </is>
      </c>
    </row>
    <row r="11460">
      <c r="A11460" t="inlineStr">
        <is>
          <t xml:space="preserve">SBI Mutual Fund</t>
        </is>
      </c>
      <c r="B11460" t="inlineStr">
        <is>
          <t xml:space="preserve">SBI Long Term Advantage Fund - Series V - Direct Plan - Growth</t>
        </is>
      </c>
      <c r="C11460" t="inlineStr">
        <is>
          <t xml:space="preserve">INF200KA1RW8</t>
        </is>
      </c>
    </row>
    <row r="11461">
      <c r="A11461" t="inlineStr">
        <is>
          <t xml:space="preserve">SBI Mutual Fund</t>
        </is>
      </c>
      <c r="B11461" t="inlineStr">
        <is>
          <t xml:space="preserve">SBI Long Term Advantage Fund - Series V - Direct Plan - Income Distribution cum Capital Withdrawal Option (IDCW)</t>
        </is>
      </c>
      <c r="C11461" t="inlineStr">
        <is>
          <t xml:space="preserve">INF200KA1RX6</t>
        </is>
      </c>
    </row>
    <row r="11462">
      <c r="A11462" t="inlineStr">
        <is>
          <t xml:space="preserve">SBI Mutual Fund</t>
        </is>
      </c>
      <c r="B11462" t="inlineStr">
        <is>
          <t xml:space="preserve">SBI Long Term Advantage Fund - Series V - Regular Plan - Income Distribution cum Capital Withdrawal Option (IDCW)</t>
        </is>
      </c>
      <c r="C11462" t="inlineStr">
        <is>
          <t xml:space="preserve">INF200KA1RV0</t>
        </is>
      </c>
    </row>
    <row r="11463">
      <c r="A11463" t="inlineStr">
        <is>
          <t xml:space="preserve">SBI Mutual Fund</t>
        </is>
      </c>
      <c r="B11463" t="inlineStr">
        <is>
          <t xml:space="preserve">SBI Long Term Advantage Fund - Series VI - Direct Plan - Growth</t>
        </is>
      </c>
      <c r="C11463" t="inlineStr">
        <is>
          <t xml:space="preserve">INF200KA1TO1</t>
        </is>
      </c>
    </row>
    <row r="11464">
      <c r="A11464" t="inlineStr">
        <is>
          <t xml:space="preserve">SBI Mutual Fund</t>
        </is>
      </c>
      <c r="B11464" t="inlineStr">
        <is>
          <t xml:space="preserve">SBI Long Term Advantage Fund - Series VI - Direct Plan - Income Distribution cum Capital Withdrawal Option (IDCW)</t>
        </is>
      </c>
      <c r="C11464" t="inlineStr">
        <is>
          <t xml:space="preserve">INF200KA1TP8</t>
        </is>
      </c>
    </row>
    <row r="11465">
      <c r="A11465" t="inlineStr">
        <is>
          <t xml:space="preserve">SBI Mutual Fund</t>
        </is>
      </c>
      <c r="B11465" t="inlineStr">
        <is>
          <t xml:space="preserve">SBI Long Term Advantage Fund - Series VI - Regular Plan - Growth</t>
        </is>
      </c>
      <c r="C11465" t="inlineStr">
        <is>
          <t xml:space="preserve">INF200KA1TM5</t>
        </is>
      </c>
    </row>
    <row r="11466">
      <c r="A11466" t="inlineStr">
        <is>
          <t xml:space="preserve">SBI Mutual Fund</t>
        </is>
      </c>
      <c r="B11466" t="inlineStr">
        <is>
          <t xml:space="preserve">SBI Long Term Advantage Fund - Series VI - Regular Plan - Income Distribution cum Capital Withdrawal Option (IDCW)</t>
        </is>
      </c>
      <c r="C11466" t="inlineStr">
        <is>
          <t xml:space="preserve">INF200KA1TN3</t>
        </is>
      </c>
    </row>
    <row r="11467">
      <c r="A11467" t="inlineStr">
        <is>
          <t xml:space="preserve">SBI Mutual Fund</t>
        </is>
      </c>
      <c r="B11467" t="inlineStr">
        <is>
          <t xml:space="preserve">SBI Long Term Advantage Fund Series V - Regular Plan - Growth</t>
        </is>
      </c>
      <c r="C11467" t="inlineStr">
        <is>
          <t xml:space="preserve">INF200KA1RU2</t>
        </is>
      </c>
    </row>
    <row r="11468">
      <c r="A11468" t="inlineStr">
        <is>
          <t xml:space="preserve">SBI Mutual Fund</t>
        </is>
      </c>
      <c r="B11468" t="inlineStr">
        <is>
          <t xml:space="preserve">SBI Low Duration Fund - Direct Plan - Daily Income Distribution cum Capital Withdrawal Option (IDCW)</t>
        </is>
      </c>
      <c r="C11468" t="inlineStr">
        <is>
          <t xml:space="preserve">INF200K01VJ3</t>
        </is>
      </c>
    </row>
    <row r="11469">
      <c r="A11469" t="inlineStr">
        <is>
          <t xml:space="preserve">SBI Mutual Fund</t>
        </is>
      </c>
      <c r="B11469" t="inlineStr">
        <is>
          <t xml:space="preserve">SBI Low Duration Fund - Direct Plan - Fortnightly Income Distribution cum Capital Withdrawal Option (IDCW)</t>
        </is>
      </c>
      <c r="C11469" t="inlineStr">
        <is>
          <t xml:space="preserve">INF200K01VK1</t>
        </is>
      </c>
    </row>
    <row r="11470">
      <c r="A11470" t="inlineStr">
        <is>
          <t xml:space="preserve">SBI Mutual Fund</t>
        </is>
      </c>
      <c r="B11470" t="inlineStr">
        <is>
          <t xml:space="preserve">SBI LOW DURATION FUND - DIRECT PLAN - GROWTH</t>
        </is>
      </c>
      <c r="C11470" t="inlineStr">
        <is>
          <t xml:space="preserve">INF200K01VM7</t>
        </is>
      </c>
    </row>
    <row r="11471">
      <c r="A11471" t="inlineStr">
        <is>
          <t xml:space="preserve">SBI Mutual Fund</t>
        </is>
      </c>
      <c r="B11471" t="inlineStr">
        <is>
          <t xml:space="preserve">SBI Low Duration Fund - Direct Plan - Monthly Income Distribution cum Capital Withdrawal Option (IDCW)</t>
        </is>
      </c>
      <c r="C11471" t="inlineStr">
        <is>
          <t xml:space="preserve">INF200K01VN5</t>
        </is>
      </c>
    </row>
    <row r="11472">
      <c r="A11472" t="inlineStr">
        <is>
          <t xml:space="preserve">SBI Mutual Fund</t>
        </is>
      </c>
      <c r="B11472" t="inlineStr">
        <is>
          <t xml:space="preserve">SBI Low Duration Fund - Direct Plan - Weekly Income Distribution cum Capital Withdrawal Option (IDCW)</t>
        </is>
      </c>
      <c r="C11472" t="inlineStr">
        <is>
          <t xml:space="preserve">INF200K01VP0</t>
        </is>
      </c>
    </row>
    <row r="11473">
      <c r="A11473" t="inlineStr">
        <is>
          <t xml:space="preserve">SBI Mutual Fund</t>
        </is>
      </c>
      <c r="B11473" t="inlineStr">
        <is>
          <t xml:space="preserve">SBI Low Duration Fund - Regular Plan - Daily Income Distribution cum Capital Withdrawal Option (IDCW)</t>
        </is>
      </c>
      <c r="C11473" t="inlineStr">
        <is>
          <t xml:space="preserve">INF200K01ML8</t>
        </is>
      </c>
    </row>
    <row r="11474">
      <c r="A11474" t="inlineStr">
        <is>
          <t xml:space="preserve">SBI Mutual Fund</t>
        </is>
      </c>
      <c r="B11474" t="inlineStr">
        <is>
          <t xml:space="preserve">SBI Low Duration Fund - Regular Plan - Fornightly Income Distribution cum Capital Withdrawal Option (IDCW)</t>
        </is>
      </c>
      <c r="C11474" t="inlineStr">
        <is>
          <t xml:space="preserve">INF200K01MM6</t>
        </is>
      </c>
    </row>
    <row r="11475">
      <c r="A11475" t="inlineStr">
        <is>
          <t xml:space="preserve">SBI Mutual Fund</t>
        </is>
      </c>
      <c r="B11475" t="inlineStr">
        <is>
          <t xml:space="preserve">SBI LOW DURATION FUND - REGULAR PLAN - GROWTH</t>
        </is>
      </c>
      <c r="C11475" t="inlineStr">
        <is>
          <t xml:space="preserve">INF200K01MO2</t>
        </is>
      </c>
    </row>
    <row r="11476">
      <c r="A11476" t="inlineStr">
        <is>
          <t xml:space="preserve">SBI Mutual Fund</t>
        </is>
      </c>
      <c r="B11476" t="inlineStr">
        <is>
          <t xml:space="preserve">SBI Low Duration Fund - Regular Plan - Monthly Income Distribution cum Capital Withdrawal Option (IDCW)</t>
        </is>
      </c>
      <c r="C11476" t="inlineStr">
        <is>
          <t xml:space="preserve">INF200K01MP9</t>
        </is>
      </c>
    </row>
    <row r="11477">
      <c r="A11477" t="inlineStr">
        <is>
          <t xml:space="preserve">SBI Mutual Fund</t>
        </is>
      </c>
      <c r="B11477" t="inlineStr">
        <is>
          <t xml:space="preserve">SBI Low Duration Fund - Regular Plan - Weekly Income Distribution cum Capital Withdrawal Option (IDCW)</t>
        </is>
      </c>
      <c r="C11477" t="inlineStr">
        <is>
          <t xml:space="preserve">INF200K01MR5</t>
        </is>
      </c>
    </row>
    <row r="11478">
      <c r="A11478" t="inlineStr">
        <is>
          <t xml:space="preserve">SBI Mutual Fund</t>
        </is>
      </c>
      <c r="B11478" t="inlineStr">
        <is>
          <t xml:space="preserve">SBI MEDIUM DURATION FUND - DIRECT PLAN - GROWTH</t>
        </is>
      </c>
      <c r="C11478" t="inlineStr">
        <is>
          <t xml:space="preserve">INF200K01VB0</t>
        </is>
      </c>
    </row>
    <row r="11479">
      <c r="A11479" t="inlineStr">
        <is>
          <t xml:space="preserve">SBI Mutual Fund</t>
        </is>
      </c>
      <c r="B11479" t="inlineStr">
        <is>
          <t xml:space="preserve">SBI Medium Duration Fund - Direct Plan - Income Distribution cum Capital Withdrawal Option (IDCW)</t>
        </is>
      </c>
      <c r="C11479" t="inlineStr">
        <is>
          <t xml:space="preserve">INF200K01UZ1</t>
        </is>
      </c>
    </row>
    <row r="11480">
      <c r="A11480" t="inlineStr">
        <is>
          <t xml:space="preserve">SBI Mutual Fund</t>
        </is>
      </c>
      <c r="B11480" t="inlineStr">
        <is>
          <t xml:space="preserve">SBI MEDIUM DURATION FUND - REGULAR PLAN - GROWTH</t>
        </is>
      </c>
      <c r="C11480" t="inlineStr">
        <is>
          <t xml:space="preserve">INF200K01719</t>
        </is>
      </c>
    </row>
    <row r="11481">
      <c r="A11481" t="inlineStr">
        <is>
          <t xml:space="preserve">SBI Mutual Fund</t>
        </is>
      </c>
      <c r="B11481" t="inlineStr">
        <is>
          <t xml:space="preserve">SBI Medium Duration Fund - Regular Plan - Income Distribution cum Capital Withdrawal Option (IDCW)</t>
        </is>
      </c>
      <c r="C11481" t="inlineStr">
        <is>
          <t xml:space="preserve">INF200K01727</t>
        </is>
      </c>
    </row>
    <row r="11482">
      <c r="A11482" t="inlineStr">
        <is>
          <t xml:space="preserve">SBI Mutual Fund</t>
        </is>
      </c>
      <c r="B11482" t="inlineStr">
        <is>
          <t xml:space="preserve">SBI Medium to Long Duration Fund - Direct Plan - Half Yearly - Income Distribution cum Capital Withdrawal Option (IDCW)</t>
        </is>
      </c>
      <c r="C11482" t="inlineStr">
        <is>
          <t xml:space="preserve">INF200K01SP6</t>
        </is>
      </c>
    </row>
    <row r="11483">
      <c r="A11483" t="inlineStr">
        <is>
          <t xml:space="preserve">SBI Mutual Fund</t>
        </is>
      </c>
      <c r="B11483" t="inlineStr">
        <is>
          <t xml:space="preserve">SBI Medium to Long Duration Fund - Direct Plan - Quarterly Income Distribution cum Capital Withdrawal Option (IDCW)</t>
        </is>
      </c>
      <c r="C11483" t="inlineStr">
        <is>
          <t xml:space="preserve">INF200K01YS8</t>
        </is>
      </c>
    </row>
    <row r="11484">
      <c r="A11484" t="inlineStr">
        <is>
          <t xml:space="preserve">SBI Mutual Fund</t>
        </is>
      </c>
      <c r="B11484" t="inlineStr">
        <is>
          <t xml:space="preserve">SBI Medium to Long Duration Fund - Regular Plan - Half Yearly - Income Distribution cum Capital Withdrawal Option (IDCW)</t>
        </is>
      </c>
      <c r="C11484" t="inlineStr">
        <is>
          <t xml:space="preserve">INF200K01610</t>
        </is>
      </c>
    </row>
    <row r="11485">
      <c r="A11485" t="inlineStr">
        <is>
          <t xml:space="preserve">SBI Mutual Fund</t>
        </is>
      </c>
      <c r="B11485" t="inlineStr">
        <is>
          <t xml:space="preserve">SBI Medium to Long Duration Fund - Regular Plan - Quarterly Income Distribution cum Capital Withdrawal Option (IDCW)</t>
        </is>
      </c>
      <c r="C11485" t="inlineStr">
        <is>
          <t xml:space="preserve">INF200K01YQ2</t>
        </is>
      </c>
    </row>
    <row r="11486">
      <c r="A11486" t="inlineStr">
        <is>
          <t xml:space="preserve">SBI Mutual Fund</t>
        </is>
      </c>
      <c r="B11486" t="inlineStr">
        <is>
          <t xml:space="preserve">SBI Medium to Long Duration Fund-DIRECT PLAN - Bonus</t>
        </is>
      </c>
      <c r="C11486" t="inlineStr">
        <is>
          <t xml:space="preserve">INF200K01SO9</t>
        </is>
      </c>
    </row>
    <row r="11487">
      <c r="A11487" t="inlineStr">
        <is>
          <t xml:space="preserve">SBI Mutual Fund</t>
        </is>
      </c>
      <c r="B11487" t="inlineStr">
        <is>
          <t xml:space="preserve">SBI Medium to Long Duration Fund-DIRECT PLAN -Growth</t>
        </is>
      </c>
      <c r="C11487" t="inlineStr">
        <is>
          <t xml:space="preserve">INF200K01SR2</t>
        </is>
      </c>
    </row>
    <row r="11488">
      <c r="A11488" t="inlineStr">
        <is>
          <t xml:space="preserve">SBI Mutual Fund</t>
        </is>
      </c>
      <c r="B11488" t="inlineStr">
        <is>
          <t xml:space="preserve">SBI Medium to Long Duration Fund-REGULAR PLAN-Bonus</t>
        </is>
      </c>
      <c r="C11488" t="inlineStr">
        <is>
          <t xml:space="preserve">INF200K01602</t>
        </is>
      </c>
    </row>
    <row r="11489">
      <c r="A11489" t="inlineStr">
        <is>
          <t xml:space="preserve">SBI Mutual Fund</t>
        </is>
      </c>
      <c r="B11489" t="inlineStr">
        <is>
          <t xml:space="preserve">SBI Medium to Long Duration Fund-REGULAR PLAN-Growth</t>
        </is>
      </c>
      <c r="C11489" t="inlineStr">
        <is>
          <t xml:space="preserve">INF200K01594</t>
        </is>
      </c>
    </row>
    <row r="11490">
      <c r="A11490" t="inlineStr">
        <is>
          <t xml:space="preserve">SBI Mutual Fund</t>
        </is>
      </c>
      <c r="B11490" t="inlineStr">
        <is>
          <t xml:space="preserve">SBI MIDCAP FUND - DIRECT PLAN - GROWTH</t>
        </is>
      </c>
      <c r="C11490" t="inlineStr">
        <is>
          <t xml:space="preserve">INF200K01TP4</t>
        </is>
      </c>
    </row>
    <row r="11491">
      <c r="A11491" t="inlineStr">
        <is>
          <t xml:space="preserve">SBI Mutual Fund</t>
        </is>
      </c>
      <c r="B11491" t="inlineStr">
        <is>
          <t xml:space="preserve">SBI Midcap Fund - Direct Plan - Income Distribution cum Capital Withdrawal Option (IDCW)</t>
        </is>
      </c>
      <c r="C11491" t="inlineStr">
        <is>
          <t xml:space="preserve">INF200K01TN9</t>
        </is>
      </c>
    </row>
    <row r="11492">
      <c r="A11492" t="inlineStr">
        <is>
          <t xml:space="preserve">SBI Mutual Fund</t>
        </is>
      </c>
      <c r="B11492" t="inlineStr">
        <is>
          <t xml:space="preserve">SBI MIDCAP FUND - REGULAR PLAN - GROWTH</t>
        </is>
      </c>
      <c r="C11492" t="inlineStr">
        <is>
          <t xml:space="preserve">INF200K01560</t>
        </is>
      </c>
    </row>
    <row r="11493">
      <c r="A11493" t="inlineStr">
        <is>
          <t xml:space="preserve">SBI Mutual Fund</t>
        </is>
      </c>
      <c r="B11493" t="inlineStr">
        <is>
          <t xml:space="preserve">SBI Midcap Fund - Regular Plan - Income Distribution cum Capital Withdrawal Option (IDCW)</t>
        </is>
      </c>
      <c r="C11493" t="inlineStr">
        <is>
          <t xml:space="preserve">INF200K01578</t>
        </is>
      </c>
    </row>
    <row r="11494">
      <c r="A11494" t="inlineStr">
        <is>
          <t xml:space="preserve">SBI Mutual Fund</t>
        </is>
      </c>
      <c r="B11494" t="inlineStr">
        <is>
          <t xml:space="preserve">SBI MNC Fund - Direct Plan - Income Distribution cum Capital Withdrawal Option (IDCW)</t>
        </is>
      </c>
      <c r="C11494" t="inlineStr">
        <is>
          <t xml:space="preserve">INF200K01SL5</t>
        </is>
      </c>
    </row>
    <row r="11495">
      <c r="A11495" t="inlineStr">
        <is>
          <t xml:space="preserve">SBI Mutual Fund</t>
        </is>
      </c>
      <c r="B11495" t="inlineStr">
        <is>
          <t xml:space="preserve">SBI MNC FUND - DIRECT PLAN -GROWTH</t>
        </is>
      </c>
      <c r="C11495" t="inlineStr">
        <is>
          <t xml:space="preserve">INF200K01SN1</t>
        </is>
      </c>
    </row>
    <row r="11496">
      <c r="A11496" t="inlineStr">
        <is>
          <t xml:space="preserve">SBI Mutual Fund</t>
        </is>
      </c>
      <c r="B11496" t="inlineStr">
        <is>
          <t xml:space="preserve">SBI MNC Fund - Regular Plan - Income Distribution cum Capital Withdrawal Option (IDCW)</t>
        </is>
      </c>
      <c r="C11496" t="inlineStr">
        <is>
          <t xml:space="preserve">INF200K01255</t>
        </is>
      </c>
    </row>
    <row r="11497">
      <c r="A11497" t="inlineStr">
        <is>
          <t xml:space="preserve">SBI Mutual Fund</t>
        </is>
      </c>
      <c r="B11497" t="inlineStr">
        <is>
          <t xml:space="preserve">SBI MNC FUND - REGULAR PLAN -GROWTH</t>
        </is>
      </c>
      <c r="C11497" t="inlineStr">
        <is>
          <t xml:space="preserve">INF200K01271</t>
        </is>
      </c>
    </row>
    <row r="11498">
      <c r="A11498" t="inlineStr">
        <is>
          <t xml:space="preserve">SBI Mutual Fund</t>
        </is>
      </c>
      <c r="B11498" t="inlineStr">
        <is>
          <t xml:space="preserve">SBI Multi Asset Allocation Fund - Direct Plan - Annual Income Distribution cum Capital Withdrawal Option (IDCW)</t>
        </is>
      </c>
      <c r="C11498" t="inlineStr">
        <is>
          <t xml:space="preserve">INF200K01TX8</t>
        </is>
      </c>
    </row>
    <row r="11499">
      <c r="A11499" t="inlineStr">
        <is>
          <t xml:space="preserve">SBI Mutual Fund</t>
        </is>
      </c>
      <c r="B11499" t="inlineStr">
        <is>
          <t xml:space="preserve">SBI MULTI ASSET ALLOCATION FUND - DIRECT PLAN - GROWTH</t>
        </is>
      </c>
      <c r="C11499" t="inlineStr">
        <is>
          <t xml:space="preserve">INF200K01TZ3</t>
        </is>
      </c>
    </row>
    <row r="11500">
      <c r="A11500" t="inlineStr">
        <is>
          <t xml:space="preserve">SBI Mutual Fund</t>
        </is>
      </c>
      <c r="B11500" t="inlineStr">
        <is>
          <t xml:space="preserve">SBI Multi Asset Allocation Fund - Direct Plan - Monthly Income Distribution cum Capital Withdrawal Option (IDCW)</t>
        </is>
      </c>
      <c r="C11500" t="inlineStr">
        <is>
          <t xml:space="preserve">INF200K01UA4</t>
        </is>
      </c>
    </row>
    <row r="11501">
      <c r="A11501" t="inlineStr">
        <is>
          <t xml:space="preserve">SBI Mutual Fund</t>
        </is>
      </c>
      <c r="B11501" t="inlineStr">
        <is>
          <t xml:space="preserve">SBI Multi Asset Allocation Fund - Direct Plan - Quarterly Income Distribution cum Capital Withdrawal Option (IDCW)</t>
        </is>
      </c>
      <c r="C11501" t="inlineStr">
        <is>
          <t xml:space="preserve">INF200K01UC0</t>
        </is>
      </c>
    </row>
    <row r="11502">
      <c r="A11502" t="inlineStr">
        <is>
          <t xml:space="preserve">SBI Mutual Fund</t>
        </is>
      </c>
      <c r="B11502" t="inlineStr">
        <is>
          <t xml:space="preserve">SBI Multi Asset Allocation Fund - Regular Plan - Annual Income Distribution cum Capital Withdrawal Option (IDCW)</t>
        </is>
      </c>
      <c r="C11502" t="inlineStr">
        <is>
          <t xml:space="preserve">INF200K01784</t>
        </is>
      </c>
    </row>
    <row r="11503">
      <c r="A11503" t="inlineStr">
        <is>
          <t xml:space="preserve">SBI Mutual Fund</t>
        </is>
      </c>
      <c r="B11503" t="inlineStr">
        <is>
          <t xml:space="preserve">SBI MULTI ASSET ALLOCATION FUND - REGULAR PLAN - GROWTH</t>
        </is>
      </c>
      <c r="C11503" t="inlineStr">
        <is>
          <t xml:space="preserve">INF200K01800</t>
        </is>
      </c>
    </row>
    <row r="11504">
      <c r="A11504" t="inlineStr">
        <is>
          <t xml:space="preserve">SBI Mutual Fund</t>
        </is>
      </c>
      <c r="B11504" t="inlineStr">
        <is>
          <t xml:space="preserve">SBI Multi Asset Allocation Fund - Regular Plan - Monthly Income Distribution cum Capital Withdrawal Option (IDCW)</t>
        </is>
      </c>
      <c r="C11504" t="inlineStr">
        <is>
          <t xml:space="preserve">INF200K01818</t>
        </is>
      </c>
    </row>
    <row r="11505">
      <c r="A11505" t="inlineStr">
        <is>
          <t xml:space="preserve">SBI Mutual Fund</t>
        </is>
      </c>
      <c r="B11505" t="inlineStr">
        <is>
          <t xml:space="preserve">SBI Multi Asset Allocation Fund - Regular Plan - Quarterly Income Distribution cum Capital Withdrawal Option (IDCW)</t>
        </is>
      </c>
      <c r="C11505" t="inlineStr">
        <is>
          <t xml:space="preserve">INF200K01834</t>
        </is>
      </c>
    </row>
    <row r="11506">
      <c r="A11506" t="inlineStr">
        <is>
          <t xml:space="preserve">SBI Mutual Fund</t>
        </is>
      </c>
      <c r="B11506" t="inlineStr">
        <is>
          <t xml:space="preserve">SBI Multicap Fund- Direct Plan - Income Distribution cum Capital Withdrawal Option (IDCW)</t>
        </is>
      </c>
      <c r="C11506" t="inlineStr">
        <is>
          <t xml:space="preserve">INF200KA19E0</t>
        </is>
      </c>
    </row>
    <row r="11507">
      <c r="A11507" t="inlineStr">
        <is>
          <t xml:space="preserve">SBI Mutual Fund</t>
        </is>
      </c>
      <c r="B11507" t="inlineStr">
        <is>
          <t xml:space="preserve">SBI Multicap Fund- Direct Plan- Growth option</t>
        </is>
      </c>
      <c r="C11507" t="inlineStr">
        <is>
          <t xml:space="preserve">INF200KA18E2</t>
        </is>
      </c>
    </row>
    <row r="11508">
      <c r="A11508" t="inlineStr">
        <is>
          <t xml:space="preserve">SBI Mutual Fund</t>
        </is>
      </c>
      <c r="B11508" t="inlineStr">
        <is>
          <t xml:space="preserve">SBI Multicap Fund- Regular Plan- Growth Option</t>
        </is>
      </c>
      <c r="C11508" t="inlineStr">
        <is>
          <t xml:space="preserve">INF200KA15E8</t>
        </is>
      </c>
    </row>
    <row r="11509">
      <c r="A11509" t="inlineStr">
        <is>
          <t xml:space="preserve">SBI Mutual Fund</t>
        </is>
      </c>
      <c r="B11509" t="inlineStr">
        <is>
          <t xml:space="preserve">SBI Multicap Fund- Regular Plan- Income Distribution cum Capital Withdrawal Option (IDCW)</t>
        </is>
      </c>
      <c r="C11509" t="inlineStr">
        <is>
          <t xml:space="preserve">INF200KA16E6</t>
        </is>
      </c>
    </row>
    <row r="11510">
      <c r="A11510" t="inlineStr">
        <is>
          <t xml:space="preserve">SBI Mutual Fund</t>
        </is>
      </c>
      <c r="B11510" t="inlineStr">
        <is>
          <t xml:space="preserve">SBI Nifty 10 yr Benchmark G-Sec ETF</t>
        </is>
      </c>
      <c r="C11510" t="inlineStr">
        <is>
          <t xml:space="preserve">INF200KA1JT1</t>
        </is>
      </c>
    </row>
    <row r="11511">
      <c r="A11511" t="inlineStr">
        <is>
          <t xml:space="preserve">SBI Mutual Fund</t>
        </is>
      </c>
      <c r="B11511" t="inlineStr">
        <is>
          <t xml:space="preserve">SBI Nifty 1D Rate Liquid ETF - Growth</t>
        </is>
      </c>
      <c r="C11511" t="inlineStr">
        <is>
          <t xml:space="preserve">INF200KB1969</t>
        </is>
      </c>
    </row>
    <row r="11512">
      <c r="A11512" t="inlineStr">
        <is>
          <t xml:space="preserve">SBI Mutual Fund</t>
        </is>
      </c>
      <c r="B11512" t="inlineStr">
        <is>
          <t xml:space="preserve">SBI NIFTY 1D Rate Liquid ETF - IDCW</t>
        </is>
      </c>
      <c r="C11512" t="inlineStr">
        <is>
          <t xml:space="preserve">INF200KA13Z8</t>
        </is>
      </c>
    </row>
    <row r="11513">
      <c r="A11513" t="inlineStr">
        <is>
          <t xml:space="preserve">SBI Mutual Fund</t>
        </is>
      </c>
      <c r="B11513" t="inlineStr">
        <is>
          <t xml:space="preserve">SBI Nifty 200 Quality 30 ETF</t>
        </is>
      </c>
      <c r="C11513" t="inlineStr">
        <is>
          <t xml:space="preserve">INF200KA1WX6</t>
        </is>
      </c>
    </row>
    <row r="11514">
      <c r="A11514" t="inlineStr">
        <is>
          <t xml:space="preserve">SBI Mutual Fund</t>
        </is>
      </c>
      <c r="B11514" t="inlineStr">
        <is>
          <t xml:space="preserve">SBI Nifty 50 ETF</t>
        </is>
      </c>
      <c r="C11514" t="inlineStr">
        <is>
          <t xml:space="preserve">INF200KA1FS1</t>
        </is>
      </c>
    </row>
    <row r="11515">
      <c r="A11515" t="inlineStr">
        <is>
          <t xml:space="preserve">SBI Mutual Fund</t>
        </is>
      </c>
      <c r="B11515" t="inlineStr">
        <is>
          <t xml:space="preserve">SBI Nifty 500 Index Fund- Direct Plan- Growth</t>
        </is>
      </c>
      <c r="C11515" t="inlineStr">
        <is>
          <t xml:space="preserve">INF200KB1381</t>
        </is>
      </c>
    </row>
    <row r="11516">
      <c r="A11516" t="inlineStr">
        <is>
          <t xml:space="preserve">SBI Mutual Fund</t>
        </is>
      </c>
      <c r="B11516" t="inlineStr">
        <is>
          <t xml:space="preserve">SBI Nifty 500 Index Fund- Direct Plan- Income Distribution Cum Capital Withdrawal (IDCW)</t>
        </is>
      </c>
      <c r="C11516" t="inlineStr">
        <is>
          <t xml:space="preserve">INF200KB1399</t>
        </is>
      </c>
    </row>
    <row r="11517">
      <c r="A11517" t="inlineStr">
        <is>
          <t xml:space="preserve">SBI Mutual Fund</t>
        </is>
      </c>
      <c r="B11517" t="inlineStr">
        <is>
          <t xml:space="preserve">SBI Nifty 500 Index Fund- Regular Plan- Growth</t>
        </is>
      </c>
      <c r="C11517" t="inlineStr">
        <is>
          <t xml:space="preserve">INF200KB1357</t>
        </is>
      </c>
    </row>
    <row r="11518">
      <c r="A11518" t="inlineStr">
        <is>
          <t xml:space="preserve">SBI Mutual Fund</t>
        </is>
      </c>
      <c r="B11518" t="inlineStr">
        <is>
          <t xml:space="preserve">SBI Nifty 500 Index Fund- Regular Plan- Income Distribution Cum Capital Withdrawal (IDCW)</t>
        </is>
      </c>
      <c r="C11518" t="inlineStr">
        <is>
          <t xml:space="preserve">INF200KB1365</t>
        </is>
      </c>
    </row>
    <row r="11519">
      <c r="A11519" t="inlineStr">
        <is>
          <t xml:space="preserve">SBI Mutual Fund</t>
        </is>
      </c>
      <c r="B11519" t="inlineStr">
        <is>
          <t xml:space="preserve">SBI Nifty Bank ETF</t>
        </is>
      </c>
      <c r="C11519" t="inlineStr">
        <is>
          <t xml:space="preserve">INF200KA1580</t>
        </is>
      </c>
    </row>
    <row r="11520">
      <c r="A11520" t="inlineStr">
        <is>
          <t xml:space="preserve">SBI Mutual Fund</t>
        </is>
      </c>
      <c r="B11520" t="inlineStr">
        <is>
          <t xml:space="preserve">SBI Nifty Bank Index Fund- Regular Plan- Income Distribution Cum Capital Withdrawal Option</t>
        </is>
      </c>
      <c r="C11520" t="inlineStr">
        <is>
          <t xml:space="preserve">INF200KB1548</t>
        </is>
      </c>
    </row>
    <row r="11521">
      <c r="A11521" t="inlineStr">
        <is>
          <t xml:space="preserve">SBI Mutual Fund</t>
        </is>
      </c>
      <c r="B11521" t="inlineStr">
        <is>
          <t xml:space="preserve">SBI Nifty Bank Index Fund-Direct Plan- Growth</t>
        </is>
      </c>
      <c r="C11521" t="inlineStr">
        <is>
          <t xml:space="preserve">INF200KB1563</t>
        </is>
      </c>
    </row>
    <row r="11522">
      <c r="A11522" t="inlineStr">
        <is>
          <t xml:space="preserve">SBI Mutual Fund</t>
        </is>
      </c>
      <c r="B11522" t="inlineStr">
        <is>
          <t xml:space="preserve">SBI Nifty Bank Index Fund-Direct Plan- Income Distribution Cum Capital Withdrawal Option</t>
        </is>
      </c>
      <c r="C11522" t="inlineStr">
        <is>
          <t xml:space="preserve">INF200KB1571</t>
        </is>
      </c>
    </row>
    <row r="11523">
      <c r="A11523" t="inlineStr">
        <is>
          <t xml:space="preserve">SBI Mutual Fund</t>
        </is>
      </c>
      <c r="B11523" t="inlineStr">
        <is>
          <t xml:space="preserve">SBI Nifty Bank Index Fund-Regular Plan- Growth</t>
        </is>
      </c>
      <c r="C11523" t="inlineStr">
        <is>
          <t xml:space="preserve">INF200KB1530</t>
        </is>
      </c>
    </row>
    <row r="11524">
      <c r="A11524" t="inlineStr">
        <is>
          <t xml:space="preserve">SBI Mutual Fund</t>
        </is>
      </c>
      <c r="B11524" t="inlineStr">
        <is>
          <t xml:space="preserve">SBI Nifty Consumption ETF</t>
        </is>
      </c>
      <c r="C11524" t="inlineStr">
        <is>
          <t xml:space="preserve">INF200KA1X17</t>
        </is>
      </c>
    </row>
    <row r="11525">
      <c r="A11525" t="inlineStr">
        <is>
          <t xml:space="preserve">SBI Mutual Fund</t>
        </is>
      </c>
      <c r="B11525" t="inlineStr">
        <is>
          <t xml:space="preserve">SBI NIFTY G-SEC JUL 2031 INDEX FUND - DIRECT - GROWTH</t>
        </is>
      </c>
      <c r="C11525" t="inlineStr">
        <is>
          <t xml:space="preserve">INF200KB1BC3</t>
        </is>
      </c>
    </row>
    <row r="11526">
      <c r="A11526" t="inlineStr">
        <is>
          <t xml:space="preserve">SBI Mutual Fund</t>
        </is>
      </c>
      <c r="B11526" t="inlineStr">
        <is>
          <t xml:space="preserve">SBI NIFTY G-SEC JUL 2031 INDEX FUND - DIRECT - IDCW</t>
        </is>
      </c>
      <c r="C11526" t="inlineStr">
        <is>
          <t xml:space="preserve">INF200KB1BD1</t>
        </is>
      </c>
    </row>
    <row r="11527">
      <c r="A11527" t="inlineStr">
        <is>
          <t xml:space="preserve">SBI Mutual Fund</t>
        </is>
      </c>
      <c r="B11527" t="inlineStr">
        <is>
          <t xml:space="preserve">SBI Nifty G-sec Jul 2031 Index Fund - REGULAR - GROWTH</t>
        </is>
      </c>
      <c r="C11527" t="inlineStr">
        <is>
          <t xml:space="preserve">INF200KB1AZ6</t>
        </is>
      </c>
    </row>
    <row r="11528">
      <c r="A11528" t="inlineStr">
        <is>
          <t xml:space="preserve">SBI Mutual Fund</t>
        </is>
      </c>
      <c r="B11528" t="inlineStr">
        <is>
          <t xml:space="preserve">SBI NIFTY G-SEC JUL 2031 INDEX FUND - REGULAR - IDCW</t>
        </is>
      </c>
      <c r="C11528" t="inlineStr">
        <is>
          <t xml:space="preserve">INF200KB1BA7</t>
        </is>
      </c>
    </row>
    <row r="11529">
      <c r="A11529" t="inlineStr">
        <is>
          <t xml:space="preserve">SBI Mutual Fund</t>
        </is>
      </c>
      <c r="B11529" t="inlineStr">
        <is>
          <t xml:space="preserve">SBI NIFTY INDEX FUND - DIRECT PLAN - GROWTH</t>
        </is>
      </c>
      <c r="C11529" t="inlineStr">
        <is>
          <t xml:space="preserve">INF200K01TE8</t>
        </is>
      </c>
    </row>
    <row r="11530">
      <c r="A11530" t="inlineStr">
        <is>
          <t xml:space="preserve">SBI Mutual Fund</t>
        </is>
      </c>
      <c r="B11530" t="inlineStr">
        <is>
          <t xml:space="preserve">SBI Nifty Index Fund - Direct Plan - Income Distribution cum Capital Withdrawal Option (IDCW)</t>
        </is>
      </c>
      <c r="C11530" t="inlineStr">
        <is>
          <t xml:space="preserve">INF200K01TC2</t>
        </is>
      </c>
    </row>
    <row r="11531">
      <c r="A11531" t="inlineStr">
        <is>
          <t xml:space="preserve">SBI Mutual Fund</t>
        </is>
      </c>
      <c r="B11531" t="inlineStr">
        <is>
          <t xml:space="preserve">SBI NIFTY INDEX FUND - REGULAR PLAN - GROWTH</t>
        </is>
      </c>
      <c r="C11531" t="inlineStr">
        <is>
          <t xml:space="preserve">INF200K01537</t>
        </is>
      </c>
    </row>
    <row r="11532">
      <c r="A11532" t="inlineStr">
        <is>
          <t xml:space="preserve">SBI Mutual Fund</t>
        </is>
      </c>
      <c r="B11532" t="inlineStr">
        <is>
          <t xml:space="preserve">SBI Nifty Index Fund - Regular Plan - Income Distribution cum Capital Withdrawal Option (IDCW)</t>
        </is>
      </c>
      <c r="C11532" t="inlineStr">
        <is>
          <t xml:space="preserve">INF200K01545</t>
        </is>
      </c>
    </row>
    <row r="11533">
      <c r="A11533" t="inlineStr">
        <is>
          <t xml:space="preserve">SBI Mutual Fund</t>
        </is>
      </c>
      <c r="B11533" t="inlineStr">
        <is>
          <t xml:space="preserve">SBI Nifty India Consumption Index Fund- Direct Plan- Growth</t>
        </is>
      </c>
      <c r="C11533" t="inlineStr">
        <is>
          <t xml:space="preserve">INF200KB1449</t>
        </is>
      </c>
    </row>
    <row r="11534">
      <c r="A11534" t="inlineStr">
        <is>
          <t xml:space="preserve">SBI Mutual Fund</t>
        </is>
      </c>
      <c r="B11534" t="inlineStr">
        <is>
          <t xml:space="preserve">SBI Nifty India Consumption Index Fund- Direct Plan- IDCW Payout</t>
        </is>
      </c>
      <c r="C11534" t="inlineStr">
        <is>
          <t xml:space="preserve">INF200KB1456</t>
        </is>
      </c>
    </row>
    <row r="11535">
      <c r="A11535" t="inlineStr">
        <is>
          <t xml:space="preserve">SBI Mutual Fund</t>
        </is>
      </c>
      <c r="B11535" t="inlineStr">
        <is>
          <t xml:space="preserve">SBI Nifty India Consumption Index Fund- Regular Plan- Growth</t>
        </is>
      </c>
      <c r="C11535" t="inlineStr">
        <is>
          <t xml:space="preserve">INF200KB1415</t>
        </is>
      </c>
    </row>
    <row r="11536">
      <c r="A11536" t="inlineStr">
        <is>
          <t xml:space="preserve">SBI Mutual Fund</t>
        </is>
      </c>
      <c r="B11536" t="inlineStr">
        <is>
          <t xml:space="preserve">SBI Nifty India Consumption Index Fund- Regular Plan- IDCW Payout</t>
        </is>
      </c>
      <c r="C11536" t="inlineStr">
        <is>
          <t xml:space="preserve">INF200KB1423</t>
        </is>
      </c>
    </row>
    <row r="11537">
      <c r="A11537" t="inlineStr">
        <is>
          <t xml:space="preserve">SBI Mutual Fund</t>
        </is>
      </c>
      <c r="B11537" t="inlineStr">
        <is>
          <t xml:space="preserve">SBI Nifty IT ETF</t>
        </is>
      </c>
      <c r="C11537" t="inlineStr">
        <is>
          <t xml:space="preserve">INF200KA1S14</t>
        </is>
      </c>
    </row>
    <row r="11538">
      <c r="A11538" t="inlineStr">
        <is>
          <t xml:space="preserve">SBI Mutual Fund</t>
        </is>
      </c>
      <c r="B11538" t="inlineStr">
        <is>
          <t xml:space="preserve">SBI Nifty IT Index Fund - Direct Plan - Growth</t>
        </is>
      </c>
      <c r="C11538" t="inlineStr">
        <is>
          <t xml:space="preserve">INF200KB1621</t>
        </is>
      </c>
    </row>
    <row r="11539">
      <c r="A11539" t="inlineStr">
        <is>
          <t xml:space="preserve">SBI Mutual Fund</t>
        </is>
      </c>
      <c r="B11539" t="inlineStr">
        <is>
          <t xml:space="preserve">SBI Nifty IT Index Fund - Direct Plan - Income Distribution Cum Withdrawal Option (IDCW)</t>
        </is>
      </c>
      <c r="C11539" t="inlineStr">
        <is>
          <t xml:space="preserve">INF200KB1639</t>
        </is>
      </c>
    </row>
    <row r="11540">
      <c r="A11540" t="inlineStr">
        <is>
          <t xml:space="preserve">SBI Mutual Fund</t>
        </is>
      </c>
      <c r="B11540" t="inlineStr">
        <is>
          <t xml:space="preserve">SBI Nifty IT Index Fund - Regular Plan - Growth</t>
        </is>
      </c>
      <c r="C11540" t="inlineStr">
        <is>
          <t xml:space="preserve">INF200KB1597</t>
        </is>
      </c>
    </row>
    <row r="11541">
      <c r="A11541" t="inlineStr">
        <is>
          <t xml:space="preserve">SBI Mutual Fund</t>
        </is>
      </c>
      <c r="B11541" t="inlineStr">
        <is>
          <t xml:space="preserve">SBI Nifty IT Index Fund - Regular Plan - Income Distribution Cum Capital Withdrawal Option (IDCW)</t>
        </is>
      </c>
      <c r="C11541" t="inlineStr">
        <is>
          <t xml:space="preserve">INF200KB1605</t>
        </is>
      </c>
    </row>
    <row r="11542">
      <c r="A11542" t="inlineStr">
        <is>
          <t xml:space="preserve">SBI Mutual Fund</t>
        </is>
      </c>
      <c r="B11542" t="inlineStr">
        <is>
          <t xml:space="preserve">SBI Nifty Midcap 150 ETF</t>
        </is>
      </c>
      <c r="C11542" t="inlineStr">
        <is>
          <t xml:space="preserve">INF200KB1AK8</t>
        </is>
      </c>
    </row>
    <row r="11543">
      <c r="A11543" t="inlineStr">
        <is>
          <t xml:space="preserve">SBI Mutual Fund</t>
        </is>
      </c>
      <c r="B11543" t="inlineStr">
        <is>
          <t xml:space="preserve">SBI Nifty Midcap 150 Index Fund - Direct Plan - Growth</t>
        </is>
      </c>
      <c r="C11543" t="inlineStr">
        <is>
          <t xml:space="preserve">INF200KA10P5</t>
        </is>
      </c>
    </row>
    <row r="11544">
      <c r="A11544" t="inlineStr">
        <is>
          <t xml:space="preserve">SBI Mutual Fund</t>
        </is>
      </c>
      <c r="B11544" t="inlineStr">
        <is>
          <t xml:space="preserve">SBI Nifty Midcap 150 Index Fund - Direct Plan - Income Distribution cum Capital Withdrawal Option (IDCW)</t>
        </is>
      </c>
      <c r="C11544" t="inlineStr">
        <is>
          <t xml:space="preserve">INF200KA11P3</t>
        </is>
      </c>
    </row>
    <row r="11545">
      <c r="A11545" t="inlineStr">
        <is>
          <t xml:space="preserve">SBI Mutual Fund</t>
        </is>
      </c>
      <c r="B11545" t="inlineStr">
        <is>
          <t xml:space="preserve">SBI Nifty Midcap 150 Index Fund - Regular Plan - Growth</t>
        </is>
      </c>
      <c r="C11545" t="inlineStr">
        <is>
          <t xml:space="preserve">INF200KA17O3</t>
        </is>
      </c>
    </row>
    <row r="11546">
      <c r="A11546" t="inlineStr">
        <is>
          <t xml:space="preserve">SBI Mutual Fund</t>
        </is>
      </c>
      <c r="B11546" t="inlineStr">
        <is>
          <t xml:space="preserve">SBI Nifty Midcap 150 Index Fund - Regular Plan - Income Distribution cum Capital Withdrawal Option (IDCW)</t>
        </is>
      </c>
      <c r="C11546" t="inlineStr">
        <is>
          <t xml:space="preserve">INF200KA18O1</t>
        </is>
      </c>
    </row>
    <row r="11547">
      <c r="A11547" t="inlineStr">
        <is>
          <t xml:space="preserve">SBI Mutual Fund</t>
        </is>
      </c>
      <c r="B11547" t="inlineStr">
        <is>
          <t xml:space="preserve">SBI Nifty Midcap 150 Momentum 50 ETF</t>
        </is>
      </c>
      <c r="C11547" t="inlineStr">
        <is>
          <t xml:space="preserve">INF200KB1AJ0</t>
        </is>
      </c>
    </row>
    <row r="11548">
      <c r="A11548" t="inlineStr">
        <is>
          <t xml:space="preserve">SBI Mutual Fund</t>
        </is>
      </c>
      <c r="B11548" t="inlineStr">
        <is>
          <t xml:space="preserve">SBI Nifty Next 50 ETF</t>
        </is>
      </c>
      <c r="C11548" t="inlineStr">
        <is>
          <t xml:space="preserve">INF200KA1598</t>
        </is>
      </c>
    </row>
    <row r="11549">
      <c r="A11549" t="inlineStr">
        <is>
          <t xml:space="preserve">SBI Mutual Fund</t>
        </is>
      </c>
      <c r="B11549" t="inlineStr">
        <is>
          <t xml:space="preserve">SBI Nifty Next 50 Index Fund - Direct Plan - Growth</t>
        </is>
      </c>
      <c r="C11549" t="inlineStr">
        <is>
          <t xml:space="preserve">INF200KA1W00</t>
        </is>
      </c>
    </row>
    <row r="11550">
      <c r="A11550" t="inlineStr">
        <is>
          <t xml:space="preserve">SBI Mutual Fund</t>
        </is>
      </c>
      <c r="B11550" t="inlineStr">
        <is>
          <t xml:space="preserve">SBI Nifty Next 50 Index Fund - Direct Plan - Income Distribution cum Capital Withdrawal Option (IDCW)</t>
        </is>
      </c>
      <c r="C11550" t="inlineStr">
        <is>
          <t xml:space="preserve">INF200KA1W18</t>
        </is>
      </c>
    </row>
    <row r="11551">
      <c r="A11551" t="inlineStr">
        <is>
          <t xml:space="preserve">SBI Mutual Fund</t>
        </is>
      </c>
      <c r="B11551" t="inlineStr">
        <is>
          <t xml:space="preserve">SBI Nifty Next 50 Index Fund - Regular Plan - Growth</t>
        </is>
      </c>
      <c r="C11551" t="inlineStr">
        <is>
          <t xml:space="preserve">INF200KA1V76</t>
        </is>
      </c>
    </row>
    <row r="11552">
      <c r="A11552" t="inlineStr">
        <is>
          <t xml:space="preserve">SBI Mutual Fund</t>
        </is>
      </c>
      <c r="B11552" t="inlineStr">
        <is>
          <t xml:space="preserve">SBI Nifty Next 50 Index Fund - Regular Plan - Income Distribution cum Capital Withdrawal Option (IDCW)</t>
        </is>
      </c>
      <c r="C11552" t="inlineStr">
        <is>
          <t xml:space="preserve">INF200KA1V84</t>
        </is>
      </c>
    </row>
    <row r="11553">
      <c r="A11553" t="inlineStr">
        <is>
          <t xml:space="preserve">SBI Mutual Fund</t>
        </is>
      </c>
      <c r="B11553" t="inlineStr">
        <is>
          <t xml:space="preserve">SBI Nifty Private Bank ETF</t>
        </is>
      </c>
      <c r="C11553" t="inlineStr">
        <is>
          <t xml:space="preserve">INF200KA1S22</t>
        </is>
      </c>
    </row>
    <row r="11554">
      <c r="A11554" t="inlineStr">
        <is>
          <t xml:space="preserve">SBI Mutual Fund</t>
        </is>
      </c>
      <c r="B11554" t="inlineStr">
        <is>
          <t xml:space="preserve">SBI Nifty Smallcap 250 ETF</t>
        </is>
      </c>
      <c r="C11554" t="inlineStr">
        <is>
          <t xml:space="preserve">INF200KB1AY9</t>
        </is>
      </c>
    </row>
    <row r="11555">
      <c r="A11555" t="inlineStr">
        <is>
          <t xml:space="preserve">SBI Mutual Fund</t>
        </is>
      </c>
      <c r="B11555" t="inlineStr">
        <is>
          <t xml:space="preserve">SBI Nifty Smallcap 250 Index Fund - Direct Plan - Growth</t>
        </is>
      </c>
      <c r="C11555" t="inlineStr">
        <is>
          <t xml:space="preserve">INF200KA16P2</t>
        </is>
      </c>
    </row>
    <row r="11556">
      <c r="A11556" t="inlineStr">
        <is>
          <t xml:space="preserve">SBI Mutual Fund</t>
        </is>
      </c>
      <c r="B11556" t="inlineStr">
        <is>
          <t xml:space="preserve">SBI Nifty Smallcap 250 Index Fund - Direct Plan - Income Distribution cum Capital Withdrawal Option (IDCW)</t>
        </is>
      </c>
      <c r="C11556" t="inlineStr">
        <is>
          <t xml:space="preserve">INF200KA17P0</t>
        </is>
      </c>
    </row>
    <row r="11557">
      <c r="A11557" t="inlineStr">
        <is>
          <t xml:space="preserve">SBI Mutual Fund</t>
        </is>
      </c>
      <c r="B11557" t="inlineStr">
        <is>
          <t xml:space="preserve">SBI Nifty Smallcap 250 Index Fund - Regular Plan - Growth</t>
        </is>
      </c>
      <c r="C11557" t="inlineStr">
        <is>
          <t xml:space="preserve">INF200KA13P9</t>
        </is>
      </c>
    </row>
    <row r="11558">
      <c r="A11558" t="inlineStr">
        <is>
          <t xml:space="preserve">SBI Mutual Fund</t>
        </is>
      </c>
      <c r="B11558" t="inlineStr">
        <is>
          <t xml:space="preserve">SBI Nifty Smallcap 250 Index Fund - Regular Plan - Income Distribution cum Capital Withdrawal Option (IDCW)</t>
        </is>
      </c>
      <c r="C11558" t="inlineStr">
        <is>
          <t xml:space="preserve">INF200KA14P7</t>
        </is>
      </c>
    </row>
    <row r="11559">
      <c r="A11559" t="inlineStr">
        <is>
          <t xml:space="preserve">SBI Mutual Fund</t>
        </is>
      </c>
      <c r="B11559" t="inlineStr">
        <is>
          <t xml:space="preserve">SBI Nifty100 Low Volatility 30 Index Fund- Direct Plan- Growth</t>
        </is>
      </c>
      <c r="C11559" t="inlineStr">
        <is>
          <t xml:space="preserve">INF200KB1936</t>
        </is>
      </c>
    </row>
    <row r="11560">
      <c r="A11560" t="inlineStr">
        <is>
          <t xml:space="preserve">SBI Mutual Fund</t>
        </is>
      </c>
      <c r="B11560" t="inlineStr">
        <is>
          <t xml:space="preserve">SBI Nifty100 Low Volatility 30 Index Fund- Regular Plan- Growth</t>
        </is>
      </c>
      <c r="C11560" t="inlineStr">
        <is>
          <t xml:space="preserve">INF200KB1902</t>
        </is>
      </c>
    </row>
    <row r="11561">
      <c r="A11561" t="inlineStr">
        <is>
          <t xml:space="preserve">SBI Mutual Fund</t>
        </is>
      </c>
      <c r="B11561" t="inlineStr">
        <is>
          <t xml:space="preserve">SBI Nifty100 Low Volatility 30 Index Fund- Regular Plan- Income Cum Distribution Capital Withdrawal Option (IDCW)</t>
        </is>
      </c>
      <c r="C11561" t="inlineStr">
        <is>
          <t xml:space="preserve">INF200KB1910</t>
        </is>
      </c>
    </row>
    <row r="11562">
      <c r="A11562" t="inlineStr">
        <is>
          <t xml:space="preserve">SBI Mutual Fund</t>
        </is>
      </c>
      <c r="B11562" t="inlineStr">
        <is>
          <t xml:space="preserve">SBI Nifty100 Low Volatility 30 Index Fund-Direct  Plan- Income Cum Distribution Capital Withdrawal Option (IDCW)</t>
        </is>
      </c>
      <c r="C11562" t="inlineStr">
        <is>
          <t xml:space="preserve">INF200KB1944</t>
        </is>
      </c>
    </row>
    <row r="11563">
      <c r="A11563" t="inlineStr">
        <is>
          <t xml:space="preserve">SBI Mutual Fund</t>
        </is>
      </c>
      <c r="B11563" t="inlineStr">
        <is>
          <t xml:space="preserve">SBI Nifty200 Momentum 30 Index Fund- Direct Plan- Growth</t>
        </is>
      </c>
      <c r="C11563" t="inlineStr">
        <is>
          <t xml:space="preserve">INF200KB1878</t>
        </is>
      </c>
    </row>
    <row r="11564">
      <c r="A11564" t="inlineStr">
        <is>
          <t xml:space="preserve">SBI Mutual Fund</t>
        </is>
      </c>
      <c r="B11564" t="inlineStr">
        <is>
          <t xml:space="preserve">SBI Nifty200 Momentum 30 Index Fund- Direct Plan- Income Cum Distribution Capital Withdrawal Option (IDCW)</t>
        </is>
      </c>
      <c r="C11564" t="inlineStr">
        <is>
          <t xml:space="preserve">INF200KB1886</t>
        </is>
      </c>
    </row>
    <row r="11565">
      <c r="A11565" t="inlineStr">
        <is>
          <t xml:space="preserve">SBI Mutual Fund</t>
        </is>
      </c>
      <c r="B11565" t="inlineStr">
        <is>
          <t xml:space="preserve">SBI Nifty200 Momentum 30 Index Fund- Regular Plan- Growth</t>
        </is>
      </c>
      <c r="C11565" t="inlineStr">
        <is>
          <t xml:space="preserve">INF200KB1845</t>
        </is>
      </c>
    </row>
    <row r="11566">
      <c r="A11566" t="inlineStr">
        <is>
          <t xml:space="preserve">SBI Mutual Fund</t>
        </is>
      </c>
      <c r="B11566" t="inlineStr">
        <is>
          <t xml:space="preserve">SBI Nifty200 Momentum 30 Index Fund- Regular Plan- Income Distribution Cum Capital Withdrawal Option (IDCW)</t>
        </is>
      </c>
      <c r="C11566" t="inlineStr">
        <is>
          <t xml:space="preserve">INF200KB1852</t>
        </is>
      </c>
    </row>
    <row r="11567">
      <c r="A11567" t="inlineStr">
        <is>
          <t xml:space="preserve">SBI Mutual Fund</t>
        </is>
      </c>
      <c r="B11567" t="inlineStr">
        <is>
          <t xml:space="preserve">SBI Nifty200 Quality 30 Index Fund- Direct Plan- Income Distribution Cum Capital Withdrawal Option</t>
        </is>
      </c>
      <c r="C11567" t="inlineStr">
        <is>
          <t xml:space="preserve">INF200KB1829</t>
        </is>
      </c>
    </row>
    <row r="11568">
      <c r="A11568" t="inlineStr">
        <is>
          <t xml:space="preserve">SBI Mutual Fund</t>
        </is>
      </c>
      <c r="B11568" t="inlineStr">
        <is>
          <t xml:space="preserve">SBI Nifty200 Quality 30 Index Fund- Regular Plan- Income Cum Distribution Withdrawal Option</t>
        </is>
      </c>
      <c r="C11568" t="inlineStr">
        <is>
          <t xml:space="preserve">INF200KB1795</t>
        </is>
      </c>
    </row>
    <row r="11569">
      <c r="A11569" t="inlineStr">
        <is>
          <t xml:space="preserve">SBI Mutual Fund</t>
        </is>
      </c>
      <c r="B11569" t="inlineStr">
        <is>
          <t xml:space="preserve">SBI Nifty200 Quality 30 Index Fund-Direct Plan- Growth</t>
        </is>
      </c>
      <c r="C11569" t="inlineStr">
        <is>
          <t xml:space="preserve">INF200KB1811</t>
        </is>
      </c>
    </row>
    <row r="11570">
      <c r="A11570" t="inlineStr">
        <is>
          <t xml:space="preserve">SBI Mutual Fund</t>
        </is>
      </c>
      <c r="B11570" t="inlineStr">
        <is>
          <t xml:space="preserve">SBI Nifty200 Quality 30 Index Fund-Regular Plan- Growth</t>
        </is>
      </c>
      <c r="C11570" t="inlineStr">
        <is>
          <t xml:space="preserve">INF200KB1787</t>
        </is>
      </c>
    </row>
    <row r="11571">
      <c r="A11571" t="inlineStr">
        <is>
          <t xml:space="preserve">SBI Mutual Fund</t>
        </is>
      </c>
      <c r="B11571" t="inlineStr">
        <is>
          <t xml:space="preserve">SBI Nifty200 Value 30 ETF</t>
        </is>
      </c>
      <c r="C11571" t="inlineStr">
        <is>
          <t xml:space="preserve">INF200KB1AX1</t>
        </is>
      </c>
    </row>
    <row r="11572">
      <c r="A11572" t="inlineStr">
        <is>
          <t xml:space="preserve">SBI Mutual Fund</t>
        </is>
      </c>
      <c r="B11572" t="inlineStr">
        <is>
          <t xml:space="preserve">SBI Nifty50 Equal Weight ETF</t>
        </is>
      </c>
      <c r="C11572" t="inlineStr">
        <is>
          <t xml:space="preserve">INF200KB1282</t>
        </is>
      </c>
    </row>
    <row r="11573">
      <c r="A11573" t="inlineStr">
        <is>
          <t xml:space="preserve">SBI Mutual Fund</t>
        </is>
      </c>
      <c r="B11573" t="inlineStr">
        <is>
          <t xml:space="preserve">SBI Nifty50 Equal Weight Index Fund - Direct Plan - Growth</t>
        </is>
      </c>
      <c r="C11573" t="inlineStr">
        <is>
          <t xml:space="preserve">INF200KB1027</t>
        </is>
      </c>
    </row>
    <row r="11574">
      <c r="A11574" t="inlineStr">
        <is>
          <t xml:space="preserve">SBI Mutual Fund</t>
        </is>
      </c>
      <c r="B11574" t="inlineStr">
        <is>
          <t xml:space="preserve">SBI Nifty50 Equal Weight Index Fund - Direct Plan - Income Distribution Cum Capital Withdrawal Option</t>
        </is>
      </c>
      <c r="C11574" t="inlineStr">
        <is>
          <t xml:space="preserve">INF200KB1035</t>
        </is>
      </c>
    </row>
    <row r="11575">
      <c r="A11575" t="inlineStr">
        <is>
          <t xml:space="preserve">SBI Mutual Fund</t>
        </is>
      </c>
      <c r="B11575" t="inlineStr">
        <is>
          <t xml:space="preserve">SBI Nifty50 Equal Weight Index Fund - Regular Plan - Growth</t>
        </is>
      </c>
      <c r="C11575" t="inlineStr">
        <is>
          <t xml:space="preserve">INF200KA18Z7</t>
        </is>
      </c>
    </row>
    <row r="11576">
      <c r="A11576" t="inlineStr">
        <is>
          <t xml:space="preserve">SBI Mutual Fund</t>
        </is>
      </c>
      <c r="B11576" t="inlineStr">
        <is>
          <t xml:space="preserve">SBI Nifty50 Equal Weight Index Fund - Regular Plan - Income Distribution Cum Capital Withdrawal Option</t>
        </is>
      </c>
      <c r="C11576" t="inlineStr">
        <is>
          <t xml:space="preserve">INF200KA19Z5</t>
        </is>
      </c>
    </row>
    <row r="11577">
      <c r="A11577" t="inlineStr">
        <is>
          <t xml:space="preserve">SBI Mutual Fund</t>
        </is>
      </c>
      <c r="B11577" t="inlineStr">
        <is>
          <t xml:space="preserve">SBI Overnight Fund - Direct Plan - Daily Income Distribution cum Capital Withdrawal Option (IDCW)</t>
        </is>
      </c>
      <c r="C11577" t="inlineStr">
        <is>
          <t xml:space="preserve">INF200K01TJ7</t>
        </is>
      </c>
    </row>
    <row r="11578">
      <c r="A11578" t="inlineStr">
        <is>
          <t xml:space="preserve">SBI Mutual Fund</t>
        </is>
      </c>
      <c r="B11578" t="inlineStr">
        <is>
          <t xml:space="preserve">SBI OVERNIGHT FUND - DIRECT PLAN - GROWTH</t>
        </is>
      </c>
      <c r="C11578" t="inlineStr">
        <is>
          <t xml:space="preserve">INF200K01TK5</t>
        </is>
      </c>
    </row>
    <row r="11579">
      <c r="A11579" t="inlineStr">
        <is>
          <t xml:space="preserve">SBI Mutual Fund</t>
        </is>
      </c>
      <c r="B11579" t="inlineStr">
        <is>
          <t xml:space="preserve">SBI Overnight Fund - Direct Plan - Weekly Income Distribution cum Capital Withdrawal Option (IDCW)</t>
        </is>
      </c>
      <c r="C11579" t="inlineStr">
        <is>
          <t xml:space="preserve">INF200K01TL3</t>
        </is>
      </c>
    </row>
    <row r="11580">
      <c r="A11580" t="inlineStr">
        <is>
          <t xml:space="preserve">SBI Mutual Fund</t>
        </is>
      </c>
      <c r="B11580" t="inlineStr">
        <is>
          <t xml:space="preserve">SBI Overnight Fund - Regular Plan - Daily Income Distribution cum Capital Withdrawal Option (IDCW)</t>
        </is>
      </c>
      <c r="C11580" t="inlineStr">
        <is>
          <t xml:space="preserve">INF200K01LN6</t>
        </is>
      </c>
    </row>
    <row r="11581">
      <c r="A11581" t="inlineStr">
        <is>
          <t xml:space="preserve">SBI Mutual Fund</t>
        </is>
      </c>
      <c r="B11581" t="inlineStr">
        <is>
          <t xml:space="preserve">SBI OVERNIGHT FUND - REGULAR PLAN - GROWTH</t>
        </is>
      </c>
      <c r="C11581" t="inlineStr">
        <is>
          <t xml:space="preserve">INF200K01LQ9</t>
        </is>
      </c>
    </row>
    <row r="11582">
      <c r="A11582" t="inlineStr">
        <is>
          <t xml:space="preserve">SBI Mutual Fund</t>
        </is>
      </c>
      <c r="B11582" t="inlineStr">
        <is>
          <t xml:space="preserve">SBI Overnight Fund - Regular Plan - Weekly Income Distribution cum Capital Withdrawal Option (IDCW)</t>
        </is>
      </c>
      <c r="C11582" t="inlineStr">
        <is>
          <t xml:space="preserve">INF200K01LO4</t>
        </is>
      </c>
    </row>
    <row r="11583">
      <c r="A11583" t="inlineStr">
        <is>
          <t xml:space="preserve">SBI Mutual Fund</t>
        </is>
      </c>
      <c r="B11583" t="inlineStr">
        <is>
          <t xml:space="preserve">SBI PSU Fund - DIRECT PLAN - GROWTH</t>
        </is>
      </c>
      <c r="C11583" t="inlineStr">
        <is>
          <t xml:space="preserve">INF200K01UY4</t>
        </is>
      </c>
    </row>
    <row r="11584">
      <c r="A11584" t="inlineStr">
        <is>
          <t xml:space="preserve">SBI Mutual Fund</t>
        </is>
      </c>
      <c r="B11584" t="inlineStr">
        <is>
          <t xml:space="preserve">SBI PSU Fund - Direct Plan - Income Distribution cum Capital Withdrawal Option (IDCW)</t>
        </is>
      </c>
      <c r="C11584" t="inlineStr">
        <is>
          <t xml:space="preserve">INF200K01UW8</t>
        </is>
      </c>
    </row>
    <row r="11585">
      <c r="A11585" t="inlineStr">
        <is>
          <t xml:space="preserve">SBI Mutual Fund</t>
        </is>
      </c>
      <c r="B11585" t="inlineStr">
        <is>
          <t xml:space="preserve">SBI PSU Fund - Regular Plan - Income Distribution cum Capital Withdrawal Option (IDCW)</t>
        </is>
      </c>
      <c r="C11585" t="inlineStr">
        <is>
          <t xml:space="preserve">INF200K01BD8</t>
        </is>
      </c>
    </row>
    <row r="11586">
      <c r="A11586" t="inlineStr">
        <is>
          <t xml:space="preserve">SBI Mutual Fund</t>
        </is>
      </c>
      <c r="B11586" t="inlineStr">
        <is>
          <t xml:space="preserve">SBI PSU Fund - REGULAR PLAN -Growth</t>
        </is>
      </c>
      <c r="C11586" t="inlineStr">
        <is>
          <t xml:space="preserve">INF200K01BC0</t>
        </is>
      </c>
    </row>
    <row r="11587">
      <c r="A11587" t="inlineStr">
        <is>
          <t xml:space="preserve">SBI Mutual Fund</t>
        </is>
      </c>
      <c r="B11587" t="inlineStr">
        <is>
          <t xml:space="preserve">SBI Quality Fund - Direct Plan - Growth</t>
        </is>
      </c>
      <c r="C11587" t="inlineStr">
        <is>
          <t xml:space="preserve">INF200KB1AG6</t>
        </is>
      </c>
    </row>
    <row r="11588">
      <c r="A11588" t="inlineStr">
        <is>
          <t xml:space="preserve">SBI Mutual Fund</t>
        </is>
      </c>
      <c r="B11588" t="inlineStr">
        <is>
          <t xml:space="preserve">SBI Quality Fund - Direct Plan - Income Distribution Cum Capital Withdrawal</t>
        </is>
      </c>
      <c r="C11588" t="inlineStr">
        <is>
          <t xml:space="preserve">INF200KB1AH4</t>
        </is>
      </c>
    </row>
    <row r="11589">
      <c r="A11589" t="inlineStr">
        <is>
          <t xml:space="preserve">SBI Mutual Fund</t>
        </is>
      </c>
      <c r="B11589" t="inlineStr">
        <is>
          <t xml:space="preserve">SBI Quality Fund - Regular Plan - Growth</t>
        </is>
      </c>
      <c r="C11589" t="inlineStr">
        <is>
          <t xml:space="preserve">INF200KB1AD3</t>
        </is>
      </c>
    </row>
    <row r="11590">
      <c r="A11590" t="inlineStr">
        <is>
          <t xml:space="preserve">SBI Mutual Fund</t>
        </is>
      </c>
      <c r="B11590" t="inlineStr">
        <is>
          <t xml:space="preserve">SBI Quality Fund - Regular Plan - Income Distribution Cum Capital Withdrawal</t>
        </is>
      </c>
      <c r="C11590" t="inlineStr">
        <is>
          <t xml:space="preserve">INF200KB1AE1</t>
        </is>
      </c>
    </row>
    <row r="11591">
      <c r="A11591" t="inlineStr">
        <is>
          <t xml:space="preserve">SBI Mutual Fund</t>
        </is>
      </c>
      <c r="B11591" t="inlineStr">
        <is>
          <t xml:space="preserve">SBI Quant Fund- Direct Plan- Growth</t>
        </is>
      </c>
      <c r="C11591" t="inlineStr">
        <is>
          <t xml:space="preserve">INF200KB1506</t>
        </is>
      </c>
    </row>
    <row r="11592">
      <c r="A11592" t="inlineStr">
        <is>
          <t xml:space="preserve">SBI Mutual Fund</t>
        </is>
      </c>
      <c r="B11592" t="inlineStr">
        <is>
          <t xml:space="preserve">SBI Quant Fund- Direct Plan- Income Distribution cum Capital Withdrawal Option (IDCW)</t>
        </is>
      </c>
      <c r="C11592" t="inlineStr">
        <is>
          <t xml:space="preserve">INF200KB1514</t>
        </is>
      </c>
    </row>
    <row r="11593">
      <c r="A11593" t="inlineStr">
        <is>
          <t xml:space="preserve">SBI Mutual Fund</t>
        </is>
      </c>
      <c r="B11593" t="inlineStr">
        <is>
          <t xml:space="preserve">SBI Quant Fund- Regular Plan- Growth</t>
        </is>
      </c>
      <c r="C11593" t="inlineStr">
        <is>
          <t xml:space="preserve">INF200KB1472</t>
        </is>
      </c>
    </row>
    <row r="11594">
      <c r="A11594" t="inlineStr">
        <is>
          <t xml:space="preserve">SBI Mutual Fund</t>
        </is>
      </c>
      <c r="B11594" t="inlineStr">
        <is>
          <t xml:space="preserve">SBI Quant Fund- Regular Plan- Income Distribution Cum Capital Withdrawal Option (IDCW)</t>
        </is>
      </c>
      <c r="C11594" t="inlineStr">
        <is>
          <t xml:space="preserve">INF200KB1480</t>
        </is>
      </c>
    </row>
    <row r="11595">
      <c r="A11595" t="inlineStr">
        <is>
          <t xml:space="preserve">SBI Mutual Fund</t>
        </is>
      </c>
      <c r="B11595" t="inlineStr">
        <is>
          <t xml:space="preserve">SBI Retirement Benefit Fund - Aggressive Hybrid Plan - Direct Plan - Growth</t>
        </is>
      </c>
      <c r="C11595" t="inlineStr">
        <is>
          <t xml:space="preserve">INF200KA1S97</t>
        </is>
      </c>
    </row>
    <row r="11596">
      <c r="A11596" t="inlineStr">
        <is>
          <t xml:space="preserve">SBI Mutual Fund</t>
        </is>
      </c>
      <c r="B11596" t="inlineStr">
        <is>
          <t xml:space="preserve">SBI Retirement Benefit Fund - Aggressive Hybrid Plan - Direct Plan - Income Distribution cum Capital Withdrawal Option (IDCW)</t>
        </is>
      </c>
      <c r="C11596" t="inlineStr">
        <is>
          <t xml:space="preserve">INF200KA1T05</t>
        </is>
      </c>
    </row>
    <row r="11597">
      <c r="A11597" t="inlineStr">
        <is>
          <t xml:space="preserve">SBI Mutual Fund</t>
        </is>
      </c>
      <c r="B11597" t="inlineStr">
        <is>
          <t xml:space="preserve">SBI Retirement Benefit Fund - Aggressive Hybrid Plan - Regular Plan - Growth</t>
        </is>
      </c>
      <c r="C11597" t="inlineStr">
        <is>
          <t xml:space="preserve">INF200KA1S71</t>
        </is>
      </c>
    </row>
    <row r="11598">
      <c r="A11598" t="inlineStr">
        <is>
          <t xml:space="preserve">SBI Mutual Fund</t>
        </is>
      </c>
      <c r="B11598" t="inlineStr">
        <is>
          <t xml:space="preserve">SBI Retirement Benefit Fund - Aggressive Hybrid Plan - Regular Plan - Income Distribution cum Capital Withdrawal Option (IDCW)</t>
        </is>
      </c>
      <c r="C11598" t="inlineStr">
        <is>
          <t xml:space="preserve">INF200KA1S89</t>
        </is>
      </c>
    </row>
    <row r="11599">
      <c r="A11599" t="inlineStr">
        <is>
          <t xml:space="preserve">SBI Mutual Fund</t>
        </is>
      </c>
      <c r="B11599" t="inlineStr">
        <is>
          <t xml:space="preserve">SBI Retirement Benefit Fund - Aggressive Plan - Direct Plan - Growth</t>
        </is>
      </c>
      <c r="C11599" t="inlineStr">
        <is>
          <t xml:space="preserve">INF200KA1S55</t>
        </is>
      </c>
    </row>
    <row r="11600">
      <c r="A11600" t="inlineStr">
        <is>
          <t xml:space="preserve">SBI Mutual Fund</t>
        </is>
      </c>
      <c r="B11600" t="inlineStr">
        <is>
          <t xml:space="preserve">SBI Retirement Benefit Fund - Aggressive Plan - Direct Plan - Income Distribution cum Capital Withdrawal Option (IDCW)</t>
        </is>
      </c>
      <c r="C11600" t="inlineStr">
        <is>
          <t xml:space="preserve">INF200KA1S63</t>
        </is>
      </c>
    </row>
    <row r="11601">
      <c r="A11601" t="inlineStr">
        <is>
          <t xml:space="preserve">SBI Mutual Fund</t>
        </is>
      </c>
      <c r="B11601" t="inlineStr">
        <is>
          <t xml:space="preserve">SBI Retirement Benefit Fund - Aggressive Plan - Regular Plan - Growth</t>
        </is>
      </c>
      <c r="C11601" t="inlineStr">
        <is>
          <t xml:space="preserve">INF200KA1S30</t>
        </is>
      </c>
    </row>
    <row r="11602">
      <c r="A11602" t="inlineStr">
        <is>
          <t xml:space="preserve">SBI Mutual Fund</t>
        </is>
      </c>
      <c r="B11602" t="inlineStr">
        <is>
          <t xml:space="preserve">SBI Retirement Benefit Fund - Aggressive Plan - Regular Plan - Income Distribution cum Capital Withdrawal Option (IDCW)</t>
        </is>
      </c>
      <c r="C11602" t="inlineStr">
        <is>
          <t xml:space="preserve">INF200KA1S48</t>
        </is>
      </c>
    </row>
    <row r="11603">
      <c r="A11603" t="inlineStr">
        <is>
          <t xml:space="preserve">SBI Mutual Fund</t>
        </is>
      </c>
      <c r="B11603" t="inlineStr">
        <is>
          <t xml:space="preserve">SBI Retirement Benefit Fund - Conservative Hybrid Plan - Direct Plan - Growth</t>
        </is>
      </c>
      <c r="C11603" t="inlineStr">
        <is>
          <t xml:space="preserve">INF200KA1T70</t>
        </is>
      </c>
    </row>
    <row r="11604">
      <c r="A11604" t="inlineStr">
        <is>
          <t xml:space="preserve">SBI Mutual Fund</t>
        </is>
      </c>
      <c r="B11604" t="inlineStr">
        <is>
          <t xml:space="preserve">SBI Retirement Benefit Fund - Conservative Hybrid Plan - Direct Plan - Income Distribution cum Capital Withdrawal Option (IDCW)</t>
        </is>
      </c>
      <c r="C11604" t="inlineStr">
        <is>
          <t xml:space="preserve">INF200KA1T88</t>
        </is>
      </c>
    </row>
    <row r="11605">
      <c r="A11605" t="inlineStr">
        <is>
          <t xml:space="preserve">SBI Mutual Fund</t>
        </is>
      </c>
      <c r="B11605" t="inlineStr">
        <is>
          <t xml:space="preserve">SBI Retirement Benefit Fund - Conservative Hybrid Plan - Regular Plan - Growth</t>
        </is>
      </c>
      <c r="C11605" t="inlineStr">
        <is>
          <t xml:space="preserve">INF200KA1T54</t>
        </is>
      </c>
    </row>
    <row r="11606">
      <c r="A11606" t="inlineStr">
        <is>
          <t xml:space="preserve">SBI Mutual Fund</t>
        </is>
      </c>
      <c r="B11606" t="inlineStr">
        <is>
          <t xml:space="preserve">SBI Retirement Benefit Fund - Conservative Hybrid Plan - Regular Plan - Income Distribution cum Capital Withdrawal Option (IDCW)</t>
        </is>
      </c>
      <c r="C11606" t="inlineStr">
        <is>
          <t xml:space="preserve">INF200KA1T62</t>
        </is>
      </c>
    </row>
    <row r="11607">
      <c r="A11607" t="inlineStr">
        <is>
          <t xml:space="preserve">SBI Mutual Fund</t>
        </is>
      </c>
      <c r="B11607" t="inlineStr">
        <is>
          <t xml:space="preserve">SBI Retirement Benefit Fund - Conservative Plan - Direct Plan - Growth</t>
        </is>
      </c>
      <c r="C11607" t="inlineStr">
        <is>
          <t xml:space="preserve">INF200KA1T39</t>
        </is>
      </c>
    </row>
    <row r="11608">
      <c r="A11608" t="inlineStr">
        <is>
          <t xml:space="preserve">SBI Mutual Fund</t>
        </is>
      </c>
      <c r="B11608" t="inlineStr">
        <is>
          <t xml:space="preserve">SBI Retirement Benefit Fund - Conservative Plan - Direct Plan - Income Distribution cum Capital Withdrawal Option (IDCW)</t>
        </is>
      </c>
      <c r="C11608" t="inlineStr">
        <is>
          <t xml:space="preserve">INF200KA1T47</t>
        </is>
      </c>
    </row>
    <row r="11609">
      <c r="A11609" t="inlineStr">
        <is>
          <t xml:space="preserve">SBI Mutual Fund</t>
        </is>
      </c>
      <c r="B11609" t="inlineStr">
        <is>
          <t xml:space="preserve">SBI Retirement Benefit Fund - Conservative Plan - Regular Plan - Growth</t>
        </is>
      </c>
      <c r="C11609" t="inlineStr">
        <is>
          <t xml:space="preserve">INF200KA1T13</t>
        </is>
      </c>
    </row>
    <row r="11610">
      <c r="A11610" t="inlineStr">
        <is>
          <t xml:space="preserve">SBI Mutual Fund</t>
        </is>
      </c>
      <c r="B11610" t="inlineStr">
        <is>
          <t xml:space="preserve">SBI Retirement Benefit Fund - Conservative Plan - Regular Plan - Income Distribution cum Capital Withdrawal Option (IDCW)</t>
        </is>
      </c>
      <c r="C11610" t="inlineStr">
        <is>
          <t xml:space="preserve">INF200KA1T21</t>
        </is>
      </c>
    </row>
    <row r="11611">
      <c r="A11611" t="inlineStr">
        <is>
          <t xml:space="preserve">SBI Mutual Fund</t>
        </is>
      </c>
      <c r="B11611" t="inlineStr">
        <is>
          <t xml:space="preserve">SBI Savings Fund - Direct Plan - Income Distribution cum Capital Withdrawal Option (IDCW)</t>
        </is>
      </c>
      <c r="C11611" t="inlineStr">
        <is>
          <t xml:space="preserve">INF200K01SX0</t>
        </is>
      </c>
    </row>
    <row r="11612">
      <c r="A11612" t="inlineStr">
        <is>
          <t xml:space="preserve">SBI Mutual Fund</t>
        </is>
      </c>
      <c r="B11612" t="inlineStr">
        <is>
          <t xml:space="preserve">SBI Savings Fund - Direct Plan Daily Income Distribution cum Capital Withdrawal Option (IDCW)</t>
        </is>
      </c>
      <c r="C11612" t="inlineStr">
        <is>
          <t xml:space="preserve">INF200K01SW2</t>
        </is>
      </c>
    </row>
    <row r="11613">
      <c r="A11613" t="inlineStr">
        <is>
          <t xml:space="preserve">SBI Mutual Fund</t>
        </is>
      </c>
      <c r="B11613" t="inlineStr">
        <is>
          <t xml:space="preserve">SBI Savings Fund - Direct Plan Weekly Income Distribution cum Capital Withdrawal Option (IDCW)</t>
        </is>
      </c>
      <c r="C11613" t="inlineStr">
        <is>
          <t xml:space="preserve">INF200K01TA6</t>
        </is>
      </c>
    </row>
    <row r="11614">
      <c r="A11614" t="inlineStr">
        <is>
          <t xml:space="preserve">SBI Mutual Fund</t>
        </is>
      </c>
      <c r="B11614" t="inlineStr">
        <is>
          <t xml:space="preserve">SBI Savings Fund - Regular Plan - Income Distribution cum Capital Withdrawal Option (IDCW)</t>
        </is>
      </c>
      <c r="C11614" t="inlineStr">
        <is>
          <t xml:space="preserve">INF200K01644</t>
        </is>
      </c>
    </row>
    <row r="11615">
      <c r="A11615" t="inlineStr">
        <is>
          <t xml:space="preserve">SBI Mutual Fund</t>
        </is>
      </c>
      <c r="B11615" t="inlineStr">
        <is>
          <t xml:space="preserve">SBI Savings Fund - Regular Plan Daily Income Distribution cum Capital Withdrawal Option (IDCW)</t>
        </is>
      </c>
      <c r="C11615" t="inlineStr">
        <is>
          <t xml:space="preserve">INF200KA1K20</t>
        </is>
      </c>
    </row>
    <row r="11616">
      <c r="A11616" t="inlineStr">
        <is>
          <t xml:space="preserve">SBI Mutual Fund</t>
        </is>
      </c>
      <c r="B11616" t="inlineStr">
        <is>
          <t xml:space="preserve">SBI Savings Fund - Regular Plan Weekly Income Distribution cum Capital Withdrawal Option (IDCW)</t>
        </is>
      </c>
      <c r="C11616" t="inlineStr">
        <is>
          <t xml:space="preserve">INF200K01669</t>
        </is>
      </c>
    </row>
    <row r="11617">
      <c r="A11617" t="inlineStr">
        <is>
          <t xml:space="preserve">SBI Mutual Fund</t>
        </is>
      </c>
      <c r="B11617" t="inlineStr">
        <is>
          <t xml:space="preserve">SBI Short Horizon Debt Fund - Short Term Fund - Retail Dividend - Fortnightly Income Distribution cum Capital Withdrawal Option (IDCW)</t>
        </is>
      </c>
      <c r="C11617" t="inlineStr">
        <is>
          <t xml:space="preserve">INF200K01IA9</t>
        </is>
      </c>
    </row>
    <row r="11618">
      <c r="A11618" t="inlineStr">
        <is>
          <t xml:space="preserve">SBI Mutual Fund</t>
        </is>
      </c>
      <c r="B11618" t="inlineStr">
        <is>
          <t xml:space="preserve">SBI Short Horizon Debt Fund - Short Term Fund - Retail Dividend - Monthly Income Distribution cum Capital Withdrawal Option (IDCW)</t>
        </is>
      </c>
      <c r="C11618" t="inlineStr">
        <is>
          <t xml:space="preserve">INF200K01IC5</t>
        </is>
      </c>
    </row>
    <row r="11619">
      <c r="A11619" t="inlineStr">
        <is>
          <t xml:space="preserve">SBI Mutual Fund</t>
        </is>
      </c>
      <c r="B11619" t="inlineStr">
        <is>
          <t xml:space="preserve">SBI Short Horizon Debt Fund - Short Term Fund - Retail Dividend - Weekly Income Distribution cum Capital Withdrawal Option (IDCW)</t>
        </is>
      </c>
      <c r="C11619" t="inlineStr">
        <is>
          <t xml:space="preserve">INF200K01IE1</t>
        </is>
      </c>
    </row>
    <row r="11620">
      <c r="A11620" t="inlineStr">
        <is>
          <t xml:space="preserve">SBI Mutual Fund</t>
        </is>
      </c>
      <c r="B11620" t="inlineStr">
        <is>
          <t xml:space="preserve">SBI Short Horizon Debt Fund - Ultra Short Term Fund - Institutional Plan - Daily Income Distribution cum Capital Withdrawal Option (IDCW)</t>
        </is>
      </c>
      <c r="C11620" t="inlineStr">
        <is>
          <t xml:space="preserve">INF200K01MD5</t>
        </is>
      </c>
    </row>
    <row r="11621">
      <c r="A11621" t="inlineStr">
        <is>
          <t xml:space="preserve">SBI Mutual Fund</t>
        </is>
      </c>
      <c r="B11621" t="inlineStr">
        <is>
          <t xml:space="preserve">SBI Short Horizon Debt Fund - Ultra Short Term Fund - Institutional Plan - Growth</t>
        </is>
      </c>
      <c r="C11621" t="inlineStr">
        <is>
          <t xml:space="preserve">INF200K01MG8</t>
        </is>
      </c>
    </row>
    <row r="11622">
      <c r="A11622" t="inlineStr">
        <is>
          <t xml:space="preserve">SBI Mutual Fund</t>
        </is>
      </c>
      <c r="B11622" t="inlineStr">
        <is>
          <t xml:space="preserve">SBI Short Horizon Debt Fund - Ultra Short Term Fund- Institutional Plan - Weekly Income Distribution cum Capital Withdrawal Option (IDCW)</t>
        </is>
      </c>
      <c r="C11622" t="inlineStr">
        <is>
          <t xml:space="preserve">INF200K01MJ2</t>
        </is>
      </c>
    </row>
    <row r="11623">
      <c r="A11623" t="inlineStr">
        <is>
          <t xml:space="preserve">SBI Mutual Fund</t>
        </is>
      </c>
      <c r="B11623" t="inlineStr">
        <is>
          <t xml:space="preserve">SBI SHORT HORIZON DEBT FUND-SHORT TERM FUND - RETAIL - GROWTH</t>
        </is>
      </c>
      <c r="C11623" t="inlineStr">
        <is>
          <t xml:space="preserve">INF200K01IG6</t>
        </is>
      </c>
    </row>
    <row r="11624">
      <c r="A11624" t="inlineStr">
        <is>
          <t xml:space="preserve">SBI Mutual Fund</t>
        </is>
      </c>
      <c r="B11624" t="inlineStr">
        <is>
          <t xml:space="preserve">SBI Short Term Debt Fund - Direct Plan - Monthly Income Distribution cum Capital Withdrawal Option (IDCW)</t>
        </is>
      </c>
      <c r="C11624" t="inlineStr">
        <is>
          <t xml:space="preserve">INF200K01VF1</t>
        </is>
      </c>
    </row>
    <row r="11625">
      <c r="A11625" t="inlineStr">
        <is>
          <t xml:space="preserve">SBI Mutual Fund</t>
        </is>
      </c>
      <c r="B11625" t="inlineStr">
        <is>
          <t xml:space="preserve">SBI SHORT TERM DEBT FUND - DIRECT PLAN -GROWTH</t>
        </is>
      </c>
      <c r="C11625" t="inlineStr">
        <is>
          <t xml:space="preserve">INF200K01VE4</t>
        </is>
      </c>
    </row>
    <row r="11626">
      <c r="A11626" t="inlineStr">
        <is>
          <t xml:space="preserve">SBI Mutual Fund</t>
        </is>
      </c>
      <c r="B11626" t="inlineStr">
        <is>
          <t xml:space="preserve">SBI Short Term Debt Fund - Direct Plan Fortnightly Income Distribution cum Capital Withdrawal Option (IDCW)</t>
        </is>
      </c>
      <c r="C11626" t="inlineStr">
        <is>
          <t xml:space="preserve">INF200K01VC8</t>
        </is>
      </c>
    </row>
    <row r="11627">
      <c r="A11627" t="inlineStr">
        <is>
          <t xml:space="preserve">SBI Mutual Fund</t>
        </is>
      </c>
      <c r="B11627" t="inlineStr">
        <is>
          <t xml:space="preserve">SBI Short Term Debt Fund - Direct Plan Weekly Income Distribution cum Capital Withdrawal Option (IDCW)</t>
        </is>
      </c>
      <c r="C11627" t="inlineStr">
        <is>
          <t xml:space="preserve">INF200K01VH7</t>
        </is>
      </c>
    </row>
    <row r="11628">
      <c r="A11628" t="inlineStr">
        <is>
          <t xml:space="preserve">SBI Mutual Fund</t>
        </is>
      </c>
      <c r="B11628" t="inlineStr">
        <is>
          <t xml:space="preserve">SBI Short Term Debt Fund - Regular Plan - Monthly Income Distribution cum Capital Withdrawal Option (IDCW)</t>
        </is>
      </c>
      <c r="C11628" t="inlineStr">
        <is>
          <t xml:space="preserve">INF200K01HV7</t>
        </is>
      </c>
    </row>
    <row r="11629">
      <c r="A11629" t="inlineStr">
        <is>
          <t xml:space="preserve">SBI Mutual Fund</t>
        </is>
      </c>
      <c r="B11629" t="inlineStr">
        <is>
          <t xml:space="preserve">SBI SHORT TERM DEBT FUND - REGULAR PLAN -GROWTH</t>
        </is>
      </c>
      <c r="C11629" t="inlineStr">
        <is>
          <t xml:space="preserve">INF200K01HZ8</t>
        </is>
      </c>
    </row>
    <row r="11630">
      <c r="A11630" t="inlineStr">
        <is>
          <t xml:space="preserve">SBI Mutual Fund</t>
        </is>
      </c>
      <c r="B11630" t="inlineStr">
        <is>
          <t xml:space="preserve">SBI Short Term Debt Fund - Regular Plan Fortnightly Income Distribution cum Capital Withdrawal Option (IDCW)</t>
        </is>
      </c>
      <c r="C11630" t="inlineStr">
        <is>
          <t xml:space="preserve">INF200K01HT1</t>
        </is>
      </c>
    </row>
    <row r="11631">
      <c r="A11631" t="inlineStr">
        <is>
          <t xml:space="preserve">SBI Mutual Fund</t>
        </is>
      </c>
      <c r="B11631" t="inlineStr">
        <is>
          <t xml:space="preserve">SBI Short Term Debt Fund - Regular Plan Weekly Income Distribution cum Capital Withdrawal Option (IDCW)</t>
        </is>
      </c>
      <c r="C11631" t="inlineStr">
        <is>
          <t xml:space="preserve">INF200K01HX3</t>
        </is>
      </c>
    </row>
    <row r="11632">
      <c r="A11632" t="inlineStr">
        <is>
          <t xml:space="preserve">SBI Mutual Fund</t>
        </is>
      </c>
      <c r="B11632" t="inlineStr">
        <is>
          <t xml:space="preserve">SBI Silver ETF</t>
        </is>
      </c>
      <c r="C11632" t="inlineStr">
        <is>
          <t xml:space="preserve">INF200KB1217</t>
        </is>
      </c>
    </row>
    <row r="11633">
      <c r="A11633" t="inlineStr">
        <is>
          <t xml:space="preserve">SBI Mutual Fund</t>
        </is>
      </c>
      <c r="B11633" t="inlineStr">
        <is>
          <t xml:space="preserve">SBI Silver ETF FOF- Regular Plan - Income Distribution Cum Capital Withdrawal Option (IDCW)</t>
        </is>
      </c>
      <c r="C11633" t="inlineStr">
        <is>
          <t xml:space="preserve">INF200KB1225</t>
        </is>
      </c>
    </row>
    <row r="11634">
      <c r="A11634" t="inlineStr">
        <is>
          <t xml:space="preserve">SBI Mutual Fund</t>
        </is>
      </c>
      <c r="B11634" t="inlineStr">
        <is>
          <t xml:space="preserve">SBI Silver ETF Fund of Fund- Direct Plan - Growth</t>
        </is>
      </c>
      <c r="C11634" t="inlineStr">
        <is>
          <t xml:space="preserve">INF200KB1233</t>
        </is>
      </c>
    </row>
    <row r="11635">
      <c r="A11635" t="inlineStr">
        <is>
          <t xml:space="preserve">SBI Mutual Fund</t>
        </is>
      </c>
      <c r="B11635" t="inlineStr">
        <is>
          <t xml:space="preserve">SBI Silver ETF Fund of Fund- Direct Plan - Income Distribution Cum Capital Withdrawal Option (IDCW)</t>
        </is>
      </c>
      <c r="C11635" t="inlineStr">
        <is>
          <t xml:space="preserve">INF200KB1241</t>
        </is>
      </c>
    </row>
    <row r="11636">
      <c r="A11636" t="inlineStr">
        <is>
          <t xml:space="preserve">SBI Mutual Fund</t>
        </is>
      </c>
      <c r="B11636" t="inlineStr">
        <is>
          <t xml:space="preserve">SBI Silver ETF Fund of Fund- Regular Plan - Growth</t>
        </is>
      </c>
      <c r="C11636" t="inlineStr">
        <is>
          <t xml:space="preserve">INF200KB1266</t>
        </is>
      </c>
    </row>
    <row r="11637">
      <c r="A11637" t="inlineStr">
        <is>
          <t xml:space="preserve">SBI Mutual Fund</t>
        </is>
      </c>
      <c r="B11637" t="inlineStr">
        <is>
          <t xml:space="preserve">SBI Small Cap Fund - Direct Plan - Growth</t>
        </is>
      </c>
      <c r="C11637" t="inlineStr">
        <is>
          <t xml:space="preserve">INF200K01T51</t>
        </is>
      </c>
    </row>
    <row r="11638">
      <c r="A11638" t="inlineStr">
        <is>
          <t xml:space="preserve">SBI Mutual Fund</t>
        </is>
      </c>
      <c r="B11638" t="inlineStr">
        <is>
          <t xml:space="preserve">SBI Small Cap Fund - Direct Plan - Income Distribution cum Capital Withdrawal Option (IDCW)</t>
        </is>
      </c>
      <c r="C11638" t="inlineStr">
        <is>
          <t xml:space="preserve">INF200K01T69</t>
        </is>
      </c>
    </row>
    <row r="11639">
      <c r="A11639" t="inlineStr">
        <is>
          <t xml:space="preserve">SBI Mutual Fund</t>
        </is>
      </c>
      <c r="B11639" t="inlineStr">
        <is>
          <t xml:space="preserve">SBI Small Cap Fund - Regular Plan - Growth</t>
        </is>
      </c>
      <c r="C11639" t="inlineStr">
        <is>
          <t xml:space="preserve">INF200K01T28</t>
        </is>
      </c>
    </row>
    <row r="11640">
      <c r="A11640" t="inlineStr">
        <is>
          <t xml:space="preserve">SBI Mutual Fund</t>
        </is>
      </c>
      <c r="B11640" t="inlineStr">
        <is>
          <t xml:space="preserve">SBI Small Cap Fund - Regular Plan - Income Distribution cum Capital Withdrawal Option (IDCW)</t>
        </is>
      </c>
      <c r="C11640" t="inlineStr">
        <is>
          <t xml:space="preserve">INF200K01T36</t>
        </is>
      </c>
    </row>
    <row r="11641">
      <c r="A11641" t="inlineStr">
        <is>
          <t xml:space="preserve">SBI Mutual Fund</t>
        </is>
      </c>
      <c r="B11641" t="inlineStr">
        <is>
          <t xml:space="preserve">SBI TECHNOLOGY OPPORTUNITIES FUND - DIRECT PLAN - GROWTH</t>
        </is>
      </c>
      <c r="C11641" t="inlineStr">
        <is>
          <t xml:space="preserve">INF200K01RV6</t>
        </is>
      </c>
    </row>
    <row r="11642">
      <c r="A11642" t="inlineStr">
        <is>
          <t xml:space="preserve">SBI Mutual Fund</t>
        </is>
      </c>
      <c r="B11642" t="inlineStr">
        <is>
          <t xml:space="preserve">SBI Technology Opportunities Fund - Direct Plan - Income Distribution cum Capital Withdrawal Option (IDCW)</t>
        </is>
      </c>
      <c r="C11642" t="inlineStr">
        <is>
          <t xml:space="preserve">INF200K01RT0</t>
        </is>
      </c>
    </row>
    <row r="11643">
      <c r="A11643" t="inlineStr">
        <is>
          <t xml:space="preserve">SBI Mutual Fund</t>
        </is>
      </c>
      <c r="B11643" t="inlineStr">
        <is>
          <t xml:space="preserve">SBI TECHNOLOGY OPPORTUNITIES FUND - REGULAR PLAN - GROWTH</t>
        </is>
      </c>
      <c r="C11643" t="inlineStr">
        <is>
          <t xml:space="preserve">INF200K01VS4</t>
        </is>
      </c>
    </row>
    <row r="11644">
      <c r="A11644" t="inlineStr">
        <is>
          <t xml:space="preserve">SBI Mutual Fund</t>
        </is>
      </c>
      <c r="B11644" t="inlineStr">
        <is>
          <t xml:space="preserve">SBI Technology Opportunities Fund - Regular Plan - Income Distribution cum Capital Withdrawal Option (IDCW)</t>
        </is>
      </c>
      <c r="C11644" t="inlineStr">
        <is>
          <t xml:space="preserve">INF200K01420</t>
        </is>
      </c>
    </row>
    <row r="11645">
      <c r="A11645" t="inlineStr">
        <is>
          <t xml:space="preserve">SBI Mutual Fund</t>
        </is>
      </c>
      <c r="B11645" t="inlineStr">
        <is>
          <t xml:space="preserve">SBI Ultra Short Duration Fund - Direct Plan - Daily Income Distribution cum Capital Withdrawal Option (IDCW)</t>
        </is>
      </c>
      <c r="C11645" t="inlineStr">
        <is>
          <t xml:space="preserve">INF200K01TG3</t>
        </is>
      </c>
    </row>
    <row r="11646">
      <c r="A11646" t="inlineStr">
        <is>
          <t xml:space="preserve">SBI Mutual Fund</t>
        </is>
      </c>
      <c r="B11646" t="inlineStr">
        <is>
          <t xml:space="preserve">SBI ULTRA SHORT DURATION FUND - DIRECT PLAN - GROWTH</t>
        </is>
      </c>
      <c r="C11646" t="inlineStr">
        <is>
          <t xml:space="preserve">INF200K01TF5</t>
        </is>
      </c>
    </row>
    <row r="11647">
      <c r="A11647" t="inlineStr">
        <is>
          <t xml:space="preserve">SBI Mutual Fund</t>
        </is>
      </c>
      <c r="B11647" t="inlineStr">
        <is>
          <t xml:space="preserve">SBI Ultra Short Duration Fund - Direct Plan - Weekly Income Distribution cum Capital Withdrawal Option (IDCW)</t>
        </is>
      </c>
      <c r="C11647" t="inlineStr">
        <is>
          <t xml:space="preserve">INF200K01TH1</t>
        </is>
      </c>
    </row>
    <row r="11648">
      <c r="A11648" t="inlineStr">
        <is>
          <t xml:space="preserve">SBI Mutual Fund</t>
        </is>
      </c>
      <c r="B11648" t="inlineStr">
        <is>
          <t xml:space="preserve">SBI Ultra Short Duration Fund - Regular Plan - Daily Income Distribution cum Capital Withdrawal Option (IDCW)</t>
        </is>
      </c>
      <c r="C11648" t="inlineStr">
        <is>
          <t xml:space="preserve">INF200K01LK2</t>
        </is>
      </c>
    </row>
    <row r="11649">
      <c r="A11649" t="inlineStr">
        <is>
          <t xml:space="preserve">SBI Mutual Fund</t>
        </is>
      </c>
      <c r="B11649" t="inlineStr">
        <is>
          <t xml:space="preserve">SBI ULTRA SHORT DURATION FUND - REGULAR PLAN - GROWTH</t>
        </is>
      </c>
      <c r="C11649" t="inlineStr">
        <is>
          <t xml:space="preserve">INF200K01LJ4</t>
        </is>
      </c>
    </row>
    <row r="11650">
      <c r="A11650" t="inlineStr">
        <is>
          <t xml:space="preserve">SBI Mutual Fund</t>
        </is>
      </c>
      <c r="B11650" t="inlineStr">
        <is>
          <t xml:space="preserve">SBI Ultra Short Duration Fund - Regular Plan - Weekly Income Distribution cum Capital Withdrawal Option (IDCW)</t>
        </is>
      </c>
      <c r="C11650" t="inlineStr">
        <is>
          <t xml:space="preserve">INF200K01LM8</t>
        </is>
      </c>
    </row>
    <row r="11651">
      <c r="A11651" t="inlineStr">
        <is>
          <t xml:space="preserve">SBI Mutual Fund</t>
        </is>
      </c>
      <c r="B11651" t="inlineStr">
        <is>
          <t xml:space="preserve">SBI US Specific Equity Active FoF - Direct Plan - Growth</t>
        </is>
      </c>
      <c r="C11651" t="inlineStr">
        <is>
          <t xml:space="preserve">INF200KA1U28</t>
        </is>
      </c>
    </row>
    <row r="11652">
      <c r="A11652" t="inlineStr">
        <is>
          <t xml:space="preserve">SBI Mutual Fund</t>
        </is>
      </c>
      <c r="B11652" t="inlineStr">
        <is>
          <t xml:space="preserve">SBI US Specific Equity Active FoF- Direct Plan - Income Distribution cum Capital Withdrawal Option (IDCW)</t>
        </is>
      </c>
      <c r="C11652" t="inlineStr">
        <is>
          <t xml:space="preserve">INF200KA1U36</t>
        </is>
      </c>
    </row>
    <row r="11653">
      <c r="A11653" t="inlineStr">
        <is>
          <t xml:space="preserve">SBI Mutual Fund</t>
        </is>
      </c>
      <c r="B11653" t="inlineStr">
        <is>
          <t xml:space="preserve">SBI US Specific Equity Active FoF- Regular Plan - Growth</t>
        </is>
      </c>
      <c r="C11653" t="inlineStr">
        <is>
          <t xml:space="preserve">INF200KA1T96</t>
        </is>
      </c>
    </row>
    <row r="11654">
      <c r="A11654" t="inlineStr">
        <is>
          <t xml:space="preserve">SBI Mutual Fund</t>
        </is>
      </c>
      <c r="B11654" t="inlineStr">
        <is>
          <t xml:space="preserve">SBI US Specific Equity Active FoF- Regular Plan - Income Distribution cum Capital Withdrawal Option (IDCW)</t>
        </is>
      </c>
      <c r="C11654" t="inlineStr">
        <is>
          <t xml:space="preserve">INF200KA1U02</t>
        </is>
      </c>
    </row>
    <row r="11655">
      <c r="A11655" t="inlineStr">
        <is>
          <t xml:space="preserve">SBI Mutual Fund</t>
        </is>
      </c>
      <c r="B11655" t="inlineStr">
        <is>
          <t xml:space="preserve">SBI |CRISIL IBX Gilt Index - June 2036 Fund - Direct Plan - Growth</t>
        </is>
      </c>
      <c r="C11655" t="inlineStr">
        <is>
          <t xml:space="preserve">INF200KA12Q9</t>
        </is>
      </c>
    </row>
    <row r="11656">
      <c r="A11656" t="inlineStr">
        <is>
          <t xml:space="preserve">Shriram Mutual Fund</t>
        </is>
      </c>
      <c r="B11656" t="inlineStr">
        <is>
          <t xml:space="preserve">Shriram Aggressive Hybrid Fund- Direct Growth</t>
        </is>
      </c>
      <c r="C11656" t="inlineStr">
        <is>
          <t xml:space="preserve">INF680P01042</t>
        </is>
      </c>
    </row>
    <row r="11657">
      <c r="A11657" t="inlineStr">
        <is>
          <t xml:space="preserve">Shriram Mutual Fund</t>
        </is>
      </c>
      <c r="B11657" t="inlineStr">
        <is>
          <t xml:space="preserve">Shriram Aggressive Hybrid Fund- Direct- IDCW</t>
        </is>
      </c>
      <c r="C11657" t="inlineStr">
        <is>
          <t xml:space="preserve">INF680P01059</t>
        </is>
      </c>
    </row>
    <row r="11658">
      <c r="A11658" t="inlineStr">
        <is>
          <t xml:space="preserve">Shriram Mutual Fund</t>
        </is>
      </c>
      <c r="B11658" t="inlineStr">
        <is>
          <t xml:space="preserve">Shriram Aggressive Hybrid Fund- Regular Growth</t>
        </is>
      </c>
      <c r="C11658" t="inlineStr">
        <is>
          <t xml:space="preserve">INF680P01018</t>
        </is>
      </c>
    </row>
    <row r="11659">
      <c r="A11659" t="inlineStr">
        <is>
          <t xml:space="preserve">Shriram Mutual Fund</t>
        </is>
      </c>
      <c r="B11659" t="inlineStr">
        <is>
          <t xml:space="preserve">Shriram Aggressive Hybrid Fund- Regular-IDCW</t>
        </is>
      </c>
      <c r="C11659" t="inlineStr">
        <is>
          <t xml:space="preserve">INF680P01026</t>
        </is>
      </c>
    </row>
    <row r="11660">
      <c r="A11660" t="inlineStr">
        <is>
          <t xml:space="preserve">Shriram Mutual Fund</t>
        </is>
      </c>
      <c r="B11660" t="inlineStr">
        <is>
          <t xml:space="preserve">Shriram Balanced Advantage Fund - Direct Growth</t>
        </is>
      </c>
      <c r="C11660" t="inlineStr">
        <is>
          <t xml:space="preserve">INF680P01208</t>
        </is>
      </c>
    </row>
    <row r="11661">
      <c r="A11661" t="inlineStr">
        <is>
          <t xml:space="preserve">Shriram Mutual Fund</t>
        </is>
      </c>
      <c r="B11661" t="inlineStr">
        <is>
          <t xml:space="preserve">Shriram Balanced Advantage Fund - Direct- IDCW</t>
        </is>
      </c>
      <c r="C11661" t="inlineStr">
        <is>
          <t xml:space="preserve">INF680P01216</t>
        </is>
      </c>
    </row>
    <row r="11662">
      <c r="A11662" t="inlineStr">
        <is>
          <t xml:space="preserve">Shriram Mutual Fund</t>
        </is>
      </c>
      <c r="B11662" t="inlineStr">
        <is>
          <t xml:space="preserve">Shriram Balanced Advantage Fund - Regular Growth</t>
        </is>
      </c>
      <c r="C11662" t="inlineStr">
        <is>
          <t xml:space="preserve">INF680P01174</t>
        </is>
      </c>
    </row>
    <row r="11663">
      <c r="A11663" t="inlineStr">
        <is>
          <t xml:space="preserve">Shriram Mutual Fund</t>
        </is>
      </c>
      <c r="B11663" t="inlineStr">
        <is>
          <t xml:space="preserve">Shriram Balanced Advantage Fund - Regular-IDCW</t>
        </is>
      </c>
      <c r="C11663" t="inlineStr">
        <is>
          <t xml:space="preserve">INF680P01182</t>
        </is>
      </c>
    </row>
    <row r="11664">
      <c r="A11664" t="inlineStr">
        <is>
          <t xml:space="preserve">Shriram Mutual Fund</t>
        </is>
      </c>
      <c r="B11664" t="inlineStr">
        <is>
          <t xml:space="preserve">Shriram ELSS Tax Saver Fund - Direct Growth</t>
        </is>
      </c>
      <c r="C11664" t="inlineStr">
        <is>
          <t xml:space="preserve">INF680P01158</t>
        </is>
      </c>
    </row>
    <row r="11665">
      <c r="A11665" t="inlineStr">
        <is>
          <t xml:space="preserve">Shriram Mutual Fund</t>
        </is>
      </c>
      <c r="B11665" t="inlineStr">
        <is>
          <t xml:space="preserve">Shriram ELSS Tax Saver Fund - Direct- IDCW</t>
        </is>
      </c>
      <c r="C11665" t="inlineStr">
        <is>
          <t xml:space="preserve">INF680P01166</t>
        </is>
      </c>
    </row>
    <row r="11666">
      <c r="A11666" t="inlineStr">
        <is>
          <t xml:space="preserve">Shriram Mutual Fund</t>
        </is>
      </c>
      <c r="B11666" t="inlineStr">
        <is>
          <t xml:space="preserve">Shriram ELSS Tax Saver Fund - Regular Growth</t>
        </is>
      </c>
      <c r="C11666" t="inlineStr">
        <is>
          <t xml:space="preserve">INF680P01133</t>
        </is>
      </c>
    </row>
    <row r="11667">
      <c r="A11667" t="inlineStr">
        <is>
          <t xml:space="preserve">Shriram Mutual Fund</t>
        </is>
      </c>
      <c r="B11667" t="inlineStr">
        <is>
          <t xml:space="preserve">Shriram ELSS Tax Saver Fund - Regular-IDCW</t>
        </is>
      </c>
      <c r="C11667" t="inlineStr">
        <is>
          <t xml:space="preserve">INF680P01141</t>
        </is>
      </c>
    </row>
    <row r="11668">
      <c r="A11668" t="inlineStr">
        <is>
          <t xml:space="preserve">Shriram Mutual Fund</t>
        </is>
      </c>
      <c r="B11668" t="inlineStr">
        <is>
          <t xml:space="preserve">Shriram Flexi Cap Fund - Direct Growth</t>
        </is>
      </c>
      <c r="C11668" t="inlineStr">
        <is>
          <t xml:space="preserve">INF680P01109</t>
        </is>
      </c>
    </row>
    <row r="11669">
      <c r="A11669" t="inlineStr">
        <is>
          <t xml:space="preserve">Shriram Mutual Fund</t>
        </is>
      </c>
      <c r="B11669" t="inlineStr">
        <is>
          <t xml:space="preserve">Shriram Flexi Cap Fund - Direct-IDCW</t>
        </is>
      </c>
      <c r="C11669" t="inlineStr">
        <is>
          <t xml:space="preserve">INF680P01117</t>
        </is>
      </c>
    </row>
    <row r="11670">
      <c r="A11670" t="inlineStr">
        <is>
          <t xml:space="preserve">Shriram Mutual Fund</t>
        </is>
      </c>
      <c r="B11670" t="inlineStr">
        <is>
          <t xml:space="preserve">Shriram Flexi Cap Fund - Regular Growth</t>
        </is>
      </c>
      <c r="C11670" t="inlineStr">
        <is>
          <t xml:space="preserve">INF680P01075</t>
        </is>
      </c>
    </row>
    <row r="11671">
      <c r="A11671" t="inlineStr">
        <is>
          <t xml:space="preserve">Shriram Mutual Fund</t>
        </is>
      </c>
      <c r="B11671" t="inlineStr">
        <is>
          <t xml:space="preserve">Shriram Flexi Cap Fund - Regular-IDCW</t>
        </is>
      </c>
      <c r="C11671" t="inlineStr">
        <is>
          <t xml:space="preserve">INF680P01083</t>
        </is>
      </c>
    </row>
    <row r="11672">
      <c r="A11672" t="inlineStr">
        <is>
          <t xml:space="preserve">Shriram Mutual Fund</t>
        </is>
      </c>
      <c r="B11672" t="inlineStr">
        <is>
          <t xml:space="preserve">Shriram Liquid Fund - Direct Plan Growth Option</t>
        </is>
      </c>
      <c r="C11672" t="inlineStr">
        <is>
          <t xml:space="preserve">INF680P01430</t>
        </is>
      </c>
    </row>
    <row r="11673">
      <c r="A11673" t="inlineStr">
        <is>
          <t xml:space="preserve">Shriram Mutual Fund</t>
        </is>
      </c>
      <c r="B11673" t="inlineStr">
        <is>
          <t xml:space="preserve">Shriram Liquid Fund - Regular Plan Growth Option</t>
        </is>
      </c>
      <c r="C11673" t="inlineStr">
        <is>
          <t xml:space="preserve">INF680P01448</t>
        </is>
      </c>
    </row>
    <row r="11674">
      <c r="A11674" t="inlineStr">
        <is>
          <t xml:space="preserve">Shriram Mutual Fund</t>
        </is>
      </c>
      <c r="B11674" t="inlineStr">
        <is>
          <t xml:space="preserve">Shriram Money Market Fund - Direct Plan Growth Option</t>
        </is>
      </c>
      <c r="C11674" t="inlineStr">
        <is>
          <t xml:space="preserve">INF680P01471</t>
        </is>
      </c>
    </row>
    <row r="11675">
      <c r="A11675" t="inlineStr">
        <is>
          <t xml:space="preserve">Shriram Mutual Fund</t>
        </is>
      </c>
      <c r="B11675" t="inlineStr">
        <is>
          <t xml:space="preserve">Shriram Money Market Fund - Regular Plan Growth Option</t>
        </is>
      </c>
      <c r="C11675" t="inlineStr">
        <is>
          <t xml:space="preserve">INF680P01489</t>
        </is>
      </c>
    </row>
    <row r="11676">
      <c r="A11676" t="inlineStr">
        <is>
          <t xml:space="preserve">Shriram Mutual Fund</t>
        </is>
      </c>
      <c r="B11676" t="inlineStr">
        <is>
          <t xml:space="preserve">Shriram Multi Asset Allocation Fund - Direct Growth</t>
        </is>
      </c>
      <c r="C11676" t="inlineStr">
        <is>
          <t xml:space="preserve">INF680P01406</t>
        </is>
      </c>
    </row>
    <row r="11677">
      <c r="A11677" t="inlineStr">
        <is>
          <t xml:space="preserve">Shriram Mutual Fund</t>
        </is>
      </c>
      <c r="B11677" t="inlineStr">
        <is>
          <t xml:space="preserve">Shriram Multi Asset Allocation Fund - Regular Growth</t>
        </is>
      </c>
      <c r="C11677" t="inlineStr">
        <is>
          <t xml:space="preserve">INF680P01414</t>
        </is>
      </c>
    </row>
    <row r="11678">
      <c r="A11678" t="inlineStr">
        <is>
          <t xml:space="preserve">Shriram Mutual Fund</t>
        </is>
      </c>
      <c r="B11678" t="inlineStr">
        <is>
          <t xml:space="preserve">Shriram Multi Sector Rotation Fund - Direct Plan Growth Option</t>
        </is>
      </c>
      <c r="C11678" t="inlineStr">
        <is>
          <t xml:space="preserve">INF680P01455</t>
        </is>
      </c>
    </row>
    <row r="11679">
      <c r="A11679" t="inlineStr">
        <is>
          <t xml:space="preserve">Shriram Mutual Fund</t>
        </is>
      </c>
      <c r="B11679" t="inlineStr">
        <is>
          <t xml:space="preserve">Shriram Multi Sector Rotation Fund - Regular Plan Growth Option</t>
        </is>
      </c>
      <c r="C11679" t="inlineStr">
        <is>
          <t xml:space="preserve">INF680P01463</t>
        </is>
      </c>
    </row>
    <row r="11680">
      <c r="A11680" t="inlineStr">
        <is>
          <t xml:space="preserve">Shriram Mutual Fund</t>
        </is>
      </c>
      <c r="B11680" t="inlineStr">
        <is>
          <t xml:space="preserve">Shriram Nifty 1D Rate Liquid ETF - Growth</t>
        </is>
      </c>
      <c r="C11680" t="inlineStr">
        <is>
          <t xml:space="preserve">INF680P01422</t>
        </is>
      </c>
    </row>
    <row r="11681">
      <c r="A11681" t="inlineStr">
        <is>
          <t xml:space="preserve">Shriram Mutual Fund</t>
        </is>
      </c>
      <c r="B11681" t="inlineStr">
        <is>
          <t xml:space="preserve">Shriram Overnight Fund- Direct Daily IDCW</t>
        </is>
      </c>
      <c r="C11681" t="inlineStr">
        <is>
          <t xml:space="preserve">INF680P01513</t>
        </is>
      </c>
    </row>
    <row r="11682">
      <c r="A11682" t="inlineStr">
        <is>
          <t xml:space="preserve">Shriram Mutual Fund</t>
        </is>
      </c>
      <c r="B11682" t="inlineStr">
        <is>
          <t xml:space="preserve">Shriram Overnight Fund- Direct Growth</t>
        </is>
      </c>
      <c r="C11682" t="inlineStr">
        <is>
          <t xml:space="preserve">INF680P01497</t>
        </is>
      </c>
    </row>
    <row r="11683">
      <c r="A11683" t="inlineStr">
        <is>
          <t xml:space="preserve">Shriram Mutual Fund</t>
        </is>
      </c>
      <c r="B11683" t="inlineStr">
        <is>
          <t xml:space="preserve">Shriram Overnight Fund- Direct Monthly IDCW</t>
        </is>
      </c>
      <c r="C11683" t="inlineStr">
        <is>
          <t xml:space="preserve">INF680P01612</t>
        </is>
      </c>
    </row>
    <row r="11684">
      <c r="A11684" t="inlineStr">
        <is>
          <t xml:space="preserve">Shriram Mutual Fund</t>
        </is>
      </c>
      <c r="B11684" t="inlineStr">
        <is>
          <t xml:space="preserve">Shriram Overnight Fund- Regular Daily IDCW</t>
        </is>
      </c>
      <c r="C11684" t="inlineStr">
        <is>
          <t xml:space="preserve">INF680P01521</t>
        </is>
      </c>
    </row>
    <row r="11685">
      <c r="A11685" t="inlineStr">
        <is>
          <t xml:space="preserve">Shriram Mutual Fund</t>
        </is>
      </c>
      <c r="B11685" t="inlineStr">
        <is>
          <t xml:space="preserve">Shriram Overnight Fund- Regular Growth</t>
        </is>
      </c>
      <c r="C11685" t="inlineStr">
        <is>
          <t xml:space="preserve">INF680P01505</t>
        </is>
      </c>
    </row>
    <row r="11686">
      <c r="A11686" t="inlineStr">
        <is>
          <t xml:space="preserve">Shriram Mutual Fund</t>
        </is>
      </c>
      <c r="B11686" t="inlineStr">
        <is>
          <t xml:space="preserve">Shriram Overnight Fund- Regular Monthly IDCW</t>
        </is>
      </c>
      <c r="C11686" t="inlineStr">
        <is>
          <t xml:space="preserve">INF680P01620</t>
        </is>
      </c>
    </row>
    <row r="11687">
      <c r="A11687" t="inlineStr">
        <is>
          <t xml:space="preserve">Sundaram Mutual Fund</t>
        </is>
      </c>
      <c r="B11687" t="inlineStr">
        <is>
          <t xml:space="preserve">Sundaram  Liquid Fund (Formerly Known as Principal Cash Management Fund) Direct IDCW</t>
        </is>
      </c>
      <c r="C11687" t="inlineStr">
        <is>
          <t xml:space="preserve">INF903JA1JK3</t>
        </is>
      </c>
    </row>
    <row r="11688">
      <c r="A11688" t="inlineStr">
        <is>
          <t xml:space="preserve">Sundaram Mutual Fund</t>
        </is>
      </c>
      <c r="B11688" t="inlineStr">
        <is>
          <t xml:space="preserve">Sundaram Aggressive Hybrid Fund (Formerly Known as Principal Hybrid Equity Fund)- Direct Plan - Growth Option</t>
        </is>
      </c>
      <c r="C11688" t="inlineStr">
        <is>
          <t xml:space="preserve">INF173K01FE6</t>
        </is>
      </c>
    </row>
    <row r="11689">
      <c r="A11689" t="inlineStr">
        <is>
          <t xml:space="preserve">Sundaram Mutual Fund</t>
        </is>
      </c>
      <c r="B11689" t="inlineStr">
        <is>
          <t xml:space="preserve">Sundaram Aggressive Hybrid Fund (Formerly Known as Principal Hybrid Equity Fund)- Monthly Income Distribution CUM Capital Withdrawal</t>
        </is>
      </c>
      <c r="C11689" t="inlineStr">
        <is>
          <t xml:space="preserve">INF173K01CI4</t>
        </is>
      </c>
    </row>
    <row r="11690">
      <c r="A11690" t="inlineStr">
        <is>
          <t xml:space="preserve">Sundaram Mutual Fund</t>
        </is>
      </c>
      <c r="B11690" t="inlineStr">
        <is>
          <t xml:space="preserve">Sundaram Aggressive Hybrid Fund (Formerly Known as Principal Hybrid Equity Fund)-Growth</t>
        </is>
      </c>
      <c r="C11690" t="inlineStr">
        <is>
          <t xml:space="preserve">INF173K01CL8</t>
        </is>
      </c>
    </row>
    <row r="11691">
      <c r="A11691" t="inlineStr">
        <is>
          <t xml:space="preserve">Sundaram Mutual Fund</t>
        </is>
      </c>
      <c r="B11691" t="inlineStr">
        <is>
          <t xml:space="preserve">Sundaram Aggressive Hybrid Fund(Formerly Known as Principal Hybrid Equity Fund)-Direct Plan - Monthly Income Distribution CUM Capital Withdrawal Option</t>
        </is>
      </c>
      <c r="C11691" t="inlineStr">
        <is>
          <t xml:space="preserve">INF173K01FB2</t>
        </is>
      </c>
    </row>
    <row r="11692">
      <c r="A11692" t="inlineStr">
        <is>
          <t xml:space="preserve">Sundaram Mutual Fund</t>
        </is>
      </c>
      <c r="B11692" t="inlineStr">
        <is>
          <t xml:space="preserve">Sundaram Arbitrage Fund (Formerly Know as Principal Arbitrage Fund) - Regular Plan - Growth</t>
        </is>
      </c>
      <c r="C11692" t="inlineStr">
        <is>
          <t xml:space="preserve">INF173K01NB6</t>
        </is>
      </c>
    </row>
    <row r="11693">
      <c r="A11693" t="inlineStr">
        <is>
          <t xml:space="preserve">Sundaram Mutual Fund</t>
        </is>
      </c>
      <c r="B11693" t="inlineStr">
        <is>
          <t xml:space="preserve">Sundaram Arbitrage Fund (Formerly Known as Principal Arbitrage Fund)- Regular Plan - Monthly Income Distribution CUM Capital Withdrawal</t>
        </is>
      </c>
      <c r="C11693" t="inlineStr">
        <is>
          <t xml:space="preserve">INF173K01MY0</t>
        </is>
      </c>
    </row>
    <row r="11694">
      <c r="A11694" t="inlineStr">
        <is>
          <t xml:space="preserve">Sundaram Mutual Fund</t>
        </is>
      </c>
      <c r="B11694" t="inlineStr">
        <is>
          <t xml:space="preserve">Sundaram Arbitrage Fund (Formerly Known as Prinicpal Arbitrage Fund) - Direct Plan - Growth</t>
        </is>
      </c>
      <c r="C11694" t="inlineStr">
        <is>
          <t xml:space="preserve">INF173K01NF7</t>
        </is>
      </c>
    </row>
    <row r="11695">
      <c r="A11695" t="inlineStr">
        <is>
          <t xml:space="preserve">Sundaram Mutual Fund</t>
        </is>
      </c>
      <c r="B11695" t="inlineStr">
        <is>
          <t xml:space="preserve">Sundaram Arbitrage Fund( Formerly Known as Principal Arbitrage Fund) - Direct Plan- Monthly Income Distribution CUM Capital Withdrawal</t>
        </is>
      </c>
      <c r="C11695" t="inlineStr">
        <is>
          <t xml:space="preserve">INF173K01NC4</t>
        </is>
      </c>
    </row>
    <row r="11696">
      <c r="A11696" t="inlineStr">
        <is>
          <t xml:space="preserve">Sundaram Mutual Fund</t>
        </is>
      </c>
      <c r="B11696" t="inlineStr">
        <is>
          <t xml:space="preserve">Sundaram Balanced Advantage Fund ( Formerly Known as Principal Balanced Advantage Fund) - Direct Plan - Growth Option</t>
        </is>
      </c>
      <c r="C11696" t="inlineStr">
        <is>
          <t xml:space="preserve">INF173K01FI7</t>
        </is>
      </c>
    </row>
    <row r="11697">
      <c r="A11697" t="inlineStr">
        <is>
          <t xml:space="preserve">Sundaram Mutual Fund</t>
        </is>
      </c>
      <c r="B11697" t="inlineStr">
        <is>
          <t xml:space="preserve">Sundaram Balanced Advantage Fund (Formerly Known as Principal Balanced Advantage Fund) - Direct Plan - Monthly Income Distribution CUM Capital Withdrawal Option</t>
        </is>
      </c>
      <c r="C11697" t="inlineStr">
        <is>
          <t xml:space="preserve">INF173K01FF3</t>
        </is>
      </c>
    </row>
    <row r="11698">
      <c r="A11698" t="inlineStr">
        <is>
          <t xml:space="preserve">Sundaram Mutual Fund</t>
        </is>
      </c>
      <c r="B11698" t="inlineStr">
        <is>
          <t xml:space="preserve">Sundaram Balanced Advantage Fund (Formerly Known as Principal Balanced Advantage Fund) - Growth Option</t>
        </is>
      </c>
      <c r="C11698" t="inlineStr">
        <is>
          <t xml:space="preserve">INF173K01585</t>
        </is>
      </c>
    </row>
    <row r="11699">
      <c r="A11699" t="inlineStr">
        <is>
          <t xml:space="preserve">Sundaram Mutual Fund</t>
        </is>
      </c>
      <c r="B11699" t="inlineStr">
        <is>
          <t xml:space="preserve">Sundaram Balanced Advantage Fund (Formerly Known as Principal Balanced Advantage Fund) - Monthly Income Distribution CUM Capital Withdrawal Option</t>
        </is>
      </c>
      <c r="C11699" t="inlineStr">
        <is>
          <t xml:space="preserve">INF173K01551</t>
        </is>
      </c>
    </row>
    <row r="11700">
      <c r="A11700" t="inlineStr">
        <is>
          <t xml:space="preserve">Sundaram Mutual Fund</t>
        </is>
      </c>
      <c r="B11700" t="inlineStr">
        <is>
          <t xml:space="preserve">Sundaram Banking &amp; PSU Fund (Formerly Known as Sundaram Banking &amp; PSU Debt Fund) - Direct Growth</t>
        </is>
      </c>
      <c r="C11700" t="inlineStr">
        <is>
          <t xml:space="preserve">INF903J017I5</t>
        </is>
      </c>
    </row>
    <row r="11701">
      <c r="A11701" t="inlineStr">
        <is>
          <t xml:space="preserve">Sundaram Mutual Fund</t>
        </is>
      </c>
      <c r="B11701" t="inlineStr">
        <is>
          <t xml:space="preserve">Sundaram Banking &amp; PSU Fund (Formerly Known as Sundaram Banking &amp; PSU Debt Fund) - Direct Monthly Dividend</t>
        </is>
      </c>
      <c r="C11701" t="inlineStr">
        <is>
          <t xml:space="preserve">INF903J012J4</t>
        </is>
      </c>
    </row>
    <row r="11702">
      <c r="A11702" t="inlineStr">
        <is>
          <t xml:space="preserve">Sundaram Mutual Fund</t>
        </is>
      </c>
      <c r="B11702" t="inlineStr">
        <is>
          <t xml:space="preserve">Sundaram Banking &amp; PSU Fund (Formerly Known as Sundaram Banking &amp; PSU Debt Fund) - Direct Quarterly Dividend</t>
        </is>
      </c>
      <c r="C11702" t="inlineStr">
        <is>
          <t xml:space="preserve">INF903J019I1</t>
        </is>
      </c>
    </row>
    <row r="11703">
      <c r="A11703" t="inlineStr">
        <is>
          <t xml:space="preserve">Sundaram Mutual Fund</t>
        </is>
      </c>
      <c r="B11703" t="inlineStr">
        <is>
          <t xml:space="preserve">Sundaram Banking &amp; PSU Fund (Formerly Known as Sundaram Banking &amp; PSU Debt Fund) - Regular Annual Bonus</t>
        </is>
      </c>
      <c r="C11703" t="inlineStr">
        <is>
          <t xml:space="preserve">INF903J016I7</t>
        </is>
      </c>
    </row>
    <row r="11704">
      <c r="A11704" t="inlineStr">
        <is>
          <t xml:space="preserve">Sundaram Mutual Fund</t>
        </is>
      </c>
      <c r="B11704" t="inlineStr">
        <is>
          <t xml:space="preserve">Sundaram Banking &amp; PSU Fund (Formerly Known as Sundaram Banking &amp; PSU Debt Fund) - Regular Daily Dividend Reinvestment</t>
        </is>
      </c>
      <c r="C11704" t="inlineStr">
        <is>
          <t xml:space="preserve">INF903J010I0</t>
        </is>
      </c>
    </row>
    <row r="11705">
      <c r="A11705" t="inlineStr">
        <is>
          <t xml:space="preserve">Sundaram Mutual Fund</t>
        </is>
      </c>
      <c r="B11705" t="inlineStr">
        <is>
          <t xml:space="preserve">Sundaram Banking &amp; PSU Fund (Formerly Known as Sundaram Banking &amp; PSU Debt Fund) - Regular Growth</t>
        </is>
      </c>
      <c r="C11705" t="inlineStr">
        <is>
          <t xml:space="preserve">INF903J016H9</t>
        </is>
      </c>
    </row>
    <row r="11706">
      <c r="A11706" t="inlineStr">
        <is>
          <t xml:space="preserve">Sundaram Mutual Fund</t>
        </is>
      </c>
      <c r="B11706" t="inlineStr">
        <is>
          <t xml:space="preserve">Sundaram Banking &amp; PSU Fund (Formerly Known as Sundaram Banking &amp; PSU Debt Fund) - Regular Monthly Dividend</t>
        </is>
      </c>
      <c r="C11706" t="inlineStr">
        <is>
          <t xml:space="preserve">INF903J018H5</t>
        </is>
      </c>
    </row>
    <row r="11707">
      <c r="A11707" t="inlineStr">
        <is>
          <t xml:space="preserve">Sundaram Mutual Fund</t>
        </is>
      </c>
      <c r="B11707" t="inlineStr">
        <is>
          <t xml:space="preserve">Sundaram Banking &amp; PSU Fund (Formerly Known as Sundaram Banking &amp; PSU Debt Fund) - Regular Quarterly Bonus</t>
        </is>
      </c>
      <c r="C11707" t="inlineStr">
        <is>
          <t xml:space="preserve">INF903J014I2</t>
        </is>
      </c>
    </row>
    <row r="11708">
      <c r="A11708" t="inlineStr">
        <is>
          <t xml:space="preserve">Sundaram Mutual Fund</t>
        </is>
      </c>
      <c r="B11708" t="inlineStr">
        <is>
          <t xml:space="preserve">Sundaram Banking &amp; PSU Fund (Formerly Known as Sundaram Banking &amp; PSU Debt Fund) - Regular Quarterly Dividend</t>
        </is>
      </c>
      <c r="C11708" t="inlineStr">
        <is>
          <t xml:space="preserve">INF903J019H3</t>
        </is>
      </c>
    </row>
    <row r="11709">
      <c r="A11709" t="inlineStr">
        <is>
          <t xml:space="preserve">Sundaram Mutual Fund</t>
        </is>
      </c>
      <c r="B11709" t="inlineStr">
        <is>
          <t xml:space="preserve">Sundaram Banking &amp; PSU Fund (Formerly Known as Sundaram Banking &amp; PSU Debt Fund) - Regular Weekly Dividend</t>
        </is>
      </c>
      <c r="C11709" t="inlineStr">
        <is>
          <t xml:space="preserve">INF903J017H7</t>
        </is>
      </c>
    </row>
    <row r="11710">
      <c r="A11710" t="inlineStr">
        <is>
          <t xml:space="preserve">Sundaram Mutual Fund</t>
        </is>
      </c>
      <c r="B11710" t="inlineStr">
        <is>
          <t xml:space="preserve">Sundaram Banking &amp; PSU Fund (Formerly Known as Sundaram Banking and PSU Debt Fund) Direct Plan - Bonus</t>
        </is>
      </c>
      <c r="C11710" t="inlineStr">
        <is>
          <t xml:space="preserve">INF903J01RI4</t>
        </is>
      </c>
    </row>
    <row r="11711">
      <c r="A11711" t="inlineStr">
        <is>
          <t xml:space="preserve">Sundaram Mutual Fund</t>
        </is>
      </c>
      <c r="B11711" t="inlineStr">
        <is>
          <t xml:space="preserve">Sundaram Banking &amp; PSU Fund (Formerly Known as Sundaram Banking and PSU Debt Fund) Direct Plan - Daily Reinvestment of Income Distribution cum Capital Withdrawal (IDCW)</t>
        </is>
      </c>
      <c r="C11711" t="inlineStr">
        <is>
          <t xml:space="preserve">INF903J01PC1</t>
        </is>
      </c>
    </row>
    <row r="11712">
      <c r="A11712" t="inlineStr">
        <is>
          <t xml:space="preserve">Sundaram Mutual Fund</t>
        </is>
      </c>
      <c r="B11712" t="inlineStr">
        <is>
          <t xml:space="preserve">Sundaram Banking &amp; PSU Fund (Formerly Known as Sundaram Banking and PSU Debt Fund) Direct Plan - Growth</t>
        </is>
      </c>
      <c r="C11712" t="inlineStr">
        <is>
          <t xml:space="preserve">INF903J01PA5</t>
        </is>
      </c>
    </row>
    <row r="11713">
      <c r="A11713" t="inlineStr">
        <is>
          <t xml:space="preserve">Sundaram Mutual Fund</t>
        </is>
      </c>
      <c r="B11713" t="inlineStr">
        <is>
          <t xml:space="preserve">Sundaram Banking &amp; PSU Fund (Formerly Known as Sundaram Banking and PSU Debt Fund) Direct Plan - Income Distribution cum Capital Withdrawal (IDCW)</t>
        </is>
      </c>
      <c r="C11713" t="inlineStr">
        <is>
          <t xml:space="preserve">INF903J01PB3</t>
        </is>
      </c>
    </row>
    <row r="11714">
      <c r="A11714" t="inlineStr">
        <is>
          <t xml:space="preserve">Sundaram Mutual Fund</t>
        </is>
      </c>
      <c r="B11714" t="inlineStr">
        <is>
          <t xml:space="preserve">Sundaram Banking &amp; PSU Fund (Formerly Known as Sundaram Banking and PSU Debt Fund) Regular Plan - Bonus</t>
        </is>
      </c>
      <c r="C11714" t="inlineStr">
        <is>
          <t xml:space="preserve">INF903J01LY4</t>
        </is>
      </c>
    </row>
    <row r="11715">
      <c r="A11715" t="inlineStr">
        <is>
          <t xml:space="preserve">Sundaram Mutual Fund</t>
        </is>
      </c>
      <c r="B11715" t="inlineStr">
        <is>
          <t xml:space="preserve">Sundaram Banking &amp; PSU Fund (Formerly Known as Sundaram Banking and PSU Debt Fund) Regular Plan - Daily Reinvestment of Income Distribution cum Capital Withdrawal (IDCW)</t>
        </is>
      </c>
      <c r="C11715" t="inlineStr">
        <is>
          <t xml:space="preserve">INF903J01IP8</t>
        </is>
      </c>
    </row>
    <row r="11716">
      <c r="A11716" t="inlineStr">
        <is>
          <t xml:space="preserve">Sundaram Mutual Fund</t>
        </is>
      </c>
      <c r="B11716" t="inlineStr">
        <is>
          <t xml:space="preserve">Sundaram Banking &amp; PSU Fund (Formerly Known as Sundaram Banking and PSU Debt Fund) Regular Plan - Growth</t>
        </is>
      </c>
      <c r="C11716" t="inlineStr">
        <is>
          <t xml:space="preserve">INF903J01IN3</t>
        </is>
      </c>
    </row>
    <row r="11717">
      <c r="A11717" t="inlineStr">
        <is>
          <t xml:space="preserve">Sundaram Mutual Fund</t>
        </is>
      </c>
      <c r="B11717" t="inlineStr">
        <is>
          <t xml:space="preserve">Sundaram Banking &amp; PSU Fund (Formerly Known as Sundaram Banking and PSU Debt Fund) Regular Plan - Income Distribution cum Capital Withdrawal (IDCW)</t>
        </is>
      </c>
      <c r="C11717" t="inlineStr">
        <is>
          <t xml:space="preserve">INF903J01IO1</t>
        </is>
      </c>
    </row>
    <row r="11718">
      <c r="A11718" t="inlineStr">
        <is>
          <t xml:space="preserve">Sundaram Mutual Fund</t>
        </is>
      </c>
      <c r="B11718" t="inlineStr">
        <is>
          <t xml:space="preserve">Sundaram Banking &amp; PSU Fund (Formerly Known as Sundaram Banking and PSU Debt Fund) Regular Plan - Weekly Reinvestment of Income Distribution cum Capital Withdrawal (IDCW)</t>
        </is>
      </c>
      <c r="C11718" t="inlineStr">
        <is>
          <t xml:space="preserve">INF903J01IQ6</t>
        </is>
      </c>
    </row>
    <row r="11719">
      <c r="A11719" t="inlineStr">
        <is>
          <t xml:space="preserve">Sundaram Mutual Fund</t>
        </is>
      </c>
      <c r="B11719" t="inlineStr">
        <is>
          <t xml:space="preserve">Sundaram Banking &amp; PSU Fund (Formerly Known as Sundaram Banking and PSU Debt Fund) Retail Plan - Growth</t>
        </is>
      </c>
      <c r="C11719" t="inlineStr">
        <is>
          <t xml:space="preserve">INF903J01IK9</t>
        </is>
      </c>
    </row>
    <row r="11720">
      <c r="A11720" t="inlineStr">
        <is>
          <t xml:space="preserve">Sundaram Mutual Fund</t>
        </is>
      </c>
      <c r="B11720" t="inlineStr">
        <is>
          <t xml:space="preserve">Sundaram Banking &amp; PSU Fund (Formerly Known as Sundaram Banking and PSU Debt Fund) Retail Plan - Monthly Income Distribution cum Capital Withdrawal (IDCW)</t>
        </is>
      </c>
      <c r="C11720" t="inlineStr">
        <is>
          <t xml:space="preserve">INF903J01IL7</t>
        </is>
      </c>
    </row>
    <row r="11721">
      <c r="A11721" t="inlineStr">
        <is>
          <t xml:space="preserve">Sundaram Mutual Fund</t>
        </is>
      </c>
      <c r="B11721" t="inlineStr">
        <is>
          <t xml:space="preserve">Sundaram Banking and PSU Debt Fund Direct Plan - Weekly Reinvestment of Income Distribution cum Capital Withdrawal (IDCW)</t>
        </is>
      </c>
      <c r="C11721" t="inlineStr">
        <is>
          <t xml:space="preserve">INF903J01PD9</t>
        </is>
      </c>
    </row>
    <row r="11722">
      <c r="A11722" t="inlineStr">
        <is>
          <t xml:space="preserve">Sundaram Mutual Fund</t>
        </is>
      </c>
      <c r="B11722" t="inlineStr">
        <is>
          <t xml:space="preserve">Sundaram Business Cycle Fund Direct Plan Growth</t>
        </is>
      </c>
      <c r="C11722" t="inlineStr">
        <is>
          <t xml:space="preserve">INF903JA1LQ6</t>
        </is>
      </c>
    </row>
    <row r="11723">
      <c r="A11723" t="inlineStr">
        <is>
          <t xml:space="preserve">Sundaram Mutual Fund</t>
        </is>
      </c>
      <c r="B11723" t="inlineStr">
        <is>
          <t xml:space="preserve">Sundaram Business Cycle Fund Direct Plan IDCW Payout</t>
        </is>
      </c>
      <c r="C11723" t="inlineStr">
        <is>
          <t xml:space="preserve">INF903JA1LR4</t>
        </is>
      </c>
    </row>
    <row r="11724">
      <c r="A11724" t="inlineStr">
        <is>
          <t xml:space="preserve">Sundaram Mutual Fund</t>
        </is>
      </c>
      <c r="B11724" t="inlineStr">
        <is>
          <t xml:space="preserve">Sundaram Business Cycle Fund Direct Plan IDCW Reinvestment</t>
        </is>
      </c>
      <c r="C11724" t="inlineStr">
        <is>
          <t xml:space="preserve">INF903JA1LS2</t>
        </is>
      </c>
    </row>
    <row r="11725">
      <c r="A11725" t="inlineStr">
        <is>
          <t xml:space="preserve">Sundaram Mutual Fund</t>
        </is>
      </c>
      <c r="B11725" t="inlineStr">
        <is>
          <t xml:space="preserve">Sundaram Business Cycle Fund Regular Plan Growth</t>
        </is>
      </c>
      <c r="C11725" t="inlineStr">
        <is>
          <t xml:space="preserve">INF903JA1LN3</t>
        </is>
      </c>
    </row>
    <row r="11726">
      <c r="A11726" t="inlineStr">
        <is>
          <t xml:space="preserve">Sundaram Mutual Fund</t>
        </is>
      </c>
      <c r="B11726" t="inlineStr">
        <is>
          <t xml:space="preserve">Sundaram Business Cycle Fund Regular Plan IDCW Payout</t>
        </is>
      </c>
      <c r="C11726" t="inlineStr">
        <is>
          <t xml:space="preserve">INF903JA1LO1</t>
        </is>
      </c>
    </row>
    <row r="11727">
      <c r="A11727" t="inlineStr">
        <is>
          <t xml:space="preserve">Sundaram Mutual Fund</t>
        </is>
      </c>
      <c r="B11727" t="inlineStr">
        <is>
          <t xml:space="preserve">Sundaram Business Cycle Fund Regular Plan IDCW Reinvestment</t>
        </is>
      </c>
      <c r="C11727" t="inlineStr">
        <is>
          <t xml:space="preserve">INF903JA1LP8</t>
        </is>
      </c>
    </row>
    <row r="11728">
      <c r="A11728" t="inlineStr">
        <is>
          <t xml:space="preserve">Sundaram Mutual Fund</t>
        </is>
      </c>
      <c r="B11728" t="inlineStr">
        <is>
          <t xml:space="preserve">Sundaram Conservative Hybrid Fund (Formerly Known as Sundaram Debt Oriented Hybrid Fund) Direct Plan - Growth</t>
        </is>
      </c>
      <c r="C11728" t="inlineStr">
        <is>
          <t xml:space="preserve">INF903J01OP6</t>
        </is>
      </c>
    </row>
    <row r="11729">
      <c r="A11729" t="inlineStr">
        <is>
          <t xml:space="preserve">Sundaram Mutual Fund</t>
        </is>
      </c>
      <c r="B11729" t="inlineStr">
        <is>
          <t xml:space="preserve">Sundaram Conservative Hybrid Fund (Formerly Known as Sundaram Debt Oriented Hybrid Fund) Direct Plan - IDCW</t>
        </is>
      </c>
      <c r="C11729" t="inlineStr">
        <is>
          <t xml:space="preserve">INF903J01OQ4</t>
        </is>
      </c>
    </row>
    <row r="11730">
      <c r="A11730" t="inlineStr">
        <is>
          <t xml:space="preserve">Sundaram Mutual Fund</t>
        </is>
      </c>
      <c r="B11730" t="inlineStr">
        <is>
          <t xml:space="preserve">Sundaram Conservative Hybrid Fund (Formerly Known as Sundaram Debt Oriented Hybrid Fund) Direct Plan - Income Distribution cum Capital Withdrawal (IDCW)</t>
        </is>
      </c>
      <c r="C11730" t="inlineStr">
        <is>
          <t xml:space="preserve">INF903J01OS0</t>
        </is>
      </c>
    </row>
    <row r="11731">
      <c r="A11731" t="inlineStr">
        <is>
          <t xml:space="preserve">Sundaram Mutual Fund</t>
        </is>
      </c>
      <c r="B11731" t="inlineStr">
        <is>
          <t xml:space="preserve">Sundaram Conservative Hybrid Fund (Formerly Known as Sundaram Debt Oriented Hybrid Fund) Direct Plan -Income Distribution cum Capital Withdrawal (IDCW)</t>
        </is>
      </c>
      <c r="C11731" t="inlineStr">
        <is>
          <t xml:space="preserve">INF903J01OR2</t>
        </is>
      </c>
    </row>
    <row r="11732">
      <c r="A11732" t="inlineStr">
        <is>
          <t xml:space="preserve">Sundaram Mutual Fund</t>
        </is>
      </c>
      <c r="B11732" t="inlineStr">
        <is>
          <t xml:space="preserve">Sundaram Conservative Hybrid Fund (Formerly Known as Sundaram Debt Oriented Hybrid Fund) Regular Plan - Growth</t>
        </is>
      </c>
      <c r="C11732" t="inlineStr">
        <is>
          <t xml:space="preserve">INF903J01HB0</t>
        </is>
      </c>
    </row>
    <row r="11733">
      <c r="A11733" t="inlineStr">
        <is>
          <t xml:space="preserve">Sundaram Mutual Fund</t>
        </is>
      </c>
      <c r="B11733" t="inlineStr">
        <is>
          <t xml:space="preserve">Sundaram Conservative Hybrid Fund (Formerly Known as Sundaram Debt Oriented Hybrid Fund) Regular Plan - Income Distribution cum Capital Withdrawal (IDCW)</t>
        </is>
      </c>
      <c r="C11733" t="inlineStr">
        <is>
          <t xml:space="preserve">INF903J01HC8</t>
        </is>
      </c>
    </row>
    <row r="11734">
      <c r="A11734" t="inlineStr">
        <is>
          <t xml:space="preserve">Sundaram Mutual Fund</t>
        </is>
      </c>
      <c r="B11734" t="inlineStr">
        <is>
          <t xml:space="preserve">Sundaram Conservative Hybrid Fund (Formerly Known as Sundaram Debt Oriented Hybrid Fund) Regular Plan -Income Distribution cum Capital Withdrawal (IDCW)</t>
        </is>
      </c>
      <c r="C11734" t="inlineStr">
        <is>
          <t xml:space="preserve">INF903J01HD6</t>
        </is>
      </c>
    </row>
    <row r="11735">
      <c r="A11735" t="inlineStr">
        <is>
          <t xml:space="preserve">Sundaram Mutual Fund</t>
        </is>
      </c>
      <c r="B11735" t="inlineStr">
        <is>
          <t xml:space="preserve">Sundaram Conservative Hybrid Fund (Formerly Known as Sundaram Debt Oriented Hybrid Fund) Regular Plan- Income Distribution cum Capital Withdrawal (IDCW)</t>
        </is>
      </c>
      <c r="C11735" t="inlineStr">
        <is>
          <t xml:space="preserve">INF903J01HE4</t>
        </is>
      </c>
    </row>
    <row r="11736">
      <c r="A11736" t="inlineStr">
        <is>
          <t xml:space="preserve">Sundaram Mutual Fund</t>
        </is>
      </c>
      <c r="B11736" t="inlineStr">
        <is>
          <t xml:space="preserve">Sundaram Consumption Fund (Formerly Known as Sundaram Rural and Consumption Fund Direct Plan - Growth)</t>
        </is>
      </c>
      <c r="C11736" t="inlineStr">
        <is>
          <t xml:space="preserve">INF903J01NH5</t>
        </is>
      </c>
    </row>
    <row r="11737">
      <c r="A11737" t="inlineStr">
        <is>
          <t xml:space="preserve">Sundaram Mutual Fund</t>
        </is>
      </c>
      <c r="B11737" t="inlineStr">
        <is>
          <t xml:space="preserve">Sundaram Consumption Fund (Formerly Known as Sundaram Rural and Consumption Fund Institutional Plan - Income Distribution cum Capital Withdrawal (IDCW)</t>
        </is>
      </c>
      <c r="C11737" t="inlineStr">
        <is>
          <t xml:space="preserve">INF903J01579</t>
        </is>
      </c>
    </row>
    <row r="11738">
      <c r="A11738" t="inlineStr">
        <is>
          <t xml:space="preserve">Sundaram Mutual Fund</t>
        </is>
      </c>
      <c r="B11738" t="inlineStr">
        <is>
          <t xml:space="preserve">Sundaram Consumption Fund (Formerly Known as Sundaram Rural and Consumption Fund Regular Plan - Income Distribution cum Capital Withdrawal (IDCW)</t>
        </is>
      </c>
      <c r="C11738" t="inlineStr">
        <is>
          <t xml:space="preserve">INF903J01546</t>
        </is>
      </c>
    </row>
    <row r="11739">
      <c r="A11739" t="inlineStr">
        <is>
          <t xml:space="preserve">Sundaram Mutual Fund</t>
        </is>
      </c>
      <c r="B11739" t="inlineStr">
        <is>
          <t xml:space="preserve">Sundaram Consumption Fund (Formerly Known asSundaram Rural and Consumption Fund Direct Plan - Income Distribution cum Capital Withdrawal (IDCW)</t>
        </is>
      </c>
      <c r="C11739" t="inlineStr">
        <is>
          <t xml:space="preserve">INF903J01NF9</t>
        </is>
      </c>
    </row>
    <row r="11740">
      <c r="A11740" t="inlineStr">
        <is>
          <t xml:space="preserve">Sundaram Mutual Fund</t>
        </is>
      </c>
      <c r="B11740" t="inlineStr">
        <is>
          <t xml:space="preserve">Sundaram Consumption Fund(Formerly Known as Sundaram Rural and Consumption Fund Regular Plan - Growth)</t>
        </is>
      </c>
      <c r="C11740" t="inlineStr">
        <is>
          <t xml:space="preserve">INF903J01561</t>
        </is>
      </c>
    </row>
    <row r="11741">
      <c r="A11741" t="inlineStr">
        <is>
          <t xml:space="preserve">Sundaram Mutual Fund</t>
        </is>
      </c>
      <c r="B11741" t="inlineStr">
        <is>
          <t xml:space="preserve">Sundaram Corporate Bond Fund Direct Plan - Growth</t>
        </is>
      </c>
      <c r="C11741" t="inlineStr">
        <is>
          <t xml:space="preserve">INF903J01NR4</t>
        </is>
      </c>
    </row>
    <row r="11742">
      <c r="A11742" t="inlineStr">
        <is>
          <t xml:space="preserve">Sundaram Mutual Fund</t>
        </is>
      </c>
      <c r="B11742" t="inlineStr">
        <is>
          <t xml:space="preserve">Sundaram Corporate Bond Fund Direct Plan - Income Distribution cum Capital Withdrawal (IDCW)</t>
        </is>
      </c>
      <c r="C11742" t="inlineStr">
        <is>
          <t xml:space="preserve">INF903J01OW2</t>
        </is>
      </c>
    </row>
    <row r="11743">
      <c r="A11743" t="inlineStr">
        <is>
          <t xml:space="preserve">Sundaram Mutual Fund</t>
        </is>
      </c>
      <c r="B11743" t="inlineStr">
        <is>
          <t xml:space="preserve">Sundaram Corporate Bond Fund Direct Plan - Income Distribution cum Capital Withdrawal(IDCW)</t>
        </is>
      </c>
      <c r="C11743" t="inlineStr">
        <is>
          <t xml:space="preserve">INF903J01NS2</t>
        </is>
      </c>
    </row>
    <row r="11744">
      <c r="A11744" t="inlineStr">
        <is>
          <t xml:space="preserve">Sundaram Mutual Fund</t>
        </is>
      </c>
      <c r="B11744" t="inlineStr">
        <is>
          <t xml:space="preserve">Sundaram Corporate Bond Fund Direct Plan -Income Distribution cum Capital Withdrawal (IDCW)</t>
        </is>
      </c>
      <c r="C11744" t="inlineStr">
        <is>
          <t xml:space="preserve">INF903J01OX0</t>
        </is>
      </c>
    </row>
    <row r="11745">
      <c r="A11745" t="inlineStr">
        <is>
          <t xml:space="preserve">Sundaram Mutual Fund</t>
        </is>
      </c>
      <c r="B11745" t="inlineStr">
        <is>
          <t xml:space="preserve">Sundaram Corporate Bond Fund Direct Plan-Income Distribution cum Capital Withdrawal(IDCW)</t>
        </is>
      </c>
      <c r="C11745" t="inlineStr">
        <is>
          <t xml:space="preserve">INF903J01NU8</t>
        </is>
      </c>
    </row>
    <row r="11746">
      <c r="A11746" t="inlineStr">
        <is>
          <t xml:space="preserve">Sundaram Mutual Fund</t>
        </is>
      </c>
      <c r="B11746" t="inlineStr">
        <is>
          <t xml:space="preserve">Sundaram Corporate Bond Fund Regular Plan - Income Distribution cum Capital Withdrawal (IDCW )</t>
        </is>
      </c>
      <c r="C11746" t="inlineStr">
        <is>
          <t xml:space="preserve">INF903J01HY2</t>
        </is>
      </c>
    </row>
    <row r="11747">
      <c r="A11747" t="inlineStr">
        <is>
          <t xml:space="preserve">Sundaram Mutual Fund</t>
        </is>
      </c>
      <c r="B11747" t="inlineStr">
        <is>
          <t xml:space="preserve">Sundaram Corporate Bond Fund Regular Plan -Income Distribution cum Capital Withdrawal(IDCW)</t>
        </is>
      </c>
      <c r="C11747" t="inlineStr">
        <is>
          <t xml:space="preserve">INF903J01HX4</t>
        </is>
      </c>
    </row>
    <row r="11748">
      <c r="A11748" t="inlineStr">
        <is>
          <t xml:space="preserve">Sundaram Mutual Fund</t>
        </is>
      </c>
      <c r="B11748" t="inlineStr">
        <is>
          <t xml:space="preserve">Sundaram Corporate Bond Fund Regular Plan- Growth</t>
        </is>
      </c>
      <c r="C11748" t="inlineStr">
        <is>
          <t xml:space="preserve">INF903J01HW6</t>
        </is>
      </c>
    </row>
    <row r="11749">
      <c r="A11749" t="inlineStr">
        <is>
          <t xml:space="preserve">Sundaram Mutual Fund</t>
        </is>
      </c>
      <c r="B11749" t="inlineStr">
        <is>
          <t xml:space="preserve">Sundaram Corporate Bond Fund Regular Plan- Income Distribution cum Capital Withdrawal (IDCW)</t>
        </is>
      </c>
      <c r="C11749" t="inlineStr">
        <is>
          <t xml:space="preserve">INF903J01IA0</t>
        </is>
      </c>
    </row>
    <row r="11750">
      <c r="A11750" t="inlineStr">
        <is>
          <t xml:space="preserve">Sundaram Mutual Fund</t>
        </is>
      </c>
      <c r="B11750" t="inlineStr">
        <is>
          <t xml:space="preserve">Sundaram Corporate Bond Fund Regular Plan-Income Distribution cum Capital Withdrawal (IDCW)</t>
        </is>
      </c>
      <c r="C11750" t="inlineStr">
        <is>
          <t xml:space="preserve">INF903J01HZ9</t>
        </is>
      </c>
    </row>
    <row r="11751">
      <c r="A11751" t="inlineStr">
        <is>
          <t xml:space="preserve">Sundaram Mutual Fund</t>
        </is>
      </c>
      <c r="B11751" t="inlineStr">
        <is>
          <t xml:space="preserve">Sundaram Dividend Yield Fund (Formerly Known as Principal Dividend Yield Fund) - Direct Plan - Growth Option</t>
        </is>
      </c>
      <c r="C11751" t="inlineStr">
        <is>
          <t xml:space="preserve">INF173K01EV3</t>
        </is>
      </c>
    </row>
    <row r="11752">
      <c r="A11752" t="inlineStr">
        <is>
          <t xml:space="preserve">Sundaram Mutual Fund</t>
        </is>
      </c>
      <c r="B11752" t="inlineStr">
        <is>
          <t xml:space="preserve">Sundaram Dividend Yield Fund (Formerly Known as Principal Dividend Yield Fund)- Direct Plan - Income Distribution CUM Capital Withdrawal Option</t>
        </is>
      </c>
      <c r="C11752" t="inlineStr">
        <is>
          <t xml:space="preserve">INF173K01ES9</t>
        </is>
      </c>
    </row>
    <row r="11753">
      <c r="A11753" t="inlineStr">
        <is>
          <t xml:space="preserve">Sundaram Mutual Fund</t>
        </is>
      </c>
      <c r="B11753" t="inlineStr">
        <is>
          <t xml:space="preserve">Sundaram Dividend Yield Fund (Formerly Known as Principal Dividend Yield Fund)- Income Distribution CUM Capital Withdrawal Plan</t>
        </is>
      </c>
      <c r="C11753" t="inlineStr">
        <is>
          <t xml:space="preserve">INF173K01AD9</t>
        </is>
      </c>
    </row>
    <row r="11754">
      <c r="A11754" t="inlineStr">
        <is>
          <t xml:space="preserve">Sundaram Mutual Fund</t>
        </is>
      </c>
      <c r="B11754" t="inlineStr">
        <is>
          <t xml:space="preserve">Sundaram Dividend Yield Fund (Formerly Known as Principal Dividend Yield Fund)-Growth Plan</t>
        </is>
      </c>
      <c r="C11754" t="inlineStr">
        <is>
          <t xml:space="preserve">INF173K01AC1</t>
        </is>
      </c>
    </row>
    <row r="11755">
      <c r="A11755" t="inlineStr">
        <is>
          <t xml:space="preserve">Sundaram Mutual Fund</t>
        </is>
      </c>
      <c r="B11755" t="inlineStr">
        <is>
          <t xml:space="preserve">Sundaram ELSS Tax Saver Fund Direct Plan - Income Distribution CUM Capital Withdrawal Option (IDCW)</t>
        </is>
      </c>
      <c r="C11755" t="inlineStr">
        <is>
          <t xml:space="preserve">INF173K01NN1</t>
        </is>
      </c>
    </row>
    <row r="11756">
      <c r="A11756" t="inlineStr">
        <is>
          <t xml:space="preserve">Sundaram Mutual Fund</t>
        </is>
      </c>
      <c r="B11756" t="inlineStr">
        <is>
          <t xml:space="preserve">Sundaram ELSS Tax Saver Fund Direct Plan Growth</t>
        </is>
      </c>
      <c r="C11756" t="inlineStr">
        <is>
          <t xml:space="preserve">INF173K01HZ7</t>
        </is>
      </c>
    </row>
    <row r="11757">
      <c r="A11757" t="inlineStr">
        <is>
          <t xml:space="preserve">Sundaram Mutual Fund</t>
        </is>
      </c>
      <c r="B11757" t="inlineStr">
        <is>
          <t xml:space="preserve">Sundaram ELSS Tax Saver Fund Regular Growth</t>
        </is>
      </c>
      <c r="C11757" t="inlineStr">
        <is>
          <t xml:space="preserve">INF173K01361</t>
        </is>
      </c>
    </row>
    <row r="11758">
      <c r="A11758" t="inlineStr">
        <is>
          <t xml:space="preserve">Sundaram Mutual Fund</t>
        </is>
      </c>
      <c r="B11758" t="inlineStr">
        <is>
          <t xml:space="preserve">Sundaram ELSS Tax Saver Fund Regular Plan - Income Distribution CUM Capital Withdrawal Option (IDCW)</t>
        </is>
      </c>
      <c r="C11758" t="inlineStr">
        <is>
          <t xml:space="preserve">INF173K01NM3</t>
        </is>
      </c>
    </row>
    <row r="11759">
      <c r="A11759" t="inlineStr">
        <is>
          <t xml:space="preserve">Sundaram Mutual Fund</t>
        </is>
      </c>
      <c r="B11759" t="inlineStr">
        <is>
          <t xml:space="preserve">Sundaram Equity Savings Fund (Formerly Known as  Principal Equity Savings Fund) - Direct Plan - Income Distribution CUM Capital Withdrawal Option (IDCW)</t>
        </is>
      </c>
      <c r="C11759" t="inlineStr">
        <is>
          <t xml:space="preserve">INF173K01HC6</t>
        </is>
      </c>
    </row>
    <row r="11760">
      <c r="A11760" t="inlineStr">
        <is>
          <t xml:space="preserve">Sundaram Mutual Fund</t>
        </is>
      </c>
      <c r="B11760" t="inlineStr">
        <is>
          <t xml:space="preserve">Sundaram Equity Savings Fund (Formerly Known as Principal Equity Savings Fund) - Direct Plan - Growth Option</t>
        </is>
      </c>
      <c r="C11760" t="inlineStr">
        <is>
          <t xml:space="preserve">INF173K01GZ9</t>
        </is>
      </c>
    </row>
    <row r="11761">
      <c r="A11761" t="inlineStr">
        <is>
          <t xml:space="preserve">Sundaram Mutual Fund</t>
        </is>
      </c>
      <c r="B11761" t="inlineStr">
        <is>
          <t xml:space="preserve">Sundaram Equity Savings Fund (Formerly Known as Principal Equity Savings Fund) - Growth Option</t>
        </is>
      </c>
      <c r="C11761" t="inlineStr">
        <is>
          <t xml:space="preserve">INF173K01213</t>
        </is>
      </c>
    </row>
    <row r="11762">
      <c r="A11762" t="inlineStr">
        <is>
          <t xml:space="preserve">Sundaram Mutual Fund</t>
        </is>
      </c>
      <c r="B11762" t="inlineStr">
        <is>
          <t xml:space="preserve">Sundaram Equity Savings Fund (Formerly Known as Principal Equity Savings Fund) - Income Distribution CUM Capital Withdrawal (IDCW)</t>
        </is>
      </c>
      <c r="C11762" t="inlineStr">
        <is>
          <t xml:space="preserve">INF173K01262</t>
        </is>
      </c>
    </row>
    <row r="11763">
      <c r="A11763" t="inlineStr">
        <is>
          <t xml:space="preserve">Sundaram Mutual Fund</t>
        </is>
      </c>
      <c r="B11763" t="inlineStr">
        <is>
          <t xml:space="preserve">Sundaram Equity Savings Fund (Formerly Known as Principal Equity Savings Fund)- Direct Plan - Income Distribution CUM Capital Withdrawal Option (IDCW)</t>
        </is>
      </c>
      <c r="C11763" t="inlineStr">
        <is>
          <t xml:space="preserve">INF173K01HF9</t>
        </is>
      </c>
    </row>
    <row r="11764">
      <c r="A11764" t="inlineStr">
        <is>
          <t xml:space="preserve">Sundaram Mutual Fund</t>
        </is>
      </c>
      <c r="B11764" t="inlineStr">
        <is>
          <t xml:space="preserve">Sundaram Equity Savings Fund (Formerly Known as Principal Equity Savings Fund)- Income Distribution CUM Capital Withdrawal (IDCW)</t>
        </is>
      </c>
      <c r="C11764" t="inlineStr">
        <is>
          <t xml:space="preserve">INF173K01247</t>
        </is>
      </c>
    </row>
    <row r="11765">
      <c r="A11765" t="inlineStr">
        <is>
          <t xml:space="preserve">Sundaram Mutual Fund</t>
        </is>
      </c>
      <c r="B11765" t="inlineStr">
        <is>
          <t xml:space="preserve">Sundaram Financial Services Opportunities Fund Direct Plan - Growth</t>
        </is>
      </c>
      <c r="C11765" t="inlineStr">
        <is>
          <t xml:space="preserve">INF903J01NB8</t>
        </is>
      </c>
    </row>
    <row r="11766">
      <c r="A11766" t="inlineStr">
        <is>
          <t xml:space="preserve">Sundaram Mutual Fund</t>
        </is>
      </c>
      <c r="B11766" t="inlineStr">
        <is>
          <t xml:space="preserve">Sundaram Financial Services Opportunities Fund Direct Plan - Income Distribution cum Capital Withdrawal (IDCW)</t>
        </is>
      </c>
      <c r="C11766" t="inlineStr">
        <is>
          <t xml:space="preserve">INF903J01MZ9</t>
        </is>
      </c>
    </row>
    <row r="11767">
      <c r="A11767" t="inlineStr">
        <is>
          <t xml:space="preserve">Sundaram Mutual Fund</t>
        </is>
      </c>
      <c r="B11767" t="inlineStr">
        <is>
          <t xml:space="preserve">Sundaram Financial Services Opportunities Fund Institutional Plan - Growth</t>
        </is>
      </c>
      <c r="C11767" t="inlineStr">
        <is>
          <t xml:space="preserve">INF903J01652</t>
        </is>
      </c>
    </row>
    <row r="11768">
      <c r="A11768" t="inlineStr">
        <is>
          <t xml:space="preserve">Sundaram Mutual Fund</t>
        </is>
      </c>
      <c r="B11768" t="inlineStr">
        <is>
          <t xml:space="preserve">Sundaram Financial Services Opportunities Fund Institutional Plan - Income Distribution cum Capital Withdrawal (IDCW)</t>
        </is>
      </c>
      <c r="C11768" t="inlineStr">
        <is>
          <t xml:space="preserve">INF903J01637</t>
        </is>
      </c>
    </row>
    <row r="11769">
      <c r="A11769" t="inlineStr">
        <is>
          <t xml:space="preserve">Sundaram Mutual Fund</t>
        </is>
      </c>
      <c r="B11769" t="inlineStr">
        <is>
          <t xml:space="preserve">Sundaram Financial Services Opportunities Fund Regular Plan - Growth</t>
        </is>
      </c>
      <c r="C11769" t="inlineStr">
        <is>
          <t xml:space="preserve">INF903J01629</t>
        </is>
      </c>
    </row>
    <row r="11770">
      <c r="A11770" t="inlineStr">
        <is>
          <t xml:space="preserve">Sundaram Mutual Fund</t>
        </is>
      </c>
      <c r="B11770" t="inlineStr">
        <is>
          <t xml:space="preserve">Sundaram Financial Services Opportunities Fund Regular Plan - Income Distribution cum Capital Withdrawal (IDCW)</t>
        </is>
      </c>
      <c r="C11770" t="inlineStr">
        <is>
          <t xml:space="preserve">INF903J01603</t>
        </is>
      </c>
    </row>
    <row r="11771">
      <c r="A11771" t="inlineStr">
        <is>
          <t xml:space="preserve">Sundaram Mutual Fund</t>
        </is>
      </c>
      <c r="B11771" t="inlineStr">
        <is>
          <t xml:space="preserve">Sundaram Flexicap Fund Direct Growth</t>
        </is>
      </c>
      <c r="C11771" t="inlineStr">
        <is>
          <t xml:space="preserve">INF903JA1LE2</t>
        </is>
      </c>
    </row>
    <row r="11772">
      <c r="A11772" t="inlineStr">
        <is>
          <t xml:space="preserve">Sundaram Mutual Fund</t>
        </is>
      </c>
      <c r="B11772" t="inlineStr">
        <is>
          <t xml:space="preserve">Sundaram Flexicap Fund Direct Plan IDCW Payout</t>
        </is>
      </c>
      <c r="C11772" t="inlineStr">
        <is>
          <t xml:space="preserve">INF903JA1LF9</t>
        </is>
      </c>
    </row>
    <row r="11773">
      <c r="A11773" t="inlineStr">
        <is>
          <t xml:space="preserve">Sundaram Mutual Fund</t>
        </is>
      </c>
      <c r="B11773" t="inlineStr">
        <is>
          <t xml:space="preserve">Sundaram Flexicap Fund Direct Plan IDCW Reinvestment</t>
        </is>
      </c>
      <c r="C11773" t="inlineStr">
        <is>
          <t xml:space="preserve">INF903JA1LG7</t>
        </is>
      </c>
    </row>
    <row r="11774">
      <c r="A11774" t="inlineStr">
        <is>
          <t xml:space="preserve">Sundaram Mutual Fund</t>
        </is>
      </c>
      <c r="B11774" t="inlineStr">
        <is>
          <t xml:space="preserve">Sundaram Flexicap Fund Regular Growth</t>
        </is>
      </c>
      <c r="C11774" t="inlineStr">
        <is>
          <t xml:space="preserve">INF903JA1LB8</t>
        </is>
      </c>
    </row>
    <row r="11775">
      <c r="A11775" t="inlineStr">
        <is>
          <t xml:space="preserve">Sundaram Mutual Fund</t>
        </is>
      </c>
      <c r="B11775" t="inlineStr">
        <is>
          <t xml:space="preserve">Sundaram Flexicap Fund Regular Plan IDCW Payout</t>
        </is>
      </c>
      <c r="C11775" t="inlineStr">
        <is>
          <t xml:space="preserve">INF903JA1LC6</t>
        </is>
      </c>
    </row>
    <row r="11776">
      <c r="A11776" t="inlineStr">
        <is>
          <t xml:space="preserve">Sundaram Mutual Fund</t>
        </is>
      </c>
      <c r="B11776" t="inlineStr">
        <is>
          <t xml:space="preserve">Sundaram Flexicap Fund Regular Plan IDCW Reinvestment</t>
        </is>
      </c>
      <c r="C11776" t="inlineStr">
        <is>
          <t xml:space="preserve">INF903JA1LD4</t>
        </is>
      </c>
    </row>
    <row r="11777">
      <c r="A11777" t="inlineStr">
        <is>
          <t xml:space="preserve">Sundaram Mutual Fund</t>
        </is>
      </c>
      <c r="B11777" t="inlineStr">
        <is>
          <t xml:space="preserve">Sundaram Focused Fund (Formerly Known as Principal Focused Multicap Fund)- Direct Plan - Growth Option</t>
        </is>
      </c>
      <c r="C11777" t="inlineStr">
        <is>
          <t xml:space="preserve">INF173K01EK6</t>
        </is>
      </c>
    </row>
    <row r="11778">
      <c r="A11778" t="inlineStr">
        <is>
          <t xml:space="preserve">Sundaram Mutual Fund</t>
        </is>
      </c>
      <c r="B11778" t="inlineStr">
        <is>
          <t xml:space="preserve">Sundaram Focused Fund (Formerly Known as Principal Focused Multicap Fund)- Direct Plan - Income Distribution CUM Capital Withdrawal Option (IDCW)</t>
        </is>
      </c>
      <c r="C11778" t="inlineStr">
        <is>
          <t xml:space="preserve">INF173K01EM2</t>
        </is>
      </c>
    </row>
    <row r="11779">
      <c r="A11779" t="inlineStr">
        <is>
          <t xml:space="preserve">Sundaram Mutual Fund</t>
        </is>
      </c>
      <c r="B11779" t="inlineStr">
        <is>
          <t xml:space="preserve">Sundaram Focused Fund (Formerly Known as Principal Focused Multicap Fund)- Income Distribution CUM Capital Withdrawal Option (IDCW)</t>
        </is>
      </c>
      <c r="C11779" t="inlineStr">
        <is>
          <t xml:space="preserve">INF173K01197</t>
        </is>
      </c>
    </row>
    <row r="11780">
      <c r="A11780" t="inlineStr">
        <is>
          <t xml:space="preserve">Sundaram Mutual Fund</t>
        </is>
      </c>
      <c r="B11780" t="inlineStr">
        <is>
          <t xml:space="preserve">Sundaram Focused Fund (Formerly Known as Principal Focused Multicap Fund)-Growth Option</t>
        </is>
      </c>
      <c r="C11780" t="inlineStr">
        <is>
          <t xml:space="preserve">INF173K01189</t>
        </is>
      </c>
    </row>
    <row r="11781">
      <c r="A11781" t="inlineStr">
        <is>
          <t xml:space="preserve">Sundaram Mutual Fund</t>
        </is>
      </c>
      <c r="B11781" t="inlineStr">
        <is>
          <t xml:space="preserve">Sundaram Global Brand Theme-Equity Active FOF - Direct Growth</t>
        </is>
      </c>
      <c r="C11781" t="inlineStr">
        <is>
          <t xml:space="preserve">INF903J01OB6</t>
        </is>
      </c>
    </row>
    <row r="11782">
      <c r="A11782" t="inlineStr">
        <is>
          <t xml:space="preserve">Sundaram Mutual Fund</t>
        </is>
      </c>
      <c r="B11782" t="inlineStr">
        <is>
          <t xml:space="preserve">Sundaram Global Brand Theme-Equity Active FOF - Direct IDCW</t>
        </is>
      </c>
      <c r="C11782" t="inlineStr">
        <is>
          <t xml:space="preserve">INF903J01NZ7</t>
        </is>
      </c>
    </row>
    <row r="11783">
      <c r="A11783" t="inlineStr">
        <is>
          <t xml:space="preserve">Sundaram Mutual Fund</t>
        </is>
      </c>
      <c r="B11783" t="inlineStr">
        <is>
          <t xml:space="preserve">Sundaram Global Brand Theme-Equity Active FOF - Regular Growth</t>
        </is>
      </c>
      <c r="C11783" t="inlineStr">
        <is>
          <t xml:space="preserve">INF903J01EX1</t>
        </is>
      </c>
    </row>
    <row r="11784">
      <c r="A11784" t="inlineStr">
        <is>
          <t xml:space="preserve">Sundaram Mutual Fund</t>
        </is>
      </c>
      <c r="B11784" t="inlineStr">
        <is>
          <t xml:space="preserve">Sundaram Global Brand Theme-Equity Active FOF - Regular IDCW</t>
        </is>
      </c>
      <c r="C11784" t="inlineStr">
        <is>
          <t xml:space="preserve">INF903J01EY9</t>
        </is>
      </c>
    </row>
    <row r="11785">
      <c r="A11785" t="inlineStr">
        <is>
          <t xml:space="preserve">Sundaram Mutual Fund</t>
        </is>
      </c>
      <c r="B11785" t="inlineStr">
        <is>
          <t xml:space="preserve">Sundaram Income Plus Arbitrage Active FoF Fund-Direct-Growth</t>
        </is>
      </c>
      <c r="C11785" t="inlineStr">
        <is>
          <t xml:space="preserve">INF903JA1LZ7</t>
        </is>
      </c>
    </row>
    <row r="11786">
      <c r="A11786" t="inlineStr">
        <is>
          <t xml:space="preserve">Sundaram Mutual Fund</t>
        </is>
      </c>
      <c r="B11786" t="inlineStr">
        <is>
          <t xml:space="preserve">Sundaram Income Plus Arbitrage Active FoF Fund-Direct-IDCW Payout</t>
        </is>
      </c>
      <c r="C11786" t="inlineStr">
        <is>
          <t xml:space="preserve">INF903JA1MA8</t>
        </is>
      </c>
    </row>
    <row r="11787">
      <c r="A11787" t="inlineStr">
        <is>
          <t xml:space="preserve">Sundaram Mutual Fund</t>
        </is>
      </c>
      <c r="B11787" t="inlineStr">
        <is>
          <t xml:space="preserve">Sundaram Income Plus Arbitrage Active FoF Fund-Regular-Growth</t>
        </is>
      </c>
      <c r="C11787" t="inlineStr">
        <is>
          <t xml:space="preserve">INF903JA1MC4</t>
        </is>
      </c>
    </row>
    <row r="11788">
      <c r="A11788" t="inlineStr">
        <is>
          <t xml:space="preserve">Sundaram Mutual Fund</t>
        </is>
      </c>
      <c r="B11788" t="inlineStr">
        <is>
          <t xml:space="preserve">Sundaram Income Plus Arbitrage Active FoF Fund-Regular-IDCW Payout</t>
        </is>
      </c>
      <c r="C11788" t="inlineStr">
        <is>
          <t xml:space="preserve">INF903JA1MD2</t>
        </is>
      </c>
    </row>
    <row r="11789">
      <c r="A11789" t="inlineStr">
        <is>
          <t xml:space="preserve">Sundaram Mutual Fund</t>
        </is>
      </c>
      <c r="B11789" t="inlineStr">
        <is>
          <t xml:space="preserve">Sundaram Infrastructure Advantage Fund Direct Plan - Growth</t>
        </is>
      </c>
      <c r="C11789" t="inlineStr">
        <is>
          <t xml:space="preserve">INF903J01F92</t>
        </is>
      </c>
    </row>
    <row r="11790">
      <c r="A11790" t="inlineStr">
        <is>
          <t xml:space="preserve">Sundaram Mutual Fund</t>
        </is>
      </c>
      <c r="B11790" t="inlineStr">
        <is>
          <t xml:space="preserve">Sundaram Infrastructure Advantage Fund Direct Plan - Income Distribution cum Capital Withdrawal (IDCW)</t>
        </is>
      </c>
      <c r="C11790" t="inlineStr">
        <is>
          <t xml:space="preserve">INF903J01G00</t>
        </is>
      </c>
    </row>
    <row r="11791">
      <c r="A11791" t="inlineStr">
        <is>
          <t xml:space="preserve">Sundaram Mutual Fund</t>
        </is>
      </c>
      <c r="B11791" t="inlineStr">
        <is>
          <t xml:space="preserve">Sundaram Infrastructure Advantage Fund Regular Plan - Growth</t>
        </is>
      </c>
      <c r="C11791" t="inlineStr">
        <is>
          <t xml:space="preserve">INF903J01F68</t>
        </is>
      </c>
    </row>
    <row r="11792">
      <c r="A11792" t="inlineStr">
        <is>
          <t xml:space="preserve">Sundaram Mutual Fund</t>
        </is>
      </c>
      <c r="B11792" t="inlineStr">
        <is>
          <t xml:space="preserve">Sundaram Infrastructure Advantage Fund Regular Plan - Income Distribution cum Capital Withdrawal (IDCW)</t>
        </is>
      </c>
      <c r="C11792" t="inlineStr">
        <is>
          <t xml:space="preserve">INF903J01F76</t>
        </is>
      </c>
    </row>
    <row r="11793">
      <c r="A11793" t="inlineStr">
        <is>
          <t xml:space="preserve">Sundaram Mutual Fund</t>
        </is>
      </c>
      <c r="B11793" t="inlineStr">
        <is>
          <t xml:space="preserve">Sundaram Large and Midcap Direct Plan - Income Distribution cum Capital Withdrawal (IDCW)</t>
        </is>
      </c>
      <c r="C11793" t="inlineStr">
        <is>
          <t xml:space="preserve">INF903J01PP3</t>
        </is>
      </c>
    </row>
    <row r="11794">
      <c r="A11794" t="inlineStr">
        <is>
          <t xml:space="preserve">Sundaram Mutual Fund</t>
        </is>
      </c>
      <c r="B11794" t="inlineStr">
        <is>
          <t xml:space="preserve">Sundaram Large and Midcap Fund Direct Plan - Growth</t>
        </is>
      </c>
      <c r="C11794" t="inlineStr">
        <is>
          <t xml:space="preserve">INF903J01PR9</t>
        </is>
      </c>
    </row>
    <row r="11795">
      <c r="A11795" t="inlineStr">
        <is>
          <t xml:space="preserve">Sundaram Mutual Fund</t>
        </is>
      </c>
      <c r="B11795" t="inlineStr">
        <is>
          <t xml:space="preserve">Sundaram Large and Midcap Fund Regular Plan - Growth</t>
        </is>
      </c>
      <c r="C11795" t="inlineStr">
        <is>
          <t xml:space="preserve">INF903J01DT1</t>
        </is>
      </c>
    </row>
    <row r="11796">
      <c r="A11796" t="inlineStr">
        <is>
          <t xml:space="preserve">Sundaram Mutual Fund</t>
        </is>
      </c>
      <c r="B11796" t="inlineStr">
        <is>
          <t xml:space="preserve">Sundaram Large and Midcap Regular Plan - Income Distribution cum Capital Withdrawal (IDCW)</t>
        </is>
      </c>
      <c r="C11796" t="inlineStr">
        <is>
          <t xml:space="preserve">INF903J01DU9</t>
        </is>
      </c>
    </row>
    <row r="11797">
      <c r="A11797" t="inlineStr">
        <is>
          <t xml:space="preserve">Sundaram Mutual Fund</t>
        </is>
      </c>
      <c r="B11797" t="inlineStr">
        <is>
          <t xml:space="preserve">Sundaram Large Cap Fund (Formerly Known as Sundaram Blue Chip  Fund)  Direct Plan - Reinvestment of Income Distribution cum Capital Withdrawal (IDCW)</t>
        </is>
      </c>
      <c r="C11797" t="inlineStr">
        <is>
          <t xml:space="preserve">INF903JA1JE6</t>
        </is>
      </c>
    </row>
    <row r="11798">
      <c r="A11798" t="inlineStr">
        <is>
          <t xml:space="preserve">Sundaram Mutual Fund</t>
        </is>
      </c>
      <c r="B11798" t="inlineStr">
        <is>
          <t xml:space="preserve">Sundaram Large Cap Fund (Formerly Known as Sundaram Blue Chip Fund)  Regular Plan - Payout of Income Distribution cum Capital Withdrawal (IDCW)</t>
        </is>
      </c>
      <c r="C11798" t="inlineStr">
        <is>
          <t xml:space="preserve">INF903JA1JA4</t>
        </is>
      </c>
    </row>
    <row r="11799">
      <c r="A11799" t="inlineStr">
        <is>
          <t xml:space="preserve">Sundaram Mutual Fund</t>
        </is>
      </c>
      <c r="B11799" t="inlineStr">
        <is>
          <t xml:space="preserve">Sundaram Large Cap Fund (Formerly Known as Sundaram Blue Chip Fund) Direct Plan - Payout of Income Distribution cum Capital Withdrawal (IDCW)</t>
        </is>
      </c>
      <c r="C11799" t="inlineStr">
        <is>
          <t xml:space="preserve">INF903JA1JD8</t>
        </is>
      </c>
    </row>
    <row r="11800">
      <c r="A11800" t="inlineStr">
        <is>
          <t xml:space="preserve">Sundaram Mutual Fund</t>
        </is>
      </c>
      <c r="B11800" t="inlineStr">
        <is>
          <t xml:space="preserve">Sundaram Large Cap Fund (Formerly Known as Sundaram Blue Chip Fund) Regular Plan - Reinvestment of Income Distribution cum Capital Withdrawal (IDCW)</t>
        </is>
      </c>
      <c r="C11800" t="inlineStr">
        <is>
          <t xml:space="preserve">INF903JA1JB2</t>
        </is>
      </c>
    </row>
    <row r="11801">
      <c r="A11801" t="inlineStr">
        <is>
          <t xml:space="preserve">Sundaram Mutual Fund</t>
        </is>
      </c>
      <c r="B11801" t="inlineStr">
        <is>
          <t xml:space="preserve">Sundaram Large Cap Fund (Formerly Known as Sundaram Blue Chip Fund)Direct Plan - Growth</t>
        </is>
      </c>
      <c r="C11801" t="inlineStr">
        <is>
          <t xml:space="preserve">INF903JA1JC0</t>
        </is>
      </c>
    </row>
    <row r="11802">
      <c r="A11802" t="inlineStr">
        <is>
          <t xml:space="preserve">Sundaram Mutual Fund</t>
        </is>
      </c>
      <c r="B11802" t="inlineStr">
        <is>
          <t xml:space="preserve">Sundaram Large Cap Fund(Formerly Known as Sundaram Blue Chip Fund) Regular Plan - Growth</t>
        </is>
      </c>
      <c r="C11802" t="inlineStr">
        <is>
          <t xml:space="preserve">INF903JA1IZ3</t>
        </is>
      </c>
    </row>
    <row r="11803">
      <c r="A11803" t="inlineStr">
        <is>
          <t xml:space="preserve">Sundaram Mutual Fund</t>
        </is>
      </c>
      <c r="B11803" t="inlineStr">
        <is>
          <t xml:space="preserve">Sundaram Liquid Fund (Formerly Known as  Principal Cash Management Fund) Regular Plan Principal Units</t>
        </is>
      </c>
      <c r="C11803" t="inlineStr">
        <is>
          <t xml:space="preserve">INF903JA1JI7</t>
        </is>
      </c>
    </row>
    <row r="11804">
      <c r="A11804" t="inlineStr">
        <is>
          <t xml:space="preserve">Sundaram Mutual Fund</t>
        </is>
      </c>
      <c r="B11804" t="inlineStr">
        <is>
          <t xml:space="preserve">Sundaram Liquid Fund (Formerly Known as Principal Cash Management Fund )- Direct Plan - Income Distribution CUM Capital Withdrawal Option - Daily</t>
        </is>
      </c>
      <c r="C11804" t="inlineStr">
        <is>
          <t xml:space="preserve">INF173K01GT2</t>
        </is>
      </c>
    </row>
    <row r="11805">
      <c r="A11805" t="inlineStr">
        <is>
          <t xml:space="preserve">Sundaram Mutual Fund</t>
        </is>
      </c>
      <c r="B11805" t="inlineStr">
        <is>
          <t xml:space="preserve">Sundaram Liquid Fund (Formerly Known as Principal Cash Management Fund) - Daily Income Distribution CUM Capital Withdrawal</t>
        </is>
      </c>
      <c r="C11805" t="inlineStr">
        <is>
          <t xml:space="preserve">INF173K01DB7</t>
        </is>
      </c>
    </row>
    <row r="11806">
      <c r="A11806" t="inlineStr">
        <is>
          <t xml:space="preserve">Sundaram Mutual Fund</t>
        </is>
      </c>
      <c r="B11806" t="inlineStr">
        <is>
          <t xml:space="preserve">Sundaram Liquid Fund (Formerly Known as Principal Cash Management Fund) - Direct Plan - Growth Option</t>
        </is>
      </c>
      <c r="C11806" t="inlineStr">
        <is>
          <t xml:space="preserve">INF173K01GU0</t>
        </is>
      </c>
    </row>
    <row r="11807">
      <c r="A11807" t="inlineStr">
        <is>
          <t xml:space="preserve">Sundaram Mutual Fund</t>
        </is>
      </c>
      <c r="B11807" t="inlineStr">
        <is>
          <t xml:space="preserve">Sundaram Liquid Fund (Formerly Known as Principal Cash Management Fund) - Regular Plan IDCW</t>
        </is>
      </c>
      <c r="C11807" t="inlineStr">
        <is>
          <t xml:space="preserve">INF173K01DD3</t>
        </is>
      </c>
    </row>
    <row r="11808">
      <c r="A11808" t="inlineStr">
        <is>
          <t xml:space="preserve">Sundaram Mutual Fund</t>
        </is>
      </c>
      <c r="B11808" t="inlineStr">
        <is>
          <t xml:space="preserve">Sundaram Liquid Fund (Formerly Known as Principal Cash Management Fund) -Direct Plan - IDCW</t>
        </is>
      </c>
      <c r="C11808" t="inlineStr">
        <is>
          <t xml:space="preserve">INF173K01GV8</t>
        </is>
      </c>
    </row>
    <row r="11809">
      <c r="A11809" t="inlineStr">
        <is>
          <t xml:space="preserve">Sundaram Mutual Fund</t>
        </is>
      </c>
      <c r="B11809" t="inlineStr">
        <is>
          <t xml:space="preserve">Sundaram Liquid Fund (Formerly Known as Principal Cash Management Fund) -Growth Option</t>
        </is>
      </c>
      <c r="C11809" t="inlineStr">
        <is>
          <t xml:space="preserve">INF173K01DA9</t>
        </is>
      </c>
    </row>
    <row r="11810">
      <c r="A11810" t="inlineStr">
        <is>
          <t xml:space="preserve">Sundaram Mutual Fund</t>
        </is>
      </c>
      <c r="B11810" t="inlineStr">
        <is>
          <t xml:space="preserve">Sundaram Liquid Fund (Formerly Known as Principal Cash Management Fund) Direct Fortnightly IDCW</t>
        </is>
      </c>
      <c r="C11810" t="inlineStr">
        <is>
          <t xml:space="preserve">INF903JA1JJ5</t>
        </is>
      </c>
    </row>
    <row r="11811">
      <c r="A11811" t="inlineStr">
        <is>
          <t xml:space="preserve">Sundaram Mutual Fund</t>
        </is>
      </c>
      <c r="B11811" t="inlineStr">
        <is>
          <t xml:space="preserve">Sundaram Liquid Fund (Formerly Known as Principal Cash Management Fund) Direct Principal Units</t>
        </is>
      </c>
      <c r="C11811" t="inlineStr">
        <is>
          <t xml:space="preserve">INF903JA1JH9</t>
        </is>
      </c>
    </row>
    <row r="11812">
      <c r="A11812" t="inlineStr">
        <is>
          <t xml:space="preserve">Sundaram Mutual Fund</t>
        </is>
      </c>
      <c r="B11812" t="inlineStr">
        <is>
          <t xml:space="preserve">Sundaram Liquid Fund (Formerly Known as Principal Cash Management Fund) Regular Fortnightly IDCW</t>
        </is>
      </c>
      <c r="C11812" t="inlineStr">
        <is>
          <t xml:space="preserve">INF903JA1JF3</t>
        </is>
      </c>
    </row>
    <row r="11813">
      <c r="A11813" t="inlineStr">
        <is>
          <t xml:space="preserve">Sundaram Mutual Fund</t>
        </is>
      </c>
      <c r="B11813" t="inlineStr">
        <is>
          <t xml:space="preserve">Sundaram Liquid Fund (Formerly Known as Principal Cash Management Fund) Regular IDCW</t>
        </is>
      </c>
      <c r="C11813" t="inlineStr">
        <is>
          <t xml:space="preserve">INF903JA1JG1</t>
        </is>
      </c>
    </row>
    <row r="11814">
      <c r="A11814" t="inlineStr">
        <is>
          <t xml:space="preserve">Sundaram Mutual Fund</t>
        </is>
      </c>
      <c r="B11814" t="inlineStr">
        <is>
          <t xml:space="preserve">Sundaram Liquid Fund (Formerly Principal Cash Management Fund) - Weekly Income Distribution CUM Capital Withdrawal Option</t>
        </is>
      </c>
      <c r="C11814" t="inlineStr">
        <is>
          <t xml:space="preserve">INF173K01DC5</t>
        </is>
      </c>
    </row>
    <row r="11815">
      <c r="A11815" t="inlineStr">
        <is>
          <t xml:space="preserve">Sundaram Mutual Fund</t>
        </is>
      </c>
      <c r="B11815" t="inlineStr">
        <is>
          <t xml:space="preserve">Sundaram Liquid Fund(Formerly Known as Principal Cash Management Fund)- Direct Plan - Income Distribution CUM Capital Withdrawal Option - Weekly</t>
        </is>
      </c>
      <c r="C11815" t="inlineStr">
        <is>
          <t xml:space="preserve">INF173K01GY2</t>
        </is>
      </c>
    </row>
    <row r="11816">
      <c r="A11816" t="inlineStr">
        <is>
          <t xml:space="preserve">Sundaram Mutual Fund</t>
        </is>
      </c>
      <c r="B11816" t="inlineStr">
        <is>
          <t xml:space="preserve">Sundaram Long Term Micro Cap Tax Advantage Fund Series III Direct Plan - Growth</t>
        </is>
      </c>
      <c r="C11816" t="inlineStr">
        <is>
          <t xml:space="preserve">INF903JA1443</t>
        </is>
      </c>
    </row>
    <row r="11817">
      <c r="A11817" t="inlineStr">
        <is>
          <t xml:space="preserve">Sundaram Mutual Fund</t>
        </is>
      </c>
      <c r="B11817" t="inlineStr">
        <is>
          <t xml:space="preserve">Sundaram Long Term Micro Cap Tax Advantage Fund Series III Direct Plan - Payout of Income Distribution cum Capital Withdrawal (IDCW)</t>
        </is>
      </c>
      <c r="C11817" t="inlineStr">
        <is>
          <t xml:space="preserve">INF903JA1450</t>
        </is>
      </c>
    </row>
    <row r="11818">
      <c r="A11818" t="inlineStr">
        <is>
          <t xml:space="preserve">Sundaram Mutual Fund</t>
        </is>
      </c>
      <c r="B11818" t="inlineStr">
        <is>
          <t xml:space="preserve">Sundaram Long Term Micro Cap Tax Advantage Fund Series III Regular Plan - Growth</t>
        </is>
      </c>
      <c r="C11818" t="inlineStr">
        <is>
          <t xml:space="preserve">INF903JA1427</t>
        </is>
      </c>
    </row>
    <row r="11819">
      <c r="A11819" t="inlineStr">
        <is>
          <t xml:space="preserve">Sundaram Mutual Fund</t>
        </is>
      </c>
      <c r="B11819" t="inlineStr">
        <is>
          <t xml:space="preserve">Sundaram Long Term Micro Cap Tax Advantage Fund Series III Regular Plan - Payout of Income Distribution cum Capital Withdrawal (IDCW)</t>
        </is>
      </c>
      <c r="C11819" t="inlineStr">
        <is>
          <t xml:space="preserve">INF903JA1435</t>
        </is>
      </c>
    </row>
    <row r="11820">
      <c r="A11820" t="inlineStr">
        <is>
          <t xml:space="preserve">Sundaram Mutual Fund</t>
        </is>
      </c>
      <c r="B11820" t="inlineStr">
        <is>
          <t xml:space="preserve">Sundaram Long Term Micro Cap Tax Advantage Fund Series IV Direct Plan - Growth</t>
        </is>
      </c>
      <c r="C11820" t="inlineStr">
        <is>
          <t xml:space="preserve">INF903JA1526</t>
        </is>
      </c>
    </row>
    <row r="11821">
      <c r="A11821" t="inlineStr">
        <is>
          <t xml:space="preserve">Sundaram Mutual Fund</t>
        </is>
      </c>
      <c r="B11821" t="inlineStr">
        <is>
          <t xml:space="preserve">Sundaram Long Term Micro Cap Tax Advantage Fund Series IV Direct Plan - Payout of Income Distribution cum Capital Withdrawal (IDCW)</t>
        </is>
      </c>
      <c r="C11821" t="inlineStr">
        <is>
          <t xml:space="preserve">INF903JA1534</t>
        </is>
      </c>
    </row>
    <row r="11822">
      <c r="A11822" t="inlineStr">
        <is>
          <t xml:space="preserve">Sundaram Mutual Fund</t>
        </is>
      </c>
      <c r="B11822" t="inlineStr">
        <is>
          <t xml:space="preserve">Sundaram Long Term Micro Cap Tax Advantage Fund Series IV Regular Plan - Growth</t>
        </is>
      </c>
      <c r="C11822" t="inlineStr">
        <is>
          <t xml:space="preserve">INF903JA1500</t>
        </is>
      </c>
    </row>
    <row r="11823">
      <c r="A11823" t="inlineStr">
        <is>
          <t xml:space="preserve">Sundaram Mutual Fund</t>
        </is>
      </c>
      <c r="B11823" t="inlineStr">
        <is>
          <t xml:space="preserve">Sundaram Long Term Micro Cap Tax Advantage Fund Series IV Regular Plan - Payout of Income Distribution cum Capital Withdrawal (IDCW)</t>
        </is>
      </c>
      <c r="C11823" t="inlineStr">
        <is>
          <t xml:space="preserve">INF903JA1518</t>
        </is>
      </c>
    </row>
    <row r="11824">
      <c r="A11824" t="inlineStr">
        <is>
          <t xml:space="preserve">Sundaram Mutual Fund</t>
        </is>
      </c>
      <c r="B11824" t="inlineStr">
        <is>
          <t xml:space="preserve">Sundaram Long Term Micro Cap Tax Advantage Fund Series V Direct Plan - Growth</t>
        </is>
      </c>
      <c r="C11824" t="inlineStr">
        <is>
          <t xml:space="preserve">INF903JA1955</t>
        </is>
      </c>
    </row>
    <row r="11825">
      <c r="A11825" t="inlineStr">
        <is>
          <t xml:space="preserve">Sundaram Mutual Fund</t>
        </is>
      </c>
      <c r="B11825" t="inlineStr">
        <is>
          <t xml:space="preserve">Sundaram Long Term Micro Cap Tax Advantage Fund Series V Direct Plan - Payout of Income Distribution cum Capital Withdrawal (IDCW)</t>
        </is>
      </c>
      <c r="C11825" t="inlineStr">
        <is>
          <t xml:space="preserve">INF903JA1963</t>
        </is>
      </c>
    </row>
    <row r="11826">
      <c r="A11826" t="inlineStr">
        <is>
          <t xml:space="preserve">Sundaram Mutual Fund</t>
        </is>
      </c>
      <c r="B11826" t="inlineStr">
        <is>
          <t xml:space="preserve">Sundaram Long Term Micro Cap Tax Advantage Fund Series V Regular Plan - Growth</t>
        </is>
      </c>
      <c r="C11826" t="inlineStr">
        <is>
          <t xml:space="preserve">INF903JA1930</t>
        </is>
      </c>
    </row>
    <row r="11827">
      <c r="A11827" t="inlineStr">
        <is>
          <t xml:space="preserve">Sundaram Mutual Fund</t>
        </is>
      </c>
      <c r="B11827" t="inlineStr">
        <is>
          <t xml:space="preserve">Sundaram Long Term Micro Cap Tax Advantage Fund Series V Regular Plan - Payout of Income Distribution cum Capital Withdrawal (IDCW)</t>
        </is>
      </c>
      <c r="C11827" t="inlineStr">
        <is>
          <t xml:space="preserve">INF903JA1948</t>
        </is>
      </c>
    </row>
    <row r="11828">
      <c r="A11828" t="inlineStr">
        <is>
          <t xml:space="preserve">Sundaram Mutual Fund</t>
        </is>
      </c>
      <c r="B11828" t="inlineStr">
        <is>
          <t xml:space="preserve">Sundaram Long Term Micro Cap Tax Advantage Fund Series VI Direct Plan - Growth</t>
        </is>
      </c>
      <c r="C11828" t="inlineStr">
        <is>
          <t xml:space="preserve">INF903JA1AZ0</t>
        </is>
      </c>
    </row>
    <row r="11829">
      <c r="A11829" t="inlineStr">
        <is>
          <t xml:space="preserve">Sundaram Mutual Fund</t>
        </is>
      </c>
      <c r="B11829" t="inlineStr">
        <is>
          <t xml:space="preserve">Sundaram Long Term Micro Cap Tax Advantage Fund Series VI Direct Plan - Payout of Income Distribution cum Capital Withdrawal (IDCW)</t>
        </is>
      </c>
      <c r="C11829" t="inlineStr">
        <is>
          <t xml:space="preserve">INF903JA1BA1</t>
        </is>
      </c>
    </row>
    <row r="11830">
      <c r="A11830" t="inlineStr">
        <is>
          <t xml:space="preserve">Sundaram Mutual Fund</t>
        </is>
      </c>
      <c r="B11830" t="inlineStr">
        <is>
          <t xml:space="preserve">Sundaram Long Term Micro Cap Tax Advantage Fund Series VI Regular Plan - Growth</t>
        </is>
      </c>
      <c r="C11830" t="inlineStr">
        <is>
          <t xml:space="preserve">INF903JA1AX5</t>
        </is>
      </c>
    </row>
    <row r="11831">
      <c r="A11831" t="inlineStr">
        <is>
          <t xml:space="preserve">Sundaram Mutual Fund</t>
        </is>
      </c>
      <c r="B11831" t="inlineStr">
        <is>
          <t xml:space="preserve">Sundaram Long Term Micro Cap Tax Advantage Fund Series VI Regular Plan - Payout of Income Distribution cum Capital Withdrawal (IDCW)</t>
        </is>
      </c>
      <c r="C11831" t="inlineStr">
        <is>
          <t xml:space="preserve">INF903JA1AY3</t>
        </is>
      </c>
    </row>
    <row r="11832">
      <c r="A11832" t="inlineStr">
        <is>
          <t xml:space="preserve">Sundaram Mutual Fund</t>
        </is>
      </c>
      <c r="B11832" t="inlineStr">
        <is>
          <t xml:space="preserve">Sundaram Long Term Tax Advantage Fund Series I Direct Plan - Growth</t>
        </is>
      </c>
      <c r="C11832" t="inlineStr">
        <is>
          <t xml:space="preserve">INF903J014A9</t>
        </is>
      </c>
    </row>
    <row r="11833">
      <c r="A11833" t="inlineStr">
        <is>
          <t xml:space="preserve">Sundaram Mutual Fund</t>
        </is>
      </c>
      <c r="B11833" t="inlineStr">
        <is>
          <t xml:space="preserve">Sundaram Long Term Tax Advantage Fund Series I Direct Plan - Payout of Income Distribution cum Capital Withdrawal (IDCW)</t>
        </is>
      </c>
      <c r="C11833" t="inlineStr">
        <is>
          <t xml:space="preserve">INF903J015A6</t>
        </is>
      </c>
    </row>
    <row r="11834">
      <c r="A11834" t="inlineStr">
        <is>
          <t xml:space="preserve">Sundaram Mutual Fund</t>
        </is>
      </c>
      <c r="B11834" t="inlineStr">
        <is>
          <t xml:space="preserve">Sundaram Long Term Tax Advantage Fund Series I Regular Plan - Growth</t>
        </is>
      </c>
      <c r="C11834" t="inlineStr">
        <is>
          <t xml:space="preserve">INF903J012A3</t>
        </is>
      </c>
    </row>
    <row r="11835">
      <c r="A11835" t="inlineStr">
        <is>
          <t xml:space="preserve">Sundaram Mutual Fund</t>
        </is>
      </c>
      <c r="B11835" t="inlineStr">
        <is>
          <t xml:space="preserve">Sundaram Long Term Tax Advantage Fund Series I Regular Plan - Payout of Income Distribution cum Capital Withdrawal (IDCW)</t>
        </is>
      </c>
      <c r="C11835" t="inlineStr">
        <is>
          <t xml:space="preserve">INF903J013A1</t>
        </is>
      </c>
    </row>
    <row r="11836">
      <c r="A11836" t="inlineStr">
        <is>
          <t xml:space="preserve">Sundaram Mutual Fund</t>
        </is>
      </c>
      <c r="B11836" t="inlineStr">
        <is>
          <t xml:space="preserve">Sundaram Long Term Tax Advantage Fund Series II Direct Plan - Growth</t>
        </is>
      </c>
      <c r="C11836" t="inlineStr">
        <is>
          <t xml:space="preserve">INF903J011W9</t>
        </is>
      </c>
    </row>
    <row r="11837">
      <c r="A11837" t="inlineStr">
        <is>
          <t xml:space="preserve">Sundaram Mutual Fund</t>
        </is>
      </c>
      <c r="B11837" t="inlineStr">
        <is>
          <t xml:space="preserve">Sundaram Long Term Tax Advantage Fund Series II Direct Plan - Payout of Income Distribution cum Capital Withdrawal (IDCW)</t>
        </is>
      </c>
      <c r="C11837" t="inlineStr">
        <is>
          <t xml:space="preserve">INF903J012W7</t>
        </is>
      </c>
    </row>
    <row r="11838">
      <c r="A11838" t="inlineStr">
        <is>
          <t xml:space="preserve">Sundaram Mutual Fund</t>
        </is>
      </c>
      <c r="B11838" t="inlineStr">
        <is>
          <t xml:space="preserve">Sundaram Long Term Tax Advantage Fund Series II Regular Plan - Growth</t>
        </is>
      </c>
      <c r="C11838" t="inlineStr">
        <is>
          <t xml:space="preserve">INF903J019V4</t>
        </is>
      </c>
    </row>
    <row r="11839">
      <c r="A11839" t="inlineStr">
        <is>
          <t xml:space="preserve">Sundaram Mutual Fund</t>
        </is>
      </c>
      <c r="B11839" t="inlineStr">
        <is>
          <t xml:space="preserve">Sundaram Long Term Tax Advantage Fund Series II Regular Plan - Payout of Income Distribution cum Capital Withdrawal (IDCW)</t>
        </is>
      </c>
      <c r="C11839" t="inlineStr">
        <is>
          <t xml:space="preserve">INF903J010W1</t>
        </is>
      </c>
    </row>
    <row r="11840">
      <c r="A11840" t="inlineStr">
        <is>
          <t xml:space="preserve">Sundaram Mutual Fund</t>
        </is>
      </c>
      <c r="B11840" t="inlineStr">
        <is>
          <t xml:space="preserve">Sundaram Long Term Tax Advantage Fund Series III Direct Plan - Growth</t>
        </is>
      </c>
      <c r="C11840" t="inlineStr">
        <is>
          <t xml:space="preserve">INF903JA1BT1</t>
        </is>
      </c>
    </row>
    <row r="11841">
      <c r="A11841" t="inlineStr">
        <is>
          <t xml:space="preserve">Sundaram Mutual Fund</t>
        </is>
      </c>
      <c r="B11841" t="inlineStr">
        <is>
          <t xml:space="preserve">Sundaram Long Term Tax Advantage Fund Series III Direct Plan - Payout of Income Distribution cum Capital Withdrawal (IDCW)</t>
        </is>
      </c>
      <c r="C11841" t="inlineStr">
        <is>
          <t xml:space="preserve">INF903JA1BU9</t>
        </is>
      </c>
    </row>
    <row r="11842">
      <c r="A11842" t="inlineStr">
        <is>
          <t xml:space="preserve">Sundaram Mutual Fund</t>
        </is>
      </c>
      <c r="B11842" t="inlineStr">
        <is>
          <t xml:space="preserve">Sundaram Long Term Tax Advantage Fund Series III Regular Plan - Growth</t>
        </is>
      </c>
      <c r="C11842" t="inlineStr">
        <is>
          <t xml:space="preserve">INF903JA1BR5</t>
        </is>
      </c>
    </row>
    <row r="11843">
      <c r="A11843" t="inlineStr">
        <is>
          <t xml:space="preserve">Sundaram Mutual Fund</t>
        </is>
      </c>
      <c r="B11843" t="inlineStr">
        <is>
          <t xml:space="preserve">Sundaram Long Term Tax Advantage Fund Series III Regular Plan - Payout of Income Distribution cum Capital Withdrawal (IDCW)</t>
        </is>
      </c>
      <c r="C11843" t="inlineStr">
        <is>
          <t xml:space="preserve">INF903JA1BS3</t>
        </is>
      </c>
    </row>
    <row r="11844">
      <c r="A11844" t="inlineStr">
        <is>
          <t xml:space="preserve">Sundaram Mutual Fund</t>
        </is>
      </c>
      <c r="B11844" t="inlineStr">
        <is>
          <t xml:space="preserve">Sundaram Long Term Tax Advantage Fund Series IV Direct Plan - Growth</t>
        </is>
      </c>
      <c r="C11844" t="inlineStr">
        <is>
          <t xml:space="preserve">INF903JA1CZ6</t>
        </is>
      </c>
    </row>
    <row r="11845">
      <c r="A11845" t="inlineStr">
        <is>
          <t xml:space="preserve">Sundaram Mutual Fund</t>
        </is>
      </c>
      <c r="B11845" t="inlineStr">
        <is>
          <t xml:space="preserve">Sundaram Long Term Tax Advantage Fund Series IV Direct Plan - Payout of Income Distribution cum Capital Withdrawal (IDCW)</t>
        </is>
      </c>
      <c r="C11845" t="inlineStr">
        <is>
          <t xml:space="preserve">INF903JA1DA7</t>
        </is>
      </c>
    </row>
    <row r="11846">
      <c r="A11846" t="inlineStr">
        <is>
          <t xml:space="preserve">Sundaram Mutual Fund</t>
        </is>
      </c>
      <c r="B11846" t="inlineStr">
        <is>
          <t xml:space="preserve">Sundaram Long Term Tax Advantage Fund Series IV Regular Plan - Growth</t>
        </is>
      </c>
      <c r="C11846" t="inlineStr">
        <is>
          <t xml:space="preserve">INF903JA1CX1</t>
        </is>
      </c>
    </row>
    <row r="11847">
      <c r="A11847" t="inlineStr">
        <is>
          <t xml:space="preserve">Sundaram Mutual Fund</t>
        </is>
      </c>
      <c r="B11847" t="inlineStr">
        <is>
          <t xml:space="preserve">Sundaram Long Term Tax Advantage Fund Series IV Regular Plan - Payout of Income Distribution cum Capital Withdrawal (IDCW)</t>
        </is>
      </c>
      <c r="C11847" t="inlineStr">
        <is>
          <t xml:space="preserve">INF903JA1CY9</t>
        </is>
      </c>
    </row>
    <row r="11848">
      <c r="A11848" t="inlineStr">
        <is>
          <t xml:space="preserve">Sundaram Mutual Fund</t>
        </is>
      </c>
      <c r="B11848" t="inlineStr">
        <is>
          <t xml:space="preserve">Sundaram Low Duration Fund (Formerly Know as Principal Low Duation Fund) Regular Principal Units</t>
        </is>
      </c>
      <c r="C11848" t="inlineStr">
        <is>
          <t xml:space="preserve">INF903JA1JW8</t>
        </is>
      </c>
    </row>
    <row r="11849">
      <c r="A11849" t="inlineStr">
        <is>
          <t xml:space="preserve">Sundaram Mutual Fund</t>
        </is>
      </c>
      <c r="B11849" t="inlineStr">
        <is>
          <t xml:space="preserve">Sundaram Low Duration Fund (Formerly Known as Principal Low Duration Fund) - Direct Plan - Daily Income Distribution CUM Capital Withdrawal Option</t>
        </is>
      </c>
      <c r="C11849" t="inlineStr">
        <is>
          <t xml:space="preserve">INF173K01FR8</t>
        </is>
      </c>
    </row>
    <row r="11850">
      <c r="A11850" t="inlineStr">
        <is>
          <t xml:space="preserve">Sundaram Mutual Fund</t>
        </is>
      </c>
      <c r="B11850" t="inlineStr">
        <is>
          <t xml:space="preserve">Sundaram Low Duration Fund (Formerly Known as Principal Low Duration Fund) - Direct Plan - Growth Option</t>
        </is>
      </c>
      <c r="C11850" t="inlineStr">
        <is>
          <t xml:space="preserve">INF173K01FS6</t>
        </is>
      </c>
    </row>
    <row r="11851">
      <c r="A11851" t="inlineStr">
        <is>
          <t xml:space="preserve">Sundaram Mutual Fund</t>
        </is>
      </c>
      <c r="B11851" t="inlineStr">
        <is>
          <t xml:space="preserve">Sundaram Low Duration Fund (Formerly Known as Principal Low Duration Fund) - Direct Plan - Income Distribution CUM Capital Withdrawal Option (IDCW)</t>
        </is>
      </c>
      <c r="C11851" t="inlineStr">
        <is>
          <t xml:space="preserve">INF173K01FT4</t>
        </is>
      </c>
    </row>
    <row r="11852">
      <c r="A11852" t="inlineStr">
        <is>
          <t xml:space="preserve">Sundaram Mutual Fund</t>
        </is>
      </c>
      <c r="B11852" t="inlineStr">
        <is>
          <t xml:space="preserve">Sundaram Low Duration Fund (Formerly Known as Principal Low Duration Fund) - Direct Plan - Weekly Income Distribution CUM Capital Withdrawal Option</t>
        </is>
      </c>
      <c r="C11852" t="inlineStr">
        <is>
          <t xml:space="preserve">INF903JA1KA2</t>
        </is>
      </c>
    </row>
    <row r="11853">
      <c r="A11853" t="inlineStr">
        <is>
          <t xml:space="preserve">Sundaram Mutual Fund</t>
        </is>
      </c>
      <c r="B11853" t="inlineStr">
        <is>
          <t xml:space="preserve">Sundaram Low Duration Fund (Formerly Known as Principal Low Duration Fund) - Weekly Income Distribution CUM Capital Withdrawal Option</t>
        </is>
      </c>
      <c r="C11853" t="inlineStr">
        <is>
          <t xml:space="preserve">INF903JA1JU2</t>
        </is>
      </c>
    </row>
    <row r="11854">
      <c r="A11854" t="inlineStr">
        <is>
          <t xml:space="preserve">Sundaram Mutual Fund</t>
        </is>
      </c>
      <c r="B11854" t="inlineStr">
        <is>
          <t xml:space="preserve">Sundaram Low Duration Fund (Formerly Known as Principal Low Duration Fund) -Daily Income Distribution CUM Capital Withdrawal Option</t>
        </is>
      </c>
      <c r="C11854" t="inlineStr">
        <is>
          <t xml:space="preserve">INF173K01DH4</t>
        </is>
      </c>
    </row>
    <row r="11855">
      <c r="A11855" t="inlineStr">
        <is>
          <t xml:space="preserve">Sundaram Mutual Fund</t>
        </is>
      </c>
      <c r="B11855" t="inlineStr">
        <is>
          <t xml:space="preserve">Sundaram Low Duration Fund (Formerly Known as Principal Low Duration Fund) Direct Fortnightly IDCW</t>
        </is>
      </c>
      <c r="C11855" t="inlineStr">
        <is>
          <t xml:space="preserve">INF903JA1KB0</t>
        </is>
      </c>
    </row>
    <row r="11856">
      <c r="A11856" t="inlineStr">
        <is>
          <t xml:space="preserve">Sundaram Mutual Fund</t>
        </is>
      </c>
      <c r="B11856" t="inlineStr">
        <is>
          <t xml:space="preserve">Sundaram Low Duration Fund (Formerly Known as Principal Low Duration Fund) Regular Fortnightly IDCW</t>
        </is>
      </c>
      <c r="C11856" t="inlineStr">
        <is>
          <t xml:space="preserve">INF903JA1JV0</t>
        </is>
      </c>
    </row>
    <row r="11857">
      <c r="A11857" t="inlineStr">
        <is>
          <t xml:space="preserve">Sundaram Mutual Fund</t>
        </is>
      </c>
      <c r="B11857" t="inlineStr">
        <is>
          <t xml:space="preserve">Sundaram Low Duration Fund (Formerly Known as Principal Low Duration Fund) Regular Plan IDCW</t>
        </is>
      </c>
      <c r="C11857" t="inlineStr">
        <is>
          <t xml:space="preserve">INF903JA1JT4</t>
        </is>
      </c>
    </row>
    <row r="11858">
      <c r="A11858" t="inlineStr">
        <is>
          <t xml:space="preserve">Sundaram Mutual Fund</t>
        </is>
      </c>
      <c r="B11858" t="inlineStr">
        <is>
          <t xml:space="preserve">Sundaram Low Duration Fund (Formerly Known as Principal Low Duration Fund)- Growth Option</t>
        </is>
      </c>
      <c r="C11858" t="inlineStr">
        <is>
          <t xml:space="preserve">INF173K01DG6</t>
        </is>
      </c>
    </row>
    <row r="11859">
      <c r="A11859" t="inlineStr">
        <is>
          <t xml:space="preserve">Sundaram Mutual Fund</t>
        </is>
      </c>
      <c r="B11859" t="inlineStr">
        <is>
          <t xml:space="preserve">Sundaram Low Duration Fund (Formerly Known as Principal Low Duration Fund)- Income Distribution CUM Capital Withdrawal Option (IDCW)</t>
        </is>
      </c>
      <c r="C11859" t="inlineStr">
        <is>
          <t xml:space="preserve">INF173K01DJ0</t>
        </is>
      </c>
    </row>
    <row r="11860">
      <c r="A11860" t="inlineStr">
        <is>
          <t xml:space="preserve">Sundaram Mutual Fund</t>
        </is>
      </c>
      <c r="B11860" t="inlineStr">
        <is>
          <t xml:space="preserve">Sundaram Low Duration Fund(Formerly Known as Principal Low Duration Fund) Direct Plan - IDCW</t>
        </is>
      </c>
      <c r="C11860" t="inlineStr">
        <is>
          <t xml:space="preserve">INF903JA1JZ1</t>
        </is>
      </c>
    </row>
    <row r="11861">
      <c r="A11861" t="inlineStr">
        <is>
          <t xml:space="preserve">Sundaram Mutual Fund</t>
        </is>
      </c>
      <c r="B11861" t="inlineStr">
        <is>
          <t xml:space="preserve">Sundaram Medium Duration Fund (Formerly Known as Sundaram Medium Term Bond Fund) Direct Plan - Growth</t>
        </is>
      </c>
      <c r="C11861" t="inlineStr">
        <is>
          <t xml:space="preserve">INF903J01PO6</t>
        </is>
      </c>
    </row>
    <row r="11862">
      <c r="A11862" t="inlineStr">
        <is>
          <t xml:space="preserve">Sundaram Mutual Fund</t>
        </is>
      </c>
      <c r="B11862" t="inlineStr">
        <is>
          <t xml:space="preserve">Sundaram Medium Duration Fund (Formerly Known as Sundaram Medium Term Bond Fund) Direct Plan -Income Distribution cum Capital Withdrawal (IDCW)</t>
        </is>
      </c>
      <c r="C11862" t="inlineStr">
        <is>
          <t xml:space="preserve">INF903J01PH0</t>
        </is>
      </c>
    </row>
    <row r="11863">
      <c r="A11863" t="inlineStr">
        <is>
          <t xml:space="preserve">Sundaram Mutual Fund</t>
        </is>
      </c>
      <c r="B11863" t="inlineStr">
        <is>
          <t xml:space="preserve">Sundaram Medium Duration Fund (Formerly Known as Sundaram Medium Term Bond Fund) Direct Plan-Income Distribution cum Capital Withdrawal (IDCW)</t>
        </is>
      </c>
      <c r="C11863" t="inlineStr">
        <is>
          <t xml:space="preserve">INF903J01PK4</t>
        </is>
      </c>
    </row>
    <row r="11864">
      <c r="A11864" t="inlineStr">
        <is>
          <t xml:space="preserve">Sundaram Mutual Fund</t>
        </is>
      </c>
      <c r="B11864" t="inlineStr">
        <is>
          <t xml:space="preserve">Sundaram Medium Duration Fund (Formerly Known as Sundaram Medium Term Bond Fund) Institutional Plan - Growth</t>
        </is>
      </c>
      <c r="C11864" t="inlineStr">
        <is>
          <t xml:space="preserve">INF903J01FY6</t>
        </is>
      </c>
    </row>
    <row r="11865">
      <c r="A11865" t="inlineStr">
        <is>
          <t xml:space="preserve">Sundaram Mutual Fund</t>
        </is>
      </c>
      <c r="B11865" t="inlineStr">
        <is>
          <t xml:space="preserve">Sundaram Medium Duration Fund (Formerly Known as Sundaram Medium Term Bond Fund) Regular Plan - Growth</t>
        </is>
      </c>
      <c r="C11865" t="inlineStr">
        <is>
          <t xml:space="preserve">INF903J01FQ2</t>
        </is>
      </c>
    </row>
    <row r="11866">
      <c r="A11866" t="inlineStr">
        <is>
          <t xml:space="preserve">Sundaram Mutual Fund</t>
        </is>
      </c>
      <c r="B11866" t="inlineStr">
        <is>
          <t xml:space="preserve">Sundaram Medium Duration Fund (Formerly Known as Sundaram Medium Term Bond Fund) Regular Plan -Growth</t>
        </is>
      </c>
      <c r="C11866" t="inlineStr">
        <is>
          <t xml:space="preserve">INF903J01FX8</t>
        </is>
      </c>
    </row>
    <row r="11867">
      <c r="A11867" t="inlineStr">
        <is>
          <t xml:space="preserve">Sundaram Mutual Fund</t>
        </is>
      </c>
      <c r="B11867" t="inlineStr">
        <is>
          <t xml:space="preserve">Sundaram Medium Duration Fund (Formerly Known as Sundaram Medium Term Bond Fund) Regular Plan -Income Distribution cum Capital Withdrawal (IDCW)</t>
        </is>
      </c>
      <c r="C11867" t="inlineStr">
        <is>
          <t xml:space="preserve">INF903J01FT6</t>
        </is>
      </c>
    </row>
    <row r="11868">
      <c r="A11868" t="inlineStr">
        <is>
          <t xml:space="preserve">Sundaram Mutual Fund</t>
        </is>
      </c>
      <c r="B11868" t="inlineStr">
        <is>
          <t xml:space="preserve">Sundaram Medium Duration Fund (Formerly Known as Sundaram Medium Term Bond Fund) Regular Plan- Income Distribution cum Capital Withdrawal(IDCW)</t>
        </is>
      </c>
      <c r="C11868" t="inlineStr">
        <is>
          <t xml:space="preserve">INF903J01FS8</t>
        </is>
      </c>
    </row>
    <row r="11869">
      <c r="A11869" t="inlineStr">
        <is>
          <t xml:space="preserve">Sundaram Mutual Fund</t>
        </is>
      </c>
      <c r="B11869" t="inlineStr">
        <is>
          <t xml:space="preserve">Sundaram Medium Duration Fund (Formerly Known as Sundaram Medium Term Bond Fund) Regular Plan-Income Distribution cum Capital Withdrawal(IDCW)</t>
        </is>
      </c>
      <c r="C11869" t="inlineStr">
        <is>
          <t xml:space="preserve">INF903J01FR0</t>
        </is>
      </c>
    </row>
    <row r="11870">
      <c r="A11870" t="inlineStr">
        <is>
          <t xml:space="preserve">Sundaram Mutual Fund</t>
        </is>
      </c>
      <c r="B11870" t="inlineStr">
        <is>
          <t xml:space="preserve">Sundaram Mid Cap Fund Direct Plan - Growth</t>
        </is>
      </c>
      <c r="C11870" t="inlineStr">
        <is>
          <t xml:space="preserve">INF903J01MJ3</t>
        </is>
      </c>
    </row>
    <row r="11871">
      <c r="A11871" t="inlineStr">
        <is>
          <t xml:space="preserve">Sundaram Mutual Fund</t>
        </is>
      </c>
      <c r="B11871" t="inlineStr">
        <is>
          <t xml:space="preserve">Sundaram Mid Cap Fund Direct Plan - Income Distribution cum Capital Withdrawal (IDCW)</t>
        </is>
      </c>
      <c r="C11871" t="inlineStr">
        <is>
          <t xml:space="preserve">INF903J01MH7</t>
        </is>
      </c>
    </row>
    <row r="11872">
      <c r="A11872" t="inlineStr">
        <is>
          <t xml:space="preserve">Sundaram Mutual Fund</t>
        </is>
      </c>
      <c r="B11872" t="inlineStr">
        <is>
          <t xml:space="preserve">Sundaram Mid Cap Fund Regular Plan - Growth</t>
        </is>
      </c>
      <c r="C11872" t="inlineStr">
        <is>
          <t xml:space="preserve">INF903J01173</t>
        </is>
      </c>
    </row>
    <row r="11873">
      <c r="A11873" t="inlineStr">
        <is>
          <t xml:space="preserve">Sundaram Mutual Fund</t>
        </is>
      </c>
      <c r="B11873" t="inlineStr">
        <is>
          <t xml:space="preserve">Sundaram Mid Cap Fund Regular Plan - Income Distribution cum Capital Withdrawal (IDCW)</t>
        </is>
      </c>
      <c r="C11873" t="inlineStr">
        <is>
          <t xml:space="preserve">INF903J01181</t>
        </is>
      </c>
    </row>
    <row r="11874">
      <c r="A11874" t="inlineStr">
        <is>
          <t xml:space="preserve">Sundaram Mutual Fund</t>
        </is>
      </c>
      <c r="B11874" t="inlineStr">
        <is>
          <t xml:space="preserve">Sundaram Money Market Fund Direct Plan - Daily Reinvestment of Income Distribution cum Capital Withdrawal (IDCW)</t>
        </is>
      </c>
      <c r="C11874" t="inlineStr">
        <is>
          <t xml:space="preserve">INF903JA1FU0</t>
        </is>
      </c>
    </row>
    <row r="11875">
      <c r="A11875" t="inlineStr">
        <is>
          <t xml:space="preserve">Sundaram Mutual Fund</t>
        </is>
      </c>
      <c r="B11875" t="inlineStr">
        <is>
          <t xml:space="preserve">Sundaram Money Market Fund Direct Plan - Fortnightly Reinvestment of Income Distribution cum Capital Withdrawal (IDCW)</t>
        </is>
      </c>
      <c r="C11875" t="inlineStr">
        <is>
          <t xml:space="preserve">INF903JA1FW6</t>
        </is>
      </c>
    </row>
    <row r="11876">
      <c r="A11876" t="inlineStr">
        <is>
          <t xml:space="preserve">Sundaram Mutual Fund</t>
        </is>
      </c>
      <c r="B11876" t="inlineStr">
        <is>
          <t xml:space="preserve">Sundaram Money Market Fund Direct Plan - Growth</t>
        </is>
      </c>
      <c r="C11876" t="inlineStr">
        <is>
          <t xml:space="preserve">INF903JA1FR6</t>
        </is>
      </c>
    </row>
    <row r="11877">
      <c r="A11877" t="inlineStr">
        <is>
          <t xml:space="preserve">Sundaram Mutual Fund</t>
        </is>
      </c>
      <c r="B11877" t="inlineStr">
        <is>
          <t xml:space="preserve">Sundaram Money Market Fund Direct Plan - Income Distribution cum Capital Withdrawal (IDCW)</t>
        </is>
      </c>
      <c r="C11877" t="inlineStr">
        <is>
          <t xml:space="preserve">INF903JA1FS4</t>
        </is>
      </c>
    </row>
    <row r="11878">
      <c r="A11878" t="inlineStr">
        <is>
          <t xml:space="preserve">Sundaram Mutual Fund</t>
        </is>
      </c>
      <c r="B11878" t="inlineStr">
        <is>
          <t xml:space="preserve">Sundaram Money Market Fund Direct Plan - Income Distribution cum Capital Withdrawal(IDCW)</t>
        </is>
      </c>
      <c r="C11878" t="inlineStr">
        <is>
          <t xml:space="preserve">INF903JA1FX4</t>
        </is>
      </c>
    </row>
    <row r="11879">
      <c r="A11879" t="inlineStr">
        <is>
          <t xml:space="preserve">Sundaram Mutual Fund</t>
        </is>
      </c>
      <c r="B11879" t="inlineStr">
        <is>
          <t xml:space="preserve">Sundaram Money Market Fund Direct Plan - Weekly Reinvestment of Income Distribution cum Capital Withdrawal (IDCW)</t>
        </is>
      </c>
      <c r="C11879" t="inlineStr">
        <is>
          <t xml:space="preserve">INF903JA1FV8</t>
        </is>
      </c>
    </row>
    <row r="11880">
      <c r="A11880" t="inlineStr">
        <is>
          <t xml:space="preserve">Sundaram Mutual Fund</t>
        </is>
      </c>
      <c r="B11880" t="inlineStr">
        <is>
          <t xml:space="preserve">Sundaram Money Market Fund Direct Plan- Income Distribution cum Capital Withdrawal(IDCW)</t>
        </is>
      </c>
      <c r="C11880" t="inlineStr">
        <is>
          <t xml:space="preserve">INF903JA1FT2</t>
        </is>
      </c>
    </row>
    <row r="11881">
      <c r="A11881" t="inlineStr">
        <is>
          <t xml:space="preserve">Sundaram Mutual Fund</t>
        </is>
      </c>
      <c r="B11881" t="inlineStr">
        <is>
          <t xml:space="preserve">Sundaram Money Market Fund Direct Plan-Income Distribution cum Capital Withdrawal(IDCW)</t>
        </is>
      </c>
      <c r="C11881" t="inlineStr">
        <is>
          <t xml:space="preserve">INF903JA1FY2</t>
        </is>
      </c>
    </row>
    <row r="11882">
      <c r="A11882" t="inlineStr">
        <is>
          <t xml:space="preserve">Sundaram Mutual Fund</t>
        </is>
      </c>
      <c r="B11882" t="inlineStr">
        <is>
          <t xml:space="preserve">Sundaram Money Market Fund Regular Plan - Daily Reinvestment of Income Distribution cum Capital Withdrawal (IDCW)</t>
        </is>
      </c>
      <c r="C11882" t="inlineStr">
        <is>
          <t xml:space="preserve">INF903JA1FM7</t>
        </is>
      </c>
    </row>
    <row r="11883">
      <c r="A11883" t="inlineStr">
        <is>
          <t xml:space="preserve">Sundaram Mutual Fund</t>
        </is>
      </c>
      <c r="B11883" t="inlineStr">
        <is>
          <t xml:space="preserve">Sundaram Money Market Fund Regular Plan - Fortnightly Reinvestment of Income Distribution cum Capital Withdrawal (IDCW)</t>
        </is>
      </c>
      <c r="C11883" t="inlineStr">
        <is>
          <t xml:space="preserve">INF903JA1FO3</t>
        </is>
      </c>
    </row>
    <row r="11884">
      <c r="A11884" t="inlineStr">
        <is>
          <t xml:space="preserve">Sundaram Mutual Fund</t>
        </is>
      </c>
      <c r="B11884" t="inlineStr">
        <is>
          <t xml:space="preserve">Sundaram Money Market Fund Regular Plan - Growth</t>
        </is>
      </c>
      <c r="C11884" t="inlineStr">
        <is>
          <t xml:space="preserve">INF903JA1FJ3</t>
        </is>
      </c>
    </row>
    <row r="11885">
      <c r="A11885" t="inlineStr">
        <is>
          <t xml:space="preserve">Sundaram Mutual Fund</t>
        </is>
      </c>
      <c r="B11885" t="inlineStr">
        <is>
          <t xml:space="preserve">Sundaram Money Market Fund Regular Plan - Income Distribution cum Capital Withdrawal (IDCW )</t>
        </is>
      </c>
      <c r="C11885" t="inlineStr">
        <is>
          <t xml:space="preserve">INF903JA1FL9</t>
        </is>
      </c>
    </row>
    <row r="11886">
      <c r="A11886" t="inlineStr">
        <is>
          <t xml:space="preserve">Sundaram Mutual Fund</t>
        </is>
      </c>
      <c r="B11886" t="inlineStr">
        <is>
          <t xml:space="preserve">Sundaram Money Market Fund Regular Plan - Weekly Reinvestment of Income Distribution cum Capital Withdrawal (IDCW)</t>
        </is>
      </c>
      <c r="C11886" t="inlineStr">
        <is>
          <t xml:space="preserve">INF903JA1FN5</t>
        </is>
      </c>
    </row>
    <row r="11887">
      <c r="A11887" t="inlineStr">
        <is>
          <t xml:space="preserve">Sundaram Mutual Fund</t>
        </is>
      </c>
      <c r="B11887" t="inlineStr">
        <is>
          <t xml:space="preserve">Sundaram Money Market Fund Regular Plan -Income Distribution cum Capital Withdrawal (IDCW )</t>
        </is>
      </c>
      <c r="C11887" t="inlineStr">
        <is>
          <t xml:space="preserve">INF903JA1FQ8</t>
        </is>
      </c>
    </row>
    <row r="11888">
      <c r="A11888" t="inlineStr">
        <is>
          <t xml:space="preserve">Sundaram Mutual Fund</t>
        </is>
      </c>
      <c r="B11888" t="inlineStr">
        <is>
          <t xml:space="preserve">Sundaram Money Market Fund Regular Plan -Income Distribution cum Capital Withdrawal(IDCW)</t>
        </is>
      </c>
      <c r="C11888" t="inlineStr">
        <is>
          <t xml:space="preserve">INF903JA1FP0</t>
        </is>
      </c>
    </row>
    <row r="11889">
      <c r="A11889" t="inlineStr">
        <is>
          <t xml:space="preserve">Sundaram Mutual Fund</t>
        </is>
      </c>
      <c r="B11889" t="inlineStr">
        <is>
          <t xml:space="preserve">Sundaram Money Market Fund Regular Plan- Income Distribution cum Capital Withdrawal (IDCW)</t>
        </is>
      </c>
      <c r="C11889" t="inlineStr">
        <is>
          <t xml:space="preserve">INF903JA1FK1</t>
        </is>
      </c>
    </row>
    <row r="11890">
      <c r="A11890" t="inlineStr">
        <is>
          <t xml:space="preserve">Sundaram Mutual Fund</t>
        </is>
      </c>
      <c r="B11890" t="inlineStr">
        <is>
          <t xml:space="preserve">Sundaram Multi Asset Allocation Fund Direct Plan Growth</t>
        </is>
      </c>
      <c r="C11890" t="inlineStr">
        <is>
          <t xml:space="preserve">INF903JA1LK9</t>
        </is>
      </c>
    </row>
    <row r="11891">
      <c r="A11891" t="inlineStr">
        <is>
          <t xml:space="preserve">Sundaram Mutual Fund</t>
        </is>
      </c>
      <c r="B11891" t="inlineStr">
        <is>
          <t xml:space="preserve">Sundaram Multi Asset Allocation Fund Direct Plan IDCW Payout</t>
        </is>
      </c>
      <c r="C11891" t="inlineStr">
        <is>
          <t xml:space="preserve">INF903JA1LL7</t>
        </is>
      </c>
    </row>
    <row r="11892">
      <c r="A11892" t="inlineStr">
        <is>
          <t xml:space="preserve">Sundaram Mutual Fund</t>
        </is>
      </c>
      <c r="B11892" t="inlineStr">
        <is>
          <t xml:space="preserve">Sundaram Multi Asset Allocation Fund Direct Plan IDCW Reinvestment</t>
        </is>
      </c>
      <c r="C11892" t="inlineStr">
        <is>
          <t xml:space="preserve">INF903JA1LM5</t>
        </is>
      </c>
    </row>
    <row r="11893">
      <c r="A11893" t="inlineStr">
        <is>
          <t xml:space="preserve">Sundaram Mutual Fund</t>
        </is>
      </c>
      <c r="B11893" t="inlineStr">
        <is>
          <t xml:space="preserve">Sundaram Multi Asset Allocation Fund Regular Plan Growth</t>
        </is>
      </c>
      <c r="C11893" t="inlineStr">
        <is>
          <t xml:space="preserve">INF903JA1LH5</t>
        </is>
      </c>
    </row>
    <row r="11894">
      <c r="A11894" t="inlineStr">
        <is>
          <t xml:space="preserve">Sundaram Mutual Fund</t>
        </is>
      </c>
      <c r="B11894" t="inlineStr">
        <is>
          <t xml:space="preserve">Sundaram Multi Asset Allocation Fund Regular Plan IDCW Payout</t>
        </is>
      </c>
      <c r="C11894" t="inlineStr">
        <is>
          <t xml:space="preserve">INF903JA1LI3</t>
        </is>
      </c>
    </row>
    <row r="11895">
      <c r="A11895" t="inlineStr">
        <is>
          <t xml:space="preserve">Sundaram Mutual Fund</t>
        </is>
      </c>
      <c r="B11895" t="inlineStr">
        <is>
          <t xml:space="preserve">Sundaram Multi Asset Allocation Fund Regular Plan IDCW Reinvestment</t>
        </is>
      </c>
      <c r="C11895" t="inlineStr">
        <is>
          <t xml:space="preserve">INF903JA1LJ1</t>
        </is>
      </c>
    </row>
    <row r="11896">
      <c r="A11896" t="inlineStr">
        <is>
          <t xml:space="preserve">Sundaram Mutual Fund</t>
        </is>
      </c>
      <c r="B11896" t="inlineStr">
        <is>
          <t xml:space="preserve">Sundaram Multi Cap Fund (Formerly Known as Principal Multi Cap Growth Fund) - Direct Plan - Income Distribution CUM Capital Withdrawal Option (IDCW)</t>
        </is>
      </c>
      <c r="C11896" t="inlineStr">
        <is>
          <t xml:space="preserve">INF173K01FN7</t>
        </is>
      </c>
    </row>
    <row r="11897">
      <c r="A11897" t="inlineStr">
        <is>
          <t xml:space="preserve">Sundaram Mutual Fund</t>
        </is>
      </c>
      <c r="B11897" t="inlineStr">
        <is>
          <t xml:space="preserve">Sundaram Multi Cap Fund (Formerly Known as Principal Multi Cap Growth Fund)- Income Distribution CUM Capital Withdrawal Option (IDCW)</t>
        </is>
      </c>
      <c r="C11897" t="inlineStr">
        <is>
          <t xml:space="preserve">INF173K01957</t>
        </is>
      </c>
    </row>
    <row r="11898">
      <c r="A11898" t="inlineStr">
        <is>
          <t xml:space="preserve">Sundaram Mutual Fund</t>
        </is>
      </c>
      <c r="B11898" t="inlineStr">
        <is>
          <t xml:space="preserve">Sundaram Multi Cap Fund (Formerly Known as Principal Multi Cap Growth Fund)-Direct Plan - Growth Option</t>
        </is>
      </c>
      <c r="C11898" t="inlineStr">
        <is>
          <t xml:space="preserve">INF173K01FQ0</t>
        </is>
      </c>
    </row>
    <row r="11899">
      <c r="A11899" t="inlineStr">
        <is>
          <t xml:space="preserve">Sundaram Mutual Fund</t>
        </is>
      </c>
      <c r="B11899" t="inlineStr">
        <is>
          <t xml:space="preserve">Sundaram Multi Cap Fund (Formerly Known as Principal Multi Cap Growth Fund)-Growth Option</t>
        </is>
      </c>
      <c r="C11899" t="inlineStr">
        <is>
          <t xml:space="preserve">INF173K01940</t>
        </is>
      </c>
    </row>
    <row r="11900">
      <c r="A11900" t="inlineStr">
        <is>
          <t xml:space="preserve">Sundaram Mutual Fund</t>
        </is>
      </c>
      <c r="B11900" t="inlineStr">
        <is>
          <t xml:space="preserve">Sundaram Multi-Factor Fund - Direct - Growth</t>
        </is>
      </c>
      <c r="C11900" t="inlineStr">
        <is>
          <t xml:space="preserve">INF903JA1LV6</t>
        </is>
      </c>
    </row>
    <row r="11901">
      <c r="A11901" t="inlineStr">
        <is>
          <t xml:space="preserve">Sundaram Mutual Fund</t>
        </is>
      </c>
      <c r="B11901" t="inlineStr">
        <is>
          <t xml:space="preserve">Sundaram Multi-Factor Fund - Direct - IDCW Payout</t>
        </is>
      </c>
      <c r="C11901" t="inlineStr">
        <is>
          <t xml:space="preserve">INF903JA1LU8</t>
        </is>
      </c>
    </row>
    <row r="11902">
      <c r="A11902" t="inlineStr">
        <is>
          <t xml:space="preserve">Sundaram Mutual Fund</t>
        </is>
      </c>
      <c r="B11902" t="inlineStr">
        <is>
          <t xml:space="preserve">Sundaram Multi-Factor Fund - Direct - IDCW Reinvestment</t>
        </is>
      </c>
      <c r="C11902" t="inlineStr">
        <is>
          <t xml:space="preserve">INF903JA1LT0</t>
        </is>
      </c>
    </row>
    <row r="11903">
      <c r="A11903" t="inlineStr">
        <is>
          <t xml:space="preserve">Sundaram Mutual Fund</t>
        </is>
      </c>
      <c r="B11903" t="inlineStr">
        <is>
          <t xml:space="preserve">Sundaram Multi-Factor Fund - Regular - Growth</t>
        </is>
      </c>
      <c r="C11903" t="inlineStr">
        <is>
          <t xml:space="preserve">INF903JA1LY0</t>
        </is>
      </c>
    </row>
    <row r="11904">
      <c r="A11904" t="inlineStr">
        <is>
          <t xml:space="preserve">Sundaram Mutual Fund</t>
        </is>
      </c>
      <c r="B11904" t="inlineStr">
        <is>
          <t xml:space="preserve">Sundaram Multi-Factor Fund - Regular - IDCW Payout</t>
        </is>
      </c>
      <c r="C11904" t="inlineStr">
        <is>
          <t xml:space="preserve">INF903JA1LX2</t>
        </is>
      </c>
    </row>
    <row r="11905">
      <c r="A11905" t="inlineStr">
        <is>
          <t xml:space="preserve">Sundaram Mutual Fund</t>
        </is>
      </c>
      <c r="B11905" t="inlineStr">
        <is>
          <t xml:space="preserve">Sundaram Multi-Factor Fund - Regular - IDCW Reinvestment</t>
        </is>
      </c>
      <c r="C11905" t="inlineStr">
        <is>
          <t xml:space="preserve">INF903JA1LW4</t>
        </is>
      </c>
    </row>
    <row r="11906">
      <c r="A11906" t="inlineStr">
        <is>
          <t xml:space="preserve">Sundaram Mutual Fund</t>
        </is>
      </c>
      <c r="B11906" t="inlineStr">
        <is>
          <t xml:space="preserve">Sundaram Nifty 100 Equal Weight Fund (Formerly Known as Principal Nifty 100 Equal Weight Fund) - Direct Plan - Growth Option</t>
        </is>
      </c>
      <c r="C11906" t="inlineStr">
        <is>
          <t xml:space="preserve">INF173K01EZ4</t>
        </is>
      </c>
    </row>
    <row r="11907">
      <c r="A11907" t="inlineStr">
        <is>
          <t xml:space="preserve">Sundaram Mutual Fund</t>
        </is>
      </c>
      <c r="B11907" t="inlineStr">
        <is>
          <t xml:space="preserve">Sundaram Nifty 100 Equal Weight Fund (Formerly Known as Principal Nifty 100 Equal Weight Fund)- Direct Plan - Income Distribution CUM Capital Withdrawal Option</t>
        </is>
      </c>
      <c r="C11907" t="inlineStr">
        <is>
          <t xml:space="preserve">INF173K01EW1</t>
        </is>
      </c>
    </row>
    <row r="11908">
      <c r="A11908" t="inlineStr">
        <is>
          <t xml:space="preserve">Sundaram Mutual Fund</t>
        </is>
      </c>
      <c r="B11908" t="inlineStr">
        <is>
          <t xml:space="preserve">Sundaram Nifty 100 Equal Weight Fund (Formerly Known as Principal Nifty 100 Equal Weight Fund)-Growth</t>
        </is>
      </c>
      <c r="C11908" t="inlineStr">
        <is>
          <t xml:space="preserve">INF173K01AG2</t>
        </is>
      </c>
    </row>
    <row r="11909">
      <c r="A11909" t="inlineStr">
        <is>
          <t xml:space="preserve">Sundaram Mutual Fund</t>
        </is>
      </c>
      <c r="B11909" t="inlineStr">
        <is>
          <t xml:space="preserve">Sundaram Nifty 100 Equal Weight Fund (Formerly Known as Principal Nifty 100 Equal Weight Fund-Income Distribution CUM Capital Withdrawal</t>
        </is>
      </c>
      <c r="C11909" t="inlineStr">
        <is>
          <t xml:space="preserve">INF173K01AH0</t>
        </is>
      </c>
    </row>
    <row r="11910">
      <c r="A11910" t="inlineStr">
        <is>
          <t xml:space="preserve">Sundaram Mutual Fund</t>
        </is>
      </c>
      <c r="B11910" t="inlineStr">
        <is>
          <t xml:space="preserve">Sundaram Overnight Fund Direct Plan - Daily Reinvestment of Income Distribution cum Capital Withdrawal (IDCW)</t>
        </is>
      </c>
      <c r="C11910" t="inlineStr">
        <is>
          <t xml:space="preserve">INF903JA1HJ9</t>
        </is>
      </c>
    </row>
    <row r="11911">
      <c r="A11911" t="inlineStr">
        <is>
          <t xml:space="preserve">Sundaram Mutual Fund</t>
        </is>
      </c>
      <c r="B11911" t="inlineStr">
        <is>
          <t xml:space="preserve">Sundaram Overnight Fund Direct Plan - Fortnightly Reinvestment of Income Distribution cum Capital Withdrawal (IDCW)</t>
        </is>
      </c>
      <c r="C11911" t="inlineStr">
        <is>
          <t xml:space="preserve">INF903JA1HL5</t>
        </is>
      </c>
    </row>
    <row r="11912">
      <c r="A11912" t="inlineStr">
        <is>
          <t xml:space="preserve">Sundaram Mutual Fund</t>
        </is>
      </c>
      <c r="B11912" t="inlineStr">
        <is>
          <t xml:space="preserve">Sundaram Overnight Fund Direct Plan - Growth</t>
        </is>
      </c>
      <c r="C11912" t="inlineStr">
        <is>
          <t xml:space="preserve">INF903JA1HG5</t>
        </is>
      </c>
    </row>
    <row r="11913">
      <c r="A11913" t="inlineStr">
        <is>
          <t xml:space="preserve">Sundaram Mutual Fund</t>
        </is>
      </c>
      <c r="B11913" t="inlineStr">
        <is>
          <t xml:space="preserve">Sundaram Overnight Fund Direct Plan - Monthly Payout of Income Distribution cum Capital Withdrawal (IDCW)</t>
        </is>
      </c>
      <c r="C11913" t="inlineStr">
        <is>
          <t xml:space="preserve">INF903JA1HH3</t>
        </is>
      </c>
    </row>
    <row r="11914">
      <c r="A11914" t="inlineStr">
        <is>
          <t xml:space="preserve">Sundaram Mutual Fund</t>
        </is>
      </c>
      <c r="B11914" t="inlineStr">
        <is>
          <t xml:space="preserve">Sundaram Overnight Fund Direct Plan - Monthly Reinvestment of Income Distribution cum Capital Withdrawal (IDCW)</t>
        </is>
      </c>
      <c r="C11914" t="inlineStr">
        <is>
          <t xml:space="preserve">INF903JA1HM3</t>
        </is>
      </c>
    </row>
    <row r="11915">
      <c r="A11915" t="inlineStr">
        <is>
          <t xml:space="preserve">Sundaram Mutual Fund</t>
        </is>
      </c>
      <c r="B11915" t="inlineStr">
        <is>
          <t xml:space="preserve">Sundaram Overnight Fund Direct Plan - Weekly Reinvestment of Income Distribution cum Capital Withdrawal (IDCW)</t>
        </is>
      </c>
      <c r="C11915" t="inlineStr">
        <is>
          <t xml:space="preserve">INF903JA1HK7</t>
        </is>
      </c>
    </row>
    <row r="11916">
      <c r="A11916" t="inlineStr">
        <is>
          <t xml:space="preserve">Sundaram Mutual Fund</t>
        </is>
      </c>
      <c r="B11916" t="inlineStr">
        <is>
          <t xml:space="preserve">Sundaram Overnight Fund Regular Plan - Daily Reinvestment of Income Distribution cum Capital Withdrawal (IDCW)</t>
        </is>
      </c>
      <c r="C11916" t="inlineStr">
        <is>
          <t xml:space="preserve">INF903JA1HC4</t>
        </is>
      </c>
    </row>
    <row r="11917">
      <c r="A11917" t="inlineStr">
        <is>
          <t xml:space="preserve">Sundaram Mutual Fund</t>
        </is>
      </c>
      <c r="B11917" t="inlineStr">
        <is>
          <t xml:space="preserve">Sundaram Overnight Fund Regular Plan - Fortnightly Reinvestment of Income Distribution cum Capital Withdrawal (IDCW)</t>
        </is>
      </c>
      <c r="C11917" t="inlineStr">
        <is>
          <t xml:space="preserve">INF903JA1HE0</t>
        </is>
      </c>
    </row>
    <row r="11918">
      <c r="A11918" t="inlineStr">
        <is>
          <t xml:space="preserve">Sundaram Mutual Fund</t>
        </is>
      </c>
      <c r="B11918" t="inlineStr">
        <is>
          <t xml:space="preserve">Sundaram Overnight Fund Regular Plan - Growth</t>
        </is>
      </c>
      <c r="C11918" t="inlineStr">
        <is>
          <t xml:space="preserve">INF903JA1GZ7</t>
        </is>
      </c>
    </row>
    <row r="11919">
      <c r="A11919" t="inlineStr">
        <is>
          <t xml:space="preserve">Sundaram Mutual Fund</t>
        </is>
      </c>
      <c r="B11919" t="inlineStr">
        <is>
          <t xml:space="preserve">Sundaram Overnight Fund Regular Plan - Monthly Payout of Income Distribution cum Capital Withdrawal (IDCW)</t>
        </is>
      </c>
      <c r="C11919" t="inlineStr">
        <is>
          <t xml:space="preserve">INF903JA1HA8</t>
        </is>
      </c>
    </row>
    <row r="11920">
      <c r="A11920" t="inlineStr">
        <is>
          <t xml:space="preserve">Sundaram Mutual Fund</t>
        </is>
      </c>
      <c r="B11920" t="inlineStr">
        <is>
          <t xml:space="preserve">Sundaram Overnight Fund Regular Plan - Monthly Reinvestment of Income Distribution cum Capital Withdrawal (IDCW)</t>
        </is>
      </c>
      <c r="C11920" t="inlineStr">
        <is>
          <t xml:space="preserve">INF903JA1HF7</t>
        </is>
      </c>
    </row>
    <row r="11921">
      <c r="A11921" t="inlineStr">
        <is>
          <t xml:space="preserve">Sundaram Mutual Fund</t>
        </is>
      </c>
      <c r="B11921" t="inlineStr">
        <is>
          <t xml:space="preserve">Sundaram Overnight Fund Regular Plan - Weekly Payout of Income Distribution cum Capital Withdrawal (IDCW)</t>
        </is>
      </c>
      <c r="C11921" t="inlineStr">
        <is>
          <t xml:space="preserve">INF903JA1HD2</t>
        </is>
      </c>
    </row>
    <row r="11922">
      <c r="A11922" t="inlineStr">
        <is>
          <t xml:space="preserve">Sundaram Mutual Fund</t>
        </is>
      </c>
      <c r="B11922" t="inlineStr">
        <is>
          <t xml:space="preserve">Sundaram Services Fund Direct Plan - Growth</t>
        </is>
      </c>
      <c r="C11922" t="inlineStr">
        <is>
          <t xml:space="preserve">INF903JA1FA2</t>
        </is>
      </c>
    </row>
    <row r="11923">
      <c r="A11923" t="inlineStr">
        <is>
          <t xml:space="preserve">Sundaram Mutual Fund</t>
        </is>
      </c>
      <c r="B11923" t="inlineStr">
        <is>
          <t xml:space="preserve">Sundaram Services Fund Direct Plan - Payout of Income Distribution cum Capital Withdrawal (IDCW)</t>
        </is>
      </c>
      <c r="C11923" t="inlineStr">
        <is>
          <t xml:space="preserve">INF903JA1FB0</t>
        </is>
      </c>
    </row>
    <row r="11924">
      <c r="A11924" t="inlineStr">
        <is>
          <t xml:space="preserve">Sundaram Mutual Fund</t>
        </is>
      </c>
      <c r="B11924" t="inlineStr">
        <is>
          <t xml:space="preserve">Sundaram Services Fund Direct Plan - Reinvestment of Income Distribution cum Capital Withdrawal (IDCW)</t>
        </is>
      </c>
      <c r="C11924" t="inlineStr">
        <is>
          <t xml:space="preserve">INF903JA1FC8</t>
        </is>
      </c>
    </row>
    <row r="11925">
      <c r="A11925" t="inlineStr">
        <is>
          <t xml:space="preserve">Sundaram Mutual Fund</t>
        </is>
      </c>
      <c r="B11925" t="inlineStr">
        <is>
          <t xml:space="preserve">Sundaram Services Fund Regular Plan - Growth</t>
        </is>
      </c>
      <c r="C11925" t="inlineStr">
        <is>
          <t xml:space="preserve">INF903JA1EX7</t>
        </is>
      </c>
    </row>
    <row r="11926">
      <c r="A11926" t="inlineStr">
        <is>
          <t xml:space="preserve">Sundaram Mutual Fund</t>
        </is>
      </c>
      <c r="B11926" t="inlineStr">
        <is>
          <t xml:space="preserve">Sundaram Services Fund Regular Plan - Payout of Income Distribution cum Capital Withdrawal (IDCW)</t>
        </is>
      </c>
      <c r="C11926" t="inlineStr">
        <is>
          <t xml:space="preserve">INF903JA1EY5</t>
        </is>
      </c>
    </row>
    <row r="11927">
      <c r="A11927" t="inlineStr">
        <is>
          <t xml:space="preserve">Sundaram Mutual Fund</t>
        </is>
      </c>
      <c r="B11927" t="inlineStr">
        <is>
          <t xml:space="preserve">Sundaram Services Fund Regular Plan - Reinvestment of Income Distribution cum Capital Withdrawal (IDCW)</t>
        </is>
      </c>
      <c r="C11927" t="inlineStr">
        <is>
          <t xml:space="preserve">INF903JA1EZ2</t>
        </is>
      </c>
    </row>
    <row r="11928">
      <c r="A11928" t="inlineStr">
        <is>
          <t xml:space="preserve">Sundaram Mutual Fund</t>
        </is>
      </c>
      <c r="B11928" t="inlineStr">
        <is>
          <t xml:space="preserve">Sundaram Short Duration Fund (Formerly Known as Principal Short Term Debt Fund) - Direct Plan - IDCW</t>
        </is>
      </c>
      <c r="C11928" t="inlineStr">
        <is>
          <t xml:space="preserve">INF903JA1KM7</t>
        </is>
      </c>
    </row>
    <row r="11929">
      <c r="A11929" t="inlineStr">
        <is>
          <t xml:space="preserve">Sundaram Mutual Fund</t>
        </is>
      </c>
      <c r="B11929" t="inlineStr">
        <is>
          <t xml:space="preserve">Sundaram Short Duration Fund (Formerly Known as Principal Short Term Debt Fund) - Direct Plan - Income Distribution CUM Capital Withdrawal Plan (IDCW)</t>
        </is>
      </c>
      <c r="C11929" t="inlineStr">
        <is>
          <t xml:space="preserve">INF173K01GQ8</t>
        </is>
      </c>
    </row>
    <row r="11930">
      <c r="A11930" t="inlineStr">
        <is>
          <t xml:space="preserve">Sundaram Mutual Fund</t>
        </is>
      </c>
      <c r="B11930" t="inlineStr">
        <is>
          <t xml:space="preserve">Sundaram Short Duration Fund (Formerly Known as Principal Short Term Debt Fund) - Regular - IDCW</t>
        </is>
      </c>
      <c r="C11930" t="inlineStr">
        <is>
          <t xml:space="preserve">INF903JA1KE4</t>
        </is>
      </c>
    </row>
    <row r="11931">
      <c r="A11931" t="inlineStr">
        <is>
          <t xml:space="preserve">Sundaram Mutual Fund</t>
        </is>
      </c>
      <c r="B11931" t="inlineStr">
        <is>
          <t xml:space="preserve">Sundaram Short Duration Fund (Formerly Known as Principal Short Term Debt Fund) Direct Plan - IDCW</t>
        </is>
      </c>
      <c r="C11931" t="inlineStr">
        <is>
          <t xml:space="preserve">INF903JA1KN5</t>
        </is>
      </c>
    </row>
    <row r="11932">
      <c r="A11932" t="inlineStr">
        <is>
          <t xml:space="preserve">Sundaram Mutual Fund</t>
        </is>
      </c>
      <c r="B11932" t="inlineStr">
        <is>
          <t xml:space="preserve">Sundaram Short Duration Fund (Formerly Known as Principal Short Term Debt Fund) Direct Plan Fortnightly IDCW</t>
        </is>
      </c>
      <c r="C11932" t="inlineStr">
        <is>
          <t xml:space="preserve">INF903JA1KP0</t>
        </is>
      </c>
    </row>
    <row r="11933">
      <c r="A11933" t="inlineStr">
        <is>
          <t xml:space="preserve">Sundaram Mutual Fund</t>
        </is>
      </c>
      <c r="B11933" t="inlineStr">
        <is>
          <t xml:space="preserve">Sundaram Short Duration Fund (Formerly Known as Principal Short Term Debt Fund) Direct Plan IDCW</t>
        </is>
      </c>
      <c r="C11933" t="inlineStr">
        <is>
          <t xml:space="preserve">INF903JA1KR6</t>
        </is>
      </c>
    </row>
    <row r="11934">
      <c r="A11934" t="inlineStr">
        <is>
          <t xml:space="preserve">Sundaram Mutual Fund</t>
        </is>
      </c>
      <c r="B11934" t="inlineStr">
        <is>
          <t xml:space="preserve">Sundaram Short Duration Fund (Formerly Known as Principal Short Term Debt Fund) Direct Weekly IDCW</t>
        </is>
      </c>
      <c r="C11934" t="inlineStr">
        <is>
          <t xml:space="preserve">INF903JA1KO3</t>
        </is>
      </c>
    </row>
    <row r="11935">
      <c r="A11935" t="inlineStr">
        <is>
          <t xml:space="preserve">Sundaram Mutual Fund</t>
        </is>
      </c>
      <c r="B11935" t="inlineStr">
        <is>
          <t xml:space="preserve">Sundaram Short Duration Fund (Formerly Known as Principal Short Term Debt Fund) Regular - IDCW</t>
        </is>
      </c>
      <c r="C11935" t="inlineStr">
        <is>
          <t xml:space="preserve">INF903JA1KF1</t>
        </is>
      </c>
    </row>
    <row r="11936">
      <c r="A11936" t="inlineStr">
        <is>
          <t xml:space="preserve">Sundaram Mutual Fund</t>
        </is>
      </c>
      <c r="B11936" t="inlineStr">
        <is>
          <t xml:space="preserve">Sundaram Short Duration Fund (Formerly Known as Principal Short Term Debt Fund) Regular Fortnightly IDCW</t>
        </is>
      </c>
      <c r="C11936" t="inlineStr">
        <is>
          <t xml:space="preserve">INF903JA1KH7</t>
        </is>
      </c>
    </row>
    <row r="11937">
      <c r="A11937" t="inlineStr">
        <is>
          <t xml:space="preserve">Sundaram Mutual Fund</t>
        </is>
      </c>
      <c r="B11937" t="inlineStr">
        <is>
          <t xml:space="preserve">Sundaram Short Duration Fund (Formerly Known as Principal Short Term Debt Fund) Regular Plan IDCW</t>
        </is>
      </c>
      <c r="C11937" t="inlineStr">
        <is>
          <t xml:space="preserve">INF903JA1KJ3</t>
        </is>
      </c>
    </row>
    <row r="11938">
      <c r="A11938" t="inlineStr">
        <is>
          <t xml:space="preserve">Sundaram Mutual Fund</t>
        </is>
      </c>
      <c r="B11938" t="inlineStr">
        <is>
          <t xml:space="preserve">Sundaram Short Duration Fund (Formerly Known as Principal Short Term Debt Fund) Regular Principal Units</t>
        </is>
      </c>
      <c r="C11938" t="inlineStr">
        <is>
          <t xml:space="preserve">INF903JA1KI5</t>
        </is>
      </c>
    </row>
    <row r="11939">
      <c r="A11939" t="inlineStr">
        <is>
          <t xml:space="preserve">Sundaram Mutual Fund</t>
        </is>
      </c>
      <c r="B11939" t="inlineStr">
        <is>
          <t xml:space="preserve">Sundaram Short Duration Fund (Formerly Known as Principal Short Term Debt Fund) Regular Weekly IDCW</t>
        </is>
      </c>
      <c r="C11939" t="inlineStr">
        <is>
          <t xml:space="preserve">INF903JA1KG9</t>
        </is>
      </c>
    </row>
    <row r="11940">
      <c r="A11940" t="inlineStr">
        <is>
          <t xml:space="preserve">Sundaram Mutual Fund</t>
        </is>
      </c>
      <c r="B11940" t="inlineStr">
        <is>
          <t xml:space="preserve">Sundaram Short Duration Fund (Formerly Known as Principal Short Term Debt Fund)- Direct Plan - Growth Option</t>
        </is>
      </c>
      <c r="C11940" t="inlineStr">
        <is>
          <t xml:space="preserve">INF173K01GP0</t>
        </is>
      </c>
    </row>
    <row r="11941">
      <c r="A11941" t="inlineStr">
        <is>
          <t xml:space="preserve">Sundaram Mutual Fund</t>
        </is>
      </c>
      <c r="B11941" t="inlineStr">
        <is>
          <t xml:space="preserve">Sundaram Short Duration Fund (Formerly Known as Principal Short Term Debt Fund)- Growth Plan</t>
        </is>
      </c>
      <c r="C11941" t="inlineStr">
        <is>
          <t xml:space="preserve">INF173K01BA3</t>
        </is>
      </c>
    </row>
    <row r="11942">
      <c r="A11942" t="inlineStr">
        <is>
          <t xml:space="preserve">Sundaram Mutual Fund</t>
        </is>
      </c>
      <c r="B11942" t="inlineStr">
        <is>
          <t xml:space="preserve">Sundaram Short Duration Fund (Formerly Known as Principal Short Term Debt Fund)- Income Distribution CUM Capital Withdrawal Option (IDCW)</t>
        </is>
      </c>
      <c r="C11942" t="inlineStr">
        <is>
          <t xml:space="preserve">INF173K01BB1</t>
        </is>
      </c>
    </row>
    <row r="11943">
      <c r="A11943" t="inlineStr">
        <is>
          <t xml:space="preserve">Sundaram Mutual Fund</t>
        </is>
      </c>
      <c r="B11943" t="inlineStr">
        <is>
          <t xml:space="preserve">Sundaram Small Cap Fund Direct Plan - Growth</t>
        </is>
      </c>
      <c r="C11943" t="inlineStr">
        <is>
          <t xml:space="preserve">INF903J01NK9</t>
        </is>
      </c>
    </row>
    <row r="11944">
      <c r="A11944" t="inlineStr">
        <is>
          <t xml:space="preserve">Sundaram Mutual Fund</t>
        </is>
      </c>
      <c r="B11944" t="inlineStr">
        <is>
          <t xml:space="preserve">Sundaram Small Cap Fund Direct Plan - Income Distribution cum Capital Withdrawal (IDCW)</t>
        </is>
      </c>
      <c r="C11944" t="inlineStr">
        <is>
          <t xml:space="preserve">INF903J01NI3</t>
        </is>
      </c>
    </row>
    <row r="11945">
      <c r="A11945" t="inlineStr">
        <is>
          <t xml:space="preserve">Sundaram Mutual Fund</t>
        </is>
      </c>
      <c r="B11945" t="inlineStr">
        <is>
          <t xml:space="preserve">Sundaram Small Cap Fund Regular Plan - Growth</t>
        </is>
      </c>
      <c r="C11945" t="inlineStr">
        <is>
          <t xml:space="preserve">INF903J01470</t>
        </is>
      </c>
    </row>
    <row r="11946">
      <c r="A11946" t="inlineStr">
        <is>
          <t xml:space="preserve">Sundaram Mutual Fund</t>
        </is>
      </c>
      <c r="B11946" t="inlineStr">
        <is>
          <t xml:space="preserve">Sundaram Small Cap Fund Regular Plan - Income Distribution cum Capital Withdrawal (IDCW)</t>
        </is>
      </c>
      <c r="C11946" t="inlineStr">
        <is>
          <t xml:space="preserve">INF903J01454</t>
        </is>
      </c>
    </row>
    <row r="11947">
      <c r="A11947" t="inlineStr">
        <is>
          <t xml:space="preserve">Sundaram Mutual Fund</t>
        </is>
      </c>
      <c r="B11947" t="inlineStr">
        <is>
          <t xml:space="preserve">Sundaram Ultra Short Duration Fund (Formerly Known as Principal Ultra Short Term Fund) - Income Distribution CUM Capital Withdrawal Option (IDCW)</t>
        </is>
      </c>
      <c r="C11947" t="inlineStr">
        <is>
          <t xml:space="preserve">INF173K01CX3</t>
        </is>
      </c>
    </row>
    <row r="11948">
      <c r="A11948" t="inlineStr">
        <is>
          <t xml:space="preserve">Sundaram Mutual Fund</t>
        </is>
      </c>
      <c r="B11948" t="inlineStr">
        <is>
          <t xml:space="preserve">Sundaram Ultra Short Duration Fund (Formerly Known as Principal Ultra Short Term Fund) Direct Plan -IDCW</t>
        </is>
      </c>
      <c r="C11948" t="inlineStr">
        <is>
          <t xml:space="preserve">INF903JA1JQ0</t>
        </is>
      </c>
    </row>
    <row r="11949">
      <c r="A11949" t="inlineStr">
        <is>
          <t xml:space="preserve">Sundaram Mutual Fund</t>
        </is>
      </c>
      <c r="B11949" t="inlineStr">
        <is>
          <t xml:space="preserve">Sundaram Ultra Short Duration Fund (Formerly Known as Principal Ultra Short Term Fund) Direct Plan Fortnightly IDCW</t>
        </is>
      </c>
      <c r="C11949" t="inlineStr">
        <is>
          <t xml:space="preserve">INF903JA1JO5</t>
        </is>
      </c>
    </row>
    <row r="11950">
      <c r="A11950" t="inlineStr">
        <is>
          <t xml:space="preserve">Sundaram Mutual Fund</t>
        </is>
      </c>
      <c r="B11950" t="inlineStr">
        <is>
          <t xml:space="preserve">Sundaram Ultra Short Duration Fund (Formerly Known as Principal Ultra Short Term Fund) Direct Plan IDCW Daily</t>
        </is>
      </c>
      <c r="C11950" t="inlineStr">
        <is>
          <t xml:space="preserve">INF173K01BZ0</t>
        </is>
      </c>
    </row>
    <row r="11951">
      <c r="A11951" t="inlineStr">
        <is>
          <t xml:space="preserve">Sundaram Mutual Fund</t>
        </is>
      </c>
      <c r="B11951" t="inlineStr">
        <is>
          <t xml:space="preserve">Sundaram Ultra Short Duration Fund (Formerly Known as Principal Ultra Short Term Fund)- Direct Plan -Growth Option</t>
        </is>
      </c>
      <c r="C11951" t="inlineStr">
        <is>
          <t xml:space="preserve">INF173K01HI3</t>
        </is>
      </c>
    </row>
    <row r="11952">
      <c r="A11952" t="inlineStr">
        <is>
          <t xml:space="preserve">Sundaram Mutual Fund</t>
        </is>
      </c>
      <c r="B11952" t="inlineStr">
        <is>
          <t xml:space="preserve">Sundaram Ultra Short Duration Fund (Formerly Known as Principal Ultra Short Term Fund)- Direct Plan IDCW Weekly</t>
        </is>
      </c>
      <c r="C11952" t="inlineStr">
        <is>
          <t xml:space="preserve">INF173K01CA1</t>
        </is>
      </c>
    </row>
    <row r="11953">
      <c r="A11953" t="inlineStr">
        <is>
          <t xml:space="preserve">Sundaram Mutual Fund</t>
        </is>
      </c>
      <c r="B11953" t="inlineStr">
        <is>
          <t xml:space="preserve">Sundaram Ultra Short Duration Fund (Formerly Known as Principal Ultra Short Term Fund)- Direct Plan Income Distribution CUM Capital Withdrawal Option (IDCW)</t>
        </is>
      </c>
      <c r="C11953" t="inlineStr">
        <is>
          <t xml:space="preserve">INF173K01HK9</t>
        </is>
      </c>
    </row>
    <row r="11954">
      <c r="A11954" t="inlineStr">
        <is>
          <t xml:space="preserve">Sundaram Mutual Fund</t>
        </is>
      </c>
      <c r="B11954" t="inlineStr">
        <is>
          <t xml:space="preserve">Sundaram Ultra Short Duration Fund (Formerly Known as Principal Ultra Short Term Fund)-Daily Income Distribution CUM Capital Withdrawal Option</t>
        </is>
      </c>
      <c r="C11954" t="inlineStr">
        <is>
          <t xml:space="preserve">INF173K01CV7</t>
        </is>
      </c>
    </row>
    <row r="11955">
      <c r="A11955" t="inlineStr">
        <is>
          <t xml:space="preserve">Sundaram Mutual Fund</t>
        </is>
      </c>
      <c r="B11955" t="inlineStr">
        <is>
          <t xml:space="preserve">Sundaram Ultra Short Duration Fund (Formerly Known as Principal Ultra Short Term Fund)-Growth Option</t>
        </is>
      </c>
      <c r="C11955" t="inlineStr">
        <is>
          <t xml:space="preserve">INF173K01CU9</t>
        </is>
      </c>
    </row>
    <row r="11956">
      <c r="A11956" t="inlineStr">
        <is>
          <t xml:space="preserve">Sundaram Mutual Fund</t>
        </is>
      </c>
      <c r="B11956" t="inlineStr">
        <is>
          <t xml:space="preserve">Sundaram Ultra Short Duration Fund (Formerly Known as Principal Ultra Short Term Fund)-Weekly Income Distribution CUM Capital Withdrawal Option</t>
        </is>
      </c>
      <c r="C11956" t="inlineStr">
        <is>
          <t xml:space="preserve">INF173K01CW5</t>
        </is>
      </c>
    </row>
    <row r="11957">
      <c r="A11957" t="inlineStr">
        <is>
          <t xml:space="preserve">Sundaram Mutual Fund</t>
        </is>
      </c>
      <c r="B11957" t="inlineStr">
        <is>
          <t xml:space="preserve">Sundaram Ultra Short Duration Fund (Formerly Known as Prinicpal Ultra Short Term Fund) Regular Plan -IDCW</t>
        </is>
      </c>
      <c r="C11957" t="inlineStr">
        <is>
          <t xml:space="preserve">INF903JA1JN7</t>
        </is>
      </c>
    </row>
    <row r="11958">
      <c r="A11958" t="inlineStr">
        <is>
          <t xml:space="preserve">Sundaram Mutual Fund</t>
        </is>
      </c>
      <c r="B11958" t="inlineStr">
        <is>
          <t xml:space="preserve">Sundaram Ultra Short Duration Fund (Formerly Known as Prinicpal Ultra Short Term Fund) Regular Plan Fortnightly IDCW</t>
        </is>
      </c>
      <c r="C11958" t="inlineStr">
        <is>
          <t xml:space="preserve">INF903JA1JL1</t>
        </is>
      </c>
    </row>
    <row r="11959">
      <c r="A11959" t="inlineStr">
        <is>
          <t xml:space="preserve">Sundaram Mutual Fund</t>
        </is>
      </c>
      <c r="B11959" t="inlineStr">
        <is>
          <t xml:space="preserve">Sundaram Value Fund Direct Plan - Growth</t>
        </is>
      </c>
      <c r="C11959" t="inlineStr">
        <is>
          <t xml:space="preserve">INF903J01NN3</t>
        </is>
      </c>
    </row>
    <row r="11960">
      <c r="A11960" t="inlineStr">
        <is>
          <t xml:space="preserve">Sundaram Mutual Fund</t>
        </is>
      </c>
      <c r="B11960" t="inlineStr">
        <is>
          <t xml:space="preserve">Sundaram Value Fund Direct Plan - Income Distribution cum Capital Withdrawal (IDCW)</t>
        </is>
      </c>
      <c r="C11960" t="inlineStr">
        <is>
          <t xml:space="preserve">INF903J01NL7</t>
        </is>
      </c>
    </row>
    <row r="11961">
      <c r="A11961" t="inlineStr">
        <is>
          <t xml:space="preserve">Sundaram Mutual Fund</t>
        </is>
      </c>
      <c r="B11961" t="inlineStr">
        <is>
          <t xml:space="preserve">Sundaram Value Fund Regular Plan - Growth</t>
        </is>
      </c>
      <c r="C11961" t="inlineStr">
        <is>
          <t xml:space="preserve">INF903J01538</t>
        </is>
      </c>
    </row>
    <row r="11962">
      <c r="A11962" t="inlineStr">
        <is>
          <t xml:space="preserve">Sundaram Mutual Fund</t>
        </is>
      </c>
      <c r="B11962" t="inlineStr">
        <is>
          <t xml:space="preserve">Sundaram Value Fund Regular Plan - Income Distribution cum Capital Withdrawal (IDCW)</t>
        </is>
      </c>
      <c r="C11962" t="inlineStr">
        <is>
          <t xml:space="preserve">INF903J01512</t>
        </is>
      </c>
    </row>
    <row r="11963">
      <c r="A11963" t="inlineStr">
        <is>
          <t xml:space="preserve">Tata Mutual Fund</t>
        </is>
      </c>
      <c r="B11963" t="inlineStr">
        <is>
          <t xml:space="preserve">Tata Aggressive Hybrid Fund -Direct Plan- Growth Option</t>
        </is>
      </c>
      <c r="C11963" t="inlineStr">
        <is>
          <t xml:space="preserve">INF277K01MN2</t>
        </is>
      </c>
    </row>
    <row r="11964">
      <c r="A11964" t="inlineStr">
        <is>
          <t xml:space="preserve">Tata Mutual Fund</t>
        </is>
      </c>
      <c r="B11964" t="inlineStr">
        <is>
          <t xml:space="preserve">Tata Aggressive Hybrid Fund- Direct Plan - Monthly Payout of IDCW Option</t>
        </is>
      </c>
      <c r="C11964" t="inlineStr">
        <is>
          <t xml:space="preserve">INF277K01MO0</t>
        </is>
      </c>
    </row>
    <row r="11965">
      <c r="A11965" t="inlineStr">
        <is>
          <t xml:space="preserve">Tata Mutual Fund</t>
        </is>
      </c>
      <c r="B11965" t="inlineStr">
        <is>
          <t xml:space="preserve">Tata Aggressive Hybrid Fund- Direct Plan - Periodic Payout of IDCW Option</t>
        </is>
      </c>
      <c r="C11965" t="inlineStr">
        <is>
          <t xml:space="preserve">INF277K01ML6</t>
        </is>
      </c>
    </row>
    <row r="11966">
      <c r="A11966" t="inlineStr">
        <is>
          <t xml:space="preserve">Tata Mutual Fund</t>
        </is>
      </c>
      <c r="B11966" t="inlineStr">
        <is>
          <t xml:space="preserve">Tata Aggressive Hybrid Fund- Regular Plan - Growth Option</t>
        </is>
      </c>
      <c r="C11966" t="inlineStr">
        <is>
          <t xml:space="preserve">INF277K01303</t>
        </is>
      </c>
    </row>
    <row r="11967">
      <c r="A11967" t="inlineStr">
        <is>
          <t xml:space="preserve">Tata Mutual Fund</t>
        </is>
      </c>
      <c r="B11967" t="inlineStr">
        <is>
          <t xml:space="preserve">Tata Aggressive Hybrid Fund- Regular Plan - Monthly Payout of IDCW Option</t>
        </is>
      </c>
      <c r="C11967" t="inlineStr">
        <is>
          <t xml:space="preserve">INF277K01CS2</t>
        </is>
      </c>
    </row>
    <row r="11968">
      <c r="A11968" t="inlineStr">
        <is>
          <t xml:space="preserve">Tata Mutual Fund</t>
        </is>
      </c>
      <c r="B11968" t="inlineStr">
        <is>
          <t xml:space="preserve">Tata Aggressive Hybrid Fund- Regular Plan - Periodic Payout of IDCW Option</t>
        </is>
      </c>
      <c r="C11968" t="inlineStr">
        <is>
          <t xml:space="preserve">INF277K01DB6</t>
        </is>
      </c>
    </row>
    <row r="11969">
      <c r="A11969" t="inlineStr">
        <is>
          <t xml:space="preserve">Tata Mutual Fund</t>
        </is>
      </c>
      <c r="B11969" t="inlineStr">
        <is>
          <t xml:space="preserve">TATA Arbitrage Fund Direct Plan - Monthly Payout of Income Distribution cum capital withdrawal option</t>
        </is>
      </c>
      <c r="C11969" t="inlineStr">
        <is>
          <t xml:space="preserve">INF277K018Q1</t>
        </is>
      </c>
    </row>
    <row r="11970">
      <c r="A11970" t="inlineStr">
        <is>
          <t xml:space="preserve">Tata Mutual Fund</t>
        </is>
      </c>
      <c r="B11970" t="inlineStr">
        <is>
          <t xml:space="preserve">TATA Arbitrage Fund Direct Plan - Monthly Reinvestment of Income Distribution cum capital withdrawal option</t>
        </is>
      </c>
      <c r="C11970" t="inlineStr">
        <is>
          <t xml:space="preserve">INF277K019Q9</t>
        </is>
      </c>
    </row>
    <row r="11971">
      <c r="A11971" t="inlineStr">
        <is>
          <t xml:space="preserve">Tata Mutual Fund</t>
        </is>
      </c>
      <c r="B11971" t="inlineStr">
        <is>
          <t xml:space="preserve">TATA Arbitrage Fund Regular Plan - Monthly Payout of Income Distribution cum capital withdrawal option</t>
        </is>
      </c>
      <c r="C11971" t="inlineStr">
        <is>
          <t xml:space="preserve">INF277K016Q5</t>
        </is>
      </c>
    </row>
    <row r="11972">
      <c r="A11972" t="inlineStr">
        <is>
          <t xml:space="preserve">Tata Mutual Fund</t>
        </is>
      </c>
      <c r="B11972" t="inlineStr">
        <is>
          <t xml:space="preserve">TATA Arbitrage Fund Regular Plan - Monthly Reinvestment of Income Distribution cum capital withdrawal option</t>
        </is>
      </c>
      <c r="C11972" t="inlineStr">
        <is>
          <t xml:space="preserve">INF277K010R6</t>
        </is>
      </c>
    </row>
    <row r="11973">
      <c r="A11973" t="inlineStr">
        <is>
          <t xml:space="preserve">Tata Mutual Fund</t>
        </is>
      </c>
      <c r="B11973" t="inlineStr">
        <is>
          <t xml:space="preserve">Tata Arbitrage Fund-Direct Plan-Growth</t>
        </is>
      </c>
      <c r="C11973" t="inlineStr">
        <is>
          <t xml:space="preserve">INF277K017Q3</t>
        </is>
      </c>
    </row>
    <row r="11974">
      <c r="A11974" t="inlineStr">
        <is>
          <t xml:space="preserve">Tata Mutual Fund</t>
        </is>
      </c>
      <c r="B11974" t="inlineStr">
        <is>
          <t xml:space="preserve">Tata Arbitrage Fund-Regular Plan-Growth</t>
        </is>
      </c>
      <c r="C11974" t="inlineStr">
        <is>
          <t xml:space="preserve">INF277K015Q7</t>
        </is>
      </c>
    </row>
    <row r="11975">
      <c r="A11975" t="inlineStr">
        <is>
          <t xml:space="preserve">Tata Mutual Fund</t>
        </is>
      </c>
      <c r="B11975" t="inlineStr">
        <is>
          <t xml:space="preserve">TATA Balanced Advantage Fund Direct Plan - Payout of Income Distribution cum capital withdrawal option</t>
        </is>
      </c>
      <c r="C11975" t="inlineStr">
        <is>
          <t xml:space="preserve">INF277K014S6</t>
        </is>
      </c>
    </row>
    <row r="11976">
      <c r="A11976" t="inlineStr">
        <is>
          <t xml:space="preserve">Tata Mutual Fund</t>
        </is>
      </c>
      <c r="B11976" t="inlineStr">
        <is>
          <t xml:space="preserve">TATA Balanced Advantage Fund Direct Plan - Reinvestment of Income Distribution cum capital withdrawal option</t>
        </is>
      </c>
      <c r="C11976" t="inlineStr">
        <is>
          <t xml:space="preserve">INF277K015S3</t>
        </is>
      </c>
    </row>
    <row r="11977">
      <c r="A11977" t="inlineStr">
        <is>
          <t xml:space="preserve">Tata Mutual Fund</t>
        </is>
      </c>
      <c r="B11977" t="inlineStr">
        <is>
          <t xml:space="preserve">TATA Balanced Advantage Fund Regular Plan - Payout of Income Distribution cum capital withdrawal option</t>
        </is>
      </c>
      <c r="C11977" t="inlineStr">
        <is>
          <t xml:space="preserve">INF277K011S2</t>
        </is>
      </c>
    </row>
    <row r="11978">
      <c r="A11978" t="inlineStr">
        <is>
          <t xml:space="preserve">Tata Mutual Fund</t>
        </is>
      </c>
      <c r="B11978" t="inlineStr">
        <is>
          <t xml:space="preserve">TATA Balanced Advantage Fund Regular Plan - Reinvestment of Income Distribution cum capital withdrawal option</t>
        </is>
      </c>
      <c r="C11978" t="inlineStr">
        <is>
          <t xml:space="preserve">INF277K012S0</t>
        </is>
      </c>
    </row>
    <row r="11979">
      <c r="A11979" t="inlineStr">
        <is>
          <t xml:space="preserve">Tata Mutual Fund</t>
        </is>
      </c>
      <c r="B11979" t="inlineStr">
        <is>
          <t xml:space="preserve">Tata Balanced Advantage Fund-Direct Plan-Growth</t>
        </is>
      </c>
      <c r="C11979" t="inlineStr">
        <is>
          <t xml:space="preserve">INF277K013S8</t>
        </is>
      </c>
    </row>
    <row r="11980">
      <c r="A11980" t="inlineStr">
        <is>
          <t xml:space="preserve">Tata Mutual Fund</t>
        </is>
      </c>
      <c r="B11980" t="inlineStr">
        <is>
          <t xml:space="preserve">Tata Balanced Advantage Fund-Regular Plan-Growth</t>
        </is>
      </c>
      <c r="C11980" t="inlineStr">
        <is>
          <t xml:space="preserve">INF277K010S4</t>
        </is>
      </c>
    </row>
    <row r="11981">
      <c r="A11981" t="inlineStr">
        <is>
          <t xml:space="preserve">Tata Mutual Fund</t>
        </is>
      </c>
      <c r="B11981" t="inlineStr">
        <is>
          <t xml:space="preserve">TATA Banking &amp; Financial Services Fund Direct Plan - Payout of Income Distribution cum capital withdrawal option</t>
        </is>
      </c>
      <c r="C11981" t="inlineStr">
        <is>
          <t xml:space="preserve">INF277K01Z28</t>
        </is>
      </c>
    </row>
    <row r="11982">
      <c r="A11982" t="inlineStr">
        <is>
          <t xml:space="preserve">Tata Mutual Fund</t>
        </is>
      </c>
      <c r="B11982" t="inlineStr">
        <is>
          <t xml:space="preserve">TATA Banking &amp; Financial Services Fund Direct Plan - Reinvestment of Income Distribution cum capital withdrawal option</t>
        </is>
      </c>
      <c r="C11982" t="inlineStr">
        <is>
          <t xml:space="preserve">INF277K01Z36</t>
        </is>
      </c>
    </row>
    <row r="11983">
      <c r="A11983" t="inlineStr">
        <is>
          <t xml:space="preserve">Tata Mutual Fund</t>
        </is>
      </c>
      <c r="B11983" t="inlineStr">
        <is>
          <t xml:space="preserve">TATA Banking &amp; Financial Services Fund Regular Plan - Payout of Income Distribution cum capital withdrawal option</t>
        </is>
      </c>
      <c r="C11983" t="inlineStr">
        <is>
          <t xml:space="preserve">INF277K01Y94</t>
        </is>
      </c>
    </row>
    <row r="11984">
      <c r="A11984" t="inlineStr">
        <is>
          <t xml:space="preserve">Tata Mutual Fund</t>
        </is>
      </c>
      <c r="B11984" t="inlineStr">
        <is>
          <t xml:space="preserve">TATA Banking &amp; Financial Services Fund Regular Plan - Reinvestment of Income Distribution cum capital withdrawal option</t>
        </is>
      </c>
      <c r="C11984" t="inlineStr">
        <is>
          <t xml:space="preserve">INF277K01Z02</t>
        </is>
      </c>
    </row>
    <row r="11985">
      <c r="A11985" t="inlineStr">
        <is>
          <t xml:space="preserve">Tata Mutual Fund</t>
        </is>
      </c>
      <c r="B11985" t="inlineStr">
        <is>
          <t xml:space="preserve">Tata Banking And Financial Services Fund-Direct Plan-Growth</t>
        </is>
      </c>
      <c r="C11985" t="inlineStr">
        <is>
          <t xml:space="preserve">INF277K01Z10</t>
        </is>
      </c>
    </row>
    <row r="11986">
      <c r="A11986" t="inlineStr">
        <is>
          <t xml:space="preserve">Tata Mutual Fund</t>
        </is>
      </c>
      <c r="B11986" t="inlineStr">
        <is>
          <t xml:space="preserve">Tata Banking And Financial Services Fund-Regular Plan-Growth</t>
        </is>
      </c>
      <c r="C11986" t="inlineStr">
        <is>
          <t xml:space="preserve">INF277K01Y86</t>
        </is>
      </c>
    </row>
    <row r="11987">
      <c r="A11987" t="inlineStr">
        <is>
          <t xml:space="preserve">Tata Mutual Fund</t>
        </is>
      </c>
      <c r="B11987" t="inlineStr">
        <is>
          <t xml:space="preserve">Tata BSE Multicap Consumption 50:30:20 Index Fund - Direct Plan Growth Option</t>
        </is>
      </c>
      <c r="C11987" t="inlineStr">
        <is>
          <t xml:space="preserve">INF277KA1EP8</t>
        </is>
      </c>
    </row>
    <row r="11988">
      <c r="A11988" t="inlineStr">
        <is>
          <t xml:space="preserve">Tata Mutual Fund</t>
        </is>
      </c>
      <c r="B11988" t="inlineStr">
        <is>
          <t xml:space="preserve">Tata BSE Multicap Consumption 50:30:20 Index Fund - Direct Plan IDCW Payout Option</t>
        </is>
      </c>
      <c r="C11988" t="inlineStr">
        <is>
          <t xml:space="preserve">INF277KA1ER4</t>
        </is>
      </c>
    </row>
    <row r="11989">
      <c r="A11989" t="inlineStr">
        <is>
          <t xml:space="preserve">Tata Mutual Fund</t>
        </is>
      </c>
      <c r="B11989" t="inlineStr">
        <is>
          <t xml:space="preserve">Tata BSE Multicap Consumption 50:30:20 Index Fund - Direct Plan IDCW Reinvestment Option</t>
        </is>
      </c>
      <c r="C11989" t="inlineStr">
        <is>
          <t xml:space="preserve">INF277KA1EQ6</t>
        </is>
      </c>
    </row>
    <row r="11990">
      <c r="A11990" t="inlineStr">
        <is>
          <t xml:space="preserve">Tata Mutual Fund</t>
        </is>
      </c>
      <c r="B11990" t="inlineStr">
        <is>
          <t xml:space="preserve">Tata BSE Multicap Consumption 50:30:20 Index Fund - Regular Plan Growth Option</t>
        </is>
      </c>
      <c r="C11990" t="inlineStr">
        <is>
          <t xml:space="preserve">INF277KA1EM5</t>
        </is>
      </c>
    </row>
    <row r="11991">
      <c r="A11991" t="inlineStr">
        <is>
          <t xml:space="preserve">Tata Mutual Fund</t>
        </is>
      </c>
      <c r="B11991" t="inlineStr">
        <is>
          <t xml:space="preserve">Tata BSE Multicap Consumption 50:30:20 Index Fund - Regular Plan IDCW Payout Option</t>
        </is>
      </c>
      <c r="C11991" t="inlineStr">
        <is>
          <t xml:space="preserve">INF277KA1EO1</t>
        </is>
      </c>
    </row>
    <row r="11992">
      <c r="A11992" t="inlineStr">
        <is>
          <t xml:space="preserve">Tata Mutual Fund</t>
        </is>
      </c>
      <c r="B11992" t="inlineStr">
        <is>
          <t xml:space="preserve">Tata BSE Multicap Consumption 50:30:20 Index Fund - Regular Plan IDCW Reinvestment Option</t>
        </is>
      </c>
      <c r="C11992" t="inlineStr">
        <is>
          <t xml:space="preserve">INF277KA1EN3</t>
        </is>
      </c>
    </row>
    <row r="11993">
      <c r="A11993" t="inlineStr">
        <is>
          <t xml:space="preserve">Tata Mutual Fund</t>
        </is>
      </c>
      <c r="B11993" t="inlineStr">
        <is>
          <t xml:space="preserve">Tata BSE Quality Index Fund Direct plan Growth Option</t>
        </is>
      </c>
      <c r="C11993" t="inlineStr">
        <is>
          <t xml:space="preserve">INF277KA1DK1</t>
        </is>
      </c>
    </row>
    <row r="11994">
      <c r="A11994" t="inlineStr">
        <is>
          <t xml:space="preserve">Tata Mutual Fund</t>
        </is>
      </c>
      <c r="B11994" t="inlineStr">
        <is>
          <t xml:space="preserve">Tata BSE Quality Index Fund Direct plan IDCW Payout Option</t>
        </is>
      </c>
      <c r="C11994" t="inlineStr">
        <is>
          <t xml:space="preserve">INF277KA1DO3</t>
        </is>
      </c>
    </row>
    <row r="11995">
      <c r="A11995" t="inlineStr">
        <is>
          <t xml:space="preserve">Tata Mutual Fund</t>
        </is>
      </c>
      <c r="B11995" t="inlineStr">
        <is>
          <t xml:space="preserve">Tata BSE Quality Index Fund Direct plan IDCW Reinvestment Option</t>
        </is>
      </c>
      <c r="C11995" t="inlineStr">
        <is>
          <t xml:space="preserve">INF277KA1DP0</t>
        </is>
      </c>
    </row>
    <row r="11996">
      <c r="A11996" t="inlineStr">
        <is>
          <t xml:space="preserve">Tata Mutual Fund</t>
        </is>
      </c>
      <c r="B11996" t="inlineStr">
        <is>
          <t xml:space="preserve">Tata BSE Quality Index Fund Regular plan Growth Option</t>
        </is>
      </c>
      <c r="C11996" t="inlineStr">
        <is>
          <t xml:space="preserve">INF277KA1DH7</t>
        </is>
      </c>
    </row>
    <row r="11997">
      <c r="A11997" t="inlineStr">
        <is>
          <t xml:space="preserve">Tata Mutual Fund</t>
        </is>
      </c>
      <c r="B11997" t="inlineStr">
        <is>
          <t xml:space="preserve">Tata BSE Quality Index Fund Regular plan IDCW Payout Option</t>
        </is>
      </c>
      <c r="C11997" t="inlineStr">
        <is>
          <t xml:space="preserve">INF277KA1DJ3</t>
        </is>
      </c>
    </row>
    <row r="11998">
      <c r="A11998" t="inlineStr">
        <is>
          <t xml:space="preserve">Tata Mutual Fund</t>
        </is>
      </c>
      <c r="B11998" t="inlineStr">
        <is>
          <t xml:space="preserve">Tata BSE Quality Index Fund Regular plan IDCW Reinvestment Option</t>
        </is>
      </c>
      <c r="C11998" t="inlineStr">
        <is>
          <t xml:space="preserve">INF277KA1DI5</t>
        </is>
      </c>
    </row>
    <row r="11999">
      <c r="A11999" t="inlineStr">
        <is>
          <t xml:space="preserve">Tata Mutual Fund</t>
        </is>
      </c>
      <c r="B11999" t="inlineStr">
        <is>
          <t xml:space="preserve">Tata BSE Select Business Groups Index Fund - Direct Growth</t>
        </is>
      </c>
      <c r="C11999" t="inlineStr">
        <is>
          <t xml:space="preserve">INF277KA1DA2</t>
        </is>
      </c>
    </row>
    <row r="12000">
      <c r="A12000" t="inlineStr">
        <is>
          <t xml:space="preserve">Tata Mutual Fund</t>
        </is>
      </c>
      <c r="B12000" t="inlineStr">
        <is>
          <t xml:space="preserve">Tata BSE Select Business Groups Index Fund - Direct IDCW Payout</t>
        </is>
      </c>
      <c r="C12000" t="inlineStr">
        <is>
          <t xml:space="preserve">INF277KA1DC8</t>
        </is>
      </c>
    </row>
    <row r="12001">
      <c r="A12001" t="inlineStr">
        <is>
          <t xml:space="preserve">Tata Mutual Fund</t>
        </is>
      </c>
      <c r="B12001" t="inlineStr">
        <is>
          <t xml:space="preserve">Tata BSE Select Business Groups Index Fund - Direct IDCW Reinvestment</t>
        </is>
      </c>
      <c r="C12001" t="inlineStr">
        <is>
          <t xml:space="preserve">INF277KA1DB0</t>
        </is>
      </c>
    </row>
    <row r="12002">
      <c r="A12002" t="inlineStr">
        <is>
          <t xml:space="preserve">Tata Mutual Fund</t>
        </is>
      </c>
      <c r="B12002" t="inlineStr">
        <is>
          <t xml:space="preserve">Tata BSE Select Business Groups Index Fund - Regular Growth</t>
        </is>
      </c>
      <c r="C12002" t="inlineStr">
        <is>
          <t xml:space="preserve">INF277KA1CX6</t>
        </is>
      </c>
    </row>
    <row r="12003">
      <c r="A12003" t="inlineStr">
        <is>
          <t xml:space="preserve">Tata Mutual Fund</t>
        </is>
      </c>
      <c r="B12003" t="inlineStr">
        <is>
          <t xml:space="preserve">Tata BSE Select Business Groups Index Fund - Regular IDCW Payout</t>
        </is>
      </c>
      <c r="C12003" t="inlineStr">
        <is>
          <t xml:space="preserve">INF277KA1CZ1</t>
        </is>
      </c>
    </row>
    <row r="12004">
      <c r="A12004" t="inlineStr">
        <is>
          <t xml:space="preserve">Tata Mutual Fund</t>
        </is>
      </c>
      <c r="B12004" t="inlineStr">
        <is>
          <t xml:space="preserve">Tata BSE Select Business Groups Index Fund - Regular IDCW Reinvestment</t>
        </is>
      </c>
      <c r="C12004" t="inlineStr">
        <is>
          <t xml:space="preserve">INF277KA1CY4</t>
        </is>
      </c>
    </row>
    <row r="12005">
      <c r="A12005" t="inlineStr">
        <is>
          <t xml:space="preserve">Tata Mutual Fund</t>
        </is>
      </c>
      <c r="B12005" t="inlineStr">
        <is>
          <t xml:space="preserve">Tata Business Cycle Fund-Direct Plan-Growth</t>
        </is>
      </c>
      <c r="C12005" t="inlineStr">
        <is>
          <t xml:space="preserve">INF277KA1166</t>
        </is>
      </c>
    </row>
    <row r="12006">
      <c r="A12006" t="inlineStr">
        <is>
          <t xml:space="preserve">Tata Mutual Fund</t>
        </is>
      </c>
      <c r="B12006" t="inlineStr">
        <is>
          <t xml:space="preserve">Tata Business Cycle Fund-Direct Plan-IDCW Payout</t>
        </is>
      </c>
      <c r="C12006" t="inlineStr">
        <is>
          <t xml:space="preserve">INF277KA1174</t>
        </is>
      </c>
    </row>
    <row r="12007">
      <c r="A12007" t="inlineStr">
        <is>
          <t xml:space="preserve">Tata Mutual Fund</t>
        </is>
      </c>
      <c r="B12007" t="inlineStr">
        <is>
          <t xml:space="preserve">Tata Business Cycle Fund-Direct Plan-IDCW Reinvestment</t>
        </is>
      </c>
      <c r="C12007" t="inlineStr">
        <is>
          <t xml:space="preserve">INF277KA1182</t>
        </is>
      </c>
    </row>
    <row r="12008">
      <c r="A12008" t="inlineStr">
        <is>
          <t xml:space="preserve">Tata Mutual Fund</t>
        </is>
      </c>
      <c r="B12008" t="inlineStr">
        <is>
          <t xml:space="preserve">Tata Business Cycle Fund-Regular Plan-Growth</t>
        </is>
      </c>
      <c r="C12008" t="inlineStr">
        <is>
          <t xml:space="preserve">INF277KA1190</t>
        </is>
      </c>
    </row>
    <row r="12009">
      <c r="A12009" t="inlineStr">
        <is>
          <t xml:space="preserve">Tata Mutual Fund</t>
        </is>
      </c>
      <c r="B12009" t="inlineStr">
        <is>
          <t xml:space="preserve">Tata Business Cycle Fund-Regular Plan-IDCW Payout</t>
        </is>
      </c>
      <c r="C12009" t="inlineStr">
        <is>
          <t xml:space="preserve">INF277KA1208</t>
        </is>
      </c>
    </row>
    <row r="12010">
      <c r="A12010" t="inlineStr">
        <is>
          <t xml:space="preserve">Tata Mutual Fund</t>
        </is>
      </c>
      <c r="B12010" t="inlineStr">
        <is>
          <t xml:space="preserve">Tata Business Cycle Fund-Regular Plan-IDCW Reinvestment</t>
        </is>
      </c>
      <c r="C12010" t="inlineStr">
        <is>
          <t xml:space="preserve">INF277KA1216</t>
        </is>
      </c>
    </row>
    <row r="12011">
      <c r="A12011" t="inlineStr">
        <is>
          <t xml:space="preserve">Tata Mutual Fund</t>
        </is>
      </c>
      <c r="B12011" t="inlineStr">
        <is>
          <t xml:space="preserve">Tata Childrens Fund -Regular Plan-Growth Option</t>
        </is>
      </c>
      <c r="C12011" t="inlineStr">
        <is>
          <t xml:space="preserve">INF277K01AJ5</t>
        </is>
      </c>
    </row>
    <row r="12012">
      <c r="A12012" t="inlineStr">
        <is>
          <t xml:space="preserve">Tata Mutual Fund</t>
        </is>
      </c>
      <c r="B12012" t="inlineStr">
        <is>
          <t xml:space="preserve">Tata Childrens Fund-Direct Plan-Growth Option</t>
        </is>
      </c>
      <c r="C12012" t="inlineStr">
        <is>
          <t xml:space="preserve">INF277K01QW4</t>
        </is>
      </c>
    </row>
    <row r="12013">
      <c r="A12013" t="inlineStr">
        <is>
          <t xml:space="preserve">Tata Mutual Fund</t>
        </is>
      </c>
      <c r="B12013" t="inlineStr">
        <is>
          <t xml:space="preserve">Tata Corporate Bond Fund-Direct Plan-Growth</t>
        </is>
      </c>
      <c r="C12013" t="inlineStr">
        <is>
          <t xml:space="preserve">INF277KA1224</t>
        </is>
      </c>
    </row>
    <row r="12014">
      <c r="A12014" t="inlineStr">
        <is>
          <t xml:space="preserve">Tata Mutual Fund</t>
        </is>
      </c>
      <c r="B12014" t="inlineStr">
        <is>
          <t xml:space="preserve">Tata Corporate Bond Fund-Direct Plan-IDCW Monthly Payout</t>
        </is>
      </c>
      <c r="C12014" t="inlineStr">
        <is>
          <t xml:space="preserve">INF277KA1240</t>
        </is>
      </c>
    </row>
    <row r="12015">
      <c r="A12015" t="inlineStr">
        <is>
          <t xml:space="preserve">Tata Mutual Fund</t>
        </is>
      </c>
      <c r="B12015" t="inlineStr">
        <is>
          <t xml:space="preserve">Tata Corporate Bond Fund-Direct Plan-IDCW Monthly Reinvestment</t>
        </is>
      </c>
      <c r="C12015" t="inlineStr">
        <is>
          <t xml:space="preserve">INF277KA1273</t>
        </is>
      </c>
    </row>
    <row r="12016">
      <c r="A12016" t="inlineStr">
        <is>
          <t xml:space="preserve">Tata Mutual Fund</t>
        </is>
      </c>
      <c r="B12016" t="inlineStr">
        <is>
          <t xml:space="preserve">Tata Corporate Bond Fund-Direct Plan-IDCW Periodic Payout</t>
        </is>
      </c>
      <c r="C12016" t="inlineStr">
        <is>
          <t xml:space="preserve">INF277KA1232</t>
        </is>
      </c>
    </row>
    <row r="12017">
      <c r="A12017" t="inlineStr">
        <is>
          <t xml:space="preserve">Tata Mutual Fund</t>
        </is>
      </c>
      <c r="B12017" t="inlineStr">
        <is>
          <t xml:space="preserve">Tata Corporate Bond Fund-Direct Plan-IDCW Periodic Reinvestment</t>
        </is>
      </c>
      <c r="C12017" t="inlineStr">
        <is>
          <t xml:space="preserve">INF277KA1265</t>
        </is>
      </c>
    </row>
    <row r="12018">
      <c r="A12018" t="inlineStr">
        <is>
          <t xml:space="preserve">Tata Mutual Fund</t>
        </is>
      </c>
      <c r="B12018" t="inlineStr">
        <is>
          <t xml:space="preserve">Tata Corporate Bond Fund-Direct Plan-IDCW Quarterly Payout</t>
        </is>
      </c>
      <c r="C12018" t="inlineStr">
        <is>
          <t xml:space="preserve">INF277KA1257</t>
        </is>
      </c>
    </row>
    <row r="12019">
      <c r="A12019" t="inlineStr">
        <is>
          <t xml:space="preserve">Tata Mutual Fund</t>
        </is>
      </c>
      <c r="B12019" t="inlineStr">
        <is>
          <t xml:space="preserve">Tata Corporate Bond Fund-Direct Plan-IDCW Quarterly Reinvestment</t>
        </is>
      </c>
      <c r="C12019" t="inlineStr">
        <is>
          <t xml:space="preserve">INF277KA1281</t>
        </is>
      </c>
    </row>
    <row r="12020">
      <c r="A12020" t="inlineStr">
        <is>
          <t xml:space="preserve">Tata Mutual Fund</t>
        </is>
      </c>
      <c r="B12020" t="inlineStr">
        <is>
          <t xml:space="preserve">Tata Corporate Bond Fund-Regular Plan-Growth</t>
        </is>
      </c>
      <c r="C12020" t="inlineStr">
        <is>
          <t xml:space="preserve">INF277KA1299</t>
        </is>
      </c>
    </row>
    <row r="12021">
      <c r="A12021" t="inlineStr">
        <is>
          <t xml:space="preserve">Tata Mutual Fund</t>
        </is>
      </c>
      <c r="B12021" t="inlineStr">
        <is>
          <t xml:space="preserve">Tata Corporate Bond Fund-Regular Plan-IDCW Monthly Payout</t>
        </is>
      </c>
      <c r="C12021" t="inlineStr">
        <is>
          <t xml:space="preserve">INF277KA1315</t>
        </is>
      </c>
    </row>
    <row r="12022">
      <c r="A12022" t="inlineStr">
        <is>
          <t xml:space="preserve">Tata Mutual Fund</t>
        </is>
      </c>
      <c r="B12022" t="inlineStr">
        <is>
          <t xml:space="preserve">Tata Corporate Bond Fund-Regular Plan-IDCW Monthly Reinvestment</t>
        </is>
      </c>
      <c r="C12022" t="inlineStr">
        <is>
          <t xml:space="preserve">INF277KA1349</t>
        </is>
      </c>
    </row>
    <row r="12023">
      <c r="A12023" t="inlineStr">
        <is>
          <t xml:space="preserve">Tata Mutual Fund</t>
        </is>
      </c>
      <c r="B12023" t="inlineStr">
        <is>
          <t xml:space="preserve">Tata Corporate Bond Fund-Regular Plan-IDCW Periodic Payout</t>
        </is>
      </c>
      <c r="C12023" t="inlineStr">
        <is>
          <t xml:space="preserve">INF277KA1307</t>
        </is>
      </c>
    </row>
    <row r="12024">
      <c r="A12024" t="inlineStr">
        <is>
          <t xml:space="preserve">Tata Mutual Fund</t>
        </is>
      </c>
      <c r="B12024" t="inlineStr">
        <is>
          <t xml:space="preserve">Tata Corporate Bond Fund-Regular Plan-IDCW Periodic Reinvestment</t>
        </is>
      </c>
      <c r="C12024" t="inlineStr">
        <is>
          <t xml:space="preserve">INF277KA1331</t>
        </is>
      </c>
    </row>
    <row r="12025">
      <c r="A12025" t="inlineStr">
        <is>
          <t xml:space="preserve">Tata Mutual Fund</t>
        </is>
      </c>
      <c r="B12025" t="inlineStr">
        <is>
          <t xml:space="preserve">Tata Corporate Bond Fund-Regular Plan-IDCW Quarterly Payout</t>
        </is>
      </c>
      <c r="C12025" t="inlineStr">
        <is>
          <t xml:space="preserve">INF277KA1323</t>
        </is>
      </c>
    </row>
    <row r="12026">
      <c r="A12026" t="inlineStr">
        <is>
          <t xml:space="preserve">Tata Mutual Fund</t>
        </is>
      </c>
      <c r="B12026" t="inlineStr">
        <is>
          <t xml:space="preserve">Tata Corporate Bond Fund-Regular Plan-IDCW Quarterly Reinvestment</t>
        </is>
      </c>
      <c r="C12026" t="inlineStr">
        <is>
          <t xml:space="preserve">INF277KA1356</t>
        </is>
      </c>
    </row>
    <row r="12027">
      <c r="A12027" t="inlineStr">
        <is>
          <t xml:space="preserve">Tata Mutual Fund</t>
        </is>
      </c>
      <c r="B12027" t="inlineStr">
        <is>
          <t xml:space="preserve">TATA CRISIL-IBX GILT INDEX - APRIL 2026 INDEX FUND - DIRECT PLAN - GROWTH</t>
        </is>
      </c>
      <c r="C12027" t="inlineStr">
        <is>
          <t xml:space="preserve">INF277KA1554</t>
        </is>
      </c>
    </row>
    <row r="12028">
      <c r="A12028" t="inlineStr">
        <is>
          <t xml:space="preserve">Tata Mutual Fund</t>
        </is>
      </c>
      <c r="B12028" t="inlineStr">
        <is>
          <t xml:space="preserve">TATA CRISIL-IBX GILT INDEX - APRIL 2026 INDEX FUND - DIRECT PLAN - IDCW PAYOUT</t>
        </is>
      </c>
      <c r="C12028" t="inlineStr">
        <is>
          <t xml:space="preserve">INF277KA1570</t>
        </is>
      </c>
    </row>
    <row r="12029">
      <c r="A12029" t="inlineStr">
        <is>
          <t xml:space="preserve">Tata Mutual Fund</t>
        </is>
      </c>
      <c r="B12029" t="inlineStr">
        <is>
          <t xml:space="preserve">TATA CRISIL-IBX GILT INDEX - APRIL 2026 INDEX FUND - DIRECT PLAN - IDCW REINVESTMENT</t>
        </is>
      </c>
      <c r="C12029" t="inlineStr">
        <is>
          <t xml:space="preserve">INF277KA1562</t>
        </is>
      </c>
    </row>
    <row r="12030">
      <c r="A12030" t="inlineStr">
        <is>
          <t xml:space="preserve">Tata Mutual Fund</t>
        </is>
      </c>
      <c r="B12030" t="inlineStr">
        <is>
          <t xml:space="preserve">TATA CRISIL-IBX GILT INDEX - APRIL 2026 INDEX FUND - REGULAR PLAN - GROWTH</t>
        </is>
      </c>
      <c r="C12030" t="inlineStr">
        <is>
          <t xml:space="preserve">INF277KA1588</t>
        </is>
      </c>
    </row>
    <row r="12031">
      <c r="A12031" t="inlineStr">
        <is>
          <t xml:space="preserve">Tata Mutual Fund</t>
        </is>
      </c>
      <c r="B12031" t="inlineStr">
        <is>
          <t xml:space="preserve">TATA CRISIL-IBX GILT INDEX - APRIL 2026 INDEX FUND - REGULAR PLAN - IDCW PAYOUT</t>
        </is>
      </c>
      <c r="C12031" t="inlineStr">
        <is>
          <t xml:space="preserve">INF277KA1604</t>
        </is>
      </c>
    </row>
    <row r="12032">
      <c r="A12032" t="inlineStr">
        <is>
          <t xml:space="preserve">Tata Mutual Fund</t>
        </is>
      </c>
      <c r="B12032" t="inlineStr">
        <is>
          <t xml:space="preserve">TATA CRISIL-IBX GILT INDEX - APRIL 2026 INDEX FUND - REGULAR PLAN - IDCW REINVESTMENT</t>
        </is>
      </c>
      <c r="C12032" t="inlineStr">
        <is>
          <t xml:space="preserve">INF277KA1596</t>
        </is>
      </c>
    </row>
    <row r="12033">
      <c r="A12033" t="inlineStr">
        <is>
          <t xml:space="preserve">Tata Mutual Fund</t>
        </is>
      </c>
      <c r="B12033" t="inlineStr">
        <is>
          <t xml:space="preserve">TATA Digital India Fund Direct Plan - Payout of Income Distribution cum capital withdrawal option</t>
        </is>
      </c>
      <c r="C12033" t="inlineStr">
        <is>
          <t xml:space="preserve">INF277K01Z85</t>
        </is>
      </c>
    </row>
    <row r="12034">
      <c r="A12034" t="inlineStr">
        <is>
          <t xml:space="preserve">Tata Mutual Fund</t>
        </is>
      </c>
      <c r="B12034" t="inlineStr">
        <is>
          <t xml:space="preserve">TATA Digital India Fund Direct Plan - Reinvestment of Income Distribution cum capital withdrawal option</t>
        </is>
      </c>
      <c r="C12034" t="inlineStr">
        <is>
          <t xml:space="preserve">INF277K01Z93</t>
        </is>
      </c>
    </row>
    <row r="12035">
      <c r="A12035" t="inlineStr">
        <is>
          <t xml:space="preserve">Tata Mutual Fund</t>
        </is>
      </c>
      <c r="B12035" t="inlineStr">
        <is>
          <t xml:space="preserve">TATA Digital India Fund Regular Plan - Payout of Income Distribution cum capital withdrawal option</t>
        </is>
      </c>
      <c r="C12035" t="inlineStr">
        <is>
          <t xml:space="preserve">INF277K01Z51</t>
        </is>
      </c>
    </row>
    <row r="12036">
      <c r="A12036" t="inlineStr">
        <is>
          <t xml:space="preserve">Tata Mutual Fund</t>
        </is>
      </c>
      <c r="B12036" t="inlineStr">
        <is>
          <t xml:space="preserve">TATA Digital India Fund Regular Plan - Reinvestment of Income Distribution cum capital withdrawal option</t>
        </is>
      </c>
      <c r="C12036" t="inlineStr">
        <is>
          <t xml:space="preserve">INF277K01Z69</t>
        </is>
      </c>
    </row>
    <row r="12037">
      <c r="A12037" t="inlineStr">
        <is>
          <t xml:space="preserve">Tata Mutual Fund</t>
        </is>
      </c>
      <c r="B12037" t="inlineStr">
        <is>
          <t xml:space="preserve">Tata Digital India Fund-Direct Plan-Growth</t>
        </is>
      </c>
      <c r="C12037" t="inlineStr">
        <is>
          <t xml:space="preserve">INF277K01Z77</t>
        </is>
      </c>
    </row>
    <row r="12038">
      <c r="A12038" t="inlineStr">
        <is>
          <t xml:space="preserve">Tata Mutual Fund</t>
        </is>
      </c>
      <c r="B12038" t="inlineStr">
        <is>
          <t xml:space="preserve">Tata Digital India Fund-Regular Plan-Growth</t>
        </is>
      </c>
      <c r="C12038" t="inlineStr">
        <is>
          <t xml:space="preserve">INF277K01Z44</t>
        </is>
      </c>
    </row>
    <row r="12039">
      <c r="A12039" t="inlineStr">
        <is>
          <t xml:space="preserve">Tata Mutual Fund</t>
        </is>
      </c>
      <c r="B12039" t="inlineStr">
        <is>
          <t xml:space="preserve">Tata Dividend Yield Fund-Direct Plan-Growth</t>
        </is>
      </c>
      <c r="C12039" t="inlineStr">
        <is>
          <t xml:space="preserve">INF277K015Z8</t>
        </is>
      </c>
    </row>
    <row r="12040">
      <c r="A12040" t="inlineStr">
        <is>
          <t xml:space="preserve">Tata Mutual Fund</t>
        </is>
      </c>
      <c r="B12040" t="inlineStr">
        <is>
          <t xml:space="preserve">Tata Dividend Yield Fund-Direct Plan-IDCW Payout</t>
        </is>
      </c>
      <c r="C12040" t="inlineStr">
        <is>
          <t xml:space="preserve">INF277K017Z4</t>
        </is>
      </c>
    </row>
    <row r="12041">
      <c r="A12041" t="inlineStr">
        <is>
          <t xml:space="preserve">Tata Mutual Fund</t>
        </is>
      </c>
      <c r="B12041" t="inlineStr">
        <is>
          <t xml:space="preserve">Tata Dividend Yield Fund-Direct Plan-IDCW Reinvestment</t>
        </is>
      </c>
      <c r="C12041" t="inlineStr">
        <is>
          <t xml:space="preserve">INF277K016Z6</t>
        </is>
      </c>
    </row>
    <row r="12042">
      <c r="A12042" t="inlineStr">
        <is>
          <t xml:space="preserve">Tata Mutual Fund</t>
        </is>
      </c>
      <c r="B12042" t="inlineStr">
        <is>
          <t xml:space="preserve">Tata Dividend Yield Fund-Regular Plan-Growth</t>
        </is>
      </c>
      <c r="C12042" t="inlineStr">
        <is>
          <t xml:space="preserve">INF277K018Z2</t>
        </is>
      </c>
    </row>
    <row r="12043">
      <c r="A12043" t="inlineStr">
        <is>
          <t xml:space="preserve">Tata Mutual Fund</t>
        </is>
      </c>
      <c r="B12043" t="inlineStr">
        <is>
          <t xml:space="preserve">Tata Dividend Yield Fund-Regular Plan-IDCW Payout</t>
        </is>
      </c>
      <c r="C12043" t="inlineStr">
        <is>
          <t xml:space="preserve">INF277KA1018</t>
        </is>
      </c>
    </row>
    <row r="12044">
      <c r="A12044" t="inlineStr">
        <is>
          <t xml:space="preserve">Tata Mutual Fund</t>
        </is>
      </c>
      <c r="B12044" t="inlineStr">
        <is>
          <t xml:space="preserve">Tata Dividend Yield Fund-Regular Plan-IDCW Reinvestment</t>
        </is>
      </c>
      <c r="C12044" t="inlineStr">
        <is>
          <t xml:space="preserve">INF277K019Z0</t>
        </is>
      </c>
    </row>
    <row r="12045">
      <c r="A12045" t="inlineStr">
        <is>
          <t xml:space="preserve">Tata Mutual Fund</t>
        </is>
      </c>
      <c r="B12045" t="inlineStr">
        <is>
          <t xml:space="preserve">Tata Dynamic Bond Fund- Direct Plan-Growth Option</t>
        </is>
      </c>
      <c r="C12045" t="inlineStr">
        <is>
          <t xml:space="preserve">INF277K01MV5</t>
        </is>
      </c>
    </row>
    <row r="12046">
      <c r="A12046" t="inlineStr">
        <is>
          <t xml:space="preserve">Tata Mutual Fund</t>
        </is>
      </c>
      <c r="B12046" t="inlineStr">
        <is>
          <t xml:space="preserve">Tata Dynamic Bond Fund- Regular Plan - Growth Option</t>
        </is>
      </c>
      <c r="C12046" t="inlineStr">
        <is>
          <t xml:space="preserve">INF277K01360</t>
        </is>
      </c>
    </row>
    <row r="12047">
      <c r="A12047" t="inlineStr">
        <is>
          <t xml:space="preserve">Tata Mutual Fund</t>
        </is>
      </c>
      <c r="B12047" t="inlineStr">
        <is>
          <t xml:space="preserve">Tata Dynamic Bond Fund- Regular Plan - Payout of IDCW Option</t>
        </is>
      </c>
      <c r="C12047" t="inlineStr">
        <is>
          <t xml:space="preserve">INF277K01DE0</t>
        </is>
      </c>
    </row>
    <row r="12048">
      <c r="A12048" t="inlineStr">
        <is>
          <t xml:space="preserve">Tata Mutual Fund</t>
        </is>
      </c>
      <c r="B12048" t="inlineStr">
        <is>
          <t xml:space="preserve">Tata Dynamic Bond- Direct Plan - Payout of IDCW Option</t>
        </is>
      </c>
      <c r="C12048" t="inlineStr">
        <is>
          <t xml:space="preserve">INF277K01MT9</t>
        </is>
      </c>
    </row>
    <row r="12049">
      <c r="A12049" t="inlineStr">
        <is>
          <t xml:space="preserve">Tata Mutual Fund</t>
        </is>
      </c>
      <c r="B12049" t="inlineStr">
        <is>
          <t xml:space="preserve">Tata ELSS Fund- Direct Plan - Payout of IDCW Option</t>
        </is>
      </c>
      <c r="C12049" t="inlineStr">
        <is>
          <t xml:space="preserve">INF277K01I94</t>
        </is>
      </c>
    </row>
    <row r="12050">
      <c r="A12050" t="inlineStr">
        <is>
          <t xml:space="preserve">Tata Mutual Fund</t>
        </is>
      </c>
      <c r="B12050" t="inlineStr">
        <is>
          <t xml:space="preserve">Tata ELSS Fund- Regular Plan - Payout of IDCW Option</t>
        </is>
      </c>
      <c r="C12050" t="inlineStr">
        <is>
          <t xml:space="preserve">INF277K01I60</t>
        </is>
      </c>
    </row>
    <row r="12051">
      <c r="A12051" t="inlineStr">
        <is>
          <t xml:space="preserve">Tata Mutual Fund</t>
        </is>
      </c>
      <c r="B12051" t="inlineStr">
        <is>
          <t xml:space="preserve">Tata ELSS Fund-Growth-Direct Plan</t>
        </is>
      </c>
      <c r="C12051" t="inlineStr">
        <is>
          <t xml:space="preserve">INF277K01I86</t>
        </is>
      </c>
    </row>
    <row r="12052">
      <c r="A12052" t="inlineStr">
        <is>
          <t xml:space="preserve">Tata Mutual Fund</t>
        </is>
      </c>
      <c r="B12052" t="inlineStr">
        <is>
          <t xml:space="preserve">Tata ELSS Fund-Growth-Regular Plan</t>
        </is>
      </c>
      <c r="C12052" t="inlineStr">
        <is>
          <t xml:space="preserve">INF277K01I52</t>
        </is>
      </c>
    </row>
    <row r="12053">
      <c r="A12053" t="inlineStr">
        <is>
          <t xml:space="preserve">Tata Mutual Fund</t>
        </is>
      </c>
      <c r="B12053" t="inlineStr">
        <is>
          <t xml:space="preserve">Tata Equity Savings Fund -Regular Plan-Growth Option</t>
        </is>
      </c>
      <c r="C12053" t="inlineStr">
        <is>
          <t xml:space="preserve">INF277K01907</t>
        </is>
      </c>
    </row>
    <row r="12054">
      <c r="A12054" t="inlineStr">
        <is>
          <t xml:space="preserve">Tata Mutual Fund</t>
        </is>
      </c>
      <c r="B12054" t="inlineStr">
        <is>
          <t xml:space="preserve">Tata Equity Savings Fund- Direct Plan- Growth Option</t>
        </is>
      </c>
      <c r="C12054" t="inlineStr">
        <is>
          <t xml:space="preserve">INF277K01QH5</t>
        </is>
      </c>
    </row>
    <row r="12055">
      <c r="A12055" t="inlineStr">
        <is>
          <t xml:space="preserve">Tata Mutual Fund</t>
        </is>
      </c>
      <c r="B12055" t="inlineStr">
        <is>
          <t xml:space="preserve">Tata Equity Savings Fund- Regular Plan - Periodic Payout of IDCW Option</t>
        </is>
      </c>
      <c r="C12055" t="inlineStr">
        <is>
          <t xml:space="preserve">INF277K01EF5</t>
        </is>
      </c>
    </row>
    <row r="12056">
      <c r="A12056" t="inlineStr">
        <is>
          <t xml:space="preserve">Tata Mutual Fund</t>
        </is>
      </c>
      <c r="B12056" t="inlineStr">
        <is>
          <t xml:space="preserve">TATA Equity Savings Fund- Regular Plan -Monthly Payout of IDCW option</t>
        </is>
      </c>
      <c r="C12056" t="inlineStr">
        <is>
          <t xml:space="preserve">INF277K01EE8</t>
        </is>
      </c>
    </row>
    <row r="12057">
      <c r="A12057" t="inlineStr">
        <is>
          <t xml:space="preserve">Tata Mutual Fund</t>
        </is>
      </c>
      <c r="B12057" t="inlineStr">
        <is>
          <t xml:space="preserve">Tata Equity Savings Fund-Direct Plan - Monthly Payout of IDCW Option</t>
        </is>
      </c>
      <c r="C12057" t="inlineStr">
        <is>
          <t xml:space="preserve">INF277K01QI3</t>
        </is>
      </c>
    </row>
    <row r="12058">
      <c r="A12058" t="inlineStr">
        <is>
          <t xml:space="preserve">Tata Mutual Fund</t>
        </is>
      </c>
      <c r="B12058" t="inlineStr">
        <is>
          <t xml:space="preserve">Tata Equity Savings Fund-Direct Plan - Periodic Payout of IDCWS Option</t>
        </is>
      </c>
      <c r="C12058" t="inlineStr">
        <is>
          <t xml:space="preserve">INF277K01QK9</t>
        </is>
      </c>
    </row>
    <row r="12059">
      <c r="A12059" t="inlineStr">
        <is>
          <t xml:space="preserve">Tata Mutual Fund</t>
        </is>
      </c>
      <c r="B12059" t="inlineStr">
        <is>
          <t xml:space="preserve">Tata Ethical Fund -Direct Plan- Growth Option</t>
        </is>
      </c>
      <c r="C12059" t="inlineStr">
        <is>
          <t xml:space="preserve">INF277K01NG4</t>
        </is>
      </c>
    </row>
    <row r="12060">
      <c r="A12060" t="inlineStr">
        <is>
          <t xml:space="preserve">Tata Mutual Fund</t>
        </is>
      </c>
      <c r="B12060" t="inlineStr">
        <is>
          <t xml:space="preserve">Tata Ethical Fund- Direct Plan - Payout of IDCW Option</t>
        </is>
      </c>
      <c r="C12060" t="inlineStr">
        <is>
          <t xml:space="preserve">INF277K01NE9</t>
        </is>
      </c>
    </row>
    <row r="12061">
      <c r="A12061" t="inlineStr">
        <is>
          <t xml:space="preserve">Tata Mutual Fund</t>
        </is>
      </c>
      <c r="B12061" t="inlineStr">
        <is>
          <t xml:space="preserve">Tata Ethical Fund- Regular Plan - Payout of IDCW Option</t>
        </is>
      </c>
      <c r="C12061" t="inlineStr">
        <is>
          <t xml:space="preserve">INF277K01EH1</t>
        </is>
      </c>
    </row>
    <row r="12062">
      <c r="A12062" t="inlineStr">
        <is>
          <t xml:space="preserve">Tata Mutual Fund</t>
        </is>
      </c>
      <c r="B12062" t="inlineStr">
        <is>
          <t xml:space="preserve">Tata Ethical Fund-Regular Plan - Growth Option</t>
        </is>
      </c>
      <c r="C12062" t="inlineStr">
        <is>
          <t xml:space="preserve">INF277K01956</t>
        </is>
      </c>
    </row>
    <row r="12063">
      <c r="A12063" t="inlineStr">
        <is>
          <t xml:space="preserve">Tata Mutual Fund</t>
        </is>
      </c>
      <c r="B12063" t="inlineStr">
        <is>
          <t xml:space="preserve">Tata Fixed Maturity Plan Series 61 Scheme A (91 days) - Direct Plan Growth Option</t>
        </is>
      </c>
      <c r="C12063" t="inlineStr">
        <is>
          <t xml:space="preserve">INF277KA1AC4</t>
        </is>
      </c>
    </row>
    <row r="12064">
      <c r="A12064" t="inlineStr">
        <is>
          <t xml:space="preserve">Tata Mutual Fund</t>
        </is>
      </c>
      <c r="B12064" t="inlineStr">
        <is>
          <t xml:space="preserve">Tata Fixed Maturity Plan Series 61 Scheme A (91 days) - Direct Plan IDCW Payout Option</t>
        </is>
      </c>
      <c r="C12064" t="inlineStr">
        <is>
          <t xml:space="preserve">INF277KA1AE0</t>
        </is>
      </c>
    </row>
    <row r="12065">
      <c r="A12065" t="inlineStr">
        <is>
          <t xml:space="preserve">Tata Mutual Fund</t>
        </is>
      </c>
      <c r="B12065" t="inlineStr">
        <is>
          <t xml:space="preserve">Tata Fixed Maturity Plan Series 61 Scheme A (91 days) - Direct Plan IDCW Reinvestment Option</t>
        </is>
      </c>
      <c r="C12065" t="inlineStr">
        <is>
          <t xml:space="preserve">INF277KA1AD2</t>
        </is>
      </c>
    </row>
    <row r="12066">
      <c r="A12066" t="inlineStr">
        <is>
          <t xml:space="preserve">Tata Mutual Fund</t>
        </is>
      </c>
      <c r="B12066" t="inlineStr">
        <is>
          <t xml:space="preserve">Tata Fixed Maturity Plan Series 61 Scheme A (91 days) - Regular Plan Growth Option</t>
        </is>
      </c>
      <c r="C12066" t="inlineStr">
        <is>
          <t xml:space="preserve">INF277KA1992</t>
        </is>
      </c>
    </row>
    <row r="12067">
      <c r="A12067" t="inlineStr">
        <is>
          <t xml:space="preserve">Tata Mutual Fund</t>
        </is>
      </c>
      <c r="B12067" t="inlineStr">
        <is>
          <t xml:space="preserve">Tata Fixed Maturity Plan Series 61 Scheme A (91 days) - Regular Plan IDCW Payout Option</t>
        </is>
      </c>
      <c r="C12067" t="inlineStr">
        <is>
          <t xml:space="preserve">INF277KA1AB6</t>
        </is>
      </c>
    </row>
    <row r="12068">
      <c r="A12068" t="inlineStr">
        <is>
          <t xml:space="preserve">Tata Mutual Fund</t>
        </is>
      </c>
      <c r="B12068" t="inlineStr">
        <is>
          <t xml:space="preserve">Tata Fixed Maturity Plan Series 61 Scheme A (91 days) - Regular Plan IDCW Reinvestment Option</t>
        </is>
      </c>
      <c r="C12068" t="inlineStr">
        <is>
          <t xml:space="preserve">INF277KA1AA8</t>
        </is>
      </c>
    </row>
    <row r="12069">
      <c r="A12069" t="inlineStr">
        <is>
          <t xml:space="preserve">Tata Mutual Fund</t>
        </is>
      </c>
      <c r="B12069" t="inlineStr">
        <is>
          <t xml:space="preserve">Tata Fixed Maturity Plan Series 61 Scheme D Direct Plan Growth</t>
        </is>
      </c>
      <c r="C12069" t="inlineStr">
        <is>
          <t xml:space="preserve">INF277KA1DE4</t>
        </is>
      </c>
    </row>
    <row r="12070">
      <c r="A12070" t="inlineStr">
        <is>
          <t xml:space="preserve">Tata Mutual Fund</t>
        </is>
      </c>
      <c r="B12070" t="inlineStr">
        <is>
          <t xml:space="preserve">Tata Fixed Maturity Plan Series 61 Scheme D Direct Plan IDCW Payout</t>
        </is>
      </c>
      <c r="C12070" t="inlineStr">
        <is>
          <t xml:space="preserve">INF277KA1DF1</t>
        </is>
      </c>
    </row>
    <row r="12071">
      <c r="A12071" t="inlineStr">
        <is>
          <t xml:space="preserve">Tata Mutual Fund</t>
        </is>
      </c>
      <c r="B12071" t="inlineStr">
        <is>
          <t xml:space="preserve">Tata Fixed Maturity Plan Series 61 Scheme D Regular Plan Growth</t>
        </is>
      </c>
      <c r="C12071" t="inlineStr">
        <is>
          <t xml:space="preserve">INF277KA1DG9</t>
        </is>
      </c>
    </row>
    <row r="12072">
      <c r="A12072" t="inlineStr">
        <is>
          <t xml:space="preserve">Tata Mutual Fund</t>
        </is>
      </c>
      <c r="B12072" t="inlineStr">
        <is>
          <t xml:space="preserve">Tata Fixed Maturity Plan Series 61 Scheme D Regular Plan IDCW Payout</t>
        </is>
      </c>
      <c r="C12072" t="inlineStr">
        <is>
          <t xml:space="preserve">INF277KA1DD6</t>
        </is>
      </c>
    </row>
    <row r="12073">
      <c r="A12073" t="inlineStr">
        <is>
          <t xml:space="preserve">Tata Mutual Fund</t>
        </is>
      </c>
      <c r="B12073" t="inlineStr">
        <is>
          <t xml:space="preserve">TATA Flexi Cap Fund - Direct Plan - Payout of Income Distribution cum capital withdrawal option</t>
        </is>
      </c>
      <c r="C12073" t="inlineStr">
        <is>
          <t xml:space="preserve">INF277K017K6</t>
        </is>
      </c>
    </row>
    <row r="12074">
      <c r="A12074" t="inlineStr">
        <is>
          <t xml:space="preserve">Tata Mutual Fund</t>
        </is>
      </c>
      <c r="B12074" t="inlineStr">
        <is>
          <t xml:space="preserve">Tata Flexi Cap Fund -Regular Plan-Growth</t>
        </is>
      </c>
      <c r="C12074" t="inlineStr">
        <is>
          <t xml:space="preserve">INF277K019K2</t>
        </is>
      </c>
    </row>
    <row r="12075">
      <c r="A12075" t="inlineStr">
        <is>
          <t xml:space="preserve">Tata Mutual Fund</t>
        </is>
      </c>
      <c r="B12075" t="inlineStr">
        <is>
          <t xml:space="preserve">TATA Flexi Cap Fund Direct Plan - Reinvestment of Income Distribution cum capital withdrawal option</t>
        </is>
      </c>
      <c r="C12075" t="inlineStr">
        <is>
          <t xml:space="preserve">INF277K016K8</t>
        </is>
      </c>
    </row>
    <row r="12076">
      <c r="A12076" t="inlineStr">
        <is>
          <t xml:space="preserve">Tata Mutual Fund</t>
        </is>
      </c>
      <c r="B12076" t="inlineStr">
        <is>
          <t xml:space="preserve">TATA Flexi Cap Fund Regular Plan - Payout of Income Distribution cum capital withdrawal option</t>
        </is>
      </c>
      <c r="C12076" t="inlineStr">
        <is>
          <t xml:space="preserve">INF277K011L7</t>
        </is>
      </c>
    </row>
    <row r="12077">
      <c r="A12077" t="inlineStr">
        <is>
          <t xml:space="preserve">Tata Mutual Fund</t>
        </is>
      </c>
      <c r="B12077" t="inlineStr">
        <is>
          <t xml:space="preserve">TATA Flexi Cap Fund Regular Plan - Reinvestment of Income Distribution cum capital withdrawal option</t>
        </is>
      </c>
      <c r="C12077" t="inlineStr">
        <is>
          <t xml:space="preserve">INF277K010L9</t>
        </is>
      </c>
    </row>
    <row r="12078">
      <c r="A12078" t="inlineStr">
        <is>
          <t xml:space="preserve">Tata Mutual Fund</t>
        </is>
      </c>
      <c r="B12078" t="inlineStr">
        <is>
          <t xml:space="preserve">Tata Flexi Cap Fund-Direct Plan-Growth</t>
        </is>
      </c>
      <c r="C12078" t="inlineStr">
        <is>
          <t xml:space="preserve">INF277K015K0</t>
        </is>
      </c>
    </row>
    <row r="12079">
      <c r="A12079" t="inlineStr">
        <is>
          <t xml:space="preserve">Tata Mutual Fund</t>
        </is>
      </c>
      <c r="B12079" t="inlineStr">
        <is>
          <t xml:space="preserve">Tata Floating Rate Fund -Direct Plan-Growth</t>
        </is>
      </c>
      <c r="C12079" t="inlineStr">
        <is>
          <t xml:space="preserve">INF277KA1026</t>
        </is>
      </c>
    </row>
    <row r="12080">
      <c r="A12080" t="inlineStr">
        <is>
          <t xml:space="preserve">Tata Mutual Fund</t>
        </is>
      </c>
      <c r="B12080" t="inlineStr">
        <is>
          <t xml:space="preserve">Tata Floating Rate Fund-Direct Plan-IDCW Monthly Dividend Reinvestment</t>
        </is>
      </c>
      <c r="C12080" t="inlineStr">
        <is>
          <t xml:space="preserve">INF277KA1075</t>
        </is>
      </c>
    </row>
    <row r="12081">
      <c r="A12081" t="inlineStr">
        <is>
          <t xml:space="preserve">Tata Mutual Fund</t>
        </is>
      </c>
      <c r="B12081" t="inlineStr">
        <is>
          <t xml:space="preserve">Tata Floating Rate Fund-Direct Plan-IDCW Monthly Payout</t>
        </is>
      </c>
      <c r="C12081" t="inlineStr">
        <is>
          <t xml:space="preserve">INF277KA1042</t>
        </is>
      </c>
    </row>
    <row r="12082">
      <c r="A12082" t="inlineStr">
        <is>
          <t xml:space="preserve">Tata Mutual Fund</t>
        </is>
      </c>
      <c r="B12082" t="inlineStr">
        <is>
          <t xml:space="preserve">Tata Floating Rate Fund-Direct Plan-IDCW Periodic Dividend Reinvestment</t>
        </is>
      </c>
      <c r="C12082" t="inlineStr">
        <is>
          <t xml:space="preserve">INF277KA1067</t>
        </is>
      </c>
    </row>
    <row r="12083">
      <c r="A12083" t="inlineStr">
        <is>
          <t xml:space="preserve">Tata Mutual Fund</t>
        </is>
      </c>
      <c r="B12083" t="inlineStr">
        <is>
          <t xml:space="preserve">Tata Floating Rate Fund-Direct Plan-IDCW Periodic Payout</t>
        </is>
      </c>
      <c r="C12083" t="inlineStr">
        <is>
          <t xml:space="preserve">INF277KA1034</t>
        </is>
      </c>
    </row>
    <row r="12084">
      <c r="A12084" t="inlineStr">
        <is>
          <t xml:space="preserve">Tata Mutual Fund</t>
        </is>
      </c>
      <c r="B12084" t="inlineStr">
        <is>
          <t xml:space="preserve">Tata Floating Rate Fund-Direct Plan-IDCW Quarterly Dividend Reinvestment</t>
        </is>
      </c>
      <c r="C12084" t="inlineStr">
        <is>
          <t xml:space="preserve">INF277KA1083</t>
        </is>
      </c>
    </row>
    <row r="12085">
      <c r="A12085" t="inlineStr">
        <is>
          <t xml:space="preserve">Tata Mutual Fund</t>
        </is>
      </c>
      <c r="B12085" t="inlineStr">
        <is>
          <t xml:space="preserve">Tata Floating Rate Fund-Direct Plan-IDCW Quarterly Payout</t>
        </is>
      </c>
      <c r="C12085" t="inlineStr">
        <is>
          <t xml:space="preserve">INF277KA1059</t>
        </is>
      </c>
    </row>
    <row r="12086">
      <c r="A12086" t="inlineStr">
        <is>
          <t xml:space="preserve">Tata Mutual Fund</t>
        </is>
      </c>
      <c r="B12086" t="inlineStr">
        <is>
          <t xml:space="preserve">Tata Floating Rate Fund-Regular Plan-Growth</t>
        </is>
      </c>
      <c r="C12086" t="inlineStr">
        <is>
          <t xml:space="preserve">INF277KA1091</t>
        </is>
      </c>
    </row>
    <row r="12087">
      <c r="A12087" t="inlineStr">
        <is>
          <t xml:space="preserve">Tata Mutual Fund</t>
        </is>
      </c>
      <c r="B12087" t="inlineStr">
        <is>
          <t xml:space="preserve">Tata Floating Rate Fund-Regular Plan-IDCW Monthly Dividend Reinvestment</t>
        </is>
      </c>
      <c r="C12087" t="inlineStr">
        <is>
          <t xml:space="preserve">INF277KA1141</t>
        </is>
      </c>
    </row>
    <row r="12088">
      <c r="A12088" t="inlineStr">
        <is>
          <t xml:space="preserve">Tata Mutual Fund</t>
        </is>
      </c>
      <c r="B12088" t="inlineStr">
        <is>
          <t xml:space="preserve">Tata Floating Rate Fund-Regular Plan-IDCW Monthly Payout</t>
        </is>
      </c>
      <c r="C12088" t="inlineStr">
        <is>
          <t xml:space="preserve">INF277KA1117</t>
        </is>
      </c>
    </row>
    <row r="12089">
      <c r="A12089" t="inlineStr">
        <is>
          <t xml:space="preserve">Tata Mutual Fund</t>
        </is>
      </c>
      <c r="B12089" t="inlineStr">
        <is>
          <t xml:space="preserve">Tata Floating Rate Fund-Regular Plan-IDCW Periodic Dividend Reinvestment</t>
        </is>
      </c>
      <c r="C12089" t="inlineStr">
        <is>
          <t xml:space="preserve">INF277KA1133</t>
        </is>
      </c>
    </row>
    <row r="12090">
      <c r="A12090" t="inlineStr">
        <is>
          <t xml:space="preserve">Tata Mutual Fund</t>
        </is>
      </c>
      <c r="B12090" t="inlineStr">
        <is>
          <t xml:space="preserve">Tata Floating Rate Fund-Regular Plan-IDCW Periodic Payout</t>
        </is>
      </c>
      <c r="C12090" t="inlineStr">
        <is>
          <t xml:space="preserve">INF277KA1109</t>
        </is>
      </c>
    </row>
    <row r="12091">
      <c r="A12091" t="inlineStr">
        <is>
          <t xml:space="preserve">Tata Mutual Fund</t>
        </is>
      </c>
      <c r="B12091" t="inlineStr">
        <is>
          <t xml:space="preserve">Tata Floating Rate Fund-Regular Plan-IDCW Quarterly Dividend Reinvestment</t>
        </is>
      </c>
      <c r="C12091" t="inlineStr">
        <is>
          <t xml:space="preserve">INF277KA1158</t>
        </is>
      </c>
    </row>
    <row r="12092">
      <c r="A12092" t="inlineStr">
        <is>
          <t xml:space="preserve">Tata Mutual Fund</t>
        </is>
      </c>
      <c r="B12092" t="inlineStr">
        <is>
          <t xml:space="preserve">Tata Floating Rate Fund-Regular Plan-IDCW Quarterly Payout</t>
        </is>
      </c>
      <c r="C12092" t="inlineStr">
        <is>
          <t xml:space="preserve">INF277KA1125</t>
        </is>
      </c>
    </row>
    <row r="12093">
      <c r="A12093" t="inlineStr">
        <is>
          <t xml:space="preserve">Tata Mutual Fund</t>
        </is>
      </c>
      <c r="B12093" t="inlineStr">
        <is>
          <t xml:space="preserve">TATA Focused Fund Direct Plan - Payout of Income Distribution cum capital withdrawal option</t>
        </is>
      </c>
      <c r="C12093" t="inlineStr">
        <is>
          <t xml:space="preserve">INF277K019X5</t>
        </is>
      </c>
    </row>
    <row r="12094">
      <c r="A12094" t="inlineStr">
        <is>
          <t xml:space="preserve">Tata Mutual Fund</t>
        </is>
      </c>
      <c r="B12094" t="inlineStr">
        <is>
          <t xml:space="preserve">TATA Focused Fund Direct Plan - Reinvestment of Income Distribution cum capital withdrawal option</t>
        </is>
      </c>
      <c r="C12094" t="inlineStr">
        <is>
          <t xml:space="preserve">INF277K018X7</t>
        </is>
      </c>
    </row>
    <row r="12095">
      <c r="A12095" t="inlineStr">
        <is>
          <t xml:space="preserve">Tata Mutual Fund</t>
        </is>
      </c>
      <c r="B12095" t="inlineStr">
        <is>
          <t xml:space="preserve">TATA Focused Fund Regular Plan - Payout of Income Distribution cum capital withdrawal option</t>
        </is>
      </c>
      <c r="C12095" t="inlineStr">
        <is>
          <t xml:space="preserve">INF277K012Y8</t>
        </is>
      </c>
    </row>
    <row r="12096">
      <c r="A12096" t="inlineStr">
        <is>
          <t xml:space="preserve">Tata Mutual Fund</t>
        </is>
      </c>
      <c r="B12096" t="inlineStr">
        <is>
          <t xml:space="preserve">TATA Focused Fund Regular Plan - Reinvestment of Income Distribution cum capital withdrawal option</t>
        </is>
      </c>
      <c r="C12096" t="inlineStr">
        <is>
          <t xml:space="preserve">INF277K011Y0</t>
        </is>
      </c>
    </row>
    <row r="12097">
      <c r="A12097" t="inlineStr">
        <is>
          <t xml:space="preserve">Tata Mutual Fund</t>
        </is>
      </c>
      <c r="B12097" t="inlineStr">
        <is>
          <t xml:space="preserve">Tata Focused Fund-Direct Plan-Growth</t>
        </is>
      </c>
      <c r="C12097" t="inlineStr">
        <is>
          <t xml:space="preserve">INF277K017X9</t>
        </is>
      </c>
    </row>
    <row r="12098">
      <c r="A12098" t="inlineStr">
        <is>
          <t xml:space="preserve">Tata Mutual Fund</t>
        </is>
      </c>
      <c r="B12098" t="inlineStr">
        <is>
          <t xml:space="preserve">Tata Focused Fund-Regular Plan-Growth</t>
        </is>
      </c>
      <c r="C12098" t="inlineStr">
        <is>
          <t xml:space="preserve">INF277K010Y2</t>
        </is>
      </c>
    </row>
    <row r="12099">
      <c r="A12099" t="inlineStr">
        <is>
          <t xml:space="preserve">Tata Mutual Fund</t>
        </is>
      </c>
      <c r="B12099" t="inlineStr">
        <is>
          <t xml:space="preserve">Tata Gilt Securities Fund - Direct Plan - Payout of IDCW Option</t>
        </is>
      </c>
      <c r="C12099" t="inlineStr">
        <is>
          <t xml:space="preserve">INF277K01OV1</t>
        </is>
      </c>
    </row>
    <row r="12100">
      <c r="A12100" t="inlineStr">
        <is>
          <t xml:space="preserve">Tata Mutual Fund</t>
        </is>
      </c>
      <c r="B12100" t="inlineStr">
        <is>
          <t xml:space="preserve">Tata Gilt Securities Fund - Regular Plan - Payout of IDCW Option</t>
        </is>
      </c>
      <c r="C12100" t="inlineStr">
        <is>
          <t xml:space="preserve">INF277K01DN1</t>
        </is>
      </c>
    </row>
    <row r="12101">
      <c r="A12101" t="inlineStr">
        <is>
          <t xml:space="preserve">Tata Mutual Fund</t>
        </is>
      </c>
      <c r="B12101" t="inlineStr">
        <is>
          <t xml:space="preserve">Tata Gilt Securities Fund -Regular Plan- Growth Option</t>
        </is>
      </c>
      <c r="C12101" t="inlineStr">
        <is>
          <t xml:space="preserve">INF277K01519</t>
        </is>
      </c>
    </row>
    <row r="12102">
      <c r="A12102" t="inlineStr">
        <is>
          <t xml:space="preserve">Tata Mutual Fund</t>
        </is>
      </c>
      <c r="B12102" t="inlineStr">
        <is>
          <t xml:space="preserve">Tata Gilt Securities Fund- Direct Plan - Growth Option</t>
        </is>
      </c>
      <c r="C12102" t="inlineStr">
        <is>
          <t xml:space="preserve">INF277K01OX7</t>
        </is>
      </c>
    </row>
    <row r="12103">
      <c r="A12103" t="inlineStr">
        <is>
          <t xml:space="preserve">Tata Mutual Fund</t>
        </is>
      </c>
      <c r="B12103" t="inlineStr">
        <is>
          <t xml:space="preserve">Tata Gold ETF Fund of Fund Direct Plan Growth Option</t>
        </is>
      </c>
      <c r="C12103" t="inlineStr">
        <is>
          <t xml:space="preserve">INF277KA1869</t>
        </is>
      </c>
    </row>
    <row r="12104">
      <c r="A12104" t="inlineStr">
        <is>
          <t xml:space="preserve">Tata Mutual Fund</t>
        </is>
      </c>
      <c r="B12104" t="inlineStr">
        <is>
          <t xml:space="preserve">Tata Gold ETF Fund of Fund Direct Plan IDCW Payout Option</t>
        </is>
      </c>
      <c r="C12104" t="inlineStr">
        <is>
          <t xml:space="preserve">INF277KA1885</t>
        </is>
      </c>
    </row>
    <row r="12105">
      <c r="A12105" t="inlineStr">
        <is>
          <t xml:space="preserve">Tata Mutual Fund</t>
        </is>
      </c>
      <c r="B12105" t="inlineStr">
        <is>
          <t xml:space="preserve">Tata Gold ETF Fund of Fund Direct Plan IDCW Reinvestment Option</t>
        </is>
      </c>
      <c r="C12105" t="inlineStr">
        <is>
          <t xml:space="preserve">INF277KA1877</t>
        </is>
      </c>
    </row>
    <row r="12106">
      <c r="A12106" t="inlineStr">
        <is>
          <t xml:space="preserve">Tata Mutual Fund</t>
        </is>
      </c>
      <c r="B12106" t="inlineStr">
        <is>
          <t xml:space="preserve">Tata Gold ETF Fund of Fund Regular Plan Growth Option</t>
        </is>
      </c>
      <c r="C12106" t="inlineStr">
        <is>
          <t xml:space="preserve">INF277KA1901</t>
        </is>
      </c>
    </row>
    <row r="12107">
      <c r="A12107" t="inlineStr">
        <is>
          <t xml:space="preserve">Tata Mutual Fund</t>
        </is>
      </c>
      <c r="B12107" t="inlineStr">
        <is>
          <t xml:space="preserve">Tata Gold ETF Fund of Fund Regular Plan IDCW Payout Option</t>
        </is>
      </c>
      <c r="C12107" t="inlineStr">
        <is>
          <t xml:space="preserve">INF277KA1851</t>
        </is>
      </c>
    </row>
    <row r="12108">
      <c r="A12108" t="inlineStr">
        <is>
          <t xml:space="preserve">Tata Mutual Fund</t>
        </is>
      </c>
      <c r="B12108" t="inlineStr">
        <is>
          <t xml:space="preserve">Tata Gold ETF Fund of Fund Regular Plan IDCW Reinvestment Option</t>
        </is>
      </c>
      <c r="C12108" t="inlineStr">
        <is>
          <t xml:space="preserve">INF277KA1919</t>
        </is>
      </c>
    </row>
    <row r="12109">
      <c r="A12109" t="inlineStr">
        <is>
          <t xml:space="preserve">Tata Mutual Fund</t>
        </is>
      </c>
      <c r="B12109" t="inlineStr">
        <is>
          <t xml:space="preserve">Tata Gold Exchange Traded Fund</t>
        </is>
      </c>
      <c r="C12109" t="inlineStr">
        <is>
          <t xml:space="preserve">INF277KA1976</t>
        </is>
      </c>
    </row>
    <row r="12110">
      <c r="A12110" t="inlineStr">
        <is>
          <t xml:space="preserve">Tata Mutual Fund</t>
        </is>
      </c>
      <c r="B12110" t="inlineStr">
        <is>
          <t xml:space="preserve">Tata Housing Opportunities Fund - Direct Plan - Growth</t>
        </is>
      </c>
      <c r="C12110" t="inlineStr">
        <is>
          <t xml:space="preserve">INF277KA1497</t>
        </is>
      </c>
    </row>
    <row r="12111">
      <c r="A12111" t="inlineStr">
        <is>
          <t xml:space="preserve">Tata Mutual Fund</t>
        </is>
      </c>
      <c r="B12111" t="inlineStr">
        <is>
          <t xml:space="preserve">Tata Housing Opportunities Fund - Direct Plan - IDCW Payout</t>
        </is>
      </c>
      <c r="C12111" t="inlineStr">
        <is>
          <t xml:space="preserve">INF277KA1513</t>
        </is>
      </c>
    </row>
    <row r="12112">
      <c r="A12112" t="inlineStr">
        <is>
          <t xml:space="preserve">Tata Mutual Fund</t>
        </is>
      </c>
      <c r="B12112" t="inlineStr">
        <is>
          <t xml:space="preserve">Tata Housing Opportunities Fund - Direct Plan - IDCW Reinvestment</t>
        </is>
      </c>
      <c r="C12112" t="inlineStr">
        <is>
          <t xml:space="preserve">INF277KA1505</t>
        </is>
      </c>
    </row>
    <row r="12113">
      <c r="A12113" t="inlineStr">
        <is>
          <t xml:space="preserve">Tata Mutual Fund</t>
        </is>
      </c>
      <c r="B12113" t="inlineStr">
        <is>
          <t xml:space="preserve">Tata Housing Opportunities Fund - Regular Plan - Growth</t>
        </is>
      </c>
      <c r="C12113" t="inlineStr">
        <is>
          <t xml:space="preserve">INF277KA1521</t>
        </is>
      </c>
    </row>
    <row r="12114">
      <c r="A12114" t="inlineStr">
        <is>
          <t xml:space="preserve">Tata Mutual Fund</t>
        </is>
      </c>
      <c r="B12114" t="inlineStr">
        <is>
          <t xml:space="preserve">Tata Housing Opportunities Fund - Regular Plan - IDCW Payout</t>
        </is>
      </c>
      <c r="C12114" t="inlineStr">
        <is>
          <t xml:space="preserve">INF277KA1547</t>
        </is>
      </c>
    </row>
    <row r="12115">
      <c r="A12115" t="inlineStr">
        <is>
          <t xml:space="preserve">Tata Mutual Fund</t>
        </is>
      </c>
      <c r="B12115" t="inlineStr">
        <is>
          <t xml:space="preserve">Tata Housing Opportunities Fund - Regular Plan - IDCW Reinvestment</t>
        </is>
      </c>
      <c r="C12115" t="inlineStr">
        <is>
          <t xml:space="preserve">INF277KA1539</t>
        </is>
      </c>
    </row>
    <row r="12116">
      <c r="A12116" t="inlineStr">
        <is>
          <t xml:space="preserve">Tata Mutual Fund</t>
        </is>
      </c>
      <c r="B12116" t="inlineStr">
        <is>
          <t xml:space="preserve">Tata Income Fund - Direct Plan - Growth Option</t>
        </is>
      </c>
      <c r="C12116" t="inlineStr">
        <is>
          <t xml:space="preserve">INF277K01OY5</t>
        </is>
      </c>
    </row>
    <row r="12117">
      <c r="A12117" t="inlineStr">
        <is>
          <t xml:space="preserve">Tata Mutual Fund</t>
        </is>
      </c>
      <c r="B12117" t="inlineStr">
        <is>
          <t xml:space="preserve">Tata Income Fund -Regular Plan - Growth Option</t>
        </is>
      </c>
      <c r="C12117" t="inlineStr">
        <is>
          <t xml:space="preserve">INF277K01659</t>
        </is>
      </c>
    </row>
    <row r="12118">
      <c r="A12118" t="inlineStr">
        <is>
          <t xml:space="preserve">Tata Mutual Fund</t>
        </is>
      </c>
      <c r="B12118" t="inlineStr">
        <is>
          <t xml:space="preserve">TATA Income Fund Direct Plan - Periodic Payout of Income Distribution cum capital withdrawal option</t>
        </is>
      </c>
      <c r="C12118" t="inlineStr">
        <is>
          <t xml:space="preserve">INF277K01PC8</t>
        </is>
      </c>
    </row>
    <row r="12119">
      <c r="A12119" t="inlineStr">
        <is>
          <t xml:space="preserve">Tata Mutual Fund</t>
        </is>
      </c>
      <c r="B12119" t="inlineStr">
        <is>
          <t xml:space="preserve">Tata Income Fund- Regular Plan - Periodic Payout of IDCW Option</t>
        </is>
      </c>
      <c r="C12119" t="inlineStr">
        <is>
          <t xml:space="preserve">INF277K01DT8</t>
        </is>
      </c>
    </row>
    <row r="12120">
      <c r="A12120" t="inlineStr">
        <is>
          <t xml:space="preserve">Tata Mutual Fund</t>
        </is>
      </c>
      <c r="B12120" t="inlineStr">
        <is>
          <t xml:space="preserve">TATA Income Fund-Direct Plan - Half Yearly Payout of IDCW Option</t>
        </is>
      </c>
      <c r="C12120" t="inlineStr">
        <is>
          <t xml:space="preserve">INF277K01PA2</t>
        </is>
      </c>
    </row>
    <row r="12121">
      <c r="A12121" t="inlineStr">
        <is>
          <t xml:space="preserve">Tata Mutual Fund</t>
        </is>
      </c>
      <c r="B12121" t="inlineStr">
        <is>
          <t xml:space="preserve">Tata Income Fund-Regular Plan - Half Yearly Payout of IDCW Option</t>
        </is>
      </c>
      <c r="C12121" t="inlineStr">
        <is>
          <t xml:space="preserve">INF277K01DU6</t>
        </is>
      </c>
    </row>
    <row r="12122">
      <c r="A12122" t="inlineStr">
        <is>
          <t xml:space="preserve">Tata Mutual Fund</t>
        </is>
      </c>
      <c r="B12122" t="inlineStr">
        <is>
          <t xml:space="preserve">Tata Income Plus Arbitrage Active FOF - Direct Plan Growth Option</t>
        </is>
      </c>
      <c r="C12122" t="inlineStr">
        <is>
          <t xml:space="preserve">INF277KA1DT2</t>
        </is>
      </c>
    </row>
    <row r="12123">
      <c r="A12123" t="inlineStr">
        <is>
          <t xml:space="preserve">Tata Mutual Fund</t>
        </is>
      </c>
      <c r="B12123" t="inlineStr">
        <is>
          <t xml:space="preserve">Tata Income Plus Arbitrage Active FOF - Direct Plan IDCW Payout Option</t>
        </is>
      </c>
      <c r="C12123" t="inlineStr">
        <is>
          <t xml:space="preserve">INF277KA1DV8</t>
        </is>
      </c>
    </row>
    <row r="12124">
      <c r="A12124" t="inlineStr">
        <is>
          <t xml:space="preserve">Tata Mutual Fund</t>
        </is>
      </c>
      <c r="B12124" t="inlineStr">
        <is>
          <t xml:space="preserve">Tata Income Plus Arbitrage Active FOF - Direct Plan IDCW Reinvestment Option</t>
        </is>
      </c>
      <c r="C12124" t="inlineStr">
        <is>
          <t xml:space="preserve">INF277KA1DU0</t>
        </is>
      </c>
    </row>
    <row r="12125">
      <c r="A12125" t="inlineStr">
        <is>
          <t xml:space="preserve">Tata Mutual Fund</t>
        </is>
      </c>
      <c r="B12125" t="inlineStr">
        <is>
          <t xml:space="preserve">Tata Income Plus Arbitrage Active FOF - Regular Plan Growth Option</t>
        </is>
      </c>
      <c r="C12125" t="inlineStr">
        <is>
          <t xml:space="preserve">INF277KA1DQ8</t>
        </is>
      </c>
    </row>
    <row r="12126">
      <c r="A12126" t="inlineStr">
        <is>
          <t xml:space="preserve">Tata Mutual Fund</t>
        </is>
      </c>
      <c r="B12126" t="inlineStr">
        <is>
          <t xml:space="preserve">Tata Income Plus Arbitrage Active FOF - Regular Plan IDCW Payout Option</t>
        </is>
      </c>
      <c r="C12126" t="inlineStr">
        <is>
          <t xml:space="preserve">INF277KA1DS4</t>
        </is>
      </c>
    </row>
    <row r="12127">
      <c r="A12127" t="inlineStr">
        <is>
          <t xml:space="preserve">Tata Mutual Fund</t>
        </is>
      </c>
      <c r="B12127" t="inlineStr">
        <is>
          <t xml:space="preserve">Tata Income Plus Arbitrage Active FOF - Regular Plan IDCW Reinvestment Option</t>
        </is>
      </c>
      <c r="C12127" t="inlineStr">
        <is>
          <t xml:space="preserve">INF277KA1DR6</t>
        </is>
      </c>
    </row>
    <row r="12128">
      <c r="A12128" t="inlineStr">
        <is>
          <t xml:space="preserve">Tata Mutual Fund</t>
        </is>
      </c>
      <c r="B12128" t="inlineStr">
        <is>
          <t xml:space="preserve">TATA India Consumer Fund Direct Plan - Payout of Income Distribution cum capital withdrawal option</t>
        </is>
      </c>
      <c r="C12128" t="inlineStr">
        <is>
          <t xml:space="preserve">INF277K014A4</t>
        </is>
      </c>
    </row>
    <row r="12129">
      <c r="A12129" t="inlineStr">
        <is>
          <t xml:space="preserve">Tata Mutual Fund</t>
        </is>
      </c>
      <c r="B12129" t="inlineStr">
        <is>
          <t xml:space="preserve">TATA India Consumer Fund Direct Plan - Reinvestment of Income Distribution cum capital withdrawal option</t>
        </is>
      </c>
      <c r="C12129" t="inlineStr">
        <is>
          <t xml:space="preserve">INF277K015A1</t>
        </is>
      </c>
    </row>
    <row r="12130">
      <c r="A12130" t="inlineStr">
        <is>
          <t xml:space="preserve">Tata Mutual Fund</t>
        </is>
      </c>
      <c r="B12130" t="inlineStr">
        <is>
          <t xml:space="preserve">TATA India Consumer Fund Regular Plan - Payout of Income Distribution cum capital withdrawal option</t>
        </is>
      </c>
      <c r="C12130" t="inlineStr">
        <is>
          <t xml:space="preserve">INF277K011A0</t>
        </is>
      </c>
    </row>
    <row r="12131">
      <c r="A12131" t="inlineStr">
        <is>
          <t xml:space="preserve">Tata Mutual Fund</t>
        </is>
      </c>
      <c r="B12131" t="inlineStr">
        <is>
          <t xml:space="preserve">TATA India Consumer Fund Regular Plan - Reinvestment of Income Distribution cum capital withdrawal option</t>
        </is>
      </c>
      <c r="C12131" t="inlineStr">
        <is>
          <t xml:space="preserve">INF277K012A8</t>
        </is>
      </c>
    </row>
    <row r="12132">
      <c r="A12132" t="inlineStr">
        <is>
          <t xml:space="preserve">Tata Mutual Fund</t>
        </is>
      </c>
      <c r="B12132" t="inlineStr">
        <is>
          <t xml:space="preserve">Tata India Consumer Fund-Direct Plan-Growth</t>
        </is>
      </c>
      <c r="C12132" t="inlineStr">
        <is>
          <t xml:space="preserve">INF277K013A6</t>
        </is>
      </c>
    </row>
    <row r="12133">
      <c r="A12133" t="inlineStr">
        <is>
          <t xml:space="preserve">Tata Mutual Fund</t>
        </is>
      </c>
      <c r="B12133" t="inlineStr">
        <is>
          <t xml:space="preserve">Tata India Consumer Fund-Regular Plan-Growth</t>
        </is>
      </c>
      <c r="C12133" t="inlineStr">
        <is>
          <t xml:space="preserve">INF277K010A2</t>
        </is>
      </c>
    </row>
    <row r="12134">
      <c r="A12134" t="inlineStr">
        <is>
          <t xml:space="preserve">Tata Mutual Fund</t>
        </is>
      </c>
      <c r="B12134" t="inlineStr">
        <is>
          <t xml:space="preserve">Tata India Innovation Fund- Direct Growth</t>
        </is>
      </c>
      <c r="C12134" t="inlineStr">
        <is>
          <t xml:space="preserve">INF277KA1CU2</t>
        </is>
      </c>
    </row>
    <row r="12135">
      <c r="A12135" t="inlineStr">
        <is>
          <t xml:space="preserve">Tata Mutual Fund</t>
        </is>
      </c>
      <c r="B12135" t="inlineStr">
        <is>
          <t xml:space="preserve">Tata India Innovation Fund- Direct IDCW payout</t>
        </is>
      </c>
      <c r="C12135" t="inlineStr">
        <is>
          <t xml:space="preserve">INF277KA1CW8</t>
        </is>
      </c>
    </row>
    <row r="12136">
      <c r="A12136" t="inlineStr">
        <is>
          <t xml:space="preserve">Tata Mutual Fund</t>
        </is>
      </c>
      <c r="B12136" t="inlineStr">
        <is>
          <t xml:space="preserve">Tata India Innovation Fund- Direct IDCW Reinvestment</t>
        </is>
      </c>
      <c r="C12136" t="inlineStr">
        <is>
          <t xml:space="preserve">INF277KA1CV0</t>
        </is>
      </c>
    </row>
    <row r="12137">
      <c r="A12137" t="inlineStr">
        <is>
          <t xml:space="preserve">Tata Mutual Fund</t>
        </is>
      </c>
      <c r="B12137" t="inlineStr">
        <is>
          <t xml:space="preserve">Tata India Innovation Fund- Regular Growth</t>
        </is>
      </c>
      <c r="C12137" t="inlineStr">
        <is>
          <t xml:space="preserve">INF277KA1CR8</t>
        </is>
      </c>
    </row>
    <row r="12138">
      <c r="A12138" t="inlineStr">
        <is>
          <t xml:space="preserve">Tata Mutual Fund</t>
        </is>
      </c>
      <c r="B12138" t="inlineStr">
        <is>
          <t xml:space="preserve">Tata India Innovation Fund- Regular IDCW payout</t>
        </is>
      </c>
      <c r="C12138" t="inlineStr">
        <is>
          <t xml:space="preserve">INF277KA1CT4</t>
        </is>
      </c>
    </row>
    <row r="12139">
      <c r="A12139" t="inlineStr">
        <is>
          <t xml:space="preserve">Tata Mutual Fund</t>
        </is>
      </c>
      <c r="B12139" t="inlineStr">
        <is>
          <t xml:space="preserve">Tata India Innovation Fund- Regular IDCW Reinvestment</t>
        </is>
      </c>
      <c r="C12139" t="inlineStr">
        <is>
          <t xml:space="preserve">INF277KA1CS6</t>
        </is>
      </c>
    </row>
    <row r="12140">
      <c r="A12140" t="inlineStr">
        <is>
          <t xml:space="preserve">Tata Mutual Fund</t>
        </is>
      </c>
      <c r="B12140" t="inlineStr">
        <is>
          <t xml:space="preserve">TATA India Pharma &amp; Health Care Fund Direct Plan - Payout of Income Distribution cum capital withdrawal option</t>
        </is>
      </c>
      <c r="C12140" t="inlineStr">
        <is>
          <t xml:space="preserve">INF277K010B0</t>
        </is>
      </c>
    </row>
    <row r="12141">
      <c r="A12141" t="inlineStr">
        <is>
          <t xml:space="preserve">Tata Mutual Fund</t>
        </is>
      </c>
      <c r="B12141" t="inlineStr">
        <is>
          <t xml:space="preserve">TATA India Pharma &amp; Health Care Fund Regular Plan - Payout of Income Distribution cum capital withdrawal option</t>
        </is>
      </c>
      <c r="C12141" t="inlineStr">
        <is>
          <t xml:space="preserve">INF277K017A7</t>
        </is>
      </c>
    </row>
    <row r="12142">
      <c r="A12142" t="inlineStr">
        <is>
          <t xml:space="preserve">Tata Mutual Fund</t>
        </is>
      </c>
      <c r="B12142" t="inlineStr">
        <is>
          <t xml:space="preserve">TATA India Pharma &amp; Healthcare Fund Direct Plan - Reinvestment of Income Distribution cum capital withdrawal option</t>
        </is>
      </c>
      <c r="C12142" t="inlineStr">
        <is>
          <t xml:space="preserve">INF277K011B8</t>
        </is>
      </c>
    </row>
    <row r="12143">
      <c r="A12143" t="inlineStr">
        <is>
          <t xml:space="preserve">Tata Mutual Fund</t>
        </is>
      </c>
      <c r="B12143" t="inlineStr">
        <is>
          <t xml:space="preserve">TATA India Pharma &amp; Healthcare Fund Regular Plan - Reinvestment of Income Distribution cum capital withdrawal option</t>
        </is>
      </c>
      <c r="C12143" t="inlineStr">
        <is>
          <t xml:space="preserve">INF277K018A5</t>
        </is>
      </c>
    </row>
    <row r="12144">
      <c r="A12144" t="inlineStr">
        <is>
          <t xml:space="preserve">Tata Mutual Fund</t>
        </is>
      </c>
      <c r="B12144" t="inlineStr">
        <is>
          <t xml:space="preserve">Tata India Pharma &amp; Healthcare Fund-Direct Plan-Growth</t>
        </is>
      </c>
      <c r="C12144" t="inlineStr">
        <is>
          <t xml:space="preserve">INF277K019A3</t>
        </is>
      </c>
    </row>
    <row r="12145">
      <c r="A12145" t="inlineStr">
        <is>
          <t xml:space="preserve">Tata Mutual Fund</t>
        </is>
      </c>
      <c r="B12145" t="inlineStr">
        <is>
          <t xml:space="preserve">Tata India Pharma &amp; Healthcare Fund-Regular Plan-Growth</t>
        </is>
      </c>
      <c r="C12145" t="inlineStr">
        <is>
          <t xml:space="preserve">INF277K016A9</t>
        </is>
      </c>
    </row>
    <row r="12146">
      <c r="A12146" t="inlineStr">
        <is>
          <t xml:space="preserve">Tata Mutual Fund</t>
        </is>
      </c>
      <c r="B12146" t="inlineStr">
        <is>
          <t xml:space="preserve">Tata Infrastructure Fund -Direct Plan -Growth Option</t>
        </is>
      </c>
      <c r="C12146" t="inlineStr">
        <is>
          <t xml:space="preserve">INF277K01PQ8</t>
        </is>
      </c>
    </row>
    <row r="12147">
      <c r="A12147" t="inlineStr">
        <is>
          <t xml:space="preserve">Tata Mutual Fund</t>
        </is>
      </c>
      <c r="B12147" t="inlineStr">
        <is>
          <t xml:space="preserve">TATA Infrastructure Fund Regular Plan - Payout of IDCW Option</t>
        </is>
      </c>
      <c r="C12147" t="inlineStr">
        <is>
          <t xml:space="preserve">INF277K01DY8</t>
        </is>
      </c>
    </row>
    <row r="12148">
      <c r="A12148" t="inlineStr">
        <is>
          <t xml:space="preserve">Tata Mutual Fund</t>
        </is>
      </c>
      <c r="B12148" t="inlineStr">
        <is>
          <t xml:space="preserve">Tata Infrastructure Fund- Direct Plan - Payout of IDCW Option</t>
        </is>
      </c>
      <c r="C12148" t="inlineStr">
        <is>
          <t xml:space="preserve">INF277K01PO3</t>
        </is>
      </c>
    </row>
    <row r="12149">
      <c r="A12149" t="inlineStr">
        <is>
          <t xml:space="preserve">Tata Mutual Fund</t>
        </is>
      </c>
      <c r="B12149" t="inlineStr">
        <is>
          <t xml:space="preserve">Tata Infrastructure Fund-Regular Plan- Growth Option</t>
        </is>
      </c>
      <c r="C12149" t="inlineStr">
        <is>
          <t xml:space="preserve">INF277K01782</t>
        </is>
      </c>
    </row>
    <row r="12150">
      <c r="A12150" t="inlineStr">
        <is>
          <t xml:space="preserve">Tata Mutual Fund</t>
        </is>
      </c>
      <c r="B12150" t="inlineStr">
        <is>
          <t xml:space="preserve">Tata Large &amp; MId Cap Fund -Direct Plan- Growth Option</t>
        </is>
      </c>
      <c r="C12150" t="inlineStr">
        <is>
          <t xml:space="preserve">INF277K01MK8</t>
        </is>
      </c>
    </row>
    <row r="12151">
      <c r="A12151" t="inlineStr">
        <is>
          <t xml:space="preserve">Tata Mutual Fund</t>
        </is>
      </c>
      <c r="B12151" t="inlineStr">
        <is>
          <t xml:space="preserve">Tata Large &amp; Mid Cap Fund Direct Plan - Payout of IDCW Option</t>
        </is>
      </c>
      <c r="C12151" t="inlineStr">
        <is>
          <t xml:space="preserve">INF277K01MI2</t>
        </is>
      </c>
    </row>
    <row r="12152">
      <c r="A12152" t="inlineStr">
        <is>
          <t xml:space="preserve">Tata Mutual Fund</t>
        </is>
      </c>
      <c r="B12152" t="inlineStr">
        <is>
          <t xml:space="preserve">Tata Large &amp; Mid Cap Fund Regular Plan - Payout of IDCW Option</t>
        </is>
      </c>
      <c r="C12152" t="inlineStr">
        <is>
          <t xml:space="preserve">INF277K01DH3</t>
        </is>
      </c>
    </row>
    <row r="12153">
      <c r="A12153" t="inlineStr">
        <is>
          <t xml:space="preserve">Tata Mutual Fund</t>
        </is>
      </c>
      <c r="B12153" t="inlineStr">
        <is>
          <t xml:space="preserve">Tata Large &amp; Mid Cap Fund- Regular Plan - Growth Option</t>
        </is>
      </c>
      <c r="C12153" t="inlineStr">
        <is>
          <t xml:space="preserve">INF277K01428</t>
        </is>
      </c>
    </row>
    <row r="12154">
      <c r="A12154" t="inlineStr">
        <is>
          <t xml:space="preserve">Tata Mutual Fund</t>
        </is>
      </c>
      <c r="B12154" t="inlineStr">
        <is>
          <t xml:space="preserve">Tata Large Cap Fund -Direct Plan Growth Option</t>
        </is>
      </c>
      <c r="C12154" t="inlineStr">
        <is>
          <t xml:space="preserve">INF277K01QZ7</t>
        </is>
      </c>
    </row>
    <row r="12155">
      <c r="A12155" t="inlineStr">
        <is>
          <t xml:space="preserve">Tata Mutual Fund</t>
        </is>
      </c>
      <c r="B12155" t="inlineStr">
        <is>
          <t xml:space="preserve">Tata Large Cap Fund -Regular Plan - Growth Option</t>
        </is>
      </c>
      <c r="C12155" t="inlineStr">
        <is>
          <t xml:space="preserve">INF277K01931</t>
        </is>
      </c>
    </row>
    <row r="12156">
      <c r="A12156" t="inlineStr">
        <is>
          <t xml:space="preserve">Tata Mutual Fund</t>
        </is>
      </c>
      <c r="B12156" t="inlineStr">
        <is>
          <t xml:space="preserve">Tata Large Cap Fund- Direct Plan - Payout of IDCW Option</t>
        </is>
      </c>
      <c r="C12156" t="inlineStr">
        <is>
          <t xml:space="preserve">INF277K01QX2</t>
        </is>
      </c>
    </row>
    <row r="12157">
      <c r="A12157" t="inlineStr">
        <is>
          <t xml:space="preserve">Tata Mutual Fund</t>
        </is>
      </c>
      <c r="B12157" t="inlineStr">
        <is>
          <t xml:space="preserve">Tata Large Cap Fund- Regular Plan - Payout of IDCW Option</t>
        </is>
      </c>
      <c r="C12157" t="inlineStr">
        <is>
          <t xml:space="preserve">INF277K01EG3</t>
        </is>
      </c>
    </row>
    <row r="12158">
      <c r="A12158" t="inlineStr">
        <is>
          <t xml:space="preserve">Tata Mutual Fund</t>
        </is>
      </c>
      <c r="B12158" t="inlineStr">
        <is>
          <t xml:space="preserve">Tata Liquid Fund - Direct Plan - Weekly IDCW Reinvestment</t>
        </is>
      </c>
      <c r="C12158" t="inlineStr">
        <is>
          <t xml:space="preserve">INF277KA1EE2</t>
        </is>
      </c>
    </row>
    <row r="12159">
      <c r="A12159" t="inlineStr">
        <is>
          <t xml:space="preserve">Tata Mutual Fund</t>
        </is>
      </c>
      <c r="B12159" t="inlineStr">
        <is>
          <t xml:space="preserve">Tata Liquid Fund - Regular Plan - Weekly IDCW Reinvestment</t>
        </is>
      </c>
      <c r="C12159" t="inlineStr">
        <is>
          <t xml:space="preserve">INF277KA1EF9</t>
        </is>
      </c>
    </row>
    <row r="12160">
      <c r="A12160" t="inlineStr">
        <is>
          <t xml:space="preserve">Tata Mutual Fund</t>
        </is>
      </c>
      <c r="B12160" t="inlineStr">
        <is>
          <t xml:space="preserve">Tata Liquid Fund -Regular Plan - Growth Option</t>
        </is>
      </c>
      <c r="C12160" t="inlineStr">
        <is>
          <t xml:space="preserve">INF277K01YD8</t>
        </is>
      </c>
    </row>
    <row r="12161">
      <c r="A12161" t="inlineStr">
        <is>
          <t xml:space="preserve">Tata Mutual Fund</t>
        </is>
      </c>
      <c r="B12161" t="inlineStr">
        <is>
          <t xml:space="preserve">Tata Liquid Fund- Direct Plan - Daily Reinvestment of IDCW Option</t>
        </is>
      </c>
      <c r="C12161" t="inlineStr">
        <is>
          <t xml:space="preserve">INF277K012D2</t>
        </is>
      </c>
    </row>
    <row r="12162">
      <c r="A12162" t="inlineStr">
        <is>
          <t xml:space="preserve">Tata Mutual Fund</t>
        </is>
      </c>
      <c r="B12162" t="inlineStr">
        <is>
          <t xml:space="preserve">Tata Liquid Fund- Direct Plan-Growth Option</t>
        </is>
      </c>
      <c r="C12162" t="inlineStr">
        <is>
          <t xml:space="preserve">INF277K01YE6</t>
        </is>
      </c>
    </row>
    <row r="12163">
      <c r="A12163" t="inlineStr">
        <is>
          <t xml:space="preserve">Tata Mutual Fund</t>
        </is>
      </c>
      <c r="B12163" t="inlineStr">
        <is>
          <t xml:space="preserve">Tata Liquid Fund- Regular Plan - Daily Reinvestment of IDCW Option</t>
        </is>
      </c>
      <c r="C12163" t="inlineStr">
        <is>
          <t xml:space="preserve">INF277K011D4</t>
        </is>
      </c>
    </row>
    <row r="12164">
      <c r="A12164" t="inlineStr">
        <is>
          <t xml:space="preserve">Tata Mutual Fund</t>
        </is>
      </c>
      <c r="B12164" t="inlineStr">
        <is>
          <t xml:space="preserve">Tata Medium Term Fund -Regular Plan - Growth Option</t>
        </is>
      </c>
      <c r="C12164" t="inlineStr">
        <is>
          <t xml:space="preserve">INF277K01717</t>
        </is>
      </c>
    </row>
    <row r="12165">
      <c r="A12165" t="inlineStr">
        <is>
          <t xml:space="preserve">Tata Mutual Fund</t>
        </is>
      </c>
      <c r="B12165" t="inlineStr">
        <is>
          <t xml:space="preserve">Tata Medium Term Fund- Direct Plan - Payout of IDCW Option</t>
        </is>
      </c>
      <c r="C12165" t="inlineStr">
        <is>
          <t xml:space="preserve">INF277K01PG9</t>
        </is>
      </c>
    </row>
    <row r="12166">
      <c r="A12166" t="inlineStr">
        <is>
          <t xml:space="preserve">Tata Mutual Fund</t>
        </is>
      </c>
      <c r="B12166" t="inlineStr">
        <is>
          <t xml:space="preserve">Tata Medium Term Fund- Direct Plan- Growth Option</t>
        </is>
      </c>
      <c r="C12166" t="inlineStr">
        <is>
          <t xml:space="preserve">INF277K01PI5</t>
        </is>
      </c>
    </row>
    <row r="12167">
      <c r="A12167" t="inlineStr">
        <is>
          <t xml:space="preserve">Tata Mutual Fund</t>
        </is>
      </c>
      <c r="B12167" t="inlineStr">
        <is>
          <t xml:space="preserve">Tata Medium Term Fund- Regular Plan - Payout of IDCW option</t>
        </is>
      </c>
      <c r="C12167" t="inlineStr">
        <is>
          <t xml:space="preserve">INF277K01DW2</t>
        </is>
      </c>
    </row>
    <row r="12168">
      <c r="A12168" t="inlineStr">
        <is>
          <t xml:space="preserve">Tata Mutual Fund</t>
        </is>
      </c>
      <c r="B12168" t="inlineStr">
        <is>
          <t xml:space="preserve">Tata Mid Cap Fund - Direct Plan- Growth Option</t>
        </is>
      </c>
      <c r="C12168" t="inlineStr">
        <is>
          <t xml:space="preserve">INF277K01PY2</t>
        </is>
      </c>
    </row>
    <row r="12169">
      <c r="A12169" t="inlineStr">
        <is>
          <t xml:space="preserve">Tata Mutual Fund</t>
        </is>
      </c>
      <c r="B12169" t="inlineStr">
        <is>
          <t xml:space="preserve">Tata Mid Cap Fund - Direct Plan- IDCW Option</t>
        </is>
      </c>
      <c r="C12169" t="inlineStr">
        <is>
          <t xml:space="preserve">INF277K01PW6</t>
        </is>
      </c>
    </row>
    <row r="12170">
      <c r="A12170" t="inlineStr">
        <is>
          <t xml:space="preserve">Tata Mutual Fund</t>
        </is>
      </c>
      <c r="B12170" t="inlineStr">
        <is>
          <t xml:space="preserve">Tata Mid Cap Fund Regular Plan- Growth Option</t>
        </is>
      </c>
      <c r="C12170" t="inlineStr">
        <is>
          <t xml:space="preserve">INF277K01626</t>
        </is>
      </c>
    </row>
    <row r="12171">
      <c r="A12171" t="inlineStr">
        <is>
          <t xml:space="preserve">Tata Mutual Fund</t>
        </is>
      </c>
      <c r="B12171" t="inlineStr">
        <is>
          <t xml:space="preserve">Tata Mid Cap Fund-Regular Plan - IDCW Option</t>
        </is>
      </c>
      <c r="C12171" t="inlineStr">
        <is>
          <t xml:space="preserve">INF277K01DS0</t>
        </is>
      </c>
    </row>
    <row r="12172">
      <c r="A12172" t="inlineStr">
        <is>
          <t xml:space="preserve">Tata Mutual Fund</t>
        </is>
      </c>
      <c r="B12172" t="inlineStr">
        <is>
          <t xml:space="preserve">Tata Money Market Fund- Direct Plan - Daily Reinvestment of IDCW Option</t>
        </is>
      </c>
      <c r="C12172" t="inlineStr">
        <is>
          <t xml:space="preserve">INF277K011C6</t>
        </is>
      </c>
    </row>
    <row r="12173">
      <c r="A12173" t="inlineStr">
        <is>
          <t xml:space="preserve">Tata Mutual Fund</t>
        </is>
      </c>
      <c r="B12173" t="inlineStr">
        <is>
          <t xml:space="preserve">Tata Money Market Fund- Direct Plan- Growth Option</t>
        </is>
      </c>
      <c r="C12173" t="inlineStr">
        <is>
          <t xml:space="preserve">INF277K01PR6</t>
        </is>
      </c>
    </row>
    <row r="12174">
      <c r="A12174" t="inlineStr">
        <is>
          <t xml:space="preserve">Tata Mutual Fund</t>
        </is>
      </c>
      <c r="B12174" t="inlineStr">
        <is>
          <t xml:space="preserve">Tata Money Market Fund- Regular Plan - Daily Reinvestment of IDCW Option</t>
        </is>
      </c>
      <c r="C12174" t="inlineStr">
        <is>
          <t xml:space="preserve">INF277K014C0</t>
        </is>
      </c>
    </row>
    <row r="12175">
      <c r="A12175" t="inlineStr">
        <is>
          <t xml:space="preserve">Tata Mutual Fund</t>
        </is>
      </c>
      <c r="B12175" t="inlineStr">
        <is>
          <t xml:space="preserve">Tata Money Market Fund-Regular Plan - Growth Option</t>
        </is>
      </c>
      <c r="C12175" t="inlineStr">
        <is>
          <t xml:space="preserve">INF277K01LQ7</t>
        </is>
      </c>
    </row>
    <row r="12176">
      <c r="A12176" t="inlineStr">
        <is>
          <t xml:space="preserve">Tata Mutual Fund</t>
        </is>
      </c>
      <c r="B12176" t="inlineStr">
        <is>
          <t xml:space="preserve">Tata Multi Asset Allocation Fund-Direct Plan-Dividend Payout</t>
        </is>
      </c>
      <c r="C12176" t="inlineStr">
        <is>
          <t xml:space="preserve">INF277K011Z7</t>
        </is>
      </c>
    </row>
    <row r="12177">
      <c r="A12177" t="inlineStr">
        <is>
          <t xml:space="preserve">Tata Mutual Fund</t>
        </is>
      </c>
      <c r="B12177" t="inlineStr">
        <is>
          <t xml:space="preserve">Tata Multi Asset Allocation Fund-Direct Plan-Dividend Reinvestment</t>
        </is>
      </c>
      <c r="C12177" t="inlineStr">
        <is>
          <t xml:space="preserve">INF277K010Z9</t>
        </is>
      </c>
    </row>
    <row r="12178">
      <c r="A12178" t="inlineStr">
        <is>
          <t xml:space="preserve">Tata Mutual Fund</t>
        </is>
      </c>
      <c r="B12178" t="inlineStr">
        <is>
          <t xml:space="preserve">Tata Multi Asset Allocation Fund-Direct Plan-Growth</t>
        </is>
      </c>
      <c r="C12178" t="inlineStr">
        <is>
          <t xml:space="preserve">INF277K019Y3</t>
        </is>
      </c>
    </row>
    <row r="12179">
      <c r="A12179" t="inlineStr">
        <is>
          <t xml:space="preserve">Tata Mutual Fund</t>
        </is>
      </c>
      <c r="B12179" t="inlineStr">
        <is>
          <t xml:space="preserve">Tata Multi Asset Allocation Fund-Regular Plan-Dividend Payout</t>
        </is>
      </c>
      <c r="C12179" t="inlineStr">
        <is>
          <t xml:space="preserve">INF277K014Z1</t>
        </is>
      </c>
    </row>
    <row r="12180">
      <c r="A12180" t="inlineStr">
        <is>
          <t xml:space="preserve">Tata Mutual Fund</t>
        </is>
      </c>
      <c r="B12180" t="inlineStr">
        <is>
          <t xml:space="preserve">Tata Multi Asset Allocation Fund-Regular Plan-Dividend Reinvestment</t>
        </is>
      </c>
      <c r="C12180" t="inlineStr">
        <is>
          <t xml:space="preserve">INF277K013Z3</t>
        </is>
      </c>
    </row>
    <row r="12181">
      <c r="A12181" t="inlineStr">
        <is>
          <t xml:space="preserve">Tata Mutual Fund</t>
        </is>
      </c>
      <c r="B12181" t="inlineStr">
        <is>
          <t xml:space="preserve">Tata Multi Asset Allocation Fund-Regular Plan-Growth</t>
        </is>
      </c>
      <c r="C12181" t="inlineStr">
        <is>
          <t xml:space="preserve">INF277K012Z5</t>
        </is>
      </c>
    </row>
    <row r="12182">
      <c r="A12182" t="inlineStr">
        <is>
          <t xml:space="preserve">Tata Mutual Fund</t>
        </is>
      </c>
      <c r="B12182" t="inlineStr">
        <is>
          <t xml:space="preserve">Tata Multicap Fund - Direct Plan - Growth</t>
        </is>
      </c>
      <c r="C12182" t="inlineStr">
        <is>
          <t xml:space="preserve">INF277KA1679</t>
        </is>
      </c>
    </row>
    <row r="12183">
      <c r="A12183" t="inlineStr">
        <is>
          <t xml:space="preserve">Tata Mutual Fund</t>
        </is>
      </c>
      <c r="B12183" t="inlineStr">
        <is>
          <t xml:space="preserve">Tata Multicap Fund - Direct Plan - IDCW Payout</t>
        </is>
      </c>
      <c r="C12183" t="inlineStr">
        <is>
          <t xml:space="preserve">INF277KA1695</t>
        </is>
      </c>
    </row>
    <row r="12184">
      <c r="A12184" t="inlineStr">
        <is>
          <t xml:space="preserve">Tata Mutual Fund</t>
        </is>
      </c>
      <c r="B12184" t="inlineStr">
        <is>
          <t xml:space="preserve">Tata Multicap Fund - Direct Plan - IDCW Reinvestment</t>
        </is>
      </c>
      <c r="C12184" t="inlineStr">
        <is>
          <t xml:space="preserve">INF277KA1687</t>
        </is>
      </c>
    </row>
    <row r="12185">
      <c r="A12185" t="inlineStr">
        <is>
          <t xml:space="preserve">Tata Mutual Fund</t>
        </is>
      </c>
      <c r="B12185" t="inlineStr">
        <is>
          <t xml:space="preserve">Tata Multicap Fund - Regular Plan - Growth</t>
        </is>
      </c>
      <c r="C12185" t="inlineStr">
        <is>
          <t xml:space="preserve">INF277KA1703</t>
        </is>
      </c>
    </row>
    <row r="12186">
      <c r="A12186" t="inlineStr">
        <is>
          <t xml:space="preserve">Tata Mutual Fund</t>
        </is>
      </c>
      <c r="B12186" t="inlineStr">
        <is>
          <t xml:space="preserve">Tata Multicap Fund - Regular Plan - IDCW Payout</t>
        </is>
      </c>
      <c r="C12186" t="inlineStr">
        <is>
          <t xml:space="preserve">INF277KA1729</t>
        </is>
      </c>
    </row>
    <row r="12187">
      <c r="A12187" t="inlineStr">
        <is>
          <t xml:space="preserve">Tata Mutual Fund</t>
        </is>
      </c>
      <c r="B12187" t="inlineStr">
        <is>
          <t xml:space="preserve">Tata Multicap Fund - Regular Plan - IDCW Reinvestment</t>
        </is>
      </c>
      <c r="C12187" t="inlineStr">
        <is>
          <t xml:space="preserve">INF277KA1711</t>
        </is>
      </c>
    </row>
    <row r="12188">
      <c r="A12188" t="inlineStr">
        <is>
          <t xml:space="preserve">Tata Mutual Fund</t>
        </is>
      </c>
      <c r="B12188" t="inlineStr">
        <is>
          <t xml:space="preserve">Tata Nifty 50 Exchange Traded Fund</t>
        </is>
      </c>
      <c r="C12188" t="inlineStr">
        <is>
          <t xml:space="preserve">INF277K015R5</t>
        </is>
      </c>
    </row>
    <row r="12189">
      <c r="A12189" t="inlineStr">
        <is>
          <t xml:space="preserve">Tata Mutual Fund</t>
        </is>
      </c>
      <c r="B12189" t="inlineStr">
        <is>
          <t xml:space="preserve">Tata Nifty 50 Index Fund -Direct Plan</t>
        </is>
      </c>
      <c r="C12189" t="inlineStr">
        <is>
          <t xml:space="preserve">INF277K01PJ3</t>
        </is>
      </c>
    </row>
    <row r="12190">
      <c r="A12190" t="inlineStr">
        <is>
          <t xml:space="preserve">Tata Mutual Fund</t>
        </is>
      </c>
      <c r="B12190" t="inlineStr">
        <is>
          <t xml:space="preserve">Tata Nifty 50 Index Fund -Regular Plan</t>
        </is>
      </c>
      <c r="C12190" t="inlineStr">
        <is>
          <t xml:space="preserve">INF277K01741</t>
        </is>
      </c>
    </row>
    <row r="12191">
      <c r="A12191" t="inlineStr">
        <is>
          <t xml:space="preserve">Tata Mutual Fund</t>
        </is>
      </c>
      <c r="B12191" t="inlineStr">
        <is>
          <t xml:space="preserve">Tata Nifty Auto Index Fund - Direct Plan - Growth</t>
        </is>
      </c>
      <c r="C12191" t="inlineStr">
        <is>
          <t xml:space="preserve">INF277KA1AU6</t>
        </is>
      </c>
    </row>
    <row r="12192">
      <c r="A12192" t="inlineStr">
        <is>
          <t xml:space="preserve">Tata Mutual Fund</t>
        </is>
      </c>
      <c r="B12192" t="inlineStr">
        <is>
          <t xml:space="preserve">Tata Nifty Auto Index Fund - Direct Plan - IDCW payout</t>
        </is>
      </c>
      <c r="C12192" t="inlineStr">
        <is>
          <t xml:space="preserve">INF277KA1AV4</t>
        </is>
      </c>
    </row>
    <row r="12193">
      <c r="A12193" t="inlineStr">
        <is>
          <t xml:space="preserve">Tata Mutual Fund</t>
        </is>
      </c>
      <c r="B12193" t="inlineStr">
        <is>
          <t xml:space="preserve">Tata Nifty Auto Index Fund - Direct Plan - IDCW Reinvestment</t>
        </is>
      </c>
      <c r="C12193" t="inlineStr">
        <is>
          <t xml:space="preserve">INF277KA1AW2</t>
        </is>
      </c>
    </row>
    <row r="12194">
      <c r="A12194" t="inlineStr">
        <is>
          <t xml:space="preserve">Tata Mutual Fund</t>
        </is>
      </c>
      <c r="B12194" t="inlineStr">
        <is>
          <t xml:space="preserve">Tata Nifty Auto Index Fund - Regular Plan - Growth</t>
        </is>
      </c>
      <c r="C12194" t="inlineStr">
        <is>
          <t xml:space="preserve">INF277KA1AR2</t>
        </is>
      </c>
    </row>
    <row r="12195">
      <c r="A12195" t="inlineStr">
        <is>
          <t xml:space="preserve">Tata Mutual Fund</t>
        </is>
      </c>
      <c r="B12195" t="inlineStr">
        <is>
          <t xml:space="preserve">Tata Nifty Auto Index Fund - Regular Plan - IDCW Payout</t>
        </is>
      </c>
      <c r="C12195" t="inlineStr">
        <is>
          <t xml:space="preserve">INF277KA1AS0</t>
        </is>
      </c>
    </row>
    <row r="12196">
      <c r="A12196" t="inlineStr">
        <is>
          <t xml:space="preserve">Tata Mutual Fund</t>
        </is>
      </c>
      <c r="B12196" t="inlineStr">
        <is>
          <t xml:space="preserve">Tata Nifty Auto Index Fund - Regular Plan - IDCW Reinvestment</t>
        </is>
      </c>
      <c r="C12196" t="inlineStr">
        <is>
          <t xml:space="preserve">INF277KA1AT8</t>
        </is>
      </c>
    </row>
    <row r="12197">
      <c r="A12197" t="inlineStr">
        <is>
          <t xml:space="preserve">Tata Mutual Fund</t>
        </is>
      </c>
      <c r="B12197" t="inlineStr">
        <is>
          <t xml:space="preserve">Tata Nifty Capital Markets Index Fund - Direct Plan Growth Option</t>
        </is>
      </c>
      <c r="C12197" t="inlineStr">
        <is>
          <t xml:space="preserve">INF277KA1CO5</t>
        </is>
      </c>
    </row>
    <row r="12198">
      <c r="A12198" t="inlineStr">
        <is>
          <t xml:space="preserve">Tata Mutual Fund</t>
        </is>
      </c>
      <c r="B12198" t="inlineStr">
        <is>
          <t xml:space="preserve">Tata Nifty Capital Markets Index Fund - Direct Plan IDCW Payout Option</t>
        </is>
      </c>
      <c r="C12198" t="inlineStr">
        <is>
          <t xml:space="preserve">INF277KA1CQ0</t>
        </is>
      </c>
    </row>
    <row r="12199">
      <c r="A12199" t="inlineStr">
        <is>
          <t xml:space="preserve">Tata Mutual Fund</t>
        </is>
      </c>
      <c r="B12199" t="inlineStr">
        <is>
          <t xml:space="preserve">Tata Nifty Capital Markets Index Fund - Direct Plan IDCW Reinvestment Option</t>
        </is>
      </c>
      <c r="C12199" t="inlineStr">
        <is>
          <t xml:space="preserve">INF277KA1CP2</t>
        </is>
      </c>
    </row>
    <row r="12200">
      <c r="A12200" t="inlineStr">
        <is>
          <t xml:space="preserve">Tata Mutual Fund</t>
        </is>
      </c>
      <c r="B12200" t="inlineStr">
        <is>
          <t xml:space="preserve">Tata Nifty Capital Markets Index Fund - Regular Plan Growth Option</t>
        </is>
      </c>
      <c r="C12200" t="inlineStr">
        <is>
          <t xml:space="preserve">INF277KA1CL1</t>
        </is>
      </c>
    </row>
    <row r="12201">
      <c r="A12201" t="inlineStr">
        <is>
          <t xml:space="preserve">Tata Mutual Fund</t>
        </is>
      </c>
      <c r="B12201" t="inlineStr">
        <is>
          <t xml:space="preserve">Tata Nifty Capital Markets Index Fund - Regular Plan IDCW Payout Option</t>
        </is>
      </c>
      <c r="C12201" t="inlineStr">
        <is>
          <t xml:space="preserve">INF277KA1CN7</t>
        </is>
      </c>
    </row>
    <row r="12202">
      <c r="A12202" t="inlineStr">
        <is>
          <t xml:space="preserve">Tata Mutual Fund</t>
        </is>
      </c>
      <c r="B12202" t="inlineStr">
        <is>
          <t xml:space="preserve">Tata Nifty Capital Markets Index Fund - Regular Plan IDCW Reinvestment Option</t>
        </is>
      </c>
      <c r="C12202" t="inlineStr">
        <is>
          <t xml:space="preserve">INF277KA1CM9</t>
        </is>
      </c>
    </row>
    <row r="12203">
      <c r="A12203" t="inlineStr">
        <is>
          <t xml:space="preserve">Tata Mutual Fund</t>
        </is>
      </c>
      <c r="B12203" t="inlineStr">
        <is>
          <t xml:space="preserve">Tata Nifty Financial Services Index Fund - Direct Plan - Growth</t>
        </is>
      </c>
      <c r="C12203" t="inlineStr">
        <is>
          <t xml:space="preserve">INF277KA1BA6</t>
        </is>
      </c>
    </row>
    <row r="12204">
      <c r="A12204" t="inlineStr">
        <is>
          <t xml:space="preserve">Tata Mutual Fund</t>
        </is>
      </c>
      <c r="B12204" t="inlineStr">
        <is>
          <t xml:space="preserve">Tata Nifty Financial Services Index Fund - Direct Plan - IDCW Payout</t>
        </is>
      </c>
      <c r="C12204" t="inlineStr">
        <is>
          <t xml:space="preserve">INF277KA1BB4</t>
        </is>
      </c>
    </row>
    <row r="12205">
      <c r="A12205" t="inlineStr">
        <is>
          <t xml:space="preserve">Tata Mutual Fund</t>
        </is>
      </c>
      <c r="B12205" t="inlineStr">
        <is>
          <t xml:space="preserve">Tata Nifty Financial Services Index Fund - Direct Plan - IDCW Reinvestment</t>
        </is>
      </c>
      <c r="C12205" t="inlineStr">
        <is>
          <t xml:space="preserve">INF277KA1BC2</t>
        </is>
      </c>
    </row>
    <row r="12206">
      <c r="A12206" t="inlineStr">
        <is>
          <t xml:space="preserve">Tata Mutual Fund</t>
        </is>
      </c>
      <c r="B12206" t="inlineStr">
        <is>
          <t xml:space="preserve">Tata Nifty Financial Services Index Fund - Regular Plan - Growth</t>
        </is>
      </c>
      <c r="C12206" t="inlineStr">
        <is>
          <t xml:space="preserve">INF277KA1AX0</t>
        </is>
      </c>
    </row>
    <row r="12207">
      <c r="A12207" t="inlineStr">
        <is>
          <t xml:space="preserve">Tata Mutual Fund</t>
        </is>
      </c>
      <c r="B12207" t="inlineStr">
        <is>
          <t xml:space="preserve">Tata Nifty Financial Services Index Fund - Regular Plan - IDCW Payout</t>
        </is>
      </c>
      <c r="C12207" t="inlineStr">
        <is>
          <t xml:space="preserve">INF277KA1AY8</t>
        </is>
      </c>
    </row>
    <row r="12208">
      <c r="A12208" t="inlineStr">
        <is>
          <t xml:space="preserve">Tata Mutual Fund</t>
        </is>
      </c>
      <c r="B12208" t="inlineStr">
        <is>
          <t xml:space="preserve">Tata Nifty Financial Services Index Fund - Regular Plan - IDCW Reinvestment</t>
        </is>
      </c>
      <c r="C12208" t="inlineStr">
        <is>
          <t xml:space="preserve">INF277KA1AZ5</t>
        </is>
      </c>
    </row>
    <row r="12209">
      <c r="A12209" t="inlineStr">
        <is>
          <t xml:space="preserve">Tata Mutual Fund</t>
        </is>
      </c>
      <c r="B12209" t="inlineStr">
        <is>
          <t xml:space="preserve">Tata Nifty G Sec Dec 2026 Index Fund-Direct Plan-Growth</t>
        </is>
      </c>
      <c r="C12209" t="inlineStr">
        <is>
          <t xml:space="preserve">INF277KA1794</t>
        </is>
      </c>
    </row>
    <row r="12210">
      <c r="A12210" t="inlineStr">
        <is>
          <t xml:space="preserve">Tata Mutual Fund</t>
        </is>
      </c>
      <c r="B12210" t="inlineStr">
        <is>
          <t xml:space="preserve">Tata Nifty G Sec Dec 2026 Index Fund-Direct Plan-IDCW Payout</t>
        </is>
      </c>
      <c r="C12210" t="inlineStr">
        <is>
          <t xml:space="preserve">INF277KA1810</t>
        </is>
      </c>
    </row>
    <row r="12211">
      <c r="A12211" t="inlineStr">
        <is>
          <t xml:space="preserve">Tata Mutual Fund</t>
        </is>
      </c>
      <c r="B12211" t="inlineStr">
        <is>
          <t xml:space="preserve">Tata Nifty G Sec Dec 2026 Index Fund-Direct Plan-IDCW Reinvestment</t>
        </is>
      </c>
      <c r="C12211" t="inlineStr">
        <is>
          <t xml:space="preserve">INF277KA1802</t>
        </is>
      </c>
    </row>
    <row r="12212">
      <c r="A12212" t="inlineStr">
        <is>
          <t xml:space="preserve">Tata Mutual Fund</t>
        </is>
      </c>
      <c r="B12212" t="inlineStr">
        <is>
          <t xml:space="preserve">Tata Nifty G Sec Dec 2026 Index Fund-Regular Plan-Growth</t>
        </is>
      </c>
      <c r="C12212" t="inlineStr">
        <is>
          <t xml:space="preserve">INF277KA1828</t>
        </is>
      </c>
    </row>
    <row r="12213">
      <c r="A12213" t="inlineStr">
        <is>
          <t xml:space="preserve">Tata Mutual Fund</t>
        </is>
      </c>
      <c r="B12213" t="inlineStr">
        <is>
          <t xml:space="preserve">Tata Nifty G Sec Dec 2026 Index Fund-Regular Plan-IDCW Payout</t>
        </is>
      </c>
      <c r="C12213" t="inlineStr">
        <is>
          <t xml:space="preserve">INF277KA1844</t>
        </is>
      </c>
    </row>
    <row r="12214">
      <c r="A12214" t="inlineStr">
        <is>
          <t xml:space="preserve">Tata Mutual Fund</t>
        </is>
      </c>
      <c r="B12214" t="inlineStr">
        <is>
          <t xml:space="preserve">Tata Nifty G SEc Dec 2026 Index Fund-Regular Plan-IDCW Reinvestment</t>
        </is>
      </c>
      <c r="C12214" t="inlineStr">
        <is>
          <t xml:space="preserve">INF277KA1836</t>
        </is>
      </c>
    </row>
    <row r="12215">
      <c r="A12215" t="inlineStr">
        <is>
          <t xml:space="preserve">Tata Mutual Fund</t>
        </is>
      </c>
      <c r="B12215" t="inlineStr">
        <is>
          <t xml:space="preserve">Tata Nifty G-Sec Dec 2029 Index Fund - Direct Plan - Growth</t>
        </is>
      </c>
      <c r="C12215" t="inlineStr">
        <is>
          <t xml:space="preserve">INF277KA1737</t>
        </is>
      </c>
    </row>
    <row r="12216">
      <c r="A12216" t="inlineStr">
        <is>
          <t xml:space="preserve">Tata Mutual Fund</t>
        </is>
      </c>
      <c r="B12216" t="inlineStr">
        <is>
          <t xml:space="preserve">Tata Nifty G-Sec Dec 2029 Index Fund - Direct Plan - IDCW Payout</t>
        </is>
      </c>
      <c r="C12216" t="inlineStr">
        <is>
          <t xml:space="preserve">INF277KA1752</t>
        </is>
      </c>
    </row>
    <row r="12217">
      <c r="A12217" t="inlineStr">
        <is>
          <t xml:space="preserve">Tata Mutual Fund</t>
        </is>
      </c>
      <c r="B12217" t="inlineStr">
        <is>
          <t xml:space="preserve">Tata Nifty G-Sec Dec 2029 Index Fund - Direct Plan - IDCW Reinvestment</t>
        </is>
      </c>
      <c r="C12217" t="inlineStr">
        <is>
          <t xml:space="preserve">INF277KA1745</t>
        </is>
      </c>
    </row>
    <row r="12218">
      <c r="A12218" t="inlineStr">
        <is>
          <t xml:space="preserve">Tata Mutual Fund</t>
        </is>
      </c>
      <c r="B12218" t="inlineStr">
        <is>
          <t xml:space="preserve">Tata Nifty G-Sec Dec 2029 Index Fund - Regular Plan - Growth</t>
        </is>
      </c>
      <c r="C12218" t="inlineStr">
        <is>
          <t xml:space="preserve">INF277KA1760</t>
        </is>
      </c>
    </row>
    <row r="12219">
      <c r="A12219" t="inlineStr">
        <is>
          <t xml:space="preserve">Tata Mutual Fund</t>
        </is>
      </c>
      <c r="B12219" t="inlineStr">
        <is>
          <t xml:space="preserve">Tata Nifty G-Sec Dec 2029 Index Fund - Regular Plan - IDCW Payout</t>
        </is>
      </c>
      <c r="C12219" t="inlineStr">
        <is>
          <t xml:space="preserve">INF277KA1786</t>
        </is>
      </c>
    </row>
    <row r="12220">
      <c r="A12220" t="inlineStr">
        <is>
          <t xml:space="preserve">Tata Mutual Fund</t>
        </is>
      </c>
      <c r="B12220" t="inlineStr">
        <is>
          <t xml:space="preserve">Tata Nifty G-Sec Dec 2029 Index Fund - Regular Plan - IDCW Reinvestment</t>
        </is>
      </c>
      <c r="C12220" t="inlineStr">
        <is>
          <t xml:space="preserve">INF277KA1778</t>
        </is>
      </c>
    </row>
    <row r="12221">
      <c r="A12221" t="inlineStr">
        <is>
          <t xml:space="preserve">Tata Mutual Fund</t>
        </is>
      </c>
      <c r="B12221" t="inlineStr">
        <is>
          <t xml:space="preserve">Tata Nifty India Digital ETF Fund of Fund -Regular Plan-Growth</t>
        </is>
      </c>
      <c r="C12221" t="inlineStr">
        <is>
          <t xml:space="preserve">INF277KA1463</t>
        </is>
      </c>
    </row>
    <row r="12222">
      <c r="A12222" t="inlineStr">
        <is>
          <t xml:space="preserve">Tata Mutual Fund</t>
        </is>
      </c>
      <c r="B12222" t="inlineStr">
        <is>
          <t xml:space="preserve">Tata Nifty India Digital ETF Fund of Fund-Direct Plan- IDCW Reinvestment</t>
        </is>
      </c>
      <c r="C12222" t="inlineStr">
        <is>
          <t xml:space="preserve">INF277KA1455</t>
        </is>
      </c>
    </row>
    <row r="12223">
      <c r="A12223" t="inlineStr">
        <is>
          <t xml:space="preserve">Tata Mutual Fund</t>
        </is>
      </c>
      <c r="B12223" t="inlineStr">
        <is>
          <t xml:space="preserve">Tata Nifty India Digital ETF Fund of Fund-Direct Plan-Growth</t>
        </is>
      </c>
      <c r="C12223" t="inlineStr">
        <is>
          <t xml:space="preserve">INF277KA1430</t>
        </is>
      </c>
    </row>
    <row r="12224">
      <c r="A12224" t="inlineStr">
        <is>
          <t xml:space="preserve">Tata Mutual Fund</t>
        </is>
      </c>
      <c r="B12224" t="inlineStr">
        <is>
          <t xml:space="preserve">Tata Nifty India Digital ETF Fund of Fund-Direct Plan-IDCW Payout</t>
        </is>
      </c>
      <c r="C12224" t="inlineStr">
        <is>
          <t xml:space="preserve">INF277KA1448</t>
        </is>
      </c>
    </row>
    <row r="12225">
      <c r="A12225" t="inlineStr">
        <is>
          <t xml:space="preserve">Tata Mutual Fund</t>
        </is>
      </c>
      <c r="B12225" t="inlineStr">
        <is>
          <t xml:space="preserve">Tata Nifty India Digital ETF Fund of Fund-Regular Plan-IDCW Payout</t>
        </is>
      </c>
      <c r="C12225" t="inlineStr">
        <is>
          <t xml:space="preserve">INF277KA1471</t>
        </is>
      </c>
    </row>
    <row r="12226">
      <c r="A12226" t="inlineStr">
        <is>
          <t xml:space="preserve">Tata Mutual Fund</t>
        </is>
      </c>
      <c r="B12226" t="inlineStr">
        <is>
          <t xml:space="preserve">Tata Nifty India Digital ETF Fund of Fund-Regular Plan-IDCW Reinvestment</t>
        </is>
      </c>
      <c r="C12226" t="inlineStr">
        <is>
          <t xml:space="preserve">INF277KA1489</t>
        </is>
      </c>
    </row>
    <row r="12227">
      <c r="A12227" t="inlineStr">
        <is>
          <t xml:space="preserve">Tata Mutual Fund</t>
        </is>
      </c>
      <c r="B12227" t="inlineStr">
        <is>
          <t xml:space="preserve">Tata Nifty India Digital Exchange Traded Fund</t>
        </is>
      </c>
      <c r="C12227" t="inlineStr">
        <is>
          <t xml:space="preserve">INF277KA1364</t>
        </is>
      </c>
    </row>
    <row r="12228">
      <c r="A12228" t="inlineStr">
        <is>
          <t xml:space="preserve">Tata Mutual Fund</t>
        </is>
      </c>
      <c r="B12228" t="inlineStr">
        <is>
          <t xml:space="preserve">Tata Nifty India Tourism Index Fund - Direct - Growth</t>
        </is>
      </c>
      <c r="C12228" t="inlineStr">
        <is>
          <t xml:space="preserve">INF277KA1CC0</t>
        </is>
      </c>
    </row>
    <row r="12229">
      <c r="A12229" t="inlineStr">
        <is>
          <t xml:space="preserve">Tata Mutual Fund</t>
        </is>
      </c>
      <c r="B12229" t="inlineStr">
        <is>
          <t xml:space="preserve">Tata Nifty India Tourism Index Fund - Direct - IDCW Payout</t>
        </is>
      </c>
      <c r="C12229" t="inlineStr">
        <is>
          <t xml:space="preserve">INF277KA1CD8</t>
        </is>
      </c>
    </row>
    <row r="12230">
      <c r="A12230" t="inlineStr">
        <is>
          <t xml:space="preserve">Tata Mutual Fund</t>
        </is>
      </c>
      <c r="B12230" t="inlineStr">
        <is>
          <t xml:space="preserve">Tata Nifty India Tourism Index Fund - Direct - IDCW Reinvestment</t>
        </is>
      </c>
      <c r="C12230" t="inlineStr">
        <is>
          <t xml:space="preserve">INF277KA1CE6</t>
        </is>
      </c>
    </row>
    <row r="12231">
      <c r="A12231" t="inlineStr">
        <is>
          <t xml:space="preserve">Tata Mutual Fund</t>
        </is>
      </c>
      <c r="B12231" t="inlineStr">
        <is>
          <t xml:space="preserve">Tata Nifty India Tourism Index Fund - Regular - Growth</t>
        </is>
      </c>
      <c r="C12231" t="inlineStr">
        <is>
          <t xml:space="preserve">INF277KA1BZ3</t>
        </is>
      </c>
    </row>
    <row r="12232">
      <c r="A12232" t="inlineStr">
        <is>
          <t xml:space="preserve">Tata Mutual Fund</t>
        </is>
      </c>
      <c r="B12232" t="inlineStr">
        <is>
          <t xml:space="preserve">Tata Nifty India Tourism Index Fund - Regular - IDCW Payout</t>
        </is>
      </c>
      <c r="C12232" t="inlineStr">
        <is>
          <t xml:space="preserve">INF277KA1CA4</t>
        </is>
      </c>
    </row>
    <row r="12233">
      <c r="A12233" t="inlineStr">
        <is>
          <t xml:space="preserve">Tata Mutual Fund</t>
        </is>
      </c>
      <c r="B12233" t="inlineStr">
        <is>
          <t xml:space="preserve">Tata Nifty India Tourism Index Fund - Regular - IDCW Reinvestment</t>
        </is>
      </c>
      <c r="C12233" t="inlineStr">
        <is>
          <t xml:space="preserve">INF277KA1CB2</t>
        </is>
      </c>
    </row>
    <row r="12234">
      <c r="A12234" t="inlineStr">
        <is>
          <t xml:space="preserve">Tata Mutual Fund</t>
        </is>
      </c>
      <c r="B12234" t="inlineStr">
        <is>
          <t xml:space="preserve">Tata Nifty Midcap 150 Index Fund - Direct Plan - Growth Option</t>
        </is>
      </c>
      <c r="C12234" t="inlineStr">
        <is>
          <t xml:space="preserve">INF277KA1DZ9</t>
        </is>
      </c>
    </row>
    <row r="12235">
      <c r="A12235" t="inlineStr">
        <is>
          <t xml:space="preserve">Tata Mutual Fund</t>
        </is>
      </c>
      <c r="B12235" t="inlineStr">
        <is>
          <t xml:space="preserve">Tata Nifty Midcap 150 Index Fund - Direct Plan - IDCW Payout Option</t>
        </is>
      </c>
      <c r="C12235" t="inlineStr">
        <is>
          <t xml:space="preserve">INF277KA1EB8</t>
        </is>
      </c>
    </row>
    <row r="12236">
      <c r="A12236" t="inlineStr">
        <is>
          <t xml:space="preserve">Tata Mutual Fund</t>
        </is>
      </c>
      <c r="B12236" t="inlineStr">
        <is>
          <t xml:space="preserve">Tata Nifty Midcap 150 Index Fund - Direct Plan - IDCW Reinvestment Option</t>
        </is>
      </c>
      <c r="C12236" t="inlineStr">
        <is>
          <t xml:space="preserve">INF277KA1EA0</t>
        </is>
      </c>
    </row>
    <row r="12237">
      <c r="A12237" t="inlineStr">
        <is>
          <t xml:space="preserve">Tata Mutual Fund</t>
        </is>
      </c>
      <c r="B12237" t="inlineStr">
        <is>
          <t xml:space="preserve">Tata Nifty Midcap 150 Index Fund - Regular Plan - Growth Option</t>
        </is>
      </c>
      <c r="C12237" t="inlineStr">
        <is>
          <t xml:space="preserve">INF277KA1DW6</t>
        </is>
      </c>
    </row>
    <row r="12238">
      <c r="A12238" t="inlineStr">
        <is>
          <t xml:space="preserve">Tata Mutual Fund</t>
        </is>
      </c>
      <c r="B12238" t="inlineStr">
        <is>
          <t xml:space="preserve">Tata Nifty Midcap 150 Index Fund - Regular Plan - IDCW Payout Option</t>
        </is>
      </c>
      <c r="C12238" t="inlineStr">
        <is>
          <t xml:space="preserve">INF277KA1DY2</t>
        </is>
      </c>
    </row>
    <row r="12239">
      <c r="A12239" t="inlineStr">
        <is>
          <t xml:space="preserve">Tata Mutual Fund</t>
        </is>
      </c>
      <c r="B12239" t="inlineStr">
        <is>
          <t xml:space="preserve">Tata Nifty Midcap 150 Index Fund - Regular Plan - IDCW Reinvestment Option</t>
        </is>
      </c>
      <c r="C12239" t="inlineStr">
        <is>
          <t xml:space="preserve">INF277KA1DX4</t>
        </is>
      </c>
    </row>
    <row r="12240">
      <c r="A12240" t="inlineStr">
        <is>
          <t xml:space="preserve">Tata Mutual Fund</t>
        </is>
      </c>
      <c r="B12240" t="inlineStr">
        <is>
          <t xml:space="preserve">Tata Nifty Midcap 150 Momentum 50 Index Fund - Growth - Direct Plan</t>
        </is>
      </c>
      <c r="C12240" t="inlineStr">
        <is>
          <t xml:space="preserve">INF277KA1612</t>
        </is>
      </c>
    </row>
    <row r="12241">
      <c r="A12241" t="inlineStr">
        <is>
          <t xml:space="preserve">Tata Mutual Fund</t>
        </is>
      </c>
      <c r="B12241" t="inlineStr">
        <is>
          <t xml:space="preserve">Tata Nifty Midcap 150 Momentum 50 Index Fund - Growth - Regular Plan</t>
        </is>
      </c>
      <c r="C12241" t="inlineStr">
        <is>
          <t xml:space="preserve">INF277KA1646</t>
        </is>
      </c>
    </row>
    <row r="12242">
      <c r="A12242" t="inlineStr">
        <is>
          <t xml:space="preserve">Tata Mutual Fund</t>
        </is>
      </c>
      <c r="B12242" t="inlineStr">
        <is>
          <t xml:space="preserve">Tata Nifty Midcap 150 Momentum 50 Index Fund - IDCW Payout - Direct Plan</t>
        </is>
      </c>
      <c r="C12242" t="inlineStr">
        <is>
          <t xml:space="preserve">INF277KA1638</t>
        </is>
      </c>
    </row>
    <row r="12243">
      <c r="A12243" t="inlineStr">
        <is>
          <t xml:space="preserve">Tata Mutual Fund</t>
        </is>
      </c>
      <c r="B12243" t="inlineStr">
        <is>
          <t xml:space="preserve">Tata Nifty Midcap 150 Momentum 50 Index Fund - IDCW Payout - Regular Plan</t>
        </is>
      </c>
      <c r="C12243" t="inlineStr">
        <is>
          <t xml:space="preserve">INF277KA1661</t>
        </is>
      </c>
    </row>
    <row r="12244">
      <c r="A12244" t="inlineStr">
        <is>
          <t xml:space="preserve">Tata Mutual Fund</t>
        </is>
      </c>
      <c r="B12244" t="inlineStr">
        <is>
          <t xml:space="preserve">Tata Nifty Midcap 150 Momentum 50 Index Fund - IDCW Reinvestment - Direct Plan</t>
        </is>
      </c>
      <c r="C12244" t="inlineStr">
        <is>
          <t xml:space="preserve">INF277KA1620</t>
        </is>
      </c>
    </row>
    <row r="12245">
      <c r="A12245" t="inlineStr">
        <is>
          <t xml:space="preserve">Tata Mutual Fund</t>
        </is>
      </c>
      <c r="B12245" t="inlineStr">
        <is>
          <t xml:space="preserve">Tata Nifty Midcap 150 Momentum 50 Index Fund - IDCW Reinvestment - Regular Plan</t>
        </is>
      </c>
      <c r="C12245" t="inlineStr">
        <is>
          <t xml:space="preserve">INF277KA1653</t>
        </is>
      </c>
    </row>
    <row r="12246">
      <c r="A12246" t="inlineStr">
        <is>
          <t xml:space="preserve">Tata Mutual Fund</t>
        </is>
      </c>
      <c r="B12246" t="inlineStr">
        <is>
          <t xml:space="preserve">Tata Nifty MidSmall Healthcare Index Fund - Direct Plan - Growth</t>
        </is>
      </c>
      <c r="C12246" t="inlineStr">
        <is>
          <t xml:space="preserve">INF277KA1BG3</t>
        </is>
      </c>
    </row>
    <row r="12247">
      <c r="A12247" t="inlineStr">
        <is>
          <t xml:space="preserve">Tata Mutual Fund</t>
        </is>
      </c>
      <c r="B12247" t="inlineStr">
        <is>
          <t xml:space="preserve">Tata Nifty MidSmall Healthcare Index Fund - Direct Plan - IDCW Payout</t>
        </is>
      </c>
      <c r="C12247" t="inlineStr">
        <is>
          <t xml:space="preserve">INF277KA1BH1</t>
        </is>
      </c>
    </row>
    <row r="12248">
      <c r="A12248" t="inlineStr">
        <is>
          <t xml:space="preserve">Tata Mutual Fund</t>
        </is>
      </c>
      <c r="B12248" t="inlineStr">
        <is>
          <t xml:space="preserve">Tata Nifty MidSmall Healthcare Index Fund - Direct Plan - IDCW Reinvestment</t>
        </is>
      </c>
      <c r="C12248" t="inlineStr">
        <is>
          <t xml:space="preserve">INF277KA1BI9</t>
        </is>
      </c>
    </row>
    <row r="12249">
      <c r="A12249" t="inlineStr">
        <is>
          <t xml:space="preserve">Tata Mutual Fund</t>
        </is>
      </c>
      <c r="B12249" t="inlineStr">
        <is>
          <t xml:space="preserve">Tata Nifty MidSmall Healthcare Index Fund - Regular Plan - Growth</t>
        </is>
      </c>
      <c r="C12249" t="inlineStr">
        <is>
          <t xml:space="preserve">INF277KA1BD0</t>
        </is>
      </c>
    </row>
    <row r="12250">
      <c r="A12250" t="inlineStr">
        <is>
          <t xml:space="preserve">Tata Mutual Fund</t>
        </is>
      </c>
      <c r="B12250" t="inlineStr">
        <is>
          <t xml:space="preserve">Tata Nifty MidSmall Healthcare Index Fund - Regular Plan - IDCW Payout</t>
        </is>
      </c>
      <c r="C12250" t="inlineStr">
        <is>
          <t xml:space="preserve">INF277KA1BE8</t>
        </is>
      </c>
    </row>
    <row r="12251">
      <c r="A12251" t="inlineStr">
        <is>
          <t xml:space="preserve">Tata Mutual Fund</t>
        </is>
      </c>
      <c r="B12251" t="inlineStr">
        <is>
          <t xml:space="preserve">Tata Nifty MidSmall Healthcare Index Fund - Regular Plan - IDCW Reinvestment</t>
        </is>
      </c>
      <c r="C12251" t="inlineStr">
        <is>
          <t xml:space="preserve">INF277KA1BF5</t>
        </is>
      </c>
    </row>
    <row r="12252">
      <c r="A12252" t="inlineStr">
        <is>
          <t xml:space="preserve">Tata Mutual Fund</t>
        </is>
      </c>
      <c r="B12252" t="inlineStr">
        <is>
          <t xml:space="preserve">Tata Nifty Next 50 Index Fund - Direct Plan Growth Option</t>
        </is>
      </c>
      <c r="C12252" t="inlineStr">
        <is>
          <t xml:space="preserve">INF277KA1EJ1</t>
        </is>
      </c>
    </row>
    <row r="12253">
      <c r="A12253" t="inlineStr">
        <is>
          <t xml:space="preserve">Tata Mutual Fund</t>
        </is>
      </c>
      <c r="B12253" t="inlineStr">
        <is>
          <t xml:space="preserve">Tata Nifty Next 50 Index Fund - Direct Plan IDCW Payout Option</t>
        </is>
      </c>
      <c r="C12253" t="inlineStr">
        <is>
          <t xml:space="preserve">INF277KA1EL7</t>
        </is>
      </c>
    </row>
    <row r="12254">
      <c r="A12254" t="inlineStr">
        <is>
          <t xml:space="preserve">Tata Mutual Fund</t>
        </is>
      </c>
      <c r="B12254" t="inlineStr">
        <is>
          <t xml:space="preserve">Tata Nifty Next 50 Index Fund - Direct Plan IDCW Reinvestment Option</t>
        </is>
      </c>
      <c r="C12254" t="inlineStr">
        <is>
          <t xml:space="preserve">INF277KA1EK9</t>
        </is>
      </c>
    </row>
    <row r="12255">
      <c r="A12255" t="inlineStr">
        <is>
          <t xml:space="preserve">Tata Mutual Fund</t>
        </is>
      </c>
      <c r="B12255" t="inlineStr">
        <is>
          <t xml:space="preserve">Tata Nifty Next 50 Index Fund - Regular Plan Growth Option</t>
        </is>
      </c>
      <c r="C12255" t="inlineStr">
        <is>
          <t xml:space="preserve">INF277KA1EG7</t>
        </is>
      </c>
    </row>
    <row r="12256">
      <c r="A12256" t="inlineStr">
        <is>
          <t xml:space="preserve">Tata Mutual Fund</t>
        </is>
      </c>
      <c r="B12256" t="inlineStr">
        <is>
          <t xml:space="preserve">Tata Nifty Next 50 Index Fund - Regular Plan IDCW Payout Option</t>
        </is>
      </c>
      <c r="C12256" t="inlineStr">
        <is>
          <t xml:space="preserve">INF277KA1EI3</t>
        </is>
      </c>
    </row>
    <row r="12257">
      <c r="A12257" t="inlineStr">
        <is>
          <t xml:space="preserve">Tata Mutual Fund</t>
        </is>
      </c>
      <c r="B12257" t="inlineStr">
        <is>
          <t xml:space="preserve">Tata Nifty Next 50 Index Fund - Regular Plan IDCW Reinvestment Option</t>
        </is>
      </c>
      <c r="C12257" t="inlineStr">
        <is>
          <t xml:space="preserve">INF277KA1EH5</t>
        </is>
      </c>
    </row>
    <row r="12258">
      <c r="A12258" t="inlineStr">
        <is>
          <t xml:space="preserve">Tata Mutual Fund</t>
        </is>
      </c>
      <c r="B12258" t="inlineStr">
        <is>
          <t xml:space="preserve">Tata Nifty Private Bank Exchange Traded Fund</t>
        </is>
      </c>
      <c r="C12258" t="inlineStr">
        <is>
          <t xml:space="preserve">INF277K010X4</t>
        </is>
      </c>
    </row>
    <row r="12259">
      <c r="A12259" t="inlineStr">
        <is>
          <t xml:space="preserve">Tata Mutual Fund</t>
        </is>
      </c>
      <c r="B12259" t="inlineStr">
        <is>
          <t xml:space="preserve">Tata Nifty Realty Index Fund - Direct Plan - Growth</t>
        </is>
      </c>
      <c r="C12259" t="inlineStr">
        <is>
          <t xml:space="preserve">INF277KA1AO9</t>
        </is>
      </c>
    </row>
    <row r="12260">
      <c r="A12260" t="inlineStr">
        <is>
          <t xml:space="preserve">Tata Mutual Fund</t>
        </is>
      </c>
      <c r="B12260" t="inlineStr">
        <is>
          <t xml:space="preserve">Tata Nifty Realty Index Fund - Direct Plan - IDCW Payout</t>
        </is>
      </c>
      <c r="C12260" t="inlineStr">
        <is>
          <t xml:space="preserve">INF277KA1AP6</t>
        </is>
      </c>
    </row>
    <row r="12261">
      <c r="A12261" t="inlineStr">
        <is>
          <t xml:space="preserve">Tata Mutual Fund</t>
        </is>
      </c>
      <c r="B12261" t="inlineStr">
        <is>
          <t xml:space="preserve">Tata Nifty Realty Index Fund - Direct Plan - IDCW Reinvestment</t>
        </is>
      </c>
      <c r="C12261" t="inlineStr">
        <is>
          <t xml:space="preserve">INF277KA1AQ4</t>
        </is>
      </c>
    </row>
    <row r="12262">
      <c r="A12262" t="inlineStr">
        <is>
          <t xml:space="preserve">Tata Mutual Fund</t>
        </is>
      </c>
      <c r="B12262" t="inlineStr">
        <is>
          <t xml:space="preserve">Tata Nifty Realty Index Fund - Regular Plan - Growth</t>
        </is>
      </c>
      <c r="C12262" t="inlineStr">
        <is>
          <t xml:space="preserve">INF277KA1AL5</t>
        </is>
      </c>
    </row>
    <row r="12263">
      <c r="A12263" t="inlineStr">
        <is>
          <t xml:space="preserve">Tata Mutual Fund</t>
        </is>
      </c>
      <c r="B12263" t="inlineStr">
        <is>
          <t xml:space="preserve">Tata Nifty Realty Index Fund - Regular Plan - IDCW Payout</t>
        </is>
      </c>
      <c r="C12263" t="inlineStr">
        <is>
          <t xml:space="preserve">INF277KA1AM3</t>
        </is>
      </c>
    </row>
    <row r="12264">
      <c r="A12264" t="inlineStr">
        <is>
          <t xml:space="preserve">Tata Mutual Fund</t>
        </is>
      </c>
      <c r="B12264" t="inlineStr">
        <is>
          <t xml:space="preserve">Tata Nifty Realty Index Fund - Regular Plan - IDCW Reinvestment</t>
        </is>
      </c>
      <c r="C12264" t="inlineStr">
        <is>
          <t xml:space="preserve">INF277KA1AN1</t>
        </is>
      </c>
    </row>
    <row r="12265">
      <c r="A12265" t="inlineStr">
        <is>
          <t xml:space="preserve">Tata Mutual Fund</t>
        </is>
      </c>
      <c r="B12265" t="inlineStr">
        <is>
          <t xml:space="preserve">Tata Nifty SDL Plus AAA PSU Bond Dec 6040 Index Fund -Regular Plan-IDCW Payout</t>
        </is>
      </c>
      <c r="C12265" t="inlineStr">
        <is>
          <t xml:space="preserve">INF277KA1414</t>
        </is>
      </c>
    </row>
    <row r="12266">
      <c r="A12266" t="inlineStr">
        <is>
          <t xml:space="preserve">Tata Mutual Fund</t>
        </is>
      </c>
      <c r="B12266" t="inlineStr">
        <is>
          <t xml:space="preserve">Tata Nifty SDL Plus AAA PSU Bond Dec 6040 Index Fund- Direct Plan-Growth</t>
        </is>
      </c>
      <c r="C12266" t="inlineStr">
        <is>
          <t xml:space="preserve">INF277KA1372</t>
        </is>
      </c>
    </row>
    <row r="12267">
      <c r="A12267" t="inlineStr">
        <is>
          <t xml:space="preserve">Tata Mutual Fund</t>
        </is>
      </c>
      <c r="B12267" t="inlineStr">
        <is>
          <t xml:space="preserve">Tata Nifty SDL Plus AAA PSU Bond Dec 6040 Index Fund-Direct Plan- IDCW Reinvestment</t>
        </is>
      </c>
      <c r="C12267" t="inlineStr">
        <is>
          <t xml:space="preserve">INF277KA1398</t>
        </is>
      </c>
    </row>
    <row r="12268">
      <c r="A12268" t="inlineStr">
        <is>
          <t xml:space="preserve">Tata Mutual Fund</t>
        </is>
      </c>
      <c r="B12268" t="inlineStr">
        <is>
          <t xml:space="preserve">Tata Nifty SDL Plus AAA PSU Bond Dec 6040 Index Fund-Direct Plan-IDCW Payout</t>
        </is>
      </c>
      <c r="C12268" t="inlineStr">
        <is>
          <t xml:space="preserve">INF277KA1380</t>
        </is>
      </c>
    </row>
    <row r="12269">
      <c r="A12269" t="inlineStr">
        <is>
          <t xml:space="preserve">Tata Mutual Fund</t>
        </is>
      </c>
      <c r="B12269" t="inlineStr">
        <is>
          <t xml:space="preserve">Tata Nifty SDL Plus AAA PSU Bond Dec 6040 Index Fund-Regular Plan -Growth</t>
        </is>
      </c>
      <c r="C12269" t="inlineStr">
        <is>
          <t xml:space="preserve">INF277KA1406</t>
        </is>
      </c>
    </row>
    <row r="12270">
      <c r="A12270" t="inlineStr">
        <is>
          <t xml:space="preserve">Tata Mutual Fund</t>
        </is>
      </c>
      <c r="B12270" t="inlineStr">
        <is>
          <t xml:space="preserve">Tata Nifty SDL Plus AAA PSU Bond Dec 6040 Index Fund-Regular Plan- IDCW Reinvestment</t>
        </is>
      </c>
      <c r="C12270" t="inlineStr">
        <is>
          <t xml:space="preserve">INF277KA1422</t>
        </is>
      </c>
    </row>
    <row r="12271">
      <c r="A12271" t="inlineStr">
        <is>
          <t xml:space="preserve">Tata Mutual Fund</t>
        </is>
      </c>
      <c r="B12271" t="inlineStr">
        <is>
          <t xml:space="preserve">Tata Nifty200 Alpha 30 Index Fund - Direct - IDCW Payout</t>
        </is>
      </c>
      <c r="C12271" t="inlineStr">
        <is>
          <t xml:space="preserve">INF277KA1CJ5</t>
        </is>
      </c>
    </row>
    <row r="12272">
      <c r="A12272" t="inlineStr">
        <is>
          <t xml:space="preserve">Tata Mutual Fund</t>
        </is>
      </c>
      <c r="B12272" t="inlineStr">
        <is>
          <t xml:space="preserve">Tata Nifty200 Alpha 30 Index Fund - Direct - IDCW Reinvestment</t>
        </is>
      </c>
      <c r="C12272" t="inlineStr">
        <is>
          <t xml:space="preserve">INF277KA1CK3</t>
        </is>
      </c>
    </row>
    <row r="12273">
      <c r="A12273" t="inlineStr">
        <is>
          <t xml:space="preserve">Tata Mutual Fund</t>
        </is>
      </c>
      <c r="B12273" t="inlineStr">
        <is>
          <t xml:space="preserve">Tata Nifty200 Alpha 30 Index Fund - Direct -Growth</t>
        </is>
      </c>
      <c r="C12273" t="inlineStr">
        <is>
          <t xml:space="preserve">INF277KA1CI7</t>
        </is>
      </c>
    </row>
    <row r="12274">
      <c r="A12274" t="inlineStr">
        <is>
          <t xml:space="preserve">Tata Mutual Fund</t>
        </is>
      </c>
      <c r="B12274" t="inlineStr">
        <is>
          <t xml:space="preserve">Tata Nifty200 Alpha 30 Index Fund - Regular - IDCW Payout</t>
        </is>
      </c>
      <c r="C12274" t="inlineStr">
        <is>
          <t xml:space="preserve">INF277KA1CG1</t>
        </is>
      </c>
    </row>
    <row r="12275">
      <c r="A12275" t="inlineStr">
        <is>
          <t xml:space="preserve">Tata Mutual Fund</t>
        </is>
      </c>
      <c r="B12275" t="inlineStr">
        <is>
          <t xml:space="preserve">Tata Nifty200 Alpha 30 Index Fund - Regular - IDCW Reinvestment</t>
        </is>
      </c>
      <c r="C12275" t="inlineStr">
        <is>
          <t xml:space="preserve">INF277KA1CH9</t>
        </is>
      </c>
    </row>
    <row r="12276">
      <c r="A12276" t="inlineStr">
        <is>
          <t xml:space="preserve">Tata Mutual Fund</t>
        </is>
      </c>
      <c r="B12276" t="inlineStr">
        <is>
          <t xml:space="preserve">Tata Nifty200 Alpha 30 Index Fund - Regular -Growth</t>
        </is>
      </c>
      <c r="C12276" t="inlineStr">
        <is>
          <t xml:space="preserve">INF277KA1CF3</t>
        </is>
      </c>
    </row>
    <row r="12277">
      <c r="A12277" t="inlineStr">
        <is>
          <t xml:space="preserve">Tata Mutual Fund</t>
        </is>
      </c>
      <c r="B12277" t="inlineStr">
        <is>
          <t xml:space="preserve">Tata Nifty500 Multicap India Manufacturing 50:30:20 Index Fund -Direct Plan-Growth</t>
        </is>
      </c>
      <c r="C12277" t="inlineStr">
        <is>
          <t xml:space="preserve">INF277KA1BM1</t>
        </is>
      </c>
    </row>
    <row r="12278">
      <c r="A12278" t="inlineStr">
        <is>
          <t xml:space="preserve">Tata Mutual Fund</t>
        </is>
      </c>
      <c r="B12278" t="inlineStr">
        <is>
          <t xml:space="preserve">Tata Nifty500 Multicap India Manufacturing 50:30:20 Index Fund -Direct Plan-IDCW-Payout</t>
        </is>
      </c>
      <c r="C12278" t="inlineStr">
        <is>
          <t xml:space="preserve">INF277KA1BN9</t>
        </is>
      </c>
    </row>
    <row r="12279">
      <c r="A12279" t="inlineStr">
        <is>
          <t xml:space="preserve">Tata Mutual Fund</t>
        </is>
      </c>
      <c r="B12279" t="inlineStr">
        <is>
          <t xml:space="preserve">Tata Nifty500 Multicap India Manufacturing 50:30:20 Index Fund -Direct Plan-IDCW-Reinvestment</t>
        </is>
      </c>
      <c r="C12279" t="inlineStr">
        <is>
          <t xml:space="preserve">INF277KA1BO7</t>
        </is>
      </c>
    </row>
    <row r="12280">
      <c r="A12280" t="inlineStr">
        <is>
          <t xml:space="preserve">Tata Mutual Fund</t>
        </is>
      </c>
      <c r="B12280" t="inlineStr">
        <is>
          <t xml:space="preserve">Tata Nifty500 Multicap India Manufacturing 50:30:20 Index Fund -Regular Plan -IDCW-Reinvestment</t>
        </is>
      </c>
      <c r="C12280" t="inlineStr">
        <is>
          <t xml:space="preserve">INF277KA1BL3</t>
        </is>
      </c>
    </row>
    <row r="12281">
      <c r="A12281" t="inlineStr">
        <is>
          <t xml:space="preserve">Tata Mutual Fund</t>
        </is>
      </c>
      <c r="B12281" t="inlineStr">
        <is>
          <t xml:space="preserve">Tata Nifty500 Multicap India Manufacturing 50:30:20 Index Fund -Regular Plan-Growth</t>
        </is>
      </c>
      <c r="C12281" t="inlineStr">
        <is>
          <t xml:space="preserve">INF277KA1BJ7</t>
        </is>
      </c>
    </row>
    <row r="12282">
      <c r="A12282" t="inlineStr">
        <is>
          <t xml:space="preserve">Tata Mutual Fund</t>
        </is>
      </c>
      <c r="B12282" t="inlineStr">
        <is>
          <t xml:space="preserve">Tata Nifty500 Multicap India Manufacturing 50:30:20 Index Fund -Regular Plan-IDCW Payout</t>
        </is>
      </c>
      <c r="C12282" t="inlineStr">
        <is>
          <t xml:space="preserve">INF277KA1BK5</t>
        </is>
      </c>
    </row>
    <row r="12283">
      <c r="A12283" t="inlineStr">
        <is>
          <t xml:space="preserve">Tata Mutual Fund</t>
        </is>
      </c>
      <c r="B12283" t="inlineStr">
        <is>
          <t xml:space="preserve">Tata Nifty500 Multicap Infrastructure 50:30:20 Index Fund - Direct Plan - Growth</t>
        </is>
      </c>
      <c r="C12283" t="inlineStr">
        <is>
          <t xml:space="preserve">INF277KA1BS8</t>
        </is>
      </c>
    </row>
    <row r="12284">
      <c r="A12284" t="inlineStr">
        <is>
          <t xml:space="preserve">Tata Mutual Fund</t>
        </is>
      </c>
      <c r="B12284" t="inlineStr">
        <is>
          <t xml:space="preserve">Tata Nifty500 Multicap Infrastructure 50:30:20 Index Fund - Direct Plan - IDCW Payout</t>
        </is>
      </c>
      <c r="C12284" t="inlineStr">
        <is>
          <t xml:space="preserve">INF277KA1BT6</t>
        </is>
      </c>
    </row>
    <row r="12285">
      <c r="A12285" t="inlineStr">
        <is>
          <t xml:space="preserve">Tata Mutual Fund</t>
        </is>
      </c>
      <c r="B12285" t="inlineStr">
        <is>
          <t xml:space="preserve">Tata Nifty500 Multicap Infrastructure 50:30:20 Index Fund - Direct Plan - IDCW Reinvestment</t>
        </is>
      </c>
      <c r="C12285" t="inlineStr">
        <is>
          <t xml:space="preserve">INF277KA1BU4</t>
        </is>
      </c>
    </row>
    <row r="12286">
      <c r="A12286" t="inlineStr">
        <is>
          <t xml:space="preserve">Tata Mutual Fund</t>
        </is>
      </c>
      <c r="B12286" t="inlineStr">
        <is>
          <t xml:space="preserve">Tata Nifty500 Multicap Infrastructure 50:30:20 Index Fund - Regular Plan - Growth</t>
        </is>
      </c>
      <c r="C12286" t="inlineStr">
        <is>
          <t xml:space="preserve">INF277KA1BP4</t>
        </is>
      </c>
    </row>
    <row r="12287">
      <c r="A12287" t="inlineStr">
        <is>
          <t xml:space="preserve">Tata Mutual Fund</t>
        </is>
      </c>
      <c r="B12287" t="inlineStr">
        <is>
          <t xml:space="preserve">Tata Nifty500 Multicap Infrastructure 50:30:20 Index Fund - Regular Plan - IDCW Payout</t>
        </is>
      </c>
      <c r="C12287" t="inlineStr">
        <is>
          <t xml:space="preserve">INF277KA1BQ2</t>
        </is>
      </c>
    </row>
    <row r="12288">
      <c r="A12288" t="inlineStr">
        <is>
          <t xml:space="preserve">Tata Mutual Fund</t>
        </is>
      </c>
      <c r="B12288" t="inlineStr">
        <is>
          <t xml:space="preserve">Tata Nifty500 Multicap Infrastructure 50:30:20 Index Fund - Regular Plan - IDCW Reinvestment</t>
        </is>
      </c>
      <c r="C12288" t="inlineStr">
        <is>
          <t xml:space="preserve">INF277KA1BR0</t>
        </is>
      </c>
    </row>
    <row r="12289">
      <c r="A12289" t="inlineStr">
        <is>
          <t xml:space="preserve">Tata Mutual Fund</t>
        </is>
      </c>
      <c r="B12289" t="inlineStr">
        <is>
          <t xml:space="preserve">TATA Overnight Fund Direct Plan - Daily Reinvestment of Income Distribution cum capital withdrawal option</t>
        </is>
      </c>
      <c r="C12289" t="inlineStr">
        <is>
          <t xml:space="preserve">INF277K019T3</t>
        </is>
      </c>
    </row>
    <row r="12290">
      <c r="A12290" t="inlineStr">
        <is>
          <t xml:space="preserve">Tata Mutual Fund</t>
        </is>
      </c>
      <c r="B12290" t="inlineStr">
        <is>
          <t xml:space="preserve">TATA Overnight Fund Regular Plan - Daily Reinvestment of Income Distribution cum capital withdrawal option</t>
        </is>
      </c>
      <c r="C12290" t="inlineStr">
        <is>
          <t xml:space="preserve">INF277K017T7</t>
        </is>
      </c>
    </row>
    <row r="12291">
      <c r="A12291" t="inlineStr">
        <is>
          <t xml:space="preserve">Tata Mutual Fund</t>
        </is>
      </c>
      <c r="B12291" t="inlineStr">
        <is>
          <t xml:space="preserve">Tata Overnight Fund-Direct Plan-Growth</t>
        </is>
      </c>
      <c r="C12291" t="inlineStr">
        <is>
          <t xml:space="preserve">INF277K018T5</t>
        </is>
      </c>
    </row>
    <row r="12292">
      <c r="A12292" t="inlineStr">
        <is>
          <t xml:space="preserve">Tata Mutual Fund</t>
        </is>
      </c>
      <c r="B12292" t="inlineStr">
        <is>
          <t xml:space="preserve">Tata Overnight Fund-Regular Plan-Growth</t>
        </is>
      </c>
      <c r="C12292" t="inlineStr">
        <is>
          <t xml:space="preserve">INF277K016T9</t>
        </is>
      </c>
    </row>
    <row r="12293">
      <c r="A12293" t="inlineStr">
        <is>
          <t xml:space="preserve">Tata Mutual Fund</t>
        </is>
      </c>
      <c r="B12293" t="inlineStr">
        <is>
          <t xml:space="preserve">TATA Quant Equity Fund Direct Plan - Payout of Income Distribution cum capital withdrawal option</t>
        </is>
      </c>
      <c r="C12293" t="inlineStr">
        <is>
          <t xml:space="preserve">INF277K015Y1</t>
        </is>
      </c>
    </row>
    <row r="12294">
      <c r="A12294" t="inlineStr">
        <is>
          <t xml:space="preserve">Tata Mutual Fund</t>
        </is>
      </c>
      <c r="B12294" t="inlineStr">
        <is>
          <t xml:space="preserve">TATA Quant Equity Fund Regular Plan - Payout of Income Distribution cum capital withdrawal option</t>
        </is>
      </c>
      <c r="C12294" t="inlineStr">
        <is>
          <t xml:space="preserve">INF277K018Y5</t>
        </is>
      </c>
    </row>
    <row r="12295">
      <c r="A12295" t="inlineStr">
        <is>
          <t xml:space="preserve">Tata Mutual Fund</t>
        </is>
      </c>
      <c r="B12295" t="inlineStr">
        <is>
          <t xml:space="preserve">TATA Quant Fund Direct Plan - Reinvestment of Income Distribution cum capital withdrawal option</t>
        </is>
      </c>
      <c r="C12295" t="inlineStr">
        <is>
          <t xml:space="preserve">INF277K014Y4</t>
        </is>
      </c>
    </row>
    <row r="12296">
      <c r="A12296" t="inlineStr">
        <is>
          <t xml:space="preserve">Tata Mutual Fund</t>
        </is>
      </c>
      <c r="B12296" t="inlineStr">
        <is>
          <t xml:space="preserve">TATA Quant Fund Regular Plan - Reinvestment of Income Distribution cum capital withdrawal option</t>
        </is>
      </c>
      <c r="C12296" t="inlineStr">
        <is>
          <t xml:space="preserve">INF277K017Y7</t>
        </is>
      </c>
    </row>
    <row r="12297">
      <c r="A12297" t="inlineStr">
        <is>
          <t xml:space="preserve">Tata Mutual Fund</t>
        </is>
      </c>
      <c r="B12297" t="inlineStr">
        <is>
          <t xml:space="preserve">Tata Quant Fund-Direct Plan-Growth</t>
        </is>
      </c>
      <c r="C12297" t="inlineStr">
        <is>
          <t xml:space="preserve">INF277K013Y6</t>
        </is>
      </c>
    </row>
    <row r="12298">
      <c r="A12298" t="inlineStr">
        <is>
          <t xml:space="preserve">Tata Mutual Fund</t>
        </is>
      </c>
      <c r="B12298" t="inlineStr">
        <is>
          <t xml:space="preserve">Tata Quant Fund-Regular Plan-Growth</t>
        </is>
      </c>
      <c r="C12298" t="inlineStr">
        <is>
          <t xml:space="preserve">INF277K016Y9</t>
        </is>
      </c>
    </row>
    <row r="12299">
      <c r="A12299" t="inlineStr">
        <is>
          <t xml:space="preserve">Tata Mutual Fund</t>
        </is>
      </c>
      <c r="B12299" t="inlineStr">
        <is>
          <t xml:space="preserve">TATA Resources &amp; Energy Fund Direct Plan - Payout of Income Distribution cum capital withdrawal option</t>
        </is>
      </c>
      <c r="C12299" t="inlineStr">
        <is>
          <t xml:space="preserve">INF277K016B7</t>
        </is>
      </c>
    </row>
    <row r="12300">
      <c r="A12300" t="inlineStr">
        <is>
          <t xml:space="preserve">Tata Mutual Fund</t>
        </is>
      </c>
      <c r="B12300" t="inlineStr">
        <is>
          <t xml:space="preserve">TATA Resources &amp; Energy Fund Direct Plan - Reinvestment of Income Distribution cum capital withdrawal option</t>
        </is>
      </c>
      <c r="C12300" t="inlineStr">
        <is>
          <t xml:space="preserve">INF277K017B5</t>
        </is>
      </c>
    </row>
    <row r="12301">
      <c r="A12301" t="inlineStr">
        <is>
          <t xml:space="preserve">Tata Mutual Fund</t>
        </is>
      </c>
      <c r="B12301" t="inlineStr">
        <is>
          <t xml:space="preserve">TATA Resources &amp; Energy Fund Regular Plan - Payout of Income Distribution cum capital withdrawal option</t>
        </is>
      </c>
      <c r="C12301" t="inlineStr">
        <is>
          <t xml:space="preserve">INF277K013B4</t>
        </is>
      </c>
    </row>
    <row r="12302">
      <c r="A12302" t="inlineStr">
        <is>
          <t xml:space="preserve">Tata Mutual Fund</t>
        </is>
      </c>
      <c r="B12302" t="inlineStr">
        <is>
          <t xml:space="preserve">TATA Resources &amp; Energy Fund Regular Plan - Reinvestment of Income Distribution cum capital withdrawal option</t>
        </is>
      </c>
      <c r="C12302" t="inlineStr">
        <is>
          <t xml:space="preserve">INF277K014B2</t>
        </is>
      </c>
    </row>
    <row r="12303">
      <c r="A12303" t="inlineStr">
        <is>
          <t xml:space="preserve">Tata Mutual Fund</t>
        </is>
      </c>
      <c r="B12303" t="inlineStr">
        <is>
          <t xml:space="preserve">Tata Resources &amp; Energy Fund-Direct Plan-Growth</t>
        </is>
      </c>
      <c r="C12303" t="inlineStr">
        <is>
          <t xml:space="preserve">INF277K015B9</t>
        </is>
      </c>
    </row>
    <row r="12304">
      <c r="A12304" t="inlineStr">
        <is>
          <t xml:space="preserve">Tata Mutual Fund</t>
        </is>
      </c>
      <c r="B12304" t="inlineStr">
        <is>
          <t xml:space="preserve">Tata Resources &amp; Energy Fund-Regular Plan-Growth</t>
        </is>
      </c>
      <c r="C12304" t="inlineStr">
        <is>
          <t xml:space="preserve">INF277K012B6</t>
        </is>
      </c>
    </row>
    <row r="12305">
      <c r="A12305" t="inlineStr">
        <is>
          <t xml:space="preserve">Tata Mutual Fund</t>
        </is>
      </c>
      <c r="B12305" t="inlineStr">
        <is>
          <t xml:space="preserve">Tata Retirement Savings Fund - Progressive Plan -Regular Plan-Growth Option</t>
        </is>
      </c>
      <c r="C12305" t="inlineStr">
        <is>
          <t xml:space="preserve">INF277K01FG0</t>
        </is>
      </c>
    </row>
    <row r="12306">
      <c r="A12306" t="inlineStr">
        <is>
          <t xml:space="preserve">Tata Mutual Fund</t>
        </is>
      </c>
      <c r="B12306" t="inlineStr">
        <is>
          <t xml:space="preserve">Tata Retirement Savings Fund- Conservative Plan-Direct Plan-Growth Option</t>
        </is>
      </c>
      <c r="C12306" t="inlineStr">
        <is>
          <t xml:space="preserve">INF277K01QM5</t>
        </is>
      </c>
    </row>
    <row r="12307">
      <c r="A12307" t="inlineStr">
        <is>
          <t xml:space="preserve">Tata Mutual Fund</t>
        </is>
      </c>
      <c r="B12307" t="inlineStr">
        <is>
          <t xml:space="preserve">Tata Retirement Savings Fund- Conservative Plan-Regular Plan-Growth Option</t>
        </is>
      </c>
      <c r="C12307" t="inlineStr">
        <is>
          <t xml:space="preserve">INF277K01FI6</t>
        </is>
      </c>
    </row>
    <row r="12308">
      <c r="A12308" t="inlineStr">
        <is>
          <t xml:space="preserve">Tata Mutual Fund</t>
        </is>
      </c>
      <c r="B12308" t="inlineStr">
        <is>
          <t xml:space="preserve">Tata Retirement Savings Fund- Moderate Plan -Direct Plan-Growth Option</t>
        </is>
      </c>
      <c r="C12308" t="inlineStr">
        <is>
          <t xml:space="preserve">INF277K01QN3</t>
        </is>
      </c>
    </row>
    <row r="12309">
      <c r="A12309" t="inlineStr">
        <is>
          <t xml:space="preserve">Tata Mutual Fund</t>
        </is>
      </c>
      <c r="B12309" t="inlineStr">
        <is>
          <t xml:space="preserve">Tata Retirement Savings Fund- Moderate Plan-Regular Plan-Growth Option</t>
        </is>
      </c>
      <c r="C12309" t="inlineStr">
        <is>
          <t xml:space="preserve">INF277K01FH8</t>
        </is>
      </c>
    </row>
    <row r="12310">
      <c r="A12310" t="inlineStr">
        <is>
          <t xml:space="preserve">Tata Mutual Fund</t>
        </is>
      </c>
      <c r="B12310" t="inlineStr">
        <is>
          <t xml:space="preserve">Tata Retirement Savings Fund- Progressive Plan -Direct Plan-Growth Option</t>
        </is>
      </c>
      <c r="C12310" t="inlineStr">
        <is>
          <t xml:space="preserve">INF277K01QO1</t>
        </is>
      </c>
    </row>
    <row r="12311">
      <c r="A12311" t="inlineStr">
        <is>
          <t xml:space="preserve">Tata Mutual Fund</t>
        </is>
      </c>
      <c r="B12311" t="inlineStr">
        <is>
          <t xml:space="preserve">Tata S&amp;P BSE Sensex Index Fund - Direct Plan</t>
        </is>
      </c>
      <c r="C12311" t="inlineStr">
        <is>
          <t xml:space="preserve">INF277K01PK1</t>
        </is>
      </c>
    </row>
    <row r="12312">
      <c r="A12312" t="inlineStr">
        <is>
          <t xml:space="preserve">Tata Mutual Fund</t>
        </is>
      </c>
      <c r="B12312" t="inlineStr">
        <is>
          <t xml:space="preserve">Tata S&amp;P BSE Sensex Index Fund -Regular Plan</t>
        </is>
      </c>
      <c r="C12312" t="inlineStr">
        <is>
          <t xml:space="preserve">INF277K01758</t>
        </is>
      </c>
    </row>
    <row r="12313">
      <c r="A12313" t="inlineStr">
        <is>
          <t xml:space="preserve">Tata Mutual Fund</t>
        </is>
      </c>
      <c r="B12313" t="inlineStr">
        <is>
          <t xml:space="preserve">Tata Short Term Bond Fund - Direct Plan - Growth Option</t>
        </is>
      </c>
      <c r="C12313" t="inlineStr">
        <is>
          <t xml:space="preserve">INF277K01QR4</t>
        </is>
      </c>
    </row>
    <row r="12314">
      <c r="A12314" t="inlineStr">
        <is>
          <t xml:space="preserve">Tata Mutual Fund</t>
        </is>
      </c>
      <c r="B12314" t="inlineStr">
        <is>
          <t xml:space="preserve">Tata Short Term Bond Fund -Regular Plan- Growth Option</t>
        </is>
      </c>
      <c r="C12314" t="inlineStr">
        <is>
          <t xml:space="preserve">INF277K01972</t>
        </is>
      </c>
    </row>
    <row r="12315">
      <c r="A12315" t="inlineStr">
        <is>
          <t xml:space="preserve">Tata Mutual Fund</t>
        </is>
      </c>
      <c r="B12315" t="inlineStr">
        <is>
          <t xml:space="preserve">Tata Short Term Bond Fund Direct Plan - Monthly Payout of IDCW Option</t>
        </is>
      </c>
      <c r="C12315" t="inlineStr">
        <is>
          <t xml:space="preserve">INF277K01QP8</t>
        </is>
      </c>
    </row>
    <row r="12316">
      <c r="A12316" t="inlineStr">
        <is>
          <t xml:space="preserve">Tata Mutual Fund</t>
        </is>
      </c>
      <c r="B12316" t="inlineStr">
        <is>
          <t xml:space="preserve">Tata Short Term Bond Fund- Direct Plan - Periodic Payout of IDCW Option</t>
        </is>
      </c>
      <c r="C12316" t="inlineStr">
        <is>
          <t xml:space="preserve">INF277K01P38</t>
        </is>
      </c>
    </row>
    <row r="12317">
      <c r="A12317" t="inlineStr">
        <is>
          <t xml:space="preserve">Tata Mutual Fund</t>
        </is>
      </c>
      <c r="B12317" t="inlineStr">
        <is>
          <t xml:space="preserve">Tata Short Term Bond Fund- Regular Plan - Monthly Payout of IDCW Option</t>
        </is>
      </c>
      <c r="C12317" t="inlineStr">
        <is>
          <t xml:space="preserve">INF277K01EI9</t>
        </is>
      </c>
    </row>
    <row r="12318">
      <c r="A12318" t="inlineStr">
        <is>
          <t xml:space="preserve">Tata Mutual Fund</t>
        </is>
      </c>
      <c r="B12318" t="inlineStr">
        <is>
          <t xml:space="preserve">Tata Short Term Bond Fund- Regular Plan - Periodic Payout of IDCW Option</t>
        </is>
      </c>
      <c r="C12318" t="inlineStr">
        <is>
          <t xml:space="preserve">INF277K01P12</t>
        </is>
      </c>
    </row>
    <row r="12319">
      <c r="A12319" t="inlineStr">
        <is>
          <t xml:space="preserve">Tata Mutual Fund</t>
        </is>
      </c>
      <c r="B12319" t="inlineStr">
        <is>
          <t xml:space="preserve">Tata Silver ETF Fund of Fund Direct Plan Growth Option</t>
        </is>
      </c>
      <c r="C12319" t="inlineStr">
        <is>
          <t xml:space="preserve">INF277KA1943</t>
        </is>
      </c>
    </row>
    <row r="12320">
      <c r="A12320" t="inlineStr">
        <is>
          <t xml:space="preserve">Tata Mutual Fund</t>
        </is>
      </c>
      <c r="B12320" t="inlineStr">
        <is>
          <t xml:space="preserve">Tata Silver ETF Fund of Fund Direct Plan IDCW Payout Option</t>
        </is>
      </c>
      <c r="C12320" t="inlineStr">
        <is>
          <t xml:space="preserve">INF277KA1968</t>
        </is>
      </c>
    </row>
    <row r="12321">
      <c r="A12321" t="inlineStr">
        <is>
          <t xml:space="preserve">Tata Mutual Fund</t>
        </is>
      </c>
      <c r="B12321" t="inlineStr">
        <is>
          <t xml:space="preserve">Tata Silver ETF Fund of Fund Direct Plan IDCW Reinvestment Option</t>
        </is>
      </c>
      <c r="C12321" t="inlineStr">
        <is>
          <t xml:space="preserve">INF277KA1950</t>
        </is>
      </c>
    </row>
    <row r="12322">
      <c r="A12322" t="inlineStr">
        <is>
          <t xml:space="preserve">Tata Mutual Fund</t>
        </is>
      </c>
      <c r="B12322" t="inlineStr">
        <is>
          <t xml:space="preserve">Tata Silver ETF Fund of Fund Regular Plan Growth Option</t>
        </is>
      </c>
      <c r="C12322" t="inlineStr">
        <is>
          <t xml:space="preserve">INF277KA1893</t>
        </is>
      </c>
    </row>
    <row r="12323">
      <c r="A12323" t="inlineStr">
        <is>
          <t xml:space="preserve">Tata Mutual Fund</t>
        </is>
      </c>
      <c r="B12323" t="inlineStr">
        <is>
          <t xml:space="preserve">Tata Silver ETF Fund of Fund Regular Plan IDCW Payout Option</t>
        </is>
      </c>
      <c r="C12323" t="inlineStr">
        <is>
          <t xml:space="preserve">INF277KA1935</t>
        </is>
      </c>
    </row>
    <row r="12324">
      <c r="A12324" t="inlineStr">
        <is>
          <t xml:space="preserve">Tata Mutual Fund</t>
        </is>
      </c>
      <c r="B12324" t="inlineStr">
        <is>
          <t xml:space="preserve">Tata Silver ETF Fund of Fund Regular Plan IDCW Reinvestment Option</t>
        </is>
      </c>
      <c r="C12324" t="inlineStr">
        <is>
          <t xml:space="preserve">INF277KA1927</t>
        </is>
      </c>
    </row>
    <row r="12325">
      <c r="A12325" t="inlineStr">
        <is>
          <t xml:space="preserve">Tata Mutual Fund</t>
        </is>
      </c>
      <c r="B12325" t="inlineStr">
        <is>
          <t xml:space="preserve">Tata Silver Exchange Traded Fund</t>
        </is>
      </c>
      <c r="C12325" t="inlineStr">
        <is>
          <t xml:space="preserve">INF277KA1984</t>
        </is>
      </c>
    </row>
    <row r="12326">
      <c r="A12326" t="inlineStr">
        <is>
          <t xml:space="preserve">Tata Mutual Fund</t>
        </is>
      </c>
      <c r="B12326" t="inlineStr">
        <is>
          <t xml:space="preserve">TATA Small Cap Fund Direct Plan - Reinvestment of Income Distribution cum capital withdrawal option</t>
        </is>
      </c>
      <c r="C12326" t="inlineStr">
        <is>
          <t xml:space="preserve">INF277K012O9</t>
        </is>
      </c>
    </row>
    <row r="12327">
      <c r="A12327" t="inlineStr">
        <is>
          <t xml:space="preserve">Tata Mutual Fund</t>
        </is>
      </c>
      <c r="B12327" t="inlineStr">
        <is>
          <t xml:space="preserve">TATA Small Cap Fund Regular Plan - Reinvestment of Income Distribution cum capital withdrawal option</t>
        </is>
      </c>
      <c r="C12327" t="inlineStr">
        <is>
          <t xml:space="preserve">INF277K016O0</t>
        </is>
      </c>
    </row>
    <row r="12328">
      <c r="A12328" t="inlineStr">
        <is>
          <t xml:space="preserve">Tata Mutual Fund</t>
        </is>
      </c>
      <c r="B12328" t="inlineStr">
        <is>
          <t xml:space="preserve">Tata Small Cap Fund-Direct Plan-Growth</t>
        </is>
      </c>
      <c r="C12328" t="inlineStr">
        <is>
          <t xml:space="preserve">INF277K011O1</t>
        </is>
      </c>
    </row>
    <row r="12329">
      <c r="A12329" t="inlineStr">
        <is>
          <t xml:space="preserve">Tata Mutual Fund</t>
        </is>
      </c>
      <c r="B12329" t="inlineStr">
        <is>
          <t xml:space="preserve">Tata Small Cap Fund-Regular Plan-Growth</t>
        </is>
      </c>
      <c r="C12329" t="inlineStr">
        <is>
          <t xml:space="preserve">INF277K015O2</t>
        </is>
      </c>
    </row>
    <row r="12330">
      <c r="A12330" t="inlineStr">
        <is>
          <t xml:space="preserve">Tata Mutual Fund</t>
        </is>
      </c>
      <c r="B12330" t="inlineStr">
        <is>
          <t xml:space="preserve">TATA SmallCap Fund - Direct Plan - Payout of Income Distribution cum capital withdrawal option</t>
        </is>
      </c>
      <c r="C12330" t="inlineStr">
        <is>
          <t xml:space="preserve">INF277K013O7</t>
        </is>
      </c>
    </row>
    <row r="12331">
      <c r="A12331" t="inlineStr">
        <is>
          <t xml:space="preserve">Tata Mutual Fund</t>
        </is>
      </c>
      <c r="B12331" t="inlineStr">
        <is>
          <t xml:space="preserve">TATA SmallCap Fund Regular Plan - Payout of Income Distribution cum capital withdrawal option</t>
        </is>
      </c>
      <c r="C12331" t="inlineStr">
        <is>
          <t xml:space="preserve">INF277K017O8</t>
        </is>
      </c>
    </row>
    <row r="12332">
      <c r="A12332" t="inlineStr">
        <is>
          <t xml:space="preserve">Tata Mutual Fund</t>
        </is>
      </c>
      <c r="B12332" t="inlineStr">
        <is>
          <t xml:space="preserve">Tata Treasury Advantage Fund - Direct Plan - Growth Option</t>
        </is>
      </c>
      <c r="C12332" t="inlineStr">
        <is>
          <t xml:space="preserve">INF277K01OK4</t>
        </is>
      </c>
    </row>
    <row r="12333">
      <c r="A12333" t="inlineStr">
        <is>
          <t xml:space="preserve">Tata Mutual Fund</t>
        </is>
      </c>
      <c r="B12333" t="inlineStr">
        <is>
          <t xml:space="preserve">Tata Treasury Advantage Fund - Regular Plan - Growth Option</t>
        </is>
      </c>
      <c r="C12333" t="inlineStr">
        <is>
          <t xml:space="preserve">INF277K01MA9</t>
        </is>
      </c>
    </row>
    <row r="12334">
      <c r="A12334" t="inlineStr">
        <is>
          <t xml:space="preserve">Tata Mutual Fund</t>
        </is>
      </c>
      <c r="B12334" t="inlineStr">
        <is>
          <t xml:space="preserve">Tata Treasury Advantage Fund Direct Plan - Daily Reinvestment of IDCW Option</t>
        </is>
      </c>
      <c r="C12334" t="inlineStr">
        <is>
          <t xml:space="preserve">INF277K018B3</t>
        </is>
      </c>
    </row>
    <row r="12335">
      <c r="A12335" t="inlineStr">
        <is>
          <t xml:space="preserve">Tata Mutual Fund</t>
        </is>
      </c>
      <c r="B12335" t="inlineStr">
        <is>
          <t xml:space="preserve">Tata Treasury Advantage Fund Direct Plan - Periodic Payout of IDCW Option</t>
        </is>
      </c>
      <c r="C12335" t="inlineStr">
        <is>
          <t xml:space="preserve">INF277K01OL2</t>
        </is>
      </c>
    </row>
    <row r="12336">
      <c r="A12336" t="inlineStr">
        <is>
          <t xml:space="preserve">Tata Mutual Fund</t>
        </is>
      </c>
      <c r="B12336" t="inlineStr">
        <is>
          <t xml:space="preserve">Tata Treasury Advantage Fund Direct Plan - Weekly Payout of IDCW Option</t>
        </is>
      </c>
      <c r="C12336" t="inlineStr">
        <is>
          <t xml:space="preserve">INF277K019B1</t>
        </is>
      </c>
    </row>
    <row r="12337">
      <c r="A12337" t="inlineStr">
        <is>
          <t xml:space="preserve">Tata Mutual Fund</t>
        </is>
      </c>
      <c r="B12337" t="inlineStr">
        <is>
          <t xml:space="preserve">Tata Treasury Advantage Fund Regular Plan - Daily Reinvestment of IDCW Option</t>
        </is>
      </c>
      <c r="C12337" t="inlineStr">
        <is>
          <t xml:space="preserve">INF277K01LZ8</t>
        </is>
      </c>
    </row>
    <row r="12338">
      <c r="A12338" t="inlineStr">
        <is>
          <t xml:space="preserve">Tata Mutual Fund</t>
        </is>
      </c>
      <c r="B12338" t="inlineStr">
        <is>
          <t xml:space="preserve">Tata Treasury Advantage Fund Regular Plan - Periodic Payout of IDCW Option</t>
        </is>
      </c>
      <c r="C12338" t="inlineStr">
        <is>
          <t xml:space="preserve">INF277K01MC5</t>
        </is>
      </c>
    </row>
    <row r="12339">
      <c r="A12339" t="inlineStr">
        <is>
          <t xml:space="preserve">Tata Mutual Fund</t>
        </is>
      </c>
      <c r="B12339" t="inlineStr">
        <is>
          <t xml:space="preserve">Tata Treasury Advantage Fund Regular Plan - Weekly Payout of IDCW Option</t>
        </is>
      </c>
      <c r="C12339" t="inlineStr">
        <is>
          <t xml:space="preserve">INF277K01MD3</t>
        </is>
      </c>
    </row>
    <row r="12340">
      <c r="A12340" t="inlineStr">
        <is>
          <t xml:space="preserve">Tata Mutual Fund</t>
        </is>
      </c>
      <c r="B12340" t="inlineStr">
        <is>
          <t xml:space="preserve">TATA Ultra Short Term Fund Direct Plan - Monthly Reinvestment of Income Distribution cum capital withdrawal option</t>
        </is>
      </c>
      <c r="C12340" t="inlineStr">
        <is>
          <t xml:space="preserve">INF277K013T6</t>
        </is>
      </c>
    </row>
    <row r="12341">
      <c r="A12341" t="inlineStr">
        <is>
          <t xml:space="preserve">Tata Mutual Fund</t>
        </is>
      </c>
      <c r="B12341" t="inlineStr">
        <is>
          <t xml:space="preserve">TATA Ultra Short Term Fund Direct Plan - Weekly Reinvestment of Income Distribution cum capital withdrawal option</t>
        </is>
      </c>
      <c r="C12341" t="inlineStr">
        <is>
          <t xml:space="preserve">INF277K015T1</t>
        </is>
      </c>
    </row>
    <row r="12342">
      <c r="A12342" t="inlineStr">
        <is>
          <t xml:space="preserve">Tata Mutual Fund</t>
        </is>
      </c>
      <c r="B12342" t="inlineStr">
        <is>
          <t xml:space="preserve">TATA Ultra Short Term Fund Regular Plan - Monthly Reinvestment of Income Distribution cum capital withdrawal option</t>
        </is>
      </c>
      <c r="C12342" t="inlineStr">
        <is>
          <t xml:space="preserve">INF277K018S7</t>
        </is>
      </c>
    </row>
    <row r="12343">
      <c r="A12343" t="inlineStr">
        <is>
          <t xml:space="preserve">Tata Mutual Fund</t>
        </is>
      </c>
      <c r="B12343" t="inlineStr">
        <is>
          <t xml:space="preserve">TATA Ultra Short Term Fund Regular Plan -Weekly Reinvestment of Income Distribution cum capital withdrawal option</t>
        </is>
      </c>
      <c r="C12343" t="inlineStr">
        <is>
          <t xml:space="preserve">INF277K010T2</t>
        </is>
      </c>
    </row>
    <row r="12344">
      <c r="A12344" t="inlineStr">
        <is>
          <t xml:space="preserve">Tata Mutual Fund</t>
        </is>
      </c>
      <c r="B12344" t="inlineStr">
        <is>
          <t xml:space="preserve">TATA Ultra Short Term Fund-Direct Plan - Monthly Payout of Income Distribution cum capital withdrawal option</t>
        </is>
      </c>
      <c r="C12344" t="inlineStr">
        <is>
          <t xml:space="preserve">INF277K012T8</t>
        </is>
      </c>
    </row>
    <row r="12345">
      <c r="A12345" t="inlineStr">
        <is>
          <t xml:space="preserve">Tata Mutual Fund</t>
        </is>
      </c>
      <c r="B12345" t="inlineStr">
        <is>
          <t xml:space="preserve">TATA Ultra Short Term Fund-Direct Plan - Weekly Payout of Income Distribution cum capital withdrawal option</t>
        </is>
      </c>
      <c r="C12345" t="inlineStr">
        <is>
          <t xml:space="preserve">INF277K014T4</t>
        </is>
      </c>
    </row>
    <row r="12346">
      <c r="A12346" t="inlineStr">
        <is>
          <t xml:space="preserve">Tata Mutual Fund</t>
        </is>
      </c>
      <c r="B12346" t="inlineStr">
        <is>
          <t xml:space="preserve">Tata Ultra Short Term Fund-Direct Plan-Growth</t>
        </is>
      </c>
      <c r="C12346" t="inlineStr">
        <is>
          <t xml:space="preserve">INF277K011T0</t>
        </is>
      </c>
    </row>
    <row r="12347">
      <c r="A12347" t="inlineStr">
        <is>
          <t xml:space="preserve">Tata Mutual Fund</t>
        </is>
      </c>
      <c r="B12347" t="inlineStr">
        <is>
          <t xml:space="preserve">TATA Ultra Short Term Fund-Regular Plan - Monthly Payout of Income Distribution cum capital withdrawal option</t>
        </is>
      </c>
      <c r="C12347" t="inlineStr">
        <is>
          <t xml:space="preserve">INF277K017S9</t>
        </is>
      </c>
    </row>
    <row r="12348">
      <c r="A12348" t="inlineStr">
        <is>
          <t xml:space="preserve">Tata Mutual Fund</t>
        </is>
      </c>
      <c r="B12348" t="inlineStr">
        <is>
          <t xml:space="preserve">TATA Ultra Short Term Fund-Regular Plan - Weekly Payout of Income Distribution cum capital withdrawal option</t>
        </is>
      </c>
      <c r="C12348" t="inlineStr">
        <is>
          <t xml:space="preserve">INF277K019S5</t>
        </is>
      </c>
    </row>
    <row r="12349">
      <c r="A12349" t="inlineStr">
        <is>
          <t xml:space="preserve">Tata Mutual Fund</t>
        </is>
      </c>
      <c r="B12349" t="inlineStr">
        <is>
          <t xml:space="preserve">Tata Ultra Short Term Fund-Regular Plan-Growth</t>
        </is>
      </c>
      <c r="C12349" t="inlineStr">
        <is>
          <t xml:space="preserve">INF277K016S1</t>
        </is>
      </c>
    </row>
    <row r="12350">
      <c r="A12350" t="inlineStr">
        <is>
          <t xml:space="preserve">Tata Mutual Fund</t>
        </is>
      </c>
      <c r="B12350" t="inlineStr">
        <is>
          <t xml:space="preserve">Tata Value Fund - Regular Plan - Payout of IDCW-Option A(5%)</t>
        </is>
      </c>
      <c r="C12350" t="inlineStr">
        <is>
          <t xml:space="preserve">INF277K01DI1</t>
        </is>
      </c>
    </row>
    <row r="12351">
      <c r="A12351" t="inlineStr">
        <is>
          <t xml:space="preserve">Tata Mutual Fund</t>
        </is>
      </c>
      <c r="B12351" t="inlineStr">
        <is>
          <t xml:space="preserve">Tata Value Fund - Regular Plan -Growth Option</t>
        </is>
      </c>
      <c r="C12351" t="inlineStr">
        <is>
          <t xml:space="preserve">INF277K01451</t>
        </is>
      </c>
    </row>
    <row r="12352">
      <c r="A12352" t="inlineStr">
        <is>
          <t xml:space="preserve">Tata Mutual Fund</t>
        </is>
      </c>
      <c r="B12352" t="inlineStr">
        <is>
          <t xml:space="preserve">Tata Value Fund -Direct Plan Growth Option</t>
        </is>
      </c>
      <c r="C12352" t="inlineStr">
        <is>
          <t xml:space="preserve">INF277K01ND1</t>
        </is>
      </c>
    </row>
    <row r="12353">
      <c r="A12353" t="inlineStr">
        <is>
          <t xml:space="preserve">Tata Mutual Fund</t>
        </is>
      </c>
      <c r="B12353" t="inlineStr">
        <is>
          <t xml:space="preserve">Tata Value Fund Regular Plan - Payout of IDCW-Option B(10%)</t>
        </is>
      </c>
      <c r="C12353" t="inlineStr">
        <is>
          <t xml:space="preserve">INF277K01DJ9</t>
        </is>
      </c>
    </row>
    <row r="12354">
      <c r="A12354" t="inlineStr">
        <is>
          <t xml:space="preserve">Tata Mutual Fund</t>
        </is>
      </c>
      <c r="B12354" t="inlineStr">
        <is>
          <t xml:space="preserve">Tata Value Fund- Direct Plan - Payout of IDCW -Option B(10%)</t>
        </is>
      </c>
      <c r="C12354" t="inlineStr">
        <is>
          <t xml:space="preserve">INF277K01NB5</t>
        </is>
      </c>
    </row>
    <row r="12355">
      <c r="A12355" t="inlineStr">
        <is>
          <t xml:space="preserve">Tata Mutual Fund</t>
        </is>
      </c>
      <c r="B12355" t="inlineStr">
        <is>
          <t xml:space="preserve">Tata Value Fund- Direct Plan -Payout of IDCW-Option A(5%)</t>
        </is>
      </c>
      <c r="C12355" t="inlineStr">
        <is>
          <t xml:space="preserve">INF277K01MZ6</t>
        </is>
      </c>
    </row>
    <row r="12356">
      <c r="A12356" t="inlineStr">
        <is>
          <t xml:space="preserve">Taurus Mutual Fund</t>
        </is>
      </c>
      <c r="B12356" t="inlineStr">
        <is>
          <t xml:space="preserve">Taurus Banking &amp; Financial Services Fund - Direct Plan - Growth</t>
        </is>
      </c>
      <c r="C12356" t="inlineStr">
        <is>
          <t xml:space="preserve">INF044D01CN2</t>
        </is>
      </c>
    </row>
    <row r="12357">
      <c r="A12357" t="inlineStr">
        <is>
          <t xml:space="preserve">Taurus Mutual Fund</t>
        </is>
      </c>
      <c r="B12357" t="inlineStr">
        <is>
          <t xml:space="preserve">Taurus Banking &amp; Financial Services Fund - Direct Plan - Payout of Income Distribution cum Capital Withdrawal option</t>
        </is>
      </c>
      <c r="C12357" t="inlineStr">
        <is>
          <t xml:space="preserve">INF044D01CO0</t>
        </is>
      </c>
    </row>
    <row r="12358">
      <c r="A12358" t="inlineStr">
        <is>
          <t xml:space="preserve">Taurus Mutual Fund</t>
        </is>
      </c>
      <c r="B12358" t="inlineStr">
        <is>
          <t xml:space="preserve">Taurus Banking &amp; Financial Services Fund - Regular Plan - Growth</t>
        </is>
      </c>
      <c r="C12358" t="inlineStr">
        <is>
          <t xml:space="preserve">INF044D01BI4</t>
        </is>
      </c>
    </row>
    <row r="12359">
      <c r="A12359" t="inlineStr">
        <is>
          <t xml:space="preserve">Taurus Mutual Fund</t>
        </is>
      </c>
      <c r="B12359" t="inlineStr">
        <is>
          <t xml:space="preserve">Taurus Banking &amp; Financial Services Fund - Regular Plan - Payout of Income Distribution cum Capital Withdrawal option</t>
        </is>
      </c>
      <c r="C12359" t="inlineStr">
        <is>
          <t xml:space="preserve">INF044D01BJ2</t>
        </is>
      </c>
    </row>
    <row r="12360">
      <c r="A12360" t="inlineStr">
        <is>
          <t xml:space="preserve">Taurus Mutual Fund</t>
        </is>
      </c>
      <c r="B12360" t="inlineStr">
        <is>
          <t xml:space="preserve">Taurus ELSS Tax Saver Fund - Direct Plan - Growth</t>
        </is>
      </c>
      <c r="C12360" t="inlineStr">
        <is>
          <t xml:space="preserve">INF044D01CG6</t>
        </is>
      </c>
    </row>
    <row r="12361">
      <c r="A12361" t="inlineStr">
        <is>
          <t xml:space="preserve">Taurus Mutual Fund</t>
        </is>
      </c>
      <c r="B12361" t="inlineStr">
        <is>
          <t xml:space="preserve">Taurus ELSS Tax Saver Fund - Direct Plan - Payout of Income Distribution cum Capital Withdrawal option</t>
        </is>
      </c>
      <c r="C12361" t="inlineStr">
        <is>
          <t xml:space="preserve">INF044D01CH4</t>
        </is>
      </c>
    </row>
    <row r="12362">
      <c r="A12362" t="inlineStr">
        <is>
          <t xml:space="preserve">Taurus Mutual Fund</t>
        </is>
      </c>
      <c r="B12362" t="inlineStr">
        <is>
          <t xml:space="preserve">Taurus ELSS Tax Saver Fund - Regular Plan - Growth</t>
        </is>
      </c>
      <c r="C12362" t="inlineStr">
        <is>
          <t xml:space="preserve">INF044D01AC9</t>
        </is>
      </c>
    </row>
    <row r="12363">
      <c r="A12363" t="inlineStr">
        <is>
          <t xml:space="preserve">Taurus Mutual Fund</t>
        </is>
      </c>
      <c r="B12363" t="inlineStr">
        <is>
          <t xml:space="preserve">Taurus ELSS Tax Saver Fund - Regular Plan - Payout of Income Distribution cum Capital Withdrawal option</t>
        </is>
      </c>
      <c r="C12363" t="inlineStr">
        <is>
          <t xml:space="preserve">INF044D01997</t>
        </is>
      </c>
    </row>
    <row r="12364">
      <c r="A12364" t="inlineStr">
        <is>
          <t xml:space="preserve">Taurus Mutual Fund</t>
        </is>
      </c>
      <c r="B12364" t="inlineStr">
        <is>
          <t xml:space="preserve">Taurus Ethical Fund -  Regular Plan - Bonus Option</t>
        </is>
      </c>
      <c r="C12364" t="inlineStr">
        <is>
          <t xml:space="preserve">INF044D01823</t>
        </is>
      </c>
    </row>
    <row r="12365">
      <c r="A12365" t="inlineStr">
        <is>
          <t xml:space="preserve">Taurus Mutual Fund</t>
        </is>
      </c>
      <c r="B12365" t="inlineStr">
        <is>
          <t xml:space="preserve">Taurus Ethical Fund - Direct Plan - Growth</t>
        </is>
      </c>
      <c r="C12365" t="inlineStr">
        <is>
          <t xml:space="preserve">INF044D01CJ0</t>
        </is>
      </c>
    </row>
    <row r="12366">
      <c r="A12366" t="inlineStr">
        <is>
          <t xml:space="preserve">Taurus Mutual Fund</t>
        </is>
      </c>
      <c r="B12366" t="inlineStr">
        <is>
          <t xml:space="preserve">Taurus Ethical Fund - Direct Plan - Payout of Income Distribution cum Capital Withdrawal option</t>
        </is>
      </c>
      <c r="C12366" t="inlineStr">
        <is>
          <t xml:space="preserve">INF044D01CK8</t>
        </is>
      </c>
    </row>
    <row r="12367">
      <c r="A12367" t="inlineStr">
        <is>
          <t xml:space="preserve">Taurus Mutual Fund</t>
        </is>
      </c>
      <c r="B12367" t="inlineStr">
        <is>
          <t xml:space="preserve">Taurus Ethical Fund - Regular Plan - Growth</t>
        </is>
      </c>
      <c r="C12367" t="inlineStr">
        <is>
          <t xml:space="preserve">INF044D01864</t>
        </is>
      </c>
    </row>
    <row r="12368">
      <c r="A12368" t="inlineStr">
        <is>
          <t xml:space="preserve">Taurus Mutual Fund</t>
        </is>
      </c>
      <c r="B12368" t="inlineStr">
        <is>
          <t xml:space="preserve">Taurus Ethical Fund - Regular Plan - Payout of Income Distribution cum Capital Withdrawal option</t>
        </is>
      </c>
      <c r="C12368" t="inlineStr">
        <is>
          <t xml:space="preserve">INF044D01831</t>
        </is>
      </c>
    </row>
    <row r="12369">
      <c r="A12369" t="inlineStr">
        <is>
          <t xml:space="preserve">Taurus Mutual Fund</t>
        </is>
      </c>
      <c r="B12369" t="inlineStr">
        <is>
          <t xml:space="preserve">Taurus Ethical Fund-Direct Plan-Bonus Option #</t>
        </is>
      </c>
      <c r="C12369" t="inlineStr">
        <is>
          <t xml:space="preserve">INF044D01CM4</t>
        </is>
      </c>
    </row>
    <row r="12370">
      <c r="A12370" t="inlineStr">
        <is>
          <t xml:space="preserve">Taurus Mutual Fund</t>
        </is>
      </c>
      <c r="B12370" t="inlineStr">
        <is>
          <t xml:space="preserve">Taurus Flexi Cap Fund - Direct Plan -  Payout of Income Distribution cum Capital Withdrawal option</t>
        </is>
      </c>
      <c r="C12370" t="inlineStr">
        <is>
          <t xml:space="preserve">INF044D01BV7</t>
        </is>
      </c>
    </row>
    <row r="12371">
      <c r="A12371" t="inlineStr">
        <is>
          <t xml:space="preserve">Taurus Mutual Fund</t>
        </is>
      </c>
      <c r="B12371" t="inlineStr">
        <is>
          <t xml:space="preserve">Taurus Flexi Cap Fund - Direct Plan - Growth</t>
        </is>
      </c>
      <c r="C12371" t="inlineStr">
        <is>
          <t xml:space="preserve">INF044D01BU9</t>
        </is>
      </c>
    </row>
    <row r="12372">
      <c r="A12372" t="inlineStr">
        <is>
          <t xml:space="preserve">Taurus Mutual Fund</t>
        </is>
      </c>
      <c r="B12372" t="inlineStr">
        <is>
          <t xml:space="preserve">Taurus Flexi Cap Fund - Regular Plan - Growth</t>
        </is>
      </c>
      <c r="C12372" t="inlineStr">
        <is>
          <t xml:space="preserve">INF044D01989</t>
        </is>
      </c>
    </row>
    <row r="12373">
      <c r="A12373" t="inlineStr">
        <is>
          <t xml:space="preserve">Taurus Mutual Fund</t>
        </is>
      </c>
      <c r="B12373" t="inlineStr">
        <is>
          <t xml:space="preserve">Taurus Flexi Cap Fund - Regular Plan - Payout of Income Distribution cum Capital Withdrawal option</t>
        </is>
      </c>
      <c r="C12373" t="inlineStr">
        <is>
          <t xml:space="preserve">INF044D01955</t>
        </is>
      </c>
    </row>
    <row r="12374">
      <c r="A12374" t="inlineStr">
        <is>
          <t xml:space="preserve">Taurus Mutual Fund</t>
        </is>
      </c>
      <c r="B12374" t="inlineStr">
        <is>
          <t xml:space="preserve">Taurus Infrastructure Fund - Direct Plan - Growth</t>
        </is>
      </c>
      <c r="C12374" t="inlineStr">
        <is>
          <t xml:space="preserve">INF044D01CD3</t>
        </is>
      </c>
    </row>
    <row r="12375">
      <c r="A12375" t="inlineStr">
        <is>
          <t xml:space="preserve">Taurus Mutual Fund</t>
        </is>
      </c>
      <c r="B12375" t="inlineStr">
        <is>
          <t xml:space="preserve">Taurus Infrastructure Fund - Direct Plan - Payout of Income Distribution cum Capital Withdrawal option</t>
        </is>
      </c>
      <c r="C12375" t="inlineStr">
        <is>
          <t xml:space="preserve">INF044D01CE1</t>
        </is>
      </c>
    </row>
    <row r="12376">
      <c r="A12376" t="inlineStr">
        <is>
          <t xml:space="preserve">Taurus Mutual Fund</t>
        </is>
      </c>
      <c r="B12376" t="inlineStr">
        <is>
          <t xml:space="preserve">Taurus Infrastructure Fund - Regular Plan - Growth</t>
        </is>
      </c>
      <c r="C12376" t="inlineStr">
        <is>
          <t xml:space="preserve">INF044D01906</t>
        </is>
      </c>
    </row>
    <row r="12377">
      <c r="A12377" t="inlineStr">
        <is>
          <t xml:space="preserve">Taurus Mutual Fund</t>
        </is>
      </c>
      <c r="B12377" t="inlineStr">
        <is>
          <t xml:space="preserve">Taurus Infrastructure Fund - Regular Plan - Payout of Income Distribution cum Capital Withdrawal option</t>
        </is>
      </c>
      <c r="C12377" t="inlineStr">
        <is>
          <t xml:space="preserve">INF044D01872</t>
        </is>
      </c>
    </row>
    <row r="12378">
      <c r="A12378" t="inlineStr">
        <is>
          <t xml:space="preserve">Taurus Mutual Fund</t>
        </is>
      </c>
      <c r="B12378" t="inlineStr">
        <is>
          <t xml:space="preserve">Taurus Large Cap Fund - Direct Plan - Growth</t>
        </is>
      </c>
      <c r="C12378" t="inlineStr">
        <is>
          <t xml:space="preserve">INF044D01BX3</t>
        </is>
      </c>
    </row>
    <row r="12379">
      <c r="A12379" t="inlineStr">
        <is>
          <t xml:space="preserve">Taurus Mutual Fund</t>
        </is>
      </c>
      <c r="B12379" t="inlineStr">
        <is>
          <t xml:space="preserve">Taurus Large Cap Fund - Direct Plan - Payout of Income Distribution cum Capital Withdrawal option</t>
        </is>
      </c>
      <c r="C12379" t="inlineStr">
        <is>
          <t xml:space="preserve">INF044D01BY1</t>
        </is>
      </c>
    </row>
    <row r="12380">
      <c r="A12380" t="inlineStr">
        <is>
          <t xml:space="preserve">Taurus Mutual Fund</t>
        </is>
      </c>
      <c r="B12380" t="inlineStr">
        <is>
          <t xml:space="preserve">Taurus Large Cap Fund - Regular Plan - Growth</t>
        </is>
      </c>
      <c r="C12380" t="inlineStr">
        <is>
          <t xml:space="preserve">INF044D01773</t>
        </is>
      </c>
    </row>
    <row r="12381">
      <c r="A12381" t="inlineStr">
        <is>
          <t xml:space="preserve">Taurus Mutual Fund</t>
        </is>
      </c>
      <c r="B12381" t="inlineStr">
        <is>
          <t xml:space="preserve">Taurus Large Cap Fund - Regular Plan - Payout of Income Distribution cum Capital Withdrawal option</t>
        </is>
      </c>
      <c r="C12381" t="inlineStr">
        <is>
          <t xml:space="preserve">INF044D01740</t>
        </is>
      </c>
    </row>
    <row r="12382">
      <c r="A12382" t="inlineStr">
        <is>
          <t xml:space="preserve">Taurus Mutual Fund</t>
        </is>
      </c>
      <c r="B12382" t="inlineStr">
        <is>
          <t xml:space="preserve">Taurus Liquid Fund-Dividend</t>
        </is>
      </c>
      <c r="C12382" t="inlineStr">
        <is>
          <t xml:space="preserve">INF044D01542</t>
        </is>
      </c>
    </row>
    <row r="12383">
      <c r="A12383" t="inlineStr">
        <is>
          <t xml:space="preserve">Taurus Mutual Fund</t>
        </is>
      </c>
      <c r="B12383" t="inlineStr">
        <is>
          <t xml:space="preserve">Taurus Liquid Fund-Growth</t>
        </is>
      </c>
      <c r="C12383" t="inlineStr">
        <is>
          <t xml:space="preserve">INF044D01575</t>
        </is>
      </c>
    </row>
    <row r="12384">
      <c r="A12384" t="inlineStr">
        <is>
          <t xml:space="preserve">Taurus Mutual Fund</t>
        </is>
      </c>
      <c r="B12384" t="inlineStr">
        <is>
          <t xml:space="preserve">Taurus Mid Cap Fund - Direct Plan - Growth</t>
        </is>
      </c>
      <c r="C12384" t="inlineStr">
        <is>
          <t xml:space="preserve">INF044D01CA9</t>
        </is>
      </c>
    </row>
    <row r="12385">
      <c r="A12385" t="inlineStr">
        <is>
          <t xml:space="preserve">Taurus Mutual Fund</t>
        </is>
      </c>
      <c r="B12385" t="inlineStr">
        <is>
          <t xml:space="preserve">Taurus Mid Cap Fund - Direct Plan - Payout of Income Distribution cum Capital Withdrawal option</t>
        </is>
      </c>
      <c r="C12385" t="inlineStr">
        <is>
          <t xml:space="preserve">INF044D01CB7</t>
        </is>
      </c>
    </row>
    <row r="12386">
      <c r="A12386" t="inlineStr">
        <is>
          <t xml:space="preserve">Taurus Mutual Fund</t>
        </is>
      </c>
      <c r="B12386" t="inlineStr">
        <is>
          <t xml:space="preserve">Taurus Mid Cap Fund - Regular Plan - Growth</t>
        </is>
      </c>
      <c r="C12386" t="inlineStr">
        <is>
          <t xml:space="preserve">INF044D01815</t>
        </is>
      </c>
    </row>
    <row r="12387">
      <c r="A12387" t="inlineStr">
        <is>
          <t xml:space="preserve">Taurus Mutual Fund</t>
        </is>
      </c>
      <c r="B12387" t="inlineStr">
        <is>
          <t xml:space="preserve">Taurus Mid Cap Fund - Regular Plan - Payout of Income Distribution cum Capital Withdrawal option</t>
        </is>
      </c>
      <c r="C12387" t="inlineStr">
        <is>
          <t xml:space="preserve">INF044D01781</t>
        </is>
      </c>
    </row>
    <row r="12388">
      <c r="A12388" t="inlineStr">
        <is>
          <t xml:space="preserve">Taurus Mutual Fund</t>
        </is>
      </c>
      <c r="B12388" t="inlineStr">
        <is>
          <t xml:space="preserve">Taurus Nifty 50 Index Fund - Direct Plan - Growth</t>
        </is>
      </c>
      <c r="C12388" t="inlineStr">
        <is>
          <t xml:space="preserve">INF044D01CQ5</t>
        </is>
      </c>
    </row>
    <row r="12389">
      <c r="A12389" t="inlineStr">
        <is>
          <t xml:space="preserve">Taurus Mutual Fund</t>
        </is>
      </c>
      <c r="B12389" t="inlineStr">
        <is>
          <t xml:space="preserve">Taurus Nifty 50 Index Fund - Direct Plan - Payout of Income Distribution cum Capital Withdrawal option</t>
        </is>
      </c>
      <c r="C12389" t="inlineStr">
        <is>
          <t xml:space="preserve">INF044D01CR3</t>
        </is>
      </c>
    </row>
    <row r="12390">
      <c r="A12390" t="inlineStr">
        <is>
          <t xml:space="preserve">Taurus Mutual Fund</t>
        </is>
      </c>
      <c r="B12390" t="inlineStr">
        <is>
          <t xml:space="preserve">Taurus Nifty 50 Index Fund - Regular Plan - Growth</t>
        </is>
      </c>
      <c r="C12390" t="inlineStr">
        <is>
          <t xml:space="preserve">INF044D01948</t>
        </is>
      </c>
    </row>
    <row r="12391">
      <c r="A12391" t="inlineStr">
        <is>
          <t xml:space="preserve">Taurus Mutual Fund</t>
        </is>
      </c>
      <c r="B12391" t="inlineStr">
        <is>
          <t xml:space="preserve">Taurus Nifty 50 Index Fund - Regular Plan - Payout of Income Distribution cum Capital Withdrawal option</t>
        </is>
      </c>
      <c r="C12391" t="inlineStr">
        <is>
          <t xml:space="preserve">INF044D01914</t>
        </is>
      </c>
    </row>
    <row r="12392">
      <c r="A12392" t="inlineStr">
        <is>
          <t xml:space="preserve">Franklin Templeton Mutual Fund</t>
        </is>
      </c>
      <c r="B12392" t="inlineStr">
        <is>
          <t xml:space="preserve">Templeton India Value Fund - Direct - Growth</t>
        </is>
      </c>
      <c r="C12392" t="inlineStr">
        <is>
          <t xml:space="preserve">INF090I01GY2</t>
        </is>
      </c>
    </row>
    <row r="12393">
      <c r="A12393" t="inlineStr">
        <is>
          <t xml:space="preserve">Franklin Templeton Mutual Fund</t>
        </is>
      </c>
      <c r="B12393" t="inlineStr">
        <is>
          <t xml:space="preserve">Templeton India Value Fund - Direct - IDCW</t>
        </is>
      </c>
      <c r="C12393" t="inlineStr">
        <is>
          <t xml:space="preserve">INF090I01GW6</t>
        </is>
      </c>
    </row>
    <row r="12394">
      <c r="A12394" t="inlineStr">
        <is>
          <t xml:space="preserve">Franklin Templeton Mutual Fund</t>
        </is>
      </c>
      <c r="B12394" t="inlineStr">
        <is>
          <t xml:space="preserve">Templeton India Value Fund - Growth Plan</t>
        </is>
      </c>
      <c r="C12394" t="inlineStr">
        <is>
          <t xml:space="preserve">INF090I01296</t>
        </is>
      </c>
    </row>
    <row r="12395">
      <c r="A12395" t="inlineStr">
        <is>
          <t xml:space="preserve">Franklin Templeton Mutual Fund</t>
        </is>
      </c>
      <c r="B12395" t="inlineStr">
        <is>
          <t xml:space="preserve">Templeton India Value Fund - IDCW</t>
        </is>
      </c>
      <c r="C12395" t="inlineStr">
        <is>
          <t xml:space="preserve">INF090I01270</t>
        </is>
      </c>
    </row>
    <row r="12396">
      <c r="A12396" t="inlineStr">
        <is>
          <t xml:space="preserve">The Wealth Company Mutual Fund</t>
        </is>
      </c>
      <c r="B12396" t="inlineStr">
        <is>
          <t xml:space="preserve">THE WEALTH COMPANY ARBITRAGE FUND DIRECT GROWTH</t>
        </is>
      </c>
      <c r="C12396" t="inlineStr">
        <is>
          <t xml:space="preserve">INF2F0001271</t>
        </is>
      </c>
    </row>
    <row r="12397">
      <c r="A12397" t="inlineStr">
        <is>
          <t xml:space="preserve">The Wealth Company Mutual Fund</t>
        </is>
      </c>
      <c r="B12397" t="inlineStr">
        <is>
          <t xml:space="preserve">THE WEALTH COMPANY ARBITRAGE FUND DIRECT IDCW</t>
        </is>
      </c>
      <c r="C12397" t="inlineStr">
        <is>
          <t xml:space="preserve">INF2F0001263</t>
        </is>
      </c>
    </row>
    <row r="12398">
      <c r="A12398" t="inlineStr">
        <is>
          <t xml:space="preserve">The Wealth Company Mutual Fund</t>
        </is>
      </c>
      <c r="B12398" t="inlineStr">
        <is>
          <t xml:space="preserve">THE WEALTH COMPANY ARBITRAGE FUND REGULAR GROWTH</t>
        </is>
      </c>
      <c r="C12398" t="inlineStr">
        <is>
          <t xml:space="preserve">INF2F0001305</t>
        </is>
      </c>
    </row>
    <row r="12399">
      <c r="A12399" t="inlineStr">
        <is>
          <t xml:space="preserve">The Wealth Company Mutual Fund</t>
        </is>
      </c>
      <c r="B12399" t="inlineStr">
        <is>
          <t xml:space="preserve">THE WEALTH COMPANY ARITRAGE FUND REGULAR IDCW</t>
        </is>
      </c>
      <c r="C12399" t="inlineStr">
        <is>
          <t xml:space="preserve">INF2F0001289</t>
        </is>
      </c>
    </row>
    <row r="12400">
      <c r="A12400" t="inlineStr">
        <is>
          <t xml:space="preserve">The Wealth Company Mutual Fund</t>
        </is>
      </c>
      <c r="B12400" t="inlineStr">
        <is>
          <t xml:space="preserve">The Wealth Company Balanced Advantage Fund - Direct Growth</t>
        </is>
      </c>
      <c r="C12400" t="inlineStr">
        <is>
          <t xml:space="preserve">INF2F0001479</t>
        </is>
      </c>
    </row>
    <row r="12401">
      <c r="A12401" t="inlineStr">
        <is>
          <t xml:space="preserve">The Wealth Company Mutual Fund</t>
        </is>
      </c>
      <c r="B12401" t="inlineStr">
        <is>
          <t xml:space="preserve">The Wealth Company Balanced Advantage Fund - Direct IDCW</t>
        </is>
      </c>
      <c r="C12401" t="inlineStr">
        <is>
          <t xml:space="preserve">INF2F0001487</t>
        </is>
      </c>
    </row>
    <row r="12402">
      <c r="A12402" t="inlineStr">
        <is>
          <t xml:space="preserve">The Wealth Company Mutual Fund</t>
        </is>
      </c>
      <c r="B12402" t="inlineStr">
        <is>
          <t xml:space="preserve">The Wealth Company Balanced Advantage Fund - Regular Growth</t>
        </is>
      </c>
      <c r="C12402" t="inlineStr">
        <is>
          <t xml:space="preserve">INF2F0001446</t>
        </is>
      </c>
    </row>
    <row r="12403">
      <c r="A12403" t="inlineStr">
        <is>
          <t xml:space="preserve">The Wealth Company Mutual Fund</t>
        </is>
      </c>
      <c r="B12403" t="inlineStr">
        <is>
          <t xml:space="preserve">The Wealth Company Balanced Advantage Fund - Regular IDCW</t>
        </is>
      </c>
      <c r="C12403" t="inlineStr">
        <is>
          <t xml:space="preserve">INF2F0001453</t>
        </is>
      </c>
    </row>
    <row r="12404">
      <c r="A12404" t="inlineStr">
        <is>
          <t xml:space="preserve">The Wealth Company Mutual Fund</t>
        </is>
      </c>
      <c r="B12404" t="inlineStr">
        <is>
          <t xml:space="preserve">THE WEALTH COMPANY ETHICAL FUND DIRECT GROWTH</t>
        </is>
      </c>
      <c r="C12404" t="inlineStr">
        <is>
          <t xml:space="preserve">INF2F0001214</t>
        </is>
      </c>
    </row>
    <row r="12405">
      <c r="A12405" t="inlineStr">
        <is>
          <t xml:space="preserve">The Wealth Company Mutual Fund</t>
        </is>
      </c>
      <c r="B12405" t="inlineStr">
        <is>
          <t xml:space="preserve">THE WEALTH COMPANY ETHICAL FUND DIRECT IDCW</t>
        </is>
      </c>
      <c r="C12405" t="inlineStr">
        <is>
          <t xml:space="preserve">INF2F0001206</t>
        </is>
      </c>
    </row>
    <row r="12406">
      <c r="A12406" t="inlineStr">
        <is>
          <t xml:space="preserve">The Wealth Company Mutual Fund</t>
        </is>
      </c>
      <c r="B12406" t="inlineStr">
        <is>
          <t xml:space="preserve">THE WEALTH COMPANY ETHICAL FUND REGULAR GROWTH</t>
        </is>
      </c>
      <c r="C12406" t="inlineStr">
        <is>
          <t xml:space="preserve">INF2F0001248</t>
        </is>
      </c>
    </row>
    <row r="12407">
      <c r="A12407" t="inlineStr">
        <is>
          <t xml:space="preserve">The Wealth Company Mutual Fund</t>
        </is>
      </c>
      <c r="B12407" t="inlineStr">
        <is>
          <t xml:space="preserve">THE WEALTH COMPANY ETHICAL FUND REGULAR IDCW</t>
        </is>
      </c>
      <c r="C12407" t="inlineStr">
        <is>
          <t xml:space="preserve">INF2F0001230</t>
        </is>
      </c>
    </row>
    <row r="12408">
      <c r="A12408" t="inlineStr">
        <is>
          <t xml:space="preserve">The Wealth Company Mutual Fund</t>
        </is>
      </c>
      <c r="B12408" t="inlineStr">
        <is>
          <t xml:space="preserve">THE WEALTH COMPANY FLEXI CAP FUND - DIRECT GROWTH</t>
        </is>
      </c>
      <c r="C12408" t="inlineStr">
        <is>
          <t xml:space="preserve">INF2F0001040</t>
        </is>
      </c>
    </row>
    <row r="12409">
      <c r="A12409" t="inlineStr">
        <is>
          <t xml:space="preserve">The Wealth Company Mutual Fund</t>
        </is>
      </c>
      <c r="B12409" t="inlineStr">
        <is>
          <t xml:space="preserve">THE WEALTH COMPANY FLEXI CAP FUND - DIRECT IDCW</t>
        </is>
      </c>
      <c r="C12409" t="inlineStr">
        <is>
          <t xml:space="preserve">INF2F0001057</t>
        </is>
      </c>
    </row>
    <row r="12410">
      <c r="A12410" t="inlineStr">
        <is>
          <t xml:space="preserve">The Wealth Company Mutual Fund</t>
        </is>
      </c>
      <c r="B12410" t="inlineStr">
        <is>
          <t xml:space="preserve">THE WEALTH COMPANY FLEXI CAP FUND - REGULAR GROWTH</t>
        </is>
      </c>
      <c r="C12410" t="inlineStr">
        <is>
          <t xml:space="preserve">INF2F0001016</t>
        </is>
      </c>
    </row>
    <row r="12411">
      <c r="A12411" t="inlineStr">
        <is>
          <t xml:space="preserve">The Wealth Company Mutual Fund</t>
        </is>
      </c>
      <c r="B12411" t="inlineStr">
        <is>
          <t xml:space="preserve">THE WEALTH COMPANY FLEXI CAP FUND - REGULAR IDCW</t>
        </is>
      </c>
      <c r="C12411" t="inlineStr">
        <is>
          <t xml:space="preserve">INF2F0001024</t>
        </is>
      </c>
    </row>
    <row r="12412">
      <c r="A12412" t="inlineStr">
        <is>
          <t xml:space="preserve">The Wealth Company Mutual Fund</t>
        </is>
      </c>
      <c r="B12412" t="inlineStr">
        <is>
          <t xml:space="preserve">The Wealth Company Gold ETF</t>
        </is>
      </c>
      <c r="C12412" t="inlineStr">
        <is>
          <t xml:space="preserve">INF2F0001370</t>
        </is>
      </c>
    </row>
    <row r="12413">
      <c r="A12413" t="inlineStr">
        <is>
          <t xml:space="preserve">The Wealth Company Mutual Fund</t>
        </is>
      </c>
      <c r="B12413" t="inlineStr">
        <is>
          <t xml:space="preserve">THE WEALTH COMPANY GOLD ETF FOF DIRECT GROWTH</t>
        </is>
      </c>
      <c r="C12413" t="inlineStr">
        <is>
          <t xml:space="preserve">INF2F0001412</t>
        </is>
      </c>
    </row>
    <row r="12414">
      <c r="A12414" t="inlineStr">
        <is>
          <t xml:space="preserve">The Wealth Company Mutual Fund</t>
        </is>
      </c>
      <c r="B12414" t="inlineStr">
        <is>
          <t xml:space="preserve">THE WEALTH COMPANY GOLD ETF FOF DIRECT IDCW</t>
        </is>
      </c>
      <c r="C12414" t="inlineStr">
        <is>
          <t xml:space="preserve">INF2F0001420</t>
        </is>
      </c>
    </row>
    <row r="12415">
      <c r="A12415" t="inlineStr">
        <is>
          <t xml:space="preserve">The Wealth Company Mutual Fund</t>
        </is>
      </c>
      <c r="B12415" t="inlineStr">
        <is>
          <t xml:space="preserve">THE WEALTH COMPANY GOLD ETF FOF REGULAR GROWTH</t>
        </is>
      </c>
      <c r="C12415" t="inlineStr">
        <is>
          <t xml:space="preserve">INF2F0001388</t>
        </is>
      </c>
    </row>
    <row r="12416">
      <c r="A12416" t="inlineStr">
        <is>
          <t xml:space="preserve">The Wealth Company Mutual Fund</t>
        </is>
      </c>
      <c r="B12416" t="inlineStr">
        <is>
          <t xml:space="preserve">THE WEALTH COMPANY GOLD ETF FOF REGULAR IDCW</t>
        </is>
      </c>
      <c r="C12416" t="inlineStr">
        <is>
          <t xml:space="preserve">INF2F0001396</t>
        </is>
      </c>
    </row>
    <row r="12417">
      <c r="A12417" t="inlineStr">
        <is>
          <t xml:space="preserve">The Wealth Company Mutual Fund</t>
        </is>
      </c>
      <c r="B12417" t="inlineStr">
        <is>
          <t xml:space="preserve">The Wealth Company Large &amp; Mid Cap Fund Direct Growth</t>
        </is>
      </c>
      <c r="C12417" t="inlineStr">
        <is>
          <t xml:space="preserve">INF2F0001594</t>
        </is>
      </c>
    </row>
    <row r="12418">
      <c r="A12418" t="inlineStr">
        <is>
          <t xml:space="preserve">The Wealth Company Mutual Fund</t>
        </is>
      </c>
      <c r="B12418" t="inlineStr">
        <is>
          <t xml:space="preserve">The Wealth Company Large &amp; Mid Cap Fund Direct IDCW</t>
        </is>
      </c>
      <c r="C12418" t="inlineStr">
        <is>
          <t xml:space="preserve">INF2F0001602</t>
        </is>
      </c>
    </row>
    <row r="12419">
      <c r="A12419" t="inlineStr">
        <is>
          <t xml:space="preserve">The Wealth Company Mutual Fund</t>
        </is>
      </c>
      <c r="B12419" t="inlineStr">
        <is>
          <t xml:space="preserve">The Wealth Company Large &amp; Mid Cap Fund Regular Growth</t>
        </is>
      </c>
      <c r="C12419" t="inlineStr">
        <is>
          <t xml:space="preserve">INF2F0001560</t>
        </is>
      </c>
    </row>
    <row r="12420">
      <c r="A12420" t="inlineStr">
        <is>
          <t xml:space="preserve">The Wealth Company Mutual Fund</t>
        </is>
      </c>
      <c r="B12420" t="inlineStr">
        <is>
          <t xml:space="preserve">The Wealth Company Large &amp; Mid Cap Fund Regular IDCW</t>
        </is>
      </c>
      <c r="C12420" t="inlineStr">
        <is>
          <t xml:space="preserve">INF2F0001578</t>
        </is>
      </c>
    </row>
    <row r="12421">
      <c r="A12421" t="inlineStr">
        <is>
          <t xml:space="preserve">The Wealth Company Mutual Fund</t>
        </is>
      </c>
      <c r="B12421" t="inlineStr">
        <is>
          <t xml:space="preserve">THE WEALTH COMPANY LIQUID FUND DIRECT DAILY ICDW</t>
        </is>
      </c>
      <c r="C12421" t="inlineStr">
        <is>
          <t xml:space="preserve">INF2F0001073</t>
        </is>
      </c>
    </row>
    <row r="12422">
      <c r="A12422" t="inlineStr">
        <is>
          <t xml:space="preserve">The Wealth Company Mutual Fund</t>
        </is>
      </c>
      <c r="B12422" t="inlineStr">
        <is>
          <t xml:space="preserve">THE WEALTH COMPANY LIQUID FUND DIRECT GROWTH</t>
        </is>
      </c>
      <c r="C12422" t="inlineStr">
        <is>
          <t xml:space="preserve">INF2F0001081</t>
        </is>
      </c>
    </row>
    <row r="12423">
      <c r="A12423" t="inlineStr">
        <is>
          <t xml:space="preserve">The Wealth Company Mutual Fund</t>
        </is>
      </c>
      <c r="B12423" t="inlineStr">
        <is>
          <t xml:space="preserve">THE WEALTH COMPANY LIQUID FUND DIRECT MONTHLY IDCW</t>
        </is>
      </c>
      <c r="C12423" t="inlineStr">
        <is>
          <t xml:space="preserve">INF2F0001107</t>
        </is>
      </c>
    </row>
    <row r="12424">
      <c r="A12424" t="inlineStr">
        <is>
          <t xml:space="preserve">The Wealth Company Mutual Fund</t>
        </is>
      </c>
      <c r="B12424" t="inlineStr">
        <is>
          <t xml:space="preserve">THE WEALTH COMPANY LIQUID FUND DIRECT WEEKLY</t>
        </is>
      </c>
      <c r="C12424" t="inlineStr">
        <is>
          <t xml:space="preserve">INF2F0001123</t>
        </is>
      </c>
    </row>
    <row r="12425">
      <c r="A12425" t="inlineStr">
        <is>
          <t xml:space="preserve">The Wealth Company Mutual Fund</t>
        </is>
      </c>
      <c r="B12425" t="inlineStr">
        <is>
          <t xml:space="preserve">THE WEALTH COMPANY LIQUID FUND REGULAR DAILY IDCW</t>
        </is>
      </c>
      <c r="C12425" t="inlineStr">
        <is>
          <t xml:space="preserve">INF2F0001131</t>
        </is>
      </c>
    </row>
    <row r="12426">
      <c r="A12426" t="inlineStr">
        <is>
          <t xml:space="preserve">The Wealth Company Mutual Fund</t>
        </is>
      </c>
      <c r="B12426" t="inlineStr">
        <is>
          <t xml:space="preserve">THE WEALTH COMPANY LIQUID FUND REGULAR GROWTH</t>
        </is>
      </c>
      <c r="C12426" t="inlineStr">
        <is>
          <t xml:space="preserve">INF2F0001149</t>
        </is>
      </c>
    </row>
    <row r="12427">
      <c r="A12427" t="inlineStr">
        <is>
          <t xml:space="preserve">The Wealth Company Mutual Fund</t>
        </is>
      </c>
      <c r="B12427" t="inlineStr">
        <is>
          <t xml:space="preserve">THE WEALTH COMPANY LIQUID FUND REGULAR MONTHLY IDCW</t>
        </is>
      </c>
      <c r="C12427" t="inlineStr">
        <is>
          <t xml:space="preserve">INF2F0001164</t>
        </is>
      </c>
    </row>
    <row r="12428">
      <c r="A12428" t="inlineStr">
        <is>
          <t xml:space="preserve">The Wealth Company Mutual Fund</t>
        </is>
      </c>
      <c r="B12428" t="inlineStr">
        <is>
          <t xml:space="preserve">THE WEALTH COMPANY LIQUID FUND REGULAR WEEKLY IDCW</t>
        </is>
      </c>
      <c r="C12428" t="inlineStr">
        <is>
          <t xml:space="preserve">INF2F0001180</t>
        </is>
      </c>
    </row>
    <row r="12429">
      <c r="A12429" t="inlineStr">
        <is>
          <t xml:space="preserve">The Wealth Company Mutual Fund</t>
        </is>
      </c>
      <c r="B12429" t="inlineStr">
        <is>
          <t xml:space="preserve">The Wealth Company Multi Asset Allocation Fund - Direct Growth</t>
        </is>
      </c>
      <c r="C12429" t="inlineStr">
        <is>
          <t xml:space="preserve">INF2F0001347</t>
        </is>
      </c>
    </row>
    <row r="12430">
      <c r="A12430" t="inlineStr">
        <is>
          <t xml:space="preserve">The Wealth Company Mutual Fund</t>
        </is>
      </c>
      <c r="B12430" t="inlineStr">
        <is>
          <t xml:space="preserve">The Wealth Company Multi Asset Allocation Fund - Direct IDCW</t>
        </is>
      </c>
      <c r="C12430" t="inlineStr">
        <is>
          <t xml:space="preserve">INF2F0001354</t>
        </is>
      </c>
    </row>
    <row r="12431">
      <c r="A12431" t="inlineStr">
        <is>
          <t xml:space="preserve">The Wealth Company Mutual Fund</t>
        </is>
      </c>
      <c r="B12431" t="inlineStr">
        <is>
          <t xml:space="preserve">The Wealth Company Multi Asset Allocation Fund - Regular Growth</t>
        </is>
      </c>
      <c r="C12431" t="inlineStr">
        <is>
          <t xml:space="preserve">INF2F0001313</t>
        </is>
      </c>
    </row>
    <row r="12432">
      <c r="A12432" t="inlineStr">
        <is>
          <t xml:space="preserve">The Wealth Company Mutual Fund</t>
        </is>
      </c>
      <c r="B12432" t="inlineStr">
        <is>
          <t xml:space="preserve">The Wealth Company Multi Asset Allocation Fund - Regular IDCW</t>
        </is>
      </c>
      <c r="C12432" t="inlineStr">
        <is>
          <t xml:space="preserve">INF2F0001321</t>
        </is>
      </c>
    </row>
    <row r="12433">
      <c r="A12433" t="inlineStr">
        <is>
          <t xml:space="preserve">The Wealth Company Mutual Fund</t>
        </is>
      </c>
      <c r="B12433" t="inlineStr">
        <is>
          <t xml:space="preserve">The Wealth Company Small Cap Fund- Direct-Growth</t>
        </is>
      </c>
      <c r="C12433" t="inlineStr">
        <is>
          <t xml:space="preserve">INF2F0001537</t>
        </is>
      </c>
    </row>
    <row r="12434">
      <c r="A12434" t="inlineStr">
        <is>
          <t xml:space="preserve">The Wealth Company Mutual Fund</t>
        </is>
      </c>
      <c r="B12434" t="inlineStr">
        <is>
          <t xml:space="preserve">The Wealth Company Small Cap Fund- Direct-IDCW</t>
        </is>
      </c>
      <c r="C12434" t="inlineStr">
        <is>
          <t xml:space="preserve">INF2F0001545</t>
        </is>
      </c>
    </row>
    <row r="12435">
      <c r="A12435" t="inlineStr">
        <is>
          <t xml:space="preserve">The Wealth Company Mutual Fund</t>
        </is>
      </c>
      <c r="B12435" t="inlineStr">
        <is>
          <t xml:space="preserve">The Wealth Company Small Cap Fund- Regular-Growth</t>
        </is>
      </c>
      <c r="C12435" t="inlineStr">
        <is>
          <t xml:space="preserve">INF2F0001503</t>
        </is>
      </c>
    </row>
    <row r="12436">
      <c r="A12436" t="inlineStr">
        <is>
          <t xml:space="preserve">The Wealth Company Mutual Fund</t>
        </is>
      </c>
      <c r="B12436" t="inlineStr">
        <is>
          <t xml:space="preserve">The Wealth Company Small Cap Fund- Regular-IDCW</t>
        </is>
      </c>
      <c r="C12436" t="inlineStr">
        <is>
          <t xml:space="preserve">INF2F0001511</t>
        </is>
      </c>
    </row>
    <row r="12437">
      <c r="A12437" t="inlineStr">
        <is>
          <t xml:space="preserve">Trust Mutual Fund</t>
        </is>
      </c>
      <c r="B12437" t="inlineStr">
        <is>
          <t xml:space="preserve">TRUST MF OVERNIGHT FUND-DIRECT PLAN-DAILY IDCW REINVESTMENT</t>
        </is>
      </c>
      <c r="C12437" t="inlineStr">
        <is>
          <t xml:space="preserve">INF0GCD01461</t>
        </is>
      </c>
    </row>
    <row r="12438">
      <c r="A12438" t="inlineStr">
        <is>
          <t xml:space="preserve">Trust Mutual Fund</t>
        </is>
      </c>
      <c r="B12438" t="inlineStr">
        <is>
          <t xml:space="preserve">TRUST MF OVERNIGHT FUND-DIRECT PLAN-GROWTH</t>
        </is>
      </c>
      <c r="C12438" t="inlineStr">
        <is>
          <t xml:space="preserve">INF0GCD01453</t>
        </is>
      </c>
    </row>
    <row r="12439">
      <c r="A12439" t="inlineStr">
        <is>
          <t xml:space="preserve">Trust Mutual Fund</t>
        </is>
      </c>
      <c r="B12439" t="inlineStr">
        <is>
          <t xml:space="preserve">TRUST MF OVERNIGHT FUND-REGULAR PLAN-DAILY IDCW REINVESTMENT</t>
        </is>
      </c>
      <c r="C12439" t="inlineStr">
        <is>
          <t xml:space="preserve">INF0GCD01446</t>
        </is>
      </c>
    </row>
    <row r="12440">
      <c r="A12440" t="inlineStr">
        <is>
          <t xml:space="preserve">Trust Mutual Fund</t>
        </is>
      </c>
      <c r="B12440" t="inlineStr">
        <is>
          <t xml:space="preserve">TRUST MF OVERNIGHT FUND-REGULAR-GROWTH</t>
        </is>
      </c>
      <c r="C12440" t="inlineStr">
        <is>
          <t xml:space="preserve">INF0GCD01438</t>
        </is>
      </c>
    </row>
    <row r="12441">
      <c r="A12441" t="inlineStr">
        <is>
          <t xml:space="preserve">Trust Mutual Fund</t>
        </is>
      </c>
      <c r="B12441" t="inlineStr">
        <is>
          <t xml:space="preserve">TRUSTMF ARBITRAGE FUND -DIRECT PLAN-GROWTH</t>
        </is>
      </c>
      <c r="C12441" t="inlineStr">
        <is>
          <t xml:space="preserve">INF0GCD01859</t>
        </is>
      </c>
    </row>
    <row r="12442">
      <c r="A12442" t="inlineStr">
        <is>
          <t xml:space="preserve">Trust Mutual Fund</t>
        </is>
      </c>
      <c r="B12442" t="inlineStr">
        <is>
          <t xml:space="preserve">TRUSTMF ARBITRAGE FUND -REGULAR PLAN-GROWTH</t>
        </is>
      </c>
      <c r="C12442" t="inlineStr">
        <is>
          <t xml:space="preserve">INF0GCD01867</t>
        </is>
      </c>
    </row>
    <row r="12443">
      <c r="A12443" t="inlineStr">
        <is>
          <t xml:space="preserve">Trust Mutual Fund</t>
        </is>
      </c>
      <c r="B12443" t="inlineStr">
        <is>
          <t xml:space="preserve">TRUSTMF CORPORATE BOND FUND-DIRECT PLAN-GROWTH</t>
        </is>
      </c>
      <c r="C12443" t="inlineStr">
        <is>
          <t xml:space="preserve">INF0GCD01560</t>
        </is>
      </c>
    </row>
    <row r="12444">
      <c r="A12444" t="inlineStr">
        <is>
          <t xml:space="preserve">Trust Mutual Fund</t>
        </is>
      </c>
      <c r="B12444" t="inlineStr">
        <is>
          <t xml:space="preserve">TRUSTMF CORPORATE BOND FUND-DIRECT PLAN-MONTHLY IDCW</t>
        </is>
      </c>
      <c r="C12444" t="inlineStr">
        <is>
          <t xml:space="preserve">INF0GCD01586</t>
        </is>
      </c>
    </row>
    <row r="12445">
      <c r="A12445" t="inlineStr">
        <is>
          <t xml:space="preserve">Trust Mutual Fund</t>
        </is>
      </c>
      <c r="B12445" t="inlineStr">
        <is>
          <t xml:space="preserve">TRUSTMF CORPORATE BOND FUND-REGULAR PLAN-GROWTH</t>
        </is>
      </c>
      <c r="C12445" t="inlineStr">
        <is>
          <t xml:space="preserve">INF0GCD01537</t>
        </is>
      </c>
    </row>
    <row r="12446">
      <c r="A12446" t="inlineStr">
        <is>
          <t xml:space="preserve">Trust Mutual Fund</t>
        </is>
      </c>
      <c r="B12446" t="inlineStr">
        <is>
          <t xml:space="preserve">TRUSTMF CORPORATE BOND FUND-REGULAR PLAN-MONTHLY IDCW</t>
        </is>
      </c>
      <c r="C12446" t="inlineStr">
        <is>
          <t xml:space="preserve">INF0GCD01552</t>
        </is>
      </c>
    </row>
    <row r="12447">
      <c r="A12447" t="inlineStr">
        <is>
          <t xml:space="preserve">Trust Mutual Fund</t>
        </is>
      </c>
      <c r="B12447" t="inlineStr">
        <is>
          <t xml:space="preserve">TRUSTMF FIXED MATURITY PLAN -SERIES II (1196 DAYS)-DIRECT PLAN -GROWTH</t>
        </is>
      </c>
      <c r="C12447" t="inlineStr">
        <is>
          <t xml:space="preserve">INF0GCD01651</t>
        </is>
      </c>
    </row>
    <row r="12448">
      <c r="A12448" t="inlineStr">
        <is>
          <t xml:space="preserve">Trust Mutual Fund</t>
        </is>
      </c>
      <c r="B12448" t="inlineStr">
        <is>
          <t xml:space="preserve">TRUSTMF FIXED MATURITY PLAN -SERIES II (1196 DAYS)-REGULAR PLAN -GROWTH</t>
        </is>
      </c>
      <c r="C12448" t="inlineStr">
        <is>
          <t xml:space="preserve">INF0GCD01636</t>
        </is>
      </c>
    </row>
    <row r="12449">
      <c r="A12449" t="inlineStr">
        <is>
          <t xml:space="preserve">Trust Mutual Fund</t>
        </is>
      </c>
      <c r="B12449" t="inlineStr">
        <is>
          <t xml:space="preserve">TRUSTMF FIXED MATURITY PLAN -SERIES II (1196 DAYS)-REGULAR PLAN -IDCW PAYOUT</t>
        </is>
      </c>
      <c r="C12449" t="inlineStr">
        <is>
          <t xml:space="preserve">INF0GCD01644</t>
        </is>
      </c>
    </row>
    <row r="12450">
      <c r="A12450" t="inlineStr">
        <is>
          <t xml:space="preserve">Trust Mutual Fund</t>
        </is>
      </c>
      <c r="B12450" t="inlineStr">
        <is>
          <t xml:space="preserve">TRUSTMF Flexi Cap Fund-Direct Plan- Growth</t>
        </is>
      </c>
      <c r="C12450" t="inlineStr">
        <is>
          <t xml:space="preserve">INF0GCD01743</t>
        </is>
      </c>
    </row>
    <row r="12451">
      <c r="A12451" t="inlineStr">
        <is>
          <t xml:space="preserve">Trust Mutual Fund</t>
        </is>
      </c>
      <c r="B12451" t="inlineStr">
        <is>
          <t xml:space="preserve">TRUSTMF Flexi Cap Fund-Direct Plan- IDCW</t>
        </is>
      </c>
      <c r="C12451" t="inlineStr">
        <is>
          <t xml:space="preserve">INF0GCD01750</t>
        </is>
      </c>
    </row>
    <row r="12452">
      <c r="A12452" t="inlineStr">
        <is>
          <t xml:space="preserve">Trust Mutual Fund</t>
        </is>
      </c>
      <c r="B12452" t="inlineStr">
        <is>
          <t xml:space="preserve">TRUSTMF Flexi Cap Fund-Regular Plan- Growth</t>
        </is>
      </c>
      <c r="C12452" t="inlineStr">
        <is>
          <t xml:space="preserve">INF0GCD01719</t>
        </is>
      </c>
    </row>
    <row r="12453">
      <c r="A12453" t="inlineStr">
        <is>
          <t xml:space="preserve">Trust Mutual Fund</t>
        </is>
      </c>
      <c r="B12453" t="inlineStr">
        <is>
          <t xml:space="preserve">TRUSTMF Flexi Cap Fund-Regular Plan- IDCW</t>
        </is>
      </c>
      <c r="C12453" t="inlineStr">
        <is>
          <t xml:space="preserve">INF0GCD01727</t>
        </is>
      </c>
    </row>
    <row r="12454">
      <c r="A12454" t="inlineStr">
        <is>
          <t xml:space="preserve">Trust Mutual Fund</t>
        </is>
      </c>
      <c r="B12454" t="inlineStr">
        <is>
          <t xml:space="preserve">TRUSTMF Liquid Fund-Direct Plan-Daily Income Distribution cum Capital Withdrawal</t>
        </is>
      </c>
      <c r="C12454" t="inlineStr">
        <is>
          <t xml:space="preserve">INF0GCD01263</t>
        </is>
      </c>
    </row>
    <row r="12455">
      <c r="A12455" t="inlineStr">
        <is>
          <t xml:space="preserve">Trust Mutual Fund</t>
        </is>
      </c>
      <c r="B12455" t="inlineStr">
        <is>
          <t xml:space="preserve">TRUSTMF Liquid Fund-Direct Plan-Growth</t>
        </is>
      </c>
      <c r="C12455" t="inlineStr">
        <is>
          <t xml:space="preserve">INF0GCD01255</t>
        </is>
      </c>
    </row>
    <row r="12456">
      <c r="A12456" t="inlineStr">
        <is>
          <t xml:space="preserve">Trust Mutual Fund</t>
        </is>
      </c>
      <c r="B12456" t="inlineStr">
        <is>
          <t xml:space="preserve">TRUSTMF Liquid Fund-Direct Plan-Monthly Income Distribution cum Capital Withdrawal</t>
        </is>
      </c>
      <c r="C12456" t="inlineStr">
        <is>
          <t xml:space="preserve">INF0GCD01305</t>
        </is>
      </c>
    </row>
    <row r="12457">
      <c r="A12457" t="inlineStr">
        <is>
          <t xml:space="preserve">Trust Mutual Fund</t>
        </is>
      </c>
      <c r="B12457" t="inlineStr">
        <is>
          <t xml:space="preserve">TRUSTMF Liquid Fund-Direct Plan-Weekly Income Distribution cum Capital Withdrawal</t>
        </is>
      </c>
      <c r="C12457" t="inlineStr">
        <is>
          <t xml:space="preserve">INF0GCD01271</t>
        </is>
      </c>
    </row>
    <row r="12458">
      <c r="A12458" t="inlineStr">
        <is>
          <t xml:space="preserve">Trust Mutual Fund</t>
        </is>
      </c>
      <c r="B12458" t="inlineStr">
        <is>
          <t xml:space="preserve">TRUSTMF Liquid Fund-Regular Plan-Daily Income Distribution cum Capital Withdrawal</t>
        </is>
      </c>
      <c r="C12458" t="inlineStr">
        <is>
          <t xml:space="preserve">INF0GCD01206</t>
        </is>
      </c>
    </row>
    <row r="12459">
      <c r="A12459" t="inlineStr">
        <is>
          <t xml:space="preserve">Trust Mutual Fund</t>
        </is>
      </c>
      <c r="B12459" t="inlineStr">
        <is>
          <t xml:space="preserve">TRUSTMF Liquid Fund-Regular Plan-Growth</t>
        </is>
      </c>
      <c r="C12459" t="inlineStr">
        <is>
          <t xml:space="preserve">INF0GCD01198</t>
        </is>
      </c>
    </row>
    <row r="12460">
      <c r="A12460" t="inlineStr">
        <is>
          <t xml:space="preserve">Trust Mutual Fund</t>
        </is>
      </c>
      <c r="B12460" t="inlineStr">
        <is>
          <t xml:space="preserve">TRUSTMF Liquid Fund-Regular Plan-Monthly Income Distribution cum Capital Withdrawal</t>
        </is>
      </c>
      <c r="C12460" t="inlineStr">
        <is>
          <t xml:space="preserve">INF0GCD01248</t>
        </is>
      </c>
    </row>
    <row r="12461">
      <c r="A12461" t="inlineStr">
        <is>
          <t xml:space="preserve">Trust Mutual Fund</t>
        </is>
      </c>
      <c r="B12461" t="inlineStr">
        <is>
          <t xml:space="preserve">TRUSTMF Liquid Fund-Regular Plan-Weekly Income Distribution cum Capital Withdrawal</t>
        </is>
      </c>
      <c r="C12461" t="inlineStr">
        <is>
          <t xml:space="preserve">INF0GCD01214</t>
        </is>
      </c>
    </row>
    <row r="12462">
      <c r="A12462" t="inlineStr">
        <is>
          <t xml:space="preserve">Trust Mutual Fund</t>
        </is>
      </c>
      <c r="B12462" t="inlineStr">
        <is>
          <t xml:space="preserve">TRUSTMF MID CAP FUND -DIRECT -GROWTH</t>
        </is>
      </c>
      <c r="C12462" t="inlineStr">
        <is>
          <t xml:space="preserve">INF0GCD01875</t>
        </is>
      </c>
    </row>
    <row r="12463">
      <c r="A12463" t="inlineStr">
        <is>
          <t xml:space="preserve">Trust Mutual Fund</t>
        </is>
      </c>
      <c r="B12463" t="inlineStr">
        <is>
          <t xml:space="preserve">TRUSTMF MID CAP FUND -REGULAR-GROWTH</t>
        </is>
      </c>
      <c r="C12463" t="inlineStr">
        <is>
          <t xml:space="preserve">INF0GCD01883</t>
        </is>
      </c>
    </row>
    <row r="12464">
      <c r="A12464" t="inlineStr">
        <is>
          <t xml:space="preserve">Trust Mutual Fund</t>
        </is>
      </c>
      <c r="B12464" t="inlineStr">
        <is>
          <t xml:space="preserve">TRUSTMF MONEY MARKET FUND-DIRECT PLAN-GROWTH</t>
        </is>
      </c>
      <c r="C12464" t="inlineStr">
        <is>
          <t xml:space="preserve">INF0GCD01503</t>
        </is>
      </c>
    </row>
    <row r="12465">
      <c r="A12465" t="inlineStr">
        <is>
          <t xml:space="preserve">Trust Mutual Fund</t>
        </is>
      </c>
      <c r="B12465" t="inlineStr">
        <is>
          <t xml:space="preserve">TRUSTMF MONEY MARKET FUND-DIRECT PLAN-MONTHLY IDCW</t>
        </is>
      </c>
      <c r="C12465" t="inlineStr">
        <is>
          <t xml:space="preserve">INF0GCD01529</t>
        </is>
      </c>
    </row>
    <row r="12466">
      <c r="A12466" t="inlineStr">
        <is>
          <t xml:space="preserve">Trust Mutual Fund</t>
        </is>
      </c>
      <c r="B12466" t="inlineStr">
        <is>
          <t xml:space="preserve">TRUSTMF MONEY MARKET FUND-REGULAR PLAN-GROWTH</t>
        </is>
      </c>
      <c r="C12466" t="inlineStr">
        <is>
          <t xml:space="preserve">INF0GCD01479</t>
        </is>
      </c>
    </row>
    <row r="12467">
      <c r="A12467" t="inlineStr">
        <is>
          <t xml:space="preserve">Trust Mutual Fund</t>
        </is>
      </c>
      <c r="B12467" t="inlineStr">
        <is>
          <t xml:space="preserve">TRUSTMF MONEY MARKET FUND-REGULAR PLAN-MONTHLY IDCW</t>
        </is>
      </c>
      <c r="C12467" t="inlineStr">
        <is>
          <t xml:space="preserve">INF0GCD01495</t>
        </is>
      </c>
    </row>
    <row r="12468">
      <c r="A12468" t="inlineStr">
        <is>
          <t xml:space="preserve">Trust Mutual Fund</t>
        </is>
      </c>
      <c r="B12468" t="inlineStr">
        <is>
          <t xml:space="preserve">TRUSTMF MULTI CAP FUND -DIRECT PLAN-GROWTH</t>
        </is>
      </c>
      <c r="C12468" t="inlineStr">
        <is>
          <t xml:space="preserve">INF0GCD01834</t>
        </is>
      </c>
    </row>
    <row r="12469">
      <c r="A12469" t="inlineStr">
        <is>
          <t xml:space="preserve">Trust Mutual Fund</t>
        </is>
      </c>
      <c r="B12469" t="inlineStr">
        <is>
          <t xml:space="preserve">TRUSTMF MULTI CAP FUND -REGULAR PLAN-GROWTH</t>
        </is>
      </c>
      <c r="C12469" t="inlineStr">
        <is>
          <t xml:space="preserve">INF0GCD01842</t>
        </is>
      </c>
    </row>
    <row r="12470">
      <c r="A12470" t="inlineStr">
        <is>
          <t xml:space="preserve">Trust Mutual Fund</t>
        </is>
      </c>
      <c r="B12470" t="inlineStr">
        <is>
          <t xml:space="preserve">TRUSTMF Short Duration Fund-Direct Plan-Growth</t>
        </is>
      </c>
      <c r="C12470" t="inlineStr">
        <is>
          <t xml:space="preserve">INF0GCD01370</t>
        </is>
      </c>
    </row>
    <row r="12471">
      <c r="A12471" t="inlineStr">
        <is>
          <t xml:space="preserve">Trust Mutual Fund</t>
        </is>
      </c>
      <c r="B12471" t="inlineStr">
        <is>
          <t xml:space="preserve">TRUSTMF Short Duration Fund-Direct Plan-Monthly Income Distribution Cum Capital Withdrawal</t>
        </is>
      </c>
      <c r="C12471" t="inlineStr">
        <is>
          <t xml:space="preserve">INF0GCD01396</t>
        </is>
      </c>
    </row>
    <row r="12472">
      <c r="A12472" t="inlineStr">
        <is>
          <t xml:space="preserve">Trust Mutual Fund</t>
        </is>
      </c>
      <c r="B12472" t="inlineStr">
        <is>
          <t xml:space="preserve">TRUSTMF Short Duration Fund-Direct Plan-Quarterly Income Distribution Cum Capital Withdrawal</t>
        </is>
      </c>
      <c r="C12472" t="inlineStr">
        <is>
          <t xml:space="preserve">INF0GCD01412</t>
        </is>
      </c>
    </row>
    <row r="12473">
      <c r="A12473" t="inlineStr">
        <is>
          <t xml:space="preserve">Trust Mutual Fund</t>
        </is>
      </c>
      <c r="B12473" t="inlineStr">
        <is>
          <t xml:space="preserve">TRUSTMF Short Duration Fund-Direct Plan-Weekly Income Distribution Cum Capital Withdrawal</t>
        </is>
      </c>
      <c r="C12473" t="inlineStr">
        <is>
          <t xml:space="preserve">INF0GCD01388</t>
        </is>
      </c>
    </row>
    <row r="12474">
      <c r="A12474" t="inlineStr">
        <is>
          <t xml:space="preserve">Trust Mutual Fund</t>
        </is>
      </c>
      <c r="B12474" t="inlineStr">
        <is>
          <t xml:space="preserve">TRUSTMF Short Duration Fund-Regular Plan-Growth</t>
        </is>
      </c>
      <c r="C12474" t="inlineStr">
        <is>
          <t xml:space="preserve">INF0GCD01313</t>
        </is>
      </c>
    </row>
    <row r="12475">
      <c r="A12475" t="inlineStr">
        <is>
          <t xml:space="preserve">Trust Mutual Fund</t>
        </is>
      </c>
      <c r="B12475" t="inlineStr">
        <is>
          <t xml:space="preserve">TRUSTMF Short Duration Fund-Regular Plan-Monthly Income Distribution Cum Capital Withdrawal</t>
        </is>
      </c>
      <c r="C12475" t="inlineStr">
        <is>
          <t xml:space="preserve">INF0GCD01339</t>
        </is>
      </c>
    </row>
    <row r="12476">
      <c r="A12476" t="inlineStr">
        <is>
          <t xml:space="preserve">Trust Mutual Fund</t>
        </is>
      </c>
      <c r="B12476" t="inlineStr">
        <is>
          <t xml:space="preserve">TRUSTMF Short Duration Fund-Regular Plan-Quarterly Income Distribution Cum Capital Withdrawal</t>
        </is>
      </c>
      <c r="C12476" t="inlineStr">
        <is>
          <t xml:space="preserve">INF0GCD01354</t>
        </is>
      </c>
    </row>
    <row r="12477">
      <c r="A12477" t="inlineStr">
        <is>
          <t xml:space="preserve">Trust Mutual Fund</t>
        </is>
      </c>
      <c r="B12477" t="inlineStr">
        <is>
          <t xml:space="preserve">TRUSTMF Short Duration Fund-Regular Plan-Weekly Income Distribution Cum Capital Withdrawal</t>
        </is>
      </c>
      <c r="C12477" t="inlineStr">
        <is>
          <t xml:space="preserve">INF0GCD01321</t>
        </is>
      </c>
    </row>
    <row r="12478">
      <c r="A12478" t="inlineStr">
        <is>
          <t xml:space="preserve">Trust Mutual Fund</t>
        </is>
      </c>
      <c r="B12478" t="inlineStr">
        <is>
          <t xml:space="preserve">TRUSTMF SMALL CAP FUND -DIRECT PLAN-GROWTH</t>
        </is>
      </c>
      <c r="C12478" t="inlineStr">
        <is>
          <t xml:space="preserve">INF0GCD01800</t>
        </is>
      </c>
    </row>
    <row r="12479">
      <c r="A12479" t="inlineStr">
        <is>
          <t xml:space="preserve">Trust Mutual Fund</t>
        </is>
      </c>
      <c r="B12479" t="inlineStr">
        <is>
          <t xml:space="preserve">TRUSTMF SMALL CAP FUND -DIRECT PLAN-IDCW</t>
        </is>
      </c>
      <c r="C12479" t="inlineStr">
        <is>
          <t xml:space="preserve">INF0GCD01826</t>
        </is>
      </c>
    </row>
    <row r="12480">
      <c r="A12480" t="inlineStr">
        <is>
          <t xml:space="preserve">Trust Mutual Fund</t>
        </is>
      </c>
      <c r="B12480" t="inlineStr">
        <is>
          <t xml:space="preserve">TRUSTMF SMALL CAP FUND -REGULAR PLAN- IDCW</t>
        </is>
      </c>
      <c r="C12480" t="inlineStr">
        <is>
          <t xml:space="preserve">INF0GCD01792</t>
        </is>
      </c>
    </row>
    <row r="12481">
      <c r="A12481" t="inlineStr">
        <is>
          <t xml:space="preserve">Trust Mutual Fund</t>
        </is>
      </c>
      <c r="B12481" t="inlineStr">
        <is>
          <t xml:space="preserve">TRUSTMF SMALL CAP FUND -REGULAR PLAN-GROWTH</t>
        </is>
      </c>
      <c r="C12481" t="inlineStr">
        <is>
          <t xml:space="preserve">INF0GCD01776</t>
        </is>
      </c>
    </row>
    <row r="12482">
      <c r="A12482" t="inlineStr">
        <is>
          <t xml:space="preserve">Unifi Mutual Fund</t>
        </is>
      </c>
      <c r="B12482" t="inlineStr">
        <is>
          <t xml:space="preserve">Unifi Dynamic Asset Allocation Fund - Direct Growth</t>
        </is>
      </c>
      <c r="C12482" t="inlineStr">
        <is>
          <t xml:space="preserve">INF1MIY01015</t>
        </is>
      </c>
    </row>
    <row r="12483">
      <c r="A12483" t="inlineStr">
        <is>
          <t xml:space="preserve">Unifi Mutual Fund</t>
        </is>
      </c>
      <c r="B12483" t="inlineStr">
        <is>
          <t xml:space="preserve">Unifi Dynamic Asset Allocation Fund - Regular Growth</t>
        </is>
      </c>
      <c r="C12483" t="inlineStr">
        <is>
          <t xml:space="preserve">INF1MIY01023</t>
        </is>
      </c>
    </row>
    <row r="12484">
      <c r="A12484" t="inlineStr">
        <is>
          <t xml:space="preserve">Unifi Mutual Fund</t>
        </is>
      </c>
      <c r="B12484" t="inlineStr">
        <is>
          <t xml:space="preserve">Unifi Flexi Cap Fund - Direct Growth</t>
        </is>
      </c>
      <c r="C12484" t="inlineStr">
        <is>
          <t xml:space="preserve">INF1MIY01031</t>
        </is>
      </c>
    </row>
    <row r="12485">
      <c r="A12485" t="inlineStr">
        <is>
          <t xml:space="preserve">Unifi Mutual Fund</t>
        </is>
      </c>
      <c r="B12485" t="inlineStr">
        <is>
          <t xml:space="preserve">Unifi Flexi Cap Fund - Regular Growth</t>
        </is>
      </c>
      <c r="C12485" t="inlineStr">
        <is>
          <t xml:space="preserve">INF1MIY01049</t>
        </is>
      </c>
    </row>
    <row r="12486">
      <c r="A12486" t="inlineStr">
        <is>
          <t xml:space="preserve">Unifi Mutual Fund</t>
        </is>
      </c>
      <c r="B12486" t="inlineStr">
        <is>
          <t xml:space="preserve">Unifi Liquid Fund- Direct Growth</t>
        </is>
      </c>
      <c r="C12486" t="inlineStr">
        <is>
          <t xml:space="preserve">INF1MIY01056</t>
        </is>
      </c>
    </row>
    <row r="12487">
      <c r="A12487" t="inlineStr">
        <is>
          <t xml:space="preserve">Unifi Mutual Fund</t>
        </is>
      </c>
      <c r="B12487" t="inlineStr">
        <is>
          <t xml:space="preserve">Unifi Liquid Fund- Regular Growth</t>
        </is>
      </c>
      <c r="C12487" t="inlineStr">
        <is>
          <t xml:space="preserve">INF1MIY01064</t>
        </is>
      </c>
    </row>
    <row r="12488">
      <c r="A12488" t="inlineStr">
        <is>
          <t xml:space="preserve">Union Mutual Fund</t>
        </is>
      </c>
      <c r="B12488" t="inlineStr">
        <is>
          <t xml:space="preserve">Union Active Momentum Fund - Direct Plan - Growth Option</t>
        </is>
      </c>
      <c r="C12488" t="inlineStr">
        <is>
          <t xml:space="preserve">INF582M01KG9</t>
        </is>
      </c>
    </row>
    <row r="12489">
      <c r="A12489" t="inlineStr">
        <is>
          <t xml:space="preserve">Union Mutual Fund</t>
        </is>
      </c>
      <c r="B12489" t="inlineStr">
        <is>
          <t xml:space="preserve">Union Active Momentum Fund - Direct Plan - IDCW Option</t>
        </is>
      </c>
      <c r="C12489" t="inlineStr">
        <is>
          <t xml:space="preserve">INF582M01KH7</t>
        </is>
      </c>
    </row>
    <row r="12490">
      <c r="A12490" t="inlineStr">
        <is>
          <t xml:space="preserve">Union Mutual Fund</t>
        </is>
      </c>
      <c r="B12490" t="inlineStr">
        <is>
          <t xml:space="preserve">Union Active Momentum Fund - Regular Plan - Growth Option</t>
        </is>
      </c>
      <c r="C12490" t="inlineStr">
        <is>
          <t xml:space="preserve">INF582M01KC8</t>
        </is>
      </c>
    </row>
    <row r="12491">
      <c r="A12491" t="inlineStr">
        <is>
          <t xml:space="preserve">Union Mutual Fund</t>
        </is>
      </c>
      <c r="B12491" t="inlineStr">
        <is>
          <t xml:space="preserve">Union Active Momentum Fund - Regular Plan - IDCW Option</t>
        </is>
      </c>
      <c r="C12491" t="inlineStr">
        <is>
          <t xml:space="preserve">INF582M01KD6</t>
        </is>
      </c>
    </row>
    <row r="12492">
      <c r="A12492" t="inlineStr">
        <is>
          <t xml:space="preserve">Union Mutual Fund</t>
        </is>
      </c>
      <c r="B12492" t="inlineStr">
        <is>
          <t xml:space="preserve">Union Aggressive Hybrid Fund - Direct Plan - Growth Option</t>
        </is>
      </c>
      <c r="C12492" t="inlineStr">
        <is>
          <t xml:space="preserve">INF582M01GY0</t>
        </is>
      </c>
    </row>
    <row r="12493">
      <c r="A12493" t="inlineStr">
        <is>
          <t xml:space="preserve">Union Mutual Fund</t>
        </is>
      </c>
      <c r="B12493" t="inlineStr">
        <is>
          <t xml:space="preserve">Union Aggressive Hybrid Fund - Direct Plan - IDCW Option</t>
        </is>
      </c>
      <c r="C12493" t="inlineStr">
        <is>
          <t xml:space="preserve">INF582M01HA8</t>
        </is>
      </c>
    </row>
    <row r="12494">
      <c r="A12494" t="inlineStr">
        <is>
          <t xml:space="preserve">Union Mutual Fund</t>
        </is>
      </c>
      <c r="B12494" t="inlineStr">
        <is>
          <t xml:space="preserve">Union Aggressive Hybrid Fund - Regular Plan - Growth Option</t>
        </is>
      </c>
      <c r="C12494" t="inlineStr">
        <is>
          <t xml:space="preserve">INF582M01HC4</t>
        </is>
      </c>
    </row>
    <row r="12495">
      <c r="A12495" t="inlineStr">
        <is>
          <t xml:space="preserve">Union Mutual Fund</t>
        </is>
      </c>
      <c r="B12495" t="inlineStr">
        <is>
          <t xml:space="preserve">Union Aggressive Hybrid Fund - Regular Plan - IDCW Option</t>
        </is>
      </c>
      <c r="C12495" t="inlineStr">
        <is>
          <t xml:space="preserve">INF582M01HE0</t>
        </is>
      </c>
    </row>
    <row r="12496">
      <c r="A12496" t="inlineStr">
        <is>
          <t xml:space="preserve">Union Mutual Fund</t>
        </is>
      </c>
      <c r="B12496" t="inlineStr">
        <is>
          <t xml:space="preserve">Union Arbitrage Fund - Direct Plan - Growth Option</t>
        </is>
      </c>
      <c r="C12496" t="inlineStr">
        <is>
          <t xml:space="preserve">INF582M01ES7</t>
        </is>
      </c>
    </row>
    <row r="12497">
      <c r="A12497" t="inlineStr">
        <is>
          <t xml:space="preserve">Union Mutual Fund</t>
        </is>
      </c>
      <c r="B12497" t="inlineStr">
        <is>
          <t xml:space="preserve">Union Arbitrage Fund - Direct Plan - IDCW Option</t>
        </is>
      </c>
      <c r="C12497" t="inlineStr">
        <is>
          <t xml:space="preserve">INF582M01EU3</t>
        </is>
      </c>
    </row>
    <row r="12498">
      <c r="A12498" t="inlineStr">
        <is>
          <t xml:space="preserve">Union Mutual Fund</t>
        </is>
      </c>
      <c r="B12498" t="inlineStr">
        <is>
          <t xml:space="preserve">Union Arbitrage Fund - Regular Plan - Growth Option</t>
        </is>
      </c>
      <c r="C12498" t="inlineStr">
        <is>
          <t xml:space="preserve">INF582M01EW9</t>
        </is>
      </c>
    </row>
    <row r="12499">
      <c r="A12499" t="inlineStr">
        <is>
          <t xml:space="preserve">Union Mutual Fund</t>
        </is>
      </c>
      <c r="B12499" t="inlineStr">
        <is>
          <t xml:space="preserve">Union Arbitrage Fund - Regular Plan - IDCW Option</t>
        </is>
      </c>
      <c r="C12499" t="inlineStr">
        <is>
          <t xml:space="preserve">INF582M01EY5</t>
        </is>
      </c>
    </row>
    <row r="12500">
      <c r="A12500" t="inlineStr">
        <is>
          <t xml:space="preserve">Union Mutual Fund</t>
        </is>
      </c>
      <c r="B12500" t="inlineStr">
        <is>
          <t xml:space="preserve">Union Balanced Advantage Fund - Direct Plan - Growth Option</t>
        </is>
      </c>
      <c r="C12500" t="inlineStr">
        <is>
          <t xml:space="preserve">INF582M01DE9</t>
        </is>
      </c>
    </row>
    <row r="12501">
      <c r="A12501" t="inlineStr">
        <is>
          <t xml:space="preserve">Union Mutual Fund</t>
        </is>
      </c>
      <c r="B12501" t="inlineStr">
        <is>
          <t xml:space="preserve">Union Balanced Advantage Fund - Direct Plan - IDCW Option</t>
        </is>
      </c>
      <c r="C12501" t="inlineStr">
        <is>
          <t xml:space="preserve">INF582M01DG4</t>
        </is>
      </c>
    </row>
    <row r="12502">
      <c r="A12502" t="inlineStr">
        <is>
          <t xml:space="preserve">Union Mutual Fund</t>
        </is>
      </c>
      <c r="B12502" t="inlineStr">
        <is>
          <t xml:space="preserve">Union Balanced Advantage Fund - Regular Plan - Growth Option</t>
        </is>
      </c>
      <c r="C12502" t="inlineStr">
        <is>
          <t xml:space="preserve">INF582M01DI0</t>
        </is>
      </c>
    </row>
    <row r="12503">
      <c r="A12503" t="inlineStr">
        <is>
          <t xml:space="preserve">Union Mutual Fund</t>
        </is>
      </c>
      <c r="B12503" t="inlineStr">
        <is>
          <t xml:space="preserve">Union Balanced Advantage Fund - Regular Plan - IDCW Option</t>
        </is>
      </c>
      <c r="C12503" t="inlineStr">
        <is>
          <t xml:space="preserve">INF582M01DK6</t>
        </is>
      </c>
    </row>
    <row r="12504">
      <c r="A12504" t="inlineStr">
        <is>
          <t xml:space="preserve">Union Mutual Fund</t>
        </is>
      </c>
      <c r="B12504" t="inlineStr">
        <is>
          <t xml:space="preserve">Union Business Cycle Fund - Direct Plan - Growth Option</t>
        </is>
      </c>
      <c r="C12504" t="inlineStr">
        <is>
          <t xml:space="preserve">INF582M01JQ0</t>
        </is>
      </c>
    </row>
    <row r="12505">
      <c r="A12505" t="inlineStr">
        <is>
          <t xml:space="preserve">Union Mutual Fund</t>
        </is>
      </c>
      <c r="B12505" t="inlineStr">
        <is>
          <t xml:space="preserve">Union Business Cycle Fund - Direct Plan - IDCW Option</t>
        </is>
      </c>
      <c r="C12505" t="inlineStr">
        <is>
          <t xml:space="preserve">INF582M01JR8</t>
        </is>
      </c>
    </row>
    <row r="12506">
      <c r="A12506" t="inlineStr">
        <is>
          <t xml:space="preserve">Union Mutual Fund</t>
        </is>
      </c>
      <c r="B12506" t="inlineStr">
        <is>
          <t xml:space="preserve">Union Business Cycle Fund - Regular Plan - Growth Option</t>
        </is>
      </c>
      <c r="C12506" t="inlineStr">
        <is>
          <t xml:space="preserve">INF582M01JM9</t>
        </is>
      </c>
    </row>
    <row r="12507">
      <c r="A12507" t="inlineStr">
        <is>
          <t xml:space="preserve">Union Mutual Fund</t>
        </is>
      </c>
      <c r="B12507" t="inlineStr">
        <is>
          <t xml:space="preserve">Union Business Cycle Fund - Regular Plan - IDCW Option</t>
        </is>
      </c>
      <c r="C12507" t="inlineStr">
        <is>
          <t xml:space="preserve">INF582M01JN7</t>
        </is>
      </c>
    </row>
    <row r="12508">
      <c r="A12508" t="inlineStr">
        <is>
          <t xml:space="preserve">Union Mutual Fund</t>
        </is>
      </c>
      <c r="B12508" t="inlineStr">
        <is>
          <t xml:space="preserve">Union Children's Fund - Direct Plan - Growth Option</t>
        </is>
      </c>
      <c r="C12508" t="inlineStr">
        <is>
          <t xml:space="preserve">INF582M01JK3</t>
        </is>
      </c>
    </row>
    <row r="12509">
      <c r="A12509" t="inlineStr">
        <is>
          <t xml:space="preserve">Union Mutual Fund</t>
        </is>
      </c>
      <c r="B12509" t="inlineStr">
        <is>
          <t xml:space="preserve">Union Children's Fund - Direct Plan - IDCW Option</t>
        </is>
      </c>
      <c r="C12509" t="inlineStr">
        <is>
          <t xml:space="preserve">INF582M01JL1</t>
        </is>
      </c>
    </row>
    <row r="12510">
      <c r="A12510" t="inlineStr">
        <is>
          <t xml:space="preserve">Union Mutual Fund</t>
        </is>
      </c>
      <c r="B12510" t="inlineStr">
        <is>
          <t xml:space="preserve">Union Children's Fund - Regular Plan - Growth Option</t>
        </is>
      </c>
      <c r="C12510" t="inlineStr">
        <is>
          <t xml:space="preserve">INF582M01JI7</t>
        </is>
      </c>
    </row>
    <row r="12511">
      <c r="A12511" t="inlineStr">
        <is>
          <t xml:space="preserve">Union Mutual Fund</t>
        </is>
      </c>
      <c r="B12511" t="inlineStr">
        <is>
          <t xml:space="preserve">Union Children's Fund - Regular Plan - IDCW Option</t>
        </is>
      </c>
      <c r="C12511" t="inlineStr">
        <is>
          <t xml:space="preserve">INF582M01JJ5</t>
        </is>
      </c>
    </row>
    <row r="12512">
      <c r="A12512" t="inlineStr">
        <is>
          <t xml:space="preserve">Union Mutual Fund</t>
        </is>
      </c>
      <c r="B12512" t="inlineStr">
        <is>
          <t xml:space="preserve">Union Consumption Fund - Direct Plan - Growth Option</t>
        </is>
      </c>
      <c r="C12512" t="inlineStr">
        <is>
          <t xml:space="preserve">INF582M01MH3</t>
        </is>
      </c>
    </row>
    <row r="12513">
      <c r="A12513" t="inlineStr">
        <is>
          <t xml:space="preserve">Union Mutual Fund</t>
        </is>
      </c>
      <c r="B12513" t="inlineStr">
        <is>
          <t xml:space="preserve">Union Consumption Fund - Direct Plan - IDCW Option</t>
        </is>
      </c>
      <c r="C12513" t="inlineStr">
        <is>
          <t xml:space="preserve">INF582M01MI1</t>
        </is>
      </c>
    </row>
    <row r="12514">
      <c r="A12514" t="inlineStr">
        <is>
          <t xml:space="preserve">Union Mutual Fund</t>
        </is>
      </c>
      <c r="B12514" t="inlineStr">
        <is>
          <t xml:space="preserve">Union Consumption Fund - Regular Plan - Growth Option</t>
        </is>
      </c>
      <c r="C12514" t="inlineStr">
        <is>
          <t xml:space="preserve">INF582M01MD2</t>
        </is>
      </c>
    </row>
    <row r="12515">
      <c r="A12515" t="inlineStr">
        <is>
          <t xml:space="preserve">Union Mutual Fund</t>
        </is>
      </c>
      <c r="B12515" t="inlineStr">
        <is>
          <t xml:space="preserve">Union Consumption Fund - Regular Plan - IDCW Option</t>
        </is>
      </c>
      <c r="C12515" t="inlineStr">
        <is>
          <t xml:space="preserve">INF582M01ME0</t>
        </is>
      </c>
    </row>
    <row r="12516">
      <c r="A12516" t="inlineStr">
        <is>
          <t xml:space="preserve">Union Mutual Fund</t>
        </is>
      </c>
      <c r="B12516" t="inlineStr">
        <is>
          <t xml:space="preserve">Union Corporate Bond Fund - Direct Plan - Growth Option</t>
        </is>
      </c>
      <c r="C12516" t="inlineStr">
        <is>
          <t xml:space="preserve">INF582M01DU5</t>
        </is>
      </c>
    </row>
    <row r="12517">
      <c r="A12517" t="inlineStr">
        <is>
          <t xml:space="preserve">Union Mutual Fund</t>
        </is>
      </c>
      <c r="B12517" t="inlineStr">
        <is>
          <t xml:space="preserve">Union Corporate Bond Fund - Direct Plan - IDCW Option</t>
        </is>
      </c>
      <c r="C12517" t="inlineStr">
        <is>
          <t xml:space="preserve">INF582M01DW1</t>
        </is>
      </c>
    </row>
    <row r="12518">
      <c r="A12518" t="inlineStr">
        <is>
          <t xml:space="preserve">Union Mutual Fund</t>
        </is>
      </c>
      <c r="B12518" t="inlineStr">
        <is>
          <t xml:space="preserve">Union Corporate Bond Fund - Regular Plan - Growth Option</t>
        </is>
      </c>
      <c r="C12518" t="inlineStr">
        <is>
          <t xml:space="preserve">INF582M01DY7</t>
        </is>
      </c>
    </row>
    <row r="12519">
      <c r="A12519" t="inlineStr">
        <is>
          <t xml:space="preserve">Union Mutual Fund</t>
        </is>
      </c>
      <c r="B12519" t="inlineStr">
        <is>
          <t xml:space="preserve">Union Corporate Bond Fund - Regular Plan - IDCW Option</t>
        </is>
      </c>
      <c r="C12519" t="inlineStr">
        <is>
          <t xml:space="preserve">INF582M01EA5</t>
        </is>
      </c>
    </row>
    <row r="12520">
      <c r="A12520" t="inlineStr">
        <is>
          <t xml:space="preserve">Union Mutual Fund</t>
        </is>
      </c>
      <c r="B12520" t="inlineStr">
        <is>
          <t xml:space="preserve">Union Diversified Equity All Cap Active FOF - Direct Plan - Growth Option</t>
        </is>
      </c>
      <c r="C12520" t="inlineStr">
        <is>
          <t xml:space="preserve">INF582M01LZ7</t>
        </is>
      </c>
    </row>
    <row r="12521">
      <c r="A12521" t="inlineStr">
        <is>
          <t xml:space="preserve">Union Mutual Fund</t>
        </is>
      </c>
      <c r="B12521" t="inlineStr">
        <is>
          <t xml:space="preserve">Union Diversified Equity All Cap Active FOF - Direct Plan - IDCW Option</t>
        </is>
      </c>
      <c r="C12521" t="inlineStr">
        <is>
          <t xml:space="preserve">INF582M01MA8</t>
        </is>
      </c>
    </row>
    <row r="12522">
      <c r="A12522" t="inlineStr">
        <is>
          <t xml:space="preserve">Union Mutual Fund</t>
        </is>
      </c>
      <c r="B12522" t="inlineStr">
        <is>
          <t xml:space="preserve">Union Diversified Equity All Cap Active FOF - Regular Plan - Growth Option</t>
        </is>
      </c>
      <c r="C12522" t="inlineStr">
        <is>
          <t xml:space="preserve">INF582M01LV6</t>
        </is>
      </c>
    </row>
    <row r="12523">
      <c r="A12523" t="inlineStr">
        <is>
          <t xml:space="preserve">Union Mutual Fund</t>
        </is>
      </c>
      <c r="B12523" t="inlineStr">
        <is>
          <t xml:space="preserve">Union Diversified Equity All Cap Active FOF - Regular Plan - IDCW Option</t>
        </is>
      </c>
      <c r="C12523" t="inlineStr">
        <is>
          <t xml:space="preserve">INF582M01LW4</t>
        </is>
      </c>
    </row>
    <row r="12524">
      <c r="A12524" t="inlineStr">
        <is>
          <t xml:space="preserve">Union Mutual Fund</t>
        </is>
      </c>
      <c r="B12524" t="inlineStr">
        <is>
          <t xml:space="preserve">Union Dynamic Bond Fund - Direct Plan - Growth Option</t>
        </is>
      </c>
      <c r="C12524" t="inlineStr">
        <is>
          <t xml:space="preserve">INF582M01799</t>
        </is>
      </c>
    </row>
    <row r="12525">
      <c r="A12525" t="inlineStr">
        <is>
          <t xml:space="preserve">Union Mutual Fund</t>
        </is>
      </c>
      <c r="B12525" t="inlineStr">
        <is>
          <t xml:space="preserve">Union Dynamic Bond Fund - Direct Plan - IDCW Option</t>
        </is>
      </c>
      <c r="C12525" t="inlineStr">
        <is>
          <t xml:space="preserve">INF582M01815</t>
        </is>
      </c>
    </row>
    <row r="12526">
      <c r="A12526" t="inlineStr">
        <is>
          <t xml:space="preserve">Union Mutual Fund</t>
        </is>
      </c>
      <c r="B12526" t="inlineStr">
        <is>
          <t xml:space="preserve">Union Dynamic Bond Fund - Growth Option</t>
        </is>
      </c>
      <c r="C12526" t="inlineStr">
        <is>
          <t xml:space="preserve">INF582M01336</t>
        </is>
      </c>
    </row>
    <row r="12527">
      <c r="A12527" t="inlineStr">
        <is>
          <t xml:space="preserve">Union Mutual Fund</t>
        </is>
      </c>
      <c r="B12527" t="inlineStr">
        <is>
          <t xml:space="preserve">Union Dynamic Bond Fund - IDCW Option</t>
        </is>
      </c>
      <c r="C12527" t="inlineStr">
        <is>
          <t xml:space="preserve">INF582M01351</t>
        </is>
      </c>
    </row>
    <row r="12528">
      <c r="A12528" t="inlineStr">
        <is>
          <t xml:space="preserve">Union Mutual Fund</t>
        </is>
      </c>
      <c r="B12528" t="inlineStr">
        <is>
          <t xml:space="preserve">Union ELSS Tax Saver Fund - Direct Plan - Growth Option</t>
        </is>
      </c>
      <c r="C12528" t="inlineStr">
        <is>
          <t xml:space="preserve">INF582M01765</t>
        </is>
      </c>
    </row>
    <row r="12529">
      <c r="A12529" t="inlineStr">
        <is>
          <t xml:space="preserve">Union Mutual Fund</t>
        </is>
      </c>
      <c r="B12529" t="inlineStr">
        <is>
          <t xml:space="preserve">Union ELSS Tax Saver Fund - Direct Plan - IDCW Option</t>
        </is>
      </c>
      <c r="C12529" t="inlineStr">
        <is>
          <t xml:space="preserve">INF582M01781</t>
        </is>
      </c>
    </row>
    <row r="12530">
      <c r="A12530" t="inlineStr">
        <is>
          <t xml:space="preserve">Union Mutual Fund</t>
        </is>
      </c>
      <c r="B12530" t="inlineStr">
        <is>
          <t xml:space="preserve">Union ELSS Tax Saver Fund - Growth Option</t>
        </is>
      </c>
      <c r="C12530" t="inlineStr">
        <is>
          <t xml:space="preserve">INF582M01302</t>
        </is>
      </c>
    </row>
    <row r="12531">
      <c r="A12531" t="inlineStr">
        <is>
          <t xml:space="preserve">Union Mutual Fund</t>
        </is>
      </c>
      <c r="B12531" t="inlineStr">
        <is>
          <t xml:space="preserve">Union ELSS Tax Saver Fund - IDCW Option</t>
        </is>
      </c>
      <c r="C12531" t="inlineStr">
        <is>
          <t xml:space="preserve">INF582M01328</t>
        </is>
      </c>
    </row>
    <row r="12532">
      <c r="A12532" t="inlineStr">
        <is>
          <t xml:space="preserve">Union Mutual Fund</t>
        </is>
      </c>
      <c r="B12532" t="inlineStr">
        <is>
          <t xml:space="preserve">Union Equity Savings Fund - Direct Plan - Growth Option</t>
        </is>
      </c>
      <c r="C12532" t="inlineStr">
        <is>
          <t xml:space="preserve">INF582M01EC1</t>
        </is>
      </c>
    </row>
    <row r="12533">
      <c r="A12533" t="inlineStr">
        <is>
          <t xml:space="preserve">Union Mutual Fund</t>
        </is>
      </c>
      <c r="B12533" t="inlineStr">
        <is>
          <t xml:space="preserve">Union Equity Savings Fund - Direct Plan - IDCW Option</t>
        </is>
      </c>
      <c r="C12533" t="inlineStr">
        <is>
          <t xml:space="preserve">INF582M01EE7</t>
        </is>
      </c>
    </row>
    <row r="12534">
      <c r="A12534" t="inlineStr">
        <is>
          <t xml:space="preserve">Union Mutual Fund</t>
        </is>
      </c>
      <c r="B12534" t="inlineStr">
        <is>
          <t xml:space="preserve">Union Equity Savings Fund - Regular Plan - Growth Option</t>
        </is>
      </c>
      <c r="C12534" t="inlineStr">
        <is>
          <t xml:space="preserve">INF582M01EG2</t>
        </is>
      </c>
    </row>
    <row r="12535">
      <c r="A12535" t="inlineStr">
        <is>
          <t xml:space="preserve">Union Mutual Fund</t>
        </is>
      </c>
      <c r="B12535" t="inlineStr">
        <is>
          <t xml:space="preserve">Union Equity Savings Fund - Regular Plan - IDCW Option</t>
        </is>
      </c>
      <c r="C12535" t="inlineStr">
        <is>
          <t xml:space="preserve">INF582M01EI8</t>
        </is>
      </c>
    </row>
    <row r="12536">
      <c r="A12536" t="inlineStr">
        <is>
          <t xml:space="preserve">Union Mutual Fund</t>
        </is>
      </c>
      <c r="B12536" t="inlineStr">
        <is>
          <t xml:space="preserve">Union Fixed Maturity Plan - Series 13 - Direct Plan - Growth Option</t>
        </is>
      </c>
      <c r="C12536" t="inlineStr">
        <is>
          <t xml:space="preserve">INF582M01IW0</t>
        </is>
      </c>
    </row>
    <row r="12537">
      <c r="A12537" t="inlineStr">
        <is>
          <t xml:space="preserve">Union Mutual Fund</t>
        </is>
      </c>
      <c r="B12537" t="inlineStr">
        <is>
          <t xml:space="preserve">Union Fixed Maturity Plan - Series 13 - Regular Plan - Growth Option</t>
        </is>
      </c>
      <c r="C12537" t="inlineStr">
        <is>
          <t xml:space="preserve">INF582M01IY6</t>
        </is>
      </c>
    </row>
    <row r="12538">
      <c r="A12538" t="inlineStr">
        <is>
          <t xml:space="preserve">Union Mutual Fund</t>
        </is>
      </c>
      <c r="B12538" t="inlineStr">
        <is>
          <t xml:space="preserve">Union Fixed Maturity Plan - Series 13 - Regular Plan - IDCW Payout Option</t>
        </is>
      </c>
      <c r="C12538" t="inlineStr">
        <is>
          <t xml:space="preserve">INF582M01IZ3</t>
        </is>
      </c>
    </row>
    <row r="12539">
      <c r="A12539" t="inlineStr">
        <is>
          <t xml:space="preserve">Union Mutual Fund</t>
        </is>
      </c>
      <c r="B12539" t="inlineStr">
        <is>
          <t xml:space="preserve">Union Flexi Cap Fund - Direct Plan - Growth Option</t>
        </is>
      </c>
      <c r="C12539" t="inlineStr">
        <is>
          <t xml:space="preserve">INF582M01633</t>
        </is>
      </c>
    </row>
    <row r="12540">
      <c r="A12540" t="inlineStr">
        <is>
          <t xml:space="preserve">Union Mutual Fund</t>
        </is>
      </c>
      <c r="B12540" t="inlineStr">
        <is>
          <t xml:space="preserve">Union Flexi Cap Fund - Direct Plan - IDCW Option</t>
        </is>
      </c>
      <c r="C12540" t="inlineStr">
        <is>
          <t xml:space="preserve">INF582M01658</t>
        </is>
      </c>
    </row>
    <row r="12541">
      <c r="A12541" t="inlineStr">
        <is>
          <t xml:space="preserve">Union Mutual Fund</t>
        </is>
      </c>
      <c r="B12541" t="inlineStr">
        <is>
          <t xml:space="preserve">Union Flexi Cap Fund - Growth Option</t>
        </is>
      </c>
      <c r="C12541" t="inlineStr">
        <is>
          <t xml:space="preserve">INF582M01104</t>
        </is>
      </c>
    </row>
    <row r="12542">
      <c r="A12542" t="inlineStr">
        <is>
          <t xml:space="preserve">Union Mutual Fund</t>
        </is>
      </c>
      <c r="B12542" t="inlineStr">
        <is>
          <t xml:space="preserve">Union Flexi Cap Fund - IDCW Option</t>
        </is>
      </c>
      <c r="C12542" t="inlineStr">
        <is>
          <t xml:space="preserve">INF582M01120</t>
        </is>
      </c>
    </row>
    <row r="12543">
      <c r="A12543" t="inlineStr">
        <is>
          <t xml:space="preserve">Union Mutual Fund</t>
        </is>
      </c>
      <c r="B12543" t="inlineStr">
        <is>
          <t xml:space="preserve">Union Focused Fund - Direct Plan - Growth Option</t>
        </is>
      </c>
      <c r="C12543" t="inlineStr">
        <is>
          <t xml:space="preserve">INF582M01FS4</t>
        </is>
      </c>
    </row>
    <row r="12544">
      <c r="A12544" t="inlineStr">
        <is>
          <t xml:space="preserve">Union Mutual Fund</t>
        </is>
      </c>
      <c r="B12544" t="inlineStr">
        <is>
          <t xml:space="preserve">Union Focused Fund - Direct Plan - IDCW Option</t>
        </is>
      </c>
      <c r="C12544" t="inlineStr">
        <is>
          <t xml:space="preserve">INF582M01FU0</t>
        </is>
      </c>
    </row>
    <row r="12545">
      <c r="A12545" t="inlineStr">
        <is>
          <t xml:space="preserve">Union Mutual Fund</t>
        </is>
      </c>
      <c r="B12545" t="inlineStr">
        <is>
          <t xml:space="preserve">Union Focused Fund - Regular Plan - Growth Option</t>
        </is>
      </c>
      <c r="C12545" t="inlineStr">
        <is>
          <t xml:space="preserve">INF582M01FW6</t>
        </is>
      </c>
    </row>
    <row r="12546">
      <c r="A12546" t="inlineStr">
        <is>
          <t xml:space="preserve">Union Mutual Fund</t>
        </is>
      </c>
      <c r="B12546" t="inlineStr">
        <is>
          <t xml:space="preserve">Union Focused Fund - Regular Plan - IDCW Option</t>
        </is>
      </c>
      <c r="C12546" t="inlineStr">
        <is>
          <t xml:space="preserve">INF582M01FY2</t>
        </is>
      </c>
    </row>
    <row r="12547">
      <c r="A12547" t="inlineStr">
        <is>
          <t xml:space="preserve">Union Mutual Fund</t>
        </is>
      </c>
      <c r="B12547" t="inlineStr">
        <is>
          <t xml:space="preserve">Union Gilt Fund - Direct Plan - Annual IDCW Option</t>
        </is>
      </c>
      <c r="C12547" t="inlineStr">
        <is>
          <t xml:space="preserve">INF582M01IA6</t>
        </is>
      </c>
    </row>
    <row r="12548">
      <c r="A12548" t="inlineStr">
        <is>
          <t xml:space="preserve">Union Mutual Fund</t>
        </is>
      </c>
      <c r="B12548" t="inlineStr">
        <is>
          <t xml:space="preserve">Union Gilt Fund - Direct Plan - Growth Option</t>
        </is>
      </c>
      <c r="C12548" t="inlineStr">
        <is>
          <t xml:space="preserve">INF582M01HW2</t>
        </is>
      </c>
    </row>
    <row r="12549">
      <c r="A12549" t="inlineStr">
        <is>
          <t xml:space="preserve">Union Mutual Fund</t>
        </is>
      </c>
      <c r="B12549" t="inlineStr">
        <is>
          <t xml:space="preserve">Union Gilt Fund - Direct Plan - Half-yearly IDCW Option</t>
        </is>
      </c>
      <c r="C12549" t="inlineStr">
        <is>
          <t xml:space="preserve">INF582M01HX0</t>
        </is>
      </c>
    </row>
    <row r="12550">
      <c r="A12550" t="inlineStr">
        <is>
          <t xml:space="preserve">Union Mutual Fund</t>
        </is>
      </c>
      <c r="B12550" t="inlineStr">
        <is>
          <t xml:space="preserve">Union Gilt Fund - Regular Plan - Annual IDCW Option</t>
        </is>
      </c>
      <c r="C12550" t="inlineStr">
        <is>
          <t xml:space="preserve">INF582M01IH1</t>
        </is>
      </c>
    </row>
    <row r="12551">
      <c r="A12551" t="inlineStr">
        <is>
          <t xml:space="preserve">Union Mutual Fund</t>
        </is>
      </c>
      <c r="B12551" t="inlineStr">
        <is>
          <t xml:space="preserve">Union Gilt Fund - Regular Plan - Growth Option</t>
        </is>
      </c>
      <c r="C12551" t="inlineStr">
        <is>
          <t xml:space="preserve">INF582M01ID0</t>
        </is>
      </c>
    </row>
    <row r="12552">
      <c r="A12552" t="inlineStr">
        <is>
          <t xml:space="preserve">Union Mutual Fund</t>
        </is>
      </c>
      <c r="B12552" t="inlineStr">
        <is>
          <t xml:space="preserve">Union Gilt Fund - Regular Plan - Half-yearly IDCW Option</t>
        </is>
      </c>
      <c r="C12552" t="inlineStr">
        <is>
          <t xml:space="preserve">INF582M01IE8</t>
        </is>
      </c>
    </row>
    <row r="12553">
      <c r="A12553" t="inlineStr">
        <is>
          <t xml:space="preserve">Union Mutual Fund</t>
        </is>
      </c>
      <c r="B12553" t="inlineStr">
        <is>
          <t xml:space="preserve">Union Gold ETF</t>
        </is>
      </c>
      <c r="C12553" t="inlineStr">
        <is>
          <t xml:space="preserve">INF582M01KS4</t>
        </is>
      </c>
    </row>
    <row r="12554">
      <c r="A12554" t="inlineStr">
        <is>
          <t xml:space="preserve">Union Mutual Fund</t>
        </is>
      </c>
      <c r="B12554" t="inlineStr">
        <is>
          <t xml:space="preserve">Union Gold ETF Fund of Fund - Direct Plan - Growth Option</t>
        </is>
      </c>
      <c r="C12554" t="inlineStr">
        <is>
          <t xml:space="preserve">INF582M01LA0</t>
        </is>
      </c>
    </row>
    <row r="12555">
      <c r="A12555" t="inlineStr">
        <is>
          <t xml:space="preserve">Union Mutual Fund</t>
        </is>
      </c>
      <c r="B12555" t="inlineStr">
        <is>
          <t xml:space="preserve">Union Gold ETF Fund of Fund - Direct Plan - IDCW Option</t>
        </is>
      </c>
      <c r="C12555" t="inlineStr">
        <is>
          <t xml:space="preserve">INF582M01KW6</t>
        </is>
      </c>
    </row>
    <row r="12556">
      <c r="A12556" t="inlineStr">
        <is>
          <t xml:space="preserve">Union Mutual Fund</t>
        </is>
      </c>
      <c r="B12556" t="inlineStr">
        <is>
          <t xml:space="preserve">Union Gold ETF Fund of Fund - Regular Plan - Growth Option</t>
        </is>
      </c>
      <c r="C12556" t="inlineStr">
        <is>
          <t xml:space="preserve">INF582M01KT2</t>
        </is>
      </c>
    </row>
    <row r="12557">
      <c r="A12557" t="inlineStr">
        <is>
          <t xml:space="preserve">Union Mutual Fund</t>
        </is>
      </c>
      <c r="B12557" t="inlineStr">
        <is>
          <t xml:space="preserve">Union Gold ETF Fund of Fund - Regular Plan - IDCW Option</t>
        </is>
      </c>
      <c r="C12557" t="inlineStr">
        <is>
          <t xml:space="preserve">INF582M01KU0</t>
        </is>
      </c>
    </row>
    <row r="12558">
      <c r="A12558" t="inlineStr">
        <is>
          <t xml:space="preserve">Union Mutual Fund</t>
        </is>
      </c>
      <c r="B12558" t="inlineStr">
        <is>
          <t xml:space="preserve">Union Income Plus Arbitrage Active FOF - Direct Plan - Growth Option</t>
        </is>
      </c>
      <c r="C12558" t="inlineStr">
        <is>
          <t xml:space="preserve">INF582M01LF9</t>
        </is>
      </c>
    </row>
    <row r="12559">
      <c r="A12559" t="inlineStr">
        <is>
          <t xml:space="preserve">Union Mutual Fund</t>
        </is>
      </c>
      <c r="B12559" t="inlineStr">
        <is>
          <t xml:space="preserve">Union Income Plus Arbitrage Active FOF - Direct Plan - IDCW Option</t>
        </is>
      </c>
      <c r="C12559" t="inlineStr">
        <is>
          <t xml:space="preserve">INF582M01LG7</t>
        </is>
      </c>
    </row>
    <row r="12560">
      <c r="A12560" t="inlineStr">
        <is>
          <t xml:space="preserve">Union Mutual Fund</t>
        </is>
      </c>
      <c r="B12560" t="inlineStr">
        <is>
          <t xml:space="preserve">Union Income Plus Arbitrage Active FOF - Regular Plan - Growth Option</t>
        </is>
      </c>
      <c r="C12560" t="inlineStr">
        <is>
          <t xml:space="preserve">INF582M01LB8</t>
        </is>
      </c>
    </row>
    <row r="12561">
      <c r="A12561" t="inlineStr">
        <is>
          <t xml:space="preserve">Union Mutual Fund</t>
        </is>
      </c>
      <c r="B12561" t="inlineStr">
        <is>
          <t xml:space="preserve">Union Income Plus Arbitrage Active FOF - Regular Plan - IDCW Option</t>
        </is>
      </c>
      <c r="C12561" t="inlineStr">
        <is>
          <t xml:space="preserve">INF582M01LC6</t>
        </is>
      </c>
    </row>
    <row r="12562">
      <c r="A12562" t="inlineStr">
        <is>
          <t xml:space="preserve">Union Mutual Fund</t>
        </is>
      </c>
      <c r="B12562" t="inlineStr">
        <is>
          <t xml:space="preserve">Union Innovation &amp; Opportunities Fund - Direct Plan - Growth Option</t>
        </is>
      </c>
      <c r="C12562" t="inlineStr">
        <is>
          <t xml:space="preserve">INF582M01JE6</t>
        </is>
      </c>
    </row>
    <row r="12563">
      <c r="A12563" t="inlineStr">
        <is>
          <t xml:space="preserve">Union Mutual Fund</t>
        </is>
      </c>
      <c r="B12563" t="inlineStr">
        <is>
          <t xml:space="preserve">Union Innovation &amp; Opportunities Fund - Direct Plan - IDCW Option</t>
        </is>
      </c>
      <c r="C12563" t="inlineStr">
        <is>
          <t xml:space="preserve">INF582M01JF3</t>
        </is>
      </c>
    </row>
    <row r="12564">
      <c r="A12564" t="inlineStr">
        <is>
          <t xml:space="preserve">Union Mutual Fund</t>
        </is>
      </c>
      <c r="B12564" t="inlineStr">
        <is>
          <t xml:space="preserve">Union Innovation &amp; Opportunities Fund - Regular Plan - Growth Option</t>
        </is>
      </c>
      <c r="C12564" t="inlineStr">
        <is>
          <t xml:space="preserve">INF582M01JA4</t>
        </is>
      </c>
    </row>
    <row r="12565">
      <c r="A12565" t="inlineStr">
        <is>
          <t xml:space="preserve">Union Mutual Fund</t>
        </is>
      </c>
      <c r="B12565" t="inlineStr">
        <is>
          <t xml:space="preserve">Union Innovation &amp; Opportunities Fund - Regular Plan - IDCW Option</t>
        </is>
      </c>
      <c r="C12565" t="inlineStr">
        <is>
          <t xml:space="preserve">INF582M01JB2</t>
        </is>
      </c>
    </row>
    <row r="12566">
      <c r="A12566" t="inlineStr">
        <is>
          <t xml:space="preserve">Union Mutual Fund</t>
        </is>
      </c>
      <c r="B12566" t="inlineStr">
        <is>
          <t xml:space="preserve">Union Large &amp; Midcap Fund - Direct Plan - Growth Option</t>
        </is>
      </c>
      <c r="C12566" t="inlineStr">
        <is>
          <t xml:space="preserve">INF582M01GA0</t>
        </is>
      </c>
    </row>
    <row r="12567">
      <c r="A12567" t="inlineStr">
        <is>
          <t xml:space="preserve">Union Mutual Fund</t>
        </is>
      </c>
      <c r="B12567" t="inlineStr">
        <is>
          <t xml:space="preserve">Union Large &amp; Midcap Fund - Direct Plan - IDCW Option</t>
        </is>
      </c>
      <c r="C12567" t="inlineStr">
        <is>
          <t xml:space="preserve">INF582M01GC6</t>
        </is>
      </c>
    </row>
    <row r="12568">
      <c r="A12568" t="inlineStr">
        <is>
          <t xml:space="preserve">Union Mutual Fund</t>
        </is>
      </c>
      <c r="B12568" t="inlineStr">
        <is>
          <t xml:space="preserve">Union Large &amp; Midcap Fund - Regular Plan - Growth Option</t>
        </is>
      </c>
      <c r="C12568" t="inlineStr">
        <is>
          <t xml:space="preserve">INF582M01GD4</t>
        </is>
      </c>
    </row>
    <row r="12569">
      <c r="A12569" t="inlineStr">
        <is>
          <t xml:space="preserve">Union Mutual Fund</t>
        </is>
      </c>
      <c r="B12569" t="inlineStr">
        <is>
          <t xml:space="preserve">Union Large &amp; Midcap Fund - Regular Plan - IDCW Option</t>
        </is>
      </c>
      <c r="C12569" t="inlineStr">
        <is>
          <t xml:space="preserve">INF582M01GG7</t>
        </is>
      </c>
    </row>
    <row r="12570">
      <c r="A12570" t="inlineStr">
        <is>
          <t xml:space="preserve">Union Mutual Fund</t>
        </is>
      </c>
      <c r="B12570" t="inlineStr">
        <is>
          <t xml:space="preserve">Union Largecap Fund - Direct Plan - Growth Option</t>
        </is>
      </c>
      <c r="C12570" t="inlineStr">
        <is>
          <t xml:space="preserve">INF582M01CU7</t>
        </is>
      </c>
    </row>
    <row r="12571">
      <c r="A12571" t="inlineStr">
        <is>
          <t xml:space="preserve">Union Mutual Fund</t>
        </is>
      </c>
      <c r="B12571" t="inlineStr">
        <is>
          <t xml:space="preserve">Union Largecap Fund - Direct Plan - IDCW Option</t>
        </is>
      </c>
      <c r="C12571" t="inlineStr">
        <is>
          <t xml:space="preserve">INF582M01CV5</t>
        </is>
      </c>
    </row>
    <row r="12572">
      <c r="A12572" t="inlineStr">
        <is>
          <t xml:space="preserve">Union Mutual Fund</t>
        </is>
      </c>
      <c r="B12572" t="inlineStr">
        <is>
          <t xml:space="preserve">Union Largecap Fund - Regular Plan - Growth Option</t>
        </is>
      </c>
      <c r="C12572" t="inlineStr">
        <is>
          <t xml:space="preserve">INF582M01CQ5</t>
        </is>
      </c>
    </row>
    <row r="12573">
      <c r="A12573" t="inlineStr">
        <is>
          <t xml:space="preserve">Union Mutual Fund</t>
        </is>
      </c>
      <c r="B12573" t="inlineStr">
        <is>
          <t xml:space="preserve">Union Largecap Fund - Regular Plan - IDCW Option</t>
        </is>
      </c>
      <c r="C12573" t="inlineStr">
        <is>
          <t xml:space="preserve">INF582M01CR3</t>
        </is>
      </c>
    </row>
    <row r="12574">
      <c r="A12574" t="inlineStr">
        <is>
          <t xml:space="preserve">Union Mutual Fund</t>
        </is>
      </c>
      <c r="B12574" t="inlineStr">
        <is>
          <t xml:space="preserve">Union Liquid Fund - Daily IDCW Option</t>
        </is>
      </c>
      <c r="C12574" t="inlineStr">
        <is>
          <t xml:space="preserve">INF582M01021</t>
        </is>
      </c>
    </row>
    <row r="12575">
      <c r="A12575" t="inlineStr">
        <is>
          <t xml:space="preserve">Union Mutual Fund</t>
        </is>
      </c>
      <c r="B12575" t="inlineStr">
        <is>
          <t xml:space="preserve">Union Liquid Fund - Direct Plan - Daily IDCW Option</t>
        </is>
      </c>
      <c r="C12575" t="inlineStr">
        <is>
          <t xml:space="preserve">INF582M01682</t>
        </is>
      </c>
    </row>
    <row r="12576">
      <c r="A12576" t="inlineStr">
        <is>
          <t xml:space="preserve">Union Mutual Fund</t>
        </is>
      </c>
      <c r="B12576" t="inlineStr">
        <is>
          <t xml:space="preserve">Union Liquid Fund - Direct Plan - Fortnightly IDCW Option</t>
        </is>
      </c>
      <c r="C12576" t="inlineStr">
        <is>
          <t xml:space="preserve">INF582M01724</t>
        </is>
      </c>
    </row>
    <row r="12577">
      <c r="A12577" t="inlineStr">
        <is>
          <t xml:space="preserve">Union Mutual Fund</t>
        </is>
      </c>
      <c r="B12577" t="inlineStr">
        <is>
          <t xml:space="preserve">Union Liquid Fund - Direct Plan - Growth Option</t>
        </is>
      </c>
      <c r="C12577" t="inlineStr">
        <is>
          <t xml:space="preserve">INF582M01674</t>
        </is>
      </c>
    </row>
    <row r="12578">
      <c r="A12578" t="inlineStr">
        <is>
          <t xml:space="preserve">Union Mutual Fund</t>
        </is>
      </c>
      <c r="B12578" t="inlineStr">
        <is>
          <t xml:space="preserve">Union Liquid Fund - Direct Plan - Monthly IDCW Option</t>
        </is>
      </c>
      <c r="C12578" t="inlineStr">
        <is>
          <t xml:space="preserve">INF582M01732</t>
        </is>
      </c>
    </row>
    <row r="12579">
      <c r="A12579" t="inlineStr">
        <is>
          <t xml:space="preserve">Union Mutual Fund</t>
        </is>
      </c>
      <c r="B12579" t="inlineStr">
        <is>
          <t xml:space="preserve">Union Liquid Fund - Direct Plan - Weekly IDCW Option</t>
        </is>
      </c>
      <c r="C12579" t="inlineStr">
        <is>
          <t xml:space="preserve">INF582M01690</t>
        </is>
      </c>
    </row>
    <row r="12580">
      <c r="A12580" t="inlineStr">
        <is>
          <t xml:space="preserve">Union Mutual Fund</t>
        </is>
      </c>
      <c r="B12580" t="inlineStr">
        <is>
          <t xml:space="preserve">Union Liquid Fund - Fortnightly IDCW Option</t>
        </is>
      </c>
      <c r="C12580" t="inlineStr">
        <is>
          <t xml:space="preserve">INF582M01062</t>
        </is>
      </c>
    </row>
    <row r="12581">
      <c r="A12581" t="inlineStr">
        <is>
          <t xml:space="preserve">Union Mutual Fund</t>
        </is>
      </c>
      <c r="B12581" t="inlineStr">
        <is>
          <t xml:space="preserve">Union Liquid Fund - Growth Option</t>
        </is>
      </c>
      <c r="C12581" t="inlineStr">
        <is>
          <t xml:space="preserve">INF582M01013</t>
        </is>
      </c>
    </row>
    <row r="12582">
      <c r="A12582" t="inlineStr">
        <is>
          <t xml:space="preserve">Union Mutual Fund</t>
        </is>
      </c>
      <c r="B12582" t="inlineStr">
        <is>
          <t xml:space="preserve">Union Liquid Fund - Monthly IDCW Option</t>
        </is>
      </c>
      <c r="C12582" t="inlineStr">
        <is>
          <t xml:space="preserve">INF582M01070</t>
        </is>
      </c>
    </row>
    <row r="12583">
      <c r="A12583" t="inlineStr">
        <is>
          <t xml:space="preserve">Union Mutual Fund</t>
        </is>
      </c>
      <c r="B12583" t="inlineStr">
        <is>
          <t xml:space="preserve">Union Liquid Fund - Weekly IDCW Option</t>
        </is>
      </c>
      <c r="C12583" t="inlineStr">
        <is>
          <t xml:space="preserve">INF582M01039</t>
        </is>
      </c>
    </row>
    <row r="12584">
      <c r="A12584" t="inlineStr">
        <is>
          <t xml:space="preserve">Union Mutual Fund</t>
        </is>
      </c>
      <c r="B12584" t="inlineStr">
        <is>
          <t xml:space="preserve">Union Low Duration Fund - Direct Plan - Growth Option</t>
        </is>
      </c>
      <c r="C12584" t="inlineStr">
        <is>
          <t xml:space="preserve">INF582M01LQ6</t>
        </is>
      </c>
    </row>
    <row r="12585">
      <c r="A12585" t="inlineStr">
        <is>
          <t xml:space="preserve">Union Mutual Fund</t>
        </is>
      </c>
      <c r="B12585" t="inlineStr">
        <is>
          <t xml:space="preserve">Union Low Duration Fund - Direct Plan - IDCW Option</t>
        </is>
      </c>
      <c r="C12585" t="inlineStr">
        <is>
          <t xml:space="preserve">INF582M01LR4</t>
        </is>
      </c>
    </row>
    <row r="12586">
      <c r="A12586" t="inlineStr">
        <is>
          <t xml:space="preserve">Union Mutual Fund</t>
        </is>
      </c>
      <c r="B12586" t="inlineStr">
        <is>
          <t xml:space="preserve">Union Low Duration Fund - Regular Plan - Growth Option</t>
        </is>
      </c>
      <c r="C12586" t="inlineStr">
        <is>
          <t xml:space="preserve">INF582M01LU8</t>
        </is>
      </c>
    </row>
    <row r="12587">
      <c r="A12587" t="inlineStr">
        <is>
          <t xml:space="preserve">Union Mutual Fund</t>
        </is>
      </c>
      <c r="B12587" t="inlineStr">
        <is>
          <t xml:space="preserve">Union Low Duration Fund - Regular Plan - IDCW Option</t>
        </is>
      </c>
      <c r="C12587" t="inlineStr">
        <is>
          <t xml:space="preserve">INF582M01LN3</t>
        </is>
      </c>
    </row>
    <row r="12588">
      <c r="A12588" t="inlineStr">
        <is>
          <t xml:space="preserve">Union Mutual Fund</t>
        </is>
      </c>
      <c r="B12588" t="inlineStr">
        <is>
          <t xml:space="preserve">Union Midcap Fund - Direct Plan - Growth Option</t>
        </is>
      </c>
      <c r="C12588" t="inlineStr">
        <is>
          <t xml:space="preserve">INF582M01GI3</t>
        </is>
      </c>
    </row>
    <row r="12589">
      <c r="A12589" t="inlineStr">
        <is>
          <t xml:space="preserve">Union Mutual Fund</t>
        </is>
      </c>
      <c r="B12589" t="inlineStr">
        <is>
          <t xml:space="preserve">Union Midcap Fund - Direct Plan - IDCW Option</t>
        </is>
      </c>
      <c r="C12589" t="inlineStr">
        <is>
          <t xml:space="preserve">INF582M01GK9</t>
        </is>
      </c>
    </row>
    <row r="12590">
      <c r="A12590" t="inlineStr">
        <is>
          <t xml:space="preserve">Union Mutual Fund</t>
        </is>
      </c>
      <c r="B12590" t="inlineStr">
        <is>
          <t xml:space="preserve">Union Midcap Fund - Regular Plan - Growth Option</t>
        </is>
      </c>
      <c r="C12590" t="inlineStr">
        <is>
          <t xml:space="preserve">INF582M01GM5</t>
        </is>
      </c>
    </row>
    <row r="12591">
      <c r="A12591" t="inlineStr">
        <is>
          <t xml:space="preserve">Union Mutual Fund</t>
        </is>
      </c>
      <c r="B12591" t="inlineStr">
        <is>
          <t xml:space="preserve">Union Midcap Fund - Regular Plan - IDCW Option</t>
        </is>
      </c>
      <c r="C12591" t="inlineStr">
        <is>
          <t xml:space="preserve">INF582M01GO1</t>
        </is>
      </c>
    </row>
    <row r="12592">
      <c r="A12592" t="inlineStr">
        <is>
          <t xml:space="preserve">Union Mutual Fund</t>
        </is>
      </c>
      <c r="B12592" t="inlineStr">
        <is>
          <t xml:space="preserve">Union Money Market Fund - Direct Plan -  Growth Option</t>
        </is>
      </c>
      <c r="C12592" t="inlineStr">
        <is>
          <t xml:space="preserve">INF582M01HG5</t>
        </is>
      </c>
    </row>
    <row r="12593">
      <c r="A12593" t="inlineStr">
        <is>
          <t xml:space="preserve">Union Mutual Fund</t>
        </is>
      </c>
      <c r="B12593" t="inlineStr">
        <is>
          <t xml:space="preserve">Union Money Market Fund - Direct Plan -  Monthly IDCW Option</t>
        </is>
      </c>
      <c r="C12593" t="inlineStr">
        <is>
          <t xml:space="preserve">INF582M01HK7</t>
        </is>
      </c>
    </row>
    <row r="12594">
      <c r="A12594" t="inlineStr">
        <is>
          <t xml:space="preserve">Union Mutual Fund</t>
        </is>
      </c>
      <c r="B12594" t="inlineStr">
        <is>
          <t xml:space="preserve">Union Money Market Fund - Direct Plan -  Weekly IDCW Option</t>
        </is>
      </c>
      <c r="C12594" t="inlineStr">
        <is>
          <t xml:space="preserve">INF582M01HI1</t>
        </is>
      </c>
    </row>
    <row r="12595">
      <c r="A12595" t="inlineStr">
        <is>
          <t xml:space="preserve">Union Mutual Fund</t>
        </is>
      </c>
      <c r="B12595" t="inlineStr">
        <is>
          <t xml:space="preserve">Union Money Market Fund - Direct Plan - Daily IDCW Option</t>
        </is>
      </c>
      <c r="C12595" t="inlineStr">
        <is>
          <t xml:space="preserve">INF582M01HH3</t>
        </is>
      </c>
    </row>
    <row r="12596">
      <c r="A12596" t="inlineStr">
        <is>
          <t xml:space="preserve">Union Mutual Fund</t>
        </is>
      </c>
      <c r="B12596" t="inlineStr">
        <is>
          <t xml:space="preserve">Union Money Market Fund - Regular Plan -  Growth Option</t>
        </is>
      </c>
      <c r="C12596" t="inlineStr">
        <is>
          <t xml:space="preserve">INF582M01HO9</t>
        </is>
      </c>
    </row>
    <row r="12597">
      <c r="A12597" t="inlineStr">
        <is>
          <t xml:space="preserve">Union Mutual Fund</t>
        </is>
      </c>
      <c r="B12597" t="inlineStr">
        <is>
          <t xml:space="preserve">Union Money Market Fund - Regular Plan -  Monthly IDCW Option</t>
        </is>
      </c>
      <c r="C12597" t="inlineStr">
        <is>
          <t xml:space="preserve">INF582M01HS0</t>
        </is>
      </c>
    </row>
    <row r="12598">
      <c r="A12598" t="inlineStr">
        <is>
          <t xml:space="preserve">Union Mutual Fund</t>
        </is>
      </c>
      <c r="B12598" t="inlineStr">
        <is>
          <t xml:space="preserve">Union Money Market Fund - Regular Plan -  Weekly IDCW Option</t>
        </is>
      </c>
      <c r="C12598" t="inlineStr">
        <is>
          <t xml:space="preserve">INF582M01HQ4</t>
        </is>
      </c>
    </row>
    <row r="12599">
      <c r="A12599" t="inlineStr">
        <is>
          <t xml:space="preserve">Union Mutual Fund</t>
        </is>
      </c>
      <c r="B12599" t="inlineStr">
        <is>
          <t xml:space="preserve">Union Money Market Fund - Regular Plan - Daily IDCW Option</t>
        </is>
      </c>
      <c r="C12599" t="inlineStr">
        <is>
          <t xml:space="preserve">INF582M01HP6</t>
        </is>
      </c>
    </row>
    <row r="12600">
      <c r="A12600" t="inlineStr">
        <is>
          <t xml:space="preserve">Union Mutual Fund</t>
        </is>
      </c>
      <c r="B12600" t="inlineStr">
        <is>
          <t xml:space="preserve">Union Multi Asset Allocation Fund- Direct Plan - Growth Option</t>
        </is>
      </c>
      <c r="C12600" t="inlineStr">
        <is>
          <t xml:space="preserve">INF582M01JY4</t>
        </is>
      </c>
    </row>
    <row r="12601">
      <c r="A12601" t="inlineStr">
        <is>
          <t xml:space="preserve">Union Mutual Fund</t>
        </is>
      </c>
      <c r="B12601" t="inlineStr">
        <is>
          <t xml:space="preserve">Union Multi Asset Allocation Fund- Direct Plan - IDCW Option</t>
        </is>
      </c>
      <c r="C12601" t="inlineStr">
        <is>
          <t xml:space="preserve">INF582M01JZ1</t>
        </is>
      </c>
    </row>
    <row r="12602">
      <c r="A12602" t="inlineStr">
        <is>
          <t xml:space="preserve">Union Mutual Fund</t>
        </is>
      </c>
      <c r="B12602" t="inlineStr">
        <is>
          <t xml:space="preserve">Union Multi Asset Allocation Fund- Regular Plan - Growth Option</t>
        </is>
      </c>
      <c r="C12602" t="inlineStr">
        <is>
          <t xml:space="preserve">INF582M01JU2</t>
        </is>
      </c>
    </row>
    <row r="12603">
      <c r="A12603" t="inlineStr">
        <is>
          <t xml:space="preserve">Union Mutual Fund</t>
        </is>
      </c>
      <c r="B12603" t="inlineStr">
        <is>
          <t xml:space="preserve">Union Multi Asset Allocation Fund- Regular Plan - IDCW Option</t>
        </is>
      </c>
      <c r="C12603" t="inlineStr">
        <is>
          <t xml:space="preserve">INF582M01JV0</t>
        </is>
      </c>
    </row>
    <row r="12604">
      <c r="A12604" t="inlineStr">
        <is>
          <t xml:space="preserve">Union Mutual Fund</t>
        </is>
      </c>
      <c r="B12604" t="inlineStr">
        <is>
          <t xml:space="preserve">Union Multicap Fund - Direct Plan - Growth Option</t>
        </is>
      </c>
      <c r="C12604" t="inlineStr">
        <is>
          <t xml:space="preserve">INF582M01IO7</t>
        </is>
      </c>
    </row>
    <row r="12605">
      <c r="A12605" t="inlineStr">
        <is>
          <t xml:space="preserve">Union Mutual Fund</t>
        </is>
      </c>
      <c r="B12605" t="inlineStr">
        <is>
          <t xml:space="preserve">Union Multicap Fund - Direct Plan - IDCW Option</t>
        </is>
      </c>
      <c r="C12605" t="inlineStr">
        <is>
          <t xml:space="preserve">INF582M01IP4</t>
        </is>
      </c>
    </row>
    <row r="12606">
      <c r="A12606" t="inlineStr">
        <is>
          <t xml:space="preserve">Union Mutual Fund</t>
        </is>
      </c>
      <c r="B12606" t="inlineStr">
        <is>
          <t xml:space="preserve">Union Multicap Fund - Regular Plan - Growth Option</t>
        </is>
      </c>
      <c r="C12606" t="inlineStr">
        <is>
          <t xml:space="preserve">INF582M01IS8</t>
        </is>
      </c>
    </row>
    <row r="12607">
      <c r="A12607" t="inlineStr">
        <is>
          <t xml:space="preserve">Union Mutual Fund</t>
        </is>
      </c>
      <c r="B12607" t="inlineStr">
        <is>
          <t xml:space="preserve">Union Multicap Fund - Regular Plan - IDCW Option</t>
        </is>
      </c>
      <c r="C12607" t="inlineStr">
        <is>
          <t xml:space="preserve">INF582M01IT6</t>
        </is>
      </c>
    </row>
    <row r="12608">
      <c r="A12608" t="inlineStr">
        <is>
          <t xml:space="preserve">Union Mutual Fund</t>
        </is>
      </c>
      <c r="B12608" t="inlineStr">
        <is>
          <t xml:space="preserve">Union Overnight Fund - Direct Plan - Daily IDCW Option</t>
        </is>
      </c>
      <c r="C12608" t="inlineStr">
        <is>
          <t xml:space="preserve">INF582M01FB0</t>
        </is>
      </c>
    </row>
    <row r="12609">
      <c r="A12609" t="inlineStr">
        <is>
          <t xml:space="preserve">Union Mutual Fund</t>
        </is>
      </c>
      <c r="B12609" t="inlineStr">
        <is>
          <t xml:space="preserve">Union Overnight Fund - Direct Plan - Growth Option</t>
        </is>
      </c>
      <c r="C12609" t="inlineStr">
        <is>
          <t xml:space="preserve">INF582M01FA2</t>
        </is>
      </c>
    </row>
    <row r="12610">
      <c r="A12610" t="inlineStr">
        <is>
          <t xml:space="preserve">Union Mutual Fund</t>
        </is>
      </c>
      <c r="B12610" t="inlineStr">
        <is>
          <t xml:space="preserve">Union Overnight Fund - Direct Plan - Monthly IDCW Option</t>
        </is>
      </c>
      <c r="C12610" t="inlineStr">
        <is>
          <t xml:space="preserve">INF582M01FG9</t>
        </is>
      </c>
    </row>
    <row r="12611">
      <c r="A12611" t="inlineStr">
        <is>
          <t xml:space="preserve">Union Mutual Fund</t>
        </is>
      </c>
      <c r="B12611" t="inlineStr">
        <is>
          <t xml:space="preserve">Union Overnight Fund - Regular Plan - Daily IDCW Option</t>
        </is>
      </c>
      <c r="C12611" t="inlineStr">
        <is>
          <t xml:space="preserve">INF582M01FK1</t>
        </is>
      </c>
    </row>
    <row r="12612">
      <c r="A12612" t="inlineStr">
        <is>
          <t xml:space="preserve">Union Mutual Fund</t>
        </is>
      </c>
      <c r="B12612" t="inlineStr">
        <is>
          <t xml:space="preserve">Union Overnight Fund - Regular Plan - Growth Option</t>
        </is>
      </c>
      <c r="C12612" t="inlineStr">
        <is>
          <t xml:space="preserve">INF582M01FJ3</t>
        </is>
      </c>
    </row>
    <row r="12613">
      <c r="A12613" t="inlineStr">
        <is>
          <t xml:space="preserve">Union Mutual Fund</t>
        </is>
      </c>
      <c r="B12613" t="inlineStr">
        <is>
          <t xml:space="preserve">Union Overnight Fund - Regular Plan - Monthly IDCW Option</t>
        </is>
      </c>
      <c r="C12613" t="inlineStr">
        <is>
          <t xml:space="preserve">INF582M01FP0</t>
        </is>
      </c>
    </row>
    <row r="12614">
      <c r="A12614" t="inlineStr">
        <is>
          <t xml:space="preserve">Union Mutual Fund</t>
        </is>
      </c>
      <c r="B12614" t="inlineStr">
        <is>
          <t xml:space="preserve">Union Retirement Fund - Direct Plan - Growth Option</t>
        </is>
      </c>
      <c r="C12614" t="inlineStr">
        <is>
          <t xml:space="preserve">INF582M01IK5</t>
        </is>
      </c>
    </row>
    <row r="12615">
      <c r="A12615" t="inlineStr">
        <is>
          <t xml:space="preserve">Union Mutual Fund</t>
        </is>
      </c>
      <c r="B12615" t="inlineStr">
        <is>
          <t xml:space="preserve">Union Retirement Fund - Direct Plan - IDCW Option</t>
        </is>
      </c>
      <c r="C12615" t="inlineStr">
        <is>
          <t xml:space="preserve">INF582M01IL3</t>
        </is>
      </c>
    </row>
    <row r="12616">
      <c r="A12616" t="inlineStr">
        <is>
          <t xml:space="preserve">Union Mutual Fund</t>
        </is>
      </c>
      <c r="B12616" t="inlineStr">
        <is>
          <t xml:space="preserve">Union Retirement Fund - Regular Plan - Growth Option</t>
        </is>
      </c>
      <c r="C12616" t="inlineStr">
        <is>
          <t xml:space="preserve">INF582M01IM1</t>
        </is>
      </c>
    </row>
    <row r="12617">
      <c r="A12617" t="inlineStr">
        <is>
          <t xml:space="preserve">Union Mutual Fund</t>
        </is>
      </c>
      <c r="B12617" t="inlineStr">
        <is>
          <t xml:space="preserve">Union Retirement Fund - Regular Plan - IDCW Option</t>
        </is>
      </c>
      <c r="C12617" t="inlineStr">
        <is>
          <t xml:space="preserve">INF582M01IN9</t>
        </is>
      </c>
    </row>
    <row r="12618">
      <c r="A12618" t="inlineStr">
        <is>
          <t xml:space="preserve">Union Mutual Fund</t>
        </is>
      </c>
      <c r="B12618" t="inlineStr">
        <is>
          <t xml:space="preserve">Union Short Duration Fund - Direct Plan - Growth Option</t>
        </is>
      </c>
      <c r="C12618" t="inlineStr">
        <is>
          <t xml:space="preserve">INF582M01KO3</t>
        </is>
      </c>
    </row>
    <row r="12619">
      <c r="A12619" t="inlineStr">
        <is>
          <t xml:space="preserve">Union Mutual Fund</t>
        </is>
      </c>
      <c r="B12619" t="inlineStr">
        <is>
          <t xml:space="preserve">Union Short Duration Fund - Direct Plan - IDCW Option</t>
        </is>
      </c>
      <c r="C12619" t="inlineStr">
        <is>
          <t xml:space="preserve">INF582M01KP0</t>
        </is>
      </c>
    </row>
    <row r="12620">
      <c r="A12620" t="inlineStr">
        <is>
          <t xml:space="preserve">Union Mutual Fund</t>
        </is>
      </c>
      <c r="B12620" t="inlineStr">
        <is>
          <t xml:space="preserve">Union Short Duration Fund - Regular Plan - Growth Option</t>
        </is>
      </c>
      <c r="C12620" t="inlineStr">
        <is>
          <t xml:space="preserve">INF582M01KK1</t>
        </is>
      </c>
    </row>
    <row r="12621">
      <c r="A12621" t="inlineStr">
        <is>
          <t xml:space="preserve">Union Mutual Fund</t>
        </is>
      </c>
      <c r="B12621" t="inlineStr">
        <is>
          <t xml:space="preserve">Union Short Duration Fund - Regular Plan - IDCW Option</t>
        </is>
      </c>
      <c r="C12621" t="inlineStr">
        <is>
          <t xml:space="preserve">INF582M01KL9</t>
        </is>
      </c>
    </row>
    <row r="12622">
      <c r="A12622" t="inlineStr">
        <is>
          <t xml:space="preserve">Union Mutual Fund</t>
        </is>
      </c>
      <c r="B12622" t="inlineStr">
        <is>
          <t xml:space="preserve">Union Small Cap Fund - Direct Plan - Growth Option</t>
        </is>
      </c>
      <c r="C12622" t="inlineStr">
        <is>
          <t xml:space="preserve">INF582M01BU9</t>
        </is>
      </c>
    </row>
    <row r="12623">
      <c r="A12623" t="inlineStr">
        <is>
          <t xml:space="preserve">Union Mutual Fund</t>
        </is>
      </c>
      <c r="B12623" t="inlineStr">
        <is>
          <t xml:space="preserve">Union Small Cap Fund - Direct Plan - IDCW Option</t>
        </is>
      </c>
      <c r="C12623" t="inlineStr">
        <is>
          <t xml:space="preserve">INF582M01BW5</t>
        </is>
      </c>
    </row>
    <row r="12624">
      <c r="A12624" t="inlineStr">
        <is>
          <t xml:space="preserve">Union Mutual Fund</t>
        </is>
      </c>
      <c r="B12624" t="inlineStr">
        <is>
          <t xml:space="preserve">Union Small Cap Fund - Regular Plan - Growth Option</t>
        </is>
      </c>
      <c r="C12624" t="inlineStr">
        <is>
          <t xml:space="preserve">INF582M01BY1</t>
        </is>
      </c>
    </row>
    <row r="12625">
      <c r="A12625" t="inlineStr">
        <is>
          <t xml:space="preserve">Union Mutual Fund</t>
        </is>
      </c>
      <c r="B12625" t="inlineStr">
        <is>
          <t xml:space="preserve">Union Small Cap Fund - Regular Plan - IDCW Option</t>
        </is>
      </c>
      <c r="C12625" t="inlineStr">
        <is>
          <t xml:space="preserve">INF582M01CA9</t>
        </is>
      </c>
    </row>
    <row r="12626">
      <c r="A12626" t="inlineStr">
        <is>
          <t xml:space="preserve">Union Mutual Fund</t>
        </is>
      </c>
      <c r="B12626" t="inlineStr">
        <is>
          <t xml:space="preserve">Union Value Fund - Direct Plan - Growth Option</t>
        </is>
      </c>
      <c r="C12626" t="inlineStr">
        <is>
          <t xml:space="preserve">INF582M01EK4</t>
        </is>
      </c>
    </row>
    <row r="12627">
      <c r="A12627" t="inlineStr">
        <is>
          <t xml:space="preserve">Union Mutual Fund</t>
        </is>
      </c>
      <c r="B12627" t="inlineStr">
        <is>
          <t xml:space="preserve">Union Value Fund - Direct Plan - IDCW Option</t>
        </is>
      </c>
      <c r="C12627" t="inlineStr">
        <is>
          <t xml:space="preserve">INF582M01EM0</t>
        </is>
      </c>
    </row>
    <row r="12628">
      <c r="A12628" t="inlineStr">
        <is>
          <t xml:space="preserve">Union Mutual Fund</t>
        </is>
      </c>
      <c r="B12628" t="inlineStr">
        <is>
          <t xml:space="preserve">Union Value Fund - Regular Plan - Growth Option</t>
        </is>
      </c>
      <c r="C12628" t="inlineStr">
        <is>
          <t xml:space="preserve">INF582M01EO6</t>
        </is>
      </c>
    </row>
    <row r="12629">
      <c r="A12629" t="inlineStr">
        <is>
          <t xml:space="preserve">Union Mutual Fund</t>
        </is>
      </c>
      <c r="B12629" t="inlineStr">
        <is>
          <t xml:space="preserve">Union Value Fund - Regular Plan - IDCW Option</t>
        </is>
      </c>
      <c r="C12629" t="inlineStr">
        <is>
          <t xml:space="preserve">INF582M01EQ1</t>
        </is>
      </c>
    </row>
    <row r="12630">
      <c r="A12630" t="inlineStr">
        <is>
          <t xml:space="preserve">UTI Mutual Fund</t>
        </is>
      </c>
      <c r="B12630" t="inlineStr">
        <is>
          <t xml:space="preserve">UTI - Bond Fund ( Segregated - 17022020) - Regular Plan - Growth Option</t>
        </is>
      </c>
      <c r="C12630" t="inlineStr">
        <is>
          <t xml:space="preserve">INF789F1AOW2</t>
        </is>
      </c>
    </row>
    <row r="12631">
      <c r="A12631" t="inlineStr">
        <is>
          <t xml:space="preserve">UTI Mutual Fund</t>
        </is>
      </c>
      <c r="B12631" t="inlineStr">
        <is>
          <t xml:space="preserve">UTI - Bond Fund (Segregated - 17022020) - Direct Plan - Growth Option</t>
        </is>
      </c>
      <c r="C12631" t="inlineStr">
        <is>
          <t xml:space="preserve">INF789F1APF4</t>
        </is>
      </c>
    </row>
    <row r="12632">
      <c r="A12632" t="inlineStr">
        <is>
          <t xml:space="preserve">UTI Mutual Fund</t>
        </is>
      </c>
      <c r="B12632" t="inlineStr">
        <is>
          <t xml:space="preserve">UTI - BSE Sensex Next 50 Exchange Traded Fund</t>
        </is>
      </c>
      <c r="C12632" t="inlineStr">
        <is>
          <t xml:space="preserve">INF789F1AUU3</t>
        </is>
      </c>
    </row>
    <row r="12633">
      <c r="A12633" t="inlineStr">
        <is>
          <t xml:space="preserve">UTI Mutual Fund</t>
        </is>
      </c>
      <c r="B12633" t="inlineStr">
        <is>
          <t xml:space="preserve">UTI - Credit Risk Fund (Segregated - 06032020) - Direct Plan - Annual Dividend Option</t>
        </is>
      </c>
      <c r="C12633" t="inlineStr">
        <is>
          <t xml:space="preserve">INF789F1ARG8</t>
        </is>
      </c>
    </row>
    <row r="12634">
      <c r="A12634" t="inlineStr">
        <is>
          <t xml:space="preserve">UTI Mutual Fund</t>
        </is>
      </c>
      <c r="B12634" t="inlineStr">
        <is>
          <t xml:space="preserve">UTI - Credit Risk Fund (Segregated - 06032020) - Direct Plan - Flexi Dividend Option</t>
        </is>
      </c>
      <c r="C12634" t="inlineStr">
        <is>
          <t xml:space="preserve">INF789F1ARK0</t>
        </is>
      </c>
    </row>
    <row r="12635">
      <c r="A12635" t="inlineStr">
        <is>
          <t xml:space="preserve">UTI Mutual Fund</t>
        </is>
      </c>
      <c r="B12635" t="inlineStr">
        <is>
          <t xml:space="preserve">UTI - Credit Risk Fund (Segregated - 06032020) - Direct Plan - Growth Option</t>
        </is>
      </c>
      <c r="C12635" t="inlineStr">
        <is>
          <t xml:space="preserve">INF789F1ARF0</t>
        </is>
      </c>
    </row>
    <row r="12636">
      <c r="A12636" t="inlineStr">
        <is>
          <t xml:space="preserve">UTI Mutual Fund</t>
        </is>
      </c>
      <c r="B12636" t="inlineStr">
        <is>
          <t xml:space="preserve">UTI - Credit Risk Fund (Segregated - 06032020) - Direct Plan - Half Yearly Dividend Option</t>
        </is>
      </c>
      <c r="C12636" t="inlineStr">
        <is>
          <t xml:space="preserve">INF789F1ARI4</t>
        </is>
      </c>
    </row>
    <row r="12637">
      <c r="A12637" t="inlineStr">
        <is>
          <t xml:space="preserve">UTI Mutual Fund</t>
        </is>
      </c>
      <c r="B12637" t="inlineStr">
        <is>
          <t xml:space="preserve">UTI - Credit Risk Fund (Segregated - 06032020) - Direct Plan - Monthly Dividend Option</t>
        </is>
      </c>
      <c r="C12637" t="inlineStr">
        <is>
          <t xml:space="preserve">INF789F1ARM6</t>
        </is>
      </c>
    </row>
    <row r="12638">
      <c r="A12638" t="inlineStr">
        <is>
          <t xml:space="preserve">UTI Mutual Fund</t>
        </is>
      </c>
      <c r="B12638" t="inlineStr">
        <is>
          <t xml:space="preserve">UTI - Credit Risk Fund (Segregated - 06032020) - Direct Plan - Quarterly Dividend Option</t>
        </is>
      </c>
      <c r="C12638" t="inlineStr">
        <is>
          <t xml:space="preserve">INF789F1ARD5</t>
        </is>
      </c>
    </row>
    <row r="12639">
      <c r="A12639" t="inlineStr">
        <is>
          <t xml:space="preserve">UTI Mutual Fund</t>
        </is>
      </c>
      <c r="B12639" t="inlineStr">
        <is>
          <t xml:space="preserve">UTI - Credit Risk Fund (Segregated - 06032020) - Regular Plan - Annual Dividend Option</t>
        </is>
      </c>
      <c r="C12639" t="inlineStr">
        <is>
          <t xml:space="preserve">INF789F1ARR5</t>
        </is>
      </c>
    </row>
    <row r="12640">
      <c r="A12640" t="inlineStr">
        <is>
          <t xml:space="preserve">UTI Mutual Fund</t>
        </is>
      </c>
      <c r="B12640" t="inlineStr">
        <is>
          <t xml:space="preserve">UTI - Credit Risk Fund (Segregated - 06032020) - Regular Plan - Flexi Dividend Option</t>
        </is>
      </c>
      <c r="C12640" t="inlineStr">
        <is>
          <t xml:space="preserve">INF789F1ARV7</t>
        </is>
      </c>
    </row>
    <row r="12641">
      <c r="A12641" t="inlineStr">
        <is>
          <t xml:space="preserve">UTI Mutual Fund</t>
        </is>
      </c>
      <c r="B12641" t="inlineStr">
        <is>
          <t xml:space="preserve">UTI - Credit Risk Fund (Segregated - 06032020) - Regular Plan - Growth Option</t>
        </is>
      </c>
      <c r="C12641" t="inlineStr">
        <is>
          <t xml:space="preserve">INF789F1ARQ7</t>
        </is>
      </c>
    </row>
    <row r="12642">
      <c r="A12642" t="inlineStr">
        <is>
          <t xml:space="preserve">UTI Mutual Fund</t>
        </is>
      </c>
      <c r="B12642" t="inlineStr">
        <is>
          <t xml:space="preserve">UTI - Credit Risk Fund (Segregated - 06032020) - Regular Plan - Half Yearly Dividend Option</t>
        </is>
      </c>
      <c r="C12642" t="inlineStr">
        <is>
          <t xml:space="preserve">INF789F1ART1</t>
        </is>
      </c>
    </row>
    <row r="12643">
      <c r="A12643" t="inlineStr">
        <is>
          <t xml:space="preserve">UTI Mutual Fund</t>
        </is>
      </c>
      <c r="B12643" t="inlineStr">
        <is>
          <t xml:space="preserve">UTI - Credit Risk Fund (Segregated - 06032020) - Regular Plan - Monthly Dividend Option</t>
        </is>
      </c>
      <c r="C12643" t="inlineStr">
        <is>
          <t xml:space="preserve">INF789F1ARX3</t>
        </is>
      </c>
    </row>
    <row r="12644">
      <c r="A12644" t="inlineStr">
        <is>
          <t xml:space="preserve">UTI Mutual Fund</t>
        </is>
      </c>
      <c r="B12644" t="inlineStr">
        <is>
          <t xml:space="preserve">UTI - Credit Risk Fund (Segregated - 06032020) - Regular Plan - Quarterly Dividend Option</t>
        </is>
      </c>
      <c r="C12644" t="inlineStr">
        <is>
          <t xml:space="preserve">INF789F1ARO2</t>
        </is>
      </c>
    </row>
    <row r="12645">
      <c r="A12645" t="inlineStr">
        <is>
          <t xml:space="preserve">UTI Mutual Fund</t>
        </is>
      </c>
      <c r="B12645" t="inlineStr">
        <is>
          <t xml:space="preserve">UTI - Credit Risk Fund (Segregated - 13092019) - Direct Plan - Annual Dividend Option</t>
        </is>
      </c>
      <c r="C12645" t="inlineStr">
        <is>
          <t xml:space="preserve">INF789F1AML9</t>
        </is>
      </c>
    </row>
    <row r="12646">
      <c r="A12646" t="inlineStr">
        <is>
          <t xml:space="preserve">UTI Mutual Fund</t>
        </is>
      </c>
      <c r="B12646" t="inlineStr">
        <is>
          <t xml:space="preserve">UTI - Credit Risk Fund (Segregated - 13092019) - Direct Plan - Flexi Dividend Option</t>
        </is>
      </c>
      <c r="C12646" t="inlineStr">
        <is>
          <t xml:space="preserve">INF789F1AMP0</t>
        </is>
      </c>
    </row>
    <row r="12647">
      <c r="A12647" t="inlineStr">
        <is>
          <t xml:space="preserve">UTI Mutual Fund</t>
        </is>
      </c>
      <c r="B12647" t="inlineStr">
        <is>
          <t xml:space="preserve">UTI - Credit Risk Fund (Segregated - 13092019) - Direct Plan - Growth Option</t>
        </is>
      </c>
      <c r="C12647" t="inlineStr">
        <is>
          <t xml:space="preserve">INF789F1AMK1</t>
        </is>
      </c>
    </row>
    <row r="12648">
      <c r="A12648" t="inlineStr">
        <is>
          <t xml:space="preserve">UTI Mutual Fund</t>
        </is>
      </c>
      <c r="B12648" t="inlineStr">
        <is>
          <t xml:space="preserve">UTI - Credit Risk Fund (Segregated - 13092019) - Direct Plan - Half Yearly Dividend Option</t>
        </is>
      </c>
      <c r="C12648" t="inlineStr">
        <is>
          <t xml:space="preserve">INF789F1AMN5</t>
        </is>
      </c>
    </row>
    <row r="12649">
      <c r="A12649" t="inlineStr">
        <is>
          <t xml:space="preserve">UTI Mutual Fund</t>
        </is>
      </c>
      <c r="B12649" t="inlineStr">
        <is>
          <t xml:space="preserve">UTI - Credit Risk Fund (Segregated - 13092019) - Direct Plan - Monthly Dividend Option</t>
        </is>
      </c>
      <c r="C12649" t="inlineStr">
        <is>
          <t xml:space="preserve">INF789F1AMR6</t>
        </is>
      </c>
    </row>
    <row r="12650">
      <c r="A12650" t="inlineStr">
        <is>
          <t xml:space="preserve">UTI Mutual Fund</t>
        </is>
      </c>
      <c r="B12650" t="inlineStr">
        <is>
          <t xml:space="preserve">UTI - Credit Risk Fund (Segregated - 13092019) - Direct Plan - Quarterly Dividend Option</t>
        </is>
      </c>
      <c r="C12650" t="inlineStr">
        <is>
          <t xml:space="preserve">INF789F1AMI5</t>
        </is>
      </c>
    </row>
    <row r="12651">
      <c r="A12651" t="inlineStr">
        <is>
          <t xml:space="preserve">UTI Mutual Fund</t>
        </is>
      </c>
      <c r="B12651" t="inlineStr">
        <is>
          <t xml:space="preserve">UTI - Credit Risk Fund (Segregated - 13092019) - Regular Plan - Annual Dividend Option</t>
        </is>
      </c>
      <c r="C12651" t="inlineStr">
        <is>
          <t xml:space="preserve">INF789F1AMW6</t>
        </is>
      </c>
    </row>
    <row r="12652">
      <c r="A12652" t="inlineStr">
        <is>
          <t xml:space="preserve">UTI Mutual Fund</t>
        </is>
      </c>
      <c r="B12652" t="inlineStr">
        <is>
          <t xml:space="preserve">UTI - Credit Risk Fund (Segregated - 13092019) - Regular Plan - Flexi Dividend Option</t>
        </is>
      </c>
      <c r="C12652" t="inlineStr">
        <is>
          <t xml:space="preserve">INF789F1ANA0</t>
        </is>
      </c>
    </row>
    <row r="12653">
      <c r="A12653" t="inlineStr">
        <is>
          <t xml:space="preserve">UTI Mutual Fund</t>
        </is>
      </c>
      <c r="B12653" t="inlineStr">
        <is>
          <t xml:space="preserve">UTI - Credit Risk Fund (Segregated - 13092019) - Regular Plan - Growth Option</t>
        </is>
      </c>
      <c r="C12653" t="inlineStr">
        <is>
          <t xml:space="preserve">INF789F1AMV8</t>
        </is>
      </c>
    </row>
    <row r="12654">
      <c r="A12654" t="inlineStr">
        <is>
          <t xml:space="preserve">UTI Mutual Fund</t>
        </is>
      </c>
      <c r="B12654" t="inlineStr">
        <is>
          <t xml:space="preserve">UTI - Credit Risk Fund (Segregated - 13092019) - Regular Plan - Half Yearly Dividend Option</t>
        </is>
      </c>
      <c r="C12654" t="inlineStr">
        <is>
          <t xml:space="preserve">INF789F1AMY2</t>
        </is>
      </c>
    </row>
    <row r="12655">
      <c r="A12655" t="inlineStr">
        <is>
          <t xml:space="preserve">UTI Mutual Fund</t>
        </is>
      </c>
      <c r="B12655" t="inlineStr">
        <is>
          <t xml:space="preserve">UTI - Credit Risk Fund (Segregated - 13092019) - Regular Plan - Monthly Dividend Option</t>
        </is>
      </c>
      <c r="C12655" t="inlineStr">
        <is>
          <t xml:space="preserve">INF789F1ANC6</t>
        </is>
      </c>
    </row>
    <row r="12656">
      <c r="A12656" t="inlineStr">
        <is>
          <t xml:space="preserve">UTI Mutual Fund</t>
        </is>
      </c>
      <c r="B12656" t="inlineStr">
        <is>
          <t xml:space="preserve">UTI - Credit Risk Fund (Segregated - 13092019) - Regular Plan - Quarterly Dividend Option</t>
        </is>
      </c>
      <c r="C12656" t="inlineStr">
        <is>
          <t xml:space="preserve">INF789F1AMT2</t>
        </is>
      </c>
    </row>
    <row r="12657">
      <c r="A12657" t="inlineStr">
        <is>
          <t xml:space="preserve">UTI Mutual Fund</t>
        </is>
      </c>
      <c r="B12657" t="inlineStr">
        <is>
          <t xml:space="preserve">UTI - Credit Risk Fund (Segregated - 17022020) - Direct Plan - Growth Option</t>
        </is>
      </c>
      <c r="C12657" t="inlineStr">
        <is>
          <t xml:space="preserve">INF789F1ANG7</t>
        </is>
      </c>
    </row>
    <row r="12658">
      <c r="A12658" t="inlineStr">
        <is>
          <t xml:space="preserve">UTI Mutual Fund</t>
        </is>
      </c>
      <c r="B12658" t="inlineStr">
        <is>
          <t xml:space="preserve">UTI - Credit Risk Fund (Segregated - 17022020) - Regular Plan - Growth Option</t>
        </is>
      </c>
      <c r="C12658" t="inlineStr">
        <is>
          <t xml:space="preserve">INF789F1ANR4</t>
        </is>
      </c>
    </row>
    <row r="12659">
      <c r="A12659" t="inlineStr">
        <is>
          <t xml:space="preserve">UTI Mutual Fund</t>
        </is>
      </c>
      <c r="B12659" t="inlineStr">
        <is>
          <t xml:space="preserve">UTI - Dual Advantage Fixed Term Series II-IV (1997 Days) - Direct Plan - Growth Option</t>
        </is>
      </c>
      <c r="C12659" t="inlineStr">
        <is>
          <t xml:space="preserve">INF789FB11K4</t>
        </is>
      </c>
    </row>
    <row r="12660">
      <c r="A12660" t="inlineStr">
        <is>
          <t xml:space="preserve">UTI Mutual Fund</t>
        </is>
      </c>
      <c r="B12660" t="inlineStr">
        <is>
          <t xml:space="preserve">UTI - Dual Advantage Fixed Term Series II-IV (1997 Days) - Regular Plan - Growth Option</t>
        </is>
      </c>
      <c r="C12660" t="inlineStr">
        <is>
          <t xml:space="preserve">INF789FB19J9</t>
        </is>
      </c>
    </row>
    <row r="12661">
      <c r="A12661" t="inlineStr">
        <is>
          <t xml:space="preserve">UTI Mutual Fund</t>
        </is>
      </c>
      <c r="B12661" t="inlineStr">
        <is>
          <t xml:space="preserve">UTI - Dual Advantage Fixed Term Series II-V (1997 Days) - Direct Plan - Growth Option</t>
        </is>
      </c>
      <c r="C12661" t="inlineStr">
        <is>
          <t xml:space="preserve">INF789FB13P9</t>
        </is>
      </c>
    </row>
    <row r="12662">
      <c r="A12662" t="inlineStr">
        <is>
          <t xml:space="preserve">UTI Mutual Fund</t>
        </is>
      </c>
      <c r="B12662" t="inlineStr">
        <is>
          <t xml:space="preserve">UTI - Dual Advantage Fixed Term Series II-V (1997 Days) - Regular Plan - Growth Option</t>
        </is>
      </c>
      <c r="C12662" t="inlineStr">
        <is>
          <t xml:space="preserve">INF789FB11P3</t>
        </is>
      </c>
    </row>
    <row r="12663">
      <c r="A12663" t="inlineStr">
        <is>
          <t xml:space="preserve">UTI Mutual Fund</t>
        </is>
      </c>
      <c r="B12663" t="inlineStr">
        <is>
          <t xml:space="preserve">UTI - Dual Advantage Fixed Term Series III-I (1998 Days) - Direct Plan - Growth Option</t>
        </is>
      </c>
      <c r="C12663" t="inlineStr">
        <is>
          <t xml:space="preserve">INF789FB11W9</t>
        </is>
      </c>
    </row>
    <row r="12664">
      <c r="A12664" t="inlineStr">
        <is>
          <t xml:space="preserve">UTI Mutual Fund</t>
        </is>
      </c>
      <c r="B12664" t="inlineStr">
        <is>
          <t xml:space="preserve">UTI - Dual Advantage Fixed Term Series III-I (1998 Days) - Regular Plan - Growth Option</t>
        </is>
      </c>
      <c r="C12664" t="inlineStr">
        <is>
          <t xml:space="preserve">INF789FB19V4</t>
        </is>
      </c>
    </row>
    <row r="12665">
      <c r="A12665" t="inlineStr">
        <is>
          <t xml:space="preserve">UTI Mutual Fund</t>
        </is>
      </c>
      <c r="B12665" t="inlineStr">
        <is>
          <t xml:space="preserve">UTI - Dual Advantage Fixed Term Series IV-I (1279 Days) - Direct Plan - Dividend Option</t>
        </is>
      </c>
      <c r="C12665" t="inlineStr">
        <is>
          <t xml:space="preserve">INF789FC1GG8</t>
        </is>
      </c>
    </row>
    <row r="12666">
      <c r="A12666" t="inlineStr">
        <is>
          <t xml:space="preserve">UTI Mutual Fund</t>
        </is>
      </c>
      <c r="B12666" t="inlineStr">
        <is>
          <t xml:space="preserve">UTI - Dual Advantage Fixed Term Series IV-I (1279 Days) - Direct Plan - Growth Option</t>
        </is>
      </c>
      <c r="C12666" t="inlineStr">
        <is>
          <t xml:space="preserve">INF789FC1GH6</t>
        </is>
      </c>
    </row>
    <row r="12667">
      <c r="A12667" t="inlineStr">
        <is>
          <t xml:space="preserve">UTI Mutual Fund</t>
        </is>
      </c>
      <c r="B12667" t="inlineStr">
        <is>
          <t xml:space="preserve">UTI - Dual Advantage Fixed Term Series IV-I (1279 Days) - Regular Plan - Dividend Option</t>
        </is>
      </c>
      <c r="C12667" t="inlineStr">
        <is>
          <t xml:space="preserve">INF789FC1GE3</t>
        </is>
      </c>
    </row>
    <row r="12668">
      <c r="A12668" t="inlineStr">
        <is>
          <t xml:space="preserve">UTI Mutual Fund</t>
        </is>
      </c>
      <c r="B12668" t="inlineStr">
        <is>
          <t xml:space="preserve">UTI - Dual Advantage Fixed Term Series IV-I (1279 Days) - Regular Plan - Growth Option</t>
        </is>
      </c>
      <c r="C12668" t="inlineStr">
        <is>
          <t xml:space="preserve">INF789FC1GF0</t>
        </is>
      </c>
    </row>
    <row r="12669">
      <c r="A12669" t="inlineStr">
        <is>
          <t xml:space="preserve">UTI Mutual Fund</t>
        </is>
      </c>
      <c r="B12669" t="inlineStr">
        <is>
          <t xml:space="preserve">UTI - Dual Advantage Fixed Term Series IV-II (1278 Days) - Direct  Plan - Dividend Option</t>
        </is>
      </c>
      <c r="C12669" t="inlineStr">
        <is>
          <t xml:space="preserve">INF789FC1HW3</t>
        </is>
      </c>
    </row>
    <row r="12670">
      <c r="A12670" t="inlineStr">
        <is>
          <t xml:space="preserve">UTI Mutual Fund</t>
        </is>
      </c>
      <c r="B12670" t="inlineStr">
        <is>
          <t xml:space="preserve">UTI - Dual Advantage Fixed Term Series IV-II (1278 Days) - Direct Plan - Growth Option</t>
        </is>
      </c>
      <c r="C12670" t="inlineStr">
        <is>
          <t xml:space="preserve">INF789FC1HX1</t>
        </is>
      </c>
    </row>
    <row r="12671">
      <c r="A12671" t="inlineStr">
        <is>
          <t xml:space="preserve">UTI Mutual Fund</t>
        </is>
      </c>
      <c r="B12671" t="inlineStr">
        <is>
          <t xml:space="preserve">UTI - Dual Advantage Fixed Term Series IV-II (1278 Days) - Regular Plan - Dividend Option</t>
        </is>
      </c>
      <c r="C12671" t="inlineStr">
        <is>
          <t xml:space="preserve">INF789FC1HU7</t>
        </is>
      </c>
    </row>
    <row r="12672">
      <c r="A12672" t="inlineStr">
        <is>
          <t xml:space="preserve">UTI Mutual Fund</t>
        </is>
      </c>
      <c r="B12672" t="inlineStr">
        <is>
          <t xml:space="preserve">UTI - Dual Advantage Fixed Term Series IV-II (1278 Days) - Regular Plan - Growth Option</t>
        </is>
      </c>
      <c r="C12672" t="inlineStr">
        <is>
          <t xml:space="preserve">INF789FC1HV5</t>
        </is>
      </c>
    </row>
    <row r="12673">
      <c r="A12673" t="inlineStr">
        <is>
          <t xml:space="preserve">UTI Mutual Fund</t>
        </is>
      </c>
      <c r="B12673" t="inlineStr">
        <is>
          <t xml:space="preserve">UTI - Dual Advantage Fixed Term Series IV-III (1279 Days) - Direct Plan - Dividend Option</t>
        </is>
      </c>
      <c r="C12673" t="inlineStr">
        <is>
          <t xml:space="preserve">INF789FC1IO8</t>
        </is>
      </c>
    </row>
    <row r="12674">
      <c r="A12674" t="inlineStr">
        <is>
          <t xml:space="preserve">UTI Mutual Fund</t>
        </is>
      </c>
      <c r="B12674" t="inlineStr">
        <is>
          <t xml:space="preserve">UTI - Dual Advantage Fixed Term Series IV-III (1279 Days) - Direct Plan - Growth Option</t>
        </is>
      </c>
      <c r="C12674" t="inlineStr">
        <is>
          <t xml:space="preserve">INF789FC1IP5</t>
        </is>
      </c>
    </row>
    <row r="12675">
      <c r="A12675" t="inlineStr">
        <is>
          <t xml:space="preserve">UTI Mutual Fund</t>
        </is>
      </c>
      <c r="B12675" t="inlineStr">
        <is>
          <t xml:space="preserve">UTI - Dual Advantage Fixed Term Series IV-III (1279 Days) - Regular Plan - Dividend Option</t>
        </is>
      </c>
      <c r="C12675" t="inlineStr">
        <is>
          <t xml:space="preserve">INF789FC1IM2</t>
        </is>
      </c>
    </row>
    <row r="12676">
      <c r="A12676" t="inlineStr">
        <is>
          <t xml:space="preserve">UTI Mutual Fund</t>
        </is>
      </c>
      <c r="B12676" t="inlineStr">
        <is>
          <t xml:space="preserve">UTI - Dual Advantage Fixed Term Series IV-III (1279 Days) - Regular Plan - Growth Option</t>
        </is>
      </c>
      <c r="C12676" t="inlineStr">
        <is>
          <t xml:space="preserve">INF789FC1IN0</t>
        </is>
      </c>
    </row>
    <row r="12677">
      <c r="A12677" t="inlineStr">
        <is>
          <t xml:space="preserve">UTI Mutual Fund</t>
        </is>
      </c>
      <c r="B12677" t="inlineStr">
        <is>
          <t xml:space="preserve">UTI - Dual Advantage Fixed Term Series IV-IV (1997 Days) - Direct Plan - Growth Option</t>
        </is>
      </c>
      <c r="C12677" t="inlineStr">
        <is>
          <t xml:space="preserve">INF789FC1IL4</t>
        </is>
      </c>
    </row>
    <row r="12678">
      <c r="A12678" t="inlineStr">
        <is>
          <t xml:space="preserve">UTI Mutual Fund</t>
        </is>
      </c>
      <c r="B12678" t="inlineStr">
        <is>
          <t xml:space="preserve">UTI - Dual Advantage Fixed Term Series IV-IV (1997 Days) - Regular Plan - Growth Option</t>
        </is>
      </c>
      <c r="C12678" t="inlineStr">
        <is>
          <t xml:space="preserve">INF789FC1IJ8</t>
        </is>
      </c>
    </row>
    <row r="12679">
      <c r="A12679" t="inlineStr">
        <is>
          <t xml:space="preserve">UTI Mutual Fund</t>
        </is>
      </c>
      <c r="B12679" t="inlineStr">
        <is>
          <t xml:space="preserve">UTI - Dynamic Bond Fund (Segregated - 17022020) - Direct Plan - Growth Option</t>
        </is>
      </c>
      <c r="C12679" t="inlineStr">
        <is>
          <t xml:space="preserve">INF789F1APX7</t>
        </is>
      </c>
    </row>
    <row r="12680">
      <c r="A12680" t="inlineStr">
        <is>
          <t xml:space="preserve">UTI Mutual Fund</t>
        </is>
      </c>
      <c r="B12680" t="inlineStr">
        <is>
          <t xml:space="preserve">UTI - Dynamic Bond Fund (Segregated - 17022020) - Regular Plan - Growth Option</t>
        </is>
      </c>
      <c r="C12680" t="inlineStr">
        <is>
          <t xml:space="preserve">INF789F1APO6</t>
        </is>
      </c>
    </row>
    <row r="12681">
      <c r="A12681" t="inlineStr">
        <is>
          <t xml:space="preserve">UTI Mutual Fund</t>
        </is>
      </c>
      <c r="B12681" t="inlineStr">
        <is>
          <t xml:space="preserve">UTI - Fixed Income Interval Fund - Monthly Interval Plan  - Direct Plan - Growth Option</t>
        </is>
      </c>
      <c r="C12681" t="inlineStr">
        <is>
          <t xml:space="preserve">INF789F01VQ0</t>
        </is>
      </c>
    </row>
    <row r="12682">
      <c r="A12682" t="inlineStr">
        <is>
          <t xml:space="preserve">UTI Mutual Fund</t>
        </is>
      </c>
      <c r="B12682" t="inlineStr">
        <is>
          <t xml:space="preserve">UTI - Fixed Income Interval Fund - Monthly Interval Plan  - Regular Plan - Growth Option</t>
        </is>
      </c>
      <c r="C12682" t="inlineStr">
        <is>
          <t xml:space="preserve">INF789F01EU8</t>
        </is>
      </c>
    </row>
    <row r="12683">
      <c r="A12683" t="inlineStr">
        <is>
          <t xml:space="preserve">UTI Mutual Fund</t>
        </is>
      </c>
      <c r="B12683" t="inlineStr">
        <is>
          <t xml:space="preserve">UTI - Fixed Income Interval Fund - Monthly Interval Plan - Institutional Dividend Option</t>
        </is>
      </c>
      <c r="C12683" t="inlineStr">
        <is>
          <t xml:space="preserve">INF789F01EV6</t>
        </is>
      </c>
    </row>
    <row r="12684">
      <c r="A12684" t="inlineStr">
        <is>
          <t xml:space="preserve">UTI Mutual Fund</t>
        </is>
      </c>
      <c r="B12684" t="inlineStr">
        <is>
          <t xml:space="preserve">UTI - Fixed Term Income Fund Series XXX-IV (1125 Days) - Direct Plan - Growth Option</t>
        </is>
      </c>
      <c r="C12684" t="inlineStr">
        <is>
          <t xml:space="preserve">INF789F1AAL4</t>
        </is>
      </c>
    </row>
    <row r="12685">
      <c r="A12685" t="inlineStr">
        <is>
          <t xml:space="preserve">UTI Mutual Fund</t>
        </is>
      </c>
      <c r="B12685" t="inlineStr">
        <is>
          <t xml:space="preserve">UTI - Fixed Term Income Fund Series XXX-IV (1125 Days) - Regular Plan - Growth Option</t>
        </is>
      </c>
      <c r="C12685" t="inlineStr">
        <is>
          <t xml:space="preserve">INF789F1AAG4</t>
        </is>
      </c>
    </row>
    <row r="12686">
      <c r="A12686" t="inlineStr">
        <is>
          <t xml:space="preserve">UTI Mutual Fund</t>
        </is>
      </c>
      <c r="B12686" t="inlineStr">
        <is>
          <t xml:space="preserve">UTI - Fixed Term Income Fund Series XXX-IX (1266 Days) - Direct Plan - Growth Option</t>
        </is>
      </c>
      <c r="C12686" t="inlineStr">
        <is>
          <t xml:space="preserve">INF789F1ABZ2</t>
        </is>
      </c>
    </row>
    <row r="12687">
      <c r="A12687" t="inlineStr">
        <is>
          <t xml:space="preserve">UTI Mutual Fund</t>
        </is>
      </c>
      <c r="B12687" t="inlineStr">
        <is>
          <t xml:space="preserve">UTI - Fixed Term Income Fund Series XXX-IX (1266 Days) - Regular Plan - Growth Option</t>
        </is>
      </c>
      <c r="C12687" t="inlineStr">
        <is>
          <t xml:space="preserve">INF789F1ABU3</t>
        </is>
      </c>
    </row>
    <row r="12688">
      <c r="A12688" t="inlineStr">
        <is>
          <t xml:space="preserve">UTI Mutual Fund</t>
        </is>
      </c>
      <c r="B12688" t="inlineStr">
        <is>
          <t xml:space="preserve">UTI - Fixed Term Income Fund Series XXX-V (1135 Days) - Direct Plan - Growth Option</t>
        </is>
      </c>
      <c r="C12688" t="inlineStr">
        <is>
          <t xml:space="preserve">INF789F1AAV3</t>
        </is>
      </c>
    </row>
    <row r="12689">
      <c r="A12689" t="inlineStr">
        <is>
          <t xml:space="preserve">UTI Mutual Fund</t>
        </is>
      </c>
      <c r="B12689" t="inlineStr">
        <is>
          <t xml:space="preserve">UTI - Fixed Term Income Fund Series XXX-V (1135 Days) - Regular Plan - Growth Option</t>
        </is>
      </c>
      <c r="C12689" t="inlineStr">
        <is>
          <t xml:space="preserve">INF789F1AAQ3</t>
        </is>
      </c>
    </row>
    <row r="12690">
      <c r="A12690" t="inlineStr">
        <is>
          <t xml:space="preserve">UTI Mutual Fund</t>
        </is>
      </c>
      <c r="B12690" t="inlineStr">
        <is>
          <t xml:space="preserve">UTI - Fixed Term Income Fund Series XXX-VI (1107 Days) - Direct Plan - Growth Option</t>
        </is>
      </c>
      <c r="C12690" t="inlineStr">
        <is>
          <t xml:space="preserve">INF789F1ABF4</t>
        </is>
      </c>
    </row>
    <row r="12691">
      <c r="A12691" t="inlineStr">
        <is>
          <t xml:space="preserve">UTI Mutual Fund</t>
        </is>
      </c>
      <c r="B12691" t="inlineStr">
        <is>
          <t xml:space="preserve">UTI - Fixed Term Income Fund Series XXX-VI (1107 Days) - Regular Plan - Growth Option</t>
        </is>
      </c>
      <c r="C12691" t="inlineStr">
        <is>
          <t xml:space="preserve">INF789F1ABA5</t>
        </is>
      </c>
    </row>
    <row r="12692">
      <c r="A12692" t="inlineStr">
        <is>
          <t xml:space="preserve">UTI Mutual Fund</t>
        </is>
      </c>
      <c r="B12692" t="inlineStr">
        <is>
          <t xml:space="preserve">UTI - Fixed Term Income Fund Series XXX-VIII (1286 Days) - Direct Plan - Growth Option</t>
        </is>
      </c>
      <c r="C12692" t="inlineStr">
        <is>
          <t xml:space="preserve">INF789F1ACJ4</t>
        </is>
      </c>
    </row>
    <row r="12693">
      <c r="A12693" t="inlineStr">
        <is>
          <t xml:space="preserve">UTI Mutual Fund</t>
        </is>
      </c>
      <c r="B12693" t="inlineStr">
        <is>
          <t xml:space="preserve">UTI - Fixed Term Income Fund Series XXX-VIII (1286 Days) - Regular Plan - Growth Option</t>
        </is>
      </c>
      <c r="C12693" t="inlineStr">
        <is>
          <t xml:space="preserve">INF789F1ACE5</t>
        </is>
      </c>
    </row>
    <row r="12694">
      <c r="A12694" t="inlineStr">
        <is>
          <t xml:space="preserve">UTI Mutual Fund</t>
        </is>
      </c>
      <c r="B12694" t="inlineStr">
        <is>
          <t xml:space="preserve">UTI - Fixed Term Income Fund Series XXX-X (1267 Days) - Direct Plan - Growth Option</t>
        </is>
      </c>
      <c r="C12694" t="inlineStr">
        <is>
          <t xml:space="preserve">INF789F1ADL8</t>
        </is>
      </c>
    </row>
    <row r="12695">
      <c r="A12695" t="inlineStr">
        <is>
          <t xml:space="preserve">UTI Mutual Fund</t>
        </is>
      </c>
      <c r="B12695" t="inlineStr">
        <is>
          <t xml:space="preserve">UTI - Fixed Term Income Fund Series XXX-X (1267 Days) - Regular Plan - Growth Option</t>
        </is>
      </c>
      <c r="C12695" t="inlineStr">
        <is>
          <t xml:space="preserve">INF789F1ADG8</t>
        </is>
      </c>
    </row>
    <row r="12696">
      <c r="A12696" t="inlineStr">
        <is>
          <t xml:space="preserve">UTI Mutual Fund</t>
        </is>
      </c>
      <c r="B12696" t="inlineStr">
        <is>
          <t xml:space="preserve">UTI - Fixed Term Income Fund Series XXX-XI (1246 Days) - Direct Plan - Growth Option</t>
        </is>
      </c>
      <c r="C12696" t="inlineStr">
        <is>
          <t xml:space="preserve">INF789F1ADV7</t>
        </is>
      </c>
    </row>
    <row r="12697">
      <c r="A12697" t="inlineStr">
        <is>
          <t xml:space="preserve">UTI Mutual Fund</t>
        </is>
      </c>
      <c r="B12697" t="inlineStr">
        <is>
          <t xml:space="preserve">UTI - Fixed Term Income Fund Series XXX-XI (1246 Days) - Regular Plan - Growth Option</t>
        </is>
      </c>
      <c r="C12697" t="inlineStr">
        <is>
          <t xml:space="preserve">INF789F1ADQ7</t>
        </is>
      </c>
    </row>
    <row r="12698">
      <c r="A12698" t="inlineStr">
        <is>
          <t xml:space="preserve">UTI Mutual Fund</t>
        </is>
      </c>
      <c r="B12698" t="inlineStr">
        <is>
          <t xml:space="preserve">UTI - Fixed Term Income Fund Series XXX-XII (1254 Days) - Direct Plan - Growth Option</t>
        </is>
      </c>
      <c r="C12698" t="inlineStr">
        <is>
          <t xml:space="preserve">INF789F1AEF8</t>
        </is>
      </c>
    </row>
    <row r="12699">
      <c r="A12699" t="inlineStr">
        <is>
          <t xml:space="preserve">UTI Mutual Fund</t>
        </is>
      </c>
      <c r="B12699" t="inlineStr">
        <is>
          <t xml:space="preserve">UTI - Fixed Term Income Fund Series XXX-XII (1254 Days) - Regular Plan - Growth Option</t>
        </is>
      </c>
      <c r="C12699" t="inlineStr">
        <is>
          <t xml:space="preserve">INF789F1AEA9</t>
        </is>
      </c>
    </row>
    <row r="12700">
      <c r="A12700" t="inlineStr">
        <is>
          <t xml:space="preserve">UTI Mutual Fund</t>
        </is>
      </c>
      <c r="B12700" t="inlineStr">
        <is>
          <t xml:space="preserve">UTI - Fixed Term Income Fund Series XXX-XIII (1224 Days) - Direct Plan - Growth Option</t>
        </is>
      </c>
      <c r="C12700" t="inlineStr">
        <is>
          <t xml:space="preserve">INF789F1AEP7</t>
        </is>
      </c>
    </row>
    <row r="12701">
      <c r="A12701" t="inlineStr">
        <is>
          <t xml:space="preserve">UTI Mutual Fund</t>
        </is>
      </c>
      <c r="B12701" t="inlineStr">
        <is>
          <t xml:space="preserve">UTI - Fixed Term Income Fund Series XXX-XIII (1224 Days) - Regular Plan - Growth Option</t>
        </is>
      </c>
      <c r="C12701" t="inlineStr">
        <is>
          <t xml:space="preserve">INF789F1AEK8</t>
        </is>
      </c>
    </row>
    <row r="12702">
      <c r="A12702" t="inlineStr">
        <is>
          <t xml:space="preserve">UTI Mutual Fund</t>
        </is>
      </c>
      <c r="B12702" t="inlineStr">
        <is>
          <t xml:space="preserve">UTI - Fixed Term Income Fund Series XXX-XIV (1209 Days) - Direct Plan - Growth Option</t>
        </is>
      </c>
      <c r="C12702" t="inlineStr">
        <is>
          <t xml:space="preserve">INF789F1AEZ6</t>
        </is>
      </c>
    </row>
    <row r="12703">
      <c r="A12703" t="inlineStr">
        <is>
          <t xml:space="preserve">UTI Mutual Fund</t>
        </is>
      </c>
      <c r="B12703" t="inlineStr">
        <is>
          <t xml:space="preserve">UTI - Fixed Term Income Fund Series XXX-XIV (1209 Days) - Regular Plan - Growth Option</t>
        </is>
      </c>
      <c r="C12703" t="inlineStr">
        <is>
          <t xml:space="preserve">INF789F1AEU7</t>
        </is>
      </c>
    </row>
    <row r="12704">
      <c r="A12704" t="inlineStr">
        <is>
          <t xml:space="preserve">UTI Mutual Fund</t>
        </is>
      </c>
      <c r="B12704" t="inlineStr">
        <is>
          <t xml:space="preserve">UTI - Fixed Term Income Fund Series XXX-XV (1223 Days) - Direct Plan - Growth Option</t>
        </is>
      </c>
      <c r="C12704" t="inlineStr">
        <is>
          <t xml:space="preserve">INF789F1AFJ7</t>
        </is>
      </c>
    </row>
    <row r="12705">
      <c r="A12705" t="inlineStr">
        <is>
          <t xml:space="preserve">UTI Mutual Fund</t>
        </is>
      </c>
      <c r="B12705" t="inlineStr">
        <is>
          <t xml:space="preserve">UTI - Fixed Term Income Fund Series XXX-XV (1223 Days) - Regular Plan - Growth Option</t>
        </is>
      </c>
      <c r="C12705" t="inlineStr">
        <is>
          <t xml:space="preserve">INF789F1AFE8</t>
        </is>
      </c>
    </row>
    <row r="12706">
      <c r="A12706" t="inlineStr">
        <is>
          <t xml:space="preserve">UTI Mutual Fund</t>
        </is>
      </c>
      <c r="B12706" t="inlineStr">
        <is>
          <t xml:space="preserve">UTI - Fixed Term Income Fund Series XXXI-I (1209 Days) - Direct Plan - Growth Option</t>
        </is>
      </c>
      <c r="C12706" t="inlineStr">
        <is>
          <t xml:space="preserve">INF789F1AFT6</t>
        </is>
      </c>
    </row>
    <row r="12707">
      <c r="A12707" t="inlineStr">
        <is>
          <t xml:space="preserve">UTI Mutual Fund</t>
        </is>
      </c>
      <c r="B12707" t="inlineStr">
        <is>
          <t xml:space="preserve">UTI - Fixed Term Income Fund Series XXXI-I (1209 Days) - Regular Plan - Growth Option</t>
        </is>
      </c>
      <c r="C12707" t="inlineStr">
        <is>
          <t xml:space="preserve">INF789F1AFO7</t>
        </is>
      </c>
    </row>
    <row r="12708">
      <c r="A12708" t="inlineStr">
        <is>
          <t xml:space="preserve">UTI Mutual Fund</t>
        </is>
      </c>
      <c r="B12708" t="inlineStr">
        <is>
          <t xml:space="preserve">UTI - Fixed Term Income Fund Series XXXI-II (1222 Days) - Direct Plan - Growth Option</t>
        </is>
      </c>
      <c r="C12708" t="inlineStr">
        <is>
          <t xml:space="preserve">INF789F1AGE6</t>
        </is>
      </c>
    </row>
    <row r="12709">
      <c r="A12709" t="inlineStr">
        <is>
          <t xml:space="preserve">UTI Mutual Fund</t>
        </is>
      </c>
      <c r="B12709" t="inlineStr">
        <is>
          <t xml:space="preserve">UTI - Fixed Term Income Fund Series XXXI-II (1222 Days) - Regular Plan - Growth Option</t>
        </is>
      </c>
      <c r="C12709" t="inlineStr">
        <is>
          <t xml:space="preserve">INF789F1AFY6</t>
        </is>
      </c>
    </row>
    <row r="12710">
      <c r="A12710" t="inlineStr">
        <is>
          <t xml:space="preserve">UTI Mutual Fund</t>
        </is>
      </c>
      <c r="B12710" t="inlineStr">
        <is>
          <t xml:space="preserve">UTI - Fixed Term Income Fund Series XXXI-III (1174 Days) - Direct Plan - Growth Option</t>
        </is>
      </c>
      <c r="C12710" t="inlineStr">
        <is>
          <t xml:space="preserve">INF789F1AGS6</t>
        </is>
      </c>
    </row>
    <row r="12711">
      <c r="A12711" t="inlineStr">
        <is>
          <t xml:space="preserve">UTI Mutual Fund</t>
        </is>
      </c>
      <c r="B12711" t="inlineStr">
        <is>
          <t xml:space="preserve">UTI - Fixed Term Income Fund Series XXXI-III (1174 Days) - Regular Plan - Growth Option</t>
        </is>
      </c>
      <c r="C12711" t="inlineStr">
        <is>
          <t xml:space="preserve">INF789F1AGN7</t>
        </is>
      </c>
    </row>
    <row r="12712">
      <c r="A12712" t="inlineStr">
        <is>
          <t xml:space="preserve">UTI Mutual Fund</t>
        </is>
      </c>
      <c r="B12712" t="inlineStr">
        <is>
          <t xml:space="preserve">UTI - Fixed Term Income Fund Series XXXI-IV (1204 Days) - Direct Plan - Growth Option</t>
        </is>
      </c>
      <c r="C12712" t="inlineStr">
        <is>
          <t xml:space="preserve">INF789F1AHB0</t>
        </is>
      </c>
    </row>
    <row r="12713">
      <c r="A12713" t="inlineStr">
        <is>
          <t xml:space="preserve">UTI Mutual Fund</t>
        </is>
      </c>
      <c r="B12713" t="inlineStr">
        <is>
          <t xml:space="preserve">UTI - Fixed Term Income Fund Series XXXI-IV (1204 Days) - Regular Plan - Growth Option</t>
        </is>
      </c>
      <c r="C12713" t="inlineStr">
        <is>
          <t xml:space="preserve">INF789F1AGX6</t>
        </is>
      </c>
    </row>
    <row r="12714">
      <c r="A12714" t="inlineStr">
        <is>
          <t xml:space="preserve">UTI Mutual Fund</t>
        </is>
      </c>
      <c r="B12714" t="inlineStr">
        <is>
          <t xml:space="preserve">UTI - Fixed Term Income Fund Series XXXI-IX (1168 Days) - Direct Plan - Growth Option</t>
        </is>
      </c>
      <c r="C12714" t="inlineStr">
        <is>
          <t xml:space="preserve">INF789F1AJB6</t>
        </is>
      </c>
    </row>
    <row r="12715">
      <c r="A12715" t="inlineStr">
        <is>
          <t xml:space="preserve">UTI Mutual Fund</t>
        </is>
      </c>
      <c r="B12715" t="inlineStr">
        <is>
          <t xml:space="preserve">UTI - Fixed Term Income Fund Series XXXI-IX (1168 Days) - Regular Plan - Growth Option</t>
        </is>
      </c>
      <c r="C12715" t="inlineStr">
        <is>
          <t xml:space="preserve">INF789F1AIW4</t>
        </is>
      </c>
    </row>
    <row r="12716">
      <c r="A12716" t="inlineStr">
        <is>
          <t xml:space="preserve">UTI Mutual Fund</t>
        </is>
      </c>
      <c r="B12716" t="inlineStr">
        <is>
          <t xml:space="preserve">UTI - Fixed Term Income Fund Series XXXI-V (1174 Days) - Direct Plan - Growth Option</t>
        </is>
      </c>
      <c r="C12716" t="inlineStr">
        <is>
          <t xml:space="preserve">INF789F1AHM7</t>
        </is>
      </c>
    </row>
    <row r="12717">
      <c r="A12717" t="inlineStr">
        <is>
          <t xml:space="preserve">UTI Mutual Fund</t>
        </is>
      </c>
      <c r="B12717" t="inlineStr">
        <is>
          <t xml:space="preserve">UTI - Fixed Term Income Fund Series XXXI-V (1174 Days) - Regular Plan - Growth Option</t>
        </is>
      </c>
      <c r="C12717" t="inlineStr">
        <is>
          <t xml:space="preserve">INF789F1AHH7</t>
        </is>
      </c>
    </row>
    <row r="12718">
      <c r="A12718" t="inlineStr">
        <is>
          <t xml:space="preserve">UTI Mutual Fund</t>
        </is>
      </c>
      <c r="B12718" t="inlineStr">
        <is>
          <t xml:space="preserve">UTI - Fixed Term Income Fund Series XXXI-VI (1167 Days) - Direct Plan - Growth Option</t>
        </is>
      </c>
      <c r="C12718" t="inlineStr">
        <is>
          <t xml:space="preserve">INF789F1AHX4</t>
        </is>
      </c>
    </row>
    <row r="12719">
      <c r="A12719" t="inlineStr">
        <is>
          <t xml:space="preserve">UTI Mutual Fund</t>
        </is>
      </c>
      <c r="B12719" t="inlineStr">
        <is>
          <t xml:space="preserve">UTI - Fixed Term Income Fund Series XXXI-VI (1167 Days) - Regular Plan - Growth Option</t>
        </is>
      </c>
      <c r="C12719" t="inlineStr">
        <is>
          <t xml:space="preserve">INF789F1AHS4</t>
        </is>
      </c>
    </row>
    <row r="12720">
      <c r="A12720" t="inlineStr">
        <is>
          <t xml:space="preserve">UTI Mutual Fund</t>
        </is>
      </c>
      <c r="B12720" t="inlineStr">
        <is>
          <t xml:space="preserve">UTI - Fixed Term Income Fund Series XXXI-VII (1155 Days) - Direct Plan - Growth Option</t>
        </is>
      </c>
      <c r="C12720" t="inlineStr">
        <is>
          <t xml:space="preserve">INF789F1AIH5</t>
        </is>
      </c>
    </row>
    <row r="12721">
      <c r="A12721" t="inlineStr">
        <is>
          <t xml:space="preserve">UTI Mutual Fund</t>
        </is>
      </c>
      <c r="B12721" t="inlineStr">
        <is>
          <t xml:space="preserve">UTI - Fixed Term Income Fund Series XXXI-VII (1155 Days) - Regular Plan - Growth Option</t>
        </is>
      </c>
      <c r="C12721" t="inlineStr">
        <is>
          <t xml:space="preserve">INF789F1AIC6</t>
        </is>
      </c>
    </row>
    <row r="12722">
      <c r="A12722" t="inlineStr">
        <is>
          <t xml:space="preserve">UTI Mutual Fund</t>
        </is>
      </c>
      <c r="B12722" t="inlineStr">
        <is>
          <t xml:space="preserve">UTI - Fixed Term Income Fund Series XXXI-VIII (1153 Days) - Direct Plan - Growth Option</t>
        </is>
      </c>
      <c r="C12722" t="inlineStr">
        <is>
          <t xml:space="preserve">INF789F1AIU8</t>
        </is>
      </c>
    </row>
    <row r="12723">
      <c r="A12723" t="inlineStr">
        <is>
          <t xml:space="preserve">UTI Mutual Fund</t>
        </is>
      </c>
      <c r="B12723" t="inlineStr">
        <is>
          <t xml:space="preserve">UTI - Fixed Term Income Fund Series XXXI-VIII (1153 Days) - Regular Plan - Growth Option</t>
        </is>
      </c>
      <c r="C12723" t="inlineStr">
        <is>
          <t xml:space="preserve">INF789F1AIP8</t>
        </is>
      </c>
    </row>
    <row r="12724">
      <c r="A12724" t="inlineStr">
        <is>
          <t xml:space="preserve">UTI Mutual Fund</t>
        </is>
      </c>
      <c r="B12724" t="inlineStr">
        <is>
          <t xml:space="preserve">UTI - Fixed Term Income Fund Series XXXI-X (1168 Days) - Direct Plan - Growth Option</t>
        </is>
      </c>
      <c r="C12724" t="inlineStr">
        <is>
          <t xml:space="preserve">INF789F1AJL5</t>
        </is>
      </c>
    </row>
    <row r="12725">
      <c r="A12725" t="inlineStr">
        <is>
          <t xml:space="preserve">UTI Mutual Fund</t>
        </is>
      </c>
      <c r="B12725" t="inlineStr">
        <is>
          <t xml:space="preserve">UTI - Fixed Term Income Fund Series XXXI-X (1168 Days) - Regular Plan - Growth Option</t>
        </is>
      </c>
      <c r="C12725" t="inlineStr">
        <is>
          <t xml:space="preserve">INF789F1AJG5</t>
        </is>
      </c>
    </row>
    <row r="12726">
      <c r="A12726" t="inlineStr">
        <is>
          <t xml:space="preserve">UTI Mutual Fund</t>
        </is>
      </c>
      <c r="B12726" t="inlineStr">
        <is>
          <t xml:space="preserve">UTI - Fixed Term Income Fund Series XXXI-XI (1169 Days) - Direct Plan - Growth Option</t>
        </is>
      </c>
      <c r="C12726" t="inlineStr">
        <is>
          <t xml:space="preserve">INF789F1AJV4</t>
        </is>
      </c>
    </row>
    <row r="12727">
      <c r="A12727" t="inlineStr">
        <is>
          <t xml:space="preserve">UTI Mutual Fund</t>
        </is>
      </c>
      <c r="B12727" t="inlineStr">
        <is>
          <t xml:space="preserve">UTI - Fixed Term Income Fund Series XXXI-XI (1169 Days) - Regular Plan - Growth Option</t>
        </is>
      </c>
      <c r="C12727" t="inlineStr">
        <is>
          <t xml:space="preserve">INF789F1AJQ4</t>
        </is>
      </c>
    </row>
    <row r="12728">
      <c r="A12728" t="inlineStr">
        <is>
          <t xml:space="preserve">UTI Mutual Fund</t>
        </is>
      </c>
      <c r="B12728" t="inlineStr">
        <is>
          <t xml:space="preserve">UTI - Fixed Term Income Fund Series XXXI-XII (1148 Days) - Direct Plan - Growth Option</t>
        </is>
      </c>
      <c r="C12728" t="inlineStr">
        <is>
          <t xml:space="preserve">INF789F1AKF5</t>
        </is>
      </c>
    </row>
    <row r="12729">
      <c r="A12729" t="inlineStr">
        <is>
          <t xml:space="preserve">UTI Mutual Fund</t>
        </is>
      </c>
      <c r="B12729" t="inlineStr">
        <is>
          <t xml:space="preserve">UTI - Fixed Term Income Fund Series XXXI-XII (1148 Days) - Regular Plan - Growth Option</t>
        </is>
      </c>
      <c r="C12729" t="inlineStr">
        <is>
          <t xml:space="preserve">INF789F1AKA6</t>
        </is>
      </c>
    </row>
    <row r="12730">
      <c r="A12730" t="inlineStr">
        <is>
          <t xml:space="preserve">UTI Mutual Fund</t>
        </is>
      </c>
      <c r="B12730" t="inlineStr">
        <is>
          <t xml:space="preserve">UTI - Fixed Term Income Fund Series XXXI-XIII (1127 Days) - Direct Plan - Growth Option</t>
        </is>
      </c>
      <c r="C12730" t="inlineStr">
        <is>
          <t xml:space="preserve">INF789F1AKP4</t>
        </is>
      </c>
    </row>
    <row r="12731">
      <c r="A12731" t="inlineStr">
        <is>
          <t xml:space="preserve">UTI Mutual Fund</t>
        </is>
      </c>
      <c r="B12731" t="inlineStr">
        <is>
          <t xml:space="preserve">UTI - Fixed Term Income Fund Series XXXI-XIII (1127 Days) - Regular Plan - Growth Option</t>
        </is>
      </c>
      <c r="C12731" t="inlineStr">
        <is>
          <t xml:space="preserve">INF789F1AKK5</t>
        </is>
      </c>
    </row>
    <row r="12732">
      <c r="A12732" t="inlineStr">
        <is>
          <t xml:space="preserve">UTI Mutual Fund</t>
        </is>
      </c>
      <c r="B12732" t="inlineStr">
        <is>
          <t xml:space="preserve">UTI - Fixed Term Income Fund Series XXXI-XIV (1111 Days) - Direct Plan - Growth Option</t>
        </is>
      </c>
      <c r="C12732" t="inlineStr">
        <is>
          <t xml:space="preserve">INF789F1AKZ3</t>
        </is>
      </c>
    </row>
    <row r="12733">
      <c r="A12733" t="inlineStr">
        <is>
          <t xml:space="preserve">UTI Mutual Fund</t>
        </is>
      </c>
      <c r="B12733" t="inlineStr">
        <is>
          <t xml:space="preserve">UTI - Fixed Term Income Fund Series XXXI-XIV (1111 Days) - Regular Plan - Growth Option</t>
        </is>
      </c>
      <c r="C12733" t="inlineStr">
        <is>
          <t xml:space="preserve">INF789F1AKU4</t>
        </is>
      </c>
    </row>
    <row r="12734">
      <c r="A12734" t="inlineStr">
        <is>
          <t xml:space="preserve">UTI Mutual Fund</t>
        </is>
      </c>
      <c r="B12734" t="inlineStr">
        <is>
          <t xml:space="preserve">UTI - Fixed Term Income Fund Series XXXI-XV (1099 Days) - Direct Plan - Growth Option</t>
        </is>
      </c>
      <c r="C12734" t="inlineStr">
        <is>
          <t xml:space="preserve">INF789F1ALJ5</t>
        </is>
      </c>
    </row>
    <row r="12735">
      <c r="A12735" t="inlineStr">
        <is>
          <t xml:space="preserve">UTI Mutual Fund</t>
        </is>
      </c>
      <c r="B12735" t="inlineStr">
        <is>
          <t xml:space="preserve">UTI - Fixed Term Income Fund Series XXXI-XV (1099 Days) - Regular Plan - Growth Option</t>
        </is>
      </c>
      <c r="C12735" t="inlineStr">
        <is>
          <t xml:space="preserve">INF789F1ALE6</t>
        </is>
      </c>
    </row>
    <row r="12736">
      <c r="A12736" t="inlineStr">
        <is>
          <t xml:space="preserve">UTI Mutual Fund</t>
        </is>
      </c>
      <c r="B12736" t="inlineStr">
        <is>
          <t xml:space="preserve">UTI - Fixed Term Income Fund Series XXXII-I (1126 days) Direct Plan Growth Option</t>
        </is>
      </c>
      <c r="C12736" t="inlineStr">
        <is>
          <t xml:space="preserve">INF789F1ALT4</t>
        </is>
      </c>
    </row>
    <row r="12737">
      <c r="A12737" t="inlineStr">
        <is>
          <t xml:space="preserve">UTI Mutual Fund</t>
        </is>
      </c>
      <c r="B12737" t="inlineStr">
        <is>
          <t xml:space="preserve">UTI - Fixed Term Income Fund Series XXXII-I (1126 days) Regular Plan Growth Option</t>
        </is>
      </c>
      <c r="C12737" t="inlineStr">
        <is>
          <t xml:space="preserve">INF789F1ALO5</t>
        </is>
      </c>
    </row>
    <row r="12738">
      <c r="A12738" t="inlineStr">
        <is>
          <t xml:space="preserve">UTI Mutual Fund</t>
        </is>
      </c>
      <c r="B12738" t="inlineStr">
        <is>
          <t xml:space="preserve">UTI - Fixed Term Income Fund Series XXXII-II (1111 Days) - Direct Plan - Growth Option</t>
        </is>
      </c>
      <c r="C12738" t="inlineStr">
        <is>
          <t xml:space="preserve">INF789F1AMD6</t>
        </is>
      </c>
    </row>
    <row r="12739">
      <c r="A12739" t="inlineStr">
        <is>
          <t xml:space="preserve">UTI Mutual Fund</t>
        </is>
      </c>
      <c r="B12739" t="inlineStr">
        <is>
          <t xml:space="preserve">UTI - Fixed Term Income Fund Series XXXII-II (1111 Days) - Regular Plan - Growth Option</t>
        </is>
      </c>
      <c r="C12739" t="inlineStr">
        <is>
          <t xml:space="preserve">INF789F1ALY4</t>
        </is>
      </c>
    </row>
    <row r="12740">
      <c r="A12740" t="inlineStr">
        <is>
          <t xml:space="preserve">UTI Mutual Fund</t>
        </is>
      </c>
      <c r="B12740" t="inlineStr">
        <is>
          <t xml:space="preserve">UTI - Fixed Term Income Fund Series XXXIII-I (1135 Days) - Direct Plan - Growth Option</t>
        </is>
      </c>
      <c r="C12740" t="inlineStr">
        <is>
          <t xml:space="preserve">INF789F1ARA1</t>
        </is>
      </c>
    </row>
    <row r="12741">
      <c r="A12741" t="inlineStr">
        <is>
          <t xml:space="preserve">UTI Mutual Fund</t>
        </is>
      </c>
      <c r="B12741" t="inlineStr">
        <is>
          <t xml:space="preserve">UTI - Fixed Term Income Fund Series XXXIII-I (1135 Days) - Regular Plan - Growth Option</t>
        </is>
      </c>
      <c r="C12741" t="inlineStr">
        <is>
          <t xml:space="preserve">INF789F1AQV9</t>
        </is>
      </c>
    </row>
    <row r="12742">
      <c r="A12742" t="inlineStr">
        <is>
          <t xml:space="preserve">UTI Mutual Fund</t>
        </is>
      </c>
      <c r="B12742" t="inlineStr">
        <is>
          <t xml:space="preserve">UTI - Flexi Cap Fund-Growth Option</t>
        </is>
      </c>
      <c r="C12742" t="inlineStr">
        <is>
          <t xml:space="preserve">INF789F01513</t>
        </is>
      </c>
    </row>
    <row r="12743">
      <c r="A12743" t="inlineStr">
        <is>
          <t xml:space="preserve">UTI Mutual Fund</t>
        </is>
      </c>
      <c r="B12743" t="inlineStr">
        <is>
          <t xml:space="preserve">UTI - Flexi Cap Fund-Growth Option - Direct</t>
        </is>
      </c>
      <c r="C12743" t="inlineStr">
        <is>
          <t xml:space="preserve">INF789F01TC4</t>
        </is>
      </c>
    </row>
    <row r="12744">
      <c r="A12744" t="inlineStr">
        <is>
          <t xml:space="preserve">UTI Mutual Fund</t>
        </is>
      </c>
      <c r="B12744" t="inlineStr">
        <is>
          <t xml:space="preserve">UTI - Floater Fund - Direct Plan - Growth Option</t>
        </is>
      </c>
      <c r="C12744" t="inlineStr">
        <is>
          <t xml:space="preserve">INF789F1ACX5</t>
        </is>
      </c>
    </row>
    <row r="12745">
      <c r="A12745" t="inlineStr">
        <is>
          <t xml:space="preserve">UTI Mutual Fund</t>
        </is>
      </c>
      <c r="B12745" t="inlineStr">
        <is>
          <t xml:space="preserve">UTI - Floater Fund - Regular Plan  - Growth Option</t>
        </is>
      </c>
      <c r="C12745" t="inlineStr">
        <is>
          <t xml:space="preserve">INF789F1ACO4</t>
        </is>
      </c>
    </row>
    <row r="12746">
      <c r="A12746" t="inlineStr">
        <is>
          <t xml:space="preserve">UTI Mutual Fund</t>
        </is>
      </c>
      <c r="B12746" t="inlineStr">
        <is>
          <t xml:space="preserve">UTI - GILT FUND - Direct Plan - Growth Option</t>
        </is>
      </c>
      <c r="C12746" t="inlineStr">
        <is>
          <t xml:space="preserve">INF789F01TL5</t>
        </is>
      </c>
    </row>
    <row r="12747">
      <c r="A12747" t="inlineStr">
        <is>
          <t xml:space="preserve">UTI Mutual Fund</t>
        </is>
      </c>
      <c r="B12747" t="inlineStr">
        <is>
          <t xml:space="preserve">UTI - GILT FUND - Discontinued PF Plan - Growth Option</t>
        </is>
      </c>
      <c r="C12747" t="inlineStr">
        <is>
          <t xml:space="preserve">INF789F01PT6</t>
        </is>
      </c>
    </row>
    <row r="12748">
      <c r="A12748" t="inlineStr">
        <is>
          <t xml:space="preserve">UTI Mutual Fund</t>
        </is>
      </c>
      <c r="B12748" t="inlineStr">
        <is>
          <t xml:space="preserve">UTI - GILT FUND - Discontinued PF Plan Prescribed Date Auto Redemption Option</t>
        </is>
      </c>
      <c r="C12748" t="inlineStr">
        <is>
          <t xml:space="preserve">INF789F01PU4</t>
        </is>
      </c>
    </row>
    <row r="12749">
      <c r="A12749" t="inlineStr">
        <is>
          <t xml:space="preserve">UTI Mutual Fund</t>
        </is>
      </c>
      <c r="B12749" t="inlineStr">
        <is>
          <t xml:space="preserve">UTI - GILT FUND - Regular Plan - Growth Option</t>
        </is>
      </c>
      <c r="C12749" t="inlineStr">
        <is>
          <t xml:space="preserve">INF789F01661</t>
        </is>
      </c>
    </row>
    <row r="12750">
      <c r="A12750" t="inlineStr">
        <is>
          <t xml:space="preserve">UTI Mutual Fund</t>
        </is>
      </c>
      <c r="B12750" t="inlineStr">
        <is>
          <t xml:space="preserve">UTI - GILT FUND -Discontinued PF Plan -Dividend Option</t>
        </is>
      </c>
      <c r="C12750" t="inlineStr">
        <is>
          <t xml:space="preserve">INF789F01PR0</t>
        </is>
      </c>
    </row>
    <row r="12751">
      <c r="A12751" t="inlineStr">
        <is>
          <t xml:space="preserve">UTI Mutual Fund</t>
        </is>
      </c>
      <c r="B12751" t="inlineStr">
        <is>
          <t xml:space="preserve">UTI - Medium Term Fund (Segregated - 06032020) - Direct Plan - Annual Dividend Option</t>
        </is>
      </c>
      <c r="C12751" t="inlineStr">
        <is>
          <t xml:space="preserve">INF789F1ASC5</t>
        </is>
      </c>
    </row>
    <row r="12752">
      <c r="A12752" t="inlineStr">
        <is>
          <t xml:space="preserve">UTI Mutual Fund</t>
        </is>
      </c>
      <c r="B12752" t="inlineStr">
        <is>
          <t xml:space="preserve">UTI - Medium Term Fund (Segregated - 06032020) - Direct Plan - Flexi Dividend Option</t>
        </is>
      </c>
      <c r="C12752" t="inlineStr">
        <is>
          <t xml:space="preserve">INF789F1ASG6</t>
        </is>
      </c>
    </row>
    <row r="12753">
      <c r="A12753" t="inlineStr">
        <is>
          <t xml:space="preserve">UTI Mutual Fund</t>
        </is>
      </c>
      <c r="B12753" t="inlineStr">
        <is>
          <t xml:space="preserve">UTI - Medium Term Fund (Segregated - 06032020) - Direct Plan - Growth Option</t>
        </is>
      </c>
      <c r="C12753" t="inlineStr">
        <is>
          <t xml:space="preserve">INF789F1ASB7</t>
        </is>
      </c>
    </row>
    <row r="12754">
      <c r="A12754" t="inlineStr">
        <is>
          <t xml:space="preserve">UTI Mutual Fund</t>
        </is>
      </c>
      <c r="B12754" t="inlineStr">
        <is>
          <t xml:space="preserve">UTI - Medium Term Fund (Segregated - 06032020) - Direct Plan - Half Yearly Dividend Option</t>
        </is>
      </c>
      <c r="C12754" t="inlineStr">
        <is>
          <t xml:space="preserve">INF789F1ASE1</t>
        </is>
      </c>
    </row>
    <row r="12755">
      <c r="A12755" t="inlineStr">
        <is>
          <t xml:space="preserve">UTI Mutual Fund</t>
        </is>
      </c>
      <c r="B12755" t="inlineStr">
        <is>
          <t xml:space="preserve">UTI - Medium Term Fund (Segregated - 06032020) - Direct Plan - Monthly Dividend Option</t>
        </is>
      </c>
      <c r="C12755" t="inlineStr">
        <is>
          <t xml:space="preserve">INF789F1ASI2</t>
        </is>
      </c>
    </row>
    <row r="12756">
      <c r="A12756" t="inlineStr">
        <is>
          <t xml:space="preserve">UTI Mutual Fund</t>
        </is>
      </c>
      <c r="B12756" t="inlineStr">
        <is>
          <t xml:space="preserve">UTI - Medium Term Fund (Segregated - 06032020) - Direct Plan - Quarterly Dividend Option</t>
        </is>
      </c>
      <c r="C12756" t="inlineStr">
        <is>
          <t xml:space="preserve">INF789F1ARZ8</t>
        </is>
      </c>
    </row>
    <row r="12757">
      <c r="A12757" t="inlineStr">
        <is>
          <t xml:space="preserve">UTI Mutual Fund</t>
        </is>
      </c>
      <c r="B12757" t="inlineStr">
        <is>
          <t xml:space="preserve">UTI - Medium Term Fund (Segregated - 06032020) - Regular Plan - Annual Dividend Option</t>
        </is>
      </c>
      <c r="C12757" t="inlineStr">
        <is>
          <t xml:space="preserve">INF789F1ASN2</t>
        </is>
      </c>
    </row>
    <row r="12758">
      <c r="A12758" t="inlineStr">
        <is>
          <t xml:space="preserve">UTI Mutual Fund</t>
        </is>
      </c>
      <c r="B12758" t="inlineStr">
        <is>
          <t xml:space="preserve">UTI - Medium Term Fund (Segregated - 06032020) - Regular Plan - Flexi Dividend Option</t>
        </is>
      </c>
      <c r="C12758" t="inlineStr">
        <is>
          <t xml:space="preserve">INF789F1ASR3</t>
        </is>
      </c>
    </row>
    <row r="12759">
      <c r="A12759" t="inlineStr">
        <is>
          <t xml:space="preserve">UTI Mutual Fund</t>
        </is>
      </c>
      <c r="B12759" t="inlineStr">
        <is>
          <t xml:space="preserve">UTI - Medium Term Fund (Segregated - 06032020) - Regular Plan - Growth Option</t>
        </is>
      </c>
      <c r="C12759" t="inlineStr">
        <is>
          <t xml:space="preserve">INF789F1ASM4</t>
        </is>
      </c>
    </row>
    <row r="12760">
      <c r="A12760" t="inlineStr">
        <is>
          <t xml:space="preserve">UTI Mutual Fund</t>
        </is>
      </c>
      <c r="B12760" t="inlineStr">
        <is>
          <t xml:space="preserve">UTI - Medium Term Fund (Segregated - 06032020) - Regular Plan - Half Yearly Dividend Option</t>
        </is>
      </c>
      <c r="C12760" t="inlineStr">
        <is>
          <t xml:space="preserve">INF789F1ASP7</t>
        </is>
      </c>
    </row>
    <row r="12761">
      <c r="A12761" t="inlineStr">
        <is>
          <t xml:space="preserve">UTI Mutual Fund</t>
        </is>
      </c>
      <c r="B12761" t="inlineStr">
        <is>
          <t xml:space="preserve">UTI - Medium Term Fund (Segregated - 06032020) - Regular Plan - Monthly Dividend Option</t>
        </is>
      </c>
      <c r="C12761" t="inlineStr">
        <is>
          <t xml:space="preserve">INF789F1AST9</t>
        </is>
      </c>
    </row>
    <row r="12762">
      <c r="A12762" t="inlineStr">
        <is>
          <t xml:space="preserve">UTI Mutual Fund</t>
        </is>
      </c>
      <c r="B12762" t="inlineStr">
        <is>
          <t xml:space="preserve">UTI - Medium Term Fund (Segregated - 06032020) - Regular Plan - Quarterly Dividend Option</t>
        </is>
      </c>
      <c r="C12762" t="inlineStr">
        <is>
          <t xml:space="preserve">INF789F1ASK8</t>
        </is>
      </c>
    </row>
    <row r="12763">
      <c r="A12763" t="inlineStr">
        <is>
          <t xml:space="preserve">UTI Mutual Fund</t>
        </is>
      </c>
      <c r="B12763" t="inlineStr">
        <is>
          <t xml:space="preserve">UTI - Medium Term Fund (Segregated - 17022020) - Direct Plan - Growth Option</t>
        </is>
      </c>
      <c r="C12763" t="inlineStr">
        <is>
          <t xml:space="preserve">INF789F1AOC4</t>
        </is>
      </c>
    </row>
    <row r="12764">
      <c r="A12764" t="inlineStr">
        <is>
          <t xml:space="preserve">UTI Mutual Fund</t>
        </is>
      </c>
      <c r="B12764" t="inlineStr">
        <is>
          <t xml:space="preserve">UTI - Medium Term Fund (Segregated - 17022020) - Regular Plan - Growth Option</t>
        </is>
      </c>
      <c r="C12764" t="inlineStr">
        <is>
          <t xml:space="preserve">INF789F1AON1</t>
        </is>
      </c>
    </row>
    <row r="12765">
      <c r="A12765" t="inlineStr">
        <is>
          <t xml:space="preserve">UTI Mutual Fund</t>
        </is>
      </c>
      <c r="B12765" t="inlineStr">
        <is>
          <t xml:space="preserve">UTI - MNC Fund - Growth Option - Direct</t>
        </is>
      </c>
      <c r="C12765" t="inlineStr">
        <is>
          <t xml:space="preserve">INF789F01UD0</t>
        </is>
      </c>
    </row>
    <row r="12766">
      <c r="A12766" t="inlineStr">
        <is>
          <t xml:space="preserve">UTI Mutual Fund</t>
        </is>
      </c>
      <c r="B12766" t="inlineStr">
        <is>
          <t xml:space="preserve">UTI - MNC Fund - Regular Plan - Growth Option</t>
        </is>
      </c>
      <c r="C12766" t="inlineStr">
        <is>
          <t xml:space="preserve">INF789F01844</t>
        </is>
      </c>
    </row>
    <row r="12767">
      <c r="A12767" t="inlineStr">
        <is>
          <t xml:space="preserve">UTI Mutual Fund</t>
        </is>
      </c>
      <c r="B12767" t="inlineStr">
        <is>
          <t xml:space="preserve">UTI - Overnight  Fund - Regular Plan - Growth Option</t>
        </is>
      </c>
      <c r="C12767" t="inlineStr">
        <is>
          <t xml:space="preserve">INF789F01604</t>
        </is>
      </c>
    </row>
    <row r="12768">
      <c r="A12768" t="inlineStr">
        <is>
          <t xml:space="preserve">UTI Mutual Fund</t>
        </is>
      </c>
      <c r="B12768" t="inlineStr">
        <is>
          <t xml:space="preserve">UTI - Overnight Fund - Direct Plan - Growth Option</t>
        </is>
      </c>
      <c r="C12768" t="inlineStr">
        <is>
          <t xml:space="preserve">INF789FB1S71</t>
        </is>
      </c>
    </row>
    <row r="12769">
      <c r="A12769" t="inlineStr">
        <is>
          <t xml:space="preserve">UTI Mutual Fund</t>
        </is>
      </c>
      <c r="B12769" t="inlineStr">
        <is>
          <t xml:space="preserve">UTI - Regular Saving Fund (Segregated - 17022020) - Direct Plan - Growth Option</t>
        </is>
      </c>
      <c r="C12769" t="inlineStr">
        <is>
          <t xml:space="preserve">INF789F1AQP1</t>
        </is>
      </c>
    </row>
    <row r="12770">
      <c r="A12770" t="inlineStr">
        <is>
          <t xml:space="preserve">UTI Mutual Fund</t>
        </is>
      </c>
      <c r="B12770" t="inlineStr">
        <is>
          <t xml:space="preserve">UTI - Regular Saving Fund (Segregated - 17022020) - Direct Plan - Monthly Payment Option</t>
        </is>
      </c>
      <c r="C12770" t="inlineStr">
        <is>
          <t xml:space="preserve">INF789F1AQM8</t>
        </is>
      </c>
    </row>
    <row r="12771">
      <c r="A12771" t="inlineStr">
        <is>
          <t xml:space="preserve">UTI Mutual Fund</t>
        </is>
      </c>
      <c r="B12771" t="inlineStr">
        <is>
          <t xml:space="preserve">UTI - Regular Saving Fund (Segregated - 17022020) - Regular Plan - Growth Option</t>
        </is>
      </c>
      <c r="C12771" t="inlineStr">
        <is>
          <t xml:space="preserve">INF789F1AQJ4</t>
        </is>
      </c>
    </row>
    <row r="12772">
      <c r="A12772" t="inlineStr">
        <is>
          <t xml:space="preserve">UTI Mutual Fund</t>
        </is>
      </c>
      <c r="B12772" t="inlineStr">
        <is>
          <t xml:space="preserve">UTI - Regular Saving Fund (Segregated - 17022020) - Regular Plan - Monthly Payment Option</t>
        </is>
      </c>
      <c r="C12772" t="inlineStr">
        <is>
          <t xml:space="preserve">INF789F1AQG0</t>
        </is>
      </c>
    </row>
    <row r="12773">
      <c r="A12773" t="inlineStr">
        <is>
          <t xml:space="preserve">UTI Mutual Fund</t>
        </is>
      </c>
      <c r="B12773" t="inlineStr">
        <is>
          <t xml:space="preserve">UTI Aggressive Hybrid Fund - Direct Plan - IDCW</t>
        </is>
      </c>
      <c r="C12773" t="inlineStr">
        <is>
          <t xml:space="preserve">INF789F01SI3</t>
        </is>
      </c>
    </row>
    <row r="12774">
      <c r="A12774" t="inlineStr">
        <is>
          <t xml:space="preserve">UTI Mutual Fund</t>
        </is>
      </c>
      <c r="B12774" t="inlineStr">
        <is>
          <t xml:space="preserve">UTI Aggressive Hybrid Fund - Regular Plan - Growth</t>
        </is>
      </c>
      <c r="C12774" t="inlineStr">
        <is>
          <t xml:space="preserve">INF789F01323</t>
        </is>
      </c>
    </row>
    <row r="12775">
      <c r="A12775" t="inlineStr">
        <is>
          <t xml:space="preserve">UTI Mutual Fund</t>
        </is>
      </c>
      <c r="B12775" t="inlineStr">
        <is>
          <t xml:space="preserve">UTI Aggressive Hybrid Fund - Regular Plan - IDCW</t>
        </is>
      </c>
      <c r="C12775" t="inlineStr">
        <is>
          <t xml:space="preserve">INF789F01307</t>
        </is>
      </c>
    </row>
    <row r="12776">
      <c r="A12776" t="inlineStr">
        <is>
          <t xml:space="preserve">UTI Mutual Fund</t>
        </is>
      </c>
      <c r="B12776" t="inlineStr">
        <is>
          <t xml:space="preserve">UTI Aggressive Hybrid Fund -Direct Plan - Growth</t>
        </is>
      </c>
      <c r="C12776" t="inlineStr">
        <is>
          <t xml:space="preserve">INF789F01SK9</t>
        </is>
      </c>
    </row>
    <row r="12777">
      <c r="A12777" t="inlineStr">
        <is>
          <t xml:space="preserve">UTI Mutual Fund</t>
        </is>
      </c>
      <c r="B12777" t="inlineStr">
        <is>
          <t xml:space="preserve">UTI Annual Interval Fund - I - ( Instn Growth Option )</t>
        </is>
      </c>
      <c r="C12777" t="inlineStr">
        <is>
          <t xml:space="preserve">INF789F01FJ8</t>
        </is>
      </c>
    </row>
    <row r="12778">
      <c r="A12778" t="inlineStr">
        <is>
          <t xml:space="preserve">UTI Mutual Fund</t>
        </is>
      </c>
      <c r="B12778" t="inlineStr">
        <is>
          <t xml:space="preserve">UTI Annual Interval Fund - I - Direct Plan - Dividend Option</t>
        </is>
      </c>
      <c r="C12778" t="inlineStr">
        <is>
          <t xml:space="preserve">INF789F01VU2</t>
        </is>
      </c>
    </row>
    <row r="12779">
      <c r="A12779" t="inlineStr">
        <is>
          <t xml:space="preserve">UTI Mutual Fund</t>
        </is>
      </c>
      <c r="B12779" t="inlineStr">
        <is>
          <t xml:space="preserve">UTI Annual Interval Fund - I - Direct Plan - Growth Option</t>
        </is>
      </c>
      <c r="C12779" t="inlineStr">
        <is>
          <t xml:space="preserve">INF789F01VW8</t>
        </is>
      </c>
    </row>
    <row r="12780">
      <c r="A12780" t="inlineStr">
        <is>
          <t xml:space="preserve">UTI Mutual Fund</t>
        </is>
      </c>
      <c r="B12780" t="inlineStr">
        <is>
          <t xml:space="preserve">UTI Annual Interval Fund - I - Regular Plan - Growth Option</t>
        </is>
      </c>
      <c r="C12780" t="inlineStr">
        <is>
          <t xml:space="preserve">INF789F01FG4</t>
        </is>
      </c>
    </row>
    <row r="12781">
      <c r="A12781" t="inlineStr">
        <is>
          <t xml:space="preserve">UTI Mutual Fund</t>
        </is>
      </c>
      <c r="B12781" t="inlineStr">
        <is>
          <t xml:space="preserve">UTI Annual Interval Fund - I - Regular Plan - IDCW</t>
        </is>
      </c>
      <c r="C12781" t="inlineStr">
        <is>
          <t xml:space="preserve">INF789F01FE9</t>
        </is>
      </c>
    </row>
    <row r="12782">
      <c r="A12782" t="inlineStr">
        <is>
          <t xml:space="preserve">UTI Mutual Fund</t>
        </is>
      </c>
      <c r="B12782" t="inlineStr">
        <is>
          <t xml:space="preserve">UTI Annual Interval Fund - II - Direct Plan - Growth Option</t>
        </is>
      </c>
      <c r="C12782" t="inlineStr">
        <is>
          <t xml:space="preserve">INF789F01WC8</t>
        </is>
      </c>
    </row>
    <row r="12783">
      <c r="A12783" t="inlineStr">
        <is>
          <t xml:space="preserve">UTI Mutual Fund</t>
        </is>
      </c>
      <c r="B12783" t="inlineStr">
        <is>
          <t xml:space="preserve">UTI Annual Interval Fund - II - Direct Plan - IDCW</t>
        </is>
      </c>
      <c r="C12783" t="inlineStr">
        <is>
          <t xml:space="preserve">INF789F01WA2</t>
        </is>
      </c>
    </row>
    <row r="12784">
      <c r="A12784" t="inlineStr">
        <is>
          <t xml:space="preserve">UTI Mutual Fund</t>
        </is>
      </c>
      <c r="B12784" t="inlineStr">
        <is>
          <t xml:space="preserve">UTI Annual Interval Fund - II - Regular Plan - Growth Option</t>
        </is>
      </c>
      <c r="C12784" t="inlineStr">
        <is>
          <t xml:space="preserve">INF789F01FS9</t>
        </is>
      </c>
    </row>
    <row r="12785">
      <c r="A12785" t="inlineStr">
        <is>
          <t xml:space="preserve">UTI Mutual Fund</t>
        </is>
      </c>
      <c r="B12785" t="inlineStr">
        <is>
          <t xml:space="preserve">UTI Annual Interval Fund - II - Regular Plan - IDCW</t>
        </is>
      </c>
      <c r="C12785" t="inlineStr">
        <is>
          <t xml:space="preserve">INF789F01FQ3</t>
        </is>
      </c>
    </row>
    <row r="12786">
      <c r="A12786" t="inlineStr">
        <is>
          <t xml:space="preserve">UTI Mutual Fund</t>
        </is>
      </c>
      <c r="B12786" t="inlineStr">
        <is>
          <t xml:space="preserve">UTI Arbitrage Fund - Direct Plan - Growth Option</t>
        </is>
      </c>
      <c r="C12786" t="inlineStr">
        <is>
          <t xml:space="preserve">INF789FB1RG6</t>
        </is>
      </c>
    </row>
    <row r="12787">
      <c r="A12787" t="inlineStr">
        <is>
          <t xml:space="preserve">UTI Mutual Fund</t>
        </is>
      </c>
      <c r="B12787" t="inlineStr">
        <is>
          <t xml:space="preserve">UTI Arbitrage Fund - Direct Plan - IDCW</t>
        </is>
      </c>
      <c r="C12787" t="inlineStr">
        <is>
          <t xml:space="preserve">INF789FB1RE1</t>
        </is>
      </c>
    </row>
    <row r="12788">
      <c r="A12788" t="inlineStr">
        <is>
          <t xml:space="preserve">UTI Mutual Fund</t>
        </is>
      </c>
      <c r="B12788" t="inlineStr">
        <is>
          <t xml:space="preserve">UTI Arbitrage Fund - Regular Plan - Growth Option</t>
        </is>
      </c>
      <c r="C12788" t="inlineStr">
        <is>
          <t xml:space="preserve">INF789FB1RJ0</t>
        </is>
      </c>
    </row>
    <row r="12789">
      <c r="A12789" t="inlineStr">
        <is>
          <t xml:space="preserve">UTI Mutual Fund</t>
        </is>
      </c>
      <c r="B12789" t="inlineStr">
        <is>
          <t xml:space="preserve">UTI Arbitrage Fund - Regular Plan - IDCW</t>
        </is>
      </c>
      <c r="C12789" t="inlineStr">
        <is>
          <t xml:space="preserve">INF789FB1RH4</t>
        </is>
      </c>
    </row>
    <row r="12790">
      <c r="A12790" t="inlineStr">
        <is>
          <t xml:space="preserve">UTI Mutual Fund</t>
        </is>
      </c>
      <c r="B12790" t="inlineStr">
        <is>
          <t xml:space="preserve">UTI Balanced Advantage Fund - Direct Plan - Growth Option</t>
        </is>
      </c>
      <c r="C12790" t="inlineStr">
        <is>
          <t xml:space="preserve">INF789F1AYV3</t>
        </is>
      </c>
    </row>
    <row r="12791">
      <c r="A12791" t="inlineStr">
        <is>
          <t xml:space="preserve">UTI Mutual Fund</t>
        </is>
      </c>
      <c r="B12791" t="inlineStr">
        <is>
          <t xml:space="preserve">UTI Balanced Advantage Fund - Direct Plan - Payout of IDCW Option</t>
        </is>
      </c>
      <c r="C12791" t="inlineStr">
        <is>
          <t xml:space="preserve">INF789F1AYW1</t>
        </is>
      </c>
    </row>
    <row r="12792">
      <c r="A12792" t="inlineStr">
        <is>
          <t xml:space="preserve">UTI Mutual Fund</t>
        </is>
      </c>
      <c r="B12792" t="inlineStr">
        <is>
          <t xml:space="preserve">UTI Balanced Advantage Fund - Regular Plan - Growth Option</t>
        </is>
      </c>
      <c r="C12792" t="inlineStr">
        <is>
          <t xml:space="preserve">INF789F1AYT7</t>
        </is>
      </c>
    </row>
    <row r="12793">
      <c r="A12793" t="inlineStr">
        <is>
          <t xml:space="preserve">UTI Mutual Fund</t>
        </is>
      </c>
      <c r="B12793" t="inlineStr">
        <is>
          <t xml:space="preserve">UTI Balanced Advantage Fund - Regular Plan - Payout of IDCW Option</t>
        </is>
      </c>
      <c r="C12793" t="inlineStr">
        <is>
          <t xml:space="preserve">INF789F1AYU5</t>
        </is>
      </c>
    </row>
    <row r="12794">
      <c r="A12794" t="inlineStr">
        <is>
          <t xml:space="preserve">UTI Mutual Fund</t>
        </is>
      </c>
      <c r="B12794" t="inlineStr">
        <is>
          <t xml:space="preserve">UTI Banking &amp; PSU Fund - Direct Plan - Annual IDCW</t>
        </is>
      </c>
      <c r="C12794" t="inlineStr">
        <is>
          <t xml:space="preserve">INF789FA1V03</t>
        </is>
      </c>
    </row>
    <row r="12795">
      <c r="A12795" t="inlineStr">
        <is>
          <t xml:space="preserve">UTI Mutual Fund</t>
        </is>
      </c>
      <c r="B12795" t="inlineStr">
        <is>
          <t xml:space="preserve">UTI Banking &amp; PSU Fund - Direct Plan - Flexi IDCW</t>
        </is>
      </c>
      <c r="C12795" t="inlineStr">
        <is>
          <t xml:space="preserve">INF789FA1V29</t>
        </is>
      </c>
    </row>
    <row r="12796">
      <c r="A12796" t="inlineStr">
        <is>
          <t xml:space="preserve">UTI Mutual Fund</t>
        </is>
      </c>
      <c r="B12796" t="inlineStr">
        <is>
          <t xml:space="preserve">UTI Banking &amp; PSU Fund - Direct Plan - Growth Option</t>
        </is>
      </c>
      <c r="C12796" t="inlineStr">
        <is>
          <t xml:space="preserve">INF789F015Z6</t>
        </is>
      </c>
    </row>
    <row r="12797">
      <c r="A12797" t="inlineStr">
        <is>
          <t xml:space="preserve">UTI Mutual Fund</t>
        </is>
      </c>
      <c r="B12797" t="inlineStr">
        <is>
          <t xml:space="preserve">UTI Banking &amp; PSU Fund - Direct Plan - Half-Yearly IDCW</t>
        </is>
      </c>
      <c r="C12797" t="inlineStr">
        <is>
          <t xml:space="preserve">INF789FA1U87</t>
        </is>
      </c>
    </row>
    <row r="12798">
      <c r="A12798" t="inlineStr">
        <is>
          <t xml:space="preserve">UTI Mutual Fund</t>
        </is>
      </c>
      <c r="B12798" t="inlineStr">
        <is>
          <t xml:space="preserve">UTI Banking &amp; PSU Fund - Direct Plan - Monthly IDCW</t>
        </is>
      </c>
      <c r="C12798" t="inlineStr">
        <is>
          <t xml:space="preserve">INF789FC1HE1</t>
        </is>
      </c>
    </row>
    <row r="12799">
      <c r="A12799" t="inlineStr">
        <is>
          <t xml:space="preserve">UTI Mutual Fund</t>
        </is>
      </c>
      <c r="B12799" t="inlineStr">
        <is>
          <t xml:space="preserve">UTI Banking &amp; PSU Fund - Direct Plan - Quarterly IDCW</t>
        </is>
      </c>
      <c r="C12799" t="inlineStr">
        <is>
          <t xml:space="preserve">INF789F016Z4</t>
        </is>
      </c>
    </row>
    <row r="12800">
      <c r="A12800" t="inlineStr">
        <is>
          <t xml:space="preserve">UTI Mutual Fund</t>
        </is>
      </c>
      <c r="B12800" t="inlineStr">
        <is>
          <t xml:space="preserve">UTI Banking &amp; PSU Fund - Regular Plan - Annual IDCW</t>
        </is>
      </c>
      <c r="C12800" t="inlineStr">
        <is>
          <t xml:space="preserve">INF789FA1U46</t>
        </is>
      </c>
    </row>
    <row r="12801">
      <c r="A12801" t="inlineStr">
        <is>
          <t xml:space="preserve">UTI Mutual Fund</t>
        </is>
      </c>
      <c r="B12801" t="inlineStr">
        <is>
          <t xml:space="preserve">UTI Banking &amp; PSU Fund - Regular Plan - Flexi IDCW</t>
        </is>
      </c>
      <c r="C12801" t="inlineStr">
        <is>
          <t xml:space="preserve">INF789FA1U61</t>
        </is>
      </c>
    </row>
    <row r="12802">
      <c r="A12802" t="inlineStr">
        <is>
          <t xml:space="preserve">UTI Mutual Fund</t>
        </is>
      </c>
      <c r="B12802" t="inlineStr">
        <is>
          <t xml:space="preserve">UTI Banking &amp; PSU Fund - Regular Plan - Half-Yearly IDCW</t>
        </is>
      </c>
      <c r="C12802" t="inlineStr">
        <is>
          <t xml:space="preserve">INF789FA1U20</t>
        </is>
      </c>
    </row>
    <row r="12803">
      <c r="A12803" t="inlineStr">
        <is>
          <t xml:space="preserve">UTI Mutual Fund</t>
        </is>
      </c>
      <c r="B12803" t="inlineStr">
        <is>
          <t xml:space="preserve">UTI Banking &amp; PSU Fund - Regular Plan - Monthly IDCW</t>
        </is>
      </c>
      <c r="C12803" t="inlineStr">
        <is>
          <t xml:space="preserve">INF789FC1HC5</t>
        </is>
      </c>
    </row>
    <row r="12804">
      <c r="A12804" t="inlineStr">
        <is>
          <t xml:space="preserve">UTI Mutual Fund</t>
        </is>
      </c>
      <c r="B12804" t="inlineStr">
        <is>
          <t xml:space="preserve">UTI Banking &amp; PSU Fund - Regular Plan - Quarterly IDCW</t>
        </is>
      </c>
      <c r="C12804" t="inlineStr">
        <is>
          <t xml:space="preserve">INF789F012Z3</t>
        </is>
      </c>
    </row>
    <row r="12805">
      <c r="A12805" t="inlineStr">
        <is>
          <t xml:space="preserve">UTI Mutual Fund</t>
        </is>
      </c>
      <c r="B12805" t="inlineStr">
        <is>
          <t xml:space="preserve">UTI Banking &amp; PSU Fund- Regular Plan - Growth Option</t>
        </is>
      </c>
      <c r="C12805" t="inlineStr">
        <is>
          <t xml:space="preserve">INF789F014Z9</t>
        </is>
      </c>
    </row>
    <row r="12806">
      <c r="A12806" t="inlineStr">
        <is>
          <t xml:space="preserve">UTI Mutual Fund</t>
        </is>
      </c>
      <c r="B12806" t="inlineStr">
        <is>
          <t xml:space="preserve">UTI Banking and Financial Services Fund - Direct Plan - Growth Option</t>
        </is>
      </c>
      <c r="C12806" t="inlineStr">
        <is>
          <t xml:space="preserve">INF789F01SN3</t>
        </is>
      </c>
    </row>
    <row r="12807">
      <c r="A12807" t="inlineStr">
        <is>
          <t xml:space="preserve">UTI Mutual Fund</t>
        </is>
      </c>
      <c r="B12807" t="inlineStr">
        <is>
          <t xml:space="preserve">UTI Banking and Financial Services Fund - Direct Plan - IDCW</t>
        </is>
      </c>
      <c r="C12807" t="inlineStr">
        <is>
          <t xml:space="preserve">INF789F01SL7</t>
        </is>
      </c>
    </row>
    <row r="12808">
      <c r="A12808" t="inlineStr">
        <is>
          <t xml:space="preserve">UTI Mutual Fund</t>
        </is>
      </c>
      <c r="B12808" t="inlineStr">
        <is>
          <t xml:space="preserve">UTI Banking and Financial Services Fund - Regular Plan - Growth Option</t>
        </is>
      </c>
      <c r="C12808" t="inlineStr">
        <is>
          <t xml:space="preserve">INF789F01372</t>
        </is>
      </c>
    </row>
    <row r="12809">
      <c r="A12809" t="inlineStr">
        <is>
          <t xml:space="preserve">UTI Mutual Fund</t>
        </is>
      </c>
      <c r="B12809" t="inlineStr">
        <is>
          <t xml:space="preserve">UTI Banking and Financial Services Fund - Regular Plan - IDCW</t>
        </is>
      </c>
      <c r="C12809" t="inlineStr">
        <is>
          <t xml:space="preserve">INF789F01356</t>
        </is>
      </c>
    </row>
    <row r="12810">
      <c r="A12810" t="inlineStr">
        <is>
          <t xml:space="preserve">UTI Mutual Fund</t>
        </is>
      </c>
      <c r="B12810" t="inlineStr">
        <is>
          <t xml:space="preserve">UTI Bond Fund ( Segregated - 17022020) - Direct Plan - Annual IDCW</t>
        </is>
      </c>
      <c r="C12810" t="inlineStr">
        <is>
          <t xml:space="preserve">INF789F1APK4</t>
        </is>
      </c>
    </row>
    <row r="12811">
      <c r="A12811" t="inlineStr">
        <is>
          <t xml:space="preserve">UTI Mutual Fund</t>
        </is>
      </c>
      <c r="B12811" t="inlineStr">
        <is>
          <t xml:space="preserve">UTI Bond Fund ( Segregated - 17022020) - Direct Plan - Flexi IDCW</t>
        </is>
      </c>
      <c r="C12811" t="inlineStr">
        <is>
          <t xml:space="preserve">INF789F1APM0</t>
        </is>
      </c>
    </row>
    <row r="12812">
      <c r="A12812" t="inlineStr">
        <is>
          <t xml:space="preserve">UTI Mutual Fund</t>
        </is>
      </c>
      <c r="B12812" t="inlineStr">
        <is>
          <t xml:space="preserve">UTI Bond Fund ( Segregated - 17022020) - Direct Plan - Half-Yearly IDCW</t>
        </is>
      </c>
      <c r="C12812" t="inlineStr">
        <is>
          <t xml:space="preserve">INF789F1API8</t>
        </is>
      </c>
    </row>
    <row r="12813">
      <c r="A12813" t="inlineStr">
        <is>
          <t xml:space="preserve">UTI Mutual Fund</t>
        </is>
      </c>
      <c r="B12813" t="inlineStr">
        <is>
          <t xml:space="preserve">UTI Bond Fund ( Segregated - 17022020) - Direct Plan - Quarterly IDCW</t>
        </is>
      </c>
      <c r="C12813" t="inlineStr">
        <is>
          <t xml:space="preserve">INF789F1APG2</t>
        </is>
      </c>
    </row>
    <row r="12814">
      <c r="A12814" t="inlineStr">
        <is>
          <t xml:space="preserve">UTI Mutual Fund</t>
        </is>
      </c>
      <c r="B12814" t="inlineStr">
        <is>
          <t xml:space="preserve">UTI Bond Fund ( Segregated - 17022020) - Regular Plan - Annual IDCW</t>
        </is>
      </c>
      <c r="C12814" t="inlineStr">
        <is>
          <t xml:space="preserve">INF789F1APB3</t>
        </is>
      </c>
    </row>
    <row r="12815">
      <c r="A12815" t="inlineStr">
        <is>
          <t xml:space="preserve">UTI Mutual Fund</t>
        </is>
      </c>
      <c r="B12815" t="inlineStr">
        <is>
          <t xml:space="preserve">UTI Bond Fund ( Segregated - 17022020) - Regular Plan - Flexi IDCW</t>
        </is>
      </c>
      <c r="C12815" t="inlineStr">
        <is>
          <t xml:space="preserve">INF789F1APD9</t>
        </is>
      </c>
    </row>
    <row r="12816">
      <c r="A12816" t="inlineStr">
        <is>
          <t xml:space="preserve">UTI Mutual Fund</t>
        </is>
      </c>
      <c r="B12816" t="inlineStr">
        <is>
          <t xml:space="preserve">UTI Bond Fund ( Segregated - 17022020) - Regular Plan - Half-Yearly IDCW</t>
        </is>
      </c>
      <c r="C12816" t="inlineStr">
        <is>
          <t xml:space="preserve">INF789F1AOZ5</t>
        </is>
      </c>
    </row>
    <row r="12817">
      <c r="A12817" t="inlineStr">
        <is>
          <t xml:space="preserve">UTI Mutual Fund</t>
        </is>
      </c>
      <c r="B12817" t="inlineStr">
        <is>
          <t xml:space="preserve">UTI Bond Fund ( Segregated - 17022020) - Regular Plan - Quarterly IDCW</t>
        </is>
      </c>
      <c r="C12817" t="inlineStr">
        <is>
          <t xml:space="preserve">INF789F1AOX0</t>
        </is>
      </c>
    </row>
    <row r="12818">
      <c r="A12818" t="inlineStr">
        <is>
          <t xml:space="preserve">UTI Mutual Fund</t>
        </is>
      </c>
      <c r="B12818" t="inlineStr">
        <is>
          <t xml:space="preserve">UTI BSE Housing Index Fund - Direct Plan - Growth Option</t>
        </is>
      </c>
      <c r="C12818" t="inlineStr">
        <is>
          <t xml:space="preserve">INF789F1AYR1</t>
        </is>
      </c>
    </row>
    <row r="12819">
      <c r="A12819" t="inlineStr">
        <is>
          <t xml:space="preserve">UTI Mutual Fund</t>
        </is>
      </c>
      <c r="B12819" t="inlineStr">
        <is>
          <t xml:space="preserve">UTI BSE Housing Index Fund - Regular Plan - Growth Option</t>
        </is>
      </c>
      <c r="C12819" t="inlineStr">
        <is>
          <t xml:space="preserve">INF789F1AYS9</t>
        </is>
      </c>
    </row>
    <row r="12820">
      <c r="A12820" t="inlineStr">
        <is>
          <t xml:space="preserve">UTI Mutual Fund</t>
        </is>
      </c>
      <c r="B12820" t="inlineStr">
        <is>
          <t xml:space="preserve">UTI BSE Low Volatility Index Fund - Direct Plan  - Growth Option</t>
        </is>
      </c>
      <c r="C12820" t="inlineStr">
        <is>
          <t xml:space="preserve">INF789F1AVF2</t>
        </is>
      </c>
    </row>
    <row r="12821">
      <c r="A12821" t="inlineStr">
        <is>
          <t xml:space="preserve">UTI Mutual Fund</t>
        </is>
      </c>
      <c r="B12821" t="inlineStr">
        <is>
          <t xml:space="preserve">UTI BSE Low Volatility Index Fund - Regular Plan - Growth Option</t>
        </is>
      </c>
      <c r="C12821" t="inlineStr">
        <is>
          <t xml:space="preserve">INF789F1AVE5</t>
        </is>
      </c>
    </row>
    <row r="12822">
      <c r="A12822" t="inlineStr">
        <is>
          <t xml:space="preserve">UTI Mutual Fund</t>
        </is>
      </c>
      <c r="B12822" t="inlineStr">
        <is>
          <t xml:space="preserve">UTI BSE Sensex ETF</t>
        </is>
      </c>
      <c r="C12822" t="inlineStr">
        <is>
          <t xml:space="preserve">INF789FB1X58</t>
        </is>
      </c>
    </row>
    <row r="12823">
      <c r="A12823" t="inlineStr">
        <is>
          <t xml:space="preserve">UTI Mutual Fund</t>
        </is>
      </c>
      <c r="B12823" t="inlineStr">
        <is>
          <t xml:space="preserve">UTI BSE Sensex Index Fund - Direct Plan - Growth Option</t>
        </is>
      </c>
      <c r="C12823" t="inlineStr">
        <is>
          <t xml:space="preserve">INF789F1AVD7</t>
        </is>
      </c>
    </row>
    <row r="12824">
      <c r="A12824" t="inlineStr">
        <is>
          <t xml:space="preserve">UTI Mutual Fund</t>
        </is>
      </c>
      <c r="B12824" t="inlineStr">
        <is>
          <t xml:space="preserve">UTI BSE Sensex Index Fund - Regular Plan  -Growth Option</t>
        </is>
      </c>
      <c r="C12824" t="inlineStr">
        <is>
          <t xml:space="preserve">INF789F1AVC9</t>
        </is>
      </c>
    </row>
    <row r="12825">
      <c r="A12825" t="inlineStr">
        <is>
          <t xml:space="preserve">UTI Mutual Fund</t>
        </is>
      </c>
      <c r="B12825" t="inlineStr">
        <is>
          <t xml:space="preserve">UTI Capital Protection Oriented Scheme - Series IX-I (1467 Days) - Direct Plan - IDCW</t>
        </is>
      </c>
      <c r="C12825" t="inlineStr">
        <is>
          <t xml:space="preserve">INF789FC1TE6</t>
        </is>
      </c>
    </row>
    <row r="12826">
      <c r="A12826" t="inlineStr">
        <is>
          <t xml:space="preserve">UTI Mutual Fund</t>
        </is>
      </c>
      <c r="B12826" t="inlineStr">
        <is>
          <t xml:space="preserve">UTI Capital Protection Oriented Scheme - Series IX-I (1467 Days) - Regular Plan - IDCW</t>
        </is>
      </c>
      <c r="C12826" t="inlineStr">
        <is>
          <t xml:space="preserve">INF789FC1TC0</t>
        </is>
      </c>
    </row>
    <row r="12827">
      <c r="A12827" t="inlineStr">
        <is>
          <t xml:space="preserve">UTI Mutual Fund</t>
        </is>
      </c>
      <c r="B12827" t="inlineStr">
        <is>
          <t xml:space="preserve">UTI Capital Protection Oriented Scheme - Series IX-II (1462 Days) - Direct Plan - IDCW</t>
        </is>
      </c>
      <c r="C12827" t="inlineStr">
        <is>
          <t xml:space="preserve">INF789FC1A04</t>
        </is>
      </c>
    </row>
    <row r="12828">
      <c r="A12828" t="inlineStr">
        <is>
          <t xml:space="preserve">UTI Mutual Fund</t>
        </is>
      </c>
      <c r="B12828" t="inlineStr">
        <is>
          <t xml:space="preserve">UTI Capital Protection Oriented Scheme - Series IX-II (1462 Days) - Regular Plan - IDCW</t>
        </is>
      </c>
      <c r="C12828" t="inlineStr">
        <is>
          <t xml:space="preserve">INF789FC1ZY1</t>
        </is>
      </c>
    </row>
    <row r="12829">
      <c r="A12829" t="inlineStr">
        <is>
          <t xml:space="preserve">UTI Mutual Fund</t>
        </is>
      </c>
      <c r="B12829" t="inlineStr">
        <is>
          <t xml:space="preserve">UTI Capital Protection Oriented Scheme - Series IX-III (1389 Days) - Direct Plan - IDCW</t>
        </is>
      </c>
      <c r="C12829" t="inlineStr">
        <is>
          <t xml:space="preserve">INF789FC1Q14</t>
        </is>
      </c>
    </row>
    <row r="12830">
      <c r="A12830" t="inlineStr">
        <is>
          <t xml:space="preserve">UTI Mutual Fund</t>
        </is>
      </c>
      <c r="B12830" t="inlineStr">
        <is>
          <t xml:space="preserve">UTI Capital Protection Oriented Scheme - Series IX-III (1389 Days) - Regular Plan - IDCW</t>
        </is>
      </c>
      <c r="C12830" t="inlineStr">
        <is>
          <t xml:space="preserve">INF789FC1P98</t>
        </is>
      </c>
    </row>
    <row r="12831">
      <c r="A12831" t="inlineStr">
        <is>
          <t xml:space="preserve">UTI Mutual Fund</t>
        </is>
      </c>
      <c r="B12831" t="inlineStr">
        <is>
          <t xml:space="preserve">UTI Capital Protection Oriented Scheme - Series VIII-II (1831 Days) - Direct Plan - IDCW</t>
        </is>
      </c>
      <c r="C12831" t="inlineStr">
        <is>
          <t xml:space="preserve">INF789FC1DN1</t>
        </is>
      </c>
    </row>
    <row r="12832">
      <c r="A12832" t="inlineStr">
        <is>
          <t xml:space="preserve">UTI Mutual Fund</t>
        </is>
      </c>
      <c r="B12832" t="inlineStr">
        <is>
          <t xml:space="preserve">UTI Capital Protection Oriented Scheme - Series VIII-II (1831 Days) - Regular Plan - IDCW</t>
        </is>
      </c>
      <c r="C12832" t="inlineStr">
        <is>
          <t xml:space="preserve">INF789FC1DL5</t>
        </is>
      </c>
    </row>
    <row r="12833">
      <c r="A12833" t="inlineStr">
        <is>
          <t xml:space="preserve">UTI Mutual Fund</t>
        </is>
      </c>
      <c r="B12833" t="inlineStr">
        <is>
          <t xml:space="preserve">UTI Capital Protection Oriented Scheme - Series VIII-IV (1996 Days) - Direct Plan - IDCW</t>
        </is>
      </c>
      <c r="C12833" t="inlineStr">
        <is>
          <t xml:space="preserve">INF789FC1EZ3</t>
        </is>
      </c>
    </row>
    <row r="12834">
      <c r="A12834" t="inlineStr">
        <is>
          <t xml:space="preserve">UTI Mutual Fund</t>
        </is>
      </c>
      <c r="B12834" t="inlineStr">
        <is>
          <t xml:space="preserve">UTI Capital Protection Oriented Scheme - Series VIII-IV (1996 Days) - Regular Plan - IDCW</t>
        </is>
      </c>
      <c r="C12834" t="inlineStr">
        <is>
          <t xml:space="preserve">INF789FC1EX8</t>
        </is>
      </c>
    </row>
    <row r="12835">
      <c r="A12835" t="inlineStr">
        <is>
          <t xml:space="preserve">UTI Mutual Fund</t>
        </is>
      </c>
      <c r="B12835" t="inlineStr">
        <is>
          <t xml:space="preserve">UTI Capital Protection Oriented Scheme - Series X-II (1134 Days) - Direct Plan - IDCW</t>
        </is>
      </c>
      <c r="C12835" t="inlineStr">
        <is>
          <t xml:space="preserve">INF789FC19P4</t>
        </is>
      </c>
    </row>
    <row r="12836">
      <c r="A12836" t="inlineStr">
        <is>
          <t xml:space="preserve">UTI Mutual Fund</t>
        </is>
      </c>
      <c r="B12836" t="inlineStr">
        <is>
          <t xml:space="preserve">UTI Capital Protection Oriented Scheme - Series X-II (1134 Days) - Regular Plan - IDCW</t>
        </is>
      </c>
      <c r="C12836" t="inlineStr">
        <is>
          <t xml:space="preserve">INF789FC17P8</t>
        </is>
      </c>
    </row>
    <row r="12837">
      <c r="A12837" t="inlineStr">
        <is>
          <t xml:space="preserve">UTI Mutual Fund</t>
        </is>
      </c>
      <c r="B12837" t="inlineStr">
        <is>
          <t xml:space="preserve">UTI Capital Protection Oriented Scheme Series IX-I (1467 Days) - Direct Plan - Growth Option</t>
        </is>
      </c>
      <c r="C12837" t="inlineStr">
        <is>
          <t xml:space="preserve">INF789FC1TF3</t>
        </is>
      </c>
    </row>
    <row r="12838">
      <c r="A12838" t="inlineStr">
        <is>
          <t xml:space="preserve">UTI Mutual Fund</t>
        </is>
      </c>
      <c r="B12838" t="inlineStr">
        <is>
          <t xml:space="preserve">UTI Capital Protection Oriented Scheme Series IX-I (1467 Days) - Regular Plan - Growth Option</t>
        </is>
      </c>
      <c r="C12838" t="inlineStr">
        <is>
          <t xml:space="preserve">INF789FC1TD8</t>
        </is>
      </c>
    </row>
    <row r="12839">
      <c r="A12839" t="inlineStr">
        <is>
          <t xml:space="preserve">UTI Mutual Fund</t>
        </is>
      </c>
      <c r="B12839" t="inlineStr">
        <is>
          <t xml:space="preserve">UTI Capital Protection Oriented Scheme Series IX-II ( 1462 Days) - Direct Plan - Growth Option</t>
        </is>
      </c>
      <c r="C12839" t="inlineStr">
        <is>
          <t xml:space="preserve">INF789FC1A12</t>
        </is>
      </c>
    </row>
    <row r="12840">
      <c r="A12840" t="inlineStr">
        <is>
          <t xml:space="preserve">UTI Mutual Fund</t>
        </is>
      </c>
      <c r="B12840" t="inlineStr">
        <is>
          <t xml:space="preserve">UTI Capital Protection Oriented Scheme Series IX-II ( 1462 Days) - Regular Plan - Growth Option</t>
        </is>
      </c>
      <c r="C12840" t="inlineStr">
        <is>
          <t xml:space="preserve">INF789FC1ZZ8</t>
        </is>
      </c>
    </row>
    <row r="12841">
      <c r="A12841" t="inlineStr">
        <is>
          <t xml:space="preserve">UTI Mutual Fund</t>
        </is>
      </c>
      <c r="B12841" t="inlineStr">
        <is>
          <t xml:space="preserve">UTI Capital Protection Oriented Scheme Series IX-III ( 1389 Days) - Direct Plan - Growth Option</t>
        </is>
      </c>
      <c r="C12841" t="inlineStr">
        <is>
          <t xml:space="preserve">INF789FC1Q22</t>
        </is>
      </c>
    </row>
    <row r="12842">
      <c r="A12842" t="inlineStr">
        <is>
          <t xml:space="preserve">UTI Mutual Fund</t>
        </is>
      </c>
      <c r="B12842" t="inlineStr">
        <is>
          <t xml:space="preserve">UTI Capital Protection Oriented Scheme Series IX-III ( 1389 Days) - Regular Plan - Growth Option</t>
        </is>
      </c>
      <c r="C12842" t="inlineStr">
        <is>
          <t xml:space="preserve">INF789FC1Q06</t>
        </is>
      </c>
    </row>
    <row r="12843">
      <c r="A12843" t="inlineStr">
        <is>
          <t xml:space="preserve">UTI Mutual Fund</t>
        </is>
      </c>
      <c r="B12843" t="inlineStr">
        <is>
          <t xml:space="preserve">UTI Capital Protection Oriented Scheme Series VIII - II (1831 Days) - Regular Plan - Growth Option</t>
        </is>
      </c>
      <c r="C12843" t="inlineStr">
        <is>
          <t xml:space="preserve">INF789FC1DM3</t>
        </is>
      </c>
    </row>
    <row r="12844">
      <c r="A12844" t="inlineStr">
        <is>
          <t xml:space="preserve">UTI Mutual Fund</t>
        </is>
      </c>
      <c r="B12844" t="inlineStr">
        <is>
          <t xml:space="preserve">UTI Capital Protection Oriented Scheme Series VIII -II  (1831 Days) - Direct Plan - Growth Option</t>
        </is>
      </c>
      <c r="C12844" t="inlineStr">
        <is>
          <t xml:space="preserve">INF789FC1DO9</t>
        </is>
      </c>
    </row>
    <row r="12845">
      <c r="A12845" t="inlineStr">
        <is>
          <t xml:space="preserve">UTI Mutual Fund</t>
        </is>
      </c>
      <c r="B12845" t="inlineStr">
        <is>
          <t xml:space="preserve">UTI Capital Protection Oriented Scheme Series VIII-III (1281 Days) - Direct Plan - Dividend Option</t>
        </is>
      </c>
      <c r="C12845" t="inlineStr">
        <is>
          <t xml:space="preserve">INF789FC1EB4</t>
        </is>
      </c>
    </row>
    <row r="12846">
      <c r="A12846" t="inlineStr">
        <is>
          <t xml:space="preserve">UTI Mutual Fund</t>
        </is>
      </c>
      <c r="B12846" t="inlineStr">
        <is>
          <t xml:space="preserve">UTI Capital Protection Oriented Scheme Series VIII-III (1281 Days) - Regular Plan - Dividend Option</t>
        </is>
      </c>
      <c r="C12846" t="inlineStr">
        <is>
          <t xml:space="preserve">INF789FC1DZ5</t>
        </is>
      </c>
    </row>
    <row r="12847">
      <c r="A12847" t="inlineStr">
        <is>
          <t xml:space="preserve">UTI Mutual Fund</t>
        </is>
      </c>
      <c r="B12847" t="inlineStr">
        <is>
          <t xml:space="preserve">UTI Capital Protection Oriented Scheme Series VIII-III (1281 Days) - Regular Plan - Growth Option</t>
        </is>
      </c>
      <c r="C12847" t="inlineStr">
        <is>
          <t xml:space="preserve">INF789FC1EA6</t>
        </is>
      </c>
    </row>
    <row r="12848">
      <c r="A12848" t="inlineStr">
        <is>
          <t xml:space="preserve">UTI Mutual Fund</t>
        </is>
      </c>
      <c r="B12848" t="inlineStr">
        <is>
          <t xml:space="preserve">UTI Capital Protection Oriented Scheme Series VIII-III (1281Days) - Direct Plan - Growth Option</t>
        </is>
      </c>
      <c r="C12848" t="inlineStr">
        <is>
          <t xml:space="preserve">INF789FC1EC2</t>
        </is>
      </c>
    </row>
    <row r="12849">
      <c r="A12849" t="inlineStr">
        <is>
          <t xml:space="preserve">UTI Mutual Fund</t>
        </is>
      </c>
      <c r="B12849" t="inlineStr">
        <is>
          <t xml:space="preserve">UTI Capital Protection Oriented Scheme Series VIII-IV (1996 Days) - Direct Plan - Growth Option</t>
        </is>
      </c>
      <c r="C12849" t="inlineStr">
        <is>
          <t xml:space="preserve">INF789FC1FA3</t>
        </is>
      </c>
    </row>
    <row r="12850">
      <c r="A12850" t="inlineStr">
        <is>
          <t xml:space="preserve">UTI Mutual Fund</t>
        </is>
      </c>
      <c r="B12850" t="inlineStr">
        <is>
          <t xml:space="preserve">UTI Capital Protection Oriented Scheme Series VIII-IV (1996 Days) - Regular Plan - Growth Option</t>
        </is>
      </c>
      <c r="C12850" t="inlineStr">
        <is>
          <t xml:space="preserve">INF789FC1EY6</t>
        </is>
      </c>
    </row>
    <row r="12851">
      <c r="A12851" t="inlineStr">
        <is>
          <t xml:space="preserve">UTI Mutual Fund</t>
        </is>
      </c>
      <c r="B12851" t="inlineStr">
        <is>
          <t xml:space="preserve">UTI Capital Protection Oriented Scheme Series X-II ( 1134 Days) - Direct Plan - Growth Option</t>
        </is>
      </c>
      <c r="C12851" t="inlineStr">
        <is>
          <t xml:space="preserve">INF789FC10Q1</t>
        </is>
      </c>
    </row>
    <row r="12852">
      <c r="A12852" t="inlineStr">
        <is>
          <t xml:space="preserve">UTI Mutual Fund</t>
        </is>
      </c>
      <c r="B12852" t="inlineStr">
        <is>
          <t xml:space="preserve">UTI Capital Protection Oriented Scheme Series X-II ( 1134 Days) - Regular Plan - Growth Option</t>
        </is>
      </c>
      <c r="C12852" t="inlineStr">
        <is>
          <t xml:space="preserve">INF789FC18P6</t>
        </is>
      </c>
    </row>
    <row r="12853">
      <c r="A12853" t="inlineStr">
        <is>
          <t xml:space="preserve">UTI Mutual Fund</t>
        </is>
      </c>
      <c r="B12853" t="inlineStr">
        <is>
          <t xml:space="preserve">UTI Children's Equity Fund - Direct Plan - Growth Option</t>
        </is>
      </c>
      <c r="C12853" t="inlineStr">
        <is>
          <t xml:space="preserve">INF789F1AZV0</t>
        </is>
      </c>
    </row>
    <row r="12854">
      <c r="A12854" t="inlineStr">
        <is>
          <t xml:space="preserve">UTI Mutual Fund</t>
        </is>
      </c>
      <c r="B12854" t="inlineStr">
        <is>
          <t xml:space="preserve">UTI Children's Equity Fund - Direct Plan - IDCW</t>
        </is>
      </c>
      <c r="C12854" t="inlineStr">
        <is>
          <t xml:space="preserve">INF789F1AZZ1</t>
        </is>
      </c>
    </row>
    <row r="12855">
      <c r="A12855" t="inlineStr">
        <is>
          <t xml:space="preserve">UTI Mutual Fund</t>
        </is>
      </c>
      <c r="B12855" t="inlineStr">
        <is>
          <t xml:space="preserve">UTI Children's Equity Fund - Regular Plan - Growth Option</t>
        </is>
      </c>
      <c r="C12855" t="inlineStr">
        <is>
          <t xml:space="preserve">INF789F1AZT4</t>
        </is>
      </c>
    </row>
    <row r="12856">
      <c r="A12856" t="inlineStr">
        <is>
          <t xml:space="preserve">UTI Mutual Fund</t>
        </is>
      </c>
      <c r="B12856" t="inlineStr">
        <is>
          <t xml:space="preserve">UTI Children's Equity Fund - Regular Plan - IDCW</t>
        </is>
      </c>
      <c r="C12856" t="inlineStr">
        <is>
          <t xml:space="preserve">INF789F1AZX6</t>
        </is>
      </c>
    </row>
    <row r="12857">
      <c r="A12857" t="inlineStr">
        <is>
          <t xml:space="preserve">UTI Mutual Fund</t>
        </is>
      </c>
      <c r="B12857" t="inlineStr">
        <is>
          <t xml:space="preserve">UTI Children's Hybrid Fund - Direct Plan</t>
        </is>
      </c>
      <c r="C12857" t="inlineStr">
        <is>
          <t xml:space="preserve">INF789F1AZR8</t>
        </is>
      </c>
    </row>
    <row r="12858">
      <c r="A12858" t="inlineStr">
        <is>
          <t xml:space="preserve">UTI Mutual Fund</t>
        </is>
      </c>
      <c r="B12858" t="inlineStr">
        <is>
          <t xml:space="preserve">UTI Children's Hybrid Fund - Regular Plan</t>
        </is>
      </c>
      <c r="C12858" t="inlineStr">
        <is>
          <t xml:space="preserve">INF789F1AZP2</t>
        </is>
      </c>
    </row>
    <row r="12859">
      <c r="A12859" t="inlineStr">
        <is>
          <t xml:space="preserve">UTI Mutual Fund</t>
        </is>
      </c>
      <c r="B12859" t="inlineStr">
        <is>
          <t xml:space="preserve">UTI Conservative Hybrd Fund - Regular Plan - Monthly Payment Option</t>
        </is>
      </c>
      <c r="C12859" t="inlineStr">
        <is>
          <t xml:space="preserve">INF789F01927</t>
        </is>
      </c>
    </row>
    <row r="12860">
      <c r="A12860" t="inlineStr">
        <is>
          <t xml:space="preserve">UTI Mutual Fund</t>
        </is>
      </c>
      <c r="B12860" t="inlineStr">
        <is>
          <t xml:space="preserve">UTI Conservative Hybrid Fund - Direct Plan - Flexi IDCW</t>
        </is>
      </c>
      <c r="C12860" t="inlineStr">
        <is>
          <t xml:space="preserve">INF789F01UH1</t>
        </is>
      </c>
    </row>
    <row r="12861">
      <c r="A12861" t="inlineStr">
        <is>
          <t xml:space="preserve">UTI Mutual Fund</t>
        </is>
      </c>
      <c r="B12861" t="inlineStr">
        <is>
          <t xml:space="preserve">UTI Conservative Hybrid Fund - Direct Plan - Growth Option</t>
        </is>
      </c>
      <c r="C12861" t="inlineStr">
        <is>
          <t xml:space="preserve">INF789F01UJ7</t>
        </is>
      </c>
    </row>
    <row r="12862">
      <c r="A12862" t="inlineStr">
        <is>
          <t xml:space="preserve">UTI Mutual Fund</t>
        </is>
      </c>
      <c r="B12862" t="inlineStr">
        <is>
          <t xml:space="preserve">UTI Conservative Hybrid Fund - Direct Plan - Monthly IDCW</t>
        </is>
      </c>
      <c r="C12862" t="inlineStr">
        <is>
          <t xml:space="preserve">INF789F01UK5</t>
        </is>
      </c>
    </row>
    <row r="12863">
      <c r="A12863" t="inlineStr">
        <is>
          <t xml:space="preserve">UTI Mutual Fund</t>
        </is>
      </c>
      <c r="B12863" t="inlineStr">
        <is>
          <t xml:space="preserve">UTI Conservative Hybrid Fund - Direct Plan - Monthly Payment Option</t>
        </is>
      </c>
      <c r="C12863" t="inlineStr">
        <is>
          <t xml:space="preserve">INF789F01UM1</t>
        </is>
      </c>
    </row>
    <row r="12864">
      <c r="A12864" t="inlineStr">
        <is>
          <t xml:space="preserve">UTI Mutual Fund</t>
        </is>
      </c>
      <c r="B12864" t="inlineStr">
        <is>
          <t xml:space="preserve">UTI Conservative Hybrid Fund - Regular Plan - Flexi IDCW</t>
        </is>
      </c>
      <c r="C12864" t="inlineStr">
        <is>
          <t xml:space="preserve">INF789F01877</t>
        </is>
      </c>
    </row>
    <row r="12865">
      <c r="A12865" t="inlineStr">
        <is>
          <t xml:space="preserve">UTI Mutual Fund</t>
        </is>
      </c>
      <c r="B12865" t="inlineStr">
        <is>
          <t xml:space="preserve">UTI Conservative Hybrid Fund - Regular Plan - Growth Option</t>
        </is>
      </c>
      <c r="C12865" t="inlineStr">
        <is>
          <t xml:space="preserve">INF789F01893</t>
        </is>
      </c>
    </row>
    <row r="12866">
      <c r="A12866" t="inlineStr">
        <is>
          <t xml:space="preserve">UTI Mutual Fund</t>
        </is>
      </c>
      <c r="B12866" t="inlineStr">
        <is>
          <t xml:space="preserve">UTI Conservative Hybrid Fund - Regular Plan - Monthly IDCW</t>
        </is>
      </c>
      <c r="C12866" t="inlineStr">
        <is>
          <t xml:space="preserve">INF789F01901</t>
        </is>
      </c>
    </row>
    <row r="12867">
      <c r="A12867" t="inlineStr">
        <is>
          <t xml:space="preserve">UTI Mutual Fund</t>
        </is>
      </c>
      <c r="B12867" t="inlineStr">
        <is>
          <t xml:space="preserve">UTI Corporate Bond Fund - Direct Plan - Annual IDCW</t>
        </is>
      </c>
      <c r="C12867" t="inlineStr">
        <is>
          <t xml:space="preserve">INF789F1A587</t>
        </is>
      </c>
    </row>
    <row r="12868">
      <c r="A12868" t="inlineStr">
        <is>
          <t xml:space="preserve">UTI Mutual Fund</t>
        </is>
      </c>
      <c r="B12868" t="inlineStr">
        <is>
          <t xml:space="preserve">UTI Corporate Bond Fund - Direct Plan - Flexi IDCW</t>
        </is>
      </c>
      <c r="C12868" t="inlineStr">
        <is>
          <t xml:space="preserve">INF789F1A603</t>
        </is>
      </c>
    </row>
    <row r="12869">
      <c r="A12869" t="inlineStr">
        <is>
          <t xml:space="preserve">UTI Mutual Fund</t>
        </is>
      </c>
      <c r="B12869" t="inlineStr">
        <is>
          <t xml:space="preserve">UTI Corporate Bond Fund - Direct Plan - Growth Option</t>
        </is>
      </c>
      <c r="C12869" t="inlineStr">
        <is>
          <t xml:space="preserve">INF789F1A538</t>
        </is>
      </c>
    </row>
    <row r="12870">
      <c r="A12870" t="inlineStr">
        <is>
          <t xml:space="preserve">UTI Mutual Fund</t>
        </is>
      </c>
      <c r="B12870" t="inlineStr">
        <is>
          <t xml:space="preserve">UTI Corporate Bond Fund - Direct Plan - Half-Yearly IDCW</t>
        </is>
      </c>
      <c r="C12870" t="inlineStr">
        <is>
          <t xml:space="preserve">INF789F1A561</t>
        </is>
      </c>
    </row>
    <row r="12871">
      <c r="A12871" t="inlineStr">
        <is>
          <t xml:space="preserve">UTI Mutual Fund</t>
        </is>
      </c>
      <c r="B12871" t="inlineStr">
        <is>
          <t xml:space="preserve">UTI Corporate Bond Fund - Direct Plan - Quarterly IDCW</t>
        </is>
      </c>
      <c r="C12871" t="inlineStr">
        <is>
          <t xml:space="preserve">INF789F1A546</t>
        </is>
      </c>
    </row>
    <row r="12872">
      <c r="A12872" t="inlineStr">
        <is>
          <t xml:space="preserve">UTI Mutual Fund</t>
        </is>
      </c>
      <c r="B12872" t="inlineStr">
        <is>
          <t xml:space="preserve">UTI Corporate Bond Fund - Regular Plan - Annual IDCW</t>
        </is>
      </c>
      <c r="C12872" t="inlineStr">
        <is>
          <t xml:space="preserve">INF789F1A496</t>
        </is>
      </c>
    </row>
    <row r="12873">
      <c r="A12873" t="inlineStr">
        <is>
          <t xml:space="preserve">UTI Mutual Fund</t>
        </is>
      </c>
      <c r="B12873" t="inlineStr">
        <is>
          <t xml:space="preserve">UTI Corporate Bond Fund - Regular Plan - Flexi IDCW</t>
        </is>
      </c>
      <c r="C12873" t="inlineStr">
        <is>
          <t xml:space="preserve">INF789F1A512</t>
        </is>
      </c>
    </row>
    <row r="12874">
      <c r="A12874" t="inlineStr">
        <is>
          <t xml:space="preserve">UTI Mutual Fund</t>
        </is>
      </c>
      <c r="B12874" t="inlineStr">
        <is>
          <t xml:space="preserve">UTI Corporate Bond Fund - Regular Plan - Growth Option</t>
        </is>
      </c>
      <c r="C12874" t="inlineStr">
        <is>
          <t xml:space="preserve">INF789F1A447</t>
        </is>
      </c>
    </row>
    <row r="12875">
      <c r="A12875" t="inlineStr">
        <is>
          <t xml:space="preserve">UTI Mutual Fund</t>
        </is>
      </c>
      <c r="B12875" t="inlineStr">
        <is>
          <t xml:space="preserve">UTI Corporate Bond Fund - Regular Plan - Half-Yearly IDCW</t>
        </is>
      </c>
      <c r="C12875" t="inlineStr">
        <is>
          <t xml:space="preserve">INF789F1A470</t>
        </is>
      </c>
    </row>
    <row r="12876">
      <c r="A12876" t="inlineStr">
        <is>
          <t xml:space="preserve">UTI Mutual Fund</t>
        </is>
      </c>
      <c r="B12876" t="inlineStr">
        <is>
          <t xml:space="preserve">UTI Corporate Bond Fund - Regular Plan - Quarterly IDCW</t>
        </is>
      </c>
      <c r="C12876" t="inlineStr">
        <is>
          <t xml:space="preserve">INF789F1A454</t>
        </is>
      </c>
    </row>
    <row r="12877">
      <c r="A12877" t="inlineStr">
        <is>
          <t xml:space="preserve">UTI Mutual Fund</t>
        </is>
      </c>
      <c r="B12877" t="inlineStr">
        <is>
          <t xml:space="preserve">UTI Credit Risk Fund  - Regular Plan - Growth Option</t>
        </is>
      </c>
      <c r="C12877" t="inlineStr">
        <is>
          <t xml:space="preserve">INF789F01QZ1</t>
        </is>
      </c>
    </row>
    <row r="12878">
      <c r="A12878" t="inlineStr">
        <is>
          <t xml:space="preserve">UTI Mutual Fund</t>
        </is>
      </c>
      <c r="B12878" t="inlineStr">
        <is>
          <t xml:space="preserve">UTI Credit Risk Fund ( Segregated - 17022020 ) - Direct Plan - Annual IDCW</t>
        </is>
      </c>
      <c r="C12878" t="inlineStr">
        <is>
          <t xml:space="preserve">INF789F1ANH5</t>
        </is>
      </c>
    </row>
    <row r="12879">
      <c r="A12879" t="inlineStr">
        <is>
          <t xml:space="preserve">UTI Mutual Fund</t>
        </is>
      </c>
      <c r="B12879" t="inlineStr">
        <is>
          <t xml:space="preserve">UTI Credit Risk Fund ( Segregated - 17022020 ) - Direct Plan - Flexi IDCW</t>
        </is>
      </c>
      <c r="C12879" t="inlineStr">
        <is>
          <t xml:space="preserve">INF789F1ANL7</t>
        </is>
      </c>
    </row>
    <row r="12880">
      <c r="A12880" t="inlineStr">
        <is>
          <t xml:space="preserve">UTI Mutual Fund</t>
        </is>
      </c>
      <c r="B12880" t="inlineStr">
        <is>
          <t xml:space="preserve">UTI Credit Risk Fund ( Segregated - 17022020 ) - Direct Plan - Half-Yearly IDCW</t>
        </is>
      </c>
      <c r="C12880" t="inlineStr">
        <is>
          <t xml:space="preserve">INF789F1ANJ1</t>
        </is>
      </c>
    </row>
    <row r="12881">
      <c r="A12881" t="inlineStr">
        <is>
          <t xml:space="preserve">UTI Mutual Fund</t>
        </is>
      </c>
      <c r="B12881" t="inlineStr">
        <is>
          <t xml:space="preserve">UTI Credit Risk Fund ( Segregated - 17022020 ) - Direct Plan - Monthly IDCW</t>
        </is>
      </c>
      <c r="C12881" t="inlineStr">
        <is>
          <t xml:space="preserve">INF789F1ANN3</t>
        </is>
      </c>
    </row>
    <row r="12882">
      <c r="A12882" t="inlineStr">
        <is>
          <t xml:space="preserve">UTI Mutual Fund</t>
        </is>
      </c>
      <c r="B12882" t="inlineStr">
        <is>
          <t xml:space="preserve">UTI Credit Risk Fund ( Segregated - 17022020 ) - Direct Plan - Quarterly IDCW</t>
        </is>
      </c>
      <c r="C12882" t="inlineStr">
        <is>
          <t xml:space="preserve">INF789F1ANE2</t>
        </is>
      </c>
    </row>
    <row r="12883">
      <c r="A12883" t="inlineStr">
        <is>
          <t xml:space="preserve">UTI Mutual Fund</t>
        </is>
      </c>
      <c r="B12883" t="inlineStr">
        <is>
          <t xml:space="preserve">UTI Credit Risk Fund ( Segregated - 17022020 ) - Regular Plan - Annual IDCW</t>
        </is>
      </c>
      <c r="C12883" t="inlineStr">
        <is>
          <t xml:space="preserve">INF789F1ANS2</t>
        </is>
      </c>
    </row>
    <row r="12884">
      <c r="A12884" t="inlineStr">
        <is>
          <t xml:space="preserve">UTI Mutual Fund</t>
        </is>
      </c>
      <c r="B12884" t="inlineStr">
        <is>
          <t xml:space="preserve">UTI Credit Risk Fund ( Segregated - 17022020 ) - Regular Plan - Flexi IDCW</t>
        </is>
      </c>
      <c r="C12884" t="inlineStr">
        <is>
          <t xml:space="preserve">INF789F1ANW4</t>
        </is>
      </c>
    </row>
    <row r="12885">
      <c r="A12885" t="inlineStr">
        <is>
          <t xml:space="preserve">UTI Mutual Fund</t>
        </is>
      </c>
      <c r="B12885" t="inlineStr">
        <is>
          <t xml:space="preserve">UTI Credit Risk Fund ( Segregated - 17022020 ) - Regular Plan - Half-Yearly IDCW</t>
        </is>
      </c>
      <c r="C12885" t="inlineStr">
        <is>
          <t xml:space="preserve">INF789F1ANU8</t>
        </is>
      </c>
    </row>
    <row r="12886">
      <c r="A12886" t="inlineStr">
        <is>
          <t xml:space="preserve">UTI Mutual Fund</t>
        </is>
      </c>
      <c r="B12886" t="inlineStr">
        <is>
          <t xml:space="preserve">UTI Credit Risk Fund ( Segregated - 17022020 ) - Regular Plan - Monthly IDCW</t>
        </is>
      </c>
      <c r="C12886" t="inlineStr">
        <is>
          <t xml:space="preserve">INF789F1ANY0</t>
        </is>
      </c>
    </row>
    <row r="12887">
      <c r="A12887" t="inlineStr">
        <is>
          <t xml:space="preserve">UTI Mutual Fund</t>
        </is>
      </c>
      <c r="B12887" t="inlineStr">
        <is>
          <t xml:space="preserve">UTI Credit Risk Fund ( Segregated - 17022020 ) - Regular Plan - Quarterly IDCW</t>
        </is>
      </c>
      <c r="C12887" t="inlineStr">
        <is>
          <t xml:space="preserve">INF789F1ANP8</t>
        </is>
      </c>
    </row>
    <row r="12888">
      <c r="A12888" t="inlineStr">
        <is>
          <t xml:space="preserve">UTI Mutual Fund</t>
        </is>
      </c>
      <c r="B12888" t="inlineStr">
        <is>
          <t xml:space="preserve">UTI Credit Risk Fund - Direct Plan - Annual IDCW</t>
        </is>
      </c>
      <c r="C12888" t="inlineStr">
        <is>
          <t xml:space="preserve">INF789FB1U28</t>
        </is>
      </c>
    </row>
    <row r="12889">
      <c r="A12889" t="inlineStr">
        <is>
          <t xml:space="preserve">UTI Mutual Fund</t>
        </is>
      </c>
      <c r="B12889" t="inlineStr">
        <is>
          <t xml:space="preserve">UTI Credit Risk Fund - Direct Plan - Flexi IDCW</t>
        </is>
      </c>
      <c r="C12889" t="inlineStr">
        <is>
          <t xml:space="preserve">INF789FB1U44</t>
        </is>
      </c>
    </row>
    <row r="12890">
      <c r="A12890" t="inlineStr">
        <is>
          <t xml:space="preserve">UTI Mutual Fund</t>
        </is>
      </c>
      <c r="B12890" t="inlineStr">
        <is>
          <t xml:space="preserve">UTI Credit Risk Fund - Direct Plan - Growth Option</t>
        </is>
      </c>
      <c r="C12890" t="inlineStr">
        <is>
          <t xml:space="preserve">INF789F01YB6</t>
        </is>
      </c>
    </row>
    <row r="12891">
      <c r="A12891" t="inlineStr">
        <is>
          <t xml:space="preserve">UTI Mutual Fund</t>
        </is>
      </c>
      <c r="B12891" t="inlineStr">
        <is>
          <t xml:space="preserve">UTI Credit Risk Fund - Direct Plan - Half-Yearly IDCW</t>
        </is>
      </c>
      <c r="C12891" t="inlineStr">
        <is>
          <t xml:space="preserve">INF789FA1W02</t>
        </is>
      </c>
    </row>
    <row r="12892">
      <c r="A12892" t="inlineStr">
        <is>
          <t xml:space="preserve">UTI Mutual Fund</t>
        </is>
      </c>
      <c r="B12892" t="inlineStr">
        <is>
          <t xml:space="preserve">UTI Credit Risk Fund - Direct Plan - Monthly IDCW</t>
        </is>
      </c>
      <c r="C12892" t="inlineStr">
        <is>
          <t xml:space="preserve">INF789FB1U02</t>
        </is>
      </c>
    </row>
    <row r="12893">
      <c r="A12893" t="inlineStr">
        <is>
          <t xml:space="preserve">UTI Mutual Fund</t>
        </is>
      </c>
      <c r="B12893" t="inlineStr">
        <is>
          <t xml:space="preserve">UTI Credit Risk Fund - Direct Plan - Quarterly IDCW</t>
        </is>
      </c>
      <c r="C12893" t="inlineStr">
        <is>
          <t xml:space="preserve">INF789F01YC4</t>
        </is>
      </c>
    </row>
    <row r="12894">
      <c r="A12894" t="inlineStr">
        <is>
          <t xml:space="preserve">UTI Mutual Fund</t>
        </is>
      </c>
      <c r="B12894" t="inlineStr">
        <is>
          <t xml:space="preserve">UTI Credit Risk Fund - Regular Plan - Annual IDCW</t>
        </is>
      </c>
      <c r="C12894" t="inlineStr">
        <is>
          <t xml:space="preserve">INF789FA1V60</t>
        </is>
      </c>
    </row>
    <row r="12895">
      <c r="A12895" t="inlineStr">
        <is>
          <t xml:space="preserve">UTI Mutual Fund</t>
        </is>
      </c>
      <c r="B12895" t="inlineStr">
        <is>
          <t xml:space="preserve">UTI Credit Risk Fund - Regular Plan - Flexi IDCW</t>
        </is>
      </c>
      <c r="C12895" t="inlineStr">
        <is>
          <t xml:space="preserve">INF789FA1V86</t>
        </is>
      </c>
    </row>
    <row r="12896">
      <c r="A12896" t="inlineStr">
        <is>
          <t xml:space="preserve">UTI Mutual Fund</t>
        </is>
      </c>
      <c r="B12896" t="inlineStr">
        <is>
          <t xml:space="preserve">UTI Credit Risk Fund - Regular Plan - Half-Yearly IDCW</t>
        </is>
      </c>
      <c r="C12896" t="inlineStr">
        <is>
          <t xml:space="preserve">INF789FA1V45</t>
        </is>
      </c>
    </row>
    <row r="12897">
      <c r="A12897" t="inlineStr">
        <is>
          <t xml:space="preserve">UTI Mutual Fund</t>
        </is>
      </c>
      <c r="B12897" t="inlineStr">
        <is>
          <t xml:space="preserve">UTI Credit Risk Fund - Regular Plan - Monthly IDCW</t>
        </is>
      </c>
      <c r="C12897" t="inlineStr">
        <is>
          <t xml:space="preserve">INF789FB1T88</t>
        </is>
      </c>
    </row>
    <row r="12898">
      <c r="A12898" t="inlineStr">
        <is>
          <t xml:space="preserve">UTI Mutual Fund</t>
        </is>
      </c>
      <c r="B12898" t="inlineStr">
        <is>
          <t xml:space="preserve">UTI Credit Risk Fund - Regular Plan - Quarterly IDCW</t>
        </is>
      </c>
      <c r="C12898" t="inlineStr">
        <is>
          <t xml:space="preserve">INF789F01RA2</t>
        </is>
      </c>
    </row>
    <row r="12899">
      <c r="A12899" t="inlineStr">
        <is>
          <t xml:space="preserve">UTI Mutual Fund</t>
        </is>
      </c>
      <c r="B12899" t="inlineStr">
        <is>
          <t xml:space="preserve">UTI CRISIL SDL Maturity April 2033 Index Fund - Direct Plan - Growth Option</t>
        </is>
      </c>
      <c r="C12899" t="inlineStr">
        <is>
          <t xml:space="preserve">INF789F1AWX3</t>
        </is>
      </c>
    </row>
    <row r="12900">
      <c r="A12900" t="inlineStr">
        <is>
          <t xml:space="preserve">UTI Mutual Fund</t>
        </is>
      </c>
      <c r="B12900" t="inlineStr">
        <is>
          <t xml:space="preserve">UTI CRISIL SDL Maturity April 2033 Index Fund - Regular Plan - Growth Option</t>
        </is>
      </c>
      <c r="C12900" t="inlineStr">
        <is>
          <t xml:space="preserve">INF789F1AWW5</t>
        </is>
      </c>
    </row>
    <row r="12901">
      <c r="A12901" t="inlineStr">
        <is>
          <t xml:space="preserve">UTI Mutual Fund</t>
        </is>
      </c>
      <c r="B12901" t="inlineStr">
        <is>
          <t xml:space="preserve">UTI CRISIL SDL Maturity June 2027 Index Fund - Direct Plan - Growth Option</t>
        </is>
      </c>
      <c r="C12901" t="inlineStr">
        <is>
          <t xml:space="preserve">INF789F1AWZ8</t>
        </is>
      </c>
    </row>
    <row r="12902">
      <c r="A12902" t="inlineStr">
        <is>
          <t xml:space="preserve">UTI Mutual Fund</t>
        </is>
      </c>
      <c r="B12902" t="inlineStr">
        <is>
          <t xml:space="preserve">UTI CRISIL SDL Maturity June 2027 Index Fund - Regular Plan - Growth Option</t>
        </is>
      </c>
      <c r="C12902" t="inlineStr">
        <is>
          <t xml:space="preserve">INF789F1AWY1</t>
        </is>
      </c>
    </row>
    <row r="12903">
      <c r="A12903" t="inlineStr">
        <is>
          <t xml:space="preserve">UTI Mutual Fund</t>
        </is>
      </c>
      <c r="B12903" t="inlineStr">
        <is>
          <t xml:space="preserve">UTI Dividend Yield Fund - Direct Plan - IDCW</t>
        </is>
      </c>
      <c r="C12903" t="inlineStr">
        <is>
          <t xml:space="preserve">INF789F01SU8</t>
        </is>
      </c>
    </row>
    <row r="12904">
      <c r="A12904" t="inlineStr">
        <is>
          <t xml:space="preserve">UTI Mutual Fund</t>
        </is>
      </c>
      <c r="B12904" t="inlineStr">
        <is>
          <t xml:space="preserve">UTI Dividend Yield Fund - Regular Plan - IDCW</t>
        </is>
      </c>
      <c r="C12904" t="inlineStr">
        <is>
          <t xml:space="preserve">INF789F01448</t>
        </is>
      </c>
    </row>
    <row r="12905">
      <c r="A12905" t="inlineStr">
        <is>
          <t xml:space="preserve">UTI Mutual Fund</t>
        </is>
      </c>
      <c r="B12905" t="inlineStr">
        <is>
          <t xml:space="preserve">UTI Dual Advantage Fixed Term Fund  Series V-I ( 1103 days) - Direct  Plan - Growth Option</t>
        </is>
      </c>
      <c r="C12905" t="inlineStr">
        <is>
          <t xml:space="preserve">INF789FC1T03</t>
        </is>
      </c>
    </row>
    <row r="12906">
      <c r="A12906" t="inlineStr">
        <is>
          <t xml:space="preserve">UTI Mutual Fund</t>
        </is>
      </c>
      <c r="B12906" t="inlineStr">
        <is>
          <t xml:space="preserve">UTI Dual Advantage Fixed Term Fund  Series V-I ( 1103 days) - Direct Plan - Dividend Option</t>
        </is>
      </c>
      <c r="C12906" t="inlineStr">
        <is>
          <t xml:space="preserve">INF789FC1S95</t>
        </is>
      </c>
    </row>
    <row r="12907">
      <c r="A12907" t="inlineStr">
        <is>
          <t xml:space="preserve">UTI Mutual Fund</t>
        </is>
      </c>
      <c r="B12907" t="inlineStr">
        <is>
          <t xml:space="preserve">UTI Dual Advantage Fixed Term Fund  Series V-I ( 1103 days) - Regular Plan - Dividend Option</t>
        </is>
      </c>
      <c r="C12907" t="inlineStr">
        <is>
          <t xml:space="preserve">INF789FC1S79</t>
        </is>
      </c>
    </row>
    <row r="12908">
      <c r="A12908" t="inlineStr">
        <is>
          <t xml:space="preserve">UTI Mutual Fund</t>
        </is>
      </c>
      <c r="B12908" t="inlineStr">
        <is>
          <t xml:space="preserve">UTI Dual Advantage Fixed Term Fund  Series V-I ( 1103 days) - Regular Plan - Growth Option</t>
        </is>
      </c>
      <c r="C12908" t="inlineStr">
        <is>
          <t xml:space="preserve">INF789FC1S87</t>
        </is>
      </c>
    </row>
    <row r="12909">
      <c r="A12909" t="inlineStr">
        <is>
          <t xml:space="preserve">UTI Mutual Fund</t>
        </is>
      </c>
      <c r="B12909" t="inlineStr">
        <is>
          <t xml:space="preserve">UTI Dual Advantage Fixed Term Fund Series II-I (1998 Days) - Direct Plan - Dividend Option</t>
        </is>
      </c>
      <c r="C12909" t="inlineStr">
        <is>
          <t xml:space="preserve">INF789FB1W26</t>
        </is>
      </c>
    </row>
    <row r="12910">
      <c r="A12910" t="inlineStr">
        <is>
          <t xml:space="preserve">UTI Mutual Fund</t>
        </is>
      </c>
      <c r="B12910" t="inlineStr">
        <is>
          <t xml:space="preserve">UTI Dual Advantage Fixed Term Fund Series II-I (1998 Days) - Direct Plan - Growth Option</t>
        </is>
      </c>
      <c r="C12910" t="inlineStr">
        <is>
          <t xml:space="preserve">INF789FB1W34</t>
        </is>
      </c>
    </row>
    <row r="12911">
      <c r="A12911" t="inlineStr">
        <is>
          <t xml:space="preserve">UTI Mutual Fund</t>
        </is>
      </c>
      <c r="B12911" t="inlineStr">
        <is>
          <t xml:space="preserve">UTI Dual Advantage Fixed Term Fund Series II-I (1998 Days) - Regular Plan - Dividend Option</t>
        </is>
      </c>
      <c r="C12911" t="inlineStr">
        <is>
          <t xml:space="preserve">INF789FB1W00</t>
        </is>
      </c>
    </row>
    <row r="12912">
      <c r="A12912" t="inlineStr">
        <is>
          <t xml:space="preserve">UTI Mutual Fund</t>
        </is>
      </c>
      <c r="B12912" t="inlineStr">
        <is>
          <t xml:space="preserve">UTI Dual Advantage Fixed Term Fund Series II-I (1998 Days) - Regular Plan - Growth Option</t>
        </is>
      </c>
      <c r="C12912" t="inlineStr">
        <is>
          <t xml:space="preserve">INF789FB1W18</t>
        </is>
      </c>
    </row>
    <row r="12913">
      <c r="A12913" t="inlineStr">
        <is>
          <t xml:space="preserve">UTI Mutual Fund</t>
        </is>
      </c>
      <c r="B12913" t="inlineStr">
        <is>
          <t xml:space="preserve">UTI Dual Advantage Fixed Term Fund Series II-II (1997 Days) - Direct Plan - Dividend Option</t>
        </is>
      </c>
      <c r="C12913" t="inlineStr">
        <is>
          <t xml:space="preserve">INF789FB1Z49</t>
        </is>
      </c>
    </row>
    <row r="12914">
      <c r="A12914" t="inlineStr">
        <is>
          <t xml:space="preserve">UTI Mutual Fund</t>
        </is>
      </c>
      <c r="B12914" t="inlineStr">
        <is>
          <t xml:space="preserve">UTI Dual Advantage Fixed Term Fund Series II-II (1997 Days) - Direct Plan- Growth Option</t>
        </is>
      </c>
      <c r="C12914" t="inlineStr">
        <is>
          <t xml:space="preserve">INF789FB1Z56</t>
        </is>
      </c>
    </row>
    <row r="12915">
      <c r="A12915" t="inlineStr">
        <is>
          <t xml:space="preserve">UTI Mutual Fund</t>
        </is>
      </c>
      <c r="B12915" t="inlineStr">
        <is>
          <t xml:space="preserve">UTI Dual Advantage Fixed Term Fund Series II-II (1997 days) - Regular Plan - Dividend Option</t>
        </is>
      </c>
      <c r="C12915" t="inlineStr">
        <is>
          <t xml:space="preserve">INF789FB1Z23</t>
        </is>
      </c>
    </row>
    <row r="12916">
      <c r="A12916" t="inlineStr">
        <is>
          <t xml:space="preserve">UTI Mutual Fund</t>
        </is>
      </c>
      <c r="B12916" t="inlineStr">
        <is>
          <t xml:space="preserve">UTI Dual Advantage Fixed Term Fund Series II-II (1997 Days) - Regular Plan - Growth Option</t>
        </is>
      </c>
      <c r="C12916" t="inlineStr">
        <is>
          <t xml:space="preserve">INF789FB1Z31</t>
        </is>
      </c>
    </row>
    <row r="12917">
      <c r="A12917" t="inlineStr">
        <is>
          <t xml:space="preserve">UTI Mutual Fund</t>
        </is>
      </c>
      <c r="B12917" t="inlineStr">
        <is>
          <t xml:space="preserve">UTI Dual Advantage Fixed Term Fund Series II-III (1998 Days) - Direct Plan - Growth Option</t>
        </is>
      </c>
      <c r="C12917" t="inlineStr">
        <is>
          <t xml:space="preserve">INF789FB13E3</t>
        </is>
      </c>
    </row>
    <row r="12918">
      <c r="A12918" t="inlineStr">
        <is>
          <t xml:space="preserve">UTI Mutual Fund</t>
        </is>
      </c>
      <c r="B12918" t="inlineStr">
        <is>
          <t xml:space="preserve">UTI Dual Advantage Fixed Term Fund Series II-III (1998 Days) - Direct Plan - IDCW</t>
        </is>
      </c>
      <c r="C12918" t="inlineStr">
        <is>
          <t xml:space="preserve">INF789FB12E5</t>
        </is>
      </c>
    </row>
    <row r="12919">
      <c r="A12919" t="inlineStr">
        <is>
          <t xml:space="preserve">UTI Mutual Fund</t>
        </is>
      </c>
      <c r="B12919" t="inlineStr">
        <is>
          <t xml:space="preserve">UTI Dual Advantage Fixed Term Fund Series II-III (1998 Days) - Regular Plan - Growth Option</t>
        </is>
      </c>
      <c r="C12919" t="inlineStr">
        <is>
          <t xml:space="preserve">INF789FB11E7</t>
        </is>
      </c>
    </row>
    <row r="12920">
      <c r="A12920" t="inlineStr">
        <is>
          <t xml:space="preserve">UTI Mutual Fund</t>
        </is>
      </c>
      <c r="B12920" t="inlineStr">
        <is>
          <t xml:space="preserve">UTI Dual Advantage Fixed Term Fund Series II-III (1998 Days) - Regular Plan - IDCW</t>
        </is>
      </c>
      <c r="C12920" t="inlineStr">
        <is>
          <t xml:space="preserve">INF789FB10E9</t>
        </is>
      </c>
    </row>
    <row r="12921">
      <c r="A12921" t="inlineStr">
        <is>
          <t xml:space="preserve">UTI Mutual Fund</t>
        </is>
      </c>
      <c r="B12921" t="inlineStr">
        <is>
          <t xml:space="preserve">UTI Dual Advantage Fixed Term Fund Series II-IV (1997 Days) - Direct Plan - IDCW</t>
        </is>
      </c>
      <c r="C12921" t="inlineStr">
        <is>
          <t xml:space="preserve">INF789FB10K6</t>
        </is>
      </c>
    </row>
    <row r="12922">
      <c r="A12922" t="inlineStr">
        <is>
          <t xml:space="preserve">UTI Mutual Fund</t>
        </is>
      </c>
      <c r="B12922" t="inlineStr">
        <is>
          <t xml:space="preserve">UTI Dual Advantage Fixed Term Fund Series II-IV (1997 Days) - Regular Plan - IDCW</t>
        </is>
      </c>
      <c r="C12922" t="inlineStr">
        <is>
          <t xml:space="preserve">INF789FB18J1</t>
        </is>
      </c>
    </row>
    <row r="12923">
      <c r="A12923" t="inlineStr">
        <is>
          <t xml:space="preserve">UTI Mutual Fund</t>
        </is>
      </c>
      <c r="B12923" t="inlineStr">
        <is>
          <t xml:space="preserve">UTI Dual Advantage Fixed Term Fund Series II-V (1997 Days) - Direct Plan - IDCW</t>
        </is>
      </c>
      <c r="C12923" t="inlineStr">
        <is>
          <t xml:space="preserve">INF789FB12P1</t>
        </is>
      </c>
    </row>
    <row r="12924">
      <c r="A12924" t="inlineStr">
        <is>
          <t xml:space="preserve">UTI Mutual Fund</t>
        </is>
      </c>
      <c r="B12924" t="inlineStr">
        <is>
          <t xml:space="preserve">UTI Dual Advantage Fixed Term Fund Series II-V (1997 Days) - Regular Plan - IDCW</t>
        </is>
      </c>
      <c r="C12924" t="inlineStr">
        <is>
          <t xml:space="preserve">INF789FB10P5</t>
        </is>
      </c>
    </row>
    <row r="12925">
      <c r="A12925" t="inlineStr">
        <is>
          <t xml:space="preserve">UTI Mutual Fund</t>
        </is>
      </c>
      <c r="B12925" t="inlineStr">
        <is>
          <t xml:space="preserve">UTI Dual Advantage Fixed Term Fund Series III-I (1998 Days) - Direct Plan - IDCW</t>
        </is>
      </c>
      <c r="C12925" t="inlineStr">
        <is>
          <t xml:space="preserve">INF789FB10W1</t>
        </is>
      </c>
    </row>
    <row r="12926">
      <c r="A12926" t="inlineStr">
        <is>
          <t xml:space="preserve">UTI Mutual Fund</t>
        </is>
      </c>
      <c r="B12926" t="inlineStr">
        <is>
          <t xml:space="preserve">UTI Dual Advantage Fixed Term Fund Series III-I (1998 Days) - Regular Plan - IDCW</t>
        </is>
      </c>
      <c r="C12926" t="inlineStr">
        <is>
          <t xml:space="preserve">INF789FB18V6</t>
        </is>
      </c>
    </row>
    <row r="12927">
      <c r="A12927" t="inlineStr">
        <is>
          <t xml:space="preserve">UTI Mutual Fund</t>
        </is>
      </c>
      <c r="B12927" t="inlineStr">
        <is>
          <t xml:space="preserve">UTI Dual Advantage Fixed Term Fund Series IV-IV (1997 Days) - Direct Plan - IDCW</t>
        </is>
      </c>
      <c r="C12927" t="inlineStr">
        <is>
          <t xml:space="preserve">INF789FC1IK6</t>
        </is>
      </c>
    </row>
    <row r="12928">
      <c r="A12928" t="inlineStr">
        <is>
          <t xml:space="preserve">UTI Mutual Fund</t>
        </is>
      </c>
      <c r="B12928" t="inlineStr">
        <is>
          <t xml:space="preserve">UTI Dual Advantage Fixed Term Fund Series IV-IV (1997 Days) - Regular Plan - IDCW</t>
        </is>
      </c>
      <c r="C12928" t="inlineStr">
        <is>
          <t xml:space="preserve">INF789FC1II0</t>
        </is>
      </c>
    </row>
    <row r="12929">
      <c r="A12929" t="inlineStr">
        <is>
          <t xml:space="preserve">UTI Mutual Fund</t>
        </is>
      </c>
      <c r="B12929" t="inlineStr">
        <is>
          <t xml:space="preserve">UTI Dynamic Bond Fund ( Segregated - 17022020 ) - Direct Plan - Annual IDCW</t>
        </is>
      </c>
      <c r="C12929" t="inlineStr">
        <is>
          <t xml:space="preserve">INF789F1AQC9</t>
        </is>
      </c>
    </row>
    <row r="12930">
      <c r="A12930" t="inlineStr">
        <is>
          <t xml:space="preserve">UTI Mutual Fund</t>
        </is>
      </c>
      <c r="B12930" t="inlineStr">
        <is>
          <t xml:space="preserve">UTI Dynamic Bond Fund ( Segregated - 17022020 ) - Direct Plan - Flexi IDCW</t>
        </is>
      </c>
      <c r="C12930" t="inlineStr">
        <is>
          <t xml:space="preserve">INF789F1AQE5</t>
        </is>
      </c>
    </row>
    <row r="12931">
      <c r="A12931" t="inlineStr">
        <is>
          <t xml:space="preserve">UTI Mutual Fund</t>
        </is>
      </c>
      <c r="B12931" t="inlineStr">
        <is>
          <t xml:space="preserve">UTI Dynamic Bond Fund ( Segregated - 17022020 ) - Direct Plan - Half-Yearly IDCW</t>
        </is>
      </c>
      <c r="C12931" t="inlineStr">
        <is>
          <t xml:space="preserve">INF789F1AQA3</t>
        </is>
      </c>
    </row>
    <row r="12932">
      <c r="A12932" t="inlineStr">
        <is>
          <t xml:space="preserve">UTI Mutual Fund</t>
        </is>
      </c>
      <c r="B12932" t="inlineStr">
        <is>
          <t xml:space="preserve">UTI Dynamic Bond Fund ( Segregated - 17022020 ) - Direct Plan - Quarterly IDCW</t>
        </is>
      </c>
      <c r="C12932" t="inlineStr">
        <is>
          <t xml:space="preserve">INF789F1APY5</t>
        </is>
      </c>
    </row>
    <row r="12933">
      <c r="A12933" t="inlineStr">
        <is>
          <t xml:space="preserve">UTI Mutual Fund</t>
        </is>
      </c>
      <c r="B12933" t="inlineStr">
        <is>
          <t xml:space="preserve">UTI Dynamic Bond Fund ( Segregated - 17022020 ) - Regular Plan - Annual IDCW</t>
        </is>
      </c>
      <c r="C12933" t="inlineStr">
        <is>
          <t xml:space="preserve">INF789F1APT5</t>
        </is>
      </c>
    </row>
    <row r="12934">
      <c r="A12934" t="inlineStr">
        <is>
          <t xml:space="preserve">UTI Mutual Fund</t>
        </is>
      </c>
      <c r="B12934" t="inlineStr">
        <is>
          <t xml:space="preserve">UTI Dynamic Bond Fund ( Segregated - 17022020 ) - Regular Plan - Flexi IDCW</t>
        </is>
      </c>
      <c r="C12934" t="inlineStr">
        <is>
          <t xml:space="preserve">INF789F1APV1</t>
        </is>
      </c>
    </row>
    <row r="12935">
      <c r="A12935" t="inlineStr">
        <is>
          <t xml:space="preserve">UTI Mutual Fund</t>
        </is>
      </c>
      <c r="B12935" t="inlineStr">
        <is>
          <t xml:space="preserve">UTI Dynamic Bond Fund ( Segregated - 17022020 ) - Regular Plan - Half-Yearly IDCW</t>
        </is>
      </c>
      <c r="C12935" t="inlineStr">
        <is>
          <t xml:space="preserve">INF789F1APR9</t>
        </is>
      </c>
    </row>
    <row r="12936">
      <c r="A12936" t="inlineStr">
        <is>
          <t xml:space="preserve">UTI Mutual Fund</t>
        </is>
      </c>
      <c r="B12936" t="inlineStr">
        <is>
          <t xml:space="preserve">UTI Dynamic Bond Fund ( Segregated - 17022020 ) - Regular Plan - Quarterly IDCW</t>
        </is>
      </c>
      <c r="C12936" t="inlineStr">
        <is>
          <t xml:space="preserve">INF789F1APP3</t>
        </is>
      </c>
    </row>
    <row r="12937">
      <c r="A12937" t="inlineStr">
        <is>
          <t xml:space="preserve">UTI Mutual Fund</t>
        </is>
      </c>
      <c r="B12937" t="inlineStr">
        <is>
          <t xml:space="preserve">UTI Dynamic Bond Fund - Direct Plan - Annual IDCW</t>
        </is>
      </c>
      <c r="C12937" t="inlineStr">
        <is>
          <t xml:space="preserve">INF789FA1S65</t>
        </is>
      </c>
    </row>
    <row r="12938">
      <c r="A12938" t="inlineStr">
        <is>
          <t xml:space="preserve">UTI Mutual Fund</t>
        </is>
      </c>
      <c r="B12938" t="inlineStr">
        <is>
          <t xml:space="preserve">UTI Dynamic Bond Fund - Direct Plan - Flexi IDCW</t>
        </is>
      </c>
      <c r="C12938" t="inlineStr">
        <is>
          <t xml:space="preserve">INF789FA1S81</t>
        </is>
      </c>
    </row>
    <row r="12939">
      <c r="A12939" t="inlineStr">
        <is>
          <t xml:space="preserve">UTI Mutual Fund</t>
        </is>
      </c>
      <c r="B12939" t="inlineStr">
        <is>
          <t xml:space="preserve">UTI Dynamic Bond Fund - Direct Plan - Growth Option</t>
        </is>
      </c>
      <c r="C12939" t="inlineStr">
        <is>
          <t xml:space="preserve">INF789F01XD4</t>
        </is>
      </c>
    </row>
    <row r="12940">
      <c r="A12940" t="inlineStr">
        <is>
          <t xml:space="preserve">UTI Mutual Fund</t>
        </is>
      </c>
      <c r="B12940" t="inlineStr">
        <is>
          <t xml:space="preserve">UTI Dynamic Bond Fund - Direct Plan - Half-Yearly IDCW</t>
        </is>
      </c>
      <c r="C12940" t="inlineStr">
        <is>
          <t xml:space="preserve">INF789FA1S40</t>
        </is>
      </c>
    </row>
    <row r="12941">
      <c r="A12941" t="inlineStr">
        <is>
          <t xml:space="preserve">UTI Mutual Fund</t>
        </is>
      </c>
      <c r="B12941" t="inlineStr">
        <is>
          <t xml:space="preserve">UTI Dynamic Bond Fund - Direct Plan - Quarterly IDCW</t>
        </is>
      </c>
      <c r="C12941" t="inlineStr">
        <is>
          <t xml:space="preserve">INF789F01XB8</t>
        </is>
      </c>
    </row>
    <row r="12942">
      <c r="A12942" t="inlineStr">
        <is>
          <t xml:space="preserve">UTI Mutual Fund</t>
        </is>
      </c>
      <c r="B12942" t="inlineStr">
        <is>
          <t xml:space="preserve">UTI Dynamic Bond Fund - Regular Plan - Annual IDCW</t>
        </is>
      </c>
      <c r="C12942" t="inlineStr">
        <is>
          <t xml:space="preserve">INF789FA1S08</t>
        </is>
      </c>
    </row>
    <row r="12943">
      <c r="A12943" t="inlineStr">
        <is>
          <t xml:space="preserve">UTI Mutual Fund</t>
        </is>
      </c>
      <c r="B12943" t="inlineStr">
        <is>
          <t xml:space="preserve">UTI Dynamic Bond Fund - Regular Plan - Flexi IDCW</t>
        </is>
      </c>
      <c r="C12943" t="inlineStr">
        <is>
          <t xml:space="preserve">INF789FA1S24</t>
        </is>
      </c>
    </row>
    <row r="12944">
      <c r="A12944" t="inlineStr">
        <is>
          <t xml:space="preserve">UTI Mutual Fund</t>
        </is>
      </c>
      <c r="B12944" t="inlineStr">
        <is>
          <t xml:space="preserve">UTI Dynamic Bond Fund - Regular Plan - Growth Option</t>
        </is>
      </c>
      <c r="C12944" t="inlineStr">
        <is>
          <t xml:space="preserve">INF789F01JQ5</t>
        </is>
      </c>
    </row>
    <row r="12945">
      <c r="A12945" t="inlineStr">
        <is>
          <t xml:space="preserve">UTI Mutual Fund</t>
        </is>
      </c>
      <c r="B12945" t="inlineStr">
        <is>
          <t xml:space="preserve">UTI Dynamic Bond Fund - Regular Plan - Half-Yearly IDCW</t>
        </is>
      </c>
      <c r="C12945" t="inlineStr">
        <is>
          <t xml:space="preserve">INF789FA1R82</t>
        </is>
      </c>
    </row>
    <row r="12946">
      <c r="A12946" t="inlineStr">
        <is>
          <t xml:space="preserve">UTI Mutual Fund</t>
        </is>
      </c>
      <c r="B12946" t="inlineStr">
        <is>
          <t xml:space="preserve">UTI Dynamic Bond Fund - Regular Plan - Quarterly IDCW</t>
        </is>
      </c>
      <c r="C12946" t="inlineStr">
        <is>
          <t xml:space="preserve">INF789F01JO0</t>
        </is>
      </c>
    </row>
    <row r="12947">
      <c r="A12947" t="inlineStr">
        <is>
          <t xml:space="preserve">UTI Mutual Fund</t>
        </is>
      </c>
      <c r="B12947" t="inlineStr">
        <is>
          <t xml:space="preserve">UTI ELSS Tax Saver Fund - Direct Plan - Growth Option</t>
        </is>
      </c>
      <c r="C12947" t="inlineStr">
        <is>
          <t xml:space="preserve">INF789F01TF7</t>
        </is>
      </c>
    </row>
    <row r="12948">
      <c r="A12948" t="inlineStr">
        <is>
          <t xml:space="preserve">UTI Mutual Fund</t>
        </is>
      </c>
      <c r="B12948" t="inlineStr">
        <is>
          <t xml:space="preserve">UTI ELSS Tax Saver Fund - Direct Plan - IDCW</t>
        </is>
      </c>
      <c r="C12948" t="inlineStr">
        <is>
          <t xml:space="preserve">INF789F01TD2</t>
        </is>
      </c>
    </row>
    <row r="12949">
      <c r="A12949" t="inlineStr">
        <is>
          <t xml:space="preserve">UTI Mutual Fund</t>
        </is>
      </c>
      <c r="B12949" t="inlineStr">
        <is>
          <t xml:space="preserve">UTI ELSS Tax Saver Fund - Regular Plan - Growth Option</t>
        </is>
      </c>
      <c r="C12949" t="inlineStr">
        <is>
          <t xml:space="preserve">INF789F01547</t>
        </is>
      </c>
    </row>
    <row r="12950">
      <c r="A12950" t="inlineStr">
        <is>
          <t xml:space="preserve">UTI Mutual Fund</t>
        </is>
      </c>
      <c r="B12950" t="inlineStr">
        <is>
          <t xml:space="preserve">UTI ELSS Tax Saver Fund - Regular Plan - IDCW</t>
        </is>
      </c>
      <c r="C12950" t="inlineStr">
        <is>
          <t xml:space="preserve">INF789F01521</t>
        </is>
      </c>
    </row>
    <row r="12951">
      <c r="A12951" t="inlineStr">
        <is>
          <t xml:space="preserve">UTI Mutual Fund</t>
        </is>
      </c>
      <c r="B12951" t="inlineStr">
        <is>
          <t xml:space="preserve">UTI Equity Savings Fund - Direct Plan - Growth Option</t>
        </is>
      </c>
      <c r="C12951" t="inlineStr">
        <is>
          <t xml:space="preserve">INF789F1A777</t>
        </is>
      </c>
    </row>
    <row r="12952">
      <c r="A12952" t="inlineStr">
        <is>
          <t xml:space="preserve">UTI Mutual Fund</t>
        </is>
      </c>
      <c r="B12952" t="inlineStr">
        <is>
          <t xml:space="preserve">UTI Equity Savings Fund - Direct Plan - IDCW</t>
        </is>
      </c>
      <c r="C12952" t="inlineStr">
        <is>
          <t xml:space="preserve">INF789F1A769</t>
        </is>
      </c>
    </row>
    <row r="12953">
      <c r="A12953" t="inlineStr">
        <is>
          <t xml:space="preserve">UTI Mutual Fund</t>
        </is>
      </c>
      <c r="B12953" t="inlineStr">
        <is>
          <t xml:space="preserve">UTI Equity Savings Fund - Direct Plan - Monthly IDCW</t>
        </is>
      </c>
      <c r="C12953" t="inlineStr">
        <is>
          <t xml:space="preserve">INF789F1A819</t>
        </is>
      </c>
    </row>
    <row r="12954">
      <c r="A12954" t="inlineStr">
        <is>
          <t xml:space="preserve">UTI Mutual Fund</t>
        </is>
      </c>
      <c r="B12954" t="inlineStr">
        <is>
          <t xml:space="preserve">UTI Equity Savings Fund - Direct Plan - Quarterly IDCW</t>
        </is>
      </c>
      <c r="C12954" t="inlineStr">
        <is>
          <t xml:space="preserve">INF789F1A850</t>
        </is>
      </c>
    </row>
    <row r="12955">
      <c r="A12955" t="inlineStr">
        <is>
          <t xml:space="preserve">UTI Mutual Fund</t>
        </is>
      </c>
      <c r="B12955" t="inlineStr">
        <is>
          <t xml:space="preserve">UTI Equity Savings Fund - Regular Plan - Growth Option</t>
        </is>
      </c>
      <c r="C12955" t="inlineStr">
        <is>
          <t xml:space="preserve">INF789F1A744</t>
        </is>
      </c>
    </row>
    <row r="12956">
      <c r="A12956" t="inlineStr">
        <is>
          <t xml:space="preserve">UTI Mutual Fund</t>
        </is>
      </c>
      <c r="B12956" t="inlineStr">
        <is>
          <t xml:space="preserve">UTI Equity Savings Fund - Regular Plan - IDCW</t>
        </is>
      </c>
      <c r="C12956" t="inlineStr">
        <is>
          <t xml:space="preserve">INF789F1A736</t>
        </is>
      </c>
    </row>
    <row r="12957">
      <c r="A12957" t="inlineStr">
        <is>
          <t xml:space="preserve">UTI Mutual Fund</t>
        </is>
      </c>
      <c r="B12957" t="inlineStr">
        <is>
          <t xml:space="preserve">UTI Equity Savings Fund - Regular Plan - Monthly IDCW</t>
        </is>
      </c>
      <c r="C12957" t="inlineStr">
        <is>
          <t xml:space="preserve">INF789F1A793</t>
        </is>
      </c>
    </row>
    <row r="12958">
      <c r="A12958" t="inlineStr">
        <is>
          <t xml:space="preserve">UTI Mutual Fund</t>
        </is>
      </c>
      <c r="B12958" t="inlineStr">
        <is>
          <t xml:space="preserve">UTI Equity Savings Fund - Regular Plan - Quarterly IDCW</t>
        </is>
      </c>
      <c r="C12958" t="inlineStr">
        <is>
          <t xml:space="preserve">INF789F1A835</t>
        </is>
      </c>
    </row>
    <row r="12959">
      <c r="A12959" t="inlineStr">
        <is>
          <t xml:space="preserve">UTI Mutual Fund</t>
        </is>
      </c>
      <c r="B12959" t="inlineStr">
        <is>
          <t xml:space="preserve">UTI F I I F Series II -Quarterly Interval Plan - IV -Direct Plan - Growth Option</t>
        </is>
      </c>
      <c r="C12959" t="inlineStr">
        <is>
          <t xml:space="preserve">INF789F01WO3</t>
        </is>
      </c>
    </row>
    <row r="12960">
      <c r="A12960" t="inlineStr">
        <is>
          <t xml:space="preserve">UTI Mutual Fund</t>
        </is>
      </c>
      <c r="B12960" t="inlineStr">
        <is>
          <t xml:space="preserve">UTI F I I F Series II -Quarterly Interval Plan - IV -Instn. Growth  Option</t>
        </is>
      </c>
      <c r="C12960" t="inlineStr">
        <is>
          <t xml:space="preserve">INF789F01GT5</t>
        </is>
      </c>
    </row>
    <row r="12961">
      <c r="A12961" t="inlineStr">
        <is>
          <t xml:space="preserve">UTI Mutual Fund</t>
        </is>
      </c>
      <c r="B12961" t="inlineStr">
        <is>
          <t xml:space="preserve">UTI F I I F Series II -Quarterly Interval Plan - IV -Regular Plan - Growth Option</t>
        </is>
      </c>
      <c r="C12961" t="inlineStr">
        <is>
          <t xml:space="preserve">INF789F01GQ1</t>
        </is>
      </c>
    </row>
    <row r="12962">
      <c r="A12962" t="inlineStr">
        <is>
          <t xml:space="preserve">UTI Mutual Fund</t>
        </is>
      </c>
      <c r="B12962" t="inlineStr">
        <is>
          <t xml:space="preserve">UTI F I I F Series II -Quarterly Interval Plan - VII - Direct Plan - Growth Option</t>
        </is>
      </c>
      <c r="C12962" t="inlineStr">
        <is>
          <t xml:space="preserve">INF789F01VK3</t>
        </is>
      </c>
    </row>
    <row r="12963">
      <c r="A12963" t="inlineStr">
        <is>
          <t xml:space="preserve">UTI Mutual Fund</t>
        </is>
      </c>
      <c r="B12963" t="inlineStr">
        <is>
          <t xml:space="preserve">UTI F I I F Series II -Quarterly Interval Plan - VII - Regular Plan - Growth Option</t>
        </is>
      </c>
      <c r="C12963" t="inlineStr">
        <is>
          <t xml:space="preserve">INF789F01EI3</t>
        </is>
      </c>
    </row>
    <row r="12964">
      <c r="A12964" t="inlineStr">
        <is>
          <t xml:space="preserve">UTI Mutual Fund</t>
        </is>
      </c>
      <c r="B12964" t="inlineStr">
        <is>
          <t xml:space="preserve">UTI F I I F-Annual Interval Plan Series - II - Direct Plan - Growth Option</t>
        </is>
      </c>
      <c r="C12964" t="inlineStr">
        <is>
          <t xml:space="preserve">INF789F01VZ1</t>
        </is>
      </c>
    </row>
    <row r="12965">
      <c r="A12965" t="inlineStr">
        <is>
          <t xml:space="preserve">UTI Mutual Fund</t>
        </is>
      </c>
      <c r="B12965" t="inlineStr">
        <is>
          <t xml:space="preserve">UTI F I I F-Annual Interval Plan Series - II - Regular Plan - Growth Option</t>
        </is>
      </c>
      <c r="C12965" t="inlineStr">
        <is>
          <t xml:space="preserve">INF789F01FM2</t>
        </is>
      </c>
    </row>
    <row r="12966">
      <c r="A12966" t="inlineStr">
        <is>
          <t xml:space="preserve">UTI Mutual Fund</t>
        </is>
      </c>
      <c r="B12966" t="inlineStr">
        <is>
          <t xml:space="preserve">UTI FIIF Annual Interval Plan II - Direct Plan - IDCW</t>
        </is>
      </c>
      <c r="C12966" t="inlineStr">
        <is>
          <t xml:space="preserve">INF789F01VX6</t>
        </is>
      </c>
    </row>
    <row r="12967">
      <c r="A12967" t="inlineStr">
        <is>
          <t xml:space="preserve">UTI Mutual Fund</t>
        </is>
      </c>
      <c r="B12967" t="inlineStr">
        <is>
          <t xml:space="preserve">UTI FIIF Annual Interval Plan II - Regular Plan - IDCW</t>
        </is>
      </c>
      <c r="C12967" t="inlineStr">
        <is>
          <t xml:space="preserve">INF789F01FK6</t>
        </is>
      </c>
    </row>
    <row r="12968">
      <c r="A12968" t="inlineStr">
        <is>
          <t xml:space="preserve">UTI Mutual Fund</t>
        </is>
      </c>
      <c r="B12968" t="inlineStr">
        <is>
          <t xml:space="preserve">UTI FIIF Annual Interval Plan IV - Direct Plan - IDCW</t>
        </is>
      </c>
      <c r="C12968" t="inlineStr">
        <is>
          <t xml:space="preserve">INF789F01WD6</t>
        </is>
      </c>
    </row>
    <row r="12969">
      <c r="A12969" t="inlineStr">
        <is>
          <t xml:space="preserve">UTI Mutual Fund</t>
        </is>
      </c>
      <c r="B12969" t="inlineStr">
        <is>
          <t xml:space="preserve">UTI FIIF Annual Interval Plan IV - Regular Plan - IDCW</t>
        </is>
      </c>
      <c r="C12969" t="inlineStr">
        <is>
          <t xml:space="preserve">INF789F01FW1</t>
        </is>
      </c>
    </row>
    <row r="12970">
      <c r="A12970" t="inlineStr">
        <is>
          <t xml:space="preserve">UTI Mutual Fund</t>
        </is>
      </c>
      <c r="B12970" t="inlineStr">
        <is>
          <t xml:space="preserve">UTI FIIF Half Yearly Plan I - Direct Plan - IDCW</t>
        </is>
      </c>
      <c r="C12970" t="inlineStr">
        <is>
          <t xml:space="preserve">INF789F01VR8</t>
        </is>
      </c>
    </row>
    <row r="12971">
      <c r="A12971" t="inlineStr">
        <is>
          <t xml:space="preserve">UTI Mutual Fund</t>
        </is>
      </c>
      <c r="B12971" t="inlineStr">
        <is>
          <t xml:space="preserve">UTI FIIF Half Yearly Plan I - Regular Plan - IDCW</t>
        </is>
      </c>
      <c r="C12971" t="inlineStr">
        <is>
          <t xml:space="preserve">INF789F01EY0</t>
        </is>
      </c>
    </row>
    <row r="12972">
      <c r="A12972" t="inlineStr">
        <is>
          <t xml:space="preserve">UTI Mutual Fund</t>
        </is>
      </c>
      <c r="B12972" t="inlineStr">
        <is>
          <t xml:space="preserve">UTI FIIF Half Yearly Plan II - Direct Plan - IDCW</t>
        </is>
      </c>
      <c r="C12972" t="inlineStr">
        <is>
          <t xml:space="preserve">INF789F01WV8</t>
        </is>
      </c>
    </row>
    <row r="12973">
      <c r="A12973" t="inlineStr">
        <is>
          <t xml:space="preserve">UTI Mutual Fund</t>
        </is>
      </c>
      <c r="B12973" t="inlineStr">
        <is>
          <t xml:space="preserve">UTI FIIF Half Yearly Plan II - Regular Plan - IDCW</t>
        </is>
      </c>
      <c r="C12973" t="inlineStr">
        <is>
          <t xml:space="preserve">INF789F01HG0</t>
        </is>
      </c>
    </row>
    <row r="12974">
      <c r="A12974" t="inlineStr">
        <is>
          <t xml:space="preserve">UTI Mutual Fund</t>
        </is>
      </c>
      <c r="B12974" t="inlineStr">
        <is>
          <t xml:space="preserve">UTI FIIF Monthly Interval Plan I - Direct Plan - Monthly IDCW</t>
        </is>
      </c>
      <c r="C12974" t="inlineStr">
        <is>
          <t xml:space="preserve">INF789F01VO5</t>
        </is>
      </c>
    </row>
    <row r="12975">
      <c r="A12975" t="inlineStr">
        <is>
          <t xml:space="preserve">UTI Mutual Fund</t>
        </is>
      </c>
      <c r="B12975" t="inlineStr">
        <is>
          <t xml:space="preserve">UTI FIIF Monthly Interval Plan I - Regular Plan - Monthly IDCW</t>
        </is>
      </c>
      <c r="C12975" t="inlineStr">
        <is>
          <t xml:space="preserve">INF789F01ES2</t>
        </is>
      </c>
    </row>
    <row r="12976">
      <c r="A12976" t="inlineStr">
        <is>
          <t xml:space="preserve">UTI Mutual Fund</t>
        </is>
      </c>
      <c r="B12976" t="inlineStr">
        <is>
          <t xml:space="preserve">UTI FIIF Monthly Interval Plan II - Direct Plan - Monthly IDCW</t>
        </is>
      </c>
      <c r="C12976" t="inlineStr">
        <is>
          <t xml:space="preserve">INF789F01VL1</t>
        </is>
      </c>
    </row>
    <row r="12977">
      <c r="A12977" t="inlineStr">
        <is>
          <t xml:space="preserve">UTI Mutual Fund</t>
        </is>
      </c>
      <c r="B12977" t="inlineStr">
        <is>
          <t xml:space="preserve">UTI FIIF Monthly Interval Plan II - Regular Plan - Monthly IDCW</t>
        </is>
      </c>
      <c r="C12977" t="inlineStr">
        <is>
          <t xml:space="preserve">INF789F01EM5</t>
        </is>
      </c>
    </row>
    <row r="12978">
      <c r="A12978" t="inlineStr">
        <is>
          <t xml:space="preserve">UTI Mutual Fund</t>
        </is>
      </c>
      <c r="B12978" t="inlineStr">
        <is>
          <t xml:space="preserve">UTI FIIF Quarterly Interval Plan III - Direct Plan - IDCW</t>
        </is>
      </c>
      <c r="C12978" t="inlineStr">
        <is>
          <t xml:space="preserve">INF789F01WJ3</t>
        </is>
      </c>
    </row>
    <row r="12979">
      <c r="A12979" t="inlineStr">
        <is>
          <t xml:space="preserve">UTI Mutual Fund</t>
        </is>
      </c>
      <c r="B12979" t="inlineStr">
        <is>
          <t xml:space="preserve">UTI FIIF Quarterly Interval Plan III - Regular Plan - IDCW</t>
        </is>
      </c>
      <c r="C12979" t="inlineStr">
        <is>
          <t xml:space="preserve">INF789F01GI8</t>
        </is>
      </c>
    </row>
    <row r="12980">
      <c r="A12980" t="inlineStr">
        <is>
          <t xml:space="preserve">UTI Mutual Fund</t>
        </is>
      </c>
      <c r="B12980" t="inlineStr">
        <is>
          <t xml:space="preserve">UTI FIIF Sr-2 Quarterly Interval Plan IV - Direct Plan - IDCW</t>
        </is>
      </c>
      <c r="C12980" t="inlineStr">
        <is>
          <t xml:space="preserve">INF789F01WM7</t>
        </is>
      </c>
    </row>
    <row r="12981">
      <c r="A12981" t="inlineStr">
        <is>
          <t xml:space="preserve">UTI Mutual Fund</t>
        </is>
      </c>
      <c r="B12981" t="inlineStr">
        <is>
          <t xml:space="preserve">UTI FIIF Sr-2 Quarterly Interval Plan IV - Regular Plan - IDCW</t>
        </is>
      </c>
      <c r="C12981" t="inlineStr">
        <is>
          <t xml:space="preserve">INF789F01GO6</t>
        </is>
      </c>
    </row>
    <row r="12982">
      <c r="A12982" t="inlineStr">
        <is>
          <t xml:space="preserve">UTI Mutual Fund</t>
        </is>
      </c>
      <c r="B12982" t="inlineStr">
        <is>
          <t xml:space="preserve">UTI FIIF Sr-2 Quarterly Interval Plan VII - Direct Plan - IDCW</t>
        </is>
      </c>
      <c r="C12982" t="inlineStr">
        <is>
          <t xml:space="preserve">INF789F01VI7</t>
        </is>
      </c>
    </row>
    <row r="12983">
      <c r="A12983" t="inlineStr">
        <is>
          <t xml:space="preserve">UTI Mutual Fund</t>
        </is>
      </c>
      <c r="B12983" t="inlineStr">
        <is>
          <t xml:space="preserve">UTI FIIF Sr-2 Quarterly Interval Plan VII - Regular Plan - IDCW</t>
        </is>
      </c>
      <c r="C12983" t="inlineStr">
        <is>
          <t xml:space="preserve">INF789F01EG7</t>
        </is>
      </c>
    </row>
    <row r="12984">
      <c r="A12984" t="inlineStr">
        <is>
          <t xml:space="preserve">UTI Mutual Fund</t>
        </is>
      </c>
      <c r="B12984" t="inlineStr">
        <is>
          <t xml:space="preserve">UTI Fixed  Income Interval Fund ( Half Yearly Plan - I) - Direct Plan - Growth Option</t>
        </is>
      </c>
      <c r="C12984" t="inlineStr">
        <is>
          <t xml:space="preserve">INF789F01VT4</t>
        </is>
      </c>
    </row>
    <row r="12985">
      <c r="A12985" t="inlineStr">
        <is>
          <t xml:space="preserve">UTI Mutual Fund</t>
        </is>
      </c>
      <c r="B12985" t="inlineStr">
        <is>
          <t xml:space="preserve">UTI Fixed  Income Interval Fund ( Half Yearly Plan - I) - Regular Plan - Growth Option</t>
        </is>
      </c>
      <c r="C12985" t="inlineStr">
        <is>
          <t xml:space="preserve">INF789F01FA7</t>
        </is>
      </c>
    </row>
    <row r="12986">
      <c r="A12986" t="inlineStr">
        <is>
          <t xml:space="preserve">UTI Mutual Fund</t>
        </is>
      </c>
      <c r="B12986" t="inlineStr">
        <is>
          <t xml:space="preserve">UTI Fixed  Income Interval Fund ( Quarterly Interval Plan - III) - Direct Plan - Growth Option</t>
        </is>
      </c>
      <c r="C12986" t="inlineStr">
        <is>
          <t xml:space="preserve">INF789F01WL9</t>
        </is>
      </c>
    </row>
    <row r="12987">
      <c r="A12987" t="inlineStr">
        <is>
          <t xml:space="preserve">UTI Mutual Fund</t>
        </is>
      </c>
      <c r="B12987" t="inlineStr">
        <is>
          <t xml:space="preserve">UTI Fixed  Income Interval Fund ( Quarterly Interval Plan - III) -Regular Plan - Growth Option</t>
        </is>
      </c>
      <c r="C12987" t="inlineStr">
        <is>
          <t xml:space="preserve">INF789F01GK4</t>
        </is>
      </c>
    </row>
    <row r="12988">
      <c r="A12988" t="inlineStr">
        <is>
          <t xml:space="preserve">UTI Mutual Fund</t>
        </is>
      </c>
      <c r="B12988" t="inlineStr">
        <is>
          <t xml:space="preserve">UTI Fixed  Income Interval Fund ( Quarterly Interval Plan -III) - Inst Dividend Plan</t>
        </is>
      </c>
      <c r="C12988" t="inlineStr">
        <is>
          <t xml:space="preserve">INF789F01GL2</t>
        </is>
      </c>
    </row>
    <row r="12989">
      <c r="A12989" t="inlineStr">
        <is>
          <t xml:space="preserve">UTI Mutual Fund</t>
        </is>
      </c>
      <c r="B12989" t="inlineStr">
        <is>
          <t xml:space="preserve">UTI Fixed Income Interval Fund ( Half Yearly Plan-II)- Direct Plan - Growth Option</t>
        </is>
      </c>
      <c r="C12989" t="inlineStr">
        <is>
          <t xml:space="preserve">INF789F01WX4</t>
        </is>
      </c>
    </row>
    <row r="12990">
      <c r="A12990" t="inlineStr">
        <is>
          <t xml:space="preserve">UTI Mutual Fund</t>
        </is>
      </c>
      <c r="B12990" t="inlineStr">
        <is>
          <t xml:space="preserve">UTI Fixed Income Interval Fund ( Half Yearly Plan-II)- Regular Plan - Growth Option</t>
        </is>
      </c>
      <c r="C12990" t="inlineStr">
        <is>
          <t xml:space="preserve">INF789F01HI6</t>
        </is>
      </c>
    </row>
    <row r="12991">
      <c r="A12991" t="inlineStr">
        <is>
          <t xml:space="preserve">UTI Mutual Fund</t>
        </is>
      </c>
      <c r="B12991" t="inlineStr">
        <is>
          <t xml:space="preserve">UTI Fixed Income Interval Fund - Monthly Interval Plan II-Direct Plan - Growth Option</t>
        </is>
      </c>
      <c r="C12991" t="inlineStr">
        <is>
          <t xml:space="preserve">INF789F01VN7</t>
        </is>
      </c>
    </row>
    <row r="12992">
      <c r="A12992" t="inlineStr">
        <is>
          <t xml:space="preserve">UTI Mutual Fund</t>
        </is>
      </c>
      <c r="B12992" t="inlineStr">
        <is>
          <t xml:space="preserve">UTI Fixed Income Interval Fund - Monthly Interval Plan II-Regular Plan - Growth Option</t>
        </is>
      </c>
      <c r="C12992" t="inlineStr">
        <is>
          <t xml:space="preserve">INF789F01EO1</t>
        </is>
      </c>
    </row>
    <row r="12993">
      <c r="A12993" t="inlineStr">
        <is>
          <t xml:space="preserve">UTI Mutual Fund</t>
        </is>
      </c>
      <c r="B12993" t="inlineStr">
        <is>
          <t xml:space="preserve">UTI Fixed Interval Income Fund (Annual Interval Fund)  Series III - Instn Growth Option</t>
        </is>
      </c>
      <c r="C12993" t="inlineStr">
        <is>
          <t xml:space="preserve">INF789F01FV3</t>
        </is>
      </c>
    </row>
    <row r="12994">
      <c r="A12994" t="inlineStr">
        <is>
          <t xml:space="preserve">UTI Mutual Fund</t>
        </is>
      </c>
      <c r="B12994" t="inlineStr">
        <is>
          <t xml:space="preserve">UTI Fixed Interval Income Fund (Annual Interval Plan) Series IV - Direct Plan - Growth Option</t>
        </is>
      </c>
      <c r="C12994" t="inlineStr">
        <is>
          <t xml:space="preserve">INF789F01WF1</t>
        </is>
      </c>
    </row>
    <row r="12995">
      <c r="A12995" t="inlineStr">
        <is>
          <t xml:space="preserve">UTI Mutual Fund</t>
        </is>
      </c>
      <c r="B12995" t="inlineStr">
        <is>
          <t xml:space="preserve">UTI Fixed Interval Income Fund (Annual Interval Plan) Series IV - Regular Plan - Growth Option</t>
        </is>
      </c>
      <c r="C12995" t="inlineStr">
        <is>
          <t xml:space="preserve">INF789F01FY7</t>
        </is>
      </c>
    </row>
    <row r="12996">
      <c r="A12996" t="inlineStr">
        <is>
          <t xml:space="preserve">UTI Mutual Fund</t>
        </is>
      </c>
      <c r="B12996" t="inlineStr">
        <is>
          <t xml:space="preserve">UTI Fixed Term Income fund - Series XXIX - I (1134 DAYS) - Direct Plan - Annual IDCW</t>
        </is>
      </c>
      <c r="C12996" t="inlineStr">
        <is>
          <t xml:space="preserve">INF789FC13P7</t>
        </is>
      </c>
    </row>
    <row r="12997">
      <c r="A12997" t="inlineStr">
        <is>
          <t xml:space="preserve">UTI Mutual Fund</t>
        </is>
      </c>
      <c r="B12997" t="inlineStr">
        <is>
          <t xml:space="preserve">UTI Fixed Term Income fund - Series XXIX - I (1134 DAYS) - Direct Plan - Maturity IDCW</t>
        </is>
      </c>
      <c r="C12997" t="inlineStr">
        <is>
          <t xml:space="preserve">INF789FC14P5</t>
        </is>
      </c>
    </row>
    <row r="12998">
      <c r="A12998" t="inlineStr">
        <is>
          <t xml:space="preserve">UTI Mutual Fund</t>
        </is>
      </c>
      <c r="B12998" t="inlineStr">
        <is>
          <t xml:space="preserve">UTI Fixed Term Income fund - Series XXIX - I (1134 DAYS) - Direct Plan - Quarterly IDCW</t>
        </is>
      </c>
      <c r="C12998" t="inlineStr">
        <is>
          <t xml:space="preserve">INF789FC12P9</t>
        </is>
      </c>
    </row>
    <row r="12999">
      <c r="A12999" t="inlineStr">
        <is>
          <t xml:space="preserve">UTI Mutual Fund</t>
        </is>
      </c>
      <c r="B12999" t="inlineStr">
        <is>
          <t xml:space="preserve">UTI Fixed Term Income fund - Series XXIX - I (1134 DAYS) - Regular Plan - Annual IDCW</t>
        </is>
      </c>
      <c r="C12999" t="inlineStr">
        <is>
          <t xml:space="preserve">INF789FC18O9</t>
        </is>
      </c>
    </row>
    <row r="13000">
      <c r="A13000" t="inlineStr">
        <is>
          <t xml:space="preserve">UTI Mutual Fund</t>
        </is>
      </c>
      <c r="B13000" t="inlineStr">
        <is>
          <t xml:space="preserve">UTI Fixed Term Income fund - Series XXIX - I (1134 DAYS) - Regular Plan - Flexi IDCW</t>
        </is>
      </c>
      <c r="C13000" t="inlineStr">
        <is>
          <t xml:space="preserve">INF789FC11P1</t>
        </is>
      </c>
    </row>
    <row r="13001">
      <c r="A13001" t="inlineStr">
        <is>
          <t xml:space="preserve">UTI Mutual Fund</t>
        </is>
      </c>
      <c r="B13001" t="inlineStr">
        <is>
          <t xml:space="preserve">UTI Fixed Term Income fund - Series XXIX - I (1134 DAYS) - Regular Plan - Maturity IDCW</t>
        </is>
      </c>
      <c r="C13001" t="inlineStr">
        <is>
          <t xml:space="preserve">INF789FC19O7</t>
        </is>
      </c>
    </row>
    <row r="13002">
      <c r="A13002" t="inlineStr">
        <is>
          <t xml:space="preserve">UTI Mutual Fund</t>
        </is>
      </c>
      <c r="B13002" t="inlineStr">
        <is>
          <t xml:space="preserve">UTI Fixed Term Income fund - Series XXIX - I (1134 DAYS) - Regular Plan - Quarterly IDCW</t>
        </is>
      </c>
      <c r="C13002" t="inlineStr">
        <is>
          <t xml:space="preserve">INF789FC17O1</t>
        </is>
      </c>
    </row>
    <row r="13003">
      <c r="A13003" t="inlineStr">
        <is>
          <t xml:space="preserve">UTI Mutual Fund</t>
        </is>
      </c>
      <c r="B13003" t="inlineStr">
        <is>
          <t xml:space="preserve">UTI Fixed Term Income fund - Series XXIX - II (1118 DAYS) - Direct Plan - Annual IDCW</t>
        </is>
      </c>
      <c r="C13003" t="inlineStr">
        <is>
          <t xml:space="preserve">INF789FC17Q6</t>
        </is>
      </c>
    </row>
    <row r="13004">
      <c r="A13004" t="inlineStr">
        <is>
          <t xml:space="preserve">UTI Mutual Fund</t>
        </is>
      </c>
      <c r="B13004" t="inlineStr">
        <is>
          <t xml:space="preserve">UTI Fixed Term Income fund - Series XXIX - II (1118 DAYS) - Direct Plan - Maturity IDCW</t>
        </is>
      </c>
      <c r="C13004" t="inlineStr">
        <is>
          <t xml:space="preserve">INF789FC18Q4</t>
        </is>
      </c>
    </row>
    <row r="13005">
      <c r="A13005" t="inlineStr">
        <is>
          <t xml:space="preserve">UTI Mutual Fund</t>
        </is>
      </c>
      <c r="B13005" t="inlineStr">
        <is>
          <t xml:space="preserve">UTI Fixed Term Income fund - Series XXIX - II (1118 DAYS) - Direct Plan - Quarterly IDCW</t>
        </is>
      </c>
      <c r="C13005" t="inlineStr">
        <is>
          <t xml:space="preserve">INF789FC16Q8</t>
        </is>
      </c>
    </row>
    <row r="13006">
      <c r="A13006" t="inlineStr">
        <is>
          <t xml:space="preserve">UTI Mutual Fund</t>
        </is>
      </c>
      <c r="B13006" t="inlineStr">
        <is>
          <t xml:space="preserve">UTI Fixed Term Income fund - Series XXIX - II (1118 DAYS) - Regular Plan - Annual IDCW</t>
        </is>
      </c>
      <c r="C13006" t="inlineStr">
        <is>
          <t xml:space="preserve">INF789FC12Q7</t>
        </is>
      </c>
    </row>
    <row r="13007">
      <c r="A13007" t="inlineStr">
        <is>
          <t xml:space="preserve">UTI Mutual Fund</t>
        </is>
      </c>
      <c r="B13007" t="inlineStr">
        <is>
          <t xml:space="preserve">UTI Fixed Term Income fund - Series XXIX - II (1118 DAYS) - Regular Plan - Flexi IDCW</t>
        </is>
      </c>
      <c r="C13007" t="inlineStr">
        <is>
          <t xml:space="preserve">INF789FC15Q0</t>
        </is>
      </c>
    </row>
    <row r="13008">
      <c r="A13008" t="inlineStr">
        <is>
          <t xml:space="preserve">UTI Mutual Fund</t>
        </is>
      </c>
      <c r="B13008" t="inlineStr">
        <is>
          <t xml:space="preserve">UTI Fixed Term Income fund - Series XXIX - II (1118 DAYS) - Regular Plan - Maturity IDCW</t>
        </is>
      </c>
      <c r="C13008" t="inlineStr">
        <is>
          <t xml:space="preserve">INF789FC13Q5</t>
        </is>
      </c>
    </row>
    <row r="13009">
      <c r="A13009" t="inlineStr">
        <is>
          <t xml:space="preserve">UTI Mutual Fund</t>
        </is>
      </c>
      <c r="B13009" t="inlineStr">
        <is>
          <t xml:space="preserve">UTI Fixed Term Income fund - Series XXIX - II (1118 DAYS) - Regular Plan - Quarterly IDCW</t>
        </is>
      </c>
      <c r="C13009" t="inlineStr">
        <is>
          <t xml:space="preserve">INF789FC11Q9</t>
        </is>
      </c>
    </row>
    <row r="13010">
      <c r="A13010" t="inlineStr">
        <is>
          <t xml:space="preserve">UTI Mutual Fund</t>
        </is>
      </c>
      <c r="B13010" t="inlineStr">
        <is>
          <t xml:space="preserve">UTI Fixed Term Income fund - Series XXIX - III (1131 DAYS) - Direct Plan - Annual IDCW</t>
        </is>
      </c>
      <c r="C13010" t="inlineStr">
        <is>
          <t xml:space="preserve">INF789FC17R4</t>
        </is>
      </c>
    </row>
    <row r="13011">
      <c r="A13011" t="inlineStr">
        <is>
          <t xml:space="preserve">UTI Mutual Fund</t>
        </is>
      </c>
      <c r="B13011" t="inlineStr">
        <is>
          <t xml:space="preserve">UTI Fixed Term Income fund - Series XXIX - III (1131 DAYS) - Direct Plan - Flexi IDCW</t>
        </is>
      </c>
      <c r="C13011" t="inlineStr">
        <is>
          <t xml:space="preserve">INF789FC10S7</t>
        </is>
      </c>
    </row>
    <row r="13012">
      <c r="A13012" t="inlineStr">
        <is>
          <t xml:space="preserve">UTI Mutual Fund</t>
        </is>
      </c>
      <c r="B13012" t="inlineStr">
        <is>
          <t xml:space="preserve">UTI Fixed Term Income fund - Series XXIX - III (1131 DAYS) - Direct Plan - Maturity IDCW</t>
        </is>
      </c>
      <c r="C13012" t="inlineStr">
        <is>
          <t xml:space="preserve">INF789FC18R2</t>
        </is>
      </c>
    </row>
    <row r="13013">
      <c r="A13013" t="inlineStr">
        <is>
          <t xml:space="preserve">UTI Mutual Fund</t>
        </is>
      </c>
      <c r="B13013" t="inlineStr">
        <is>
          <t xml:space="preserve">UTI Fixed Term Income fund - Series XXIX - III (1131 DAYS) - Direct Plan - Quarterly IDCW</t>
        </is>
      </c>
      <c r="C13013" t="inlineStr">
        <is>
          <t xml:space="preserve">INF789FC16R6</t>
        </is>
      </c>
    </row>
    <row r="13014">
      <c r="A13014" t="inlineStr">
        <is>
          <t xml:space="preserve">UTI Mutual Fund</t>
        </is>
      </c>
      <c r="B13014" t="inlineStr">
        <is>
          <t xml:space="preserve">UTI Fixed Term Income fund - Series XXIX - III (1131 DAYS) - Regular Plan - Annual IDCW</t>
        </is>
      </c>
      <c r="C13014" t="inlineStr">
        <is>
          <t xml:space="preserve">INF789FC12R5</t>
        </is>
      </c>
    </row>
    <row r="13015">
      <c r="A13015" t="inlineStr">
        <is>
          <t xml:space="preserve">UTI Mutual Fund</t>
        </is>
      </c>
      <c r="B13015" t="inlineStr">
        <is>
          <t xml:space="preserve">UTI Fixed Term Income fund - Series XXIX - III (1131 DAYS) - Regular Plan - Maturity IDCW</t>
        </is>
      </c>
      <c r="C13015" t="inlineStr">
        <is>
          <t xml:space="preserve">INF789FC13R3</t>
        </is>
      </c>
    </row>
    <row r="13016">
      <c r="A13016" t="inlineStr">
        <is>
          <t xml:space="preserve">UTI Mutual Fund</t>
        </is>
      </c>
      <c r="B13016" t="inlineStr">
        <is>
          <t xml:space="preserve">UTI Fixed Term Income fund - Series XXIX - III (1131 DAYS) - Regular Plan - Quarterly IDCW</t>
        </is>
      </c>
      <c r="C13016" t="inlineStr">
        <is>
          <t xml:space="preserve">INF789FC11R7</t>
        </is>
      </c>
    </row>
    <row r="13017">
      <c r="A13017" t="inlineStr">
        <is>
          <t xml:space="preserve">UTI Mutual Fund</t>
        </is>
      </c>
      <c r="B13017" t="inlineStr">
        <is>
          <t xml:space="preserve">UTI Fixed Term Income fund - Series XXIX - IV (1422 DAYS) - Direct Plan - Flexi IDCW</t>
        </is>
      </c>
      <c r="C13017" t="inlineStr">
        <is>
          <t xml:space="preserve">INF789FC10T5</t>
        </is>
      </c>
    </row>
    <row r="13018">
      <c r="A13018" t="inlineStr">
        <is>
          <t xml:space="preserve">UTI Mutual Fund</t>
        </is>
      </c>
      <c r="B13018" t="inlineStr">
        <is>
          <t xml:space="preserve">UTI Fixed Term Income fund - Series XXIX - IV (1422 DAYS) - Regular Plan - Annual IDCW</t>
        </is>
      </c>
      <c r="C13018" t="inlineStr">
        <is>
          <t xml:space="preserve">INF789FC12S3</t>
        </is>
      </c>
    </row>
    <row r="13019">
      <c r="A13019" t="inlineStr">
        <is>
          <t xml:space="preserve">UTI Mutual Fund</t>
        </is>
      </c>
      <c r="B13019" t="inlineStr">
        <is>
          <t xml:space="preserve">UTI Fixed Term Income fund - Series XXIX - IX (1109 DAYS) - Direct Plan - Annual IDCW</t>
        </is>
      </c>
      <c r="C13019" t="inlineStr">
        <is>
          <t xml:space="preserve">INF789FC19X8</t>
        </is>
      </c>
    </row>
    <row r="13020">
      <c r="A13020" t="inlineStr">
        <is>
          <t xml:space="preserve">UTI Mutual Fund</t>
        </is>
      </c>
      <c r="B13020" t="inlineStr">
        <is>
          <t xml:space="preserve">UTI Fixed Term Income fund - Series XXIX - IX (1109 DAYS) - Direct Plan - Maturity IDCW</t>
        </is>
      </c>
      <c r="C13020" t="inlineStr">
        <is>
          <t xml:space="preserve">INF789FC10Y5</t>
        </is>
      </c>
    </row>
    <row r="13021">
      <c r="A13021" t="inlineStr">
        <is>
          <t xml:space="preserve">UTI Mutual Fund</t>
        </is>
      </c>
      <c r="B13021" t="inlineStr">
        <is>
          <t xml:space="preserve">UTI Fixed Term Income fund - Series XXIX - IX (1109 DAYS) - Direct Plan - Quarterly IDCW</t>
        </is>
      </c>
      <c r="C13021" t="inlineStr">
        <is>
          <t xml:space="preserve">INF789FC18X0</t>
        </is>
      </c>
    </row>
    <row r="13022">
      <c r="A13022" t="inlineStr">
        <is>
          <t xml:space="preserve">UTI Mutual Fund</t>
        </is>
      </c>
      <c r="B13022" t="inlineStr">
        <is>
          <t xml:space="preserve">UTI Fixed Term Income fund - Series XXIX - IX (1109 DAYS) - Regular Plan - Annual IDCW</t>
        </is>
      </c>
      <c r="C13022" t="inlineStr">
        <is>
          <t xml:space="preserve">INF789FC14X9</t>
        </is>
      </c>
    </row>
    <row r="13023">
      <c r="A13023" t="inlineStr">
        <is>
          <t xml:space="preserve">UTI Mutual Fund</t>
        </is>
      </c>
      <c r="B13023" t="inlineStr">
        <is>
          <t xml:space="preserve">UTI Fixed Term Income fund - Series XXIX - IX (1109 DAYS) - Regular Plan - Maturity IDCW</t>
        </is>
      </c>
      <c r="C13023" t="inlineStr">
        <is>
          <t xml:space="preserve">INF789FC15X6</t>
        </is>
      </c>
    </row>
    <row r="13024">
      <c r="A13024" t="inlineStr">
        <is>
          <t xml:space="preserve">UTI Mutual Fund</t>
        </is>
      </c>
      <c r="B13024" t="inlineStr">
        <is>
          <t xml:space="preserve">UTI Fixed Term Income fund - Series XXIX - IX (1109 DAYS) - Regular Plan - Quarterly IDCW</t>
        </is>
      </c>
      <c r="C13024" t="inlineStr">
        <is>
          <t xml:space="preserve">INF789FC13X1</t>
        </is>
      </c>
    </row>
    <row r="13025">
      <c r="A13025" t="inlineStr">
        <is>
          <t xml:space="preserve">UTI Mutual Fund</t>
        </is>
      </c>
      <c r="B13025" t="inlineStr">
        <is>
          <t xml:space="preserve">UTI Fixed Term Income fund - Series XXIX - V (1113 DAYS) - Direct Plan - Annual IDCW</t>
        </is>
      </c>
      <c r="C13025" t="inlineStr">
        <is>
          <t xml:space="preserve">INF789FC19T6</t>
        </is>
      </c>
    </row>
    <row r="13026">
      <c r="A13026" t="inlineStr">
        <is>
          <t xml:space="preserve">UTI Mutual Fund</t>
        </is>
      </c>
      <c r="B13026" t="inlineStr">
        <is>
          <t xml:space="preserve">UTI Fixed Term Income fund - Series XXIX - V (1113 DAYS) - Direct Plan - Flexi IDCW</t>
        </is>
      </c>
      <c r="C13026" t="inlineStr">
        <is>
          <t xml:space="preserve">INF789FC12U9</t>
        </is>
      </c>
    </row>
    <row r="13027">
      <c r="A13027" t="inlineStr">
        <is>
          <t xml:space="preserve">UTI Mutual Fund</t>
        </is>
      </c>
      <c r="B13027" t="inlineStr">
        <is>
          <t xml:space="preserve">UTI Fixed Term Income fund - Series XXIX - V (1113 DAYS) - Direct Plan - Maturity IDCW</t>
        </is>
      </c>
      <c r="C13027" t="inlineStr">
        <is>
          <t xml:space="preserve">INF789FC10U3</t>
        </is>
      </c>
    </row>
    <row r="13028">
      <c r="A13028" t="inlineStr">
        <is>
          <t xml:space="preserve">UTI Mutual Fund</t>
        </is>
      </c>
      <c r="B13028" t="inlineStr">
        <is>
          <t xml:space="preserve">UTI Fixed Term Income fund - Series XXIX - V (1113 DAYS) - Direct Plan - Quarterly IDCW</t>
        </is>
      </c>
      <c r="C13028" t="inlineStr">
        <is>
          <t xml:space="preserve">INF789FC18T8</t>
        </is>
      </c>
    </row>
    <row r="13029">
      <c r="A13029" t="inlineStr">
        <is>
          <t xml:space="preserve">UTI Mutual Fund</t>
        </is>
      </c>
      <c r="B13029" t="inlineStr">
        <is>
          <t xml:space="preserve">UTI Fixed Term Income fund - Series XXIX - V (1113 DAYS) - Regular Plan - Annual IDCW</t>
        </is>
      </c>
      <c r="C13029" t="inlineStr">
        <is>
          <t xml:space="preserve">INF789FC14T7</t>
        </is>
      </c>
    </row>
    <row r="13030">
      <c r="A13030" t="inlineStr">
        <is>
          <t xml:space="preserve">UTI Mutual Fund</t>
        </is>
      </c>
      <c r="B13030" t="inlineStr">
        <is>
          <t xml:space="preserve">UTI Fixed Term Income fund - Series XXIX - V (1113 DAYS) - Regular Plan - Flexi IDCW</t>
        </is>
      </c>
      <c r="C13030" t="inlineStr">
        <is>
          <t xml:space="preserve">INF789FC17T0</t>
        </is>
      </c>
    </row>
    <row r="13031">
      <c r="A13031" t="inlineStr">
        <is>
          <t xml:space="preserve">UTI Mutual Fund</t>
        </is>
      </c>
      <c r="B13031" t="inlineStr">
        <is>
          <t xml:space="preserve">UTI Fixed Term Income fund - Series XXIX - V (1113 DAYS) - Regular Plan - Maturity IDCW</t>
        </is>
      </c>
      <c r="C13031" t="inlineStr">
        <is>
          <t xml:space="preserve">INF789FC15T4</t>
        </is>
      </c>
    </row>
    <row r="13032">
      <c r="A13032" t="inlineStr">
        <is>
          <t xml:space="preserve">UTI Mutual Fund</t>
        </is>
      </c>
      <c r="B13032" t="inlineStr">
        <is>
          <t xml:space="preserve">UTI Fixed Term Income fund - Series XXIX - V (1113 DAYS) - Regular Plan - Quarterly IDCW</t>
        </is>
      </c>
      <c r="C13032" t="inlineStr">
        <is>
          <t xml:space="preserve">INF789FC13T9</t>
        </is>
      </c>
    </row>
    <row r="13033">
      <c r="A13033" t="inlineStr">
        <is>
          <t xml:space="preserve">UTI Mutual Fund</t>
        </is>
      </c>
      <c r="B13033" t="inlineStr">
        <is>
          <t xml:space="preserve">UTI Fixed Term Income fund - Series XXIX - VI (1135 DAYS) - Direct Plan - Annual IDCW</t>
        </is>
      </c>
      <c r="C13033" t="inlineStr">
        <is>
          <t xml:space="preserve">INF789FC19U4</t>
        </is>
      </c>
    </row>
    <row r="13034">
      <c r="A13034" t="inlineStr">
        <is>
          <t xml:space="preserve">UTI Mutual Fund</t>
        </is>
      </c>
      <c r="B13034" t="inlineStr">
        <is>
          <t xml:space="preserve">UTI Fixed Term Income fund - Series XXIX - VI (1135 DAYS) - Regular Plan - Annual IDCW</t>
        </is>
      </c>
      <c r="C13034" t="inlineStr">
        <is>
          <t xml:space="preserve">INF789FC14U5</t>
        </is>
      </c>
    </row>
    <row r="13035">
      <c r="A13035" t="inlineStr">
        <is>
          <t xml:space="preserve">UTI Mutual Fund</t>
        </is>
      </c>
      <c r="B13035" t="inlineStr">
        <is>
          <t xml:space="preserve">UTI Fixed Term Income fund - Series XXIX - VII (1135 DAYS) - Direct Plan - Quarterly IDCW</t>
        </is>
      </c>
      <c r="C13035" t="inlineStr">
        <is>
          <t xml:space="preserve">INF789FC18V4</t>
        </is>
      </c>
    </row>
    <row r="13036">
      <c r="A13036" t="inlineStr">
        <is>
          <t xml:space="preserve">UTI Mutual Fund</t>
        </is>
      </c>
      <c r="B13036" t="inlineStr">
        <is>
          <t xml:space="preserve">UTI Fixed Term Income fund - Series XXIX - VII (1135 DAYS) - Regular Plan - Annual IDCW</t>
        </is>
      </c>
      <c r="C13036" t="inlineStr">
        <is>
          <t xml:space="preserve">INF789FC14V3</t>
        </is>
      </c>
    </row>
    <row r="13037">
      <c r="A13037" t="inlineStr">
        <is>
          <t xml:space="preserve">UTI Mutual Fund</t>
        </is>
      </c>
      <c r="B13037" t="inlineStr">
        <is>
          <t xml:space="preserve">UTI Fixed Term Income fund - Series XXIX - VII (1135 DAYS) - Regular Plan - Quarterly IDCW</t>
        </is>
      </c>
      <c r="C13037" t="inlineStr">
        <is>
          <t xml:space="preserve">INF789FC13V5</t>
        </is>
      </c>
    </row>
    <row r="13038">
      <c r="A13038" t="inlineStr">
        <is>
          <t xml:space="preserve">UTI Mutual Fund</t>
        </is>
      </c>
      <c r="B13038" t="inlineStr">
        <is>
          <t xml:space="preserve">UTI Fixed Term Income fund - Series XXIX - VIII (1127 DAYS) - Direct Plan - Annual IDCW</t>
        </is>
      </c>
      <c r="C13038" t="inlineStr">
        <is>
          <t xml:space="preserve">INF789FC19W0</t>
        </is>
      </c>
    </row>
    <row r="13039">
      <c r="A13039" t="inlineStr">
        <is>
          <t xml:space="preserve">UTI Mutual Fund</t>
        </is>
      </c>
      <c r="B13039" t="inlineStr">
        <is>
          <t xml:space="preserve">UTI Fixed Term Income fund - Series XXIX - VIII (1127 DAYS) - Direct Plan - Flexi IDCW</t>
        </is>
      </c>
      <c r="C13039" t="inlineStr">
        <is>
          <t xml:space="preserve">INF789FC12X3</t>
        </is>
      </c>
    </row>
    <row r="13040">
      <c r="A13040" t="inlineStr">
        <is>
          <t xml:space="preserve">UTI Mutual Fund</t>
        </is>
      </c>
      <c r="B13040" t="inlineStr">
        <is>
          <t xml:space="preserve">UTI Fixed Term Income fund - Series XXIX - VIII (1127 DAYS) - Direct Plan - Maturity IDCW</t>
        </is>
      </c>
      <c r="C13040" t="inlineStr">
        <is>
          <t xml:space="preserve">INF789FC10X7</t>
        </is>
      </c>
    </row>
    <row r="13041">
      <c r="A13041" t="inlineStr">
        <is>
          <t xml:space="preserve">UTI Mutual Fund</t>
        </is>
      </c>
      <c r="B13041" t="inlineStr">
        <is>
          <t xml:space="preserve">UTI Fixed Term Income fund - Series XXIX - VIII (1127 DAYS) - Direct Plan - Quarterly IDCW</t>
        </is>
      </c>
      <c r="C13041" t="inlineStr">
        <is>
          <t xml:space="preserve">INF789FC18W2</t>
        </is>
      </c>
    </row>
    <row r="13042">
      <c r="A13042" t="inlineStr">
        <is>
          <t xml:space="preserve">UTI Mutual Fund</t>
        </is>
      </c>
      <c r="B13042" t="inlineStr">
        <is>
          <t xml:space="preserve">UTI Fixed Term Income fund - Series XXIX - VIII (1127 DAYS) - Regular Plan - Annual IDCW</t>
        </is>
      </c>
      <c r="C13042" t="inlineStr">
        <is>
          <t xml:space="preserve">INF789FC14W1</t>
        </is>
      </c>
    </row>
    <row r="13043">
      <c r="A13043" t="inlineStr">
        <is>
          <t xml:space="preserve">UTI Mutual Fund</t>
        </is>
      </c>
      <c r="B13043" t="inlineStr">
        <is>
          <t xml:space="preserve">UTI Fixed Term Income fund - Series XXIX - VIII (1127 DAYS) - Regular Plan - Flexi IDCW</t>
        </is>
      </c>
      <c r="C13043" t="inlineStr">
        <is>
          <t xml:space="preserve">INF789FC17W4</t>
        </is>
      </c>
    </row>
    <row r="13044">
      <c r="A13044" t="inlineStr">
        <is>
          <t xml:space="preserve">UTI Mutual Fund</t>
        </is>
      </c>
      <c r="B13044" t="inlineStr">
        <is>
          <t xml:space="preserve">UTI Fixed Term Income fund - Series XXIX - VIII (1127 DAYS) - Regular Plan - Quarterly IDCW</t>
        </is>
      </c>
      <c r="C13044" t="inlineStr">
        <is>
          <t xml:space="preserve">INF789FC13W3</t>
        </is>
      </c>
    </row>
    <row r="13045">
      <c r="A13045" t="inlineStr">
        <is>
          <t xml:space="preserve">UTI Mutual Fund</t>
        </is>
      </c>
      <c r="B13045" t="inlineStr">
        <is>
          <t xml:space="preserve">UTI Fixed Term Income fund - Series XXIX - XI (1112 DAYS) - Direct Plan - Flexi IDCW</t>
        </is>
      </c>
      <c r="C13045" t="inlineStr">
        <is>
          <t xml:space="preserve">INF789F1A033</t>
        </is>
      </c>
    </row>
    <row r="13046">
      <c r="A13046" t="inlineStr">
        <is>
          <t xml:space="preserve">UTI Mutual Fund</t>
        </is>
      </c>
      <c r="B13046" t="inlineStr">
        <is>
          <t xml:space="preserve">UTI Fixed Term Income fund - Series XXIX - XI (1112 DAYS) - Direct Plan - Maturity IDCW</t>
        </is>
      </c>
      <c r="C13046" t="inlineStr">
        <is>
          <t xml:space="preserve">INF789F1A017</t>
        </is>
      </c>
    </row>
    <row r="13047">
      <c r="A13047" t="inlineStr">
        <is>
          <t xml:space="preserve">UTI Mutual Fund</t>
        </is>
      </c>
      <c r="B13047" t="inlineStr">
        <is>
          <t xml:space="preserve">UTI Fixed Term Income fund - Series XXIX - XIII (1122 DAYS) - Direct Plan - Annual IDCW</t>
        </is>
      </c>
      <c r="C13047" t="inlineStr">
        <is>
          <t xml:space="preserve">INF789F1A108</t>
        </is>
      </c>
    </row>
    <row r="13048">
      <c r="A13048" t="inlineStr">
        <is>
          <t xml:space="preserve">UTI Mutual Fund</t>
        </is>
      </c>
      <c r="B13048" t="inlineStr">
        <is>
          <t xml:space="preserve">UTI Fixed Term Income fund - Series XXIX - XIII (1122 DAYS) - Direct Plan - Maturity IDCW</t>
        </is>
      </c>
      <c r="C13048" t="inlineStr">
        <is>
          <t xml:space="preserve">INF789F1A116</t>
        </is>
      </c>
    </row>
    <row r="13049">
      <c r="A13049" t="inlineStr">
        <is>
          <t xml:space="preserve">UTI Mutual Fund</t>
        </is>
      </c>
      <c r="B13049" t="inlineStr">
        <is>
          <t xml:space="preserve">UTI Fixed Term Income fund - Series XXIX - XIII (1122 DAYS) - Direct Plan - Quarterly IDCW</t>
        </is>
      </c>
      <c r="C13049" t="inlineStr">
        <is>
          <t xml:space="preserve">INF789F1A090</t>
        </is>
      </c>
    </row>
    <row r="13050">
      <c r="A13050" t="inlineStr">
        <is>
          <t xml:space="preserve">UTI Mutual Fund</t>
        </is>
      </c>
      <c r="B13050" t="inlineStr">
        <is>
          <t xml:space="preserve">UTI Fixed Term Income fund - Series XXIX - XIII (1122 DAYS) - Regular Plan - Annual IDCW</t>
        </is>
      </c>
      <c r="C13050" t="inlineStr">
        <is>
          <t xml:space="preserve">INF789F1A058</t>
        </is>
      </c>
    </row>
    <row r="13051">
      <c r="A13051" t="inlineStr">
        <is>
          <t xml:space="preserve">UTI Mutual Fund</t>
        </is>
      </c>
      <c r="B13051" t="inlineStr">
        <is>
          <t xml:space="preserve">UTI Fixed Term Income fund - Series XXIX - XIII (1122 DAYS) - Regular Plan - Flexi IDCW</t>
        </is>
      </c>
      <c r="C13051" t="inlineStr">
        <is>
          <t xml:space="preserve">INF789F1A082</t>
        </is>
      </c>
    </row>
    <row r="13052">
      <c r="A13052" t="inlineStr">
        <is>
          <t xml:space="preserve">UTI Mutual Fund</t>
        </is>
      </c>
      <c r="B13052" t="inlineStr">
        <is>
          <t xml:space="preserve">UTI Fixed Term Income fund - Series XXIX - XIII (1122 DAYS) - Regular Plan - Maturity IDCW</t>
        </is>
      </c>
      <c r="C13052" t="inlineStr">
        <is>
          <t xml:space="preserve">INF789F1A066</t>
        </is>
      </c>
    </row>
    <row r="13053">
      <c r="A13053" t="inlineStr">
        <is>
          <t xml:space="preserve">UTI Mutual Fund</t>
        </is>
      </c>
      <c r="B13053" t="inlineStr">
        <is>
          <t xml:space="preserve">UTI Fixed Term Income fund - Series XXIX - XIII (1122 DAYS) - Regular Plan - Quarterly IDCW</t>
        </is>
      </c>
      <c r="C13053" t="inlineStr">
        <is>
          <t xml:space="preserve">INF789F1A041</t>
        </is>
      </c>
    </row>
    <row r="13054">
      <c r="A13054" t="inlineStr">
        <is>
          <t xml:space="preserve">UTI Mutual Fund</t>
        </is>
      </c>
      <c r="B13054" t="inlineStr">
        <is>
          <t xml:space="preserve">UTI Fixed Term Income fund - Series XXIX - XIV (1131 DAYS) - Direct Plan - Quarterly IDCW</t>
        </is>
      </c>
      <c r="C13054" t="inlineStr">
        <is>
          <t xml:space="preserve">INF789F1A298</t>
        </is>
      </c>
    </row>
    <row r="13055">
      <c r="A13055" t="inlineStr">
        <is>
          <t xml:space="preserve">UTI Mutual Fund</t>
        </is>
      </c>
      <c r="B13055" t="inlineStr">
        <is>
          <t xml:space="preserve">UTI Fixed Term Income fund - Series XXIX - XIV (1131 DAYS) - Regular Plan - Maturity IDCW</t>
        </is>
      </c>
      <c r="C13055" t="inlineStr">
        <is>
          <t xml:space="preserve">INF789F1A264</t>
        </is>
      </c>
    </row>
    <row r="13056">
      <c r="A13056" t="inlineStr">
        <is>
          <t xml:space="preserve">UTI Mutual Fund</t>
        </is>
      </c>
      <c r="B13056" t="inlineStr">
        <is>
          <t xml:space="preserve">UTI Fixed Term Income fund - Series XXX - I (1104 DAYS) - Direct Plan - Maturity IDCW</t>
        </is>
      </c>
      <c r="C13056" t="inlineStr">
        <is>
          <t xml:space="preserve">INF789F1A694</t>
        </is>
      </c>
    </row>
    <row r="13057">
      <c r="A13057" t="inlineStr">
        <is>
          <t xml:space="preserve">UTI Mutual Fund</t>
        </is>
      </c>
      <c r="B13057" t="inlineStr">
        <is>
          <t xml:space="preserve">UTI Fixed Term Income fund - Series XXX - I (1104 DAYS) - Direct Plan - Quarterly IDCW</t>
        </is>
      </c>
      <c r="C13057" t="inlineStr">
        <is>
          <t xml:space="preserve">INF789F1A678</t>
        </is>
      </c>
    </row>
    <row r="13058">
      <c r="A13058" t="inlineStr">
        <is>
          <t xml:space="preserve">UTI Mutual Fund</t>
        </is>
      </c>
      <c r="B13058" t="inlineStr">
        <is>
          <t xml:space="preserve">UTI Fixed Term Income fund - Series XXX - I (1104 DAYS) - Regular Plan - Annual IDCW</t>
        </is>
      </c>
      <c r="C13058" t="inlineStr">
        <is>
          <t xml:space="preserve">INF789F1A637</t>
        </is>
      </c>
    </row>
    <row r="13059">
      <c r="A13059" t="inlineStr">
        <is>
          <t xml:space="preserve">UTI Mutual Fund</t>
        </is>
      </c>
      <c r="B13059" t="inlineStr">
        <is>
          <t xml:space="preserve">UTI Fixed Term Income fund - Series XXX - I (1104 DAYS) - Regular Plan - Flexi IDCW</t>
        </is>
      </c>
      <c r="C13059" t="inlineStr">
        <is>
          <t xml:space="preserve">INF789F1A660</t>
        </is>
      </c>
    </row>
    <row r="13060">
      <c r="A13060" t="inlineStr">
        <is>
          <t xml:space="preserve">UTI Mutual Fund</t>
        </is>
      </c>
      <c r="B13060" t="inlineStr">
        <is>
          <t xml:space="preserve">UTI Fixed Term Income fund - Series XXX - I (1104 DAYS) - Regular Plan - Maturity IDCW</t>
        </is>
      </c>
      <c r="C13060" t="inlineStr">
        <is>
          <t xml:space="preserve">INF789F1A645</t>
        </is>
      </c>
    </row>
    <row r="13061">
      <c r="A13061" t="inlineStr">
        <is>
          <t xml:space="preserve">UTI Mutual Fund</t>
        </is>
      </c>
      <c r="B13061" t="inlineStr">
        <is>
          <t xml:space="preserve">UTI Fixed Term Income fund - Series XXX - I (1104 DAYS) - Regular Plan - Quarterly IDCW</t>
        </is>
      </c>
      <c r="C13061" t="inlineStr">
        <is>
          <t xml:space="preserve">INF789F1A629</t>
        </is>
      </c>
    </row>
    <row r="13062">
      <c r="A13062" t="inlineStr">
        <is>
          <t xml:space="preserve">UTI Mutual Fund</t>
        </is>
      </c>
      <c r="B13062" t="inlineStr">
        <is>
          <t xml:space="preserve">UTI Fixed Term Income fund - Series XXX - II (1107 DAYS) - Direct Plan - Annual IDCW</t>
        </is>
      </c>
      <c r="C13062" t="inlineStr">
        <is>
          <t xml:space="preserve">INF789F1A926</t>
        </is>
      </c>
    </row>
    <row r="13063">
      <c r="A13063" t="inlineStr">
        <is>
          <t xml:space="preserve">UTI Mutual Fund</t>
        </is>
      </c>
      <c r="B13063" t="inlineStr">
        <is>
          <t xml:space="preserve">UTI Fixed Term Income fund - Series XXX - II (1107 DAYS) - Regular Plan - Quarterly IDCW</t>
        </is>
      </c>
      <c r="C13063" t="inlineStr">
        <is>
          <t xml:space="preserve">INF789F1A868</t>
        </is>
      </c>
    </row>
    <row r="13064">
      <c r="A13064" t="inlineStr">
        <is>
          <t xml:space="preserve">UTI Mutual Fund</t>
        </is>
      </c>
      <c r="B13064" t="inlineStr">
        <is>
          <t xml:space="preserve">UTI Fixed Term Income Fund - Series XXXV-I (1260 Days) - Direct Plan - Annual IDCW Option</t>
        </is>
      </c>
      <c r="C13064" t="inlineStr">
        <is>
          <t xml:space="preserve">INF789F1AWI4</t>
        </is>
      </c>
    </row>
    <row r="13065">
      <c r="A13065" t="inlineStr">
        <is>
          <t xml:space="preserve">UTI Mutual Fund</t>
        </is>
      </c>
      <c r="B13065" t="inlineStr">
        <is>
          <t xml:space="preserve">UTI Fixed Term Income Fund - Series XXXV-I (1260 Days) - Direct Plan - Growth Option</t>
        </is>
      </c>
      <c r="C13065" t="inlineStr">
        <is>
          <t xml:space="preserve">INF789F1AWK0</t>
        </is>
      </c>
    </row>
    <row r="13066">
      <c r="A13066" t="inlineStr">
        <is>
          <t xml:space="preserve">UTI Mutual Fund</t>
        </is>
      </c>
      <c r="B13066" t="inlineStr">
        <is>
          <t xml:space="preserve">UTI Fixed Term Income Fund - Series XXXV-I (1260 Days) - Direct Plan - Maturity IDCW Option</t>
        </is>
      </c>
      <c r="C13066" t="inlineStr">
        <is>
          <t xml:space="preserve">INF789F1AWJ2</t>
        </is>
      </c>
    </row>
    <row r="13067">
      <c r="A13067" t="inlineStr">
        <is>
          <t xml:space="preserve">UTI Mutual Fund</t>
        </is>
      </c>
      <c r="B13067" t="inlineStr">
        <is>
          <t xml:space="preserve">UTI Fixed Term Income Fund - Series XXXV-I (1260 Days) - Direct Plan - Quarterly IDCW Option</t>
        </is>
      </c>
      <c r="C13067" t="inlineStr">
        <is>
          <t xml:space="preserve">INF789F1AWH6</t>
        </is>
      </c>
    </row>
    <row r="13068">
      <c r="A13068" t="inlineStr">
        <is>
          <t xml:space="preserve">UTI Mutual Fund</t>
        </is>
      </c>
      <c r="B13068" t="inlineStr">
        <is>
          <t xml:space="preserve">UTI Fixed Term Income Fund - Series XXXV-I (1260 days) - Regular Plan - Annual IDCW Option</t>
        </is>
      </c>
      <c r="C13068" t="inlineStr">
        <is>
          <t xml:space="preserve">INF789F1AWD5</t>
        </is>
      </c>
    </row>
    <row r="13069">
      <c r="A13069" t="inlineStr">
        <is>
          <t xml:space="preserve">UTI Mutual Fund</t>
        </is>
      </c>
      <c r="B13069" t="inlineStr">
        <is>
          <t xml:space="preserve">UTI Fixed Term Income Fund - Series XXXV-I (1260 Days) - Regular Plan - Flexi IDCW Option</t>
        </is>
      </c>
      <c r="C13069" t="inlineStr">
        <is>
          <t xml:space="preserve">INF789F1AWG8</t>
        </is>
      </c>
    </row>
    <row r="13070">
      <c r="A13070" t="inlineStr">
        <is>
          <t xml:space="preserve">UTI Mutual Fund</t>
        </is>
      </c>
      <c r="B13070" t="inlineStr">
        <is>
          <t xml:space="preserve">UTI Fixed Term Income Fund - Series XXXV-I (1260 Days) - Regular Plan - Growth Option</t>
        </is>
      </c>
      <c r="C13070" t="inlineStr">
        <is>
          <t xml:space="preserve">INF789F1AWF0</t>
        </is>
      </c>
    </row>
    <row r="13071">
      <c r="A13071" t="inlineStr">
        <is>
          <t xml:space="preserve">UTI Mutual Fund</t>
        </is>
      </c>
      <c r="B13071" t="inlineStr">
        <is>
          <t xml:space="preserve">UTI Fixed Term Income Fund - Series XXXV-I (1260 Days) - Regular Plan - Maturity IDCW Option</t>
        </is>
      </c>
      <c r="C13071" t="inlineStr">
        <is>
          <t xml:space="preserve">INF789F1AWE3</t>
        </is>
      </c>
    </row>
    <row r="13072">
      <c r="A13072" t="inlineStr">
        <is>
          <t xml:space="preserve">UTI Mutual Fund</t>
        </is>
      </c>
      <c r="B13072" t="inlineStr">
        <is>
          <t xml:space="preserve">UTI Fixed Term Income Fund - Series XXXV-I (1260 Days) - Regular Plan - Quarterly IDCW Option</t>
        </is>
      </c>
      <c r="C13072" t="inlineStr">
        <is>
          <t xml:space="preserve">INF789F1AWC7</t>
        </is>
      </c>
    </row>
    <row r="13073">
      <c r="A13073" t="inlineStr">
        <is>
          <t xml:space="preserve">UTI Mutual Fund</t>
        </is>
      </c>
      <c r="B13073" t="inlineStr">
        <is>
          <t xml:space="preserve">UTI Fixed Term Income Fund - Series XXXV-II (1223 Days) - Direct Plan - Annual IDCW Option</t>
        </is>
      </c>
      <c r="C13073" t="inlineStr">
        <is>
          <t xml:space="preserve">INF789F1AWS3</t>
        </is>
      </c>
    </row>
    <row r="13074">
      <c r="A13074" t="inlineStr">
        <is>
          <t xml:space="preserve">UTI Mutual Fund</t>
        </is>
      </c>
      <c r="B13074" t="inlineStr">
        <is>
          <t xml:space="preserve">UTI Fixed Term Income Fund - Series XXXV-II (1223 Days) - Direct Plan - Flexi IDCW Option</t>
        </is>
      </c>
      <c r="C13074" t="inlineStr">
        <is>
          <t xml:space="preserve">INF789F1AWV7</t>
        </is>
      </c>
    </row>
    <row r="13075">
      <c r="A13075" t="inlineStr">
        <is>
          <t xml:space="preserve">UTI Mutual Fund</t>
        </is>
      </c>
      <c r="B13075" t="inlineStr">
        <is>
          <t xml:space="preserve">UTI Fixed Term Income Fund - Series XXXV-II (1223 Days) - Direct Plan - Growth Option</t>
        </is>
      </c>
      <c r="C13075" t="inlineStr">
        <is>
          <t xml:space="preserve">INF789F1AWU9</t>
        </is>
      </c>
    </row>
    <row r="13076">
      <c r="A13076" t="inlineStr">
        <is>
          <t xml:space="preserve">UTI Mutual Fund</t>
        </is>
      </c>
      <c r="B13076" t="inlineStr">
        <is>
          <t xml:space="preserve">UTI Fixed Term Income Fund - Series XXXV-II (1223 Days) - Direct Plan - Maturity IDCW Option</t>
        </is>
      </c>
      <c r="C13076" t="inlineStr">
        <is>
          <t xml:space="preserve">INF789F1AWT1</t>
        </is>
      </c>
    </row>
    <row r="13077">
      <c r="A13077" t="inlineStr">
        <is>
          <t xml:space="preserve">UTI Mutual Fund</t>
        </is>
      </c>
      <c r="B13077" t="inlineStr">
        <is>
          <t xml:space="preserve">UTI Fixed Term Income Fund - Series XXXV-II (1223 Days) - Direct Plan - Quarterly IDCW Option</t>
        </is>
      </c>
      <c r="C13077" t="inlineStr">
        <is>
          <t xml:space="preserve">INF789F1AWR5</t>
        </is>
      </c>
    </row>
    <row r="13078">
      <c r="A13078" t="inlineStr">
        <is>
          <t xml:space="preserve">UTI Mutual Fund</t>
        </is>
      </c>
      <c r="B13078" t="inlineStr">
        <is>
          <t xml:space="preserve">UTI Fixed Term Income Fund - Series XXXV-II (1223 Days) - Regular Plan - Annual IDCW Option</t>
        </is>
      </c>
      <c r="C13078" t="inlineStr">
        <is>
          <t xml:space="preserve">INF789F1AWN4</t>
        </is>
      </c>
    </row>
    <row r="13079">
      <c r="A13079" t="inlineStr">
        <is>
          <t xml:space="preserve">UTI Mutual Fund</t>
        </is>
      </c>
      <c r="B13079" t="inlineStr">
        <is>
          <t xml:space="preserve">UTI Fixed Term Income Fund - Series XXXV-II (1223 Days) - Regular Plan - Flexi IDCW Option</t>
        </is>
      </c>
      <c r="C13079" t="inlineStr">
        <is>
          <t xml:space="preserve">INF789F1AWQ7</t>
        </is>
      </c>
    </row>
    <row r="13080">
      <c r="A13080" t="inlineStr">
        <is>
          <t xml:space="preserve">UTI Mutual Fund</t>
        </is>
      </c>
      <c r="B13080" t="inlineStr">
        <is>
          <t xml:space="preserve">UTI Fixed Term Income Fund - Series XXXV-II (1223 Days) - Regular Plan - Growth Option</t>
        </is>
      </c>
      <c r="C13080" t="inlineStr">
        <is>
          <t xml:space="preserve">INF789F1AWP9</t>
        </is>
      </c>
    </row>
    <row r="13081">
      <c r="A13081" t="inlineStr">
        <is>
          <t xml:space="preserve">UTI Mutual Fund</t>
        </is>
      </c>
      <c r="B13081" t="inlineStr">
        <is>
          <t xml:space="preserve">UTI Fixed Term Income Fund - Series XXXV-II (1223 Days) - Regular Plan - Maturity IDCW Option</t>
        </is>
      </c>
      <c r="C13081" t="inlineStr">
        <is>
          <t xml:space="preserve">INF789F1AWO2</t>
        </is>
      </c>
    </row>
    <row r="13082">
      <c r="A13082" t="inlineStr">
        <is>
          <t xml:space="preserve">UTI Mutual Fund</t>
        </is>
      </c>
      <c r="B13082" t="inlineStr">
        <is>
          <t xml:space="preserve">UTI Fixed Term Income Fund - Series XXXV-II (1223 Days) - Regular Plan - Quarterly IDCW Option</t>
        </is>
      </c>
      <c r="C13082" t="inlineStr">
        <is>
          <t xml:space="preserve">INF789F1AWM6</t>
        </is>
      </c>
    </row>
    <row r="13083">
      <c r="A13083" t="inlineStr">
        <is>
          <t xml:space="preserve">UTI Mutual Fund</t>
        </is>
      </c>
      <c r="B13083" t="inlineStr">
        <is>
          <t xml:space="preserve">UTI Fixed Term Income Fund - Series XXXV-III (1176 Days) - Direct Plan - Annual IDCW Option</t>
        </is>
      </c>
      <c r="C13083" t="inlineStr">
        <is>
          <t xml:space="preserve">INF789F1AXF8</t>
        </is>
      </c>
    </row>
    <row r="13084">
      <c r="A13084" t="inlineStr">
        <is>
          <t xml:space="preserve">UTI Mutual Fund</t>
        </is>
      </c>
      <c r="B13084" t="inlineStr">
        <is>
          <t xml:space="preserve">UTI Fixed Term Income Fund - Series XXXV-III (1176 Days) - Direct Plan - Growth Option</t>
        </is>
      </c>
      <c r="C13084" t="inlineStr">
        <is>
          <t xml:space="preserve">INF789F1AXH4</t>
        </is>
      </c>
    </row>
    <row r="13085">
      <c r="A13085" t="inlineStr">
        <is>
          <t xml:space="preserve">UTI Mutual Fund</t>
        </is>
      </c>
      <c r="B13085" t="inlineStr">
        <is>
          <t xml:space="preserve">UTI Fixed Term Income Fund - Series XXXV-III (1176 Days) - Direct Plan - Maturity IDCW Option</t>
        </is>
      </c>
      <c r="C13085" t="inlineStr">
        <is>
          <t xml:space="preserve">INF789F1AXG6</t>
        </is>
      </c>
    </row>
    <row r="13086">
      <c r="A13086" t="inlineStr">
        <is>
          <t xml:space="preserve">UTI Mutual Fund</t>
        </is>
      </c>
      <c r="B13086" t="inlineStr">
        <is>
          <t xml:space="preserve">UTI Fixed Term Income Fund - Series XXXV-III (1176 Days) - Direct Plan - Quarterly IDCW Option</t>
        </is>
      </c>
      <c r="C13086" t="inlineStr">
        <is>
          <t xml:space="preserve">INF789F1AXE1</t>
        </is>
      </c>
    </row>
    <row r="13087">
      <c r="A13087" t="inlineStr">
        <is>
          <t xml:space="preserve">UTI Mutual Fund</t>
        </is>
      </c>
      <c r="B13087" t="inlineStr">
        <is>
          <t xml:space="preserve">UTI Fixed Term Income Fund - Series XXXV-III (1176 Days) - Regular Plan - Annual IDCW Option</t>
        </is>
      </c>
      <c r="C13087" t="inlineStr">
        <is>
          <t xml:space="preserve">INF789F1AXJ0</t>
        </is>
      </c>
    </row>
    <row r="13088">
      <c r="A13088" t="inlineStr">
        <is>
          <t xml:space="preserve">UTI Mutual Fund</t>
        </is>
      </c>
      <c r="B13088" t="inlineStr">
        <is>
          <t xml:space="preserve">UTI Fixed Term Income Fund - Series XXXV-III (1176 Days) - Regular Plan - Flexi IDCW Option</t>
        </is>
      </c>
      <c r="C13088" t="inlineStr">
        <is>
          <t xml:space="preserve">INF789F1AXD3</t>
        </is>
      </c>
    </row>
    <row r="13089">
      <c r="A13089" t="inlineStr">
        <is>
          <t xml:space="preserve">UTI Mutual Fund</t>
        </is>
      </c>
      <c r="B13089" t="inlineStr">
        <is>
          <t xml:space="preserve">UTI Fixed Term Income Fund - Series XXXV-III (1176 Days) - Regular Plan - Growth Option</t>
        </is>
      </c>
      <c r="C13089" t="inlineStr">
        <is>
          <t xml:space="preserve">INF789F1AXC5</t>
        </is>
      </c>
    </row>
    <row r="13090">
      <c r="A13090" t="inlineStr">
        <is>
          <t xml:space="preserve">UTI Mutual Fund</t>
        </is>
      </c>
      <c r="B13090" t="inlineStr">
        <is>
          <t xml:space="preserve">UTI Fixed Term Income Fund - Series XXXV-III (1176 Days) - Regular Plan - Quarterly IDCW Option</t>
        </is>
      </c>
      <c r="C13090" t="inlineStr">
        <is>
          <t xml:space="preserve">INF789F1AXA9</t>
        </is>
      </c>
    </row>
    <row r="13091">
      <c r="A13091" t="inlineStr">
        <is>
          <t xml:space="preserve">UTI Mutual Fund</t>
        </is>
      </c>
      <c r="B13091" t="inlineStr">
        <is>
          <t xml:space="preserve">UTI Fixed Term Income Fund Series XXIX -I (1134 days) - Direct Plan - Growth Option</t>
        </is>
      </c>
      <c r="C13091" t="inlineStr">
        <is>
          <t xml:space="preserve">INF789FC15P2</t>
        </is>
      </c>
    </row>
    <row r="13092">
      <c r="A13092" t="inlineStr">
        <is>
          <t xml:space="preserve">UTI Mutual Fund</t>
        </is>
      </c>
      <c r="B13092" t="inlineStr">
        <is>
          <t xml:space="preserve">UTI Fixed Term Income Fund Series XXIX-I (1134 days) - Regular Plan - Growth Opton</t>
        </is>
      </c>
      <c r="C13092" t="inlineStr">
        <is>
          <t xml:space="preserve">INF789FC10P3</t>
        </is>
      </c>
    </row>
    <row r="13093">
      <c r="A13093" t="inlineStr">
        <is>
          <t xml:space="preserve">UTI Mutual Fund</t>
        </is>
      </c>
      <c r="B13093" t="inlineStr">
        <is>
          <t xml:space="preserve">UTI Fixed Term Income Fund Series XXIX-II ( 1118 Days) - Direct Plan - Growth Option</t>
        </is>
      </c>
      <c r="C13093" t="inlineStr">
        <is>
          <t xml:space="preserve">INF789FC19Q2</t>
        </is>
      </c>
    </row>
    <row r="13094">
      <c r="A13094" t="inlineStr">
        <is>
          <t xml:space="preserve">UTI Mutual Fund</t>
        </is>
      </c>
      <c r="B13094" t="inlineStr">
        <is>
          <t xml:space="preserve">UTI Fixed Term Income Fund Series XXIX-II (1118 days) - Regular Plan - Growth Option</t>
        </is>
      </c>
      <c r="C13094" t="inlineStr">
        <is>
          <t xml:space="preserve">INF789FC14Q3</t>
        </is>
      </c>
    </row>
    <row r="13095">
      <c r="A13095" t="inlineStr">
        <is>
          <t xml:space="preserve">UTI Mutual Fund</t>
        </is>
      </c>
      <c r="B13095" t="inlineStr">
        <is>
          <t xml:space="preserve">UTI Fixed Term Income Fund Series XXIX-III (1131 days) - Direct Plan - Growth Option</t>
        </is>
      </c>
      <c r="C13095" t="inlineStr">
        <is>
          <t xml:space="preserve">INF789FC19R0</t>
        </is>
      </c>
    </row>
    <row r="13096">
      <c r="A13096" t="inlineStr">
        <is>
          <t xml:space="preserve">UTI Mutual Fund</t>
        </is>
      </c>
      <c r="B13096" t="inlineStr">
        <is>
          <t xml:space="preserve">UTI Fixed Term Income Fund Series XXIX-III (1131 days) - Regular Plan - Growth Option</t>
        </is>
      </c>
      <c r="C13096" t="inlineStr">
        <is>
          <t xml:space="preserve">INF789FC14R1</t>
        </is>
      </c>
    </row>
    <row r="13097">
      <c r="A13097" t="inlineStr">
        <is>
          <t xml:space="preserve">UTI Mutual Fund</t>
        </is>
      </c>
      <c r="B13097" t="inlineStr">
        <is>
          <t xml:space="preserve">UTI Fixed Term Income Fund Series XXIX-IV (1422 days) - Direct Plan - Growth Option</t>
        </is>
      </c>
      <c r="C13097" t="inlineStr">
        <is>
          <t xml:space="preserve">INF789FC19S8</t>
        </is>
      </c>
    </row>
    <row r="13098">
      <c r="A13098" t="inlineStr">
        <is>
          <t xml:space="preserve">UTI Mutual Fund</t>
        </is>
      </c>
      <c r="B13098" t="inlineStr">
        <is>
          <t xml:space="preserve">UTI Fixed Term Income Fund Series XXIX-IV (1422 days) - Regular Plan - Growth Option</t>
        </is>
      </c>
      <c r="C13098" t="inlineStr">
        <is>
          <t xml:space="preserve">INF789FC14S9</t>
        </is>
      </c>
    </row>
    <row r="13099">
      <c r="A13099" t="inlineStr">
        <is>
          <t xml:space="preserve">UTI Mutual Fund</t>
        </is>
      </c>
      <c r="B13099" t="inlineStr">
        <is>
          <t xml:space="preserve">UTI Fixed Term Income Fund Series XXIX-IX (1109 days) - Direct Plan - Growth Option</t>
        </is>
      </c>
      <c r="C13099" t="inlineStr">
        <is>
          <t xml:space="preserve">INF789FC11Y3</t>
        </is>
      </c>
    </row>
    <row r="13100">
      <c r="A13100" t="inlineStr">
        <is>
          <t xml:space="preserve">UTI Mutual Fund</t>
        </is>
      </c>
      <c r="B13100" t="inlineStr">
        <is>
          <t xml:space="preserve">UTI Fixed Term Income Fund Series XXIX-IX (1109 days) - Regular Plan - Growth Option</t>
        </is>
      </c>
      <c r="C13100" t="inlineStr">
        <is>
          <t xml:space="preserve">INF789FC16X4</t>
        </is>
      </c>
    </row>
    <row r="13101">
      <c r="A13101" t="inlineStr">
        <is>
          <t xml:space="preserve">UTI Mutual Fund</t>
        </is>
      </c>
      <c r="B13101" t="inlineStr">
        <is>
          <t xml:space="preserve">UTI Fixed Term Income Fund Series XXIX-V (1113 days) - Direct Plan - Growth Option</t>
        </is>
      </c>
      <c r="C13101" t="inlineStr">
        <is>
          <t xml:space="preserve">INF789FC11U1</t>
        </is>
      </c>
    </row>
    <row r="13102">
      <c r="A13102" t="inlineStr">
        <is>
          <t xml:space="preserve">UTI Mutual Fund</t>
        </is>
      </c>
      <c r="B13102" t="inlineStr">
        <is>
          <t xml:space="preserve">UTI Fixed Term Income Fund Series XXIX-V (1113 days) - Regular Plan - Growth Option</t>
        </is>
      </c>
      <c r="C13102" t="inlineStr">
        <is>
          <t xml:space="preserve">INF789FC16T2</t>
        </is>
      </c>
    </row>
    <row r="13103">
      <c r="A13103" t="inlineStr">
        <is>
          <t xml:space="preserve">UTI Mutual Fund</t>
        </is>
      </c>
      <c r="B13103" t="inlineStr">
        <is>
          <t xml:space="preserve">UTI Fixed Term Income Fund Series XXIX-VI (1135 days) - Direct Plan - Growth Option</t>
        </is>
      </c>
      <c r="C13103" t="inlineStr">
        <is>
          <t xml:space="preserve">INF789FC11V9</t>
        </is>
      </c>
    </row>
    <row r="13104">
      <c r="A13104" t="inlineStr">
        <is>
          <t xml:space="preserve">UTI Mutual Fund</t>
        </is>
      </c>
      <c r="B13104" t="inlineStr">
        <is>
          <t xml:space="preserve">UTI Fixed Term Income Fund Series XXIX-VI (1135 days) - Regular Plan - Growth Option</t>
        </is>
      </c>
      <c r="C13104" t="inlineStr">
        <is>
          <t xml:space="preserve">INF789FC16U0</t>
        </is>
      </c>
    </row>
    <row r="13105">
      <c r="A13105" t="inlineStr">
        <is>
          <t xml:space="preserve">UTI Mutual Fund</t>
        </is>
      </c>
      <c r="B13105" t="inlineStr">
        <is>
          <t xml:space="preserve">UTI Fixed Term Income Fund Series XXIX-VII (1135 days) - Direct Plan - Growth Option</t>
        </is>
      </c>
      <c r="C13105" t="inlineStr">
        <is>
          <t xml:space="preserve">INF789FC11W7</t>
        </is>
      </c>
    </row>
    <row r="13106">
      <c r="A13106" t="inlineStr">
        <is>
          <t xml:space="preserve">UTI Mutual Fund</t>
        </is>
      </c>
      <c r="B13106" t="inlineStr">
        <is>
          <t xml:space="preserve">UTI Fixed Term Income Fund Series XXIX-VII (1135 days) - Regular Plan - Growth Option</t>
        </is>
      </c>
      <c r="C13106" t="inlineStr">
        <is>
          <t xml:space="preserve">INF789FC16V8</t>
        </is>
      </c>
    </row>
    <row r="13107">
      <c r="A13107" t="inlineStr">
        <is>
          <t xml:space="preserve">UTI Mutual Fund</t>
        </is>
      </c>
      <c r="B13107" t="inlineStr">
        <is>
          <t xml:space="preserve">UTI Fixed Term Income Fund Series XXIX-VIII (1127 days) - Direct Plan - Growth Option</t>
        </is>
      </c>
      <c r="C13107" t="inlineStr">
        <is>
          <t xml:space="preserve">INF789FC11X5</t>
        </is>
      </c>
    </row>
    <row r="13108">
      <c r="A13108" t="inlineStr">
        <is>
          <t xml:space="preserve">UTI Mutual Fund</t>
        </is>
      </c>
      <c r="B13108" t="inlineStr">
        <is>
          <t xml:space="preserve">UTI Fixed Term Income Fund Series XXIX-VIII (1127 days) - Regular Plan - Growth Option</t>
        </is>
      </c>
      <c r="C13108" t="inlineStr">
        <is>
          <t xml:space="preserve">INF789FC16W6</t>
        </is>
      </c>
    </row>
    <row r="13109">
      <c r="A13109" t="inlineStr">
        <is>
          <t xml:space="preserve">UTI Mutual Fund</t>
        </is>
      </c>
      <c r="B13109" t="inlineStr">
        <is>
          <t xml:space="preserve">UTI Fixed Term Income Fund Series XXIX-XI (1112 days) - Direct Plan - Growth Option</t>
        </is>
      </c>
      <c r="C13109" t="inlineStr">
        <is>
          <t xml:space="preserve">INF789F1A025</t>
        </is>
      </c>
    </row>
    <row r="13110">
      <c r="A13110" t="inlineStr">
        <is>
          <t xml:space="preserve">UTI Mutual Fund</t>
        </is>
      </c>
      <c r="B13110" t="inlineStr">
        <is>
          <t xml:space="preserve">UTI Fixed Term Income Fund Series XXIX-XI (1112 days) - Regular Plan - Growth Option</t>
        </is>
      </c>
      <c r="C13110" t="inlineStr">
        <is>
          <t xml:space="preserve">INF789FC16Z9</t>
        </is>
      </c>
    </row>
    <row r="13111">
      <c r="A13111" t="inlineStr">
        <is>
          <t xml:space="preserve">UTI Mutual Fund</t>
        </is>
      </c>
      <c r="B13111" t="inlineStr">
        <is>
          <t xml:space="preserve">UTI Fixed Term Income Fund Series XXIX-XIII (1122 days) - Direct Plan - Growth Option</t>
        </is>
      </c>
      <c r="C13111" t="inlineStr">
        <is>
          <t xml:space="preserve">INF789F1A124</t>
        </is>
      </c>
    </row>
    <row r="13112">
      <c r="A13112" t="inlineStr">
        <is>
          <t xml:space="preserve">UTI Mutual Fund</t>
        </is>
      </c>
      <c r="B13112" t="inlineStr">
        <is>
          <t xml:space="preserve">UTI Fixed Term Income Fund Series XXIX-XIII (1122 days) - Regular Plan - Growth Option</t>
        </is>
      </c>
      <c r="C13112" t="inlineStr">
        <is>
          <t xml:space="preserve">INF789F1A074</t>
        </is>
      </c>
    </row>
    <row r="13113">
      <c r="A13113" t="inlineStr">
        <is>
          <t xml:space="preserve">UTI Mutual Fund</t>
        </is>
      </c>
      <c r="B13113" t="inlineStr">
        <is>
          <t xml:space="preserve">UTI Fixed Term Income Fund Series XXIX-XIV (1131 days) - Direct Plan - Growth Option</t>
        </is>
      </c>
      <c r="C13113" t="inlineStr">
        <is>
          <t xml:space="preserve">INF789F1A322</t>
        </is>
      </c>
    </row>
    <row r="13114">
      <c r="A13114" t="inlineStr">
        <is>
          <t xml:space="preserve">UTI Mutual Fund</t>
        </is>
      </c>
      <c r="B13114" t="inlineStr">
        <is>
          <t xml:space="preserve">UTI Fixed Term Income Fund Series XXIX-XIV (1131 days) - Regular Plan - Growth Option</t>
        </is>
      </c>
      <c r="C13114" t="inlineStr">
        <is>
          <t xml:space="preserve">INF789F1A272</t>
        </is>
      </c>
    </row>
    <row r="13115">
      <c r="A13115" t="inlineStr">
        <is>
          <t xml:space="preserve">UTI Mutual Fund</t>
        </is>
      </c>
      <c r="B13115" t="inlineStr">
        <is>
          <t xml:space="preserve">UTI Fixed Term Income Fund Series XXIX-XV (1124 days) - Direct Plan - Growth Option</t>
        </is>
      </c>
      <c r="C13115" t="inlineStr">
        <is>
          <t xml:space="preserve">INF789F1A413</t>
        </is>
      </c>
    </row>
    <row r="13116">
      <c r="A13116" t="inlineStr">
        <is>
          <t xml:space="preserve">UTI Mutual Fund</t>
        </is>
      </c>
      <c r="B13116" t="inlineStr">
        <is>
          <t xml:space="preserve">UTI Fixed Term Income Fund Series XXIX-XV (1124 days) - Regular Plan - Growth Option</t>
        </is>
      </c>
      <c r="C13116" t="inlineStr">
        <is>
          <t xml:space="preserve">INF789F1A371</t>
        </is>
      </c>
    </row>
    <row r="13117">
      <c r="A13117" t="inlineStr">
        <is>
          <t xml:space="preserve">UTI Mutual Fund</t>
        </is>
      </c>
      <c r="B13117" t="inlineStr">
        <is>
          <t xml:space="preserve">UTI Fixed Term Income Fund Series XXX-I (1104 days) - Direct Plan - Growth Option</t>
        </is>
      </c>
      <c r="C13117" t="inlineStr">
        <is>
          <t xml:space="preserve">INF789F1A702</t>
        </is>
      </c>
    </row>
    <row r="13118">
      <c r="A13118" t="inlineStr">
        <is>
          <t xml:space="preserve">UTI Mutual Fund</t>
        </is>
      </c>
      <c r="B13118" t="inlineStr">
        <is>
          <t xml:space="preserve">UTI Fixed Term Income Fund Series XXX-I (1104 days) - Regular Plan - Growth Option</t>
        </is>
      </c>
      <c r="C13118" t="inlineStr">
        <is>
          <t xml:space="preserve">INF789F1A652</t>
        </is>
      </c>
    </row>
    <row r="13119">
      <c r="A13119" t="inlineStr">
        <is>
          <t xml:space="preserve">UTI Mutual Fund</t>
        </is>
      </c>
      <c r="B13119" t="inlineStr">
        <is>
          <t xml:space="preserve">UTI Fixed Term Income Fund Series XXX-II (1107 days) - Direct Plan - Growth Option</t>
        </is>
      </c>
      <c r="C13119" t="inlineStr">
        <is>
          <t xml:space="preserve">INF789F1A942</t>
        </is>
      </c>
    </row>
    <row r="13120">
      <c r="A13120" t="inlineStr">
        <is>
          <t xml:space="preserve">UTI Mutual Fund</t>
        </is>
      </c>
      <c r="B13120" t="inlineStr">
        <is>
          <t xml:space="preserve">UTI Fixed Term Income Fund Series XXX-II (1107 days) - Regular Plan - Growth Option</t>
        </is>
      </c>
      <c r="C13120" t="inlineStr">
        <is>
          <t xml:space="preserve">INF789F1A892</t>
        </is>
      </c>
    </row>
    <row r="13121">
      <c r="A13121" t="inlineStr">
        <is>
          <t xml:space="preserve">UTI Mutual Fund</t>
        </is>
      </c>
      <c r="B13121" t="inlineStr">
        <is>
          <t xml:space="preserve">UTI Fixed Term Income Fund Series XXX-III (1106 Days) - Direct Plan - Annual IDCW</t>
        </is>
      </c>
      <c r="C13121" t="inlineStr">
        <is>
          <t xml:space="preserve">INF789F1AAC3</t>
        </is>
      </c>
    </row>
    <row r="13122">
      <c r="A13122" t="inlineStr">
        <is>
          <t xml:space="preserve">UTI Mutual Fund</t>
        </is>
      </c>
      <c r="B13122" t="inlineStr">
        <is>
          <t xml:space="preserve">UTI Fixed Term Income Fund Series XXX-III (1106 Days) - Direct Plan - Flexi IDCW</t>
        </is>
      </c>
      <c r="C13122" t="inlineStr">
        <is>
          <t xml:space="preserve">INF789F1AAF6</t>
        </is>
      </c>
    </row>
    <row r="13123">
      <c r="A13123" t="inlineStr">
        <is>
          <t xml:space="preserve">UTI Mutual Fund</t>
        </is>
      </c>
      <c r="B13123" t="inlineStr">
        <is>
          <t xml:space="preserve">UTI Fixed Term Income Fund Series XXX-III (1106 days) - Direct Plan - Growth Option</t>
        </is>
      </c>
      <c r="C13123" t="inlineStr">
        <is>
          <t xml:space="preserve">INF789F1AAE9</t>
        </is>
      </c>
    </row>
    <row r="13124">
      <c r="A13124" t="inlineStr">
        <is>
          <t xml:space="preserve">UTI Mutual Fund</t>
        </is>
      </c>
      <c r="B13124" t="inlineStr">
        <is>
          <t xml:space="preserve">UTI Fixed Term Income Fund Series XXX-III (1106 Days) - Direct Plan - Maturity IDCW</t>
        </is>
      </c>
      <c r="C13124" t="inlineStr">
        <is>
          <t xml:space="preserve">INF789F1AAD1</t>
        </is>
      </c>
    </row>
    <row r="13125">
      <c r="A13125" t="inlineStr">
        <is>
          <t xml:space="preserve">UTI Mutual Fund</t>
        </is>
      </c>
      <c r="B13125" t="inlineStr">
        <is>
          <t xml:space="preserve">UTI Fixed Term Income Fund Series XXX-III (1106 Days) - Direct Plan - Quarterly IDCW</t>
        </is>
      </c>
      <c r="C13125" t="inlineStr">
        <is>
          <t xml:space="preserve">INF789F1AAB5</t>
        </is>
      </c>
    </row>
    <row r="13126">
      <c r="A13126" t="inlineStr">
        <is>
          <t xml:space="preserve">UTI Mutual Fund</t>
        </is>
      </c>
      <c r="B13126" t="inlineStr">
        <is>
          <t xml:space="preserve">UTI Fixed Term Income Fund Series XXX-III (1106 Days) - Regular Plan - Annual IDCW</t>
        </is>
      </c>
      <c r="C13126" t="inlineStr">
        <is>
          <t xml:space="preserve">INF789F1A975</t>
        </is>
      </c>
    </row>
    <row r="13127">
      <c r="A13127" t="inlineStr">
        <is>
          <t xml:space="preserve">UTI Mutual Fund</t>
        </is>
      </c>
      <c r="B13127" t="inlineStr">
        <is>
          <t xml:space="preserve">UTI Fixed Term Income Fund Series XXX-III (1106 Days) - Regular Plan - Flexi IDCW</t>
        </is>
      </c>
      <c r="C13127" t="inlineStr">
        <is>
          <t xml:space="preserve">INF789F1AAA7</t>
        </is>
      </c>
    </row>
    <row r="13128">
      <c r="A13128" t="inlineStr">
        <is>
          <t xml:space="preserve">UTI Mutual Fund</t>
        </is>
      </c>
      <c r="B13128" t="inlineStr">
        <is>
          <t xml:space="preserve">UTI Fixed Term Income Fund Series XXX-III (1106 days) - Regular Plan - Growth Option</t>
        </is>
      </c>
      <c r="C13128" t="inlineStr">
        <is>
          <t xml:space="preserve">INF789F1A991</t>
        </is>
      </c>
    </row>
    <row r="13129">
      <c r="A13129" t="inlineStr">
        <is>
          <t xml:space="preserve">UTI Mutual Fund</t>
        </is>
      </c>
      <c r="B13129" t="inlineStr">
        <is>
          <t xml:space="preserve">UTI Fixed Term Income Fund Series XXX-III (1106 Days) - Regular Plan - Maturity IDCW</t>
        </is>
      </c>
      <c r="C13129" t="inlineStr">
        <is>
          <t xml:space="preserve">INF789F1A983</t>
        </is>
      </c>
    </row>
    <row r="13130">
      <c r="A13130" t="inlineStr">
        <is>
          <t xml:space="preserve">UTI Mutual Fund</t>
        </is>
      </c>
      <c r="B13130" t="inlineStr">
        <is>
          <t xml:space="preserve">UTI Fixed Term Income Fund Series XXX-III (1106 Days) - Regular Plan - Quarterly IDCW</t>
        </is>
      </c>
      <c r="C13130" t="inlineStr">
        <is>
          <t xml:space="preserve">INF789F1A967</t>
        </is>
      </c>
    </row>
    <row r="13131">
      <c r="A13131" t="inlineStr">
        <is>
          <t xml:space="preserve">UTI Mutual Fund</t>
        </is>
      </c>
      <c r="B13131" t="inlineStr">
        <is>
          <t xml:space="preserve">UTI Fixed Term Income Fund Series XXX-IV (1125 Days) - Direct Plan - Annual IDCW</t>
        </is>
      </c>
      <c r="C13131" t="inlineStr">
        <is>
          <t xml:space="preserve">INF789F1AAN0</t>
        </is>
      </c>
    </row>
    <row r="13132">
      <c r="A13132" t="inlineStr">
        <is>
          <t xml:space="preserve">UTI Mutual Fund</t>
        </is>
      </c>
      <c r="B13132" t="inlineStr">
        <is>
          <t xml:space="preserve">UTI Fixed Term Income Fund Series XXX-IV (1125 Days) - Direct Plan - Flexi IDCW</t>
        </is>
      </c>
      <c r="C13132" t="inlineStr">
        <is>
          <t xml:space="preserve">INF789F1AAP5</t>
        </is>
      </c>
    </row>
    <row r="13133">
      <c r="A13133" t="inlineStr">
        <is>
          <t xml:space="preserve">UTI Mutual Fund</t>
        </is>
      </c>
      <c r="B13133" t="inlineStr">
        <is>
          <t xml:space="preserve">UTI Fixed Term Income Fund Series XXX-IV (1125 Days) - Direct Plan - Maturity IDCW</t>
        </is>
      </c>
      <c r="C13133" t="inlineStr">
        <is>
          <t xml:space="preserve">INF789F1AAO8</t>
        </is>
      </c>
    </row>
    <row r="13134">
      <c r="A13134" t="inlineStr">
        <is>
          <t xml:space="preserve">UTI Mutual Fund</t>
        </is>
      </c>
      <c r="B13134" t="inlineStr">
        <is>
          <t xml:space="preserve">UTI Fixed Term Income Fund Series XXX-IV (1125 Days) - Direct Plan - Quarterly IDCW</t>
        </is>
      </c>
      <c r="C13134" t="inlineStr">
        <is>
          <t xml:space="preserve">INF789F1AAM2</t>
        </is>
      </c>
    </row>
    <row r="13135">
      <c r="A13135" t="inlineStr">
        <is>
          <t xml:space="preserve">UTI Mutual Fund</t>
        </is>
      </c>
      <c r="B13135" t="inlineStr">
        <is>
          <t xml:space="preserve">UTI Fixed Term Income Fund Series XXX-IV (1125 Days) - Regular Plan - Annual IDCW</t>
        </is>
      </c>
      <c r="C13135" t="inlineStr">
        <is>
          <t xml:space="preserve">INF789F1AAI0</t>
        </is>
      </c>
    </row>
    <row r="13136">
      <c r="A13136" t="inlineStr">
        <is>
          <t xml:space="preserve">UTI Mutual Fund</t>
        </is>
      </c>
      <c r="B13136" t="inlineStr">
        <is>
          <t xml:space="preserve">UTI Fixed Term Income Fund Series XXX-IV (1125 Days) - Regular Plan - Flexi IDCW</t>
        </is>
      </c>
      <c r="C13136" t="inlineStr">
        <is>
          <t xml:space="preserve">INF789F1AAK6</t>
        </is>
      </c>
    </row>
    <row r="13137">
      <c r="A13137" t="inlineStr">
        <is>
          <t xml:space="preserve">UTI Mutual Fund</t>
        </is>
      </c>
      <c r="B13137" t="inlineStr">
        <is>
          <t xml:space="preserve">UTI Fixed Term Income Fund Series XXX-IV (1125 Days) - Regular Plan - Maturity IDCW</t>
        </is>
      </c>
      <c r="C13137" t="inlineStr">
        <is>
          <t xml:space="preserve">INF789F1AAJ8</t>
        </is>
      </c>
    </row>
    <row r="13138">
      <c r="A13138" t="inlineStr">
        <is>
          <t xml:space="preserve">UTI Mutual Fund</t>
        </is>
      </c>
      <c r="B13138" t="inlineStr">
        <is>
          <t xml:space="preserve">UTI Fixed Term Income Fund Series XXX-IV (1125 Days) - Regular Plan - Quarterly IDCW</t>
        </is>
      </c>
      <c r="C13138" t="inlineStr">
        <is>
          <t xml:space="preserve">INF789F1AAH2</t>
        </is>
      </c>
    </row>
    <row r="13139">
      <c r="A13139" t="inlineStr">
        <is>
          <t xml:space="preserve">UTI Mutual Fund</t>
        </is>
      </c>
      <c r="B13139" t="inlineStr">
        <is>
          <t xml:space="preserve">UTI Fixed Term Income Fund Series XXX-IX (1266 Days) - Direct Plan - Maturity IDCW</t>
        </is>
      </c>
      <c r="C13139" t="inlineStr">
        <is>
          <t xml:space="preserve">INF789F1ACC9</t>
        </is>
      </c>
    </row>
    <row r="13140">
      <c r="A13140" t="inlineStr">
        <is>
          <t xml:space="preserve">UTI Mutual Fund</t>
        </is>
      </c>
      <c r="B13140" t="inlineStr">
        <is>
          <t xml:space="preserve">UTI Fixed Term Income Fund Series XXX-IX (1266 Days) - Direct Plan - Quarterly IDCW</t>
        </is>
      </c>
      <c r="C13140" t="inlineStr">
        <is>
          <t xml:space="preserve">INF789F1ACA3</t>
        </is>
      </c>
    </row>
    <row r="13141">
      <c r="A13141" t="inlineStr">
        <is>
          <t xml:space="preserve">UTI Mutual Fund</t>
        </is>
      </c>
      <c r="B13141" t="inlineStr">
        <is>
          <t xml:space="preserve">UTI Fixed Term Income Fund Series XXX-IX (1266 Days) - Regular Plan - Annual IDCW</t>
        </is>
      </c>
      <c r="C13141" t="inlineStr">
        <is>
          <t xml:space="preserve">INF789F1ABW9</t>
        </is>
      </c>
    </row>
    <row r="13142">
      <c r="A13142" t="inlineStr">
        <is>
          <t xml:space="preserve">UTI Mutual Fund</t>
        </is>
      </c>
      <c r="B13142" t="inlineStr">
        <is>
          <t xml:space="preserve">UTI Fixed Term Income Fund Series XXX-IX (1266 Days) - Regular Plan - Flexi IDCW</t>
        </is>
      </c>
      <c r="C13142" t="inlineStr">
        <is>
          <t xml:space="preserve">INF789F1ABY5</t>
        </is>
      </c>
    </row>
    <row r="13143">
      <c r="A13143" t="inlineStr">
        <is>
          <t xml:space="preserve">UTI Mutual Fund</t>
        </is>
      </c>
      <c r="B13143" t="inlineStr">
        <is>
          <t xml:space="preserve">UTI Fixed Term Income Fund Series XXX-IX (1266 Days) - Regular Plan - Maturity IDCW</t>
        </is>
      </c>
      <c r="C13143" t="inlineStr">
        <is>
          <t xml:space="preserve">INF789F1ABX7</t>
        </is>
      </c>
    </row>
    <row r="13144">
      <c r="A13144" t="inlineStr">
        <is>
          <t xml:space="preserve">UTI Mutual Fund</t>
        </is>
      </c>
      <c r="B13144" t="inlineStr">
        <is>
          <t xml:space="preserve">UTI Fixed Term Income Fund Series XXX-IX (1266 Days) - Regular Plan - Quarterly IDCW</t>
        </is>
      </c>
      <c r="C13144" t="inlineStr">
        <is>
          <t xml:space="preserve">INF789F1ABV1</t>
        </is>
      </c>
    </row>
    <row r="13145">
      <c r="A13145" t="inlineStr">
        <is>
          <t xml:space="preserve">UTI Mutual Fund</t>
        </is>
      </c>
      <c r="B13145" t="inlineStr">
        <is>
          <t xml:space="preserve">UTI Fixed Term Income Fund Series XXX-V (1135 Days) - Direct Plan - Maturity IDCW</t>
        </is>
      </c>
      <c r="C13145" t="inlineStr">
        <is>
          <t xml:space="preserve">INF789F1AAY7</t>
        </is>
      </c>
    </row>
    <row r="13146">
      <c r="A13146" t="inlineStr">
        <is>
          <t xml:space="preserve">UTI Mutual Fund</t>
        </is>
      </c>
      <c r="B13146" t="inlineStr">
        <is>
          <t xml:space="preserve">UTI Fixed Term Income Fund Series XXX-V (1135 Days) - Regular Plan - Quarterly IDCW</t>
        </is>
      </c>
      <c r="C13146" t="inlineStr">
        <is>
          <t xml:space="preserve">INF789F1AAR1</t>
        </is>
      </c>
    </row>
    <row r="13147">
      <c r="A13147" t="inlineStr">
        <is>
          <t xml:space="preserve">UTI Mutual Fund</t>
        </is>
      </c>
      <c r="B13147" t="inlineStr">
        <is>
          <t xml:space="preserve">UTI Fixed Term Income Fund Series XXX-VI (1107 Days) - Direct Plan - Annual IDCW</t>
        </is>
      </c>
      <c r="C13147" t="inlineStr">
        <is>
          <t xml:space="preserve">INF789F1ABH0</t>
        </is>
      </c>
    </row>
    <row r="13148">
      <c r="A13148" t="inlineStr">
        <is>
          <t xml:space="preserve">UTI Mutual Fund</t>
        </is>
      </c>
      <c r="B13148" t="inlineStr">
        <is>
          <t xml:space="preserve">UTI Fixed Term Income Fund Series XXX-VI (1107 Days) - Direct Plan - Maturity IDCW</t>
        </is>
      </c>
      <c r="C13148" t="inlineStr">
        <is>
          <t xml:space="preserve">INF789F1ABI8</t>
        </is>
      </c>
    </row>
    <row r="13149">
      <c r="A13149" t="inlineStr">
        <is>
          <t xml:space="preserve">UTI Mutual Fund</t>
        </is>
      </c>
      <c r="B13149" t="inlineStr">
        <is>
          <t xml:space="preserve">UTI Fixed Term Income Fund Series XXX-VI (1107 Days) - Direct Plan - Quarterly IDCW</t>
        </is>
      </c>
      <c r="C13149" t="inlineStr">
        <is>
          <t xml:space="preserve">INF789F1ABG2</t>
        </is>
      </c>
    </row>
    <row r="13150">
      <c r="A13150" t="inlineStr">
        <is>
          <t xml:space="preserve">UTI Mutual Fund</t>
        </is>
      </c>
      <c r="B13150" t="inlineStr">
        <is>
          <t xml:space="preserve">UTI Fixed Term Income Fund Series XXX-VI (1107 Days) - Regular Plan - Annual IDCW</t>
        </is>
      </c>
      <c r="C13150" t="inlineStr">
        <is>
          <t xml:space="preserve">INF789F1ABC1</t>
        </is>
      </c>
    </row>
    <row r="13151">
      <c r="A13151" t="inlineStr">
        <is>
          <t xml:space="preserve">UTI Mutual Fund</t>
        </is>
      </c>
      <c r="B13151" t="inlineStr">
        <is>
          <t xml:space="preserve">UTI Fixed Term Income Fund Series XXX-VI (1107 Days) - Regular Plan - Maturity IDCW</t>
        </is>
      </c>
      <c r="C13151" t="inlineStr">
        <is>
          <t xml:space="preserve">INF789F1ABD9</t>
        </is>
      </c>
    </row>
    <row r="13152">
      <c r="A13152" t="inlineStr">
        <is>
          <t xml:space="preserve">UTI Mutual Fund</t>
        </is>
      </c>
      <c r="B13152" t="inlineStr">
        <is>
          <t xml:space="preserve">UTI Fixed Term Income Fund Series XXX-VI (1107 Days) - Regular Plan - Quarterly IDCW</t>
        </is>
      </c>
      <c r="C13152" t="inlineStr">
        <is>
          <t xml:space="preserve">INF789F1ABB3</t>
        </is>
      </c>
    </row>
    <row r="13153">
      <c r="A13153" t="inlineStr">
        <is>
          <t xml:space="preserve">UTI Mutual Fund</t>
        </is>
      </c>
      <c r="B13153" t="inlineStr">
        <is>
          <t xml:space="preserve">UTI Fixed Term Income Fund Series XXX-X (1267 Days) - Direct Plan - Quarterly IDCW</t>
        </is>
      </c>
      <c r="C13153" t="inlineStr">
        <is>
          <t xml:space="preserve">INF789F1ADM6</t>
        </is>
      </c>
    </row>
    <row r="13154">
      <c r="A13154" t="inlineStr">
        <is>
          <t xml:space="preserve">UTI Mutual Fund</t>
        </is>
      </c>
      <c r="B13154" t="inlineStr">
        <is>
          <t xml:space="preserve">UTI Fixed Term Income Fund Series XXX-X (1267 Days) - Regular Plan - Annual IDCW</t>
        </is>
      </c>
      <c r="C13154" t="inlineStr">
        <is>
          <t xml:space="preserve">INF789F1ADI4</t>
        </is>
      </c>
    </row>
    <row r="13155">
      <c r="A13155" t="inlineStr">
        <is>
          <t xml:space="preserve">UTI Mutual Fund</t>
        </is>
      </c>
      <c r="B13155" t="inlineStr">
        <is>
          <t xml:space="preserve">UTI Fixed Term Income Fund Series XXX-X (1267 Days) - Regular Plan - Quarterly IDCW</t>
        </is>
      </c>
      <c r="C13155" t="inlineStr">
        <is>
          <t xml:space="preserve">INF789F1ADH6</t>
        </is>
      </c>
    </row>
    <row r="13156">
      <c r="A13156" t="inlineStr">
        <is>
          <t xml:space="preserve">UTI Mutual Fund</t>
        </is>
      </c>
      <c r="B13156" t="inlineStr">
        <is>
          <t xml:space="preserve">UTI Fixed Term Income Fund Series XXX-XI (1246 Days) - Direct Plan - Annual IDCW</t>
        </is>
      </c>
      <c r="C13156" t="inlineStr">
        <is>
          <t xml:space="preserve">INF789F1ADX3</t>
        </is>
      </c>
    </row>
    <row r="13157">
      <c r="A13157" t="inlineStr">
        <is>
          <t xml:space="preserve">UTI Mutual Fund</t>
        </is>
      </c>
      <c r="B13157" t="inlineStr">
        <is>
          <t xml:space="preserve">UTI Fixed Term Income Fund Series XXX-XI (1246 Days) - Direct Plan - Flexi IDCW</t>
        </is>
      </c>
      <c r="C13157" t="inlineStr">
        <is>
          <t xml:space="preserve">INF789F1ADZ8</t>
        </is>
      </c>
    </row>
    <row r="13158">
      <c r="A13158" t="inlineStr">
        <is>
          <t xml:space="preserve">UTI Mutual Fund</t>
        </is>
      </c>
      <c r="B13158" t="inlineStr">
        <is>
          <t xml:space="preserve">UTI Fixed Term Income Fund Series XXX-XI (1246 Days) - Direct Plan - Maturity IDCW</t>
        </is>
      </c>
      <c r="C13158" t="inlineStr">
        <is>
          <t xml:space="preserve">INF789F1ADY1</t>
        </is>
      </c>
    </row>
    <row r="13159">
      <c r="A13159" t="inlineStr">
        <is>
          <t xml:space="preserve">UTI Mutual Fund</t>
        </is>
      </c>
      <c r="B13159" t="inlineStr">
        <is>
          <t xml:space="preserve">UTI Fixed Term Income Fund Series XXX-XI (1246 Days) - Direct Plan - Quarterly IDCW</t>
        </is>
      </c>
      <c r="C13159" t="inlineStr">
        <is>
          <t xml:space="preserve">INF789F1ADW5</t>
        </is>
      </c>
    </row>
    <row r="13160">
      <c r="A13160" t="inlineStr">
        <is>
          <t xml:space="preserve">UTI Mutual Fund</t>
        </is>
      </c>
      <c r="B13160" t="inlineStr">
        <is>
          <t xml:space="preserve">UTI Fixed Term Income Fund Series XXX-XI (1246 Days) - Regular Plan - Annual IDCW</t>
        </is>
      </c>
      <c r="C13160" t="inlineStr">
        <is>
          <t xml:space="preserve">INF789F1ADS3</t>
        </is>
      </c>
    </row>
    <row r="13161">
      <c r="A13161" t="inlineStr">
        <is>
          <t xml:space="preserve">UTI Mutual Fund</t>
        </is>
      </c>
      <c r="B13161" t="inlineStr">
        <is>
          <t xml:space="preserve">UTI Fixed Term Income Fund Series XXX-XI (1246 Days) - Regular Plan - Flexi IDCW</t>
        </is>
      </c>
      <c r="C13161" t="inlineStr">
        <is>
          <t xml:space="preserve">INF789F1ADU9</t>
        </is>
      </c>
    </row>
    <row r="13162">
      <c r="A13162" t="inlineStr">
        <is>
          <t xml:space="preserve">UTI Mutual Fund</t>
        </is>
      </c>
      <c r="B13162" t="inlineStr">
        <is>
          <t xml:space="preserve">UTI Fixed Term Income Fund Series XXX-XI (1246 Days) - Regular Plan - Quarterly IDCW</t>
        </is>
      </c>
      <c r="C13162" t="inlineStr">
        <is>
          <t xml:space="preserve">INF789F1ADR5</t>
        </is>
      </c>
    </row>
    <row r="13163">
      <c r="A13163" t="inlineStr">
        <is>
          <t xml:space="preserve">UTI Mutual Fund</t>
        </is>
      </c>
      <c r="B13163" t="inlineStr">
        <is>
          <t xml:space="preserve">UTI Fixed Term Income Fund Series XXX-XII (1254 Days) - Regular Plan - Annual IDCW</t>
        </is>
      </c>
      <c r="C13163" t="inlineStr">
        <is>
          <t xml:space="preserve">INF789F1AEC5</t>
        </is>
      </c>
    </row>
    <row r="13164">
      <c r="A13164" t="inlineStr">
        <is>
          <t xml:space="preserve">UTI Mutual Fund</t>
        </is>
      </c>
      <c r="B13164" t="inlineStr">
        <is>
          <t xml:space="preserve">UTI Fixed Term Income Fund Series XXX-XII (1254 Days) - Regular Plan - Flexi IDCW</t>
        </is>
      </c>
      <c r="C13164" t="inlineStr">
        <is>
          <t xml:space="preserve">INF789F1AEE1</t>
        </is>
      </c>
    </row>
    <row r="13165">
      <c r="A13165" t="inlineStr">
        <is>
          <t xml:space="preserve">UTI Mutual Fund</t>
        </is>
      </c>
      <c r="B13165" t="inlineStr">
        <is>
          <t xml:space="preserve">UTI Fixed Term Income Fund Series XXX-XII (1254 Days) - Regular Plan - Maturity IDCW</t>
        </is>
      </c>
      <c r="C13165" t="inlineStr">
        <is>
          <t xml:space="preserve">INF789F1AED3</t>
        </is>
      </c>
    </row>
    <row r="13166">
      <c r="A13166" t="inlineStr">
        <is>
          <t xml:space="preserve">UTI Mutual Fund</t>
        </is>
      </c>
      <c r="B13166" t="inlineStr">
        <is>
          <t xml:space="preserve">UTI Fixed Term Income Fund Series XXX-XII (1254 Days) - Regular Plan - Quarterly IDCW</t>
        </is>
      </c>
      <c r="C13166" t="inlineStr">
        <is>
          <t xml:space="preserve">INF789F1AEB7</t>
        </is>
      </c>
    </row>
    <row r="13167">
      <c r="A13167" t="inlineStr">
        <is>
          <t xml:space="preserve">UTI Mutual Fund</t>
        </is>
      </c>
      <c r="B13167" t="inlineStr">
        <is>
          <t xml:space="preserve">UTI Fixed Term Income Fund Series XXX-XIII (1224 Days) - Direct Plan - Annual IDCW</t>
        </is>
      </c>
      <c r="C13167" t="inlineStr">
        <is>
          <t xml:space="preserve">INF789F1AER3</t>
        </is>
      </c>
    </row>
    <row r="13168">
      <c r="A13168" t="inlineStr">
        <is>
          <t xml:space="preserve">UTI Mutual Fund</t>
        </is>
      </c>
      <c r="B13168" t="inlineStr">
        <is>
          <t xml:space="preserve">UTI Fixed Term Income Fund Series XXX-XIII (1224 Days) - Direct Plan - Maturity IDCW</t>
        </is>
      </c>
      <c r="C13168" t="inlineStr">
        <is>
          <t xml:space="preserve">INF789F1AES1</t>
        </is>
      </c>
    </row>
    <row r="13169">
      <c r="A13169" t="inlineStr">
        <is>
          <t xml:space="preserve">UTI Mutual Fund</t>
        </is>
      </c>
      <c r="B13169" t="inlineStr">
        <is>
          <t xml:space="preserve">UTI Fixed Term Income Fund Series XXX-XIII (1224 Days) - Regular Plan - Annual IDCW</t>
        </is>
      </c>
      <c r="C13169" t="inlineStr">
        <is>
          <t xml:space="preserve">INF789F1AEM4</t>
        </is>
      </c>
    </row>
    <row r="13170">
      <c r="A13170" t="inlineStr">
        <is>
          <t xml:space="preserve">UTI Mutual Fund</t>
        </is>
      </c>
      <c r="B13170" t="inlineStr">
        <is>
          <t xml:space="preserve">UTI Fixed Term Income Fund Series XXX-XIII (1224 Days) - Regular Plan - Flexi IDCW</t>
        </is>
      </c>
      <c r="C13170" t="inlineStr">
        <is>
          <t xml:space="preserve">INF789F1AEO0</t>
        </is>
      </c>
    </row>
    <row r="13171">
      <c r="A13171" t="inlineStr">
        <is>
          <t xml:space="preserve">UTI Mutual Fund</t>
        </is>
      </c>
      <c r="B13171" t="inlineStr">
        <is>
          <t xml:space="preserve">UTI Fixed Term Income Fund Series XXX-XIII (1224 Days) - Regular Plan - Maturity IDCW</t>
        </is>
      </c>
      <c r="C13171" t="inlineStr">
        <is>
          <t xml:space="preserve">INF789F1AEN2</t>
        </is>
      </c>
    </row>
    <row r="13172">
      <c r="A13172" t="inlineStr">
        <is>
          <t xml:space="preserve">UTI Mutual Fund</t>
        </is>
      </c>
      <c r="B13172" t="inlineStr">
        <is>
          <t xml:space="preserve">UTI Fixed Term Income Fund Series XXX-XIII (1224 Days) - Regular Plan - Quarterly IDCW</t>
        </is>
      </c>
      <c r="C13172" t="inlineStr">
        <is>
          <t xml:space="preserve">INF789F1AEL6</t>
        </is>
      </c>
    </row>
    <row r="13173">
      <c r="A13173" t="inlineStr">
        <is>
          <t xml:space="preserve">UTI Mutual Fund</t>
        </is>
      </c>
      <c r="B13173" t="inlineStr">
        <is>
          <t xml:space="preserve">UTI Fixed Term Income Fund Series XXX-XIV (1209 Days) - Direct Plan - Annual IDCW</t>
        </is>
      </c>
      <c r="C13173" t="inlineStr">
        <is>
          <t xml:space="preserve">INF789F1AFB4</t>
        </is>
      </c>
    </row>
    <row r="13174">
      <c r="A13174" t="inlineStr">
        <is>
          <t xml:space="preserve">UTI Mutual Fund</t>
        </is>
      </c>
      <c r="B13174" t="inlineStr">
        <is>
          <t xml:space="preserve">UTI Fixed Term Income Fund Series XXX-XIV (1209 Days) - Direct Plan - Maturity IDCW</t>
        </is>
      </c>
      <c r="C13174" t="inlineStr">
        <is>
          <t xml:space="preserve">INF789F1AFC2</t>
        </is>
      </c>
    </row>
    <row r="13175">
      <c r="A13175" t="inlineStr">
        <is>
          <t xml:space="preserve">UTI Mutual Fund</t>
        </is>
      </c>
      <c r="B13175" t="inlineStr">
        <is>
          <t xml:space="preserve">UTI Fixed Term Income Fund Series XXX-XIV (1209 Days) - Direct Plan - Quarterly IDCW</t>
        </is>
      </c>
      <c r="C13175" t="inlineStr">
        <is>
          <t xml:space="preserve">INF789F1AFA6</t>
        </is>
      </c>
    </row>
    <row r="13176">
      <c r="A13176" t="inlineStr">
        <is>
          <t xml:space="preserve">UTI Mutual Fund</t>
        </is>
      </c>
      <c r="B13176" t="inlineStr">
        <is>
          <t xml:space="preserve">UTI Fixed Term Income Fund Series XXX-XIV (1209 Days) - Regular Plan - Annual IDCW</t>
        </is>
      </c>
      <c r="C13176" t="inlineStr">
        <is>
          <t xml:space="preserve">INF789F1AEW3</t>
        </is>
      </c>
    </row>
    <row r="13177">
      <c r="A13177" t="inlineStr">
        <is>
          <t xml:space="preserve">UTI Mutual Fund</t>
        </is>
      </c>
      <c r="B13177" t="inlineStr">
        <is>
          <t xml:space="preserve">UTI Fixed Term Income Fund Series XXX-XIV (1209 Days) - Regular Plan - Flexi IDCW</t>
        </is>
      </c>
      <c r="C13177" t="inlineStr">
        <is>
          <t xml:space="preserve">INF789F1AEY9</t>
        </is>
      </c>
    </row>
    <row r="13178">
      <c r="A13178" t="inlineStr">
        <is>
          <t xml:space="preserve">UTI Mutual Fund</t>
        </is>
      </c>
      <c r="B13178" t="inlineStr">
        <is>
          <t xml:space="preserve">UTI Fixed Term Income Fund Series XXX-XIV (1209 Days) - Regular Plan - Maturity IDCW</t>
        </is>
      </c>
      <c r="C13178" t="inlineStr">
        <is>
          <t xml:space="preserve">INF789F1AEX1</t>
        </is>
      </c>
    </row>
    <row r="13179">
      <c r="A13179" t="inlineStr">
        <is>
          <t xml:space="preserve">UTI Mutual Fund</t>
        </is>
      </c>
      <c r="B13179" t="inlineStr">
        <is>
          <t xml:space="preserve">UTI Fixed Term Income Fund Series XXX-XIV (1209 Days) - Regular Plan - Quarterly IDCW</t>
        </is>
      </c>
      <c r="C13179" t="inlineStr">
        <is>
          <t xml:space="preserve">INF789F1AEV5</t>
        </is>
      </c>
    </row>
    <row r="13180">
      <c r="A13180" t="inlineStr">
        <is>
          <t xml:space="preserve">UTI Mutual Fund</t>
        </is>
      </c>
      <c r="B13180" t="inlineStr">
        <is>
          <t xml:space="preserve">UTI Fixed Term Income Fund Series XXX-XV (1223 Days) - Regular Plan - Quarterly IDCW</t>
        </is>
      </c>
      <c r="C13180" t="inlineStr">
        <is>
          <t xml:space="preserve">INF789F1AFF5</t>
        </is>
      </c>
    </row>
    <row r="13181">
      <c r="A13181" t="inlineStr">
        <is>
          <t xml:space="preserve">UTI Mutual Fund</t>
        </is>
      </c>
      <c r="B13181" t="inlineStr">
        <is>
          <t xml:space="preserve">UTI Fixed Term Income Fund Series XXXI-I (1209 Days) - Direct Plan - Quarterly IDCW</t>
        </is>
      </c>
      <c r="C13181" t="inlineStr">
        <is>
          <t xml:space="preserve">INF789F1AFU4</t>
        </is>
      </c>
    </row>
    <row r="13182">
      <c r="A13182" t="inlineStr">
        <is>
          <t xml:space="preserve">UTI Mutual Fund</t>
        </is>
      </c>
      <c r="B13182" t="inlineStr">
        <is>
          <t xml:space="preserve">UTI Fixed Term Income Fund Series XXXI-I (1209 Days) - Regular Plan - Maturity IDCW</t>
        </is>
      </c>
      <c r="C13182" t="inlineStr">
        <is>
          <t xml:space="preserve">INF789F1AFR0</t>
        </is>
      </c>
    </row>
    <row r="13183">
      <c r="A13183" t="inlineStr">
        <is>
          <t xml:space="preserve">UTI Mutual Fund</t>
        </is>
      </c>
      <c r="B13183" t="inlineStr">
        <is>
          <t xml:space="preserve">UTI Fixed Term Income Fund Series XXXI-I (1209 Days) - Regular Plan - Quarterly IDCW</t>
        </is>
      </c>
      <c r="C13183" t="inlineStr">
        <is>
          <t xml:space="preserve">INF789F1AFP4</t>
        </is>
      </c>
    </row>
    <row r="13184">
      <c r="A13184" t="inlineStr">
        <is>
          <t xml:space="preserve">UTI Mutual Fund</t>
        </is>
      </c>
      <c r="B13184" t="inlineStr">
        <is>
          <t xml:space="preserve">UTI Fixed Term Income Fund Series XXXI-II (1222 Days) - Direct Plan - Annual IDCW</t>
        </is>
      </c>
      <c r="C13184" t="inlineStr">
        <is>
          <t xml:space="preserve">INF789F1AGG1</t>
        </is>
      </c>
    </row>
    <row r="13185">
      <c r="A13185" t="inlineStr">
        <is>
          <t xml:space="preserve">UTI Mutual Fund</t>
        </is>
      </c>
      <c r="B13185" t="inlineStr">
        <is>
          <t xml:space="preserve">UTI Fixed Term Income Fund Series XXXI-II (1222 Days) - Direct Plan - Flexi IDCW</t>
        </is>
      </c>
      <c r="C13185" t="inlineStr">
        <is>
          <t xml:space="preserve">INF789F1AGI7</t>
        </is>
      </c>
    </row>
    <row r="13186">
      <c r="A13186" t="inlineStr">
        <is>
          <t xml:space="preserve">UTI Mutual Fund</t>
        </is>
      </c>
      <c r="B13186" t="inlineStr">
        <is>
          <t xml:space="preserve">UTI Fixed Term Income Fund Series XXXI-II (1222 Days) - Direct Plan - Maturity IDCW</t>
        </is>
      </c>
      <c r="C13186" t="inlineStr">
        <is>
          <t xml:space="preserve">INF789F1AGH9</t>
        </is>
      </c>
    </row>
    <row r="13187">
      <c r="A13187" t="inlineStr">
        <is>
          <t xml:space="preserve">UTI Mutual Fund</t>
        </is>
      </c>
      <c r="B13187" t="inlineStr">
        <is>
          <t xml:space="preserve">UTI Fixed Term Income Fund Series XXXI-II (1222 Days) - Direct Plan - Quarterly IDCW</t>
        </is>
      </c>
      <c r="C13187" t="inlineStr">
        <is>
          <t xml:space="preserve">INF789F1AGF3</t>
        </is>
      </c>
    </row>
    <row r="13188">
      <c r="A13188" t="inlineStr">
        <is>
          <t xml:space="preserve">UTI Mutual Fund</t>
        </is>
      </c>
      <c r="B13188" t="inlineStr">
        <is>
          <t xml:space="preserve">UTI Fixed Term Income Fund Series XXXI-II (1222 Days) - Regular Plan - Annual IDCW</t>
        </is>
      </c>
      <c r="C13188" t="inlineStr">
        <is>
          <t xml:space="preserve">INF789F1AGB2</t>
        </is>
      </c>
    </row>
    <row r="13189">
      <c r="A13189" t="inlineStr">
        <is>
          <t xml:space="preserve">UTI Mutual Fund</t>
        </is>
      </c>
      <c r="B13189" t="inlineStr">
        <is>
          <t xml:space="preserve">UTI Fixed Term Income Fund Series XXXI-II (1222 Days) - Regular Plan - Flexi IDCW</t>
        </is>
      </c>
      <c r="C13189" t="inlineStr">
        <is>
          <t xml:space="preserve">INF789F1AGD8</t>
        </is>
      </c>
    </row>
    <row r="13190">
      <c r="A13190" t="inlineStr">
        <is>
          <t xml:space="preserve">UTI Mutual Fund</t>
        </is>
      </c>
      <c r="B13190" t="inlineStr">
        <is>
          <t xml:space="preserve">UTI Fixed Term Income Fund Series XXXI-II (1222 Days) - Regular Plan - Maturity IDCW</t>
        </is>
      </c>
      <c r="C13190" t="inlineStr">
        <is>
          <t xml:space="preserve">INF789F1AGC0</t>
        </is>
      </c>
    </row>
    <row r="13191">
      <c r="A13191" t="inlineStr">
        <is>
          <t xml:space="preserve">UTI Mutual Fund</t>
        </is>
      </c>
      <c r="B13191" t="inlineStr">
        <is>
          <t xml:space="preserve">UTI Fixed Term Income Fund Series XXXI-II (1222 Days) - Regular Plan - Quarterly IDCW</t>
        </is>
      </c>
      <c r="C13191" t="inlineStr">
        <is>
          <t xml:space="preserve">INF789F1AFZ3</t>
        </is>
      </c>
    </row>
    <row r="13192">
      <c r="A13192" t="inlineStr">
        <is>
          <t xml:space="preserve">UTI Mutual Fund</t>
        </is>
      </c>
      <c r="B13192" t="inlineStr">
        <is>
          <t xml:space="preserve">UTI Fixed Term Income Fund Series XXXI-III (1174 Days) - Direct Plan - Annual IDCW</t>
        </is>
      </c>
      <c r="C13192" t="inlineStr">
        <is>
          <t xml:space="preserve">INF789F1AGU2</t>
        </is>
      </c>
    </row>
    <row r="13193">
      <c r="A13193" t="inlineStr">
        <is>
          <t xml:space="preserve">UTI Mutual Fund</t>
        </is>
      </c>
      <c r="B13193" t="inlineStr">
        <is>
          <t xml:space="preserve">UTI Fixed Term Income Fund Series XXXI-III (1174 Days) - Direct Plan - Maturity IDCW</t>
        </is>
      </c>
      <c r="C13193" t="inlineStr">
        <is>
          <t xml:space="preserve">INF789F1AGV0</t>
        </is>
      </c>
    </row>
    <row r="13194">
      <c r="A13194" t="inlineStr">
        <is>
          <t xml:space="preserve">UTI Mutual Fund</t>
        </is>
      </c>
      <c r="B13194" t="inlineStr">
        <is>
          <t xml:space="preserve">UTI Fixed Term Income Fund Series XXXI-III (1174 Days) - Direct Plan - Quarterly IDCW</t>
        </is>
      </c>
      <c r="C13194" t="inlineStr">
        <is>
          <t xml:space="preserve">INF789F1AGT4</t>
        </is>
      </c>
    </row>
    <row r="13195">
      <c r="A13195" t="inlineStr">
        <is>
          <t xml:space="preserve">UTI Mutual Fund</t>
        </is>
      </c>
      <c r="B13195" t="inlineStr">
        <is>
          <t xml:space="preserve">UTI Fixed Term Income Fund Series XXXI-III (1174 Days) - Regular Plan - Annual IDCW</t>
        </is>
      </c>
      <c r="C13195" t="inlineStr">
        <is>
          <t xml:space="preserve">INF789F1AGP2</t>
        </is>
      </c>
    </row>
    <row r="13196">
      <c r="A13196" t="inlineStr">
        <is>
          <t xml:space="preserve">UTI Mutual Fund</t>
        </is>
      </c>
      <c r="B13196" t="inlineStr">
        <is>
          <t xml:space="preserve">UTI Fixed Term Income Fund Series XXXI-III (1174 Days) - Regular Plan - Flexi IDCW</t>
        </is>
      </c>
      <c r="C13196" t="inlineStr">
        <is>
          <t xml:space="preserve">INF789F1AGR8</t>
        </is>
      </c>
    </row>
    <row r="13197">
      <c r="A13197" t="inlineStr">
        <is>
          <t xml:space="preserve">UTI Mutual Fund</t>
        </is>
      </c>
      <c r="B13197" t="inlineStr">
        <is>
          <t xml:space="preserve">UTI Fixed Term Income Fund Series XXXI-III (1174 Days) - Regular Plan - Maturity IDCW</t>
        </is>
      </c>
      <c r="C13197" t="inlineStr">
        <is>
          <t xml:space="preserve">INF789F1AGQ0</t>
        </is>
      </c>
    </row>
    <row r="13198">
      <c r="A13198" t="inlineStr">
        <is>
          <t xml:space="preserve">UTI Mutual Fund</t>
        </is>
      </c>
      <c r="B13198" t="inlineStr">
        <is>
          <t xml:space="preserve">UTI Fixed Term Income Fund Series XXXI-III (1174 Days) - Regular Plan - Quarterly IDCW</t>
        </is>
      </c>
      <c r="C13198" t="inlineStr">
        <is>
          <t xml:space="preserve">INF789F1AGO5</t>
        </is>
      </c>
    </row>
    <row r="13199">
      <c r="A13199" t="inlineStr">
        <is>
          <t xml:space="preserve">UTI Mutual Fund</t>
        </is>
      </c>
      <c r="B13199" t="inlineStr">
        <is>
          <t xml:space="preserve">UTI Fixed Term Income Fund Series XXXI-IV (1204 Days) - Direct Plan - Annual IDCW</t>
        </is>
      </c>
      <c r="C13199" t="inlineStr">
        <is>
          <t xml:space="preserve">INF789F1AHD6</t>
        </is>
      </c>
    </row>
    <row r="13200">
      <c r="A13200" t="inlineStr">
        <is>
          <t xml:space="preserve">UTI Mutual Fund</t>
        </is>
      </c>
      <c r="B13200" t="inlineStr">
        <is>
          <t xml:space="preserve">UTI Fixed Term Income Fund Series XXXI-IV (1204 Days) - Direct Plan - Flexi IDCW</t>
        </is>
      </c>
      <c r="C13200" t="inlineStr">
        <is>
          <t xml:space="preserve">INF789F1AHF1</t>
        </is>
      </c>
    </row>
    <row r="13201">
      <c r="A13201" t="inlineStr">
        <is>
          <t xml:space="preserve">UTI Mutual Fund</t>
        </is>
      </c>
      <c r="B13201" t="inlineStr">
        <is>
          <t xml:space="preserve">UTI Fixed Term Income Fund Series XXXI-IV (1204 Days) - Direct Plan - Maturity IDCW</t>
        </is>
      </c>
      <c r="C13201" t="inlineStr">
        <is>
          <t xml:space="preserve">INF789F1AHE4</t>
        </is>
      </c>
    </row>
    <row r="13202">
      <c r="A13202" t="inlineStr">
        <is>
          <t xml:space="preserve">UTI Mutual Fund</t>
        </is>
      </c>
      <c r="B13202" t="inlineStr">
        <is>
          <t xml:space="preserve">UTI Fixed Term Income Fund Series XXXI-IV (1204 Days) - Direct Plan - Quarterly IDCW</t>
        </is>
      </c>
      <c r="C13202" t="inlineStr">
        <is>
          <t xml:space="preserve">INF789F1AHC8</t>
        </is>
      </c>
    </row>
    <row r="13203">
      <c r="A13203" t="inlineStr">
        <is>
          <t xml:space="preserve">UTI Mutual Fund</t>
        </is>
      </c>
      <c r="B13203" t="inlineStr">
        <is>
          <t xml:space="preserve">UTI Fixed Term Income Fund Series XXXI-IV (1204 Days) - Regular Plan - Annual IDCW</t>
        </is>
      </c>
      <c r="C13203" t="inlineStr">
        <is>
          <t xml:space="preserve">INF789F1AGY4</t>
        </is>
      </c>
    </row>
    <row r="13204">
      <c r="A13204" t="inlineStr">
        <is>
          <t xml:space="preserve">UTI Mutual Fund</t>
        </is>
      </c>
      <c r="B13204" t="inlineStr">
        <is>
          <t xml:space="preserve">UTI Fixed Term Income Fund Series XXXI-IV (1204 Days) - Regular Plan - Maturity IDCW</t>
        </is>
      </c>
      <c r="C13204" t="inlineStr">
        <is>
          <t xml:space="preserve">INF789F1AGZ1</t>
        </is>
      </c>
    </row>
    <row r="13205">
      <c r="A13205" t="inlineStr">
        <is>
          <t xml:space="preserve">UTI Mutual Fund</t>
        </is>
      </c>
      <c r="B13205" t="inlineStr">
        <is>
          <t xml:space="preserve">UTI Fixed Term Income Fund Series XXXI-IV (1204 Days) - Regular Plan - Quarterly IDCW</t>
        </is>
      </c>
      <c r="C13205" t="inlineStr">
        <is>
          <t xml:space="preserve">INF789F1AHG9</t>
        </is>
      </c>
    </row>
    <row r="13206">
      <c r="A13206" t="inlineStr">
        <is>
          <t xml:space="preserve">UTI Mutual Fund</t>
        </is>
      </c>
      <c r="B13206" t="inlineStr">
        <is>
          <t xml:space="preserve">UTI Fixed Term Income Fund Series XXXI-IX (1168 Days) - Direct Plan - Annual IDCW</t>
        </is>
      </c>
      <c r="C13206" t="inlineStr">
        <is>
          <t xml:space="preserve">INF789F1AJD2</t>
        </is>
      </c>
    </row>
    <row r="13207">
      <c r="A13207" t="inlineStr">
        <is>
          <t xml:space="preserve">UTI Mutual Fund</t>
        </is>
      </c>
      <c r="B13207" t="inlineStr">
        <is>
          <t xml:space="preserve">UTI Fixed Term Income Fund Series XXXI-IX (1168 Days) - Direct Plan - Flexi IDCW</t>
        </is>
      </c>
      <c r="C13207" t="inlineStr">
        <is>
          <t xml:space="preserve">INF789F1AJF7</t>
        </is>
      </c>
    </row>
    <row r="13208">
      <c r="A13208" t="inlineStr">
        <is>
          <t xml:space="preserve">UTI Mutual Fund</t>
        </is>
      </c>
      <c r="B13208" t="inlineStr">
        <is>
          <t xml:space="preserve">UTI Fixed Term Income Fund Series XXXI-IX (1168 Days) - Direct Plan - Maturity IDCW</t>
        </is>
      </c>
      <c r="C13208" t="inlineStr">
        <is>
          <t xml:space="preserve">INF789F1AJE0</t>
        </is>
      </c>
    </row>
    <row r="13209">
      <c r="A13209" t="inlineStr">
        <is>
          <t xml:space="preserve">UTI Mutual Fund</t>
        </is>
      </c>
      <c r="B13209" t="inlineStr">
        <is>
          <t xml:space="preserve">UTI Fixed Term Income Fund Series XXXI-IX (1168 Days) - Direct Plan - Quarterly IDCW</t>
        </is>
      </c>
      <c r="C13209" t="inlineStr">
        <is>
          <t xml:space="preserve">INF789F1AJC4</t>
        </is>
      </c>
    </row>
    <row r="13210">
      <c r="A13210" t="inlineStr">
        <is>
          <t xml:space="preserve">UTI Mutual Fund</t>
        </is>
      </c>
      <c r="B13210" t="inlineStr">
        <is>
          <t xml:space="preserve">UTI Fixed Term Income Fund Series XXXI-IX (1168 Days) - Regular Plan - Annual IDCW</t>
        </is>
      </c>
      <c r="C13210" t="inlineStr">
        <is>
          <t xml:space="preserve">INF789F1AIY0</t>
        </is>
      </c>
    </row>
    <row r="13211">
      <c r="A13211" t="inlineStr">
        <is>
          <t xml:space="preserve">UTI Mutual Fund</t>
        </is>
      </c>
      <c r="B13211" t="inlineStr">
        <is>
          <t xml:space="preserve">UTI Fixed Term Income Fund Series XXXI-IX (1168 Days) - Regular Plan - Maturity IDCW</t>
        </is>
      </c>
      <c r="C13211" t="inlineStr">
        <is>
          <t xml:space="preserve">INF789F1AIZ7</t>
        </is>
      </c>
    </row>
    <row r="13212">
      <c r="A13212" t="inlineStr">
        <is>
          <t xml:space="preserve">UTI Mutual Fund</t>
        </is>
      </c>
      <c r="B13212" t="inlineStr">
        <is>
          <t xml:space="preserve">UTI Fixed Term Income Fund Series XXXI-IX (1168 Days) - Regular Plan - Quarterly IDCW</t>
        </is>
      </c>
      <c r="C13212" t="inlineStr">
        <is>
          <t xml:space="preserve">INF789F1AIX2</t>
        </is>
      </c>
    </row>
    <row r="13213">
      <c r="A13213" t="inlineStr">
        <is>
          <t xml:space="preserve">UTI Mutual Fund</t>
        </is>
      </c>
      <c r="B13213" t="inlineStr">
        <is>
          <t xml:space="preserve">UTI Fixed Term Income Fund Series XXXI-V (1174 Days) - Direct Plan - Annual IDCW</t>
        </is>
      </c>
      <c r="C13213" t="inlineStr">
        <is>
          <t xml:space="preserve">INF789F1AHO3</t>
        </is>
      </c>
    </row>
    <row r="13214">
      <c r="A13214" t="inlineStr">
        <is>
          <t xml:space="preserve">UTI Mutual Fund</t>
        </is>
      </c>
      <c r="B13214" t="inlineStr">
        <is>
          <t xml:space="preserve">UTI Fixed Term Income Fund Series XXXI-V (1174 Days) - Direct Plan - Flexi IDCW</t>
        </is>
      </c>
      <c r="C13214" t="inlineStr">
        <is>
          <t xml:space="preserve">INF789F1AHQ8</t>
        </is>
      </c>
    </row>
    <row r="13215">
      <c r="A13215" t="inlineStr">
        <is>
          <t xml:space="preserve">UTI Mutual Fund</t>
        </is>
      </c>
      <c r="B13215" t="inlineStr">
        <is>
          <t xml:space="preserve">UTI Fixed Term Income Fund Series XXXI-V (1174 Days) - Direct Plan - Maturity IDCW</t>
        </is>
      </c>
      <c r="C13215" t="inlineStr">
        <is>
          <t xml:space="preserve">INF789F1AHP0</t>
        </is>
      </c>
    </row>
    <row r="13216">
      <c r="A13216" t="inlineStr">
        <is>
          <t xml:space="preserve">UTI Mutual Fund</t>
        </is>
      </c>
      <c r="B13216" t="inlineStr">
        <is>
          <t xml:space="preserve">UTI Fixed Term Income Fund Series XXXI-V (1174 Days) - Direct Plan - Quarterly IDCW</t>
        </is>
      </c>
      <c r="C13216" t="inlineStr">
        <is>
          <t xml:space="preserve">INF789F1AHN5</t>
        </is>
      </c>
    </row>
    <row r="13217">
      <c r="A13217" t="inlineStr">
        <is>
          <t xml:space="preserve">UTI Mutual Fund</t>
        </is>
      </c>
      <c r="B13217" t="inlineStr">
        <is>
          <t xml:space="preserve">UTI Fixed Term Income Fund Series XXXI-V (1174 Days) - Regular Plan - Annual IDCW</t>
        </is>
      </c>
      <c r="C13217" t="inlineStr">
        <is>
          <t xml:space="preserve">INF789F1AHJ3</t>
        </is>
      </c>
    </row>
    <row r="13218">
      <c r="A13218" t="inlineStr">
        <is>
          <t xml:space="preserve">UTI Mutual Fund</t>
        </is>
      </c>
      <c r="B13218" t="inlineStr">
        <is>
          <t xml:space="preserve">UTI Fixed Term Income Fund Series XXXI-V (1174 Days) - Regular Plan - Maturity IDCW</t>
        </is>
      </c>
      <c r="C13218" t="inlineStr">
        <is>
          <t xml:space="preserve">INF789F1AHK1</t>
        </is>
      </c>
    </row>
    <row r="13219">
      <c r="A13219" t="inlineStr">
        <is>
          <t xml:space="preserve">UTI Mutual Fund</t>
        </is>
      </c>
      <c r="B13219" t="inlineStr">
        <is>
          <t xml:space="preserve">UTI Fixed Term Income Fund Series XXXI-V (1174 Days) - Regular Plan - Quarterly IDCW</t>
        </is>
      </c>
      <c r="C13219" t="inlineStr">
        <is>
          <t xml:space="preserve">INF789F1AHI5</t>
        </is>
      </c>
    </row>
    <row r="13220">
      <c r="A13220" t="inlineStr">
        <is>
          <t xml:space="preserve">UTI Mutual Fund</t>
        </is>
      </c>
      <c r="B13220" t="inlineStr">
        <is>
          <t xml:space="preserve">UTI Fixed Term Income Fund Series XXXI-VI (1167 Days) - Direct Plan - Annual IDCW</t>
        </is>
      </c>
      <c r="C13220" t="inlineStr">
        <is>
          <t xml:space="preserve">INF789F1AHZ9</t>
        </is>
      </c>
    </row>
    <row r="13221">
      <c r="A13221" t="inlineStr">
        <is>
          <t xml:space="preserve">UTI Mutual Fund</t>
        </is>
      </c>
      <c r="B13221" t="inlineStr">
        <is>
          <t xml:space="preserve">UTI Fixed Term Income Fund Series XXXI-VI (1167 Days) - Direct Plan - Flexi IDCW</t>
        </is>
      </c>
      <c r="C13221" t="inlineStr">
        <is>
          <t xml:space="preserve">INF789F1AIB8</t>
        </is>
      </c>
    </row>
    <row r="13222">
      <c r="A13222" t="inlineStr">
        <is>
          <t xml:space="preserve">UTI Mutual Fund</t>
        </is>
      </c>
      <c r="B13222" t="inlineStr">
        <is>
          <t xml:space="preserve">UTI Fixed Term Income Fund Series XXXI-VI (1167 Days) - Direct Plan - Maturity IDCW</t>
        </is>
      </c>
      <c r="C13222" t="inlineStr">
        <is>
          <t xml:space="preserve">INF789F1AIA0</t>
        </is>
      </c>
    </row>
    <row r="13223">
      <c r="A13223" t="inlineStr">
        <is>
          <t xml:space="preserve">UTI Mutual Fund</t>
        </is>
      </c>
      <c r="B13223" t="inlineStr">
        <is>
          <t xml:space="preserve">UTI Fixed Term Income Fund Series XXXI-VI (1167 Days) - Direct Plan - Quarterly IDCW</t>
        </is>
      </c>
      <c r="C13223" t="inlineStr">
        <is>
          <t xml:space="preserve">INF789F1AHY2</t>
        </is>
      </c>
    </row>
    <row r="13224">
      <c r="A13224" t="inlineStr">
        <is>
          <t xml:space="preserve">UTI Mutual Fund</t>
        </is>
      </c>
      <c r="B13224" t="inlineStr">
        <is>
          <t xml:space="preserve">UTI Fixed Term Income Fund Series XXXI-VI (1167 Days) - Regular Plan - Quarterly IDCW</t>
        </is>
      </c>
      <c r="C13224" t="inlineStr">
        <is>
          <t xml:space="preserve">INF789F1AHT2</t>
        </is>
      </c>
    </row>
    <row r="13225">
      <c r="A13225" t="inlineStr">
        <is>
          <t xml:space="preserve">UTI Mutual Fund</t>
        </is>
      </c>
      <c r="B13225" t="inlineStr">
        <is>
          <t xml:space="preserve">UTI Fixed Term Income Fund Series XXXI-VII (1155 Days) - Direct Plan - Annual IDCW</t>
        </is>
      </c>
      <c r="C13225" t="inlineStr">
        <is>
          <t xml:space="preserve">INF789F1AIJ1</t>
        </is>
      </c>
    </row>
    <row r="13226">
      <c r="A13226" t="inlineStr">
        <is>
          <t xml:space="preserve">UTI Mutual Fund</t>
        </is>
      </c>
      <c r="B13226" t="inlineStr">
        <is>
          <t xml:space="preserve">UTI Fixed Term Income Fund Series XXXI-VII (1155 Days) - Direct Plan - Maturity IDCW</t>
        </is>
      </c>
      <c r="C13226" t="inlineStr">
        <is>
          <t xml:space="preserve">INF789F1AIK9</t>
        </is>
      </c>
    </row>
    <row r="13227">
      <c r="A13227" t="inlineStr">
        <is>
          <t xml:space="preserve">UTI Mutual Fund</t>
        </is>
      </c>
      <c r="B13227" t="inlineStr">
        <is>
          <t xml:space="preserve">UTI Fixed Term Income Fund Series XXXI-VII (1155 Days) - Direct Plan - Quarterly IDCW</t>
        </is>
      </c>
      <c r="C13227" t="inlineStr">
        <is>
          <t xml:space="preserve">INF789F1AII3</t>
        </is>
      </c>
    </row>
    <row r="13228">
      <c r="A13228" t="inlineStr">
        <is>
          <t xml:space="preserve">UTI Mutual Fund</t>
        </is>
      </c>
      <c r="B13228" t="inlineStr">
        <is>
          <t xml:space="preserve">UTI Fixed Term Income Fund Series XXXI-VII (1155 Days) - Regular Plan - Annual IDCW</t>
        </is>
      </c>
      <c r="C13228" t="inlineStr">
        <is>
          <t xml:space="preserve">INF789F1AIE2</t>
        </is>
      </c>
    </row>
    <row r="13229">
      <c r="A13229" t="inlineStr">
        <is>
          <t xml:space="preserve">UTI Mutual Fund</t>
        </is>
      </c>
      <c r="B13229" t="inlineStr">
        <is>
          <t xml:space="preserve">UTI Fixed Term Income Fund Series XXXI-VII (1155 Days) - Regular Plan - Flexi IDCW</t>
        </is>
      </c>
      <c r="C13229" t="inlineStr">
        <is>
          <t xml:space="preserve">INF789F1AIG7</t>
        </is>
      </c>
    </row>
    <row r="13230">
      <c r="A13230" t="inlineStr">
        <is>
          <t xml:space="preserve">UTI Mutual Fund</t>
        </is>
      </c>
      <c r="B13230" t="inlineStr">
        <is>
          <t xml:space="preserve">UTI Fixed Term Income Fund Series XXXI-VII (1155 Days) - Regular Plan - Maturity IDCW</t>
        </is>
      </c>
      <c r="C13230" t="inlineStr">
        <is>
          <t xml:space="preserve">INF789F1AIF9</t>
        </is>
      </c>
    </row>
    <row r="13231">
      <c r="A13231" t="inlineStr">
        <is>
          <t xml:space="preserve">UTI Mutual Fund</t>
        </is>
      </c>
      <c r="B13231" t="inlineStr">
        <is>
          <t xml:space="preserve">UTI Fixed Term Income Fund Series XXXI-VII (1155 Days) - Regular Plan - Quarterly IDCW</t>
        </is>
      </c>
      <c r="C13231" t="inlineStr">
        <is>
          <t xml:space="preserve">INF789F1AID4</t>
        </is>
      </c>
    </row>
    <row r="13232">
      <c r="A13232" t="inlineStr">
        <is>
          <t xml:space="preserve">UTI Mutual Fund</t>
        </is>
      </c>
      <c r="B13232" t="inlineStr">
        <is>
          <t xml:space="preserve">UTI Fixed Term Income Fund Series XXXI-VIII (1153 Days) - Direct Plan - Annual IDCW</t>
        </is>
      </c>
      <c r="C13232" t="inlineStr">
        <is>
          <t xml:space="preserve">INF789F1AIS2</t>
        </is>
      </c>
    </row>
    <row r="13233">
      <c r="A13233" t="inlineStr">
        <is>
          <t xml:space="preserve">UTI Mutual Fund</t>
        </is>
      </c>
      <c r="B13233" t="inlineStr">
        <is>
          <t xml:space="preserve">UTI Fixed Term Income Fund Series XXXI-VIII (1153 Days) - Direct Plan - Flexi IDCW</t>
        </is>
      </c>
      <c r="C13233" t="inlineStr">
        <is>
          <t xml:space="preserve">INF789F1AIV6</t>
        </is>
      </c>
    </row>
    <row r="13234">
      <c r="A13234" t="inlineStr">
        <is>
          <t xml:space="preserve">UTI Mutual Fund</t>
        </is>
      </c>
      <c r="B13234" t="inlineStr">
        <is>
          <t xml:space="preserve">UTI Fixed Term Income Fund Series XXXI-VIII (1153 Days) - Direct Plan - Maturity IDCW</t>
        </is>
      </c>
      <c r="C13234" t="inlineStr">
        <is>
          <t xml:space="preserve">INF789F1AIT0</t>
        </is>
      </c>
    </row>
    <row r="13235">
      <c r="A13235" t="inlineStr">
        <is>
          <t xml:space="preserve">UTI Mutual Fund</t>
        </is>
      </c>
      <c r="B13235" t="inlineStr">
        <is>
          <t xml:space="preserve">UTI Fixed Term Income Fund Series XXXI-VIII (1153 Days) - Direct Plan - Quarterly IDCW</t>
        </is>
      </c>
      <c r="C13235" t="inlineStr">
        <is>
          <t xml:space="preserve">INF789F1AIR4</t>
        </is>
      </c>
    </row>
    <row r="13236">
      <c r="A13236" t="inlineStr">
        <is>
          <t xml:space="preserve">UTI Mutual Fund</t>
        </is>
      </c>
      <c r="B13236" t="inlineStr">
        <is>
          <t xml:space="preserve">UTI Fixed Term Income Fund Series XXXI-VIII (1153 Days) - Regular Plan - Flexi IDCW</t>
        </is>
      </c>
      <c r="C13236" t="inlineStr">
        <is>
          <t xml:space="preserve">INF789F1AIQ6</t>
        </is>
      </c>
    </row>
    <row r="13237">
      <c r="A13237" t="inlineStr">
        <is>
          <t xml:space="preserve">UTI Mutual Fund</t>
        </is>
      </c>
      <c r="B13237" t="inlineStr">
        <is>
          <t xml:space="preserve">UTI Fixed Term Income Fund Series XXXI-VIII (1153 Days) - Regular Plan - Quarterly IDCW</t>
        </is>
      </c>
      <c r="C13237" t="inlineStr">
        <is>
          <t xml:space="preserve">INF789F1AIM5</t>
        </is>
      </c>
    </row>
    <row r="13238">
      <c r="A13238" t="inlineStr">
        <is>
          <t xml:space="preserve">UTI Mutual Fund</t>
        </is>
      </c>
      <c r="B13238" t="inlineStr">
        <is>
          <t xml:space="preserve">UTI Fixed Term Income Fund Series XXXI-X (1168 Days) - Direct Plan - Annual IDCW</t>
        </is>
      </c>
      <c r="C13238" t="inlineStr">
        <is>
          <t xml:space="preserve">INF789F1AJN1</t>
        </is>
      </c>
    </row>
    <row r="13239">
      <c r="A13239" t="inlineStr">
        <is>
          <t xml:space="preserve">UTI Mutual Fund</t>
        </is>
      </c>
      <c r="B13239" t="inlineStr">
        <is>
          <t xml:space="preserve">UTI Fixed Term Income Fund Series XXXI-X (1168 Days) - Direct Plan - Maturity IDCW</t>
        </is>
      </c>
      <c r="C13239" t="inlineStr">
        <is>
          <t xml:space="preserve">INF789F1AJO9</t>
        </is>
      </c>
    </row>
    <row r="13240">
      <c r="A13240" t="inlineStr">
        <is>
          <t xml:space="preserve">UTI Mutual Fund</t>
        </is>
      </c>
      <c r="B13240" t="inlineStr">
        <is>
          <t xml:space="preserve">UTI Fixed Term Income Fund Series XXXI-X (1168 Days) - Direct Plan - Quarterly IDCW</t>
        </is>
      </c>
      <c r="C13240" t="inlineStr">
        <is>
          <t xml:space="preserve">INF789F1AJM3</t>
        </is>
      </c>
    </row>
    <row r="13241">
      <c r="A13241" t="inlineStr">
        <is>
          <t xml:space="preserve">UTI Mutual Fund</t>
        </is>
      </c>
      <c r="B13241" t="inlineStr">
        <is>
          <t xml:space="preserve">UTI Fixed Term Income Fund Series XXXI-X (1168 Days) - Regular Plan - Quarterly IDCW</t>
        </is>
      </c>
      <c r="C13241" t="inlineStr">
        <is>
          <t xml:space="preserve">INF789F1AJH3</t>
        </is>
      </c>
    </row>
    <row r="13242">
      <c r="A13242" t="inlineStr">
        <is>
          <t xml:space="preserve">UTI Mutual Fund</t>
        </is>
      </c>
      <c r="B13242" t="inlineStr">
        <is>
          <t xml:space="preserve">UTI Fixed Term Income Fund Series XXXI-XI (1169 Days) - Direct Plan - Annual IDCW</t>
        </is>
      </c>
      <c r="C13242" t="inlineStr">
        <is>
          <t xml:space="preserve">INF789F1AJX0</t>
        </is>
      </c>
    </row>
    <row r="13243">
      <c r="A13243" t="inlineStr">
        <is>
          <t xml:space="preserve">UTI Mutual Fund</t>
        </is>
      </c>
      <c r="B13243" t="inlineStr">
        <is>
          <t xml:space="preserve">UTI Fixed Term Income Fund Series XXXI-XI (1169 Days) - Direct Plan - Maturity IDCW</t>
        </is>
      </c>
      <c r="C13243" t="inlineStr">
        <is>
          <t xml:space="preserve">INF789F1AJY8</t>
        </is>
      </c>
    </row>
    <row r="13244">
      <c r="A13244" t="inlineStr">
        <is>
          <t xml:space="preserve">UTI Mutual Fund</t>
        </is>
      </c>
      <c r="B13244" t="inlineStr">
        <is>
          <t xml:space="preserve">UTI Fixed Term Income Fund Series XXXI-XI (1169 Days) - Direct Plan - Quarterly IDCW</t>
        </is>
      </c>
      <c r="C13244" t="inlineStr">
        <is>
          <t xml:space="preserve">INF789F1AJW2</t>
        </is>
      </c>
    </row>
    <row r="13245">
      <c r="A13245" t="inlineStr">
        <is>
          <t xml:space="preserve">UTI Mutual Fund</t>
        </is>
      </c>
      <c r="B13245" t="inlineStr">
        <is>
          <t xml:space="preserve">UTI Fixed Term Income Fund Series XXXI-XI (1169 Days) - Regular Plan - Annual IDCW</t>
        </is>
      </c>
      <c r="C13245" t="inlineStr">
        <is>
          <t xml:space="preserve">INF789F1AJS0</t>
        </is>
      </c>
    </row>
    <row r="13246">
      <c r="A13246" t="inlineStr">
        <is>
          <t xml:space="preserve">UTI Mutual Fund</t>
        </is>
      </c>
      <c r="B13246" t="inlineStr">
        <is>
          <t xml:space="preserve">UTI Fixed Term Income Fund Series XXXI-XI (1169 Days) - Regular Plan - Maturity IDCW</t>
        </is>
      </c>
      <c r="C13246" t="inlineStr">
        <is>
          <t xml:space="preserve">INF789F1AJT8</t>
        </is>
      </c>
    </row>
    <row r="13247">
      <c r="A13247" t="inlineStr">
        <is>
          <t xml:space="preserve">UTI Mutual Fund</t>
        </is>
      </c>
      <c r="B13247" t="inlineStr">
        <is>
          <t xml:space="preserve">UTI Fixed Term Income Fund Series XXXI-XI (1169 Days) - Regular Plan - Quarterly IDCW</t>
        </is>
      </c>
      <c r="C13247" t="inlineStr">
        <is>
          <t xml:space="preserve">INF789F1AJR2</t>
        </is>
      </c>
    </row>
    <row r="13248">
      <c r="A13248" t="inlineStr">
        <is>
          <t xml:space="preserve">UTI Mutual Fund</t>
        </is>
      </c>
      <c r="B13248" t="inlineStr">
        <is>
          <t xml:space="preserve">UTI Fixed Term Income Fund Series XXXI-XII (1148 Days) - Direct Plan - Annual IDCW</t>
        </is>
      </c>
      <c r="C13248" t="inlineStr">
        <is>
          <t xml:space="preserve">INF789F1AKH1</t>
        </is>
      </c>
    </row>
    <row r="13249">
      <c r="A13249" t="inlineStr">
        <is>
          <t xml:space="preserve">UTI Mutual Fund</t>
        </is>
      </c>
      <c r="B13249" t="inlineStr">
        <is>
          <t xml:space="preserve">UTI Fixed Term Income Fund Series XXXI-XII (1148 Days) - Direct Plan - Quarterly IDCW</t>
        </is>
      </c>
      <c r="C13249" t="inlineStr">
        <is>
          <t xml:space="preserve">INF789F1AKG3</t>
        </is>
      </c>
    </row>
    <row r="13250">
      <c r="A13250" t="inlineStr">
        <is>
          <t xml:space="preserve">UTI Mutual Fund</t>
        </is>
      </c>
      <c r="B13250" t="inlineStr">
        <is>
          <t xml:space="preserve">UTI Fixed Term Income Fund Series XXXI-XII (1148 Days) - Regular Plan - Annual IDCW</t>
        </is>
      </c>
      <c r="C13250" t="inlineStr">
        <is>
          <t xml:space="preserve">INF789F1AKC2</t>
        </is>
      </c>
    </row>
    <row r="13251">
      <c r="A13251" t="inlineStr">
        <is>
          <t xml:space="preserve">UTI Mutual Fund</t>
        </is>
      </c>
      <c r="B13251" t="inlineStr">
        <is>
          <t xml:space="preserve">UTI Fixed Term Income Fund Series XXXI-XII (1148 Days) - Regular Plan - Maturity IDCW</t>
        </is>
      </c>
      <c r="C13251" t="inlineStr">
        <is>
          <t xml:space="preserve">INF789F1AKD0</t>
        </is>
      </c>
    </row>
    <row r="13252">
      <c r="A13252" t="inlineStr">
        <is>
          <t xml:space="preserve">UTI Mutual Fund</t>
        </is>
      </c>
      <c r="B13252" t="inlineStr">
        <is>
          <t xml:space="preserve">UTI Fixed Term Income Fund Series XXXI-XII (1148 Days) - Regular Plan - Quarterly IDCW</t>
        </is>
      </c>
      <c r="C13252" t="inlineStr">
        <is>
          <t xml:space="preserve">INF789F1AKB4</t>
        </is>
      </c>
    </row>
    <row r="13253">
      <c r="A13253" t="inlineStr">
        <is>
          <t xml:space="preserve">UTI Mutual Fund</t>
        </is>
      </c>
      <c r="B13253" t="inlineStr">
        <is>
          <t xml:space="preserve">UTI Fixed Term Income Fund Series XXXI-XIII (1127 Days) - Direct Plan - Annual IDCW</t>
        </is>
      </c>
      <c r="C13253" t="inlineStr">
        <is>
          <t xml:space="preserve">INF789F1AKR0</t>
        </is>
      </c>
    </row>
    <row r="13254">
      <c r="A13254" t="inlineStr">
        <is>
          <t xml:space="preserve">UTI Mutual Fund</t>
        </is>
      </c>
      <c r="B13254" t="inlineStr">
        <is>
          <t xml:space="preserve">UTI Fixed Term Income Fund Series XXXI-XIII (1127 Days) - Direct Plan - Quarterly IDCW</t>
        </is>
      </c>
      <c r="C13254" t="inlineStr">
        <is>
          <t xml:space="preserve">INF789F1AKQ2</t>
        </is>
      </c>
    </row>
    <row r="13255">
      <c r="A13255" t="inlineStr">
        <is>
          <t xml:space="preserve">UTI Mutual Fund</t>
        </is>
      </c>
      <c r="B13255" t="inlineStr">
        <is>
          <t xml:space="preserve">UTI Fixed Term Income Fund Series XXXI-XIII (1127 Days) - Regular Plan - Maturity IDCW</t>
        </is>
      </c>
      <c r="C13255" t="inlineStr">
        <is>
          <t xml:space="preserve">INF789F1AKN9</t>
        </is>
      </c>
    </row>
    <row r="13256">
      <c r="A13256" t="inlineStr">
        <is>
          <t xml:space="preserve">UTI Mutual Fund</t>
        </is>
      </c>
      <c r="B13256" t="inlineStr">
        <is>
          <t xml:space="preserve">UTI Fixed Term Income Fund Series XXXI-XIII (1127 Days) - Regular Plan - Quarterly IDCW</t>
        </is>
      </c>
      <c r="C13256" t="inlineStr">
        <is>
          <t xml:space="preserve">INF789F1AKL3</t>
        </is>
      </c>
    </row>
    <row r="13257">
      <c r="A13257" t="inlineStr">
        <is>
          <t xml:space="preserve">UTI Mutual Fund</t>
        </is>
      </c>
      <c r="B13257" t="inlineStr">
        <is>
          <t xml:space="preserve">UTI Fixed Term Income Fund Series XXXI-XIV (1111 Days) - Direct Plan - Maturity IDCW</t>
        </is>
      </c>
      <c r="C13257" t="inlineStr">
        <is>
          <t xml:space="preserve">INF789F1ALC0</t>
        </is>
      </c>
    </row>
    <row r="13258">
      <c r="A13258" t="inlineStr">
        <is>
          <t xml:space="preserve">UTI Mutual Fund</t>
        </is>
      </c>
      <c r="B13258" t="inlineStr">
        <is>
          <t xml:space="preserve">UTI Fixed Term Income Fund Series XXXI-XIV (1111 Days) - Direct Plan - Quarterly IDCW</t>
        </is>
      </c>
      <c r="C13258" t="inlineStr">
        <is>
          <t xml:space="preserve">INF789F1ALA4</t>
        </is>
      </c>
    </row>
    <row r="13259">
      <c r="A13259" t="inlineStr">
        <is>
          <t xml:space="preserve">UTI Mutual Fund</t>
        </is>
      </c>
      <c r="B13259" t="inlineStr">
        <is>
          <t xml:space="preserve">UTI Fixed Term Income Fund Series XXXI-XIV (1111 Days) - Regular Plan - Annual IDCW</t>
        </is>
      </c>
      <c r="C13259" t="inlineStr">
        <is>
          <t xml:space="preserve">INF789F1AKW0</t>
        </is>
      </c>
    </row>
    <row r="13260">
      <c r="A13260" t="inlineStr">
        <is>
          <t xml:space="preserve">UTI Mutual Fund</t>
        </is>
      </c>
      <c r="B13260" t="inlineStr">
        <is>
          <t xml:space="preserve">UTI Fixed Term Income Fund Series XXXI-XIV (1111 Days) - Regular Plan - Flexi IDCW</t>
        </is>
      </c>
      <c r="C13260" t="inlineStr">
        <is>
          <t xml:space="preserve">INF789F1AKY6</t>
        </is>
      </c>
    </row>
    <row r="13261">
      <c r="A13261" t="inlineStr">
        <is>
          <t xml:space="preserve">UTI Mutual Fund</t>
        </is>
      </c>
      <c r="B13261" t="inlineStr">
        <is>
          <t xml:space="preserve">UTI Fixed Term Income Fund Series XXXI-XIV (1111 Days) - Regular Plan - Maturity IDCW</t>
        </is>
      </c>
      <c r="C13261" t="inlineStr">
        <is>
          <t xml:space="preserve">INF789F1AKX8</t>
        </is>
      </c>
    </row>
    <row r="13262">
      <c r="A13262" t="inlineStr">
        <is>
          <t xml:space="preserve">UTI Mutual Fund</t>
        </is>
      </c>
      <c r="B13262" t="inlineStr">
        <is>
          <t xml:space="preserve">UTI Fixed Term Income Fund Series XXXI-XIV (1111 Days) - Regular Plan - Quarterly IDCW</t>
        </is>
      </c>
      <c r="C13262" t="inlineStr">
        <is>
          <t xml:space="preserve">INF789F1AKV2</t>
        </is>
      </c>
    </row>
    <row r="13263">
      <c r="A13263" t="inlineStr">
        <is>
          <t xml:space="preserve">UTI Mutual Fund</t>
        </is>
      </c>
      <c r="B13263" t="inlineStr">
        <is>
          <t xml:space="preserve">UTI Fixed Term Income Fund Series XXXI-XV (1099 Days) - Direct Plan - Annual IDCW</t>
        </is>
      </c>
      <c r="C13263" t="inlineStr">
        <is>
          <t xml:space="preserve">INF789F1ALL1</t>
        </is>
      </c>
    </row>
    <row r="13264">
      <c r="A13264" t="inlineStr">
        <is>
          <t xml:space="preserve">UTI Mutual Fund</t>
        </is>
      </c>
      <c r="B13264" t="inlineStr">
        <is>
          <t xml:space="preserve">UTI Fixed Term Income Fund Series XXXI-XV (1099 Days) - Direct Plan - Maturity IDCW</t>
        </is>
      </c>
      <c r="C13264" t="inlineStr">
        <is>
          <t xml:space="preserve">INF789F1ALM9</t>
        </is>
      </c>
    </row>
    <row r="13265">
      <c r="A13265" t="inlineStr">
        <is>
          <t xml:space="preserve">UTI Mutual Fund</t>
        </is>
      </c>
      <c r="B13265" t="inlineStr">
        <is>
          <t xml:space="preserve">UTI Fixed Term Income Fund Series XXXI-XV (1099 Days) - Direct Plan - Quarterly IDCW</t>
        </is>
      </c>
      <c r="C13265" t="inlineStr">
        <is>
          <t xml:space="preserve">INF789F1ALK3</t>
        </is>
      </c>
    </row>
    <row r="13266">
      <c r="A13266" t="inlineStr">
        <is>
          <t xml:space="preserve">UTI Mutual Fund</t>
        </is>
      </c>
      <c r="B13266" t="inlineStr">
        <is>
          <t xml:space="preserve">UTI Fixed Term Income Fund Series XXXI-XV (1099 Days) - Regular Plan - Annual IDCW</t>
        </is>
      </c>
      <c r="C13266" t="inlineStr">
        <is>
          <t xml:space="preserve">INF789F1ALG1</t>
        </is>
      </c>
    </row>
    <row r="13267">
      <c r="A13267" t="inlineStr">
        <is>
          <t xml:space="preserve">UTI Mutual Fund</t>
        </is>
      </c>
      <c r="B13267" t="inlineStr">
        <is>
          <t xml:space="preserve">UTI Fixed Term Income Fund Series XXXI-XV (1099 Days) - Regular Plan - Flexi IDCW</t>
        </is>
      </c>
      <c r="C13267" t="inlineStr">
        <is>
          <t xml:space="preserve">INF789F1ALI7</t>
        </is>
      </c>
    </row>
    <row r="13268">
      <c r="A13268" t="inlineStr">
        <is>
          <t xml:space="preserve">UTI Mutual Fund</t>
        </is>
      </c>
      <c r="B13268" t="inlineStr">
        <is>
          <t xml:space="preserve">UTI Fixed Term Income Fund Series XXXI-XV (1099 Days) - Regular Plan - Maturity IDCW</t>
        </is>
      </c>
      <c r="C13268" t="inlineStr">
        <is>
          <t xml:space="preserve">INF789F1ALH9</t>
        </is>
      </c>
    </row>
    <row r="13269">
      <c r="A13269" t="inlineStr">
        <is>
          <t xml:space="preserve">UTI Mutual Fund</t>
        </is>
      </c>
      <c r="B13269" t="inlineStr">
        <is>
          <t xml:space="preserve">UTI Fixed Term Income Fund Series XXXI-XV (1099 Days) - Regular Plan - Quarterly IDCW</t>
        </is>
      </c>
      <c r="C13269" t="inlineStr">
        <is>
          <t xml:space="preserve">INF789F1ALF3</t>
        </is>
      </c>
    </row>
    <row r="13270">
      <c r="A13270" t="inlineStr">
        <is>
          <t xml:space="preserve">UTI Mutual Fund</t>
        </is>
      </c>
      <c r="B13270" t="inlineStr">
        <is>
          <t xml:space="preserve">UTI Fixed Term Income Fund Series XXXII-I(1126 Days) - Direct Plan - Annual IDCW</t>
        </is>
      </c>
      <c r="C13270" t="inlineStr">
        <is>
          <t xml:space="preserve">INF789F1ALV0</t>
        </is>
      </c>
    </row>
    <row r="13271">
      <c r="A13271" t="inlineStr">
        <is>
          <t xml:space="preserve">UTI Mutual Fund</t>
        </is>
      </c>
      <c r="B13271" t="inlineStr">
        <is>
          <t xml:space="preserve">UTI Fixed Term Income Fund Series XXXII-I(1126 Days) - Direct Plan - Flexi IDCW</t>
        </is>
      </c>
      <c r="C13271" t="inlineStr">
        <is>
          <t xml:space="preserve">INF789F1ALX6</t>
        </is>
      </c>
    </row>
    <row r="13272">
      <c r="A13272" t="inlineStr">
        <is>
          <t xml:space="preserve">UTI Mutual Fund</t>
        </is>
      </c>
      <c r="B13272" t="inlineStr">
        <is>
          <t xml:space="preserve">UTI Fixed Term Income Fund Series XXXII-I(1126 Days) - Direct Plan - Maturity IDCW</t>
        </is>
      </c>
      <c r="C13272" t="inlineStr">
        <is>
          <t xml:space="preserve">INF789F1ALW8</t>
        </is>
      </c>
    </row>
    <row r="13273">
      <c r="A13273" t="inlineStr">
        <is>
          <t xml:space="preserve">UTI Mutual Fund</t>
        </is>
      </c>
      <c r="B13273" t="inlineStr">
        <is>
          <t xml:space="preserve">UTI Fixed Term Income Fund Series XXXII-I(1126 Days) - Direct Plan - Quarterly IDCW</t>
        </is>
      </c>
      <c r="C13273" t="inlineStr">
        <is>
          <t xml:space="preserve">INF789F1ALU2</t>
        </is>
      </c>
    </row>
    <row r="13274">
      <c r="A13274" t="inlineStr">
        <is>
          <t xml:space="preserve">UTI Mutual Fund</t>
        </is>
      </c>
      <c r="B13274" t="inlineStr">
        <is>
          <t xml:space="preserve">UTI Fixed Term Income Fund Series XXXII-I(1126 Days) - Regular Plan - Annual IDCW</t>
        </is>
      </c>
      <c r="C13274" t="inlineStr">
        <is>
          <t xml:space="preserve">INF789F1ALQ0</t>
        </is>
      </c>
    </row>
    <row r="13275">
      <c r="A13275" t="inlineStr">
        <is>
          <t xml:space="preserve">UTI Mutual Fund</t>
        </is>
      </c>
      <c r="B13275" t="inlineStr">
        <is>
          <t xml:space="preserve">UTI Fixed Term Income Fund Series XXXII-I(1126 Days) - Regular Plan - Maturity IDCW</t>
        </is>
      </c>
      <c r="C13275" t="inlineStr">
        <is>
          <t xml:space="preserve">INF789F1ALR8</t>
        </is>
      </c>
    </row>
    <row r="13276">
      <c r="A13276" t="inlineStr">
        <is>
          <t xml:space="preserve">UTI Mutual Fund</t>
        </is>
      </c>
      <c r="B13276" t="inlineStr">
        <is>
          <t xml:space="preserve">UTI Fixed Term Income Fund Series XXXII-I(1126 Days) - Regular Plan - Quarterly IDCW</t>
        </is>
      </c>
      <c r="C13276" t="inlineStr">
        <is>
          <t xml:space="preserve">INF789F1ALP2</t>
        </is>
      </c>
    </row>
    <row r="13277">
      <c r="A13277" t="inlineStr">
        <is>
          <t xml:space="preserve">UTI Mutual Fund</t>
        </is>
      </c>
      <c r="B13277" t="inlineStr">
        <is>
          <t xml:space="preserve">UTI Fixed Term Income Fund Series XXXII-II(1111 Days) - Direct Plan - Annual IDCW</t>
        </is>
      </c>
      <c r="C13277" t="inlineStr">
        <is>
          <t xml:space="preserve">INF789F1AMF1</t>
        </is>
      </c>
    </row>
    <row r="13278">
      <c r="A13278" t="inlineStr">
        <is>
          <t xml:space="preserve">UTI Mutual Fund</t>
        </is>
      </c>
      <c r="B13278" t="inlineStr">
        <is>
          <t xml:space="preserve">UTI Fixed Term Income Fund Series XXXII-II(1111 Days) - Direct Plan - Flexi IDCW</t>
        </is>
      </c>
      <c r="C13278" t="inlineStr">
        <is>
          <t xml:space="preserve">INF789F1AMH7</t>
        </is>
      </c>
    </row>
    <row r="13279">
      <c r="A13279" t="inlineStr">
        <is>
          <t xml:space="preserve">UTI Mutual Fund</t>
        </is>
      </c>
      <c r="B13279" t="inlineStr">
        <is>
          <t xml:space="preserve">UTI Fixed Term Income Fund Series XXXII-II(1111 Days) - Direct Plan - Quarterly IDCW</t>
        </is>
      </c>
      <c r="C13279" t="inlineStr">
        <is>
          <t xml:space="preserve">INF789F1AME4</t>
        </is>
      </c>
    </row>
    <row r="13280">
      <c r="A13280" t="inlineStr">
        <is>
          <t xml:space="preserve">UTI Mutual Fund</t>
        </is>
      </c>
      <c r="B13280" t="inlineStr">
        <is>
          <t xml:space="preserve">UTI Fixed Term Income Fund Series XXXII-II(1111 Days) - Regular Plan - Annual IDCW</t>
        </is>
      </c>
      <c r="C13280" t="inlineStr">
        <is>
          <t xml:space="preserve">INF789F1AMA2</t>
        </is>
      </c>
    </row>
    <row r="13281">
      <c r="A13281" t="inlineStr">
        <is>
          <t xml:space="preserve">UTI Mutual Fund</t>
        </is>
      </c>
      <c r="B13281" t="inlineStr">
        <is>
          <t xml:space="preserve">UTI Fixed Term Income Fund Series XXXII-II(1111 Days) - Regular Plan - Flexi IDCW</t>
        </is>
      </c>
      <c r="C13281" t="inlineStr">
        <is>
          <t xml:space="preserve">INF789F1AMC8</t>
        </is>
      </c>
    </row>
    <row r="13282">
      <c r="A13282" t="inlineStr">
        <is>
          <t xml:space="preserve">UTI Mutual Fund</t>
        </is>
      </c>
      <c r="B13282" t="inlineStr">
        <is>
          <t xml:space="preserve">UTI Fixed Term Income Fund Series XXXII-II(1111 Days) - Regular Plan - Maturity IDCW</t>
        </is>
      </c>
      <c r="C13282" t="inlineStr">
        <is>
          <t xml:space="preserve">INF789F1AMB0</t>
        </is>
      </c>
    </row>
    <row r="13283">
      <c r="A13283" t="inlineStr">
        <is>
          <t xml:space="preserve">UTI Mutual Fund</t>
        </is>
      </c>
      <c r="B13283" t="inlineStr">
        <is>
          <t xml:space="preserve">UTI Fixed Term Income Fund Series XXXII-II(1111 Days) - Regular Plan - Quarterly IDCW</t>
        </is>
      </c>
      <c r="C13283" t="inlineStr">
        <is>
          <t xml:space="preserve">INF789F1ALZ1</t>
        </is>
      </c>
    </row>
    <row r="13284">
      <c r="A13284" t="inlineStr">
        <is>
          <t xml:space="preserve">UTI Mutual Fund</t>
        </is>
      </c>
      <c r="B13284" t="inlineStr">
        <is>
          <t xml:space="preserve">UTI Fixed Term Income Fund Series XXXIII-I (1135 Days) - Direct Plan - Annual IDCW</t>
        </is>
      </c>
      <c r="C13284" t="inlineStr">
        <is>
          <t xml:space="preserve">INF789F1AQY3</t>
        </is>
      </c>
    </row>
    <row r="13285">
      <c r="A13285" t="inlineStr">
        <is>
          <t xml:space="preserve">UTI Mutual Fund</t>
        </is>
      </c>
      <c r="B13285" t="inlineStr">
        <is>
          <t xml:space="preserve">UTI Fixed Term Income Fund Series XXXIII-I (1135 Days) - Direct Plan - Flexi IDCW</t>
        </is>
      </c>
      <c r="C13285" t="inlineStr">
        <is>
          <t xml:space="preserve">INF789F1ARB9</t>
        </is>
      </c>
    </row>
    <row r="13286">
      <c r="A13286" t="inlineStr">
        <is>
          <t xml:space="preserve">UTI Mutual Fund</t>
        </is>
      </c>
      <c r="B13286" t="inlineStr">
        <is>
          <t xml:space="preserve">UTI Fixed Term Income Fund Series XXXIII-I (1135 Days) - Direct Plan - Maturity IDCW</t>
        </is>
      </c>
      <c r="C13286" t="inlineStr">
        <is>
          <t xml:space="preserve">INF789F1AQZ0</t>
        </is>
      </c>
    </row>
    <row r="13287">
      <c r="A13287" t="inlineStr">
        <is>
          <t xml:space="preserve">UTI Mutual Fund</t>
        </is>
      </c>
      <c r="B13287" t="inlineStr">
        <is>
          <t xml:space="preserve">UTI Fixed Term Income Fund Series XXXIII-I (1135 Days) - Direct Plan - Quarterly IDCW</t>
        </is>
      </c>
      <c r="C13287" t="inlineStr">
        <is>
          <t xml:space="preserve">INF789F1AQX5</t>
        </is>
      </c>
    </row>
    <row r="13288">
      <c r="A13288" t="inlineStr">
        <is>
          <t xml:space="preserve">UTI Mutual Fund</t>
        </is>
      </c>
      <c r="B13288" t="inlineStr">
        <is>
          <t xml:space="preserve">UTI Fixed Term Income Fund Series XXXIII-I (1135 Days) - Regular Plan - Annual IDCW</t>
        </is>
      </c>
      <c r="C13288" t="inlineStr">
        <is>
          <t xml:space="preserve">INF789F1AQT3</t>
        </is>
      </c>
    </row>
    <row r="13289">
      <c r="A13289" t="inlineStr">
        <is>
          <t xml:space="preserve">UTI Mutual Fund</t>
        </is>
      </c>
      <c r="B13289" t="inlineStr">
        <is>
          <t xml:space="preserve">UTI Fixed Term Income Fund Series XXXIII-I (1135 Days) - Regular Plan - Maturity IDCW</t>
        </is>
      </c>
      <c r="C13289" t="inlineStr">
        <is>
          <t xml:space="preserve">INF789F1AQU1</t>
        </is>
      </c>
    </row>
    <row r="13290">
      <c r="A13290" t="inlineStr">
        <is>
          <t xml:space="preserve">UTI Mutual Fund</t>
        </is>
      </c>
      <c r="B13290" t="inlineStr">
        <is>
          <t xml:space="preserve">UTI Fixed Term Income Fund Series XXXIII-I (1135 Days) - Regular Plan - Quarterly IDCW</t>
        </is>
      </c>
      <c r="C13290" t="inlineStr">
        <is>
          <t xml:space="preserve">INF789F1AQS5</t>
        </is>
      </c>
    </row>
    <row r="13291">
      <c r="A13291" t="inlineStr">
        <is>
          <t xml:space="preserve">UTI Mutual Fund</t>
        </is>
      </c>
      <c r="B13291" t="inlineStr">
        <is>
          <t xml:space="preserve">UTI Fixed Term Income Fund Series XXXVI - I (1574 Days) - Direct Plan - Growth Option</t>
        </is>
      </c>
      <c r="C13291" t="inlineStr">
        <is>
          <t xml:space="preserve">INF789F1AXP7</t>
        </is>
      </c>
    </row>
    <row r="13292">
      <c r="A13292" t="inlineStr">
        <is>
          <t xml:space="preserve">UTI Mutual Fund</t>
        </is>
      </c>
      <c r="B13292" t="inlineStr">
        <is>
          <t xml:space="preserve">UTI Fixed Term Income Fund Series XXXVI - I (1574 Days) - Direct Plan - Payout of IDCW Option</t>
        </is>
      </c>
      <c r="C13292" t="inlineStr">
        <is>
          <t xml:space="preserve">INF789F1AXO0</t>
        </is>
      </c>
    </row>
    <row r="13293">
      <c r="A13293" t="inlineStr">
        <is>
          <t xml:space="preserve">UTI Mutual Fund</t>
        </is>
      </c>
      <c r="B13293" t="inlineStr">
        <is>
          <t xml:space="preserve">UTI Fixed Term Income Fund Series XXXVI - I (1574 Days) - Regular Plan - Growth Option</t>
        </is>
      </c>
      <c r="C13293" t="inlineStr">
        <is>
          <t xml:space="preserve">INF789F1AXN2</t>
        </is>
      </c>
    </row>
    <row r="13294">
      <c r="A13294" t="inlineStr">
        <is>
          <t xml:space="preserve">UTI Mutual Fund</t>
        </is>
      </c>
      <c r="B13294" t="inlineStr">
        <is>
          <t xml:space="preserve">UTI Fixed Term Income Fund Series XXXVI - I (1574 Days) - Regular Plan - Payout of IDCW Option</t>
        </is>
      </c>
      <c r="C13294" t="inlineStr">
        <is>
          <t xml:space="preserve">INF789F1AXM4</t>
        </is>
      </c>
    </row>
    <row r="13295">
      <c r="A13295" t="inlineStr">
        <is>
          <t xml:space="preserve">UTI Mutual Fund</t>
        </is>
      </c>
      <c r="B13295" t="inlineStr">
        <is>
          <t xml:space="preserve">UTI Flexi Cap Fund - Direct Plan - IDCW</t>
        </is>
      </c>
      <c r="C13295" t="inlineStr">
        <is>
          <t xml:space="preserve">INF789F01TA8</t>
        </is>
      </c>
    </row>
    <row r="13296">
      <c r="A13296" t="inlineStr">
        <is>
          <t xml:space="preserve">UTI Mutual Fund</t>
        </is>
      </c>
      <c r="B13296" t="inlineStr">
        <is>
          <t xml:space="preserve">UTI Flexi Cap Fund - Regular Plan - IDCW</t>
        </is>
      </c>
      <c r="C13296" t="inlineStr">
        <is>
          <t xml:space="preserve">INF189A01053</t>
        </is>
      </c>
    </row>
    <row r="13297">
      <c r="A13297" t="inlineStr">
        <is>
          <t xml:space="preserve">UTI Mutual Fund</t>
        </is>
      </c>
      <c r="B13297" t="inlineStr">
        <is>
          <t xml:space="preserve">UTI Floater Fund - Direct Plan - Annual IDCW</t>
        </is>
      </c>
      <c r="C13297" t="inlineStr">
        <is>
          <t xml:space="preserve">INF789F1ADA1</t>
        </is>
      </c>
    </row>
    <row r="13298">
      <c r="A13298" t="inlineStr">
        <is>
          <t xml:space="preserve">UTI Mutual Fund</t>
        </is>
      </c>
      <c r="B13298" t="inlineStr">
        <is>
          <t xml:space="preserve">UTI Floater Fund - Direct Plan - Flexi IDCW</t>
        </is>
      </c>
      <c r="C13298" t="inlineStr">
        <is>
          <t xml:space="preserve">INF789F1ADE3</t>
        </is>
      </c>
    </row>
    <row r="13299">
      <c r="A13299" t="inlineStr">
        <is>
          <t xml:space="preserve">UTI Mutual Fund</t>
        </is>
      </c>
      <c r="B13299" t="inlineStr">
        <is>
          <t xml:space="preserve">UTI Floater Fund - Direct Plan - Half-Yearly IDCW</t>
        </is>
      </c>
      <c r="C13299" t="inlineStr">
        <is>
          <t xml:space="preserve">INF789F1ADC7</t>
        </is>
      </c>
    </row>
    <row r="13300">
      <c r="A13300" t="inlineStr">
        <is>
          <t xml:space="preserve">UTI Mutual Fund</t>
        </is>
      </c>
      <c r="B13300" t="inlineStr">
        <is>
          <t xml:space="preserve">UTI Floater Fund - Direct Plan - Quarterly IDCW</t>
        </is>
      </c>
      <c r="C13300" t="inlineStr">
        <is>
          <t xml:space="preserve">INF789F1ACY3</t>
        </is>
      </c>
    </row>
    <row r="13301">
      <c r="A13301" t="inlineStr">
        <is>
          <t xml:space="preserve">UTI Mutual Fund</t>
        </is>
      </c>
      <c r="B13301" t="inlineStr">
        <is>
          <t xml:space="preserve">UTI Floater Fund - Regular Plan - Annual IDCW</t>
        </is>
      </c>
      <c r="C13301" t="inlineStr">
        <is>
          <t xml:space="preserve">INF789F1ACR7</t>
        </is>
      </c>
    </row>
    <row r="13302">
      <c r="A13302" t="inlineStr">
        <is>
          <t xml:space="preserve">UTI Mutual Fund</t>
        </is>
      </c>
      <c r="B13302" t="inlineStr">
        <is>
          <t xml:space="preserve">UTI Floater Fund - Regular Plan - Flexi IDCW</t>
        </is>
      </c>
      <c r="C13302" t="inlineStr">
        <is>
          <t xml:space="preserve">INF789F1ACV9</t>
        </is>
      </c>
    </row>
    <row r="13303">
      <c r="A13303" t="inlineStr">
        <is>
          <t xml:space="preserve">UTI Mutual Fund</t>
        </is>
      </c>
      <c r="B13303" t="inlineStr">
        <is>
          <t xml:space="preserve">UTI Floater Fund - Regular Plan - Half-Yearly IDCW</t>
        </is>
      </c>
      <c r="C13303" t="inlineStr">
        <is>
          <t xml:space="preserve">INF789F1ACT3</t>
        </is>
      </c>
    </row>
    <row r="13304">
      <c r="A13304" t="inlineStr">
        <is>
          <t xml:space="preserve">UTI Mutual Fund</t>
        </is>
      </c>
      <c r="B13304" t="inlineStr">
        <is>
          <t xml:space="preserve">UTI Floater Fund - Regular Plan - Quarterly IDCW</t>
        </is>
      </c>
      <c r="C13304" t="inlineStr">
        <is>
          <t xml:space="preserve">INF789F1ACP1</t>
        </is>
      </c>
    </row>
    <row r="13305">
      <c r="A13305" t="inlineStr">
        <is>
          <t xml:space="preserve">UTI Mutual Fund</t>
        </is>
      </c>
      <c r="B13305" t="inlineStr">
        <is>
          <t xml:space="preserve">UTI Focused Fund - Direct Plan - Growth Option</t>
        </is>
      </c>
      <c r="C13305" t="inlineStr">
        <is>
          <t xml:space="preserve">INF789F1AVA3</t>
        </is>
      </c>
    </row>
    <row r="13306">
      <c r="A13306" t="inlineStr">
        <is>
          <t xml:space="preserve">UTI Mutual Fund</t>
        </is>
      </c>
      <c r="B13306" t="inlineStr">
        <is>
          <t xml:space="preserve">UTI Focused Fund - Direct Plan - IDCW Payout Option</t>
        </is>
      </c>
      <c r="C13306" t="inlineStr">
        <is>
          <t xml:space="preserve">INF789F1AVB1</t>
        </is>
      </c>
    </row>
    <row r="13307">
      <c r="A13307" t="inlineStr">
        <is>
          <t xml:space="preserve">UTI Mutual Fund</t>
        </is>
      </c>
      <c r="B13307" t="inlineStr">
        <is>
          <t xml:space="preserve">UTI Focused Fund - Regular Plan - Growth Option</t>
        </is>
      </c>
      <c r="C13307" t="inlineStr">
        <is>
          <t xml:space="preserve">INF789F1AUY5</t>
        </is>
      </c>
    </row>
    <row r="13308">
      <c r="A13308" t="inlineStr">
        <is>
          <t xml:space="preserve">UTI Mutual Fund</t>
        </is>
      </c>
      <c r="B13308" t="inlineStr">
        <is>
          <t xml:space="preserve">UTI Focused Fund - Regular Plan - IDCW Payout Option</t>
        </is>
      </c>
      <c r="C13308" t="inlineStr">
        <is>
          <t xml:space="preserve">INF789F1AUZ2</t>
        </is>
      </c>
    </row>
    <row r="13309">
      <c r="A13309" t="inlineStr">
        <is>
          <t xml:space="preserve">UTI Mutual Fund</t>
        </is>
      </c>
      <c r="B13309" t="inlineStr">
        <is>
          <t xml:space="preserve">UTI Focussed Equity Fund - Series IV (1104 Days) - Direct Plan - Dividend  Option</t>
        </is>
      </c>
      <c r="C13309" t="inlineStr">
        <is>
          <t xml:space="preserve">INF789FC1T37</t>
        </is>
      </c>
    </row>
    <row r="13310">
      <c r="A13310" t="inlineStr">
        <is>
          <t xml:space="preserve">UTI Mutual Fund</t>
        </is>
      </c>
      <c r="B13310" t="inlineStr">
        <is>
          <t xml:space="preserve">UTI Focussed Equity Fund - Series IV (1104 Days) - Direct Plan - Growth Option</t>
        </is>
      </c>
      <c r="C13310" t="inlineStr">
        <is>
          <t xml:space="preserve">INF789FC1T45</t>
        </is>
      </c>
    </row>
    <row r="13311">
      <c r="A13311" t="inlineStr">
        <is>
          <t xml:space="preserve">UTI Mutual Fund</t>
        </is>
      </c>
      <c r="B13311" t="inlineStr">
        <is>
          <t xml:space="preserve">UTI Focussed Equity Fund - Series IV (1104 Days) - Regular Plan - Dividend Option</t>
        </is>
      </c>
      <c r="C13311" t="inlineStr">
        <is>
          <t xml:space="preserve">INF789FC1T11</t>
        </is>
      </c>
    </row>
    <row r="13312">
      <c r="A13312" t="inlineStr">
        <is>
          <t xml:space="preserve">UTI Mutual Fund</t>
        </is>
      </c>
      <c r="B13312" t="inlineStr">
        <is>
          <t xml:space="preserve">UTI Focussed Equity Fund - Series IV (1104 Days) - Regular Plan - Growth Option</t>
        </is>
      </c>
      <c r="C13312" t="inlineStr">
        <is>
          <t xml:space="preserve">INF789FC1T29</t>
        </is>
      </c>
    </row>
    <row r="13313">
      <c r="A13313" t="inlineStr">
        <is>
          <t xml:space="preserve">UTI Mutual Fund</t>
        </is>
      </c>
      <c r="B13313" t="inlineStr">
        <is>
          <t xml:space="preserve">UTI Focussed Equity Fund - Series V (1102 Days) - Direct Plan - Dividend Option</t>
        </is>
      </c>
      <c r="C13313" t="inlineStr">
        <is>
          <t xml:space="preserve">INF789FC1X15</t>
        </is>
      </c>
    </row>
    <row r="13314">
      <c r="A13314" t="inlineStr">
        <is>
          <t xml:space="preserve">UTI Mutual Fund</t>
        </is>
      </c>
      <c r="B13314" t="inlineStr">
        <is>
          <t xml:space="preserve">UTI Focussed Equity Fund - Series V (1102 Days) - Direct Plan - Growth Option</t>
        </is>
      </c>
      <c r="C13314" t="inlineStr">
        <is>
          <t xml:space="preserve">INF789FC1X23</t>
        </is>
      </c>
    </row>
    <row r="13315">
      <c r="A13315" t="inlineStr">
        <is>
          <t xml:space="preserve">UTI Mutual Fund</t>
        </is>
      </c>
      <c r="B13315" t="inlineStr">
        <is>
          <t xml:space="preserve">UTI Focussed Equity Fund - Series V (1102 Days) - Regular Plan - Dividend Option</t>
        </is>
      </c>
      <c r="C13315" t="inlineStr">
        <is>
          <t xml:space="preserve">INF789FC1W99</t>
        </is>
      </c>
    </row>
    <row r="13316">
      <c r="A13316" t="inlineStr">
        <is>
          <t xml:space="preserve">UTI Mutual Fund</t>
        </is>
      </c>
      <c r="B13316" t="inlineStr">
        <is>
          <t xml:space="preserve">UTI Focussed Equity Fund - Series V (1102 Days) - Regular Plan - Growth Option</t>
        </is>
      </c>
      <c r="C13316" t="inlineStr">
        <is>
          <t xml:space="preserve">INF789FC1X07</t>
        </is>
      </c>
    </row>
    <row r="13317">
      <c r="A13317" t="inlineStr">
        <is>
          <t xml:space="preserve">UTI Mutual Fund</t>
        </is>
      </c>
      <c r="B13317" t="inlineStr">
        <is>
          <t xml:space="preserve">UTI Focussed Equity Fund - Series VI (1150 Days) - Direct Plan - Growth Option</t>
        </is>
      </c>
      <c r="C13317" t="inlineStr">
        <is>
          <t xml:space="preserve">INF789FC12G8</t>
        </is>
      </c>
    </row>
    <row r="13318">
      <c r="A13318" t="inlineStr">
        <is>
          <t xml:space="preserve">UTI Mutual Fund</t>
        </is>
      </c>
      <c r="B13318" t="inlineStr">
        <is>
          <t xml:space="preserve">UTI Focussed Equity Fund - Series VI (1150 Days) - Direct Plan - IDCW</t>
        </is>
      </c>
      <c r="C13318" t="inlineStr">
        <is>
          <t xml:space="preserve">INF789FC11G0</t>
        </is>
      </c>
    </row>
    <row r="13319">
      <c r="A13319" t="inlineStr">
        <is>
          <t xml:space="preserve">UTI Mutual Fund</t>
        </is>
      </c>
      <c r="B13319" t="inlineStr">
        <is>
          <t xml:space="preserve">UTI Focussed Equity Fund - Series VI (1150 Days) - Regular Plan - Growth Option</t>
        </is>
      </c>
      <c r="C13319" t="inlineStr">
        <is>
          <t xml:space="preserve">INF789FC10G2</t>
        </is>
      </c>
    </row>
    <row r="13320">
      <c r="A13320" t="inlineStr">
        <is>
          <t xml:space="preserve">UTI Mutual Fund</t>
        </is>
      </c>
      <c r="B13320" t="inlineStr">
        <is>
          <t xml:space="preserve">UTI Focussed Equity Fund - Series VI (1150 Days) - Regular Plan - IDCW</t>
        </is>
      </c>
      <c r="C13320" t="inlineStr">
        <is>
          <t xml:space="preserve">INF789FC19F5</t>
        </is>
      </c>
    </row>
    <row r="13321">
      <c r="A13321" t="inlineStr">
        <is>
          <t xml:space="preserve">UTI Mutual Fund</t>
        </is>
      </c>
      <c r="B13321" t="inlineStr">
        <is>
          <t xml:space="preserve">UTI Focussed Equity Fund Series - 1 (2195 Days) - Direct Plan - Dividend Option</t>
        </is>
      </c>
      <c r="C13321" t="inlineStr">
        <is>
          <t xml:space="preserve">INF789FC1Q55</t>
        </is>
      </c>
    </row>
    <row r="13322">
      <c r="A13322" t="inlineStr">
        <is>
          <t xml:space="preserve">UTI Mutual Fund</t>
        </is>
      </c>
      <c r="B13322" t="inlineStr">
        <is>
          <t xml:space="preserve">UTI Focussed Equity Fund Series - 1 (2195 Days) - Direct Plan - Growth Option</t>
        </is>
      </c>
      <c r="C13322" t="inlineStr">
        <is>
          <t xml:space="preserve">INF789FC1Q63</t>
        </is>
      </c>
    </row>
    <row r="13323">
      <c r="A13323" t="inlineStr">
        <is>
          <t xml:space="preserve">UTI Mutual Fund</t>
        </is>
      </c>
      <c r="B13323" t="inlineStr">
        <is>
          <t xml:space="preserve">UTI Focussed Equity Fund Series - 1 (2195 Days) - Regular Plan - Dividend Option</t>
        </is>
      </c>
      <c r="C13323" t="inlineStr">
        <is>
          <t xml:space="preserve">INF789FC1Q30</t>
        </is>
      </c>
    </row>
    <row r="13324">
      <c r="A13324" t="inlineStr">
        <is>
          <t xml:space="preserve">UTI Mutual Fund</t>
        </is>
      </c>
      <c r="B13324" t="inlineStr">
        <is>
          <t xml:space="preserve">UTI Focussed Equity Fund Series - 1 (2195 Days) - Regular Plan - Growth Option</t>
        </is>
      </c>
      <c r="C13324" t="inlineStr">
        <is>
          <t xml:space="preserve">INF789FC1Q48</t>
        </is>
      </c>
    </row>
    <row r="13325">
      <c r="A13325" t="inlineStr">
        <is>
          <t xml:space="preserve">UTI Mutual Fund</t>
        </is>
      </c>
      <c r="B13325" t="inlineStr">
        <is>
          <t xml:space="preserve">UTI FTIF Series XXIV - XIV (1831 Days) - Direct Plan - Maturity IDCW</t>
        </is>
      </c>
      <c r="C13325" t="inlineStr">
        <is>
          <t xml:space="preserve">INF789FC1AD8</t>
        </is>
      </c>
    </row>
    <row r="13326">
      <c r="A13326" t="inlineStr">
        <is>
          <t xml:space="preserve">UTI Mutual Fund</t>
        </is>
      </c>
      <c r="B13326" t="inlineStr">
        <is>
          <t xml:space="preserve">UTI FTIF Series XXIV - XIV (1831 Days) - Direct Plan - Quarterly IDCW</t>
        </is>
      </c>
      <c r="C13326" t="inlineStr">
        <is>
          <t xml:space="preserve">INF789FC1972</t>
        </is>
      </c>
    </row>
    <row r="13327">
      <c r="A13327" t="inlineStr">
        <is>
          <t xml:space="preserve">UTI Mutual Fund</t>
        </is>
      </c>
      <c r="B13327" t="inlineStr">
        <is>
          <t xml:space="preserve">UTI FTIF Series XXIV - XIV (1831 Days) - Regular Plan - Annual IDCW</t>
        </is>
      </c>
      <c r="C13327" t="inlineStr">
        <is>
          <t xml:space="preserve">INF789FC1AC0</t>
        </is>
      </c>
    </row>
    <row r="13328">
      <c r="A13328" t="inlineStr">
        <is>
          <t xml:space="preserve">UTI Mutual Fund</t>
        </is>
      </c>
      <c r="B13328" t="inlineStr">
        <is>
          <t xml:space="preserve">UTI FTIF Series XXIV - XIV (1831 Days) - Regular Plan - Flexi IDCW</t>
        </is>
      </c>
      <c r="C13328" t="inlineStr">
        <is>
          <t xml:space="preserve">INF789FC1AA4</t>
        </is>
      </c>
    </row>
    <row r="13329">
      <c r="A13329" t="inlineStr">
        <is>
          <t xml:space="preserve">UTI Mutual Fund</t>
        </is>
      </c>
      <c r="B13329" t="inlineStr">
        <is>
          <t xml:space="preserve">UTI FTIF Series XXIV - XIV (1831 Days) - Regular Plan - Maturity IDCW</t>
        </is>
      </c>
      <c r="C13329" t="inlineStr">
        <is>
          <t xml:space="preserve">INF789FC1AF3</t>
        </is>
      </c>
    </row>
    <row r="13330">
      <c r="A13330" t="inlineStr">
        <is>
          <t xml:space="preserve">UTI Mutual Fund</t>
        </is>
      </c>
      <c r="B13330" t="inlineStr">
        <is>
          <t xml:space="preserve">UTI FTIF Series XXIV - XIV (1831 Days) - Regular Plan - Quarterly IDCW</t>
        </is>
      </c>
      <c r="C13330" t="inlineStr">
        <is>
          <t xml:space="preserve">INF789FC1AB2</t>
        </is>
      </c>
    </row>
    <row r="13331">
      <c r="A13331" t="inlineStr">
        <is>
          <t xml:space="preserve">UTI Mutual Fund</t>
        </is>
      </c>
      <c r="B13331" t="inlineStr">
        <is>
          <t xml:space="preserve">UTI FTIF Series XXIV-XIV (1831 Days)- Direct Plan - Growth Option</t>
        </is>
      </c>
      <c r="C13331" t="inlineStr">
        <is>
          <t xml:space="preserve">INF789FC1AE6</t>
        </is>
      </c>
    </row>
    <row r="13332">
      <c r="A13332" t="inlineStr">
        <is>
          <t xml:space="preserve">UTI Mutual Fund</t>
        </is>
      </c>
      <c r="B13332" t="inlineStr">
        <is>
          <t xml:space="preserve">UTI FTIF Series XXIV-XIV (1831 Days)- Regular Plan - Growth Option</t>
        </is>
      </c>
      <c r="C13332" t="inlineStr">
        <is>
          <t xml:space="preserve">INF789FC1AG1</t>
        </is>
      </c>
    </row>
    <row r="13333">
      <c r="A13333" t="inlineStr">
        <is>
          <t xml:space="preserve">UTI Mutual Fund</t>
        </is>
      </c>
      <c r="B13333" t="inlineStr">
        <is>
          <t xml:space="preserve">UTI FTIF Series XXV-X (1229 Days)- Direct Plan - Annual Div Option</t>
        </is>
      </c>
      <c r="C13333" t="inlineStr">
        <is>
          <t xml:space="preserve">INF789FC1FQ9</t>
        </is>
      </c>
    </row>
    <row r="13334">
      <c r="A13334" t="inlineStr">
        <is>
          <t xml:space="preserve">UTI Mutual Fund</t>
        </is>
      </c>
      <c r="B13334" t="inlineStr">
        <is>
          <t xml:space="preserve">UTI FTIF Series XXV-X (1229 Days)- Direct Plan - Growth Option</t>
        </is>
      </c>
      <c r="C13334" t="inlineStr">
        <is>
          <t xml:space="preserve">INF789FC1FW7</t>
        </is>
      </c>
    </row>
    <row r="13335">
      <c r="A13335" t="inlineStr">
        <is>
          <t xml:space="preserve">UTI Mutual Fund</t>
        </is>
      </c>
      <c r="B13335" t="inlineStr">
        <is>
          <t xml:space="preserve">UTI FTIF Series XXV-X (1229 Days)- Direct Plan - Quarterly Div Option</t>
        </is>
      </c>
      <c r="C13335" t="inlineStr">
        <is>
          <t xml:space="preserve">INF789FC1FP1</t>
        </is>
      </c>
    </row>
    <row r="13336">
      <c r="A13336" t="inlineStr">
        <is>
          <t xml:space="preserve">UTI Mutual Fund</t>
        </is>
      </c>
      <c r="B13336" t="inlineStr">
        <is>
          <t xml:space="preserve">UTI FTIF Series XXV-X (1229 Days)- Regular Plan - Annual Div Option</t>
        </is>
      </c>
      <c r="C13336" t="inlineStr">
        <is>
          <t xml:space="preserve">INF789FC1FU1</t>
        </is>
      </c>
    </row>
    <row r="13337">
      <c r="A13337" t="inlineStr">
        <is>
          <t xml:space="preserve">UTI Mutual Fund</t>
        </is>
      </c>
      <c r="B13337" t="inlineStr">
        <is>
          <t xml:space="preserve">UTI FTIF Series XXV-X (1229 Days)- Regular Plan - Flexi Div Option</t>
        </is>
      </c>
      <c r="C13337" t="inlineStr">
        <is>
          <t xml:space="preserve">INF789FC1FS5</t>
        </is>
      </c>
    </row>
    <row r="13338">
      <c r="A13338" t="inlineStr">
        <is>
          <t xml:space="preserve">UTI Mutual Fund</t>
        </is>
      </c>
      <c r="B13338" t="inlineStr">
        <is>
          <t xml:space="preserve">UTI FTIF Series XXV-X (1229 Days)- Regular Plan - Growth Option</t>
        </is>
      </c>
      <c r="C13338" t="inlineStr">
        <is>
          <t xml:space="preserve">INF789FC1FY3</t>
        </is>
      </c>
    </row>
    <row r="13339">
      <c r="A13339" t="inlineStr">
        <is>
          <t xml:space="preserve">UTI Mutual Fund</t>
        </is>
      </c>
      <c r="B13339" t="inlineStr">
        <is>
          <t xml:space="preserve">UTI FTIF Series XXV-X (1229 Days)- Regular Plan - Maturity Div Option</t>
        </is>
      </c>
      <c r="C13339" t="inlineStr">
        <is>
          <t xml:space="preserve">INF789FC1FX5</t>
        </is>
      </c>
    </row>
    <row r="13340">
      <c r="A13340" t="inlineStr">
        <is>
          <t xml:space="preserve">UTI Mutual Fund</t>
        </is>
      </c>
      <c r="B13340" t="inlineStr">
        <is>
          <t xml:space="preserve">UTI FTIF Series XXV-X (1229 Days)- Regular Plan - Quarterly Div Option</t>
        </is>
      </c>
      <c r="C13340" t="inlineStr">
        <is>
          <t xml:space="preserve">INF789FC1FT3</t>
        </is>
      </c>
    </row>
    <row r="13341">
      <c r="A13341" t="inlineStr">
        <is>
          <t xml:space="preserve">UTI Mutual Fund</t>
        </is>
      </c>
      <c r="B13341" t="inlineStr">
        <is>
          <t xml:space="preserve">UTI FTIF Series XXV-XI (1211 Days)- Direct Plan - Annual Div Option</t>
        </is>
      </c>
      <c r="C13341" t="inlineStr">
        <is>
          <t xml:space="preserve">INF789FC1GJ2</t>
        </is>
      </c>
    </row>
    <row r="13342">
      <c r="A13342" t="inlineStr">
        <is>
          <t xml:space="preserve">UTI Mutual Fund</t>
        </is>
      </c>
      <c r="B13342" t="inlineStr">
        <is>
          <t xml:space="preserve">UTI FTIF Series XXV-XI (1211 Days)- Direct Plan - Flexi Div Option</t>
        </is>
      </c>
      <c r="C13342" t="inlineStr">
        <is>
          <t xml:space="preserve">INF789FC1GK0</t>
        </is>
      </c>
    </row>
    <row r="13343">
      <c r="A13343" t="inlineStr">
        <is>
          <t xml:space="preserve">UTI Mutual Fund</t>
        </is>
      </c>
      <c r="B13343" t="inlineStr">
        <is>
          <t xml:space="preserve">UTI FTIF Series XXV-XI (1211 Days)- Direct Plan - Growth Option</t>
        </is>
      </c>
      <c r="C13343" t="inlineStr">
        <is>
          <t xml:space="preserve">INF789FC1GP9</t>
        </is>
      </c>
    </row>
    <row r="13344">
      <c r="A13344" t="inlineStr">
        <is>
          <t xml:space="preserve">UTI Mutual Fund</t>
        </is>
      </c>
      <c r="B13344" t="inlineStr">
        <is>
          <t xml:space="preserve">UTI FTIF Series XXV-XI (1211 Days)- Direct Plan - Maturity Div Option</t>
        </is>
      </c>
      <c r="C13344" t="inlineStr">
        <is>
          <t xml:space="preserve">INF789FC1GO2</t>
        </is>
      </c>
    </row>
    <row r="13345">
      <c r="A13345" t="inlineStr">
        <is>
          <t xml:space="preserve">UTI Mutual Fund</t>
        </is>
      </c>
      <c r="B13345" t="inlineStr">
        <is>
          <t xml:space="preserve">UTI FTIF Series XXV-XI (1211 Days)- Direct Plan - Quarterly Div Option</t>
        </is>
      </c>
      <c r="C13345" t="inlineStr">
        <is>
          <t xml:space="preserve">INF789FC1GI4</t>
        </is>
      </c>
    </row>
    <row r="13346">
      <c r="A13346" t="inlineStr">
        <is>
          <t xml:space="preserve">UTI Mutual Fund</t>
        </is>
      </c>
      <c r="B13346" t="inlineStr">
        <is>
          <t xml:space="preserve">UTI FTIF Series XXV-XI (1211 Days)- Regular Plan - Annual Div Option</t>
        </is>
      </c>
      <c r="C13346" t="inlineStr">
        <is>
          <t xml:space="preserve">INF789FC1GN4</t>
        </is>
      </c>
    </row>
    <row r="13347">
      <c r="A13347" t="inlineStr">
        <is>
          <t xml:space="preserve">UTI Mutual Fund</t>
        </is>
      </c>
      <c r="B13347" t="inlineStr">
        <is>
          <t xml:space="preserve">UTI FTIF Series XXV-XI (1211 Days)- Regular Plan - Flexi Div Option</t>
        </is>
      </c>
      <c r="C13347" t="inlineStr">
        <is>
          <t xml:space="preserve">INF789FC1GL8</t>
        </is>
      </c>
    </row>
    <row r="13348">
      <c r="A13348" t="inlineStr">
        <is>
          <t xml:space="preserve">UTI Mutual Fund</t>
        </is>
      </c>
      <c r="B13348" t="inlineStr">
        <is>
          <t xml:space="preserve">UTI FTIF Series XXV-XI (1211 Days)- Regular Plan - Growth Option</t>
        </is>
      </c>
      <c r="C13348" t="inlineStr">
        <is>
          <t xml:space="preserve">INF789FC1GR5</t>
        </is>
      </c>
    </row>
    <row r="13349">
      <c r="A13349" t="inlineStr">
        <is>
          <t xml:space="preserve">UTI Mutual Fund</t>
        </is>
      </c>
      <c r="B13349" t="inlineStr">
        <is>
          <t xml:space="preserve">UTI FTIF Series XXV-XI (1211 Days)- Regular Plan - Maturity Div Option</t>
        </is>
      </c>
      <c r="C13349" t="inlineStr">
        <is>
          <t xml:space="preserve">INF789FC1GQ7</t>
        </is>
      </c>
    </row>
    <row r="13350">
      <c r="A13350" t="inlineStr">
        <is>
          <t xml:space="preserve">UTI Mutual Fund</t>
        </is>
      </c>
      <c r="B13350" t="inlineStr">
        <is>
          <t xml:space="preserve">UTI FTIF Series XXV-XI (1211 Days)- Regular Plan - Quarterly Div Option</t>
        </is>
      </c>
      <c r="C13350" t="inlineStr">
        <is>
          <t xml:space="preserve">INF789FC1GM6</t>
        </is>
      </c>
    </row>
    <row r="13351">
      <c r="A13351" t="inlineStr">
        <is>
          <t xml:space="preserve">UTI Mutual Fund</t>
        </is>
      </c>
      <c r="B13351" t="inlineStr">
        <is>
          <t xml:space="preserve">UTI FTIF Series XXV-XII (1198 Days) - Regular Plan - Quarterly Div Option</t>
        </is>
      </c>
      <c r="C13351" t="inlineStr">
        <is>
          <t xml:space="preserve">INF789FC1GW5</t>
        </is>
      </c>
    </row>
    <row r="13352">
      <c r="A13352" t="inlineStr">
        <is>
          <t xml:space="preserve">UTI Mutual Fund</t>
        </is>
      </c>
      <c r="B13352" t="inlineStr">
        <is>
          <t xml:space="preserve">UTI FTIF Series XXV-XII (1198 Days)- Direct Plan - Annual Div Option</t>
        </is>
      </c>
      <c r="C13352" t="inlineStr">
        <is>
          <t xml:space="preserve">INF789FC1GT1</t>
        </is>
      </c>
    </row>
    <row r="13353">
      <c r="A13353" t="inlineStr">
        <is>
          <t xml:space="preserve">UTI Mutual Fund</t>
        </is>
      </c>
      <c r="B13353" t="inlineStr">
        <is>
          <t xml:space="preserve">UTI FTIF Series XXV-XII (1198 Days)- Direct Plan - Growth Option</t>
        </is>
      </c>
      <c r="C13353" t="inlineStr">
        <is>
          <t xml:space="preserve">INF789FC1GZ8</t>
        </is>
      </c>
    </row>
    <row r="13354">
      <c r="A13354" t="inlineStr">
        <is>
          <t xml:space="preserve">UTI Mutual Fund</t>
        </is>
      </c>
      <c r="B13354" t="inlineStr">
        <is>
          <t xml:space="preserve">UTI FTIF Series XXV-XII (1198 Days)- Direct Plan - Maturity Div Option</t>
        </is>
      </c>
      <c r="C13354" t="inlineStr">
        <is>
          <t xml:space="preserve">INF789FC1GY1</t>
        </is>
      </c>
    </row>
    <row r="13355">
      <c r="A13355" t="inlineStr">
        <is>
          <t xml:space="preserve">UTI Mutual Fund</t>
        </is>
      </c>
      <c r="B13355" t="inlineStr">
        <is>
          <t xml:space="preserve">UTI FTIF Series XXV-XII (1198 Days)- Direct Plan - Quarterly Div Option</t>
        </is>
      </c>
      <c r="C13355" t="inlineStr">
        <is>
          <t xml:space="preserve">INF789FC1GS3</t>
        </is>
      </c>
    </row>
    <row r="13356">
      <c r="A13356" t="inlineStr">
        <is>
          <t xml:space="preserve">UTI Mutual Fund</t>
        </is>
      </c>
      <c r="B13356" t="inlineStr">
        <is>
          <t xml:space="preserve">UTI FTIF Series XXV-XII (1198 Days)- Regular Plan - Annual Div Option</t>
        </is>
      </c>
      <c r="C13356" t="inlineStr">
        <is>
          <t xml:space="preserve">INF789FC1GX3</t>
        </is>
      </c>
    </row>
    <row r="13357">
      <c r="A13357" t="inlineStr">
        <is>
          <t xml:space="preserve">UTI Mutual Fund</t>
        </is>
      </c>
      <c r="B13357" t="inlineStr">
        <is>
          <t xml:space="preserve">UTI FTIF Series XXV-XII (1198 Days)- Regular Plan - Flexi Div Option</t>
        </is>
      </c>
      <c r="C13357" t="inlineStr">
        <is>
          <t xml:space="preserve">INF789FC1GV7</t>
        </is>
      </c>
    </row>
    <row r="13358">
      <c r="A13358" t="inlineStr">
        <is>
          <t xml:space="preserve">UTI Mutual Fund</t>
        </is>
      </c>
      <c r="B13358" t="inlineStr">
        <is>
          <t xml:space="preserve">UTI FTIF Series XXV-XII (1198 Days)- Regular Plan - Growth Option</t>
        </is>
      </c>
      <c r="C13358" t="inlineStr">
        <is>
          <t xml:space="preserve">INF789FC1HB7</t>
        </is>
      </c>
    </row>
    <row r="13359">
      <c r="A13359" t="inlineStr">
        <is>
          <t xml:space="preserve">UTI Mutual Fund</t>
        </is>
      </c>
      <c r="B13359" t="inlineStr">
        <is>
          <t xml:space="preserve">UTI FTIF Series XXV-XII (1198 Days)- Regular Plan - Maturity Div Option</t>
        </is>
      </c>
      <c r="C13359" t="inlineStr">
        <is>
          <t xml:space="preserve">INF789FC1HA9</t>
        </is>
      </c>
    </row>
    <row r="13360">
      <c r="A13360" t="inlineStr">
        <is>
          <t xml:space="preserve">UTI Mutual Fund</t>
        </is>
      </c>
      <c r="B13360" t="inlineStr">
        <is>
          <t xml:space="preserve">UTI FTIF Series XXVI-I (1182 Days)- Direct Plan - Annual Div Option</t>
        </is>
      </c>
      <c r="C13360" t="inlineStr">
        <is>
          <t xml:space="preserve">INF789FC1HH4</t>
        </is>
      </c>
    </row>
    <row r="13361">
      <c r="A13361" t="inlineStr">
        <is>
          <t xml:space="preserve">UTI Mutual Fund</t>
        </is>
      </c>
      <c r="B13361" t="inlineStr">
        <is>
          <t xml:space="preserve">UTI FTIF Series XXVI-I (1182 Days)- Direct Plan - Flexi Div Option</t>
        </is>
      </c>
      <c r="C13361" t="inlineStr">
        <is>
          <t xml:space="preserve">INF789FC1HI2</t>
        </is>
      </c>
    </row>
    <row r="13362">
      <c r="A13362" t="inlineStr">
        <is>
          <t xml:space="preserve">UTI Mutual Fund</t>
        </is>
      </c>
      <c r="B13362" t="inlineStr">
        <is>
          <t xml:space="preserve">UTI FTIF Series XXVI-I (1182 Days)- Direct Plan - Growth Option</t>
        </is>
      </c>
      <c r="C13362" t="inlineStr">
        <is>
          <t xml:space="preserve">INF789FC1HN2</t>
        </is>
      </c>
    </row>
    <row r="13363">
      <c r="A13363" t="inlineStr">
        <is>
          <t xml:space="preserve">UTI Mutual Fund</t>
        </is>
      </c>
      <c r="B13363" t="inlineStr">
        <is>
          <t xml:space="preserve">UTI FTIF Series XXVI-I (1182 Days)- Direct Plan - Maturity Div Option</t>
        </is>
      </c>
      <c r="C13363" t="inlineStr">
        <is>
          <t xml:space="preserve">INF789FC1HM4</t>
        </is>
      </c>
    </row>
    <row r="13364">
      <c r="A13364" t="inlineStr">
        <is>
          <t xml:space="preserve">UTI Mutual Fund</t>
        </is>
      </c>
      <c r="B13364" t="inlineStr">
        <is>
          <t xml:space="preserve">UTI FTIF Series XXVI-I (1182 Days)- Direct Plan - Quarterly Div Option</t>
        </is>
      </c>
      <c r="C13364" t="inlineStr">
        <is>
          <t xml:space="preserve">INF789FC1HG6</t>
        </is>
      </c>
    </row>
    <row r="13365">
      <c r="A13365" t="inlineStr">
        <is>
          <t xml:space="preserve">UTI Mutual Fund</t>
        </is>
      </c>
      <c r="B13365" t="inlineStr">
        <is>
          <t xml:space="preserve">UTI FTIF Series XXVI-I (1182 Days)- Regular Plan - Annual Div Option</t>
        </is>
      </c>
      <c r="C13365" t="inlineStr">
        <is>
          <t xml:space="preserve">INF789FC1HL6</t>
        </is>
      </c>
    </row>
    <row r="13366">
      <c r="A13366" t="inlineStr">
        <is>
          <t xml:space="preserve">UTI Mutual Fund</t>
        </is>
      </c>
      <c r="B13366" t="inlineStr">
        <is>
          <t xml:space="preserve">UTI FTIF Series XXVI-I (1182 Days)- Regular Plan - Flexi Div Option</t>
        </is>
      </c>
      <c r="C13366" t="inlineStr">
        <is>
          <t xml:space="preserve">INF789FC1HJ0</t>
        </is>
      </c>
    </row>
    <row r="13367">
      <c r="A13367" t="inlineStr">
        <is>
          <t xml:space="preserve">UTI Mutual Fund</t>
        </is>
      </c>
      <c r="B13367" t="inlineStr">
        <is>
          <t xml:space="preserve">UTI FTIF Series XXVI-I (1182 Days)- Regular Plan - Growth Option</t>
        </is>
      </c>
      <c r="C13367" t="inlineStr">
        <is>
          <t xml:space="preserve">INF789FC1HP7</t>
        </is>
      </c>
    </row>
    <row r="13368">
      <c r="A13368" t="inlineStr">
        <is>
          <t xml:space="preserve">UTI Mutual Fund</t>
        </is>
      </c>
      <c r="B13368" t="inlineStr">
        <is>
          <t xml:space="preserve">UTI FTIF Series XXVI-I (1182 Days)- Regular Plan - Maturity Div Option</t>
        </is>
      </c>
      <c r="C13368" t="inlineStr">
        <is>
          <t xml:space="preserve">INF789FC1HO0</t>
        </is>
      </c>
    </row>
    <row r="13369">
      <c r="A13369" t="inlineStr">
        <is>
          <t xml:space="preserve">UTI Mutual Fund</t>
        </is>
      </c>
      <c r="B13369" t="inlineStr">
        <is>
          <t xml:space="preserve">UTI FTIF Series XXVI-I (1182 Days)- Regular Plan - Quarterly Div Option</t>
        </is>
      </c>
      <c r="C13369" t="inlineStr">
        <is>
          <t xml:space="preserve">INF789FC1HK8</t>
        </is>
      </c>
    </row>
    <row r="13370">
      <c r="A13370" t="inlineStr">
        <is>
          <t xml:space="preserve">UTI Mutual Fund</t>
        </is>
      </c>
      <c r="B13370" t="inlineStr">
        <is>
          <t xml:space="preserve">UTI FTIF Series XXVI-II (1176 Days)- Direct Plan - Annual Div Option</t>
        </is>
      </c>
      <c r="C13370" t="inlineStr">
        <is>
          <t xml:space="preserve">INF789FC1HZ6</t>
        </is>
      </c>
    </row>
    <row r="13371">
      <c r="A13371" t="inlineStr">
        <is>
          <t xml:space="preserve">UTI Mutual Fund</t>
        </is>
      </c>
      <c r="B13371" t="inlineStr">
        <is>
          <t xml:space="preserve">UTI FTIF Series XXVI-II (1176 Days)- Direct Plan - Flexi Div Option</t>
        </is>
      </c>
      <c r="C13371" t="inlineStr">
        <is>
          <t xml:space="preserve">INF789FC1IA7</t>
        </is>
      </c>
    </row>
    <row r="13372">
      <c r="A13372" t="inlineStr">
        <is>
          <t xml:space="preserve">UTI Mutual Fund</t>
        </is>
      </c>
      <c r="B13372" t="inlineStr">
        <is>
          <t xml:space="preserve">UTI FTIF Series XXVI-II (1176 Days)- Direct Plan - Growth Option</t>
        </is>
      </c>
      <c r="C13372" t="inlineStr">
        <is>
          <t xml:space="preserve">INF789FC1IF6</t>
        </is>
      </c>
    </row>
    <row r="13373">
      <c r="A13373" t="inlineStr">
        <is>
          <t xml:space="preserve">UTI Mutual Fund</t>
        </is>
      </c>
      <c r="B13373" t="inlineStr">
        <is>
          <t xml:space="preserve">UTI FTIF Series XXVI-II (1176 Days)- Direct Plan - Maturity Div Option</t>
        </is>
      </c>
      <c r="C13373" t="inlineStr">
        <is>
          <t xml:space="preserve">INF789FC1IE9</t>
        </is>
      </c>
    </row>
    <row r="13374">
      <c r="A13374" t="inlineStr">
        <is>
          <t xml:space="preserve">UTI Mutual Fund</t>
        </is>
      </c>
      <c r="B13374" t="inlineStr">
        <is>
          <t xml:space="preserve">UTI FTIF Series XXVI-II (1176 Days)- Direct Plan - Quarterly Div Option</t>
        </is>
      </c>
      <c r="C13374" t="inlineStr">
        <is>
          <t xml:space="preserve">INF789FC1HY9</t>
        </is>
      </c>
    </row>
    <row r="13375">
      <c r="A13375" t="inlineStr">
        <is>
          <t xml:space="preserve">UTI Mutual Fund</t>
        </is>
      </c>
      <c r="B13375" t="inlineStr">
        <is>
          <t xml:space="preserve">UTI FTIF Series XXVI-II (1176 Days)- Regular Plan - Annual Div Option</t>
        </is>
      </c>
      <c r="C13375" t="inlineStr">
        <is>
          <t xml:space="preserve">INF789FC1ID1</t>
        </is>
      </c>
    </row>
    <row r="13376">
      <c r="A13376" t="inlineStr">
        <is>
          <t xml:space="preserve">UTI Mutual Fund</t>
        </is>
      </c>
      <c r="B13376" t="inlineStr">
        <is>
          <t xml:space="preserve">UTI FTIF Series XXVI-II (1176 Days)- Regular Plan - Flexi Div Option</t>
        </is>
      </c>
      <c r="C13376" t="inlineStr">
        <is>
          <t xml:space="preserve">INF789FC1IB5</t>
        </is>
      </c>
    </row>
    <row r="13377">
      <c r="A13377" t="inlineStr">
        <is>
          <t xml:space="preserve">UTI Mutual Fund</t>
        </is>
      </c>
      <c r="B13377" t="inlineStr">
        <is>
          <t xml:space="preserve">UTI FTIF Series XXVI-II (1176 Days)- Regular Plan - Growth Option</t>
        </is>
      </c>
      <c r="C13377" t="inlineStr">
        <is>
          <t xml:space="preserve">INF789FC1IH2</t>
        </is>
      </c>
    </row>
    <row r="13378">
      <c r="A13378" t="inlineStr">
        <is>
          <t xml:space="preserve">UTI Mutual Fund</t>
        </is>
      </c>
      <c r="B13378" t="inlineStr">
        <is>
          <t xml:space="preserve">UTI FTIF Series XXVI-II (1176 Days)- Regular Plan - Maturity Div Option</t>
        </is>
      </c>
      <c r="C13378" t="inlineStr">
        <is>
          <t xml:space="preserve">INF789FC1IG4</t>
        </is>
      </c>
    </row>
    <row r="13379">
      <c r="A13379" t="inlineStr">
        <is>
          <t xml:space="preserve">UTI Mutual Fund</t>
        </is>
      </c>
      <c r="B13379" t="inlineStr">
        <is>
          <t xml:space="preserve">UTI FTIF Series XXVI-II (1176 Days)- Regular Plan - Quarterly Div Option</t>
        </is>
      </c>
      <c r="C13379" t="inlineStr">
        <is>
          <t xml:space="preserve">INF789FC1IC3</t>
        </is>
      </c>
    </row>
    <row r="13380">
      <c r="A13380" t="inlineStr">
        <is>
          <t xml:space="preserve">UTI Mutual Fund</t>
        </is>
      </c>
      <c r="B13380" t="inlineStr">
        <is>
          <t xml:space="preserve">UTI FTIF Series XXVI-III (1169 Days)- Direct Plan - Growth Option</t>
        </is>
      </c>
      <c r="C13380" t="inlineStr">
        <is>
          <t xml:space="preserve">INF789FC1IX9</t>
        </is>
      </c>
    </row>
    <row r="13381">
      <c r="A13381" t="inlineStr">
        <is>
          <t xml:space="preserve">UTI Mutual Fund</t>
        </is>
      </c>
      <c r="B13381" t="inlineStr">
        <is>
          <t xml:space="preserve">UTI FTIF Series XXVI-III (1169 Days)- Direct Plan - Quarterly Div Option</t>
        </is>
      </c>
      <c r="C13381" t="inlineStr">
        <is>
          <t xml:space="preserve">INF789FC1IQ3</t>
        </is>
      </c>
    </row>
    <row r="13382">
      <c r="A13382" t="inlineStr">
        <is>
          <t xml:space="preserve">UTI Mutual Fund</t>
        </is>
      </c>
      <c r="B13382" t="inlineStr">
        <is>
          <t xml:space="preserve">UTI FTIF Series XXVI-III (1169 Days)- Regular Plan - Annual Div Option</t>
        </is>
      </c>
      <c r="C13382" t="inlineStr">
        <is>
          <t xml:space="preserve">INF789FC1IV3</t>
        </is>
      </c>
    </row>
    <row r="13383">
      <c r="A13383" t="inlineStr">
        <is>
          <t xml:space="preserve">UTI Mutual Fund</t>
        </is>
      </c>
      <c r="B13383" t="inlineStr">
        <is>
          <t xml:space="preserve">UTI FTIF Series XXVI-III (1169 Days)- Regular Plan - Flexi Div Option</t>
        </is>
      </c>
      <c r="C13383" t="inlineStr">
        <is>
          <t xml:space="preserve">INF789FC1IT7</t>
        </is>
      </c>
    </row>
    <row r="13384">
      <c r="A13384" t="inlineStr">
        <is>
          <t xml:space="preserve">UTI Mutual Fund</t>
        </is>
      </c>
      <c r="B13384" t="inlineStr">
        <is>
          <t xml:space="preserve">UTI FTIF Series XXVI-III (1169 Days)- Regular Plan - Growth Option</t>
        </is>
      </c>
      <c r="C13384" t="inlineStr">
        <is>
          <t xml:space="preserve">INF789FC1IZ4</t>
        </is>
      </c>
    </row>
    <row r="13385">
      <c r="A13385" t="inlineStr">
        <is>
          <t xml:space="preserve">UTI Mutual Fund</t>
        </is>
      </c>
      <c r="B13385" t="inlineStr">
        <is>
          <t xml:space="preserve">UTI FTIF Series XXVI-III (1169 Days)- Regular Plan - Maturity Div Option</t>
        </is>
      </c>
      <c r="C13385" t="inlineStr">
        <is>
          <t xml:space="preserve">INF789FC1IY7</t>
        </is>
      </c>
    </row>
    <row r="13386">
      <c r="A13386" t="inlineStr">
        <is>
          <t xml:space="preserve">UTI Mutual Fund</t>
        </is>
      </c>
      <c r="B13386" t="inlineStr">
        <is>
          <t xml:space="preserve">UTI FTIF Series XXVI-III (1169 Days)- Regular Plan - Quarterly Div Option</t>
        </is>
      </c>
      <c r="C13386" t="inlineStr">
        <is>
          <t xml:space="preserve">INF789FC1IU5</t>
        </is>
      </c>
    </row>
    <row r="13387">
      <c r="A13387" t="inlineStr">
        <is>
          <t xml:space="preserve">UTI Mutual Fund</t>
        </is>
      </c>
      <c r="B13387" t="inlineStr">
        <is>
          <t xml:space="preserve">UTI FTIF Series XXVI-IX (1113 Days)- Direct Plan - Annual Div Option</t>
        </is>
      </c>
      <c r="C13387" t="inlineStr">
        <is>
          <t xml:space="preserve">INF789FC1MV5</t>
        </is>
      </c>
    </row>
    <row r="13388">
      <c r="A13388" t="inlineStr">
        <is>
          <t xml:space="preserve">UTI Mutual Fund</t>
        </is>
      </c>
      <c r="B13388" t="inlineStr">
        <is>
          <t xml:space="preserve">UTI FTIF Series XXVI-IX (1113 Days)- Direct Plan - Growth Option</t>
        </is>
      </c>
      <c r="C13388" t="inlineStr">
        <is>
          <t xml:space="preserve">INF789FC1NB5</t>
        </is>
      </c>
    </row>
    <row r="13389">
      <c r="A13389" t="inlineStr">
        <is>
          <t xml:space="preserve">UTI Mutual Fund</t>
        </is>
      </c>
      <c r="B13389" t="inlineStr">
        <is>
          <t xml:space="preserve">UTI FTIF Series XXVI-IX (1113 Days)- Direct Plan - Maturity Div Option</t>
        </is>
      </c>
      <c r="C13389" t="inlineStr">
        <is>
          <t xml:space="preserve">INF789FC1NA7</t>
        </is>
      </c>
    </row>
    <row r="13390">
      <c r="A13390" t="inlineStr">
        <is>
          <t xml:space="preserve">UTI Mutual Fund</t>
        </is>
      </c>
      <c r="B13390" t="inlineStr">
        <is>
          <t xml:space="preserve">UTI FTIF Series XXVI-IX (1113 Days)- Direct Plan - Quarterly Div Option</t>
        </is>
      </c>
      <c r="C13390" t="inlineStr">
        <is>
          <t xml:space="preserve">INF789FC1MU7</t>
        </is>
      </c>
    </row>
    <row r="13391">
      <c r="A13391" t="inlineStr">
        <is>
          <t xml:space="preserve">UTI Mutual Fund</t>
        </is>
      </c>
      <c r="B13391" t="inlineStr">
        <is>
          <t xml:space="preserve">UTI FTIF Series XXVI-IX (1113 Days)- Regular Plan - Annual Div Option</t>
        </is>
      </c>
      <c r="C13391" t="inlineStr">
        <is>
          <t xml:space="preserve">INF789FC1MZ6</t>
        </is>
      </c>
    </row>
    <row r="13392">
      <c r="A13392" t="inlineStr">
        <is>
          <t xml:space="preserve">UTI Mutual Fund</t>
        </is>
      </c>
      <c r="B13392" t="inlineStr">
        <is>
          <t xml:space="preserve">UTI FTIF Series XXVI-IX (1113 Days)- Regular Plan - Flexi Div Option</t>
        </is>
      </c>
      <c r="C13392" t="inlineStr">
        <is>
          <t xml:space="preserve">INF789FC1MX1</t>
        </is>
      </c>
    </row>
    <row r="13393">
      <c r="A13393" t="inlineStr">
        <is>
          <t xml:space="preserve">UTI Mutual Fund</t>
        </is>
      </c>
      <c r="B13393" t="inlineStr">
        <is>
          <t xml:space="preserve">UTI FTIF Series XXVI-IX (1113 Days)- Regular Plan - Growth Option</t>
        </is>
      </c>
      <c r="C13393" t="inlineStr">
        <is>
          <t xml:space="preserve">INF789FC1ND1</t>
        </is>
      </c>
    </row>
    <row r="13394">
      <c r="A13394" t="inlineStr">
        <is>
          <t xml:space="preserve">UTI Mutual Fund</t>
        </is>
      </c>
      <c r="B13394" t="inlineStr">
        <is>
          <t xml:space="preserve">UTI FTIF Series XXVI-IX (1113 Days)- Regular Plan - Maturity Div Option</t>
        </is>
      </c>
      <c r="C13394" t="inlineStr">
        <is>
          <t xml:space="preserve">INF789FC1NC3</t>
        </is>
      </c>
    </row>
    <row r="13395">
      <c r="A13395" t="inlineStr">
        <is>
          <t xml:space="preserve">UTI Mutual Fund</t>
        </is>
      </c>
      <c r="B13395" t="inlineStr">
        <is>
          <t xml:space="preserve">UTI FTIF Series XXVI-IX (1113 Days)- Regular Plan - Quarterly Div Option</t>
        </is>
      </c>
      <c r="C13395" t="inlineStr">
        <is>
          <t xml:space="preserve">INF789FC1MY9</t>
        </is>
      </c>
    </row>
    <row r="13396">
      <c r="A13396" t="inlineStr">
        <is>
          <t xml:space="preserve">UTI Mutual Fund</t>
        </is>
      </c>
      <c r="B13396" t="inlineStr">
        <is>
          <t xml:space="preserve">UTI FTIF Series XXVI-V (1160 Days)- Direct Plan - Annual Div Option</t>
        </is>
      </c>
      <c r="C13396" t="inlineStr">
        <is>
          <t xml:space="preserve">INF789FC1JL2</t>
        </is>
      </c>
    </row>
    <row r="13397">
      <c r="A13397" t="inlineStr">
        <is>
          <t xml:space="preserve">UTI Mutual Fund</t>
        </is>
      </c>
      <c r="B13397" t="inlineStr">
        <is>
          <t xml:space="preserve">UTI FTIF Series XXVI-V (1160 Days)- Direct Plan - Flexi Div Option</t>
        </is>
      </c>
      <c r="C13397" t="inlineStr">
        <is>
          <t xml:space="preserve">INF789FC1JM0</t>
        </is>
      </c>
    </row>
    <row r="13398">
      <c r="A13398" t="inlineStr">
        <is>
          <t xml:space="preserve">UTI Mutual Fund</t>
        </is>
      </c>
      <c r="B13398" t="inlineStr">
        <is>
          <t xml:space="preserve">UTI FTIF Series XXVI-V (1160 Days)- Direct Plan - Growth Option</t>
        </is>
      </c>
      <c r="C13398" t="inlineStr">
        <is>
          <t xml:space="preserve">INF789FC1JR9</t>
        </is>
      </c>
    </row>
    <row r="13399">
      <c r="A13399" t="inlineStr">
        <is>
          <t xml:space="preserve">UTI Mutual Fund</t>
        </is>
      </c>
      <c r="B13399" t="inlineStr">
        <is>
          <t xml:space="preserve">UTI FTIF Series XXVI-V (1160 Days)- Direct Plan - Maturity Div Option</t>
        </is>
      </c>
      <c r="C13399" t="inlineStr">
        <is>
          <t xml:space="preserve">INF789FC1JQ1</t>
        </is>
      </c>
    </row>
    <row r="13400">
      <c r="A13400" t="inlineStr">
        <is>
          <t xml:space="preserve">UTI Mutual Fund</t>
        </is>
      </c>
      <c r="B13400" t="inlineStr">
        <is>
          <t xml:space="preserve">UTI FTIF Series XXVI-V (1160 Days)- Direct Plan - Quarterly Div Option</t>
        </is>
      </c>
      <c r="C13400" t="inlineStr">
        <is>
          <t xml:space="preserve">INF789FC1JK4</t>
        </is>
      </c>
    </row>
    <row r="13401">
      <c r="A13401" t="inlineStr">
        <is>
          <t xml:space="preserve">UTI Mutual Fund</t>
        </is>
      </c>
      <c r="B13401" t="inlineStr">
        <is>
          <t xml:space="preserve">UTI FTIF Series XXVI-V (1160 Days)- Regular Plan - Annual Div Option</t>
        </is>
      </c>
      <c r="C13401" t="inlineStr">
        <is>
          <t xml:space="preserve">INF789FC1JP3</t>
        </is>
      </c>
    </row>
    <row r="13402">
      <c r="A13402" t="inlineStr">
        <is>
          <t xml:space="preserve">UTI Mutual Fund</t>
        </is>
      </c>
      <c r="B13402" t="inlineStr">
        <is>
          <t xml:space="preserve">UTI FTIF Series XXVI-V (1160 Days)- Regular Plan - Growth Option</t>
        </is>
      </c>
      <c r="C13402" t="inlineStr">
        <is>
          <t xml:space="preserve">INF789FC1JT5</t>
        </is>
      </c>
    </row>
    <row r="13403">
      <c r="A13403" t="inlineStr">
        <is>
          <t xml:space="preserve">UTI Mutual Fund</t>
        </is>
      </c>
      <c r="B13403" t="inlineStr">
        <is>
          <t xml:space="preserve">UTI FTIF Series XXVI-V (1160 Days)- Regular Plan - Maturity Div Option</t>
        </is>
      </c>
      <c r="C13403" t="inlineStr">
        <is>
          <t xml:space="preserve">INF789FC1JS7</t>
        </is>
      </c>
    </row>
    <row r="13404">
      <c r="A13404" t="inlineStr">
        <is>
          <t xml:space="preserve">UTI Mutual Fund</t>
        </is>
      </c>
      <c r="B13404" t="inlineStr">
        <is>
          <t xml:space="preserve">UTI FTIF Series XXVI-V (1160 Days)- Regular Plan - Quarterly Div Option</t>
        </is>
      </c>
      <c r="C13404" t="inlineStr">
        <is>
          <t xml:space="preserve">INF789FC1JO6</t>
        </is>
      </c>
    </row>
    <row r="13405">
      <c r="A13405" t="inlineStr">
        <is>
          <t xml:space="preserve">UTI Mutual Fund</t>
        </is>
      </c>
      <c r="B13405" t="inlineStr">
        <is>
          <t xml:space="preserve">UTI FTIF Series XXVI-VI (1146 Days)- Direct Plan - Annual Div Option</t>
        </is>
      </c>
      <c r="C13405" t="inlineStr">
        <is>
          <t xml:space="preserve">INF789FC1JV1</t>
        </is>
      </c>
    </row>
    <row r="13406">
      <c r="A13406" t="inlineStr">
        <is>
          <t xml:space="preserve">UTI Mutual Fund</t>
        </is>
      </c>
      <c r="B13406" t="inlineStr">
        <is>
          <t xml:space="preserve">UTI FTIF Series XXVI-VI (1146 Days)- Direct Plan - Growth Option</t>
        </is>
      </c>
      <c r="C13406" t="inlineStr">
        <is>
          <t xml:space="preserve">INF789FC1KB1</t>
        </is>
      </c>
    </row>
    <row r="13407">
      <c r="A13407" t="inlineStr">
        <is>
          <t xml:space="preserve">UTI Mutual Fund</t>
        </is>
      </c>
      <c r="B13407" t="inlineStr">
        <is>
          <t xml:space="preserve">UTI FTIF Series XXVI-VI (1146 Days)- Direct Plan - Maturity Div Option</t>
        </is>
      </c>
      <c r="C13407" t="inlineStr">
        <is>
          <t xml:space="preserve">INF789FC1KA3</t>
        </is>
      </c>
    </row>
    <row r="13408">
      <c r="A13408" t="inlineStr">
        <is>
          <t xml:space="preserve">UTI Mutual Fund</t>
        </is>
      </c>
      <c r="B13408" t="inlineStr">
        <is>
          <t xml:space="preserve">UTI FTIF Series XXVI-VI (1146 Days)- Direct Plan - Quarterly Div Option</t>
        </is>
      </c>
      <c r="C13408" t="inlineStr">
        <is>
          <t xml:space="preserve">INF789FC1JU3</t>
        </is>
      </c>
    </row>
    <row r="13409">
      <c r="A13409" t="inlineStr">
        <is>
          <t xml:space="preserve">UTI Mutual Fund</t>
        </is>
      </c>
      <c r="B13409" t="inlineStr">
        <is>
          <t xml:space="preserve">UTI FTIF Series XXVI-VI (1146 Days)- Regular Plan - Flexi Div Option</t>
        </is>
      </c>
      <c r="C13409" t="inlineStr">
        <is>
          <t xml:space="preserve">INF789FC1JX7</t>
        </is>
      </c>
    </row>
    <row r="13410">
      <c r="A13410" t="inlineStr">
        <is>
          <t xml:space="preserve">UTI Mutual Fund</t>
        </is>
      </c>
      <c r="B13410" t="inlineStr">
        <is>
          <t xml:space="preserve">UTI FTIF Series XXVI-VI (1146 Days)- Regular Plan - Growth Option</t>
        </is>
      </c>
      <c r="C13410" t="inlineStr">
        <is>
          <t xml:space="preserve">INF789FC1KD7</t>
        </is>
      </c>
    </row>
    <row r="13411">
      <c r="A13411" t="inlineStr">
        <is>
          <t xml:space="preserve">UTI Mutual Fund</t>
        </is>
      </c>
      <c r="B13411" t="inlineStr">
        <is>
          <t xml:space="preserve">UTI FTIF Series XXVI-VI (1146 Days)- Regular Plan - Maturity Div Option</t>
        </is>
      </c>
      <c r="C13411" t="inlineStr">
        <is>
          <t xml:space="preserve">INF789FC1KC9</t>
        </is>
      </c>
    </row>
    <row r="13412">
      <c r="A13412" t="inlineStr">
        <is>
          <t xml:space="preserve">UTI Mutual Fund</t>
        </is>
      </c>
      <c r="B13412" t="inlineStr">
        <is>
          <t xml:space="preserve">UTI FTIF Series XXVI-VI (1146 Days)- Regular Plan - Quarterly Div Option</t>
        </is>
      </c>
      <c r="C13412" t="inlineStr">
        <is>
          <t xml:space="preserve">INF789FC1JY5</t>
        </is>
      </c>
    </row>
    <row r="13413">
      <c r="A13413" t="inlineStr">
        <is>
          <t xml:space="preserve">UTI Mutual Fund</t>
        </is>
      </c>
      <c r="B13413" t="inlineStr">
        <is>
          <t xml:space="preserve">UTI FTIF Series XXVI-VII (1140 Days)- Direct Plan - Annual Div Option</t>
        </is>
      </c>
      <c r="C13413" t="inlineStr">
        <is>
          <t xml:space="preserve">INF789FC1KF2</t>
        </is>
      </c>
    </row>
    <row r="13414">
      <c r="A13414" t="inlineStr">
        <is>
          <t xml:space="preserve">UTI Mutual Fund</t>
        </is>
      </c>
      <c r="B13414" t="inlineStr">
        <is>
          <t xml:space="preserve">UTI FTIF Series XXVI-VII (1140 Days)- Direct Plan - Growth Option</t>
        </is>
      </c>
      <c r="C13414" t="inlineStr">
        <is>
          <t xml:space="preserve">INF789FC1KL0</t>
        </is>
      </c>
    </row>
    <row r="13415">
      <c r="A13415" t="inlineStr">
        <is>
          <t xml:space="preserve">UTI Mutual Fund</t>
        </is>
      </c>
      <c r="B13415" t="inlineStr">
        <is>
          <t xml:space="preserve">UTI FTIF Series XXVI-VII (1140 Days)- Direct Plan - Maturity Div Option</t>
        </is>
      </c>
      <c r="C13415" t="inlineStr">
        <is>
          <t xml:space="preserve">INF789FC1KK2</t>
        </is>
      </c>
    </row>
    <row r="13416">
      <c r="A13416" t="inlineStr">
        <is>
          <t xml:space="preserve">UTI Mutual Fund</t>
        </is>
      </c>
      <c r="B13416" t="inlineStr">
        <is>
          <t xml:space="preserve">UTI FTIF Series XXVI-VII (1140 Days)- Direct Plan - Quarterly Div Option</t>
        </is>
      </c>
      <c r="C13416" t="inlineStr">
        <is>
          <t xml:space="preserve">INF789FC1KE5</t>
        </is>
      </c>
    </row>
    <row r="13417">
      <c r="A13417" t="inlineStr">
        <is>
          <t xml:space="preserve">UTI Mutual Fund</t>
        </is>
      </c>
      <c r="B13417" t="inlineStr">
        <is>
          <t xml:space="preserve">UTI FTIF Series XXVI-VII (1140 Days)- Regular Plan - Annual Div Option</t>
        </is>
      </c>
      <c r="C13417" t="inlineStr">
        <is>
          <t xml:space="preserve">INF789FC1KJ4</t>
        </is>
      </c>
    </row>
    <row r="13418">
      <c r="A13418" t="inlineStr">
        <is>
          <t xml:space="preserve">UTI Mutual Fund</t>
        </is>
      </c>
      <c r="B13418" t="inlineStr">
        <is>
          <t xml:space="preserve">UTI FTIF Series XXVI-VII (1140 Days)- Regular Plan - Flexi Div Option</t>
        </is>
      </c>
      <c r="C13418" t="inlineStr">
        <is>
          <t xml:space="preserve">INF789FC1KH8</t>
        </is>
      </c>
    </row>
    <row r="13419">
      <c r="A13419" t="inlineStr">
        <is>
          <t xml:space="preserve">UTI Mutual Fund</t>
        </is>
      </c>
      <c r="B13419" t="inlineStr">
        <is>
          <t xml:space="preserve">UTI FTIF Series XXVI-VII (1140 Days)- Regular Plan - Growth Option</t>
        </is>
      </c>
      <c r="C13419" t="inlineStr">
        <is>
          <t xml:space="preserve">INF789FC1KN6</t>
        </is>
      </c>
    </row>
    <row r="13420">
      <c r="A13420" t="inlineStr">
        <is>
          <t xml:space="preserve">UTI Mutual Fund</t>
        </is>
      </c>
      <c r="B13420" t="inlineStr">
        <is>
          <t xml:space="preserve">UTI FTIF Series XXVI-VII (1140 Days)- Regular Plan - Maturity Div Option</t>
        </is>
      </c>
      <c r="C13420" t="inlineStr">
        <is>
          <t xml:space="preserve">INF789FC1KM8</t>
        </is>
      </c>
    </row>
    <row r="13421">
      <c r="A13421" t="inlineStr">
        <is>
          <t xml:space="preserve">UTI Mutual Fund</t>
        </is>
      </c>
      <c r="B13421" t="inlineStr">
        <is>
          <t xml:space="preserve">UTI FTIF Series XXVI-VII (1140 Days)- Regular Plan - Quarterly Div Option</t>
        </is>
      </c>
      <c r="C13421" t="inlineStr">
        <is>
          <t xml:space="preserve">INF789FC1KI6</t>
        </is>
      </c>
    </row>
    <row r="13422">
      <c r="A13422" t="inlineStr">
        <is>
          <t xml:space="preserve">UTI Mutual Fund</t>
        </is>
      </c>
      <c r="B13422" t="inlineStr">
        <is>
          <t xml:space="preserve">UTI FTIF Series XXVI-VIII (1154 Days)- Direct Plan - Annual Div Option</t>
        </is>
      </c>
      <c r="C13422" t="inlineStr">
        <is>
          <t xml:space="preserve">INF789FC1ML6</t>
        </is>
      </c>
    </row>
    <row r="13423">
      <c r="A13423" t="inlineStr">
        <is>
          <t xml:space="preserve">UTI Mutual Fund</t>
        </is>
      </c>
      <c r="B13423" t="inlineStr">
        <is>
          <t xml:space="preserve">UTI FTIF Series XXVI-VIII (1154 Days)- Direct Plan - Flexi Div Option</t>
        </is>
      </c>
      <c r="C13423" t="inlineStr">
        <is>
          <t xml:space="preserve">INF789FC1MM4</t>
        </is>
      </c>
    </row>
    <row r="13424">
      <c r="A13424" t="inlineStr">
        <is>
          <t xml:space="preserve">UTI Mutual Fund</t>
        </is>
      </c>
      <c r="B13424" t="inlineStr">
        <is>
          <t xml:space="preserve">UTI FTIF Series XXVI-VIII (1154 Days)- Direct Plan - Growth Option</t>
        </is>
      </c>
      <c r="C13424" t="inlineStr">
        <is>
          <t xml:space="preserve">INF789FC1MR3</t>
        </is>
      </c>
    </row>
    <row r="13425">
      <c r="A13425" t="inlineStr">
        <is>
          <t xml:space="preserve">UTI Mutual Fund</t>
        </is>
      </c>
      <c r="B13425" t="inlineStr">
        <is>
          <t xml:space="preserve">UTI FTIF Series XXVI-VIII (1154 Days)- Direct Plan - Maturity Div Option</t>
        </is>
      </c>
      <c r="C13425" t="inlineStr">
        <is>
          <t xml:space="preserve">INF789FC1MQ5</t>
        </is>
      </c>
    </row>
    <row r="13426">
      <c r="A13426" t="inlineStr">
        <is>
          <t xml:space="preserve">UTI Mutual Fund</t>
        </is>
      </c>
      <c r="B13426" t="inlineStr">
        <is>
          <t xml:space="preserve">UTI FTIF Series XXVI-VIII (1154 Days)- Direct Plan - Quarterly Div Option</t>
        </is>
      </c>
      <c r="C13426" t="inlineStr">
        <is>
          <t xml:space="preserve">INF789FC1MK8</t>
        </is>
      </c>
    </row>
    <row r="13427">
      <c r="A13427" t="inlineStr">
        <is>
          <t xml:space="preserve">UTI Mutual Fund</t>
        </is>
      </c>
      <c r="B13427" t="inlineStr">
        <is>
          <t xml:space="preserve">UTI FTIF Series XXVI-VIII (1154 Days)- Regular Plan - Annual Div Option</t>
        </is>
      </c>
      <c r="C13427" t="inlineStr">
        <is>
          <t xml:space="preserve">INF789FC1MP7</t>
        </is>
      </c>
    </row>
    <row r="13428">
      <c r="A13428" t="inlineStr">
        <is>
          <t xml:space="preserve">UTI Mutual Fund</t>
        </is>
      </c>
      <c r="B13428" t="inlineStr">
        <is>
          <t xml:space="preserve">UTI FTIF Series XXVI-VIII (1154 Days)- Regular Plan - Growth Option</t>
        </is>
      </c>
      <c r="C13428" t="inlineStr">
        <is>
          <t xml:space="preserve">INF789FC1MT9</t>
        </is>
      </c>
    </row>
    <row r="13429">
      <c r="A13429" t="inlineStr">
        <is>
          <t xml:space="preserve">UTI Mutual Fund</t>
        </is>
      </c>
      <c r="B13429" t="inlineStr">
        <is>
          <t xml:space="preserve">UTI FTIF Series XXVI-VIII (1154 Days)- Regular Plan - Maturity Div Option</t>
        </is>
      </c>
      <c r="C13429" t="inlineStr">
        <is>
          <t xml:space="preserve">INF789FC1MS1</t>
        </is>
      </c>
    </row>
    <row r="13430">
      <c r="A13430" t="inlineStr">
        <is>
          <t xml:space="preserve">UTI Mutual Fund</t>
        </is>
      </c>
      <c r="B13430" t="inlineStr">
        <is>
          <t xml:space="preserve">UTI FTIF Series XXVI-VIII (1154 Days)- Regular Plan - Quarterly Div Option</t>
        </is>
      </c>
      <c r="C13430" t="inlineStr">
        <is>
          <t xml:space="preserve">INF789FC1MO0</t>
        </is>
      </c>
    </row>
    <row r="13431">
      <c r="A13431" t="inlineStr">
        <is>
          <t xml:space="preserve">UTI Mutual Fund</t>
        </is>
      </c>
      <c r="B13431" t="inlineStr">
        <is>
          <t xml:space="preserve">UTI FTIF Series XXVI-X (1107 Days)- Direct Plan - Annual Div Option</t>
        </is>
      </c>
      <c r="C13431" t="inlineStr">
        <is>
          <t xml:space="preserve">INF789FC1NF6</t>
        </is>
      </c>
    </row>
    <row r="13432">
      <c r="A13432" t="inlineStr">
        <is>
          <t xml:space="preserve">UTI Mutual Fund</t>
        </is>
      </c>
      <c r="B13432" t="inlineStr">
        <is>
          <t xml:space="preserve">UTI FTIF Series XXVI-X (1107 Days)- Direct Plan - Flexi Div Option</t>
        </is>
      </c>
      <c r="C13432" t="inlineStr">
        <is>
          <t xml:space="preserve">INF789FC1NG4</t>
        </is>
      </c>
    </row>
    <row r="13433">
      <c r="A13433" t="inlineStr">
        <is>
          <t xml:space="preserve">UTI Mutual Fund</t>
        </is>
      </c>
      <c r="B13433" t="inlineStr">
        <is>
          <t xml:space="preserve">UTI FTIF Series XXVI-X (1107 Days)- Direct Plan - Growth Option</t>
        </is>
      </c>
      <c r="C13433" t="inlineStr">
        <is>
          <t xml:space="preserve">INF789FC1NL4</t>
        </is>
      </c>
    </row>
    <row r="13434">
      <c r="A13434" t="inlineStr">
        <is>
          <t xml:space="preserve">UTI Mutual Fund</t>
        </is>
      </c>
      <c r="B13434" t="inlineStr">
        <is>
          <t xml:space="preserve">UTI FTIF Series XXVI-X (1107 Days)- Direct Plan - Maturity Div Option</t>
        </is>
      </c>
      <c r="C13434" t="inlineStr">
        <is>
          <t xml:space="preserve">INF789FC1NK6</t>
        </is>
      </c>
    </row>
    <row r="13435">
      <c r="A13435" t="inlineStr">
        <is>
          <t xml:space="preserve">UTI Mutual Fund</t>
        </is>
      </c>
      <c r="B13435" t="inlineStr">
        <is>
          <t xml:space="preserve">UTI FTIF Series XXVI-X (1107 Days)- Direct Plan - Quarterly Div Option</t>
        </is>
      </c>
      <c r="C13435" t="inlineStr">
        <is>
          <t xml:space="preserve">INF789FC1NE9</t>
        </is>
      </c>
    </row>
    <row r="13436">
      <c r="A13436" t="inlineStr">
        <is>
          <t xml:space="preserve">UTI Mutual Fund</t>
        </is>
      </c>
      <c r="B13436" t="inlineStr">
        <is>
          <t xml:space="preserve">UTI FTIF Series XXVI-X (1107 Days)- Regular Plan - Annual Div Option</t>
        </is>
      </c>
      <c r="C13436" t="inlineStr">
        <is>
          <t xml:space="preserve">INF789FC1NJ8</t>
        </is>
      </c>
    </row>
    <row r="13437">
      <c r="A13437" t="inlineStr">
        <is>
          <t xml:space="preserve">UTI Mutual Fund</t>
        </is>
      </c>
      <c r="B13437" t="inlineStr">
        <is>
          <t xml:space="preserve">UTI FTIF Series XXVI-X (1107 Days)- Regular Plan - Growth Option</t>
        </is>
      </c>
      <c r="C13437" t="inlineStr">
        <is>
          <t xml:space="preserve">INF789FC1NN0</t>
        </is>
      </c>
    </row>
    <row r="13438">
      <c r="A13438" t="inlineStr">
        <is>
          <t xml:space="preserve">UTI Mutual Fund</t>
        </is>
      </c>
      <c r="B13438" t="inlineStr">
        <is>
          <t xml:space="preserve">UTI FTIF Series XXVI-X (1107 Days)- Regular Plan - Maturity Div Option</t>
        </is>
      </c>
      <c r="C13438" t="inlineStr">
        <is>
          <t xml:space="preserve">INF789FC1NM2</t>
        </is>
      </c>
    </row>
    <row r="13439">
      <c r="A13439" t="inlineStr">
        <is>
          <t xml:space="preserve">UTI Mutual Fund</t>
        </is>
      </c>
      <c r="B13439" t="inlineStr">
        <is>
          <t xml:space="preserve">UTI FTIF Series XXVI-X (1107 Days)- Regular Plan - Quarterly Div Option</t>
        </is>
      </c>
      <c r="C13439" t="inlineStr">
        <is>
          <t xml:space="preserve">INF789FC1NI0</t>
        </is>
      </c>
    </row>
    <row r="13440">
      <c r="A13440" t="inlineStr">
        <is>
          <t xml:space="preserve">UTI Mutual Fund</t>
        </is>
      </c>
      <c r="B13440" t="inlineStr">
        <is>
          <t xml:space="preserve">UTI FTIF Series XXVI-XI (1105 Days)- Direct Plan - Annual Div Option</t>
        </is>
      </c>
      <c r="C13440" t="inlineStr">
        <is>
          <t xml:space="preserve">INF789FC1ST6</t>
        </is>
      </c>
    </row>
    <row r="13441">
      <c r="A13441" t="inlineStr">
        <is>
          <t xml:space="preserve">UTI Mutual Fund</t>
        </is>
      </c>
      <c r="B13441" t="inlineStr">
        <is>
          <t xml:space="preserve">UTI FTIF Series XXVI-XI (1105 Days)- Direct Plan - Flexi Div Option</t>
        </is>
      </c>
      <c r="C13441" t="inlineStr">
        <is>
          <t xml:space="preserve">INF789FC1SU4</t>
        </is>
      </c>
    </row>
    <row r="13442">
      <c r="A13442" t="inlineStr">
        <is>
          <t xml:space="preserve">UTI Mutual Fund</t>
        </is>
      </c>
      <c r="B13442" t="inlineStr">
        <is>
          <t xml:space="preserve">UTI FTIF Series XXVI-XI (1105 Days)- Direct Plan - Growth Option</t>
        </is>
      </c>
      <c r="C13442" t="inlineStr">
        <is>
          <t xml:space="preserve">INF789FC1SZ3</t>
        </is>
      </c>
    </row>
    <row r="13443">
      <c r="A13443" t="inlineStr">
        <is>
          <t xml:space="preserve">UTI Mutual Fund</t>
        </is>
      </c>
      <c r="B13443" t="inlineStr">
        <is>
          <t xml:space="preserve">UTI FTIF Series XXVI-XI (1105 Days)- Direct Plan - Maturity Div Option</t>
        </is>
      </c>
      <c r="C13443" t="inlineStr">
        <is>
          <t xml:space="preserve">INF789FC1SY6</t>
        </is>
      </c>
    </row>
    <row r="13444">
      <c r="A13444" t="inlineStr">
        <is>
          <t xml:space="preserve">UTI Mutual Fund</t>
        </is>
      </c>
      <c r="B13444" t="inlineStr">
        <is>
          <t xml:space="preserve">UTI FTIF Series XXVI-XI (1105 Days)- Direct Plan - Quarterly Div  Option</t>
        </is>
      </c>
      <c r="C13444" t="inlineStr">
        <is>
          <t xml:space="preserve">INF789FC1SS8</t>
        </is>
      </c>
    </row>
    <row r="13445">
      <c r="A13445" t="inlineStr">
        <is>
          <t xml:space="preserve">UTI Mutual Fund</t>
        </is>
      </c>
      <c r="B13445" t="inlineStr">
        <is>
          <t xml:space="preserve">UTI FTIF Series XXVI-XI (1105 Days)- Regular Plan - Annual Div Option</t>
        </is>
      </c>
      <c r="C13445" t="inlineStr">
        <is>
          <t xml:space="preserve">INF789FC1SX8</t>
        </is>
      </c>
    </row>
    <row r="13446">
      <c r="A13446" t="inlineStr">
        <is>
          <t xml:space="preserve">UTI Mutual Fund</t>
        </is>
      </c>
      <c r="B13446" t="inlineStr">
        <is>
          <t xml:space="preserve">UTI FTIF Series XXVI-XI (1105 Days)- Regular Plan - Flexi Div Option</t>
        </is>
      </c>
      <c r="C13446" t="inlineStr">
        <is>
          <t xml:space="preserve">INF789FC1SV2</t>
        </is>
      </c>
    </row>
    <row r="13447">
      <c r="A13447" t="inlineStr">
        <is>
          <t xml:space="preserve">UTI Mutual Fund</t>
        </is>
      </c>
      <c r="B13447" t="inlineStr">
        <is>
          <t xml:space="preserve">UTI FTIF Series XXVI-XI (1105 Days)- Regular Plan - Growth Option</t>
        </is>
      </c>
      <c r="C13447" t="inlineStr">
        <is>
          <t xml:space="preserve">INF789FC1TB2</t>
        </is>
      </c>
    </row>
    <row r="13448">
      <c r="A13448" t="inlineStr">
        <is>
          <t xml:space="preserve">UTI Mutual Fund</t>
        </is>
      </c>
      <c r="B13448" t="inlineStr">
        <is>
          <t xml:space="preserve">UTI FTIF Series XXVI-XI (1105 Days)- Regular Plan - Maturity Div Option</t>
        </is>
      </c>
      <c r="C13448" t="inlineStr">
        <is>
          <t xml:space="preserve">INF789FC1TA4</t>
        </is>
      </c>
    </row>
    <row r="13449">
      <c r="A13449" t="inlineStr">
        <is>
          <t xml:space="preserve">UTI Mutual Fund</t>
        </is>
      </c>
      <c r="B13449" t="inlineStr">
        <is>
          <t xml:space="preserve">UTI FTIF Series XXVI-XI (1105 Days)- Regular Plan - Quarterly Div Option</t>
        </is>
      </c>
      <c r="C13449" t="inlineStr">
        <is>
          <t xml:space="preserve">INF789FC1SW0</t>
        </is>
      </c>
    </row>
    <row r="13450">
      <c r="A13450" t="inlineStr">
        <is>
          <t xml:space="preserve">UTI Mutual Fund</t>
        </is>
      </c>
      <c r="B13450" t="inlineStr">
        <is>
          <t xml:space="preserve">UTI FTIF Series XXVI-XII (1096 Days)- Direct Plan  - Maturity Div Option</t>
        </is>
      </c>
      <c r="C13450" t="inlineStr">
        <is>
          <t xml:space="preserve">INF789FC1TM9</t>
        </is>
      </c>
    </row>
    <row r="13451">
      <c r="A13451" t="inlineStr">
        <is>
          <t xml:space="preserve">UTI Mutual Fund</t>
        </is>
      </c>
      <c r="B13451" t="inlineStr">
        <is>
          <t xml:space="preserve">UTI FTIF Series XXVI-XII (1096 Days)- Direct Plan - Annual Div Option</t>
        </is>
      </c>
      <c r="C13451" t="inlineStr">
        <is>
          <t xml:space="preserve">INF789FC1TH9</t>
        </is>
      </c>
    </row>
    <row r="13452">
      <c r="A13452" t="inlineStr">
        <is>
          <t xml:space="preserve">UTI Mutual Fund</t>
        </is>
      </c>
      <c r="B13452" t="inlineStr">
        <is>
          <t xml:space="preserve">UTI FTIF Series XXVI-XII (1096 Days)- Direct Plan - Flexi Div Option</t>
        </is>
      </c>
      <c r="C13452" t="inlineStr">
        <is>
          <t xml:space="preserve">INF789FC1TI7</t>
        </is>
      </c>
    </row>
    <row r="13453">
      <c r="A13453" t="inlineStr">
        <is>
          <t xml:space="preserve">UTI Mutual Fund</t>
        </is>
      </c>
      <c r="B13453" t="inlineStr">
        <is>
          <t xml:space="preserve">UTI FTIF Series XXVI-XII (1096 Days)- Direct Plan - Growth Option</t>
        </is>
      </c>
      <c r="C13453" t="inlineStr">
        <is>
          <t xml:space="preserve">INF789FC1TN7</t>
        </is>
      </c>
    </row>
    <row r="13454">
      <c r="A13454" t="inlineStr">
        <is>
          <t xml:space="preserve">UTI Mutual Fund</t>
        </is>
      </c>
      <c r="B13454" t="inlineStr">
        <is>
          <t xml:space="preserve">UTI FTIF Series XXVI-XII (1096 Days)- Direct Plan - Quarterly Div Option</t>
        </is>
      </c>
      <c r="C13454" t="inlineStr">
        <is>
          <t xml:space="preserve">INF789FC1TG1</t>
        </is>
      </c>
    </row>
    <row r="13455">
      <c r="A13455" t="inlineStr">
        <is>
          <t xml:space="preserve">UTI Mutual Fund</t>
        </is>
      </c>
      <c r="B13455" t="inlineStr">
        <is>
          <t xml:space="preserve">UTI FTIF Series XXVI-XII (1096 Days)- Regular Plan - Annual Div Option</t>
        </is>
      </c>
      <c r="C13455" t="inlineStr">
        <is>
          <t xml:space="preserve">INF789FC1TL1</t>
        </is>
      </c>
    </row>
    <row r="13456">
      <c r="A13456" t="inlineStr">
        <is>
          <t xml:space="preserve">UTI Mutual Fund</t>
        </is>
      </c>
      <c r="B13456" t="inlineStr">
        <is>
          <t xml:space="preserve">UTI FTIF Series XXVI-XII (1096 Days)- Regular Plan - Growth Option</t>
        </is>
      </c>
      <c r="C13456" t="inlineStr">
        <is>
          <t xml:space="preserve">INF789FC1TP2</t>
        </is>
      </c>
    </row>
    <row r="13457">
      <c r="A13457" t="inlineStr">
        <is>
          <t xml:space="preserve">UTI Mutual Fund</t>
        </is>
      </c>
      <c r="B13457" t="inlineStr">
        <is>
          <t xml:space="preserve">UTI FTIF Series XXVI-XII (1096 Days)- Regular Plan - Maturity Div Option</t>
        </is>
      </c>
      <c r="C13457" t="inlineStr">
        <is>
          <t xml:space="preserve">INF789FC1TO5</t>
        </is>
      </c>
    </row>
    <row r="13458">
      <c r="A13458" t="inlineStr">
        <is>
          <t xml:space="preserve">UTI Mutual Fund</t>
        </is>
      </c>
      <c r="B13458" t="inlineStr">
        <is>
          <t xml:space="preserve">UTI FTIF Series XXVI-XII (1096 Days)- Regular Plan - Quarterly Div Option</t>
        </is>
      </c>
      <c r="C13458" t="inlineStr">
        <is>
          <t xml:space="preserve">INF789FC1TK3</t>
        </is>
      </c>
    </row>
    <row r="13459">
      <c r="A13459" t="inlineStr">
        <is>
          <t xml:space="preserve">UTI Mutual Fund</t>
        </is>
      </c>
      <c r="B13459" t="inlineStr">
        <is>
          <t xml:space="preserve">UTI FTIF Series XXVI-XIII (1124 Days)- Direct Plan - Annual Div Option</t>
        </is>
      </c>
      <c r="C13459" t="inlineStr">
        <is>
          <t xml:space="preserve">INF789FC1TR8</t>
        </is>
      </c>
    </row>
    <row r="13460">
      <c r="A13460" t="inlineStr">
        <is>
          <t xml:space="preserve">UTI Mutual Fund</t>
        </is>
      </c>
      <c r="B13460" t="inlineStr">
        <is>
          <t xml:space="preserve">UTI FTIF Series XXVI-XIII (1124 Days)- Direct Plan - Growth Option</t>
        </is>
      </c>
      <c r="C13460" t="inlineStr">
        <is>
          <t xml:space="preserve">INF789FC1TX6</t>
        </is>
      </c>
    </row>
    <row r="13461">
      <c r="A13461" t="inlineStr">
        <is>
          <t xml:space="preserve">UTI Mutual Fund</t>
        </is>
      </c>
      <c r="B13461" t="inlineStr">
        <is>
          <t xml:space="preserve">UTI FTIF Series XXVI-XIII (1124 Days)- Direct Plan - Maturity Div Option</t>
        </is>
      </c>
      <c r="C13461" t="inlineStr">
        <is>
          <t xml:space="preserve">INF789FC1TW8</t>
        </is>
      </c>
    </row>
    <row r="13462">
      <c r="A13462" t="inlineStr">
        <is>
          <t xml:space="preserve">UTI Mutual Fund</t>
        </is>
      </c>
      <c r="B13462" t="inlineStr">
        <is>
          <t xml:space="preserve">UTI FTIF Series XXVI-XIII (1124 Days)- Direct Plan - Quarterly Div Option</t>
        </is>
      </c>
      <c r="C13462" t="inlineStr">
        <is>
          <t xml:space="preserve">INF789FC1TQ0</t>
        </is>
      </c>
    </row>
    <row r="13463">
      <c r="A13463" t="inlineStr">
        <is>
          <t xml:space="preserve">UTI Mutual Fund</t>
        </is>
      </c>
      <c r="B13463" t="inlineStr">
        <is>
          <t xml:space="preserve">UTI FTIF Series XXVI-XIII (1124 Days)- Regular Plan - Annual Div Option</t>
        </is>
      </c>
      <c r="C13463" t="inlineStr">
        <is>
          <t xml:space="preserve">INF789FC1TV0</t>
        </is>
      </c>
    </row>
    <row r="13464">
      <c r="A13464" t="inlineStr">
        <is>
          <t xml:space="preserve">UTI Mutual Fund</t>
        </is>
      </c>
      <c r="B13464" t="inlineStr">
        <is>
          <t xml:space="preserve">UTI FTIF Series XXVI-XIII (1124 Days)- Regular Plan - Flexi Div Option</t>
        </is>
      </c>
      <c r="C13464" t="inlineStr">
        <is>
          <t xml:space="preserve">INF789FC1TT4</t>
        </is>
      </c>
    </row>
    <row r="13465">
      <c r="A13465" t="inlineStr">
        <is>
          <t xml:space="preserve">UTI Mutual Fund</t>
        </is>
      </c>
      <c r="B13465" t="inlineStr">
        <is>
          <t xml:space="preserve">UTI FTIF Series XXVI-XIII (1124 Days)- Regular Plan - Growth Option</t>
        </is>
      </c>
      <c r="C13465" t="inlineStr">
        <is>
          <t xml:space="preserve">INF789FC1TZ1</t>
        </is>
      </c>
    </row>
    <row r="13466">
      <c r="A13466" t="inlineStr">
        <is>
          <t xml:space="preserve">UTI Mutual Fund</t>
        </is>
      </c>
      <c r="B13466" t="inlineStr">
        <is>
          <t xml:space="preserve">UTI FTIF Series XXVI-XIII (1124 Days)- Regular Plan - Maturity Div Option</t>
        </is>
      </c>
      <c r="C13466" t="inlineStr">
        <is>
          <t xml:space="preserve">INF789FC1TY4</t>
        </is>
      </c>
    </row>
    <row r="13467">
      <c r="A13467" t="inlineStr">
        <is>
          <t xml:space="preserve">UTI Mutual Fund</t>
        </is>
      </c>
      <c r="B13467" t="inlineStr">
        <is>
          <t xml:space="preserve">UTI FTIF Series XXVI-XIII (1124 Days)- Regular Plan - Quarterly Div Option</t>
        </is>
      </c>
      <c r="C13467" t="inlineStr">
        <is>
          <t xml:space="preserve">INF789FC1TU2</t>
        </is>
      </c>
    </row>
    <row r="13468">
      <c r="A13468" t="inlineStr">
        <is>
          <t xml:space="preserve">UTI Mutual Fund</t>
        </is>
      </c>
      <c r="B13468" t="inlineStr">
        <is>
          <t xml:space="preserve">UTI FTIF Series XXVI-XIV (1105 Days) - Direct Plan - Annual Div Option</t>
        </is>
      </c>
      <c r="C13468" t="inlineStr">
        <is>
          <t xml:space="preserve">INF789FC1ZP9</t>
        </is>
      </c>
    </row>
    <row r="13469">
      <c r="A13469" t="inlineStr">
        <is>
          <t xml:space="preserve">UTI Mutual Fund</t>
        </is>
      </c>
      <c r="B13469" t="inlineStr">
        <is>
          <t xml:space="preserve">UTI FTIF Series XXVI-XIV (1105 Days) - Direct Plan - Flexi Div Option</t>
        </is>
      </c>
      <c r="C13469" t="inlineStr">
        <is>
          <t xml:space="preserve">INF789FC1ZQ7</t>
        </is>
      </c>
    </row>
    <row r="13470">
      <c r="A13470" t="inlineStr">
        <is>
          <t xml:space="preserve">UTI Mutual Fund</t>
        </is>
      </c>
      <c r="B13470" t="inlineStr">
        <is>
          <t xml:space="preserve">UTI FTIF Series XXVI-XIV (1105 Days) - Direct Plan - Growth Option</t>
        </is>
      </c>
      <c r="C13470" t="inlineStr">
        <is>
          <t xml:space="preserve">INF789FC1ZV7</t>
        </is>
      </c>
    </row>
    <row r="13471">
      <c r="A13471" t="inlineStr">
        <is>
          <t xml:space="preserve">UTI Mutual Fund</t>
        </is>
      </c>
      <c r="B13471" t="inlineStr">
        <is>
          <t xml:space="preserve">UTI FTIF Series XXVI-XIV (1105 Days) - Direct Plan - Maturity Div Div Option</t>
        </is>
      </c>
      <c r="C13471" t="inlineStr">
        <is>
          <t xml:space="preserve">INF789FC1ZU9</t>
        </is>
      </c>
    </row>
    <row r="13472">
      <c r="A13472" t="inlineStr">
        <is>
          <t xml:space="preserve">UTI Mutual Fund</t>
        </is>
      </c>
      <c r="B13472" t="inlineStr">
        <is>
          <t xml:space="preserve">UTI FTIF Series XXVI-XIV (1105 Days) - Direct Plan - Quarterly Div Option</t>
        </is>
      </c>
      <c r="C13472" t="inlineStr">
        <is>
          <t xml:space="preserve">INF789FC1ZO2</t>
        </is>
      </c>
    </row>
    <row r="13473">
      <c r="A13473" t="inlineStr">
        <is>
          <t xml:space="preserve">UTI Mutual Fund</t>
        </is>
      </c>
      <c r="B13473" t="inlineStr">
        <is>
          <t xml:space="preserve">UTI FTIF Series XXVI-XIV (1105 Days) - Regular Plan - Annual Div Option</t>
        </is>
      </c>
      <c r="C13473" t="inlineStr">
        <is>
          <t xml:space="preserve">INF789FC1ZT1</t>
        </is>
      </c>
    </row>
    <row r="13474">
      <c r="A13474" t="inlineStr">
        <is>
          <t xml:space="preserve">UTI Mutual Fund</t>
        </is>
      </c>
      <c r="B13474" t="inlineStr">
        <is>
          <t xml:space="preserve">UTI FTIF Series XXVI-XIV (1105 Days) - Regular Plan - Flexi Div Option</t>
        </is>
      </c>
      <c r="C13474" t="inlineStr">
        <is>
          <t xml:space="preserve">INF789FC1ZR5</t>
        </is>
      </c>
    </row>
    <row r="13475">
      <c r="A13475" t="inlineStr">
        <is>
          <t xml:space="preserve">UTI Mutual Fund</t>
        </is>
      </c>
      <c r="B13475" t="inlineStr">
        <is>
          <t xml:space="preserve">UTI FTIF Series XXVI-XIV (1105 Days) - Regular Plan - Growth Option</t>
        </is>
      </c>
      <c r="C13475" t="inlineStr">
        <is>
          <t xml:space="preserve">INF789FC1ZX3</t>
        </is>
      </c>
    </row>
    <row r="13476">
      <c r="A13476" t="inlineStr">
        <is>
          <t xml:space="preserve">UTI Mutual Fund</t>
        </is>
      </c>
      <c r="B13476" t="inlineStr">
        <is>
          <t xml:space="preserve">UTI FTIF Series XXVI-XIV (1105 Days) - Regular Plan - Maturity Div Option</t>
        </is>
      </c>
      <c r="C13476" t="inlineStr">
        <is>
          <t xml:space="preserve">INF789FC1ZW5</t>
        </is>
      </c>
    </row>
    <row r="13477">
      <c r="A13477" t="inlineStr">
        <is>
          <t xml:space="preserve">UTI Mutual Fund</t>
        </is>
      </c>
      <c r="B13477" t="inlineStr">
        <is>
          <t xml:space="preserve">UTI FTIF Series XXVI-XIV (1105 Days) - Regular Plan - Quarterly Div Option</t>
        </is>
      </c>
      <c r="C13477" t="inlineStr">
        <is>
          <t xml:space="preserve">INF789FC1ZS3</t>
        </is>
      </c>
    </row>
    <row r="13478">
      <c r="A13478" t="inlineStr">
        <is>
          <t xml:space="preserve">UTI Mutual Fund</t>
        </is>
      </c>
      <c r="B13478" t="inlineStr">
        <is>
          <t xml:space="preserve">UTI FTIF Series XXVI-XV (1097 Days) - Direct Plan - Annual Div Option</t>
        </is>
      </c>
      <c r="C13478" t="inlineStr">
        <is>
          <t xml:space="preserve">INF789FC1A38</t>
        </is>
      </c>
    </row>
    <row r="13479">
      <c r="A13479" t="inlineStr">
        <is>
          <t xml:space="preserve">UTI Mutual Fund</t>
        </is>
      </c>
      <c r="B13479" t="inlineStr">
        <is>
          <t xml:space="preserve">UTI FTIF Series XXVI-XV (1097 Days) - Direct Plan - Growth Option</t>
        </is>
      </c>
      <c r="C13479" t="inlineStr">
        <is>
          <t xml:space="preserve">INF789FC1A95</t>
        </is>
      </c>
    </row>
    <row r="13480">
      <c r="A13480" t="inlineStr">
        <is>
          <t xml:space="preserve">UTI Mutual Fund</t>
        </is>
      </c>
      <c r="B13480" t="inlineStr">
        <is>
          <t xml:space="preserve">UTI FTIF Series XXVI-XV (1097 Days) - Direct Plan - Maturity Div Option</t>
        </is>
      </c>
      <c r="C13480" t="inlineStr">
        <is>
          <t xml:space="preserve">INF789FC1A87</t>
        </is>
      </c>
    </row>
    <row r="13481">
      <c r="A13481" t="inlineStr">
        <is>
          <t xml:space="preserve">UTI Mutual Fund</t>
        </is>
      </c>
      <c r="B13481" t="inlineStr">
        <is>
          <t xml:space="preserve">UTI FTIF Series XXVI-XV (1097 Days) - Direct Plan - Quarterly Div Option</t>
        </is>
      </c>
      <c r="C13481" t="inlineStr">
        <is>
          <t xml:space="preserve">INF789FC1A20</t>
        </is>
      </c>
    </row>
    <row r="13482">
      <c r="A13482" t="inlineStr">
        <is>
          <t xml:space="preserve">UTI Mutual Fund</t>
        </is>
      </c>
      <c r="B13482" t="inlineStr">
        <is>
          <t xml:space="preserve">UTI FTIF Series XXVI-XV (1097 Days) - Regular Plan - Annual Div Option</t>
        </is>
      </c>
      <c r="C13482" t="inlineStr">
        <is>
          <t xml:space="preserve">INF789FC1A79</t>
        </is>
      </c>
    </row>
    <row r="13483">
      <c r="A13483" t="inlineStr">
        <is>
          <t xml:space="preserve">UTI Mutual Fund</t>
        </is>
      </c>
      <c r="B13483" t="inlineStr">
        <is>
          <t xml:space="preserve">UTI FTIF Series XXVI-XV (1097 Days) - Regular Plan - Flexi Div Option</t>
        </is>
      </c>
      <c r="C13483" t="inlineStr">
        <is>
          <t xml:space="preserve">INF789FC1A53</t>
        </is>
      </c>
    </row>
    <row r="13484">
      <c r="A13484" t="inlineStr">
        <is>
          <t xml:space="preserve">UTI Mutual Fund</t>
        </is>
      </c>
      <c r="B13484" t="inlineStr">
        <is>
          <t xml:space="preserve">UTI FTIF Series XXVI-XV (1097 Days) - Regular Plan - Growth Option</t>
        </is>
      </c>
      <c r="C13484" t="inlineStr">
        <is>
          <t xml:space="preserve">INF789FC1B11</t>
        </is>
      </c>
    </row>
    <row r="13485">
      <c r="A13485" t="inlineStr">
        <is>
          <t xml:space="preserve">UTI Mutual Fund</t>
        </is>
      </c>
      <c r="B13485" t="inlineStr">
        <is>
          <t xml:space="preserve">UTI FTIF Series XXVI-XV (1097 Days) - Regular Plan - Maturity Div Option</t>
        </is>
      </c>
      <c r="C13485" t="inlineStr">
        <is>
          <t xml:space="preserve">INF789FC1B03</t>
        </is>
      </c>
    </row>
    <row r="13486">
      <c r="A13486" t="inlineStr">
        <is>
          <t xml:space="preserve">UTI Mutual Fund</t>
        </is>
      </c>
      <c r="B13486" t="inlineStr">
        <is>
          <t xml:space="preserve">UTI FTIF Series XXVI-XV (1097 Days) - Regular Plan - Quarterly Div Option</t>
        </is>
      </c>
      <c r="C13486" t="inlineStr">
        <is>
          <t xml:space="preserve">INF789FC1A61</t>
        </is>
      </c>
    </row>
    <row r="13487">
      <c r="A13487" t="inlineStr">
        <is>
          <t xml:space="preserve">UTI Mutual Fund</t>
        </is>
      </c>
      <c r="B13487" t="inlineStr">
        <is>
          <t xml:space="preserve">UTI FTIF Series XXVII- V (1097 Days) - Direct Plan - Quarterly Div Option</t>
        </is>
      </c>
      <c r="C13487" t="inlineStr">
        <is>
          <t xml:space="preserve">INF789FC1O99</t>
        </is>
      </c>
    </row>
    <row r="13488">
      <c r="A13488" t="inlineStr">
        <is>
          <t xml:space="preserve">UTI Mutual Fund</t>
        </is>
      </c>
      <c r="B13488" t="inlineStr">
        <is>
          <t xml:space="preserve">UTI FTIF Series XXVII- V (1097 Days) - Regular Plan - Flexi Div Option</t>
        </is>
      </c>
      <c r="C13488" t="inlineStr">
        <is>
          <t xml:space="preserve">INF789FC1P23</t>
        </is>
      </c>
    </row>
    <row r="13489">
      <c r="A13489" t="inlineStr">
        <is>
          <t xml:space="preserve">UTI Mutual Fund</t>
        </is>
      </c>
      <c r="B13489" t="inlineStr">
        <is>
          <t xml:space="preserve">UTI FTIF Series XXVII-I (1113 Days) - Direct Plan - Annual Div Option</t>
        </is>
      </c>
      <c r="C13489" t="inlineStr">
        <is>
          <t xml:space="preserve">INF789FC1K93</t>
        </is>
      </c>
    </row>
    <row r="13490">
      <c r="A13490" t="inlineStr">
        <is>
          <t xml:space="preserve">UTI Mutual Fund</t>
        </is>
      </c>
      <c r="B13490" t="inlineStr">
        <is>
          <t xml:space="preserve">UTI FTIF Series XXVII-I (1113 Days) - Direct Plan - Flexi Div Option</t>
        </is>
      </c>
      <c r="C13490" t="inlineStr">
        <is>
          <t xml:space="preserve">INF789FC1L01</t>
        </is>
      </c>
    </row>
    <row r="13491">
      <c r="A13491" t="inlineStr">
        <is>
          <t xml:space="preserve">UTI Mutual Fund</t>
        </is>
      </c>
      <c r="B13491" t="inlineStr">
        <is>
          <t xml:space="preserve">UTI FTIF Series XXVII-I (1113 Days) - Direct Plan - Growth Option</t>
        </is>
      </c>
      <c r="C13491" t="inlineStr">
        <is>
          <t xml:space="preserve">INF789FC1L50</t>
        </is>
      </c>
    </row>
    <row r="13492">
      <c r="A13492" t="inlineStr">
        <is>
          <t xml:space="preserve">UTI Mutual Fund</t>
        </is>
      </c>
      <c r="B13492" t="inlineStr">
        <is>
          <t xml:space="preserve">UTI FTIF Series XXVII-I (1113 Days) - Direct Plan - Maturity Div Option</t>
        </is>
      </c>
      <c r="C13492" t="inlineStr">
        <is>
          <t xml:space="preserve">INF789FC1L43</t>
        </is>
      </c>
    </row>
    <row r="13493">
      <c r="A13493" t="inlineStr">
        <is>
          <t xml:space="preserve">UTI Mutual Fund</t>
        </is>
      </c>
      <c r="B13493" t="inlineStr">
        <is>
          <t xml:space="preserve">UTI FTIF Series XXVII-I (1113 Days) - Direct Plan - Quarterly Div Option</t>
        </is>
      </c>
      <c r="C13493" t="inlineStr">
        <is>
          <t xml:space="preserve">INF789FC1K85</t>
        </is>
      </c>
    </row>
    <row r="13494">
      <c r="A13494" t="inlineStr">
        <is>
          <t xml:space="preserve">UTI Mutual Fund</t>
        </is>
      </c>
      <c r="B13494" t="inlineStr">
        <is>
          <t xml:space="preserve">UTI FTIF Series XXVII-I (1113 Days) - Regular Plan - Annual Div Option</t>
        </is>
      </c>
      <c r="C13494" t="inlineStr">
        <is>
          <t xml:space="preserve">INF789FC1L35</t>
        </is>
      </c>
    </row>
    <row r="13495">
      <c r="A13495" t="inlineStr">
        <is>
          <t xml:space="preserve">UTI Mutual Fund</t>
        </is>
      </c>
      <c r="B13495" t="inlineStr">
        <is>
          <t xml:space="preserve">UTI FTIF Series XXVII-I (1113 Days) - Regular Plan - Flexi Div Option</t>
        </is>
      </c>
      <c r="C13495" t="inlineStr">
        <is>
          <t xml:space="preserve">INF789FC1L19</t>
        </is>
      </c>
    </row>
    <row r="13496">
      <c r="A13496" t="inlineStr">
        <is>
          <t xml:space="preserve">UTI Mutual Fund</t>
        </is>
      </c>
      <c r="B13496" t="inlineStr">
        <is>
          <t xml:space="preserve">UTI FTIF Series XXVII-I (1113 Days) - Regular Plan - Growth Option</t>
        </is>
      </c>
      <c r="C13496" t="inlineStr">
        <is>
          <t xml:space="preserve">INF789FC1L76</t>
        </is>
      </c>
    </row>
    <row r="13497">
      <c r="A13497" t="inlineStr">
        <is>
          <t xml:space="preserve">UTI Mutual Fund</t>
        </is>
      </c>
      <c r="B13497" t="inlineStr">
        <is>
          <t xml:space="preserve">UTI FTIF Series XXVII-I (1113 Days) - Regular Plan - Maturity Div Option</t>
        </is>
      </c>
      <c r="C13497" t="inlineStr">
        <is>
          <t xml:space="preserve">INF789FC1L68</t>
        </is>
      </c>
    </row>
    <row r="13498">
      <c r="A13498" t="inlineStr">
        <is>
          <t xml:space="preserve">UTI Mutual Fund</t>
        </is>
      </c>
      <c r="B13498" t="inlineStr">
        <is>
          <t xml:space="preserve">UTI FTIF Series XXVII-I (1113 Days) - Regular Plan - Quarterly Div Option</t>
        </is>
      </c>
      <c r="C13498" t="inlineStr">
        <is>
          <t xml:space="preserve">INF789FC1L27</t>
        </is>
      </c>
    </row>
    <row r="13499">
      <c r="A13499" t="inlineStr">
        <is>
          <t xml:space="preserve">UTI Mutual Fund</t>
        </is>
      </c>
      <c r="B13499" t="inlineStr">
        <is>
          <t xml:space="preserve">UTI FTIF Series XXVII-II (1161 Days) - Direct Plan - Annual Div Option</t>
        </is>
      </c>
      <c r="C13499" t="inlineStr">
        <is>
          <t xml:space="preserve">INF789FC1L92</t>
        </is>
      </c>
    </row>
    <row r="13500">
      <c r="A13500" t="inlineStr">
        <is>
          <t xml:space="preserve">UTI Mutual Fund</t>
        </is>
      </c>
      <c r="B13500" t="inlineStr">
        <is>
          <t xml:space="preserve">UTI FTIF Series XXVII-II (1161 Days) - Direct Plan - Growth Option</t>
        </is>
      </c>
      <c r="C13500" t="inlineStr">
        <is>
          <t xml:space="preserve">INF789FC1M59</t>
        </is>
      </c>
    </row>
    <row r="13501">
      <c r="A13501" t="inlineStr">
        <is>
          <t xml:space="preserve">UTI Mutual Fund</t>
        </is>
      </c>
      <c r="B13501" t="inlineStr">
        <is>
          <t xml:space="preserve">UTI FTIF Series XXVII-II (1161 Days) - Direct Plan - Quarterly Div Option</t>
        </is>
      </c>
      <c r="C13501" t="inlineStr">
        <is>
          <t xml:space="preserve">INF789FC1L84</t>
        </is>
      </c>
    </row>
    <row r="13502">
      <c r="A13502" t="inlineStr">
        <is>
          <t xml:space="preserve">UTI Mutual Fund</t>
        </is>
      </c>
      <c r="B13502" t="inlineStr">
        <is>
          <t xml:space="preserve">UTI FTIF Series XXVII-II (1161 Days) - Regular Plan - Annual Div Option</t>
        </is>
      </c>
      <c r="C13502" t="inlineStr">
        <is>
          <t xml:space="preserve">INF789FC1M34</t>
        </is>
      </c>
    </row>
    <row r="13503">
      <c r="A13503" t="inlineStr">
        <is>
          <t xml:space="preserve">UTI Mutual Fund</t>
        </is>
      </c>
      <c r="B13503" t="inlineStr">
        <is>
          <t xml:space="preserve">UTI FTIF Series XXVII-II (1161 Days) - Regular Plan - Flexi Div Option</t>
        </is>
      </c>
      <c r="C13503" t="inlineStr">
        <is>
          <t xml:space="preserve">INF789FC1M18</t>
        </is>
      </c>
    </row>
    <row r="13504">
      <c r="A13504" t="inlineStr">
        <is>
          <t xml:space="preserve">UTI Mutual Fund</t>
        </is>
      </c>
      <c r="B13504" t="inlineStr">
        <is>
          <t xml:space="preserve">UTI FTIF Series XXVII-II (1161 Days) - Regular Plan - Growth Option</t>
        </is>
      </c>
      <c r="C13504" t="inlineStr">
        <is>
          <t xml:space="preserve">INF789FC1M75</t>
        </is>
      </c>
    </row>
    <row r="13505">
      <c r="A13505" t="inlineStr">
        <is>
          <t xml:space="preserve">UTI Mutual Fund</t>
        </is>
      </c>
      <c r="B13505" t="inlineStr">
        <is>
          <t xml:space="preserve">UTI FTIF Series XXVII-II (1161 Days) - Regular Plan - Maturity Div Option</t>
        </is>
      </c>
      <c r="C13505" t="inlineStr">
        <is>
          <t xml:space="preserve">INF789FC1M67</t>
        </is>
      </c>
    </row>
    <row r="13506">
      <c r="A13506" t="inlineStr">
        <is>
          <t xml:space="preserve">UTI Mutual Fund</t>
        </is>
      </c>
      <c r="B13506" t="inlineStr">
        <is>
          <t xml:space="preserve">UTI FTIF Series XXVII-II (1161 Days) - Regular Plan - Quarterly Div Option</t>
        </is>
      </c>
      <c r="C13506" t="inlineStr">
        <is>
          <t xml:space="preserve">INF789FC1M26</t>
        </is>
      </c>
    </row>
    <row r="13507">
      <c r="A13507" t="inlineStr">
        <is>
          <t xml:space="preserve">UTI Mutual Fund</t>
        </is>
      </c>
      <c r="B13507" t="inlineStr">
        <is>
          <t xml:space="preserve">UTI FTIF Series XXVII-III (1096 Days) - Direct Plan - Annual Div Option</t>
        </is>
      </c>
      <c r="C13507" t="inlineStr">
        <is>
          <t xml:space="preserve">INF789FC1M91</t>
        </is>
      </c>
    </row>
    <row r="13508">
      <c r="A13508" t="inlineStr">
        <is>
          <t xml:space="preserve">UTI Mutual Fund</t>
        </is>
      </c>
      <c r="B13508" t="inlineStr">
        <is>
          <t xml:space="preserve">UTI FTIF Series XXVII-III (1096 Days) - Direct Plan - Growth Option</t>
        </is>
      </c>
      <c r="C13508" t="inlineStr">
        <is>
          <t xml:space="preserve">INF789FC1N58</t>
        </is>
      </c>
    </row>
    <row r="13509">
      <c r="A13509" t="inlineStr">
        <is>
          <t xml:space="preserve">UTI Mutual Fund</t>
        </is>
      </c>
      <c r="B13509" t="inlineStr">
        <is>
          <t xml:space="preserve">UTI FTIF Series XXVII-III (1096 Days) - Direct Plan - Maturity Div Option</t>
        </is>
      </c>
      <c r="C13509" t="inlineStr">
        <is>
          <t xml:space="preserve">INF789FC1N41</t>
        </is>
      </c>
    </row>
    <row r="13510">
      <c r="A13510" t="inlineStr">
        <is>
          <t xml:space="preserve">UTI Mutual Fund</t>
        </is>
      </c>
      <c r="B13510" t="inlineStr">
        <is>
          <t xml:space="preserve">UTI FTIF Series XXVII-III (1096 Days) - Direct Plan - Quarterly Div Option</t>
        </is>
      </c>
      <c r="C13510" t="inlineStr">
        <is>
          <t xml:space="preserve">INF789FC1M83</t>
        </is>
      </c>
    </row>
    <row r="13511">
      <c r="A13511" t="inlineStr">
        <is>
          <t xml:space="preserve">UTI Mutual Fund</t>
        </is>
      </c>
      <c r="B13511" t="inlineStr">
        <is>
          <t xml:space="preserve">UTI FTIF Series XXVII-III (1096 Days) - Regular Plan - Annual Div Option</t>
        </is>
      </c>
      <c r="C13511" t="inlineStr">
        <is>
          <t xml:space="preserve">INF789FC1N33</t>
        </is>
      </c>
    </row>
    <row r="13512">
      <c r="A13512" t="inlineStr">
        <is>
          <t xml:space="preserve">UTI Mutual Fund</t>
        </is>
      </c>
      <c r="B13512" t="inlineStr">
        <is>
          <t xml:space="preserve">UTI FTIF Series XXVII-III (1096 Days) - Regular Plan - Growth Option</t>
        </is>
      </c>
      <c r="C13512" t="inlineStr">
        <is>
          <t xml:space="preserve">INF789FC1N74</t>
        </is>
      </c>
    </row>
    <row r="13513">
      <c r="A13513" t="inlineStr">
        <is>
          <t xml:space="preserve">UTI Mutual Fund</t>
        </is>
      </c>
      <c r="B13513" t="inlineStr">
        <is>
          <t xml:space="preserve">UTI FTIF Series XXVII-III (1096 Days) - Regular Plan - Maturity Div Option</t>
        </is>
      </c>
      <c r="C13513" t="inlineStr">
        <is>
          <t xml:space="preserve">INF789FC1N66</t>
        </is>
      </c>
    </row>
    <row r="13514">
      <c r="A13514" t="inlineStr">
        <is>
          <t xml:space="preserve">UTI Mutual Fund</t>
        </is>
      </c>
      <c r="B13514" t="inlineStr">
        <is>
          <t xml:space="preserve">UTI FTIF Series XXVII-III (1096 Days) - Regular Plan - Quarterly Div Option</t>
        </is>
      </c>
      <c r="C13514" t="inlineStr">
        <is>
          <t xml:space="preserve">INF789FC1N25</t>
        </is>
      </c>
    </row>
    <row r="13515">
      <c r="A13515" t="inlineStr">
        <is>
          <t xml:space="preserve">UTI Mutual Fund</t>
        </is>
      </c>
      <c r="B13515" t="inlineStr">
        <is>
          <t xml:space="preserve">UTI FTIF Series XXVII-IV (1113 Days) - Direct Plan - Annual Div Option</t>
        </is>
      </c>
      <c r="C13515" t="inlineStr">
        <is>
          <t xml:space="preserve">INF789FC1O08</t>
        </is>
      </c>
    </row>
    <row r="13516">
      <c r="A13516" t="inlineStr">
        <is>
          <t xml:space="preserve">UTI Mutual Fund</t>
        </is>
      </c>
      <c r="B13516" t="inlineStr">
        <is>
          <t xml:space="preserve">UTI FTIF Series XXVII-IV (1113 Days) - Direct Plan - Flexi Div Option</t>
        </is>
      </c>
      <c r="C13516" t="inlineStr">
        <is>
          <t xml:space="preserve">INF789FC1O16</t>
        </is>
      </c>
    </row>
    <row r="13517">
      <c r="A13517" t="inlineStr">
        <is>
          <t xml:space="preserve">UTI Mutual Fund</t>
        </is>
      </c>
      <c r="B13517" t="inlineStr">
        <is>
          <t xml:space="preserve">UTI FTIF Series XXVII-IV (1113 Days) - Direct Plan - Growth Option</t>
        </is>
      </c>
      <c r="C13517" t="inlineStr">
        <is>
          <t xml:space="preserve">INF789FC1O65</t>
        </is>
      </c>
    </row>
    <row r="13518">
      <c r="A13518" t="inlineStr">
        <is>
          <t xml:space="preserve">UTI Mutual Fund</t>
        </is>
      </c>
      <c r="B13518" t="inlineStr">
        <is>
          <t xml:space="preserve">UTI FTIF Series XXVII-IV (1113 Days) - Direct Plan - Maturity Div Option</t>
        </is>
      </c>
      <c r="C13518" t="inlineStr">
        <is>
          <t xml:space="preserve">INF789FC1O57</t>
        </is>
      </c>
    </row>
    <row r="13519">
      <c r="A13519" t="inlineStr">
        <is>
          <t xml:space="preserve">UTI Mutual Fund</t>
        </is>
      </c>
      <c r="B13519" t="inlineStr">
        <is>
          <t xml:space="preserve">UTI FTIF Series XXVII-IV (1113 Days) - Direct Plan - Quarterly Div Option</t>
        </is>
      </c>
      <c r="C13519" t="inlineStr">
        <is>
          <t xml:space="preserve">INF789FC1N90</t>
        </is>
      </c>
    </row>
    <row r="13520">
      <c r="A13520" t="inlineStr">
        <is>
          <t xml:space="preserve">UTI Mutual Fund</t>
        </is>
      </c>
      <c r="B13520" t="inlineStr">
        <is>
          <t xml:space="preserve">UTI FTIF Series XXVII-IV (1113 Days) - Regular - Growth Option</t>
        </is>
      </c>
      <c r="C13520" t="inlineStr">
        <is>
          <t xml:space="preserve">INF789FC1O81</t>
        </is>
      </c>
    </row>
    <row r="13521">
      <c r="A13521" t="inlineStr">
        <is>
          <t xml:space="preserve">UTI Mutual Fund</t>
        </is>
      </c>
      <c r="B13521" t="inlineStr">
        <is>
          <t xml:space="preserve">UTI FTIF Series XXVII-IV (1113 Days) - Regular Plan - Annual Div Option</t>
        </is>
      </c>
      <c r="C13521" t="inlineStr">
        <is>
          <t xml:space="preserve">INF789FC1O40</t>
        </is>
      </c>
    </row>
    <row r="13522">
      <c r="A13522" t="inlineStr">
        <is>
          <t xml:space="preserve">UTI Mutual Fund</t>
        </is>
      </c>
      <c r="B13522" t="inlineStr">
        <is>
          <t xml:space="preserve">UTI FTIF Series XXVII-IV (1113 Days) - Regular Plan - Flexi Div Option</t>
        </is>
      </c>
      <c r="C13522" t="inlineStr">
        <is>
          <t xml:space="preserve">INF789FC1O24</t>
        </is>
      </c>
    </row>
    <row r="13523">
      <c r="A13523" t="inlineStr">
        <is>
          <t xml:space="preserve">UTI Mutual Fund</t>
        </is>
      </c>
      <c r="B13523" t="inlineStr">
        <is>
          <t xml:space="preserve">UTI FTIF Series XXVII-IV (1113 Days) - Regular Plan - Maturity Div Option</t>
        </is>
      </c>
      <c r="C13523" t="inlineStr">
        <is>
          <t xml:space="preserve">INF789FC1O73</t>
        </is>
      </c>
    </row>
    <row r="13524">
      <c r="A13524" t="inlineStr">
        <is>
          <t xml:space="preserve">UTI Mutual Fund</t>
        </is>
      </c>
      <c r="B13524" t="inlineStr">
        <is>
          <t xml:space="preserve">UTI FTIF Series XXVII-IV (1113 Days) - Regular Plan - Quarterly Div Option</t>
        </is>
      </c>
      <c r="C13524" t="inlineStr">
        <is>
          <t xml:space="preserve">INF789FC1O32</t>
        </is>
      </c>
    </row>
    <row r="13525">
      <c r="A13525" t="inlineStr">
        <is>
          <t xml:space="preserve">UTI Mutual Fund</t>
        </is>
      </c>
      <c r="B13525" t="inlineStr">
        <is>
          <t xml:space="preserve">UTI FTIF Series XXVII-IX (1160 Days) - Direct Plan - Growth Option</t>
        </is>
      </c>
      <c r="C13525" t="inlineStr">
        <is>
          <t xml:space="preserve">INF789FC1V33</t>
        </is>
      </c>
    </row>
    <row r="13526">
      <c r="A13526" t="inlineStr">
        <is>
          <t xml:space="preserve">UTI Mutual Fund</t>
        </is>
      </c>
      <c r="B13526" t="inlineStr">
        <is>
          <t xml:space="preserve">UTI FTIF Series XXVII-IX (1160 Days) - Direct Plan - Quarterly Div Option</t>
        </is>
      </c>
      <c r="C13526" t="inlineStr">
        <is>
          <t xml:space="preserve">INF789FC1V09</t>
        </is>
      </c>
    </row>
    <row r="13527">
      <c r="A13527" t="inlineStr">
        <is>
          <t xml:space="preserve">UTI Mutual Fund</t>
        </is>
      </c>
      <c r="B13527" t="inlineStr">
        <is>
          <t xml:space="preserve">UTI FTIF Series XXVII-IX (1160 Days) - Regular Plan - Growth Option</t>
        </is>
      </c>
      <c r="C13527" t="inlineStr">
        <is>
          <t xml:space="preserve">INF789FC1U83</t>
        </is>
      </c>
    </row>
    <row r="13528">
      <c r="A13528" t="inlineStr">
        <is>
          <t xml:space="preserve">UTI Mutual Fund</t>
        </is>
      </c>
      <c r="B13528" t="inlineStr">
        <is>
          <t xml:space="preserve">UTI FTIF Series XXVII-V (1097 Days) - Direct Plan - Annual Div Option</t>
        </is>
      </c>
      <c r="C13528" t="inlineStr">
        <is>
          <t xml:space="preserve">INF789FC1P07</t>
        </is>
      </c>
    </row>
    <row r="13529">
      <c r="A13529" t="inlineStr">
        <is>
          <t xml:space="preserve">UTI Mutual Fund</t>
        </is>
      </c>
      <c r="B13529" t="inlineStr">
        <is>
          <t xml:space="preserve">UTI FTIF Series XXVII-V (1097 Days) - Direct Plan - Flexi Div Option</t>
        </is>
      </c>
      <c r="C13529" t="inlineStr">
        <is>
          <t xml:space="preserve">INF789FC1P15</t>
        </is>
      </c>
    </row>
    <row r="13530">
      <c r="A13530" t="inlineStr">
        <is>
          <t xml:space="preserve">UTI Mutual Fund</t>
        </is>
      </c>
      <c r="B13530" t="inlineStr">
        <is>
          <t xml:space="preserve">UTI FTIF Series XXVII-V (1097 Days) - Direct Plan - Growth Option</t>
        </is>
      </c>
      <c r="C13530" t="inlineStr">
        <is>
          <t xml:space="preserve">INF789FC1P64</t>
        </is>
      </c>
    </row>
    <row r="13531">
      <c r="A13531" t="inlineStr">
        <is>
          <t xml:space="preserve">UTI Mutual Fund</t>
        </is>
      </c>
      <c r="B13531" t="inlineStr">
        <is>
          <t xml:space="preserve">UTI FTIF Series XXVII-V (1097 Days) - Direct Plan - Maturity Div Option</t>
        </is>
      </c>
      <c r="C13531" t="inlineStr">
        <is>
          <t xml:space="preserve">INF789FC1P56</t>
        </is>
      </c>
    </row>
    <row r="13532">
      <c r="A13532" t="inlineStr">
        <is>
          <t xml:space="preserve">UTI Mutual Fund</t>
        </is>
      </c>
      <c r="B13532" t="inlineStr">
        <is>
          <t xml:space="preserve">UTI FTIF Series XXVII-V (1097 Days) - Regular Plan - Annual Div Option</t>
        </is>
      </c>
      <c r="C13532" t="inlineStr">
        <is>
          <t xml:space="preserve">INF789FC1P49</t>
        </is>
      </c>
    </row>
    <row r="13533">
      <c r="A13533" t="inlineStr">
        <is>
          <t xml:space="preserve">UTI Mutual Fund</t>
        </is>
      </c>
      <c r="B13533" t="inlineStr">
        <is>
          <t xml:space="preserve">UTI FTIF Series XXVII-V (1097 Days) - Regular Plan - Growth Option</t>
        </is>
      </c>
      <c r="C13533" t="inlineStr">
        <is>
          <t xml:space="preserve">INF789FC1P80</t>
        </is>
      </c>
    </row>
    <row r="13534">
      <c r="A13534" t="inlineStr">
        <is>
          <t xml:space="preserve">UTI Mutual Fund</t>
        </is>
      </c>
      <c r="B13534" t="inlineStr">
        <is>
          <t xml:space="preserve">UTI FTIF Series XXVII-V (1097 Days) - Regular Plan - Maturity Div Option</t>
        </is>
      </c>
      <c r="C13534" t="inlineStr">
        <is>
          <t xml:space="preserve">INF789FC1P72</t>
        </is>
      </c>
    </row>
    <row r="13535">
      <c r="A13535" t="inlineStr">
        <is>
          <t xml:space="preserve">UTI Mutual Fund</t>
        </is>
      </c>
      <c r="B13535" t="inlineStr">
        <is>
          <t xml:space="preserve">UTI FTIF Series XXVII-V (1097 Days) - Regular Plan - Quarterly Div Option</t>
        </is>
      </c>
      <c r="C13535" t="inlineStr">
        <is>
          <t xml:space="preserve">INF789FC1P31</t>
        </is>
      </c>
    </row>
    <row r="13536">
      <c r="A13536" t="inlineStr">
        <is>
          <t xml:space="preserve">UTI Mutual Fund</t>
        </is>
      </c>
      <c r="B13536" t="inlineStr">
        <is>
          <t xml:space="preserve">UTI FTIF Series XXVII-VI (1113 Days) - Direct Plan - Annual Div Option</t>
        </is>
      </c>
      <c r="C13536" t="inlineStr">
        <is>
          <t xml:space="preserve">INF789FC1R39</t>
        </is>
      </c>
    </row>
    <row r="13537">
      <c r="A13537" t="inlineStr">
        <is>
          <t xml:space="preserve">UTI Mutual Fund</t>
        </is>
      </c>
      <c r="B13537" t="inlineStr">
        <is>
          <t xml:space="preserve">UTI FTIF Series XXVII-VI (1113 Days) - Direct Plan - Flexi Div Option</t>
        </is>
      </c>
      <c r="C13537" t="inlineStr">
        <is>
          <t xml:space="preserve">INF789FC1R62</t>
        </is>
      </c>
    </row>
    <row r="13538">
      <c r="A13538" t="inlineStr">
        <is>
          <t xml:space="preserve">UTI Mutual Fund</t>
        </is>
      </c>
      <c r="B13538" t="inlineStr">
        <is>
          <t xml:space="preserve">UTI FTIF Series XXVII-VI (1113 Days) - Direct Plan - Growth Option</t>
        </is>
      </c>
      <c r="C13538" t="inlineStr">
        <is>
          <t xml:space="preserve">INF789FC1R54</t>
        </is>
      </c>
    </row>
    <row r="13539">
      <c r="A13539" t="inlineStr">
        <is>
          <t xml:space="preserve">UTI Mutual Fund</t>
        </is>
      </c>
      <c r="B13539" t="inlineStr">
        <is>
          <t xml:space="preserve">UTI FTIF Series XXVII-VI (1113 Days) - Direct Plan - Maturity Div Option</t>
        </is>
      </c>
      <c r="C13539" t="inlineStr">
        <is>
          <t xml:space="preserve">INF789FC1R47</t>
        </is>
      </c>
    </row>
    <row r="13540">
      <c r="A13540" t="inlineStr">
        <is>
          <t xml:space="preserve">UTI Mutual Fund</t>
        </is>
      </c>
      <c r="B13540" t="inlineStr">
        <is>
          <t xml:space="preserve">UTI FTIF Series XXVII-VI (1113 Days) - Direct Plan - Quarterly Div Option</t>
        </is>
      </c>
      <c r="C13540" t="inlineStr">
        <is>
          <t xml:space="preserve">INF789FC1R21</t>
        </is>
      </c>
    </row>
    <row r="13541">
      <c r="A13541" t="inlineStr">
        <is>
          <t xml:space="preserve">UTI Mutual Fund</t>
        </is>
      </c>
      <c r="B13541" t="inlineStr">
        <is>
          <t xml:space="preserve">UTI FTIF Series XXVII-VI (1113 Days) - Regular Plan - Annual Div Option</t>
        </is>
      </c>
      <c r="C13541" t="inlineStr">
        <is>
          <t xml:space="preserve">INF789FC1Q89</t>
        </is>
      </c>
    </row>
    <row r="13542">
      <c r="A13542" t="inlineStr">
        <is>
          <t xml:space="preserve">UTI Mutual Fund</t>
        </is>
      </c>
      <c r="B13542" t="inlineStr">
        <is>
          <t xml:space="preserve">UTI FTIF Series XXVII-VI (1113 Days) - Regular Plan - Flexi Div Option</t>
        </is>
      </c>
      <c r="C13542" t="inlineStr">
        <is>
          <t xml:space="preserve">INF789FC1R13</t>
        </is>
      </c>
    </row>
    <row r="13543">
      <c r="A13543" t="inlineStr">
        <is>
          <t xml:space="preserve">UTI Mutual Fund</t>
        </is>
      </c>
      <c r="B13543" t="inlineStr">
        <is>
          <t xml:space="preserve">UTI FTIF Series XXVII-VI (1113 Days) - Regular Plan - Growth Option</t>
        </is>
      </c>
      <c r="C13543" t="inlineStr">
        <is>
          <t xml:space="preserve">INF789FC1R05</t>
        </is>
      </c>
    </row>
    <row r="13544">
      <c r="A13544" t="inlineStr">
        <is>
          <t xml:space="preserve">UTI Mutual Fund</t>
        </is>
      </c>
      <c r="B13544" t="inlineStr">
        <is>
          <t xml:space="preserve">UTI FTIF Series XXVII-VI (1113 Days) - Regular Plan - Maturity Div Option</t>
        </is>
      </c>
      <c r="C13544" t="inlineStr">
        <is>
          <t xml:space="preserve">INF789FC1Q97</t>
        </is>
      </c>
    </row>
    <row r="13545">
      <c r="A13545" t="inlineStr">
        <is>
          <t xml:space="preserve">UTI Mutual Fund</t>
        </is>
      </c>
      <c r="B13545" t="inlineStr">
        <is>
          <t xml:space="preserve">UTI FTIF Series XXVII-VI (1113 Days) - Regular Plan - Quarterly Div Option</t>
        </is>
      </c>
      <c r="C13545" t="inlineStr">
        <is>
          <t xml:space="preserve">INF789FC1Q71</t>
        </is>
      </c>
    </row>
    <row r="13546">
      <c r="A13546" t="inlineStr">
        <is>
          <t xml:space="preserve">UTI Mutual Fund</t>
        </is>
      </c>
      <c r="B13546" t="inlineStr">
        <is>
          <t xml:space="preserve">UTI FTIF Series XXVII-VII (1104 Days) - Direct Plan - Annual Div Option</t>
        </is>
      </c>
      <c r="C13546" t="inlineStr">
        <is>
          <t xml:space="preserve">INF789FC1S38</t>
        </is>
      </c>
    </row>
    <row r="13547">
      <c r="A13547" t="inlineStr">
        <is>
          <t xml:space="preserve">UTI Mutual Fund</t>
        </is>
      </c>
      <c r="B13547" t="inlineStr">
        <is>
          <t xml:space="preserve">UTI FTIF Series XXVII-VII (1104 Days) - Direct Plan - Growth Option</t>
        </is>
      </c>
      <c r="C13547" t="inlineStr">
        <is>
          <t xml:space="preserve">INF789FC1S53</t>
        </is>
      </c>
    </row>
    <row r="13548">
      <c r="A13548" t="inlineStr">
        <is>
          <t xml:space="preserve">UTI Mutual Fund</t>
        </is>
      </c>
      <c r="B13548" t="inlineStr">
        <is>
          <t xml:space="preserve">UTI FTIF Series XXVII-VII (1104 Days) - Direct Plan - Maturity Div Option</t>
        </is>
      </c>
      <c r="C13548" t="inlineStr">
        <is>
          <t xml:space="preserve">INF789FC1S46</t>
        </is>
      </c>
    </row>
    <row r="13549">
      <c r="A13549" t="inlineStr">
        <is>
          <t xml:space="preserve">UTI Mutual Fund</t>
        </is>
      </c>
      <c r="B13549" t="inlineStr">
        <is>
          <t xml:space="preserve">UTI FTIF Series XXVII-VII (1104 Days) - Direct Plan - Quarterly Div Option</t>
        </is>
      </c>
      <c r="C13549" t="inlineStr">
        <is>
          <t xml:space="preserve">INF789FC1S20</t>
        </is>
      </c>
    </row>
    <row r="13550">
      <c r="A13550" t="inlineStr">
        <is>
          <t xml:space="preserve">UTI Mutual Fund</t>
        </is>
      </c>
      <c r="B13550" t="inlineStr">
        <is>
          <t xml:space="preserve">UTI FTIF Series XXVII-VII (1104 Days) - Regular Plan - Annual Div Option</t>
        </is>
      </c>
      <c r="C13550" t="inlineStr">
        <is>
          <t xml:space="preserve">INF789FC1R88</t>
        </is>
      </c>
    </row>
    <row r="13551">
      <c r="A13551" t="inlineStr">
        <is>
          <t xml:space="preserve">UTI Mutual Fund</t>
        </is>
      </c>
      <c r="B13551" t="inlineStr">
        <is>
          <t xml:space="preserve">UTI FTIF Series XXVII-VII (1104 Days) - Regular Plan - Flexi Div Option</t>
        </is>
      </c>
      <c r="C13551" t="inlineStr">
        <is>
          <t xml:space="preserve">INF789FC1S12</t>
        </is>
      </c>
    </row>
    <row r="13552">
      <c r="A13552" t="inlineStr">
        <is>
          <t xml:space="preserve">UTI Mutual Fund</t>
        </is>
      </c>
      <c r="B13552" t="inlineStr">
        <is>
          <t xml:space="preserve">UTI FTIF Series XXVII-VII (1104 Days) - Regular Plan - Growth Option</t>
        </is>
      </c>
      <c r="C13552" t="inlineStr">
        <is>
          <t xml:space="preserve">INF789FC1S04</t>
        </is>
      </c>
    </row>
    <row r="13553">
      <c r="A13553" t="inlineStr">
        <is>
          <t xml:space="preserve">UTI Mutual Fund</t>
        </is>
      </c>
      <c r="B13553" t="inlineStr">
        <is>
          <t xml:space="preserve">UTI FTIF Series XXVII-VII (1104 Days) - Regular Plan - Maturity Div Option</t>
        </is>
      </c>
      <c r="C13553" t="inlineStr">
        <is>
          <t xml:space="preserve">INF789FC1R96</t>
        </is>
      </c>
    </row>
    <row r="13554">
      <c r="A13554" t="inlineStr">
        <is>
          <t xml:space="preserve">UTI Mutual Fund</t>
        </is>
      </c>
      <c r="B13554" t="inlineStr">
        <is>
          <t xml:space="preserve">UTI FTIF Series XXVII-VII (1104 Days) - Regular Plan - Quarterly Div Option</t>
        </is>
      </c>
      <c r="C13554" t="inlineStr">
        <is>
          <t xml:space="preserve">INF789FC1R70</t>
        </is>
      </c>
    </row>
    <row r="13555">
      <c r="A13555" t="inlineStr">
        <is>
          <t xml:space="preserve">UTI Mutual Fund</t>
        </is>
      </c>
      <c r="B13555" t="inlineStr">
        <is>
          <t xml:space="preserve">UTI FTIF Series XXVII-VIII (1117 Days) - Direct Plan - Annual Div Option</t>
        </is>
      </c>
      <c r="C13555" t="inlineStr">
        <is>
          <t xml:space="preserve">INF789FC1U18</t>
        </is>
      </c>
    </row>
    <row r="13556">
      <c r="A13556" t="inlineStr">
        <is>
          <t xml:space="preserve">UTI Mutual Fund</t>
        </is>
      </c>
      <c r="B13556" t="inlineStr">
        <is>
          <t xml:space="preserve">UTI FTIF Series XXVII-VIII (1117 Days) - Direct Plan - Growth Option</t>
        </is>
      </c>
      <c r="C13556" t="inlineStr">
        <is>
          <t xml:space="preserve">INF789FC1U34</t>
        </is>
      </c>
    </row>
    <row r="13557">
      <c r="A13557" t="inlineStr">
        <is>
          <t xml:space="preserve">UTI Mutual Fund</t>
        </is>
      </c>
      <c r="B13557" t="inlineStr">
        <is>
          <t xml:space="preserve">UTI FTIF Series XXVII-VIII (1117 Days) - Direct Plan - Maturity Div Option</t>
        </is>
      </c>
      <c r="C13557" t="inlineStr">
        <is>
          <t xml:space="preserve">INF789FC1U26</t>
        </is>
      </c>
    </row>
    <row r="13558">
      <c r="A13558" t="inlineStr">
        <is>
          <t xml:space="preserve">UTI Mutual Fund</t>
        </is>
      </c>
      <c r="B13558" t="inlineStr">
        <is>
          <t xml:space="preserve">UTI FTIF Series XXVII-VIII (1117 Days) - Direct Plan - Quarterly Div Option</t>
        </is>
      </c>
      <c r="C13558" t="inlineStr">
        <is>
          <t xml:space="preserve">INF789FC1U00</t>
        </is>
      </c>
    </row>
    <row r="13559">
      <c r="A13559" t="inlineStr">
        <is>
          <t xml:space="preserve">UTI Mutual Fund</t>
        </is>
      </c>
      <c r="B13559" t="inlineStr">
        <is>
          <t xml:space="preserve">UTI FTIF Series XXVII-VIII (1117 Days) - Regular Plan - Annual Div Option</t>
        </is>
      </c>
      <c r="C13559" t="inlineStr">
        <is>
          <t xml:space="preserve">INF789FC1T60</t>
        </is>
      </c>
    </row>
    <row r="13560">
      <c r="A13560" t="inlineStr">
        <is>
          <t xml:space="preserve">UTI Mutual Fund</t>
        </is>
      </c>
      <c r="B13560" t="inlineStr">
        <is>
          <t xml:space="preserve">UTI FTIF Series XXVII-VIII (1117 Days) - Regular Plan - Flexi Div Option</t>
        </is>
      </c>
      <c r="C13560" t="inlineStr">
        <is>
          <t xml:space="preserve">INF789FC1T94</t>
        </is>
      </c>
    </row>
    <row r="13561">
      <c r="A13561" t="inlineStr">
        <is>
          <t xml:space="preserve">UTI Mutual Fund</t>
        </is>
      </c>
      <c r="B13561" t="inlineStr">
        <is>
          <t xml:space="preserve">UTI FTIF Series XXVII-VIII (1117 Days) - Regular Plan - Growth Option</t>
        </is>
      </c>
      <c r="C13561" t="inlineStr">
        <is>
          <t xml:space="preserve">INF789FC1T86</t>
        </is>
      </c>
    </row>
    <row r="13562">
      <c r="A13562" t="inlineStr">
        <is>
          <t xml:space="preserve">UTI Mutual Fund</t>
        </is>
      </c>
      <c r="B13562" t="inlineStr">
        <is>
          <t xml:space="preserve">UTI FTIF Series XXVII-VIII (1117 Days) - Regular Plan - Maturity Div Option</t>
        </is>
      </c>
      <c r="C13562" t="inlineStr">
        <is>
          <t xml:space="preserve">INF789FC1T78</t>
        </is>
      </c>
    </row>
    <row r="13563">
      <c r="A13563" t="inlineStr">
        <is>
          <t xml:space="preserve">UTI Mutual Fund</t>
        </is>
      </c>
      <c r="B13563" t="inlineStr">
        <is>
          <t xml:space="preserve">UTI FTIF Series XXVII-VIII (1117 Days) - Regular Plan - Quarterly Div Option</t>
        </is>
      </c>
      <c r="C13563" t="inlineStr">
        <is>
          <t xml:space="preserve">INF789FC1T52</t>
        </is>
      </c>
    </row>
    <row r="13564">
      <c r="A13564" t="inlineStr">
        <is>
          <t xml:space="preserve">UTI Mutual Fund</t>
        </is>
      </c>
      <c r="B13564" t="inlineStr">
        <is>
          <t xml:space="preserve">UTI FTIF Series XXVII-X (1118 Days) - Direct Plan - Annual Div Option</t>
        </is>
      </c>
      <c r="C13564" t="inlineStr">
        <is>
          <t xml:space="preserve">INF789FC1W57</t>
        </is>
      </c>
    </row>
    <row r="13565">
      <c r="A13565" t="inlineStr">
        <is>
          <t xml:space="preserve">UTI Mutual Fund</t>
        </is>
      </c>
      <c r="B13565" t="inlineStr">
        <is>
          <t xml:space="preserve">UTI FTIF Series XXVII-X (1118 Days) - Direct Plan - Growth Option</t>
        </is>
      </c>
      <c r="C13565" t="inlineStr">
        <is>
          <t xml:space="preserve">INF789FC1W73</t>
        </is>
      </c>
    </row>
    <row r="13566">
      <c r="A13566" t="inlineStr">
        <is>
          <t xml:space="preserve">UTI Mutual Fund</t>
        </is>
      </c>
      <c r="B13566" t="inlineStr">
        <is>
          <t xml:space="preserve">UTI FTIF Series XXVII-X (1118 Days) - Direct Plan - Maturity Div Option</t>
        </is>
      </c>
      <c r="C13566" t="inlineStr">
        <is>
          <t xml:space="preserve">INF789FC1W65</t>
        </is>
      </c>
    </row>
    <row r="13567">
      <c r="A13567" t="inlineStr">
        <is>
          <t xml:space="preserve">UTI Mutual Fund</t>
        </is>
      </c>
      <c r="B13567" t="inlineStr">
        <is>
          <t xml:space="preserve">UTI FTIF Series XXVII-X (1118 Days) - Direct Plan - Quarterly Div Option</t>
        </is>
      </c>
      <c r="C13567" t="inlineStr">
        <is>
          <t xml:space="preserve">INF789FC1W40</t>
        </is>
      </c>
    </row>
    <row r="13568">
      <c r="A13568" t="inlineStr">
        <is>
          <t xml:space="preserve">UTI Mutual Fund</t>
        </is>
      </c>
      <c r="B13568" t="inlineStr">
        <is>
          <t xml:space="preserve">UTI FTIF Series XXVII-X (1118 Days) - Regular Plan - Annual Div Option</t>
        </is>
      </c>
      <c r="C13568" t="inlineStr">
        <is>
          <t xml:space="preserve">INF789FC1W08</t>
        </is>
      </c>
    </row>
    <row r="13569">
      <c r="A13569" t="inlineStr">
        <is>
          <t xml:space="preserve">UTI Mutual Fund</t>
        </is>
      </c>
      <c r="B13569" t="inlineStr">
        <is>
          <t xml:space="preserve">UTI FTIF Series XXVII-X (1118 Days) - Regular Plan - Flexi Div Option</t>
        </is>
      </c>
      <c r="C13569" t="inlineStr">
        <is>
          <t xml:space="preserve">INF789FC1W32</t>
        </is>
      </c>
    </row>
    <row r="13570">
      <c r="A13570" t="inlineStr">
        <is>
          <t xml:space="preserve">UTI Mutual Fund</t>
        </is>
      </c>
      <c r="B13570" t="inlineStr">
        <is>
          <t xml:space="preserve">UTI FTIF Series XXVII-X (1118 Days) - Regular Plan - Growth Option</t>
        </is>
      </c>
      <c r="C13570" t="inlineStr">
        <is>
          <t xml:space="preserve">INF789FC1W24</t>
        </is>
      </c>
    </row>
    <row r="13571">
      <c r="A13571" t="inlineStr">
        <is>
          <t xml:space="preserve">UTI Mutual Fund</t>
        </is>
      </c>
      <c r="B13571" t="inlineStr">
        <is>
          <t xml:space="preserve">UTI FTIF Series XXVII-X (1118 Days) - Regular Plan - Maturity Div Option</t>
        </is>
      </c>
      <c r="C13571" t="inlineStr">
        <is>
          <t xml:space="preserve">INF789FC1W16</t>
        </is>
      </c>
    </row>
    <row r="13572">
      <c r="A13572" t="inlineStr">
        <is>
          <t xml:space="preserve">UTI Mutual Fund</t>
        </is>
      </c>
      <c r="B13572" t="inlineStr">
        <is>
          <t xml:space="preserve">UTI FTIF Series XXVII-X (1118 Days) - Regular Plan - Quarterly Div Option</t>
        </is>
      </c>
      <c r="C13572" t="inlineStr">
        <is>
          <t xml:space="preserve">INF789FC1V90</t>
        </is>
      </c>
    </row>
    <row r="13573">
      <c r="A13573" t="inlineStr">
        <is>
          <t xml:space="preserve">UTI Mutual Fund</t>
        </is>
      </c>
      <c r="B13573" t="inlineStr">
        <is>
          <t xml:space="preserve">UTI FTIF SERIES XXVIII - PLAN I (1230 DAYS) - Direct Plan - Annual IDCW</t>
        </is>
      </c>
      <c r="C13573" t="inlineStr">
        <is>
          <t xml:space="preserve">INF789FC1X98</t>
        </is>
      </c>
    </row>
    <row r="13574">
      <c r="A13574" t="inlineStr">
        <is>
          <t xml:space="preserve">UTI Mutual Fund</t>
        </is>
      </c>
      <c r="B13574" t="inlineStr">
        <is>
          <t xml:space="preserve">UTI FTIF SERIES XXVIII - PLAN I (1230 DAYS) - Direct Plan - Quarterly IDCW</t>
        </is>
      </c>
      <c r="C13574" t="inlineStr">
        <is>
          <t xml:space="preserve">INF789FC1X80</t>
        </is>
      </c>
    </row>
    <row r="13575">
      <c r="A13575" t="inlineStr">
        <is>
          <t xml:space="preserve">UTI Mutual Fund</t>
        </is>
      </c>
      <c r="B13575" t="inlineStr">
        <is>
          <t xml:space="preserve">UTI FTIF SERIES XXVIII - PLAN I (1230 DAYS) - Regular Plan - Annual IDCW</t>
        </is>
      </c>
      <c r="C13575" t="inlineStr">
        <is>
          <t xml:space="preserve">INF789FC1X49</t>
        </is>
      </c>
    </row>
    <row r="13576">
      <c r="A13576" t="inlineStr">
        <is>
          <t xml:space="preserve">UTI Mutual Fund</t>
        </is>
      </c>
      <c r="B13576" t="inlineStr">
        <is>
          <t xml:space="preserve">UTI FTIF SERIES XXVIII - PLAN I (1230 DAYS) - Regular Plan - Flexi IDCW</t>
        </is>
      </c>
      <c r="C13576" t="inlineStr">
        <is>
          <t xml:space="preserve">INF789FC1X72</t>
        </is>
      </c>
    </row>
    <row r="13577">
      <c r="A13577" t="inlineStr">
        <is>
          <t xml:space="preserve">UTI Mutual Fund</t>
        </is>
      </c>
      <c r="B13577" t="inlineStr">
        <is>
          <t xml:space="preserve">UTI FTIF SERIES XXVIII - PLAN I (1230 DAYS) - Regular Plan - Maturity IDCW</t>
        </is>
      </c>
      <c r="C13577" t="inlineStr">
        <is>
          <t xml:space="preserve">INF789FC1X56</t>
        </is>
      </c>
    </row>
    <row r="13578">
      <c r="A13578" t="inlineStr">
        <is>
          <t xml:space="preserve">UTI Mutual Fund</t>
        </is>
      </c>
      <c r="B13578" t="inlineStr">
        <is>
          <t xml:space="preserve">UTI FTIF SERIES XXVIII - PLAN I (1230 DAYS) - Regular Plan - Quarterly IDCW</t>
        </is>
      </c>
      <c r="C13578" t="inlineStr">
        <is>
          <t xml:space="preserve">INF789FC1X31</t>
        </is>
      </c>
    </row>
    <row r="13579">
      <c r="A13579" t="inlineStr">
        <is>
          <t xml:space="preserve">UTI Mutual Fund</t>
        </is>
      </c>
      <c r="B13579" t="inlineStr">
        <is>
          <t xml:space="preserve">UTI FTIF SERIES XXVIII - PLAN II (1210 DAYS) - Direct Plan - Annual IDCW</t>
        </is>
      </c>
      <c r="C13579" t="inlineStr">
        <is>
          <t xml:space="preserve">INF789FC1Y48</t>
        </is>
      </c>
    </row>
    <row r="13580">
      <c r="A13580" t="inlineStr">
        <is>
          <t xml:space="preserve">UTI Mutual Fund</t>
        </is>
      </c>
      <c r="B13580" t="inlineStr">
        <is>
          <t xml:space="preserve">UTI FTIF SERIES XXVIII - PLAN II (1210 DAYS) - Direct Plan - Flexi IDCW</t>
        </is>
      </c>
      <c r="C13580" t="inlineStr">
        <is>
          <t xml:space="preserve">INF789FC1Y71</t>
        </is>
      </c>
    </row>
    <row r="13581">
      <c r="A13581" t="inlineStr">
        <is>
          <t xml:space="preserve">UTI Mutual Fund</t>
        </is>
      </c>
      <c r="B13581" t="inlineStr">
        <is>
          <t xml:space="preserve">UTI FTIF SERIES XXVIII - PLAN II (1210 DAYS) - Direct Plan - Maturity IDCW</t>
        </is>
      </c>
      <c r="C13581" t="inlineStr">
        <is>
          <t xml:space="preserve">INF789FC1Y55</t>
        </is>
      </c>
    </row>
    <row r="13582">
      <c r="A13582" t="inlineStr">
        <is>
          <t xml:space="preserve">UTI Mutual Fund</t>
        </is>
      </c>
      <c r="B13582" t="inlineStr">
        <is>
          <t xml:space="preserve">UTI FTIF SERIES XXVIII - PLAN II (1210 DAYS) - Direct Plan - Quarterly IDCW</t>
        </is>
      </c>
      <c r="C13582" t="inlineStr">
        <is>
          <t xml:space="preserve">INF789FC1Y30</t>
        </is>
      </c>
    </row>
    <row r="13583">
      <c r="A13583" t="inlineStr">
        <is>
          <t xml:space="preserve">UTI Mutual Fund</t>
        </is>
      </c>
      <c r="B13583" t="inlineStr">
        <is>
          <t xml:space="preserve">UTI FTIF SERIES XXVIII - PLAN II (1210 DAYS) - Regular Plan - Annual IDCW</t>
        </is>
      </c>
      <c r="C13583" t="inlineStr">
        <is>
          <t xml:space="preserve">INF789FC1Y97</t>
        </is>
      </c>
    </row>
    <row r="13584">
      <c r="A13584" t="inlineStr">
        <is>
          <t xml:space="preserve">UTI Mutual Fund</t>
        </is>
      </c>
      <c r="B13584" t="inlineStr">
        <is>
          <t xml:space="preserve">UTI FTIF SERIES XXVIII - PLAN II (1210 DAYS) - Regular Plan - Flexi IDCW</t>
        </is>
      </c>
      <c r="C13584" t="inlineStr">
        <is>
          <t xml:space="preserve">INF789FC1Z21</t>
        </is>
      </c>
    </row>
    <row r="13585">
      <c r="A13585" t="inlineStr">
        <is>
          <t xml:space="preserve">UTI Mutual Fund</t>
        </is>
      </c>
      <c r="B13585" t="inlineStr">
        <is>
          <t xml:space="preserve">UTI FTIF SERIES XXVIII - PLAN II (1210 DAYS) - Regular Plan - Maturity IDCW</t>
        </is>
      </c>
      <c r="C13585" t="inlineStr">
        <is>
          <t xml:space="preserve">INF789FC1Z05</t>
        </is>
      </c>
    </row>
    <row r="13586">
      <c r="A13586" t="inlineStr">
        <is>
          <t xml:space="preserve">UTI Mutual Fund</t>
        </is>
      </c>
      <c r="B13586" t="inlineStr">
        <is>
          <t xml:space="preserve">UTI FTIF SERIES XXVIII - PLAN II (1210 DAYS) - Regular Plan - Quarterly IDCW</t>
        </is>
      </c>
      <c r="C13586" t="inlineStr">
        <is>
          <t xml:space="preserve">INF789FC1Y89</t>
        </is>
      </c>
    </row>
    <row r="13587">
      <c r="A13587" t="inlineStr">
        <is>
          <t xml:space="preserve">UTI Mutual Fund</t>
        </is>
      </c>
      <c r="B13587" t="inlineStr">
        <is>
          <t xml:space="preserve">UTI FTIF SERIES XXVIII - PLAN III (1203 DAYS) - Direct Plan - Annual IDCW</t>
        </is>
      </c>
      <c r="C13587" t="inlineStr">
        <is>
          <t xml:space="preserve">INF789FC19A6</t>
        </is>
      </c>
    </row>
    <row r="13588">
      <c r="A13588" t="inlineStr">
        <is>
          <t xml:space="preserve">UTI Mutual Fund</t>
        </is>
      </c>
      <c r="B13588" t="inlineStr">
        <is>
          <t xml:space="preserve">UTI FTIF SERIES XXVIII - PLAN III (1203 DAYS) - Direct Plan - Flexi IDCW</t>
        </is>
      </c>
      <c r="C13588" t="inlineStr">
        <is>
          <t xml:space="preserve">INF789FC12B9</t>
        </is>
      </c>
    </row>
    <row r="13589">
      <c r="A13589" t="inlineStr">
        <is>
          <t xml:space="preserve">UTI Mutual Fund</t>
        </is>
      </c>
      <c r="B13589" t="inlineStr">
        <is>
          <t xml:space="preserve">UTI FTIF SERIES XXVIII - PLAN III (1203 DAYS) - Direct Plan - Maturity IDCW</t>
        </is>
      </c>
      <c r="C13589" t="inlineStr">
        <is>
          <t xml:space="preserve">INF789FC10B3</t>
        </is>
      </c>
    </row>
    <row r="13590">
      <c r="A13590" t="inlineStr">
        <is>
          <t xml:space="preserve">UTI Mutual Fund</t>
        </is>
      </c>
      <c r="B13590" t="inlineStr">
        <is>
          <t xml:space="preserve">UTI FTIF SERIES XXVIII - PLAN III (1203 DAYS) - Direct Plan - Quarterly IDCW</t>
        </is>
      </c>
      <c r="C13590" t="inlineStr">
        <is>
          <t xml:space="preserve">INF789FC18A8</t>
        </is>
      </c>
    </row>
    <row r="13591">
      <c r="A13591" t="inlineStr">
        <is>
          <t xml:space="preserve">UTI Mutual Fund</t>
        </is>
      </c>
      <c r="B13591" t="inlineStr">
        <is>
          <t xml:space="preserve">UTI FTIF SERIES XXVIII - PLAN III (1203 DAYS) - Regular Plan - Annual IDCW</t>
        </is>
      </c>
      <c r="C13591" t="inlineStr">
        <is>
          <t xml:space="preserve">INF789FC14A7</t>
        </is>
      </c>
    </row>
    <row r="13592">
      <c r="A13592" t="inlineStr">
        <is>
          <t xml:space="preserve">UTI Mutual Fund</t>
        </is>
      </c>
      <c r="B13592" t="inlineStr">
        <is>
          <t xml:space="preserve">UTI FTIF SERIES XXVIII - PLAN III (1203 DAYS) - Regular Plan - Flexi IDCW</t>
        </is>
      </c>
      <c r="C13592" t="inlineStr">
        <is>
          <t xml:space="preserve">INF789FC17A0</t>
        </is>
      </c>
    </row>
    <row r="13593">
      <c r="A13593" t="inlineStr">
        <is>
          <t xml:space="preserve">UTI Mutual Fund</t>
        </is>
      </c>
      <c r="B13593" t="inlineStr">
        <is>
          <t xml:space="preserve">UTI FTIF SERIES XXVIII - PLAN III (1203 DAYS) - Regular Plan - Maturity IDCW</t>
        </is>
      </c>
      <c r="C13593" t="inlineStr">
        <is>
          <t xml:space="preserve">INF789FC15A4</t>
        </is>
      </c>
    </row>
    <row r="13594">
      <c r="A13594" t="inlineStr">
        <is>
          <t xml:space="preserve">UTI Mutual Fund</t>
        </is>
      </c>
      <c r="B13594" t="inlineStr">
        <is>
          <t xml:space="preserve">UTI FTIF SERIES XXVIII - PLAN III (1203 DAYS) - Regular Plan - Quarterly IDCW</t>
        </is>
      </c>
      <c r="C13594" t="inlineStr">
        <is>
          <t xml:space="preserve">INF789FC13A9</t>
        </is>
      </c>
    </row>
    <row r="13595">
      <c r="A13595" t="inlineStr">
        <is>
          <t xml:space="preserve">UTI Mutual Fund</t>
        </is>
      </c>
      <c r="B13595" t="inlineStr">
        <is>
          <t xml:space="preserve">UTI FTIF SERIES XXVIII - PLAN IX (1168 DAYS) - Regular Plan - Quarterly IDCW</t>
        </is>
      </c>
      <c r="C13595" t="inlineStr">
        <is>
          <t xml:space="preserve">INF789FC17H5</t>
        </is>
      </c>
    </row>
    <row r="13596">
      <c r="A13596" t="inlineStr">
        <is>
          <t xml:space="preserve">UTI Mutual Fund</t>
        </is>
      </c>
      <c r="B13596" t="inlineStr">
        <is>
          <t xml:space="preserve">UTI FTIF SERIES XXVIII - PLAN V (1190 DAYS) - Direct Plan - Annual IDCW</t>
        </is>
      </c>
      <c r="C13596" t="inlineStr">
        <is>
          <t xml:space="preserve">INF789FC11D7</t>
        </is>
      </c>
    </row>
    <row r="13597">
      <c r="A13597" t="inlineStr">
        <is>
          <t xml:space="preserve">UTI Mutual Fund</t>
        </is>
      </c>
      <c r="B13597" t="inlineStr">
        <is>
          <t xml:space="preserve">UTI FTIF SERIES XXVIII - PLAN V (1190 DAYS) - Direct Plan - Maturity IDCW</t>
        </is>
      </c>
      <c r="C13597" t="inlineStr">
        <is>
          <t xml:space="preserve">INF789FC12D5</t>
        </is>
      </c>
    </row>
    <row r="13598">
      <c r="A13598" t="inlineStr">
        <is>
          <t xml:space="preserve">UTI Mutual Fund</t>
        </is>
      </c>
      <c r="B13598" t="inlineStr">
        <is>
          <t xml:space="preserve">UTI FTIF SERIES XXVIII - PLAN V (1190 DAYS) - Direct Plan - Quarterly IDCW</t>
        </is>
      </c>
      <c r="C13598" t="inlineStr">
        <is>
          <t xml:space="preserve">INF789FC10D9</t>
        </is>
      </c>
    </row>
    <row r="13599">
      <c r="A13599" t="inlineStr">
        <is>
          <t xml:space="preserve">UTI Mutual Fund</t>
        </is>
      </c>
      <c r="B13599" t="inlineStr">
        <is>
          <t xml:space="preserve">UTI FTIF SERIES XXVIII - PLAN V (1190 DAYS) - Regular Plan - Annual IDCW</t>
        </is>
      </c>
      <c r="C13599" t="inlineStr">
        <is>
          <t xml:space="preserve">INF789FC16C8</t>
        </is>
      </c>
    </row>
    <row r="13600">
      <c r="A13600" t="inlineStr">
        <is>
          <t xml:space="preserve">UTI Mutual Fund</t>
        </is>
      </c>
      <c r="B13600" t="inlineStr">
        <is>
          <t xml:space="preserve">UTI FTIF SERIES XXVIII - PLAN V (1190 DAYS) - Regular Plan - Maturity IDCW</t>
        </is>
      </c>
      <c r="C13600" t="inlineStr">
        <is>
          <t xml:space="preserve">INF789FC17C6</t>
        </is>
      </c>
    </row>
    <row r="13601">
      <c r="A13601" t="inlineStr">
        <is>
          <t xml:space="preserve">UTI Mutual Fund</t>
        </is>
      </c>
      <c r="B13601" t="inlineStr">
        <is>
          <t xml:space="preserve">UTI FTIF SERIES XXVIII - PLAN V (1190 DAYS) - Regular Plan - Quarterly IDCW</t>
        </is>
      </c>
      <c r="C13601" t="inlineStr">
        <is>
          <t xml:space="preserve">INF789FC15C0</t>
        </is>
      </c>
    </row>
    <row r="13602">
      <c r="A13602" t="inlineStr">
        <is>
          <t xml:space="preserve">UTI Mutual Fund</t>
        </is>
      </c>
      <c r="B13602" t="inlineStr">
        <is>
          <t xml:space="preserve">UTI FTIF SERIES XXVIII - PLAN VI (1190 DAYS) - Direct Plan - Flexi IDCW</t>
        </is>
      </c>
      <c r="C13602" t="inlineStr">
        <is>
          <t xml:space="preserve">INF789FC18E0</t>
        </is>
      </c>
    </row>
    <row r="13603">
      <c r="A13603" t="inlineStr">
        <is>
          <t xml:space="preserve">UTI Mutual Fund</t>
        </is>
      </c>
      <c r="B13603" t="inlineStr">
        <is>
          <t xml:space="preserve">UTI FTIF SERIES XXVIII - PLAN VI (1190 DAYS) - Direct Plan - Quarterly IDCW</t>
        </is>
      </c>
      <c r="C13603" t="inlineStr">
        <is>
          <t xml:space="preserve">INF789FC14E9</t>
        </is>
      </c>
    </row>
    <row r="13604">
      <c r="A13604" t="inlineStr">
        <is>
          <t xml:space="preserve">UTI Mutual Fund</t>
        </is>
      </c>
      <c r="B13604" t="inlineStr">
        <is>
          <t xml:space="preserve">UTI FTIF SERIES XXVIII - PLAN VI (1190 DAYS) - Regular Plan - Quarterly IDCW</t>
        </is>
      </c>
      <c r="C13604" t="inlineStr">
        <is>
          <t xml:space="preserve">INF789FC19D0</t>
        </is>
      </c>
    </row>
    <row r="13605">
      <c r="A13605" t="inlineStr">
        <is>
          <t xml:space="preserve">UTI Mutual Fund</t>
        </is>
      </c>
      <c r="B13605" t="inlineStr">
        <is>
          <t xml:space="preserve">UTI FTIF SERIES XXVIII - PLAN VII (1169 DAYS) - Direct Plan - Annual IDCW</t>
        </is>
      </c>
      <c r="C13605" t="inlineStr">
        <is>
          <t xml:space="preserve">INF789FC15F3</t>
        </is>
      </c>
    </row>
    <row r="13606">
      <c r="A13606" t="inlineStr">
        <is>
          <t xml:space="preserve">UTI Mutual Fund</t>
        </is>
      </c>
      <c r="B13606" t="inlineStr">
        <is>
          <t xml:space="preserve">UTI FTIF SERIES XXVIII - PLAN VII (1169 DAYS) - Direct Plan - Flexi IDCW</t>
        </is>
      </c>
      <c r="C13606" t="inlineStr">
        <is>
          <t xml:space="preserve">INF789FC18F7</t>
        </is>
      </c>
    </row>
    <row r="13607">
      <c r="A13607" t="inlineStr">
        <is>
          <t xml:space="preserve">UTI Mutual Fund</t>
        </is>
      </c>
      <c r="B13607" t="inlineStr">
        <is>
          <t xml:space="preserve">UTI FTIF SERIES XXVIII - PLAN VII (1169 DAYS) - Direct Plan - Maturity IDCW</t>
        </is>
      </c>
      <c r="C13607" t="inlineStr">
        <is>
          <t xml:space="preserve">INF789FC16F1</t>
        </is>
      </c>
    </row>
    <row r="13608">
      <c r="A13608" t="inlineStr">
        <is>
          <t xml:space="preserve">UTI Mutual Fund</t>
        </is>
      </c>
      <c r="B13608" t="inlineStr">
        <is>
          <t xml:space="preserve">UTI FTIF SERIES XXVIII - PLAN VII (1169 DAYS) - Direct Plan - Quarterly IDCW</t>
        </is>
      </c>
      <c r="C13608" t="inlineStr">
        <is>
          <t xml:space="preserve">INF789FC14F6</t>
        </is>
      </c>
    </row>
    <row r="13609">
      <c r="A13609" t="inlineStr">
        <is>
          <t xml:space="preserve">UTI Mutual Fund</t>
        </is>
      </c>
      <c r="B13609" t="inlineStr">
        <is>
          <t xml:space="preserve">UTI FTIF SERIES XXVIII - PLAN VII (1169 DAYS) - Regular Plan - Annual IDCW</t>
        </is>
      </c>
      <c r="C13609" t="inlineStr">
        <is>
          <t xml:space="preserve">INF789FC10F4</t>
        </is>
      </c>
    </row>
    <row r="13610">
      <c r="A13610" t="inlineStr">
        <is>
          <t xml:space="preserve">UTI Mutual Fund</t>
        </is>
      </c>
      <c r="B13610" t="inlineStr">
        <is>
          <t xml:space="preserve">UTI FTIF SERIES XXVIII - PLAN VII (1169 DAYS) - Regular Plan - Flexi IDCW</t>
        </is>
      </c>
      <c r="C13610" t="inlineStr">
        <is>
          <t xml:space="preserve">INF789FC13F8</t>
        </is>
      </c>
    </row>
    <row r="13611">
      <c r="A13611" t="inlineStr">
        <is>
          <t xml:space="preserve">UTI Mutual Fund</t>
        </is>
      </c>
      <c r="B13611" t="inlineStr">
        <is>
          <t xml:space="preserve">UTI FTIF SERIES XXVIII - PLAN VII (1169 DAYS) - Regular Plan - Maturity IDCW</t>
        </is>
      </c>
      <c r="C13611" t="inlineStr">
        <is>
          <t xml:space="preserve">INF789FC11F2</t>
        </is>
      </c>
    </row>
    <row r="13612">
      <c r="A13612" t="inlineStr">
        <is>
          <t xml:space="preserve">UTI Mutual Fund</t>
        </is>
      </c>
      <c r="B13612" t="inlineStr">
        <is>
          <t xml:space="preserve">UTI FTIF SERIES XXVIII - PLAN VII (1169 DAYS) - Regular Plan - Quarterly IDCW</t>
        </is>
      </c>
      <c r="C13612" t="inlineStr">
        <is>
          <t xml:space="preserve">INF789FC19E8</t>
        </is>
      </c>
    </row>
    <row r="13613">
      <c r="A13613" t="inlineStr">
        <is>
          <t xml:space="preserve">UTI Mutual Fund</t>
        </is>
      </c>
      <c r="B13613" t="inlineStr">
        <is>
          <t xml:space="preserve">UTI FTIF SERIES XXVIII - PLAN VIII (1171 DAYS) - Direct Plan - Quarterly IDCW</t>
        </is>
      </c>
      <c r="C13613" t="inlineStr">
        <is>
          <t xml:space="preserve">INF789FC18G5</t>
        </is>
      </c>
    </row>
    <row r="13614">
      <c r="A13614" t="inlineStr">
        <is>
          <t xml:space="preserve">UTI Mutual Fund</t>
        </is>
      </c>
      <c r="B13614" t="inlineStr">
        <is>
          <t xml:space="preserve">UTI FTIF SERIES XXVIII - PLAN VIII (1171 DAYS) - Regular Plan - Maturity IDCW</t>
        </is>
      </c>
      <c r="C13614" t="inlineStr">
        <is>
          <t xml:space="preserve">INF789FC15G1</t>
        </is>
      </c>
    </row>
    <row r="13615">
      <c r="A13615" t="inlineStr">
        <is>
          <t xml:space="preserve">UTI Mutual Fund</t>
        </is>
      </c>
      <c r="B13615" t="inlineStr">
        <is>
          <t xml:space="preserve">UTI FTIF SERIES XXVIII - PLAN VIII (1171 DAYS) - Regular Plan - Quarterly IDCW</t>
        </is>
      </c>
      <c r="C13615" t="inlineStr">
        <is>
          <t xml:space="preserve">INF789FC13G6</t>
        </is>
      </c>
    </row>
    <row r="13616">
      <c r="A13616" t="inlineStr">
        <is>
          <t xml:space="preserve">UTI Mutual Fund</t>
        </is>
      </c>
      <c r="B13616" t="inlineStr">
        <is>
          <t xml:space="preserve">UTI FTIF SERIES XXVIII - PLAN X (1153 DAYS) - Direct Plan - Flexi IDCW</t>
        </is>
      </c>
      <c r="C13616" t="inlineStr">
        <is>
          <t xml:space="preserve">INF789FC16J3</t>
        </is>
      </c>
    </row>
    <row r="13617">
      <c r="A13617" t="inlineStr">
        <is>
          <t xml:space="preserve">UTI Mutual Fund</t>
        </is>
      </c>
      <c r="B13617" t="inlineStr">
        <is>
          <t xml:space="preserve">UTI FTIF SERIES XXVIII - PLAN X (1153 DAYS) - Direct Plan - Maturity IDCW</t>
        </is>
      </c>
      <c r="C13617" t="inlineStr">
        <is>
          <t xml:space="preserve">INF789FC14J8</t>
        </is>
      </c>
    </row>
    <row r="13618">
      <c r="A13618" t="inlineStr">
        <is>
          <t xml:space="preserve">UTI Mutual Fund</t>
        </is>
      </c>
      <c r="B13618" t="inlineStr">
        <is>
          <t xml:space="preserve">UTI FTIF SERIES XXVIII - PLAN X (1153 DAYS) - Direct Plan - Quarterly IDCW</t>
        </is>
      </c>
      <c r="C13618" t="inlineStr">
        <is>
          <t xml:space="preserve">INF789FC12J2</t>
        </is>
      </c>
    </row>
    <row r="13619">
      <c r="A13619" t="inlineStr">
        <is>
          <t xml:space="preserve">UTI Mutual Fund</t>
        </is>
      </c>
      <c r="B13619" t="inlineStr">
        <is>
          <t xml:space="preserve">UTI FTIF SERIES XXVIII - PLAN X (1153 DAYS) - Regular Plan - Annual IDCW</t>
        </is>
      </c>
      <c r="C13619" t="inlineStr">
        <is>
          <t xml:space="preserve">INF789FC18I1</t>
        </is>
      </c>
    </row>
    <row r="13620">
      <c r="A13620" t="inlineStr">
        <is>
          <t xml:space="preserve">UTI Mutual Fund</t>
        </is>
      </c>
      <c r="B13620" t="inlineStr">
        <is>
          <t xml:space="preserve">UTI FTIF SERIES XXVIII - PLAN X (1153 DAYS) - Regular Plan - Maturity IDCW</t>
        </is>
      </c>
      <c r="C13620" t="inlineStr">
        <is>
          <t xml:space="preserve">INF789FC19I9</t>
        </is>
      </c>
    </row>
    <row r="13621">
      <c r="A13621" t="inlineStr">
        <is>
          <t xml:space="preserve">UTI Mutual Fund</t>
        </is>
      </c>
      <c r="B13621" t="inlineStr">
        <is>
          <t xml:space="preserve">UTI FTIF SERIES XXVIII - PLAN X (1153 DAYS) - Regular Plan - Quarterly IDCW</t>
        </is>
      </c>
      <c r="C13621" t="inlineStr">
        <is>
          <t xml:space="preserve">INF789FC17I3</t>
        </is>
      </c>
    </row>
    <row r="13622">
      <c r="A13622" t="inlineStr">
        <is>
          <t xml:space="preserve">UTI Mutual Fund</t>
        </is>
      </c>
      <c r="B13622" t="inlineStr">
        <is>
          <t xml:space="preserve">UTI FTIF SERIES XXVIII - PLAN XI (1161 DAYS) - Direct Plan - Annual IDCW</t>
        </is>
      </c>
      <c r="C13622" t="inlineStr">
        <is>
          <t xml:space="preserve">INF789FC13K8</t>
        </is>
      </c>
    </row>
    <row r="13623">
      <c r="A13623" t="inlineStr">
        <is>
          <t xml:space="preserve">UTI Mutual Fund</t>
        </is>
      </c>
      <c r="B13623" t="inlineStr">
        <is>
          <t xml:space="preserve">UTI FTIF SERIES XXVIII - PLAN XI (1161 DAYS) - Regular Plan - Annual IDCW</t>
        </is>
      </c>
      <c r="C13623" t="inlineStr">
        <is>
          <t xml:space="preserve">INF789FC18J9</t>
        </is>
      </c>
    </row>
    <row r="13624">
      <c r="A13624" t="inlineStr">
        <is>
          <t xml:space="preserve">UTI Mutual Fund</t>
        </is>
      </c>
      <c r="B13624" t="inlineStr">
        <is>
          <t xml:space="preserve">UTI FTIF SERIES XXVIII - PLAN XI (1161 DAYS) - Regular Plan - Flexi IDCW</t>
        </is>
      </c>
      <c r="C13624" t="inlineStr">
        <is>
          <t xml:space="preserve">INF789FC11K2</t>
        </is>
      </c>
    </row>
    <row r="13625">
      <c r="A13625" t="inlineStr">
        <is>
          <t xml:space="preserve">UTI Mutual Fund</t>
        </is>
      </c>
      <c r="B13625" t="inlineStr">
        <is>
          <t xml:space="preserve">UTI FTIF SERIES XXVIII - PLAN XI (1161 DAYS) - Regular Plan - Maturity IDCW</t>
        </is>
      </c>
      <c r="C13625" t="inlineStr">
        <is>
          <t xml:space="preserve">INF789FC19J7</t>
        </is>
      </c>
    </row>
    <row r="13626">
      <c r="A13626" t="inlineStr">
        <is>
          <t xml:space="preserve">UTI Mutual Fund</t>
        </is>
      </c>
      <c r="B13626" t="inlineStr">
        <is>
          <t xml:space="preserve">UTI FTIF SERIES XXVIII - PLAN XI (1161 DAYS) - Regular Plan - Quarterly IDCW</t>
        </is>
      </c>
      <c r="C13626" t="inlineStr">
        <is>
          <t xml:space="preserve">INF789FC17J1</t>
        </is>
      </c>
    </row>
    <row r="13627">
      <c r="A13627" t="inlineStr">
        <is>
          <t xml:space="preserve">UTI Mutual Fund</t>
        </is>
      </c>
      <c r="B13627" t="inlineStr">
        <is>
          <t xml:space="preserve">UTI FTIF SERIES XXVIII - PLAN XII (1154 DAYS) - Direct Plan - Maturity IDCW</t>
        </is>
      </c>
      <c r="C13627" t="inlineStr">
        <is>
          <t xml:space="preserve">INF789FC14L4</t>
        </is>
      </c>
    </row>
    <row r="13628">
      <c r="A13628" t="inlineStr">
        <is>
          <t xml:space="preserve">UTI Mutual Fund</t>
        </is>
      </c>
      <c r="B13628" t="inlineStr">
        <is>
          <t xml:space="preserve">UTI FTIF SERIES XXVIII - PLAN XII (1154 DAYS) - Regular Plan - Annual IDCW</t>
        </is>
      </c>
      <c r="C13628" t="inlineStr">
        <is>
          <t xml:space="preserve">INF789FC18K7</t>
        </is>
      </c>
    </row>
    <row r="13629">
      <c r="A13629" t="inlineStr">
        <is>
          <t xml:space="preserve">UTI Mutual Fund</t>
        </is>
      </c>
      <c r="B13629" t="inlineStr">
        <is>
          <t xml:space="preserve">UTI FTIF SERIES XXVIII - PLAN XII (1154 DAYS) - Regular Plan - Maturity IDCW</t>
        </is>
      </c>
      <c r="C13629" t="inlineStr">
        <is>
          <t xml:space="preserve">INF789FC19K5</t>
        </is>
      </c>
    </row>
    <row r="13630">
      <c r="A13630" t="inlineStr">
        <is>
          <t xml:space="preserve">UTI Mutual Fund</t>
        </is>
      </c>
      <c r="B13630" t="inlineStr">
        <is>
          <t xml:space="preserve">UTI FTIF SERIES XXVIII - PLAN XII (1154 DAYS) - Regular Plan - Quarterly IDCW</t>
        </is>
      </c>
      <c r="C13630" t="inlineStr">
        <is>
          <t xml:space="preserve">INF789FC17K9</t>
        </is>
      </c>
    </row>
    <row r="13631">
      <c r="A13631" t="inlineStr">
        <is>
          <t xml:space="preserve">UTI Mutual Fund</t>
        </is>
      </c>
      <c r="B13631" t="inlineStr">
        <is>
          <t xml:space="preserve">UTI FTIF SERIES XXVIII - PLAN XIII (1134 DAYS) - Direct Plan - Annual IDCW</t>
        </is>
      </c>
      <c r="C13631" t="inlineStr">
        <is>
          <t xml:space="preserve">INF789FC13M4</t>
        </is>
      </c>
    </row>
    <row r="13632">
      <c r="A13632" t="inlineStr">
        <is>
          <t xml:space="preserve">UTI Mutual Fund</t>
        </is>
      </c>
      <c r="B13632" t="inlineStr">
        <is>
          <t xml:space="preserve">UTI FTIF SERIES XXVIII - PLAN XIII (1134 DAYS) - Direct Plan - Flexi IDCW</t>
        </is>
      </c>
      <c r="C13632" t="inlineStr">
        <is>
          <t xml:space="preserve">INF789FC16M7</t>
        </is>
      </c>
    </row>
    <row r="13633">
      <c r="A13633" t="inlineStr">
        <is>
          <t xml:space="preserve">UTI Mutual Fund</t>
        </is>
      </c>
      <c r="B13633" t="inlineStr">
        <is>
          <t xml:space="preserve">UTI FTIF SERIES XXVIII - PLAN XIII (1134 DAYS) - Direct Plan - Maturity IDCW</t>
        </is>
      </c>
      <c r="C13633" t="inlineStr">
        <is>
          <t xml:space="preserve">INF789FC14M2</t>
        </is>
      </c>
    </row>
    <row r="13634">
      <c r="A13634" t="inlineStr">
        <is>
          <t xml:space="preserve">UTI Mutual Fund</t>
        </is>
      </c>
      <c r="B13634" t="inlineStr">
        <is>
          <t xml:space="preserve">UTI FTIF SERIES XXVIII - PLAN XIII (1134 DAYS) - Direct Plan - Quarterly IDCW</t>
        </is>
      </c>
      <c r="C13634" t="inlineStr">
        <is>
          <t xml:space="preserve">INF789FC12M6</t>
        </is>
      </c>
    </row>
    <row r="13635">
      <c r="A13635" t="inlineStr">
        <is>
          <t xml:space="preserve">UTI Mutual Fund</t>
        </is>
      </c>
      <c r="B13635" t="inlineStr">
        <is>
          <t xml:space="preserve">UTI FTIF SERIES XXVIII - PLAN XIII (1134 DAYS) - Regular Plan - Annual IDCW</t>
        </is>
      </c>
      <c r="C13635" t="inlineStr">
        <is>
          <t xml:space="preserve">INF789FC18L5</t>
        </is>
      </c>
    </row>
    <row r="13636">
      <c r="A13636" t="inlineStr">
        <is>
          <t xml:space="preserve">UTI Mutual Fund</t>
        </is>
      </c>
      <c r="B13636" t="inlineStr">
        <is>
          <t xml:space="preserve">UTI FTIF SERIES XXVIII - PLAN XIII (1134 DAYS) - Regular Plan - Flexi IDCW</t>
        </is>
      </c>
      <c r="C13636" t="inlineStr">
        <is>
          <t xml:space="preserve">INF789FC11M8</t>
        </is>
      </c>
    </row>
    <row r="13637">
      <c r="A13637" t="inlineStr">
        <is>
          <t xml:space="preserve">UTI Mutual Fund</t>
        </is>
      </c>
      <c r="B13637" t="inlineStr">
        <is>
          <t xml:space="preserve">UTI FTIF SERIES XXVIII - PLAN XIII (1134 DAYS) - Regular Plan - Maturity IDCW</t>
        </is>
      </c>
      <c r="C13637" t="inlineStr">
        <is>
          <t xml:space="preserve">INF789FC19L3</t>
        </is>
      </c>
    </row>
    <row r="13638">
      <c r="A13638" t="inlineStr">
        <is>
          <t xml:space="preserve">UTI Mutual Fund</t>
        </is>
      </c>
      <c r="B13638" t="inlineStr">
        <is>
          <t xml:space="preserve">UTI FTIF SERIES XXVIII - PLAN XIII (1134 DAYS) - Regular Plan - Quarterly IDCW</t>
        </is>
      </c>
      <c r="C13638" t="inlineStr">
        <is>
          <t xml:space="preserve">INF789FC17L7</t>
        </is>
      </c>
    </row>
    <row r="13639">
      <c r="A13639" t="inlineStr">
        <is>
          <t xml:space="preserve">UTI Mutual Fund</t>
        </is>
      </c>
      <c r="B13639" t="inlineStr">
        <is>
          <t xml:space="preserve">UTI FTIF SERIES XXVIII - PLAN XIV (1147 DAYS) - Regular Plan - Quarterly IDCW</t>
        </is>
      </c>
      <c r="C13639" t="inlineStr">
        <is>
          <t xml:space="preserve">INF789FC17M5</t>
        </is>
      </c>
    </row>
    <row r="13640">
      <c r="A13640" t="inlineStr">
        <is>
          <t xml:space="preserve">UTI Mutual Fund</t>
        </is>
      </c>
      <c r="B13640" t="inlineStr">
        <is>
          <t xml:space="preserve">UTI FTIF Series XXVIII-I (1230 Days) - Direct Plan - Growth Option</t>
        </is>
      </c>
      <c r="C13640" t="inlineStr">
        <is>
          <t xml:space="preserve">INF789FC1Y14</t>
        </is>
      </c>
    </row>
    <row r="13641">
      <c r="A13641" t="inlineStr">
        <is>
          <t xml:space="preserve">UTI Mutual Fund</t>
        </is>
      </c>
      <c r="B13641" t="inlineStr">
        <is>
          <t xml:space="preserve">UTI FTIF Series XXVIII-I (1230 Days) - Regular Plan - Growth Option</t>
        </is>
      </c>
      <c r="C13641" t="inlineStr">
        <is>
          <t xml:space="preserve">INF789FC1X64</t>
        </is>
      </c>
    </row>
    <row r="13642">
      <c r="A13642" t="inlineStr">
        <is>
          <t xml:space="preserve">UTI Mutual Fund</t>
        </is>
      </c>
      <c r="B13642" t="inlineStr">
        <is>
          <t xml:space="preserve">UTI FTIF Series XXVIII-II (1210 Days) - Direct Plan - Growth Option</t>
        </is>
      </c>
      <c r="C13642" t="inlineStr">
        <is>
          <t xml:space="preserve">INF789FC1Y63</t>
        </is>
      </c>
    </row>
    <row r="13643">
      <c r="A13643" t="inlineStr">
        <is>
          <t xml:space="preserve">UTI Mutual Fund</t>
        </is>
      </c>
      <c r="B13643" t="inlineStr">
        <is>
          <t xml:space="preserve">UTI FTIF Series XXVIII-II (1210 Days) - Regular Plan - Growth Option</t>
        </is>
      </c>
      <c r="C13643" t="inlineStr">
        <is>
          <t xml:space="preserve">INF789FC1Z13</t>
        </is>
      </c>
    </row>
    <row r="13644">
      <c r="A13644" t="inlineStr">
        <is>
          <t xml:space="preserve">UTI Mutual Fund</t>
        </is>
      </c>
      <c r="B13644" t="inlineStr">
        <is>
          <t xml:space="preserve">UTI FTIF Series XXVIII-III (1203 Days) - Direct Plan - Growth Option</t>
        </is>
      </c>
      <c r="C13644" t="inlineStr">
        <is>
          <t xml:space="preserve">INF789FC11B1</t>
        </is>
      </c>
    </row>
    <row r="13645">
      <c r="A13645" t="inlineStr">
        <is>
          <t xml:space="preserve">UTI Mutual Fund</t>
        </is>
      </c>
      <c r="B13645" t="inlineStr">
        <is>
          <t xml:space="preserve">UTI FTIF Series XXVIII-III (1203 Days) - Regular Plan - Growth Option</t>
        </is>
      </c>
      <c r="C13645" t="inlineStr">
        <is>
          <t xml:space="preserve">INF789FC16A2</t>
        </is>
      </c>
    </row>
    <row r="13646">
      <c r="A13646" t="inlineStr">
        <is>
          <t xml:space="preserve">UTI Mutual Fund</t>
        </is>
      </c>
      <c r="B13646" t="inlineStr">
        <is>
          <t xml:space="preserve">UTI FTIF Series XXVIII-IV (1204 Days) Direct Plan - Growth Option</t>
        </is>
      </c>
      <c r="C13646" t="inlineStr">
        <is>
          <t xml:space="preserve">INF789FC13C5</t>
        </is>
      </c>
    </row>
    <row r="13647">
      <c r="A13647" t="inlineStr">
        <is>
          <t xml:space="preserve">UTI Mutual Fund</t>
        </is>
      </c>
      <c r="B13647" t="inlineStr">
        <is>
          <t xml:space="preserve">UTI FTIF Series XXVIII-IV (1204 Days) Regular Plan - Growth Option</t>
        </is>
      </c>
      <c r="C13647" t="inlineStr">
        <is>
          <t xml:space="preserve">INF789FC18B6</t>
        </is>
      </c>
    </row>
    <row r="13648">
      <c r="A13648" t="inlineStr">
        <is>
          <t xml:space="preserve">UTI Mutual Fund</t>
        </is>
      </c>
      <c r="B13648" t="inlineStr">
        <is>
          <t xml:space="preserve">UTI FTIF Series XXVIII-IX (1168 Days) - Direct Plan - Growth Option</t>
        </is>
      </c>
      <c r="C13648" t="inlineStr">
        <is>
          <t xml:space="preserve">INF789FC15I7</t>
        </is>
      </c>
    </row>
    <row r="13649">
      <c r="A13649" t="inlineStr">
        <is>
          <t xml:space="preserve">UTI Mutual Fund</t>
        </is>
      </c>
      <c r="B13649" t="inlineStr">
        <is>
          <t xml:space="preserve">UTI FTIF Series XXVIII-IX (1168 Days) - Regular Plan - Growth Option</t>
        </is>
      </c>
      <c r="C13649" t="inlineStr">
        <is>
          <t xml:space="preserve">INF789FC10I8</t>
        </is>
      </c>
    </row>
    <row r="13650">
      <c r="A13650" t="inlineStr">
        <is>
          <t xml:space="preserve">UTI Mutual Fund</t>
        </is>
      </c>
      <c r="B13650" t="inlineStr">
        <is>
          <t xml:space="preserve">UTI FTIF Series XXVIII-V (1190 Days) Direct Plan - Growth Option</t>
        </is>
      </c>
      <c r="C13650" t="inlineStr">
        <is>
          <t xml:space="preserve">INF789FC13D3</t>
        </is>
      </c>
    </row>
    <row r="13651">
      <c r="A13651" t="inlineStr">
        <is>
          <t xml:space="preserve">UTI Mutual Fund</t>
        </is>
      </c>
      <c r="B13651" t="inlineStr">
        <is>
          <t xml:space="preserve">UTI FTIF Series XXVIII-V (1190 Days) Regular Plan - Growth Option</t>
        </is>
      </c>
      <c r="C13651" t="inlineStr">
        <is>
          <t xml:space="preserve">INF789FC18C4</t>
        </is>
      </c>
    </row>
    <row r="13652">
      <c r="A13652" t="inlineStr">
        <is>
          <t xml:space="preserve">UTI Mutual Fund</t>
        </is>
      </c>
      <c r="B13652" t="inlineStr">
        <is>
          <t xml:space="preserve">UTI FTIF Series XXVIII-VI (1190 Days) - Direct Plan - Growth Option</t>
        </is>
      </c>
      <c r="C13652" t="inlineStr">
        <is>
          <t xml:space="preserve">INF789FC17E2</t>
        </is>
      </c>
    </row>
    <row r="13653">
      <c r="A13653" t="inlineStr">
        <is>
          <t xml:space="preserve">UTI Mutual Fund</t>
        </is>
      </c>
      <c r="B13653" t="inlineStr">
        <is>
          <t xml:space="preserve">UTI FTIF Series XXVIII-VI (1190 Days) - Regular Plan - Growth Option</t>
        </is>
      </c>
      <c r="C13653" t="inlineStr">
        <is>
          <t xml:space="preserve">INF789FC12E3</t>
        </is>
      </c>
    </row>
    <row r="13654">
      <c r="A13654" t="inlineStr">
        <is>
          <t xml:space="preserve">UTI Mutual Fund</t>
        </is>
      </c>
      <c r="B13654" t="inlineStr">
        <is>
          <t xml:space="preserve">UTI FTIF Series XXVIII-VII (1169 Days) - Direct Plan - Growth Option</t>
        </is>
      </c>
      <c r="C13654" t="inlineStr">
        <is>
          <t xml:space="preserve">INF789FC17F9</t>
        </is>
      </c>
    </row>
    <row r="13655">
      <c r="A13655" t="inlineStr">
        <is>
          <t xml:space="preserve">UTI Mutual Fund</t>
        </is>
      </c>
      <c r="B13655" t="inlineStr">
        <is>
          <t xml:space="preserve">UTI FTIF Series XXVIII-VII (1169 Days) - Regular Plan - Growth Option</t>
        </is>
      </c>
      <c r="C13655" t="inlineStr">
        <is>
          <t xml:space="preserve">INF789FC12F0</t>
        </is>
      </c>
    </row>
    <row r="13656">
      <c r="A13656" t="inlineStr">
        <is>
          <t xml:space="preserve">UTI Mutual Fund</t>
        </is>
      </c>
      <c r="B13656" t="inlineStr">
        <is>
          <t xml:space="preserve">UTI FTIF Series XXVIII-VIII (1171 Days) - Direct Plan - Growth Option</t>
        </is>
      </c>
      <c r="C13656" t="inlineStr">
        <is>
          <t xml:space="preserve">INF789FC11H8</t>
        </is>
      </c>
    </row>
    <row r="13657">
      <c r="A13657" t="inlineStr">
        <is>
          <t xml:space="preserve">UTI Mutual Fund</t>
        </is>
      </c>
      <c r="B13657" t="inlineStr">
        <is>
          <t xml:space="preserve">UTI FTIF Series XXVIII-VIII (1171 Days) - Regular Plan - Growth Option</t>
        </is>
      </c>
      <c r="C13657" t="inlineStr">
        <is>
          <t xml:space="preserve">INF789FC16G9</t>
        </is>
      </c>
    </row>
    <row r="13658">
      <c r="A13658" t="inlineStr">
        <is>
          <t xml:space="preserve">UTI Mutual Fund</t>
        </is>
      </c>
      <c r="B13658" t="inlineStr">
        <is>
          <t xml:space="preserve">UTI FTIF Series XXVIII-X (1153 Days) - Direct Plan - Growth Option</t>
        </is>
      </c>
      <c r="C13658" t="inlineStr">
        <is>
          <t xml:space="preserve">INF789FC15J5</t>
        </is>
      </c>
    </row>
    <row r="13659">
      <c r="A13659" t="inlineStr">
        <is>
          <t xml:space="preserve">UTI Mutual Fund</t>
        </is>
      </c>
      <c r="B13659" t="inlineStr">
        <is>
          <t xml:space="preserve">UTI FTIF Series XXVIII-X (1153 Days) - Regular Plan - Growth Option</t>
        </is>
      </c>
      <c r="C13659" t="inlineStr">
        <is>
          <t xml:space="preserve">INF789FC10J6</t>
        </is>
      </c>
    </row>
    <row r="13660">
      <c r="A13660" t="inlineStr">
        <is>
          <t xml:space="preserve">UTI Mutual Fund</t>
        </is>
      </c>
      <c r="B13660" t="inlineStr">
        <is>
          <t xml:space="preserve">UTI FTIF Series XXVIII-XI (1161 Days) - Direct Plan - Growth Option</t>
        </is>
      </c>
      <c r="C13660" t="inlineStr">
        <is>
          <t xml:space="preserve">INF789FC15K3</t>
        </is>
      </c>
    </row>
    <row r="13661">
      <c r="A13661" t="inlineStr">
        <is>
          <t xml:space="preserve">UTI Mutual Fund</t>
        </is>
      </c>
      <c r="B13661" t="inlineStr">
        <is>
          <t xml:space="preserve">UTI FTIF Series XXVIII-XI (1161 Days) - Regular Plan - Growth Option</t>
        </is>
      </c>
      <c r="C13661" t="inlineStr">
        <is>
          <t xml:space="preserve">INF789FC10K4</t>
        </is>
      </c>
    </row>
    <row r="13662">
      <c r="A13662" t="inlineStr">
        <is>
          <t xml:space="preserve">UTI Mutual Fund</t>
        </is>
      </c>
      <c r="B13662" t="inlineStr">
        <is>
          <t xml:space="preserve">UTI FTIF Series XXVIII-XII (1154 Days) - Direct Plan - Growth Option</t>
        </is>
      </c>
      <c r="C13662" t="inlineStr">
        <is>
          <t xml:space="preserve">INF789FC15L1</t>
        </is>
      </c>
    </row>
    <row r="13663">
      <c r="A13663" t="inlineStr">
        <is>
          <t xml:space="preserve">UTI Mutual Fund</t>
        </is>
      </c>
      <c r="B13663" t="inlineStr">
        <is>
          <t xml:space="preserve">UTI FTIF Series XXVIII-XII (1154 Days) - Regular Plan - Growth Option</t>
        </is>
      </c>
      <c r="C13663" t="inlineStr">
        <is>
          <t xml:space="preserve">INF789FC10L2</t>
        </is>
      </c>
    </row>
    <row r="13664">
      <c r="A13664" t="inlineStr">
        <is>
          <t xml:space="preserve">UTI Mutual Fund</t>
        </is>
      </c>
      <c r="B13664" t="inlineStr">
        <is>
          <t xml:space="preserve">UTI FTIF Series XXVIII-XIII (1134 Days) - Direct Plan - Growth Option</t>
        </is>
      </c>
      <c r="C13664" t="inlineStr">
        <is>
          <t xml:space="preserve">INF789FC15M9</t>
        </is>
      </c>
    </row>
    <row r="13665">
      <c r="A13665" t="inlineStr">
        <is>
          <t xml:space="preserve">UTI Mutual Fund</t>
        </is>
      </c>
      <c r="B13665" t="inlineStr">
        <is>
          <t xml:space="preserve">UTI FTIF Series XXVIII-XIII (1134 Days) - Regular Plan - Growth Option</t>
        </is>
      </c>
      <c r="C13665" t="inlineStr">
        <is>
          <t xml:space="preserve">INF789FC10M0</t>
        </is>
      </c>
    </row>
    <row r="13666">
      <c r="A13666" t="inlineStr">
        <is>
          <t xml:space="preserve">UTI Mutual Fund</t>
        </is>
      </c>
      <c r="B13666" t="inlineStr">
        <is>
          <t xml:space="preserve">UTI FTIF Series XXVIII-XIV (1147 Days) - Direct Plan - Growth OptionI</t>
        </is>
      </c>
      <c r="C13666" t="inlineStr">
        <is>
          <t xml:space="preserve">INF789FC15N7</t>
        </is>
      </c>
    </row>
    <row r="13667">
      <c r="A13667" t="inlineStr">
        <is>
          <t xml:space="preserve">UTI Mutual Fund</t>
        </is>
      </c>
      <c r="B13667" t="inlineStr">
        <is>
          <t xml:space="preserve">UTI FTIF Series XXVIII-XIV (1147 Days) - Regular Plan - Growth Option</t>
        </is>
      </c>
      <c r="C13667" t="inlineStr">
        <is>
          <t xml:space="preserve">INF789FC10N8</t>
        </is>
      </c>
    </row>
    <row r="13668">
      <c r="A13668" t="inlineStr">
        <is>
          <t xml:space="preserve">UTI Mutual Fund</t>
        </is>
      </c>
      <c r="B13668" t="inlineStr">
        <is>
          <t xml:space="preserve">UTI Gilt Fund - Direct Plan - IDCW</t>
        </is>
      </c>
      <c r="C13668" t="inlineStr">
        <is>
          <t xml:space="preserve">INF789F01TJ9</t>
        </is>
      </c>
    </row>
    <row r="13669">
      <c r="A13669" t="inlineStr">
        <is>
          <t xml:space="preserve">UTI Mutual Fund</t>
        </is>
      </c>
      <c r="B13669" t="inlineStr">
        <is>
          <t xml:space="preserve">UTI Gilt Fund - Regular Plan - IDCW</t>
        </is>
      </c>
      <c r="C13669" t="inlineStr">
        <is>
          <t xml:space="preserve">INF789F01646</t>
        </is>
      </c>
    </row>
    <row r="13670">
      <c r="A13670" t="inlineStr">
        <is>
          <t xml:space="preserve">UTI Mutual Fund</t>
        </is>
      </c>
      <c r="B13670" t="inlineStr">
        <is>
          <t xml:space="preserve">UTI Gilt Fund with 10 year Constant Duration - Direct Plan - Annual IDCW Option</t>
        </is>
      </c>
      <c r="C13670" t="inlineStr">
        <is>
          <t xml:space="preserve">INF789F1AVW7</t>
        </is>
      </c>
    </row>
    <row r="13671">
      <c r="A13671" t="inlineStr">
        <is>
          <t xml:space="preserve">UTI Mutual Fund</t>
        </is>
      </c>
      <c r="B13671" t="inlineStr">
        <is>
          <t xml:space="preserve">UTI Gilt Fund with 10 year Constant Duration - Direct Plan - Flexi IDCW Option</t>
        </is>
      </c>
      <c r="C13671" t="inlineStr">
        <is>
          <t xml:space="preserve">INF789F1AVY3</t>
        </is>
      </c>
    </row>
    <row r="13672">
      <c r="A13672" t="inlineStr">
        <is>
          <t xml:space="preserve">UTI Mutual Fund</t>
        </is>
      </c>
      <c r="B13672" t="inlineStr">
        <is>
          <t xml:space="preserve">UTI Gilt Fund with 10 year Constant Duration - Direct Plan - Growth Option</t>
        </is>
      </c>
      <c r="C13672" t="inlineStr">
        <is>
          <t xml:space="preserve">INF789F1AVR7</t>
        </is>
      </c>
    </row>
    <row r="13673">
      <c r="A13673" t="inlineStr">
        <is>
          <t xml:space="preserve">UTI Mutual Fund</t>
        </is>
      </c>
      <c r="B13673" t="inlineStr">
        <is>
          <t xml:space="preserve">UTI Gilt Fund with 10 year Constant Duration - Direct Plan - Half Yearly IDCW Option</t>
        </is>
      </c>
      <c r="C13673" t="inlineStr">
        <is>
          <t xml:space="preserve">INF789F1AVU1</t>
        </is>
      </c>
    </row>
    <row r="13674">
      <c r="A13674" t="inlineStr">
        <is>
          <t xml:space="preserve">UTI Mutual Fund</t>
        </is>
      </c>
      <c r="B13674" t="inlineStr">
        <is>
          <t xml:space="preserve">UTI Gilt Fund with 10 year Constant Duration - Direct Plan - Quarterly IDCW Option</t>
        </is>
      </c>
      <c r="C13674" t="inlineStr">
        <is>
          <t xml:space="preserve">INF789F1AVS5</t>
        </is>
      </c>
    </row>
    <row r="13675">
      <c r="A13675" t="inlineStr">
        <is>
          <t xml:space="preserve">UTI Mutual Fund</t>
        </is>
      </c>
      <c r="B13675" t="inlineStr">
        <is>
          <t xml:space="preserve">UTI Gilt Fund with 10 year Constant Duration - Regular Plan - Annual IDCW Option</t>
        </is>
      </c>
      <c r="C13675" t="inlineStr">
        <is>
          <t xml:space="preserve">INF789F1AVN6</t>
        </is>
      </c>
    </row>
    <row r="13676">
      <c r="A13676" t="inlineStr">
        <is>
          <t xml:space="preserve">UTI Mutual Fund</t>
        </is>
      </c>
      <c r="B13676" t="inlineStr">
        <is>
          <t xml:space="preserve">UTI Gilt Fund with 10 year Constant Duration - Regular Plan - Flexi IDCW Option</t>
        </is>
      </c>
      <c r="C13676" t="inlineStr">
        <is>
          <t xml:space="preserve">INF789F1AVP1</t>
        </is>
      </c>
    </row>
    <row r="13677">
      <c r="A13677" t="inlineStr">
        <is>
          <t xml:space="preserve">UTI Mutual Fund</t>
        </is>
      </c>
      <c r="B13677" t="inlineStr">
        <is>
          <t xml:space="preserve">UTI Gilt Fund with 10 year Constant Duration - Regular Plan - Growth Option</t>
        </is>
      </c>
      <c r="C13677" t="inlineStr">
        <is>
          <t xml:space="preserve">INF789F1AVI6</t>
        </is>
      </c>
    </row>
    <row r="13678">
      <c r="A13678" t="inlineStr">
        <is>
          <t xml:space="preserve">UTI Mutual Fund</t>
        </is>
      </c>
      <c r="B13678" t="inlineStr">
        <is>
          <t xml:space="preserve">UTI Gilt Fund with 10 year Constant Duration - Regular Plan - Half Yearly IDCW Option</t>
        </is>
      </c>
      <c r="C13678" t="inlineStr">
        <is>
          <t xml:space="preserve">INF789F1AVL0</t>
        </is>
      </c>
    </row>
    <row r="13679">
      <c r="A13679" t="inlineStr">
        <is>
          <t xml:space="preserve">UTI Mutual Fund</t>
        </is>
      </c>
      <c r="B13679" t="inlineStr">
        <is>
          <t xml:space="preserve">UTI Gilt Fund with 10 year Constant Duration - Regular Plan - Quarterly IDCW Option</t>
        </is>
      </c>
      <c r="C13679" t="inlineStr">
        <is>
          <t xml:space="preserve">INF789F1AVJ4</t>
        </is>
      </c>
    </row>
    <row r="13680">
      <c r="A13680" t="inlineStr">
        <is>
          <t xml:space="preserve">UTI Mutual Fund</t>
        </is>
      </c>
      <c r="B13680" t="inlineStr">
        <is>
          <t xml:space="preserve">UTI Gold ETF Fund of Fund - Direct Plan - Growth Option</t>
        </is>
      </c>
      <c r="C13680" t="inlineStr">
        <is>
          <t xml:space="preserve">INF789F1AWB9</t>
        </is>
      </c>
    </row>
    <row r="13681">
      <c r="A13681" t="inlineStr">
        <is>
          <t xml:space="preserve">UTI Mutual Fund</t>
        </is>
      </c>
      <c r="B13681" t="inlineStr">
        <is>
          <t xml:space="preserve">UTI Gold ETF Fund of Fund - Regular Plan - Growth Opton</t>
        </is>
      </c>
      <c r="C13681" t="inlineStr">
        <is>
          <t xml:space="preserve">INF789F1AWA1</t>
        </is>
      </c>
    </row>
    <row r="13682">
      <c r="A13682" t="inlineStr">
        <is>
          <t xml:space="preserve">UTI Mutual Fund</t>
        </is>
      </c>
      <c r="B13682" t="inlineStr">
        <is>
          <t xml:space="preserve">UTI GOLD Exchange Traded Fund</t>
        </is>
      </c>
      <c r="C13682" t="inlineStr">
        <is>
          <t xml:space="preserve">INF789F1AUX7</t>
        </is>
      </c>
    </row>
    <row r="13683">
      <c r="A13683" t="inlineStr">
        <is>
          <t xml:space="preserve">UTI Mutual Fund</t>
        </is>
      </c>
      <c r="B13683" t="inlineStr">
        <is>
          <t xml:space="preserve">UTI Healthcare Fund - Direct Plan - Growth Option</t>
        </is>
      </c>
      <c r="C13683" t="inlineStr">
        <is>
          <t xml:space="preserve">INF789F01TO9</t>
        </is>
      </c>
    </row>
    <row r="13684">
      <c r="A13684" t="inlineStr">
        <is>
          <t xml:space="preserve">UTI Mutual Fund</t>
        </is>
      </c>
      <c r="B13684" t="inlineStr">
        <is>
          <t xml:space="preserve">UTI Healthcare Fund - Direct Plan - IDCW</t>
        </is>
      </c>
      <c r="C13684" t="inlineStr">
        <is>
          <t xml:space="preserve">INF789F01TM3</t>
        </is>
      </c>
    </row>
    <row r="13685">
      <c r="A13685" t="inlineStr">
        <is>
          <t xml:space="preserve">UTI Mutual Fund</t>
        </is>
      </c>
      <c r="B13685" t="inlineStr">
        <is>
          <t xml:space="preserve">UTI Healthcare Fund - Regular Plan - Growth Option</t>
        </is>
      </c>
      <c r="C13685" t="inlineStr">
        <is>
          <t xml:space="preserve">INF789F01695</t>
        </is>
      </c>
    </row>
    <row r="13686">
      <c r="A13686" t="inlineStr">
        <is>
          <t xml:space="preserve">UTI Mutual Fund</t>
        </is>
      </c>
      <c r="B13686" t="inlineStr">
        <is>
          <t xml:space="preserve">UTI Healthcare Fund - Regular Plan - IDCW</t>
        </is>
      </c>
      <c r="C13686" t="inlineStr">
        <is>
          <t xml:space="preserve">INF789F01679</t>
        </is>
      </c>
    </row>
    <row r="13687">
      <c r="A13687" t="inlineStr">
        <is>
          <t xml:space="preserve">UTI Mutual Fund</t>
        </is>
      </c>
      <c r="B13687" t="inlineStr">
        <is>
          <t xml:space="preserve">UTI Income Plus Arbitrage Active Fund of Fund - Direct Plan - Growth Option</t>
        </is>
      </c>
      <c r="C13687" t="inlineStr">
        <is>
          <t xml:space="preserve">INF789F1AB55</t>
        </is>
      </c>
    </row>
    <row r="13688">
      <c r="A13688" t="inlineStr">
        <is>
          <t xml:space="preserve">UTI Mutual Fund</t>
        </is>
      </c>
      <c r="B13688" t="inlineStr">
        <is>
          <t xml:space="preserve">UTI Income Plus Arbitrage Active Fund of Fund - Regular Plan - Growth Option</t>
        </is>
      </c>
      <c r="C13688" t="inlineStr">
        <is>
          <t xml:space="preserve">INF789F1AB63</t>
        </is>
      </c>
    </row>
    <row r="13689">
      <c r="A13689" t="inlineStr">
        <is>
          <t xml:space="preserve">UTI Mutual Fund</t>
        </is>
      </c>
      <c r="B13689" t="inlineStr">
        <is>
          <t xml:space="preserve">UTI India Consumer Fund - Direct Plan - Growth Option</t>
        </is>
      </c>
      <c r="C13689" t="inlineStr">
        <is>
          <t xml:space="preserve">INF789F01VF3</t>
        </is>
      </c>
    </row>
    <row r="13690">
      <c r="A13690" t="inlineStr">
        <is>
          <t xml:space="preserve">UTI Mutual Fund</t>
        </is>
      </c>
      <c r="B13690" t="inlineStr">
        <is>
          <t xml:space="preserve">UTI India Consumer Fund - Direct Plan - IDCW</t>
        </is>
      </c>
      <c r="C13690" t="inlineStr">
        <is>
          <t xml:space="preserve">INF789F01VG1</t>
        </is>
      </c>
    </row>
    <row r="13691">
      <c r="A13691" t="inlineStr">
        <is>
          <t xml:space="preserve">UTI Mutual Fund</t>
        </is>
      </c>
      <c r="B13691" t="inlineStr">
        <is>
          <t xml:space="preserve">UTI India Consumer Fund - Regular Plan - Growth Option</t>
        </is>
      </c>
      <c r="C13691" t="inlineStr">
        <is>
          <t xml:space="preserve">INF789F01CE6</t>
        </is>
      </c>
    </row>
    <row r="13692">
      <c r="A13692" t="inlineStr">
        <is>
          <t xml:space="preserve">UTI Mutual Fund</t>
        </is>
      </c>
      <c r="B13692" t="inlineStr">
        <is>
          <t xml:space="preserve">UTI India Consumer Fund - Regular Plan - IDCW</t>
        </is>
      </c>
      <c r="C13692" t="inlineStr">
        <is>
          <t xml:space="preserve">INF789F01CF3</t>
        </is>
      </c>
    </row>
    <row r="13693">
      <c r="A13693" t="inlineStr">
        <is>
          <t xml:space="preserve">UTI Mutual Fund</t>
        </is>
      </c>
      <c r="B13693" t="inlineStr">
        <is>
          <t xml:space="preserve">UTI Infrastructure Fund - Direct Plan - IDCW</t>
        </is>
      </c>
      <c r="C13693" t="inlineStr">
        <is>
          <t xml:space="preserve">INF789F01TS0</t>
        </is>
      </c>
    </row>
    <row r="13694">
      <c r="A13694" t="inlineStr">
        <is>
          <t xml:space="preserve">UTI Mutual Fund</t>
        </is>
      </c>
      <c r="B13694" t="inlineStr">
        <is>
          <t xml:space="preserve">UTI Infrastructure Fund - Regular Plan - IDCW</t>
        </is>
      </c>
      <c r="C13694" t="inlineStr">
        <is>
          <t xml:space="preserve">INF789F01737</t>
        </is>
      </c>
    </row>
    <row r="13695">
      <c r="A13695" t="inlineStr">
        <is>
          <t xml:space="preserve">UTI Mutual Fund</t>
        </is>
      </c>
      <c r="B13695" t="inlineStr">
        <is>
          <t xml:space="preserve">UTI Infrastructure Fund-Growth Option</t>
        </is>
      </c>
      <c r="C13695" t="inlineStr">
        <is>
          <t xml:space="preserve">INF789F01752</t>
        </is>
      </c>
    </row>
    <row r="13696">
      <c r="A13696" t="inlineStr">
        <is>
          <t xml:space="preserve">UTI Mutual Fund</t>
        </is>
      </c>
      <c r="B13696" t="inlineStr">
        <is>
          <t xml:space="preserve">UTI Infrastructure Fund-Growth Option- Direct</t>
        </is>
      </c>
      <c r="C13696" t="inlineStr">
        <is>
          <t xml:space="preserve">INF789F01TU6</t>
        </is>
      </c>
    </row>
    <row r="13697">
      <c r="A13697" t="inlineStr">
        <is>
          <t xml:space="preserve">UTI Mutual Fund</t>
        </is>
      </c>
      <c r="B13697" t="inlineStr">
        <is>
          <t xml:space="preserve">UTI Innovation Fund - Direct Plan - Growth Option</t>
        </is>
      </c>
      <c r="C13697" t="inlineStr">
        <is>
          <t xml:space="preserve">INF789F1AZA4</t>
        </is>
      </c>
    </row>
    <row r="13698">
      <c r="A13698" t="inlineStr">
        <is>
          <t xml:space="preserve">UTI Mutual Fund</t>
        </is>
      </c>
      <c r="B13698" t="inlineStr">
        <is>
          <t xml:space="preserve">UTI Innovation Fund - Direct Plan - Payout of IDCW Option</t>
        </is>
      </c>
      <c r="C13698" t="inlineStr">
        <is>
          <t xml:space="preserve">INF789F1AZB2</t>
        </is>
      </c>
    </row>
    <row r="13699">
      <c r="A13699" t="inlineStr">
        <is>
          <t xml:space="preserve">UTI Mutual Fund</t>
        </is>
      </c>
      <c r="B13699" t="inlineStr">
        <is>
          <t xml:space="preserve">UTI Innovation Fund - Regular Plan - Growth Option</t>
        </is>
      </c>
      <c r="C13699" t="inlineStr">
        <is>
          <t xml:space="preserve">INF789F1AYY7</t>
        </is>
      </c>
    </row>
    <row r="13700">
      <c r="A13700" t="inlineStr">
        <is>
          <t xml:space="preserve">UTI Mutual Fund</t>
        </is>
      </c>
      <c r="B13700" t="inlineStr">
        <is>
          <t xml:space="preserve">UTI Innovation Fund - Regular Plan - Payout of IDCW Option</t>
        </is>
      </c>
      <c r="C13700" t="inlineStr">
        <is>
          <t xml:space="preserve">INF789F1AYZ4</t>
        </is>
      </c>
    </row>
    <row r="13701">
      <c r="A13701" t="inlineStr">
        <is>
          <t xml:space="preserve">UTI Mutual Fund</t>
        </is>
      </c>
      <c r="B13701" t="inlineStr">
        <is>
          <t xml:space="preserve">UTI Large &amp; Mid Cap Fund - Direct Plan - Growth Option</t>
        </is>
      </c>
      <c r="C13701" t="inlineStr">
        <is>
          <t xml:space="preserve">INF789F01UG3</t>
        </is>
      </c>
    </row>
    <row r="13702">
      <c r="A13702" t="inlineStr">
        <is>
          <t xml:space="preserve">UTI Mutual Fund</t>
        </is>
      </c>
      <c r="B13702" t="inlineStr">
        <is>
          <t xml:space="preserve">UTI Large &amp; Mid Cap Fund - Direct Plan - IDCW</t>
        </is>
      </c>
      <c r="C13702" t="inlineStr">
        <is>
          <t xml:space="preserve">INF789F01UE8</t>
        </is>
      </c>
    </row>
    <row r="13703">
      <c r="A13703" t="inlineStr">
        <is>
          <t xml:space="preserve">UTI Mutual Fund</t>
        </is>
      </c>
      <c r="B13703" t="inlineStr">
        <is>
          <t xml:space="preserve">UTI Large &amp; Mid Cap Fund - Regular Plan - Growth Option</t>
        </is>
      </c>
      <c r="C13703" t="inlineStr">
        <is>
          <t xml:space="preserve">INF789F01869</t>
        </is>
      </c>
    </row>
    <row r="13704">
      <c r="A13704" t="inlineStr">
        <is>
          <t xml:space="preserve">UTI Mutual Fund</t>
        </is>
      </c>
      <c r="B13704" t="inlineStr">
        <is>
          <t xml:space="preserve">UTI Large &amp; Mid Cap Fund - Regular Plan - IDCW</t>
        </is>
      </c>
      <c r="C13704" t="inlineStr">
        <is>
          <t xml:space="preserve">INF189A01046</t>
        </is>
      </c>
    </row>
    <row r="13705">
      <c r="A13705" t="inlineStr">
        <is>
          <t xml:space="preserve">UTI Mutual Fund</t>
        </is>
      </c>
      <c r="B13705" t="inlineStr">
        <is>
          <t xml:space="preserve">UTI Large Cap Fund - Direct Plan - Growth Option</t>
        </is>
      </c>
      <c r="C13705" t="inlineStr">
        <is>
          <t xml:space="preserve">INF789F01US8</t>
        </is>
      </c>
    </row>
    <row r="13706">
      <c r="A13706" t="inlineStr">
        <is>
          <t xml:space="preserve">UTI Mutual Fund</t>
        </is>
      </c>
      <c r="B13706" t="inlineStr">
        <is>
          <t xml:space="preserve">UTI Large Cap Fund - Direct Plan - IDCW</t>
        </is>
      </c>
      <c r="C13706" t="inlineStr">
        <is>
          <t xml:space="preserve">INF789F01UQ2</t>
        </is>
      </c>
    </row>
    <row r="13707">
      <c r="A13707" t="inlineStr">
        <is>
          <t xml:space="preserve">UTI Mutual Fund</t>
        </is>
      </c>
      <c r="B13707" t="inlineStr">
        <is>
          <t xml:space="preserve">UTI Large Cap Fund - Regular Plan - Growth Option</t>
        </is>
      </c>
      <c r="C13707" t="inlineStr">
        <is>
          <t xml:space="preserve">INF789F01976</t>
        </is>
      </c>
    </row>
    <row r="13708">
      <c r="A13708" t="inlineStr">
        <is>
          <t xml:space="preserve">UTI Mutual Fund</t>
        </is>
      </c>
      <c r="B13708" t="inlineStr">
        <is>
          <t xml:space="preserve">UTI Large Cap Fund - Regular Plan - IDCW</t>
        </is>
      </c>
      <c r="C13708" t="inlineStr">
        <is>
          <t xml:space="preserve">INF189A01038</t>
        </is>
      </c>
    </row>
    <row r="13709">
      <c r="A13709" t="inlineStr">
        <is>
          <t xml:space="preserve">UTI Mutual Fund</t>
        </is>
      </c>
      <c r="B13709" t="inlineStr">
        <is>
          <t xml:space="preserve">UTI Liquid Fund - Direct Plan - Annual IDCW</t>
        </is>
      </c>
      <c r="C13709" t="inlineStr">
        <is>
          <t xml:space="preserve">INF789F1AE45</t>
        </is>
      </c>
    </row>
    <row r="13710">
      <c r="A13710" t="inlineStr">
        <is>
          <t xml:space="preserve">UTI Mutual Fund</t>
        </is>
      </c>
      <c r="B13710" t="inlineStr">
        <is>
          <t xml:space="preserve">UTI Liquid Fund - Direct Plan - Daily IDCW (Reinvestment)</t>
        </is>
      </c>
      <c r="C13710" t="inlineStr">
        <is>
          <t xml:space="preserve">INF789F1AD38</t>
        </is>
      </c>
    </row>
    <row r="13711">
      <c r="A13711" t="inlineStr">
        <is>
          <t xml:space="preserve">UTI Mutual Fund</t>
        </is>
      </c>
      <c r="B13711" t="inlineStr">
        <is>
          <t xml:space="preserve">UTI Liquid Fund - Direct Plan - Flexi IDCW</t>
        </is>
      </c>
      <c r="C13711" t="inlineStr">
        <is>
          <t xml:space="preserve">INF789F1AE60</t>
        </is>
      </c>
    </row>
    <row r="13712">
      <c r="A13712" t="inlineStr">
        <is>
          <t xml:space="preserve">UTI Mutual Fund</t>
        </is>
      </c>
      <c r="B13712" t="inlineStr">
        <is>
          <t xml:space="preserve">UTI Liquid Fund - Direct Plan - Fortnightly IDCW</t>
        </is>
      </c>
      <c r="C13712" t="inlineStr">
        <is>
          <t xml:space="preserve">INF789F1AD87</t>
        </is>
      </c>
    </row>
    <row r="13713">
      <c r="A13713" t="inlineStr">
        <is>
          <t xml:space="preserve">UTI Mutual Fund</t>
        </is>
      </c>
      <c r="B13713" t="inlineStr">
        <is>
          <t xml:space="preserve">UTI Liquid Fund - Direct Plan - Growth Option</t>
        </is>
      </c>
      <c r="C13713" t="inlineStr">
        <is>
          <t xml:space="preserve">INF789F1AD46</t>
        </is>
      </c>
    </row>
    <row r="13714">
      <c r="A13714" t="inlineStr">
        <is>
          <t xml:space="preserve">UTI Mutual Fund</t>
        </is>
      </c>
      <c r="B13714" t="inlineStr">
        <is>
          <t xml:space="preserve">UTI Liquid Fund - Direct Plan - Half-Yearly IDCW</t>
        </is>
      </c>
      <c r="C13714" t="inlineStr">
        <is>
          <t xml:space="preserve">INF789F1AE29</t>
        </is>
      </c>
    </row>
    <row r="13715">
      <c r="A13715" t="inlineStr">
        <is>
          <t xml:space="preserve">UTI Mutual Fund</t>
        </is>
      </c>
      <c r="B13715" t="inlineStr">
        <is>
          <t xml:space="preserve">UTI Liquid Fund - Direct Plan - Monthly IDCW</t>
        </is>
      </c>
      <c r="C13715" t="inlineStr">
        <is>
          <t xml:space="preserve">INF789F1AD53</t>
        </is>
      </c>
    </row>
    <row r="13716">
      <c r="A13716" t="inlineStr">
        <is>
          <t xml:space="preserve">UTI Mutual Fund</t>
        </is>
      </c>
      <c r="B13716" t="inlineStr">
        <is>
          <t xml:space="preserve">UTI Liquid Fund - Direct Plan - Quarterly IDCW</t>
        </is>
      </c>
      <c r="C13716" t="inlineStr">
        <is>
          <t xml:space="preserve">INF789F1AE03</t>
        </is>
      </c>
    </row>
    <row r="13717">
      <c r="A13717" t="inlineStr">
        <is>
          <t xml:space="preserve">UTI Mutual Fund</t>
        </is>
      </c>
      <c r="B13717" t="inlineStr">
        <is>
          <t xml:space="preserve">UTI Liquid Fund - Direct Plan - Weekly IDCW</t>
        </is>
      </c>
      <c r="C13717" t="inlineStr">
        <is>
          <t xml:space="preserve">INF789F1AD79</t>
        </is>
      </c>
    </row>
    <row r="13718">
      <c r="A13718" t="inlineStr">
        <is>
          <t xml:space="preserve">UTI Mutual Fund</t>
        </is>
      </c>
      <c r="B13718" t="inlineStr">
        <is>
          <t xml:space="preserve">UTI Liquid Fund - Discontinued - Regular Plan - Monthly Dividend Option</t>
        </is>
      </c>
      <c r="C13718" t="inlineStr">
        <is>
          <t xml:space="preserve">INF789F1AG27</t>
        </is>
      </c>
    </row>
    <row r="13719">
      <c r="A13719" t="inlineStr">
        <is>
          <t xml:space="preserve">UTI Mutual Fund</t>
        </is>
      </c>
      <c r="B13719" t="inlineStr">
        <is>
          <t xml:space="preserve">UTI Liquid Fund - Discontinued - Regular Plan -Growth</t>
        </is>
      </c>
      <c r="C13719" t="inlineStr">
        <is>
          <t xml:space="preserve">INF789F1AF44</t>
        </is>
      </c>
    </row>
    <row r="13720">
      <c r="A13720" t="inlineStr">
        <is>
          <t xml:space="preserve">UTI Mutual Fund</t>
        </is>
      </c>
      <c r="B13720" t="inlineStr">
        <is>
          <t xml:space="preserve">UTI Liquid Fund - Discontinued -Regular Plan Periodic Dividend Option</t>
        </is>
      </c>
      <c r="C13720" t="inlineStr">
        <is>
          <t xml:space="preserve">INF789F1AE86</t>
        </is>
      </c>
    </row>
    <row r="13721">
      <c r="A13721" t="inlineStr">
        <is>
          <t xml:space="preserve">UTI Mutual Fund</t>
        </is>
      </c>
      <c r="B13721" t="inlineStr">
        <is>
          <t xml:space="preserve">UTI Liquid Fund - Regular Plan - Annual IDCW</t>
        </is>
      </c>
      <c r="C13721" t="inlineStr">
        <is>
          <t xml:space="preserve">INF789F1AD12</t>
        </is>
      </c>
    </row>
    <row r="13722">
      <c r="A13722" t="inlineStr">
        <is>
          <t xml:space="preserve">UTI Mutual Fund</t>
        </is>
      </c>
      <c r="B13722" t="inlineStr">
        <is>
          <t xml:space="preserve">UTI Liquid Fund - Regular Plan - Daily IDCW (Reinvestment)</t>
        </is>
      </c>
      <c r="C13722" t="inlineStr">
        <is>
          <t xml:space="preserve">INF789F1AF77</t>
        </is>
      </c>
    </row>
    <row r="13723">
      <c r="A13723" t="inlineStr">
        <is>
          <t xml:space="preserve">UTI Mutual Fund</t>
        </is>
      </c>
      <c r="B13723" t="inlineStr">
        <is>
          <t xml:space="preserve">UTI Liquid Fund - Regular Plan - Flexi IDCW</t>
        </is>
      </c>
      <c r="C13723" t="inlineStr">
        <is>
          <t xml:space="preserve">INF789F1AF02</t>
        </is>
      </c>
    </row>
    <row r="13724">
      <c r="A13724" t="inlineStr">
        <is>
          <t xml:space="preserve">UTI Mutual Fund</t>
        </is>
      </c>
      <c r="B13724" t="inlineStr">
        <is>
          <t xml:space="preserve">UTI Liquid Fund - Regular Plan - Fortnightly IDCW</t>
        </is>
      </c>
      <c r="C13724" t="inlineStr">
        <is>
          <t xml:space="preserve">INF789F1AF28</t>
        </is>
      </c>
    </row>
    <row r="13725">
      <c r="A13725" t="inlineStr">
        <is>
          <t xml:space="preserve">UTI Mutual Fund</t>
        </is>
      </c>
      <c r="B13725" t="inlineStr">
        <is>
          <t xml:space="preserve">UTI Liquid Fund - Regular Plan - Growth Option</t>
        </is>
      </c>
      <c r="C13725" t="inlineStr">
        <is>
          <t xml:space="preserve">INF789F1AF85</t>
        </is>
      </c>
    </row>
    <row r="13726">
      <c r="A13726" t="inlineStr">
        <is>
          <t xml:space="preserve">UTI Mutual Fund</t>
        </is>
      </c>
      <c r="B13726" t="inlineStr">
        <is>
          <t xml:space="preserve">UTI Liquid Fund - Regular Plan - Half-Yearly IDCW</t>
        </is>
      </c>
      <c r="C13726" t="inlineStr">
        <is>
          <t xml:space="preserve">INF789F1AF51</t>
        </is>
      </c>
    </row>
    <row r="13727">
      <c r="A13727" t="inlineStr">
        <is>
          <t xml:space="preserve">UTI Mutual Fund</t>
        </is>
      </c>
      <c r="B13727" t="inlineStr">
        <is>
          <t xml:space="preserve">UTI Liquid Fund - Regular Plan - Monthly IDCW</t>
        </is>
      </c>
      <c r="C13727" t="inlineStr">
        <is>
          <t xml:space="preserve">INF789F1AF93</t>
        </is>
      </c>
    </row>
    <row r="13728">
      <c r="A13728" t="inlineStr">
        <is>
          <t xml:space="preserve">UTI Mutual Fund</t>
        </is>
      </c>
      <c r="B13728" t="inlineStr">
        <is>
          <t xml:space="preserve">UTI Liquid Fund - Regular Plan - Quarterly IDCW</t>
        </is>
      </c>
      <c r="C13728" t="inlineStr">
        <is>
          <t xml:space="preserve">INF789F1AG43</t>
        </is>
      </c>
    </row>
    <row r="13729">
      <c r="A13729" t="inlineStr">
        <is>
          <t xml:space="preserve">UTI Mutual Fund</t>
        </is>
      </c>
      <c r="B13729" t="inlineStr">
        <is>
          <t xml:space="preserve">UTI Liquid Fund - Regular Plan - Weekly IDCW</t>
        </is>
      </c>
      <c r="C13729" t="inlineStr">
        <is>
          <t xml:space="preserve">INF789F1AG19</t>
        </is>
      </c>
    </row>
    <row r="13730">
      <c r="A13730" t="inlineStr">
        <is>
          <t xml:space="preserve">UTI Mutual Fund</t>
        </is>
      </c>
      <c r="B13730" t="inlineStr">
        <is>
          <t xml:space="preserve">UTI Long Duration Fund - Direct Plan - Annual IDCW Option</t>
        </is>
      </c>
      <c r="C13730" t="inlineStr">
        <is>
          <t xml:space="preserve">INF789F1AYG4</t>
        </is>
      </c>
    </row>
    <row r="13731">
      <c r="A13731" t="inlineStr">
        <is>
          <t xml:space="preserve">UTI Mutual Fund</t>
        </is>
      </c>
      <c r="B13731" t="inlineStr">
        <is>
          <t xml:space="preserve">UTI Long Duration Fund - Direct Plan - Flexi IDCW Option</t>
        </is>
      </c>
      <c r="C13731" t="inlineStr">
        <is>
          <t xml:space="preserve">INF789F1AYI0</t>
        </is>
      </c>
    </row>
    <row r="13732">
      <c r="A13732" t="inlineStr">
        <is>
          <t xml:space="preserve">UTI Mutual Fund</t>
        </is>
      </c>
      <c r="B13732" t="inlineStr">
        <is>
          <t xml:space="preserve">UTI Long Duration Fund - Direct Plan - Growth Option</t>
        </is>
      </c>
      <c r="C13732" t="inlineStr">
        <is>
          <t xml:space="preserve">INF789F1AYB5</t>
        </is>
      </c>
    </row>
    <row r="13733">
      <c r="A13733" t="inlineStr">
        <is>
          <t xml:space="preserve">UTI Mutual Fund</t>
        </is>
      </c>
      <c r="B13733" t="inlineStr">
        <is>
          <t xml:space="preserve">UTI Long Duration Fund - Direct Plan - Half Yearly IDCW Option</t>
        </is>
      </c>
      <c r="C13733" t="inlineStr">
        <is>
          <t xml:space="preserve">INF789F1AYE9</t>
        </is>
      </c>
    </row>
    <row r="13734">
      <c r="A13734" t="inlineStr">
        <is>
          <t xml:space="preserve">UTI Mutual Fund</t>
        </is>
      </c>
      <c r="B13734" t="inlineStr">
        <is>
          <t xml:space="preserve">UTI Long duration Fund - Direct Plan - Quarterly IDCW Option</t>
        </is>
      </c>
      <c r="C13734" t="inlineStr">
        <is>
          <t xml:space="preserve">INF789F1AYC3</t>
        </is>
      </c>
    </row>
    <row r="13735">
      <c r="A13735" t="inlineStr">
        <is>
          <t xml:space="preserve">UTI Mutual Fund</t>
        </is>
      </c>
      <c r="B13735" t="inlineStr">
        <is>
          <t xml:space="preserve">UTI Long Duration Fund - Regular Plan - Annual IDCW Option</t>
        </is>
      </c>
      <c r="C13735" t="inlineStr">
        <is>
          <t xml:space="preserve">INF789F1AXX1</t>
        </is>
      </c>
    </row>
    <row r="13736">
      <c r="A13736" t="inlineStr">
        <is>
          <t xml:space="preserve">UTI Mutual Fund</t>
        </is>
      </c>
      <c r="B13736" t="inlineStr">
        <is>
          <t xml:space="preserve">UTI Long Duration Fund - Regular Plan - Flexi IDCW Option</t>
        </is>
      </c>
      <c r="C13736" t="inlineStr">
        <is>
          <t xml:space="preserve">INF789F1AXZ6</t>
        </is>
      </c>
    </row>
    <row r="13737">
      <c r="A13737" t="inlineStr">
        <is>
          <t xml:space="preserve">UTI Mutual Fund</t>
        </is>
      </c>
      <c r="B13737" t="inlineStr">
        <is>
          <t xml:space="preserve">UTI Long Duration Fund - Regular Plan - Growth Option</t>
        </is>
      </c>
      <c r="C13737" t="inlineStr">
        <is>
          <t xml:space="preserve">INF789F1AXS1</t>
        </is>
      </c>
    </row>
    <row r="13738">
      <c r="A13738" t="inlineStr">
        <is>
          <t xml:space="preserve">UTI Mutual Fund</t>
        </is>
      </c>
      <c r="B13738" t="inlineStr">
        <is>
          <t xml:space="preserve">UTI Long Duration Fund - Regular Plan - Half Yearly IDCW Option</t>
        </is>
      </c>
      <c r="C13738" t="inlineStr">
        <is>
          <t xml:space="preserve">INF789F1AXV5</t>
        </is>
      </c>
    </row>
    <row r="13739">
      <c r="A13739" t="inlineStr">
        <is>
          <t xml:space="preserve">UTI Mutual Fund</t>
        </is>
      </c>
      <c r="B13739" t="inlineStr">
        <is>
          <t xml:space="preserve">UTI Long Duration Fund - Regular Plan - Quarterly IDCW Option</t>
        </is>
      </c>
      <c r="C13739" t="inlineStr">
        <is>
          <t xml:space="preserve">INF789F1AXT9</t>
        </is>
      </c>
    </row>
    <row r="13740">
      <c r="A13740" t="inlineStr">
        <is>
          <t xml:space="preserve">UTI Mutual Fund</t>
        </is>
      </c>
      <c r="B13740" t="inlineStr">
        <is>
          <t xml:space="preserve">UTI Long Term Advantage Fund Series III - Direct Plan - Growth Option</t>
        </is>
      </c>
      <c r="C13740" t="inlineStr">
        <is>
          <t xml:space="preserve">INF789FB19N1</t>
        </is>
      </c>
    </row>
    <row r="13741">
      <c r="A13741" t="inlineStr">
        <is>
          <t xml:space="preserve">UTI Mutual Fund</t>
        </is>
      </c>
      <c r="B13741" t="inlineStr">
        <is>
          <t xml:space="preserve">UTI Long Term Advantage Fund Series III - Direct Plan - IDCW</t>
        </is>
      </c>
      <c r="C13741" t="inlineStr">
        <is>
          <t xml:space="preserve">INF789FB18N3</t>
        </is>
      </c>
    </row>
    <row r="13742">
      <c r="A13742" t="inlineStr">
        <is>
          <t xml:space="preserve">UTI Mutual Fund</t>
        </is>
      </c>
      <c r="B13742" t="inlineStr">
        <is>
          <t xml:space="preserve">UTI Long Term Advantage Fund Series III - Regular Plan - Growth Option</t>
        </is>
      </c>
      <c r="C13742" t="inlineStr">
        <is>
          <t xml:space="preserve">INF789FB17N5</t>
        </is>
      </c>
    </row>
    <row r="13743">
      <c r="A13743" t="inlineStr">
        <is>
          <t xml:space="preserve">UTI Mutual Fund</t>
        </is>
      </c>
      <c r="B13743" t="inlineStr">
        <is>
          <t xml:space="preserve">UTI Long Term Advantage Fund Series III - Regular Plan - IDCW</t>
        </is>
      </c>
      <c r="C13743" t="inlineStr">
        <is>
          <t xml:space="preserve">INF789FB16N7</t>
        </is>
      </c>
    </row>
    <row r="13744">
      <c r="A13744" t="inlineStr">
        <is>
          <t xml:space="preserve">UTI Mutual Fund</t>
        </is>
      </c>
      <c r="B13744" t="inlineStr">
        <is>
          <t xml:space="preserve">UTI Long Term Advantage Fund Series IV - Direct Plan - Growth Option</t>
        </is>
      </c>
      <c r="C13744" t="inlineStr">
        <is>
          <t xml:space="preserve">INF789FC1FE5</t>
        </is>
      </c>
    </row>
    <row r="13745">
      <c r="A13745" t="inlineStr">
        <is>
          <t xml:space="preserve">UTI Mutual Fund</t>
        </is>
      </c>
      <c r="B13745" t="inlineStr">
        <is>
          <t xml:space="preserve">UTI Long Term Advantage Fund Series IV - Direct Plan - IDCW</t>
        </is>
      </c>
      <c r="C13745" t="inlineStr">
        <is>
          <t xml:space="preserve">INF789FC1FD7</t>
        </is>
      </c>
    </row>
    <row r="13746">
      <c r="A13746" t="inlineStr">
        <is>
          <t xml:space="preserve">UTI Mutual Fund</t>
        </is>
      </c>
      <c r="B13746" t="inlineStr">
        <is>
          <t xml:space="preserve">UTI Long Term Advantage Fund Series IV - Regular Plan - Growth Option</t>
        </is>
      </c>
      <c r="C13746" t="inlineStr">
        <is>
          <t xml:space="preserve">INF789FC1FC9</t>
        </is>
      </c>
    </row>
    <row r="13747">
      <c r="A13747" t="inlineStr">
        <is>
          <t xml:space="preserve">UTI Mutual Fund</t>
        </is>
      </c>
      <c r="B13747" t="inlineStr">
        <is>
          <t xml:space="preserve">UTI Long Term Advantage Fund Series IV - Regular Plan - IDCW</t>
        </is>
      </c>
      <c r="C13747" t="inlineStr">
        <is>
          <t xml:space="preserve">INF789FC1FB1</t>
        </is>
      </c>
    </row>
    <row r="13748">
      <c r="A13748" t="inlineStr">
        <is>
          <t xml:space="preserve">UTI Mutual Fund</t>
        </is>
      </c>
      <c r="B13748" t="inlineStr">
        <is>
          <t xml:space="preserve">UTI Long Term Advantage Fund Series V - Direct Plan - Growth Option</t>
        </is>
      </c>
      <c r="C13748" t="inlineStr">
        <is>
          <t xml:space="preserve">INF789FC1HT9</t>
        </is>
      </c>
    </row>
    <row r="13749">
      <c r="A13749" t="inlineStr">
        <is>
          <t xml:space="preserve">UTI Mutual Fund</t>
        </is>
      </c>
      <c r="B13749" t="inlineStr">
        <is>
          <t xml:space="preserve">UTI Long Term Advantage Fund Series V - Direct Plan - IDCW</t>
        </is>
      </c>
      <c r="C13749" t="inlineStr">
        <is>
          <t xml:space="preserve">INF789FC1HS1</t>
        </is>
      </c>
    </row>
    <row r="13750">
      <c r="A13750" t="inlineStr">
        <is>
          <t xml:space="preserve">UTI Mutual Fund</t>
        </is>
      </c>
      <c r="B13750" t="inlineStr">
        <is>
          <t xml:space="preserve">UTI Long Term Advantage Fund Series V - Regular Plan - Growth Option</t>
        </is>
      </c>
      <c r="C13750" t="inlineStr">
        <is>
          <t xml:space="preserve">INF789FC1HR3</t>
        </is>
      </c>
    </row>
    <row r="13751">
      <c r="A13751" t="inlineStr">
        <is>
          <t xml:space="preserve">UTI Mutual Fund</t>
        </is>
      </c>
      <c r="B13751" t="inlineStr">
        <is>
          <t xml:space="preserve">UTI Long Term Advantage Fund Series V - Regular Plan - IDCW</t>
        </is>
      </c>
      <c r="C13751" t="inlineStr">
        <is>
          <t xml:space="preserve">INF789FC1HQ5</t>
        </is>
      </c>
    </row>
    <row r="13752">
      <c r="A13752" t="inlineStr">
        <is>
          <t xml:space="preserve">UTI Mutual Fund</t>
        </is>
      </c>
      <c r="B13752" t="inlineStr">
        <is>
          <t xml:space="preserve">UTI Long Term Advantage Fund Series VI - Direct Plan - Growth Option</t>
        </is>
      </c>
      <c r="C13752" t="inlineStr">
        <is>
          <t xml:space="preserve">INF789FC1V82</t>
        </is>
      </c>
    </row>
    <row r="13753">
      <c r="A13753" t="inlineStr">
        <is>
          <t xml:space="preserve">UTI Mutual Fund</t>
        </is>
      </c>
      <c r="B13753" t="inlineStr">
        <is>
          <t xml:space="preserve">UTI Long Term Advantage Fund Series VI - Direct Plan - IDCW</t>
        </is>
      </c>
      <c r="C13753" t="inlineStr">
        <is>
          <t xml:space="preserve">INF789FC1V74</t>
        </is>
      </c>
    </row>
    <row r="13754">
      <c r="A13754" t="inlineStr">
        <is>
          <t xml:space="preserve">UTI Mutual Fund</t>
        </is>
      </c>
      <c r="B13754" t="inlineStr">
        <is>
          <t xml:space="preserve">UTI Long Term Advantage Fund Series VI - Regular Plan - Growth Option</t>
        </is>
      </c>
      <c r="C13754" t="inlineStr">
        <is>
          <t xml:space="preserve">INF789FC1V66</t>
        </is>
      </c>
    </row>
    <row r="13755">
      <c r="A13755" t="inlineStr">
        <is>
          <t xml:space="preserve">UTI Mutual Fund</t>
        </is>
      </c>
      <c r="B13755" t="inlineStr">
        <is>
          <t xml:space="preserve">UTI Long Term Advantage Fund Series VI - Regular Plan - IDCW</t>
        </is>
      </c>
      <c r="C13755" t="inlineStr">
        <is>
          <t xml:space="preserve">INF789FC1V58</t>
        </is>
      </c>
    </row>
    <row r="13756">
      <c r="A13756" t="inlineStr">
        <is>
          <t xml:space="preserve">UTI Mutual Fund</t>
        </is>
      </c>
      <c r="B13756" t="inlineStr">
        <is>
          <t xml:space="preserve">UTI Long Term Advantage Fund Series VII - Direct Plan - Growth Option</t>
        </is>
      </c>
      <c r="C13756" t="inlineStr">
        <is>
          <t xml:space="preserve">INF789FC18D2</t>
        </is>
      </c>
    </row>
    <row r="13757">
      <c r="A13757" t="inlineStr">
        <is>
          <t xml:space="preserve">UTI Mutual Fund</t>
        </is>
      </c>
      <c r="B13757" t="inlineStr">
        <is>
          <t xml:space="preserve">UTI Long Term Advantage Fund Series VII - Direct Plan - IDCW</t>
        </is>
      </c>
      <c r="C13757" t="inlineStr">
        <is>
          <t xml:space="preserve">INF789FC17D4</t>
        </is>
      </c>
    </row>
    <row r="13758">
      <c r="A13758" t="inlineStr">
        <is>
          <t xml:space="preserve">UTI Mutual Fund</t>
        </is>
      </c>
      <c r="B13758" t="inlineStr">
        <is>
          <t xml:space="preserve">UTI Long Term Advantage Fund Series VII - Regular Plan - Growth Option</t>
        </is>
      </c>
      <c r="C13758" t="inlineStr">
        <is>
          <t xml:space="preserve">INF789FC16D6</t>
        </is>
      </c>
    </row>
    <row r="13759">
      <c r="A13759" t="inlineStr">
        <is>
          <t xml:space="preserve">UTI Mutual Fund</t>
        </is>
      </c>
      <c r="B13759" t="inlineStr">
        <is>
          <t xml:space="preserve">UTI Long Term Advantage Fund Series VII - Regular Plan - IDCW</t>
        </is>
      </c>
      <c r="C13759" t="inlineStr">
        <is>
          <t xml:space="preserve">INF789FC15D8</t>
        </is>
      </c>
    </row>
    <row r="13760">
      <c r="A13760" t="inlineStr">
        <is>
          <t xml:space="preserve">UTI Mutual Fund</t>
        </is>
      </c>
      <c r="B13760" t="inlineStr">
        <is>
          <t xml:space="preserve">UTI Low Duration Fund - Direct Plan - Annual IDCW</t>
        </is>
      </c>
      <c r="C13760" t="inlineStr">
        <is>
          <t xml:space="preserve">INF789F01XF9</t>
        </is>
      </c>
    </row>
    <row r="13761">
      <c r="A13761" t="inlineStr">
        <is>
          <t xml:space="preserve">UTI Mutual Fund</t>
        </is>
      </c>
      <c r="B13761" t="inlineStr">
        <is>
          <t xml:space="preserve">UTI Low Duration Fund - Direct Plan - Bonus Option</t>
        </is>
      </c>
      <c r="C13761" t="inlineStr">
        <is>
          <t xml:space="preserve">INF789F01XH5</t>
        </is>
      </c>
    </row>
    <row r="13762">
      <c r="A13762" t="inlineStr">
        <is>
          <t xml:space="preserve">UTI Mutual Fund</t>
        </is>
      </c>
      <c r="B13762" t="inlineStr">
        <is>
          <t xml:space="preserve">UTI Low Duration Fund - Direct Plan - Daily IDCW (Reinvestment)</t>
        </is>
      </c>
      <c r="C13762" t="inlineStr">
        <is>
          <t xml:space="preserve">INF789F01XE2</t>
        </is>
      </c>
    </row>
    <row r="13763">
      <c r="A13763" t="inlineStr">
        <is>
          <t xml:space="preserve">UTI Mutual Fund</t>
        </is>
      </c>
      <c r="B13763" t="inlineStr">
        <is>
          <t xml:space="preserve">UTI Low Duration Fund - Direct Plan - Flexi IDCW</t>
        </is>
      </c>
      <c r="C13763" t="inlineStr">
        <is>
          <t xml:space="preserve">INF789FA1O44</t>
        </is>
      </c>
    </row>
    <row r="13764">
      <c r="A13764" t="inlineStr">
        <is>
          <t xml:space="preserve">UTI Mutual Fund</t>
        </is>
      </c>
      <c r="B13764" t="inlineStr">
        <is>
          <t xml:space="preserve">UTI Low Duration Fund - Direct Plan - Fortnightly IDCW</t>
        </is>
      </c>
      <c r="C13764" t="inlineStr">
        <is>
          <t xml:space="preserve">INF789FA1O02</t>
        </is>
      </c>
    </row>
    <row r="13765">
      <c r="A13765" t="inlineStr">
        <is>
          <t xml:space="preserve">UTI Mutual Fund</t>
        </is>
      </c>
      <c r="B13765" t="inlineStr">
        <is>
          <t xml:space="preserve">UTI Low Duration Fund - Direct Plan - Growth Option</t>
        </is>
      </c>
      <c r="C13765" t="inlineStr">
        <is>
          <t xml:space="preserve">INF789F01XI3</t>
        </is>
      </c>
    </row>
    <row r="13766">
      <c r="A13766" t="inlineStr">
        <is>
          <t xml:space="preserve">UTI Mutual Fund</t>
        </is>
      </c>
      <c r="B13766" t="inlineStr">
        <is>
          <t xml:space="preserve">UTI Low Duration Fund - Direct Plan - Half-Yearly IDCW</t>
        </is>
      </c>
      <c r="C13766" t="inlineStr">
        <is>
          <t xml:space="preserve">INF789FA1O28</t>
        </is>
      </c>
    </row>
    <row r="13767">
      <c r="A13767" t="inlineStr">
        <is>
          <t xml:space="preserve">UTI Mutual Fund</t>
        </is>
      </c>
      <c r="B13767" t="inlineStr">
        <is>
          <t xml:space="preserve">UTI Low Duration Fund - Direct Plan - Monthly IDCW</t>
        </is>
      </c>
      <c r="C13767" t="inlineStr">
        <is>
          <t xml:space="preserve">INF789F01XJ1</t>
        </is>
      </c>
    </row>
    <row r="13768">
      <c r="A13768" t="inlineStr">
        <is>
          <t xml:space="preserve">UTI Mutual Fund</t>
        </is>
      </c>
      <c r="B13768" t="inlineStr">
        <is>
          <t xml:space="preserve">UTI Low Duration Fund - Direct Plan - Quarterly IDCW</t>
        </is>
      </c>
      <c r="C13768" t="inlineStr">
        <is>
          <t xml:space="preserve">INF789F01XL7</t>
        </is>
      </c>
    </row>
    <row r="13769">
      <c r="A13769" t="inlineStr">
        <is>
          <t xml:space="preserve">UTI Mutual Fund</t>
        </is>
      </c>
      <c r="B13769" t="inlineStr">
        <is>
          <t xml:space="preserve">UTI Low Duration Fund - Direct Plan - Weekly IDCW</t>
        </is>
      </c>
      <c r="C13769" t="inlineStr">
        <is>
          <t xml:space="preserve">INF789F01XN3</t>
        </is>
      </c>
    </row>
    <row r="13770">
      <c r="A13770" t="inlineStr">
        <is>
          <t xml:space="preserve">UTI Mutual Fund</t>
        </is>
      </c>
      <c r="B13770" t="inlineStr">
        <is>
          <t xml:space="preserve">UTI Low Duration Fund - Discontinued - Annaul Dividend Option</t>
        </is>
      </c>
      <c r="C13770" t="inlineStr">
        <is>
          <t xml:space="preserve">INF789F01OK8</t>
        </is>
      </c>
    </row>
    <row r="13771">
      <c r="A13771" t="inlineStr">
        <is>
          <t xml:space="preserve">UTI Mutual Fund</t>
        </is>
      </c>
      <c r="B13771" t="inlineStr">
        <is>
          <t xml:space="preserve">UTI Low Duration Fund - Discontinued - Periodic Dividend Plan</t>
        </is>
      </c>
      <c r="C13771" t="inlineStr">
        <is>
          <t xml:space="preserve">INF789F01349</t>
        </is>
      </c>
    </row>
    <row r="13772">
      <c r="A13772" t="inlineStr">
        <is>
          <t xml:space="preserve">UTI Mutual Fund</t>
        </is>
      </c>
      <c r="B13772" t="inlineStr">
        <is>
          <t xml:space="preserve">UTI Low Duration Fund - Discontinued - Quarterly Dividend Option</t>
        </is>
      </c>
      <c r="C13772" t="inlineStr">
        <is>
          <t xml:space="preserve">INF789F01OO0</t>
        </is>
      </c>
    </row>
    <row r="13773">
      <c r="A13773" t="inlineStr">
        <is>
          <t xml:space="preserve">UTI Mutual Fund</t>
        </is>
      </c>
      <c r="B13773" t="inlineStr">
        <is>
          <t xml:space="preserve">UTI Low Duration Fund - Discontinued Bonus Option</t>
        </is>
      </c>
      <c r="C13773" t="inlineStr">
        <is>
          <t xml:space="preserve">INF789F01OM4</t>
        </is>
      </c>
    </row>
    <row r="13774">
      <c r="A13774" t="inlineStr">
        <is>
          <t xml:space="preserve">UTI Mutual Fund</t>
        </is>
      </c>
      <c r="B13774" t="inlineStr">
        <is>
          <t xml:space="preserve">UTI Low Duration Fund - Discontinued Flexi Dividend Plan</t>
        </is>
      </c>
      <c r="C13774" t="inlineStr">
        <is>
          <t xml:space="preserve">INF789F01PA6</t>
        </is>
      </c>
    </row>
    <row r="13775">
      <c r="A13775" t="inlineStr">
        <is>
          <t xml:space="preserve">UTI Mutual Fund</t>
        </is>
      </c>
      <c r="B13775" t="inlineStr">
        <is>
          <t xml:space="preserve">UTI Low Duration Fund - Discontinued Growth Option</t>
        </is>
      </c>
      <c r="C13775" t="inlineStr">
        <is>
          <t xml:space="preserve">INF789F01331</t>
        </is>
      </c>
    </row>
    <row r="13776">
      <c r="A13776" t="inlineStr">
        <is>
          <t xml:space="preserve">UTI Mutual Fund</t>
        </is>
      </c>
      <c r="B13776" t="inlineStr">
        <is>
          <t xml:space="preserve">UTI Low Duration Fund - Discontinued Monthly Dividend Option</t>
        </is>
      </c>
      <c r="C13776" t="inlineStr">
        <is>
          <t xml:space="preserve">INF789F01OY9</t>
        </is>
      </c>
    </row>
    <row r="13777">
      <c r="A13777" t="inlineStr">
        <is>
          <t xml:space="preserve">UTI Mutual Fund</t>
        </is>
      </c>
      <c r="B13777" t="inlineStr">
        <is>
          <t xml:space="preserve">UTI Low Duration Fund - Regular Plan - Bonus Option</t>
        </is>
      </c>
      <c r="C13777" t="inlineStr">
        <is>
          <t xml:space="preserve">INF789F01OS1</t>
        </is>
      </c>
    </row>
    <row r="13778">
      <c r="A13778" t="inlineStr">
        <is>
          <t xml:space="preserve">UTI Mutual Fund</t>
        </is>
      </c>
      <c r="B13778" t="inlineStr">
        <is>
          <t xml:space="preserve">UTI Low Duration Fund - Regular Plan - Daily IDCW (Reinvestment)</t>
        </is>
      </c>
      <c r="C13778" t="inlineStr">
        <is>
          <t xml:space="preserve">INF789F01ON2</t>
        </is>
      </c>
    </row>
    <row r="13779">
      <c r="A13779" t="inlineStr">
        <is>
          <t xml:space="preserve">UTI Mutual Fund</t>
        </is>
      </c>
      <c r="B13779" t="inlineStr">
        <is>
          <t xml:space="preserve">UTI Low Duration Fund - Regular Plan - Flexi IDCW</t>
        </is>
      </c>
      <c r="C13779" t="inlineStr">
        <is>
          <t xml:space="preserve">INF789FA1N86</t>
        </is>
      </c>
    </row>
    <row r="13780">
      <c r="A13780" t="inlineStr">
        <is>
          <t xml:space="preserve">UTI Mutual Fund</t>
        </is>
      </c>
      <c r="B13780" t="inlineStr">
        <is>
          <t xml:space="preserve">UTI Low Duration Fund - Regular Plan - Fortnightly IDCW</t>
        </is>
      </c>
      <c r="C13780" t="inlineStr">
        <is>
          <t xml:space="preserve">INF789FA1N45</t>
        </is>
      </c>
    </row>
    <row r="13781">
      <c r="A13781" t="inlineStr">
        <is>
          <t xml:space="preserve">UTI Mutual Fund</t>
        </is>
      </c>
      <c r="B13781" t="inlineStr">
        <is>
          <t xml:space="preserve">UTI Low Duration Fund - Regular Plan - Growth Option</t>
        </is>
      </c>
      <c r="C13781" t="inlineStr">
        <is>
          <t xml:space="preserve">INF789F01OT9</t>
        </is>
      </c>
    </row>
    <row r="13782">
      <c r="A13782" t="inlineStr">
        <is>
          <t xml:space="preserve">UTI Mutual Fund</t>
        </is>
      </c>
      <c r="B13782" t="inlineStr">
        <is>
          <t xml:space="preserve">UTI Low Duration Fund - Regular Plan - Half-Yearly IDCW</t>
        </is>
      </c>
      <c r="C13782" t="inlineStr">
        <is>
          <t xml:space="preserve">INF789FA1N60</t>
        </is>
      </c>
    </row>
    <row r="13783">
      <c r="A13783" t="inlineStr">
        <is>
          <t xml:space="preserve">UTI Mutual Fund</t>
        </is>
      </c>
      <c r="B13783" t="inlineStr">
        <is>
          <t xml:space="preserve">UTI Low Duration Fund - Regular Plan - Monthly IDCW</t>
        </is>
      </c>
      <c r="C13783" t="inlineStr">
        <is>
          <t xml:space="preserve">INF789F01OU7</t>
        </is>
      </c>
    </row>
    <row r="13784">
      <c r="A13784" t="inlineStr">
        <is>
          <t xml:space="preserve">UTI Mutual Fund</t>
        </is>
      </c>
      <c r="B13784" t="inlineStr">
        <is>
          <t xml:space="preserve">UTI Low Duration Fund - Regular Plan - Quarterly IDCW</t>
        </is>
      </c>
      <c r="C13784" t="inlineStr">
        <is>
          <t xml:space="preserve">INF789F01OW3</t>
        </is>
      </c>
    </row>
    <row r="13785">
      <c r="A13785" t="inlineStr">
        <is>
          <t xml:space="preserve">UTI Mutual Fund</t>
        </is>
      </c>
      <c r="B13785" t="inlineStr">
        <is>
          <t xml:space="preserve">UTI Low Duration Fund - Regular Plan - Weekly IDCW</t>
        </is>
      </c>
      <c r="C13785" t="inlineStr">
        <is>
          <t xml:space="preserve">INF789F01PB4</t>
        </is>
      </c>
    </row>
    <row r="13786">
      <c r="A13786" t="inlineStr">
        <is>
          <t xml:space="preserve">UTI Mutual Fund</t>
        </is>
      </c>
      <c r="B13786" t="inlineStr">
        <is>
          <t xml:space="preserve">UTI Medium Duration Fund - Direct Plan - Annual IDCW</t>
        </is>
      </c>
      <c r="C13786" t="inlineStr">
        <is>
          <t xml:space="preserve">INF789FB1KL1</t>
        </is>
      </c>
    </row>
    <row r="13787">
      <c r="A13787" t="inlineStr">
        <is>
          <t xml:space="preserve">UTI Mutual Fund</t>
        </is>
      </c>
      <c r="B13787" t="inlineStr">
        <is>
          <t xml:space="preserve">UTI Medium Duration Fund - Direct Plan - Flexi IDCW</t>
        </is>
      </c>
      <c r="C13787" t="inlineStr">
        <is>
          <t xml:space="preserve">INF789FB1KO5</t>
        </is>
      </c>
    </row>
    <row r="13788">
      <c r="A13788" t="inlineStr">
        <is>
          <t xml:space="preserve">UTI Mutual Fund</t>
        </is>
      </c>
      <c r="B13788" t="inlineStr">
        <is>
          <t xml:space="preserve">UTI Medium Duration Fund - Direct Plan - Growth Option</t>
        </is>
      </c>
      <c r="C13788" t="inlineStr">
        <is>
          <t xml:space="preserve">INF789FB1KE6</t>
        </is>
      </c>
    </row>
    <row r="13789">
      <c r="A13789" t="inlineStr">
        <is>
          <t xml:space="preserve">UTI Mutual Fund</t>
        </is>
      </c>
      <c r="B13789" t="inlineStr">
        <is>
          <t xml:space="preserve">UTI Medium Duration Fund - Direct Plan - Half-Yearly IDCW</t>
        </is>
      </c>
      <c r="C13789" t="inlineStr">
        <is>
          <t xml:space="preserve">INF789FB1KJ5</t>
        </is>
      </c>
    </row>
    <row r="13790">
      <c r="A13790" t="inlineStr">
        <is>
          <t xml:space="preserve">UTI Mutual Fund</t>
        </is>
      </c>
      <c r="B13790" t="inlineStr">
        <is>
          <t xml:space="preserve">UTI Medium Duration Fund - Direct Plan - Monthly IDCW</t>
        </is>
      </c>
      <c r="C13790" t="inlineStr">
        <is>
          <t xml:space="preserve">INF789FB1KF3</t>
        </is>
      </c>
    </row>
    <row r="13791">
      <c r="A13791" t="inlineStr">
        <is>
          <t xml:space="preserve">UTI Mutual Fund</t>
        </is>
      </c>
      <c r="B13791" t="inlineStr">
        <is>
          <t xml:space="preserve">UTI Medium Duration Fund - Direct Plan - Quarterly IDCW</t>
        </is>
      </c>
      <c r="C13791" t="inlineStr">
        <is>
          <t xml:space="preserve">INF789FB1KH9</t>
        </is>
      </c>
    </row>
    <row r="13792">
      <c r="A13792" t="inlineStr">
        <is>
          <t xml:space="preserve">UTI Mutual Fund</t>
        </is>
      </c>
      <c r="B13792" t="inlineStr">
        <is>
          <t xml:space="preserve">UTI Medium Duration Fund - Regular Plan - Annual IDCW</t>
        </is>
      </c>
      <c r="C13792" t="inlineStr">
        <is>
          <t xml:space="preserve">INF789FB1KA4</t>
        </is>
      </c>
    </row>
    <row r="13793">
      <c r="A13793" t="inlineStr">
        <is>
          <t xml:space="preserve">UTI Mutual Fund</t>
        </is>
      </c>
      <c r="B13793" t="inlineStr">
        <is>
          <t xml:space="preserve">UTI Medium Duration Fund - Regular Plan - Flexi IDCW</t>
        </is>
      </c>
      <c r="C13793" t="inlineStr">
        <is>
          <t xml:space="preserve">INF789FB1KC0</t>
        </is>
      </c>
    </row>
    <row r="13794">
      <c r="A13794" t="inlineStr">
        <is>
          <t xml:space="preserve">UTI Mutual Fund</t>
        </is>
      </c>
      <c r="B13794" t="inlineStr">
        <is>
          <t xml:space="preserve">UTI Medium Duration Fund - Regular Plan - Growth Option</t>
        </is>
      </c>
      <c r="C13794" t="inlineStr">
        <is>
          <t xml:space="preserve">INF789FB1JU4</t>
        </is>
      </c>
    </row>
    <row r="13795">
      <c r="A13795" t="inlineStr">
        <is>
          <t xml:space="preserve">UTI Mutual Fund</t>
        </is>
      </c>
      <c r="B13795" t="inlineStr">
        <is>
          <t xml:space="preserve">UTI Medium Duration Fund - Regular Plan - Half-Yearly IDCW</t>
        </is>
      </c>
      <c r="C13795" t="inlineStr">
        <is>
          <t xml:space="preserve">INF789FB1JY6</t>
        </is>
      </c>
    </row>
    <row r="13796">
      <c r="A13796" t="inlineStr">
        <is>
          <t xml:space="preserve">UTI Mutual Fund</t>
        </is>
      </c>
      <c r="B13796" t="inlineStr">
        <is>
          <t xml:space="preserve">UTI Medium Duration Fund - Regular Plan - Monthly IDCW</t>
        </is>
      </c>
      <c r="C13796" t="inlineStr">
        <is>
          <t xml:space="preserve">INF789FB1JV2</t>
        </is>
      </c>
    </row>
    <row r="13797">
      <c r="A13797" t="inlineStr">
        <is>
          <t xml:space="preserve">UTI Mutual Fund</t>
        </is>
      </c>
      <c r="B13797" t="inlineStr">
        <is>
          <t xml:space="preserve">UTI Medium Duration Fund - Regular Plan - Quarterly IDCW</t>
        </is>
      </c>
      <c r="C13797" t="inlineStr">
        <is>
          <t xml:space="preserve">INF789FB1JW0</t>
        </is>
      </c>
    </row>
    <row r="13798">
      <c r="A13798" t="inlineStr">
        <is>
          <t xml:space="preserve">UTI Mutual Fund</t>
        </is>
      </c>
      <c r="B13798" t="inlineStr">
        <is>
          <t xml:space="preserve">UTI Medium Term Fund ( Segregated - 17022020 ) - Direct Plan - Annual IDCW</t>
        </is>
      </c>
      <c r="C13798" t="inlineStr">
        <is>
          <t xml:space="preserve">INF789F1AOD2</t>
        </is>
      </c>
    </row>
    <row r="13799">
      <c r="A13799" t="inlineStr">
        <is>
          <t xml:space="preserve">UTI Mutual Fund</t>
        </is>
      </c>
      <c r="B13799" t="inlineStr">
        <is>
          <t xml:space="preserve">UTI Medium Term Fund ( Segregated - 17022020 ) - Direct Plan - Flexi IDCW</t>
        </is>
      </c>
      <c r="C13799" t="inlineStr">
        <is>
          <t xml:space="preserve">INF789F1AOH3</t>
        </is>
      </c>
    </row>
    <row r="13800">
      <c r="A13800" t="inlineStr">
        <is>
          <t xml:space="preserve">UTI Mutual Fund</t>
        </is>
      </c>
      <c r="B13800" t="inlineStr">
        <is>
          <t xml:space="preserve">UTI Medium Term Fund ( Segregated - 17022020 ) - Direct Plan - Half-Yearly IDCW</t>
        </is>
      </c>
      <c r="C13800" t="inlineStr">
        <is>
          <t xml:space="preserve">INF789F1AOF7</t>
        </is>
      </c>
    </row>
    <row r="13801">
      <c r="A13801" t="inlineStr">
        <is>
          <t xml:space="preserve">UTI Mutual Fund</t>
        </is>
      </c>
      <c r="B13801" t="inlineStr">
        <is>
          <t xml:space="preserve">UTI Medium Term Fund ( Segregated - 17022020 ) - Direct Plan - Monthly IDCW</t>
        </is>
      </c>
      <c r="C13801" t="inlineStr">
        <is>
          <t xml:space="preserve">INF789F1AOJ9</t>
        </is>
      </c>
    </row>
    <row r="13802">
      <c r="A13802" t="inlineStr">
        <is>
          <t xml:space="preserve">UTI Mutual Fund</t>
        </is>
      </c>
      <c r="B13802" t="inlineStr">
        <is>
          <t xml:space="preserve">UTI Medium Term Fund ( Segregated - 17022020 ) - Direct Plan - Quarterly IDCW</t>
        </is>
      </c>
      <c r="C13802" t="inlineStr">
        <is>
          <t xml:space="preserve">INF789F1AOA8</t>
        </is>
      </c>
    </row>
    <row r="13803">
      <c r="A13803" t="inlineStr">
        <is>
          <t xml:space="preserve">UTI Mutual Fund</t>
        </is>
      </c>
      <c r="B13803" t="inlineStr">
        <is>
          <t xml:space="preserve">UTI Medium Term Fund ( Segregated - 17022020 ) - Regular Plan - Annual IDCW</t>
        </is>
      </c>
      <c r="C13803" t="inlineStr">
        <is>
          <t xml:space="preserve">INF789F1AOO9</t>
        </is>
      </c>
    </row>
    <row r="13804">
      <c r="A13804" t="inlineStr">
        <is>
          <t xml:space="preserve">UTI Mutual Fund</t>
        </is>
      </c>
      <c r="B13804" t="inlineStr">
        <is>
          <t xml:space="preserve">UTI Medium Term Fund ( Segregated - 17022020 ) - Regular Plan - Flexi IDCW</t>
        </is>
      </c>
      <c r="C13804" t="inlineStr">
        <is>
          <t xml:space="preserve">INF789F1AOS0</t>
        </is>
      </c>
    </row>
    <row r="13805">
      <c r="A13805" t="inlineStr">
        <is>
          <t xml:space="preserve">UTI Mutual Fund</t>
        </is>
      </c>
      <c r="B13805" t="inlineStr">
        <is>
          <t xml:space="preserve">UTI Medium Term Fund ( Segregated - 17022020 ) - Regular Plan - Half-Yearly IDCW</t>
        </is>
      </c>
      <c r="C13805" t="inlineStr">
        <is>
          <t xml:space="preserve">INF789F1AOQ4</t>
        </is>
      </c>
    </row>
    <row r="13806">
      <c r="A13806" t="inlineStr">
        <is>
          <t xml:space="preserve">UTI Mutual Fund</t>
        </is>
      </c>
      <c r="B13806" t="inlineStr">
        <is>
          <t xml:space="preserve">UTI Medium Term Fund ( Segregated - 17022020 ) - Regular Plan - Monthly IDCW</t>
        </is>
      </c>
      <c r="C13806" t="inlineStr">
        <is>
          <t xml:space="preserve">INF789F1AOU6</t>
        </is>
      </c>
    </row>
    <row r="13807">
      <c r="A13807" t="inlineStr">
        <is>
          <t xml:space="preserve">UTI Mutual Fund</t>
        </is>
      </c>
      <c r="B13807" t="inlineStr">
        <is>
          <t xml:space="preserve">UTI Medium Term Fund ( Segregated - 17022020 ) - Regular Plan - Quarterly IDCW</t>
        </is>
      </c>
      <c r="C13807" t="inlineStr">
        <is>
          <t xml:space="preserve">INF789F1AOL5</t>
        </is>
      </c>
    </row>
    <row r="13808">
      <c r="A13808" t="inlineStr">
        <is>
          <t xml:space="preserve">UTI Mutual Fund</t>
        </is>
      </c>
      <c r="B13808" t="inlineStr">
        <is>
          <t xml:space="preserve">UTI Medium to Long Duration Fund - Direct Plan - Annual IDCW</t>
        </is>
      </c>
      <c r="C13808" t="inlineStr">
        <is>
          <t xml:space="preserve">INF789FA1T80</t>
        </is>
      </c>
    </row>
    <row r="13809">
      <c r="A13809" t="inlineStr">
        <is>
          <t xml:space="preserve">UTI Mutual Fund</t>
        </is>
      </c>
      <c r="B13809" t="inlineStr">
        <is>
          <t xml:space="preserve">UTI Medium to Long Duration Fund - Direct Plan - Flexi IDCW</t>
        </is>
      </c>
      <c r="C13809" t="inlineStr">
        <is>
          <t xml:space="preserve">INF789FA1U04</t>
        </is>
      </c>
    </row>
    <row r="13810">
      <c r="A13810" t="inlineStr">
        <is>
          <t xml:space="preserve">UTI Mutual Fund</t>
        </is>
      </c>
      <c r="B13810" t="inlineStr">
        <is>
          <t xml:space="preserve">UTI Medium to Long Duration Fund - Direct Plan - Half-Yearly IDCW</t>
        </is>
      </c>
      <c r="C13810" t="inlineStr">
        <is>
          <t xml:space="preserve">INF789FA1T64</t>
        </is>
      </c>
    </row>
    <row r="13811">
      <c r="A13811" t="inlineStr">
        <is>
          <t xml:space="preserve">UTI Mutual Fund</t>
        </is>
      </c>
      <c r="B13811" t="inlineStr">
        <is>
          <t xml:space="preserve">UTI Medium to Long Duration Fund - Direct Plan - Quarterly IDCW</t>
        </is>
      </c>
      <c r="C13811" t="inlineStr">
        <is>
          <t xml:space="preserve">INF789F01SO1</t>
        </is>
      </c>
    </row>
    <row r="13812">
      <c r="A13812" t="inlineStr">
        <is>
          <t xml:space="preserve">UTI Mutual Fund</t>
        </is>
      </c>
      <c r="B13812" t="inlineStr">
        <is>
          <t xml:space="preserve">UTI Medium to Long Duration Fund - Regular Plan - Annual IDCW</t>
        </is>
      </c>
      <c r="C13812" t="inlineStr">
        <is>
          <t xml:space="preserve">INF789FA1T23</t>
        </is>
      </c>
    </row>
    <row r="13813">
      <c r="A13813" t="inlineStr">
        <is>
          <t xml:space="preserve">UTI Mutual Fund</t>
        </is>
      </c>
      <c r="B13813" t="inlineStr">
        <is>
          <t xml:space="preserve">UTI Medium to Long Duration Fund - Regular Plan - Flexi IDCW</t>
        </is>
      </c>
      <c r="C13813" t="inlineStr">
        <is>
          <t xml:space="preserve">INF789FA1T49</t>
        </is>
      </c>
    </row>
    <row r="13814">
      <c r="A13814" t="inlineStr">
        <is>
          <t xml:space="preserve">UTI Mutual Fund</t>
        </is>
      </c>
      <c r="B13814" t="inlineStr">
        <is>
          <t xml:space="preserve">UTI Medium to Long Duration Fund - Regular Plan - Half-Yearly IDCW</t>
        </is>
      </c>
      <c r="C13814" t="inlineStr">
        <is>
          <t xml:space="preserve">INF789FA1T07</t>
        </is>
      </c>
    </row>
    <row r="13815">
      <c r="A13815" t="inlineStr">
        <is>
          <t xml:space="preserve">UTI Mutual Fund</t>
        </is>
      </c>
      <c r="B13815" t="inlineStr">
        <is>
          <t xml:space="preserve">UTI Medium to Long Duration Fund - Regular Plan - Quarterly IDCW</t>
        </is>
      </c>
      <c r="C13815" t="inlineStr">
        <is>
          <t xml:space="preserve">INF789F01380</t>
        </is>
      </c>
    </row>
    <row r="13816">
      <c r="A13816" t="inlineStr">
        <is>
          <t xml:space="preserve">UTI Mutual Fund</t>
        </is>
      </c>
      <c r="B13816" t="inlineStr">
        <is>
          <t xml:space="preserve">UTI Medium to Long Duration Fund- Regular Plan - Growth</t>
        </is>
      </c>
      <c r="C13816" t="inlineStr">
        <is>
          <t xml:space="preserve">INF789F01406</t>
        </is>
      </c>
    </row>
    <row r="13817">
      <c r="A13817" t="inlineStr">
        <is>
          <t xml:space="preserve">UTI Mutual Fund</t>
        </is>
      </c>
      <c r="B13817" t="inlineStr">
        <is>
          <t xml:space="preserve">UTI Medium to Long Duration Fund-Growth - Direct</t>
        </is>
      </c>
      <c r="C13817" t="inlineStr">
        <is>
          <t xml:space="preserve">INF789F01SQ6</t>
        </is>
      </c>
    </row>
    <row r="13818">
      <c r="A13818" t="inlineStr">
        <is>
          <t xml:space="preserve">UTI Mutual Fund</t>
        </is>
      </c>
      <c r="B13818" t="inlineStr">
        <is>
          <t xml:space="preserve">UTI Mid Cap Fund - Direct Plan - IDCW</t>
        </is>
      </c>
      <c r="C13818" t="inlineStr">
        <is>
          <t xml:space="preserve">INF789F01TY8</t>
        </is>
      </c>
    </row>
    <row r="13819">
      <c r="A13819" t="inlineStr">
        <is>
          <t xml:space="preserve">UTI Mutual Fund</t>
        </is>
      </c>
      <c r="B13819" t="inlineStr">
        <is>
          <t xml:space="preserve">UTI Mid Cap Fund - Regular Plan - IDCW</t>
        </is>
      </c>
      <c r="C13819" t="inlineStr">
        <is>
          <t xml:space="preserve">INF789F01794</t>
        </is>
      </c>
    </row>
    <row r="13820">
      <c r="A13820" t="inlineStr">
        <is>
          <t xml:space="preserve">UTI Mutual Fund</t>
        </is>
      </c>
      <c r="B13820" t="inlineStr">
        <is>
          <t xml:space="preserve">UTI Mid Cap Fund-Growth Option</t>
        </is>
      </c>
      <c r="C13820" t="inlineStr">
        <is>
          <t xml:space="preserve">INF789F01810</t>
        </is>
      </c>
    </row>
    <row r="13821">
      <c r="A13821" t="inlineStr">
        <is>
          <t xml:space="preserve">UTI Mutual Fund</t>
        </is>
      </c>
      <c r="B13821" t="inlineStr">
        <is>
          <t xml:space="preserve">UTI Mid Cap Fund-Growth Option- Direct</t>
        </is>
      </c>
      <c r="C13821" t="inlineStr">
        <is>
          <t xml:space="preserve">INF789F01UA6</t>
        </is>
      </c>
    </row>
    <row r="13822">
      <c r="A13822" t="inlineStr">
        <is>
          <t xml:space="preserve">UTI Mutual Fund</t>
        </is>
      </c>
      <c r="B13822" t="inlineStr">
        <is>
          <t xml:space="preserve">UTI MMF - Direct Plan - Growth Option</t>
        </is>
      </c>
      <c r="C13822" t="inlineStr">
        <is>
          <t xml:space="preserve">INF789F01XV6</t>
        </is>
      </c>
    </row>
    <row r="13823">
      <c r="A13823" t="inlineStr">
        <is>
          <t xml:space="preserve">UTI Mutual Fund</t>
        </is>
      </c>
      <c r="B13823" t="inlineStr">
        <is>
          <t xml:space="preserve">UTI MMF - Regular Plan - Flexi Dividend Option</t>
        </is>
      </c>
      <c r="C13823" t="inlineStr">
        <is>
          <t xml:space="preserve">INF789FA1M04</t>
        </is>
      </c>
    </row>
    <row r="13824">
      <c r="A13824" t="inlineStr">
        <is>
          <t xml:space="preserve">UTI Mutual Fund</t>
        </is>
      </c>
      <c r="B13824" t="inlineStr">
        <is>
          <t xml:space="preserve">UTI MMF - Regular Plan - Growth Option</t>
        </is>
      </c>
      <c r="C13824" t="inlineStr">
        <is>
          <t xml:space="preserve">INF789F01PX8</t>
        </is>
      </c>
    </row>
    <row r="13825">
      <c r="A13825" t="inlineStr">
        <is>
          <t xml:space="preserve">UTI Mutual Fund</t>
        </is>
      </c>
      <c r="B13825" t="inlineStr">
        <is>
          <t xml:space="preserve">UTI MMF- Discontinued - Regular Plan - Flexi Dividend Option</t>
        </is>
      </c>
      <c r="C13825" t="inlineStr">
        <is>
          <t xml:space="preserve">INF789F01BD0</t>
        </is>
      </c>
    </row>
    <row r="13826">
      <c r="A13826" t="inlineStr">
        <is>
          <t xml:space="preserve">UTI Mutual Fund</t>
        </is>
      </c>
      <c r="B13826" t="inlineStr">
        <is>
          <t xml:space="preserve">UTI MMF- Discontinued - Regular Plan - Periodic Dividend Option</t>
        </is>
      </c>
      <c r="C13826" t="inlineStr">
        <is>
          <t xml:space="preserve">INF789F01BE8</t>
        </is>
      </c>
    </row>
    <row r="13827">
      <c r="A13827" t="inlineStr">
        <is>
          <t xml:space="preserve">UTI Mutual Fund</t>
        </is>
      </c>
      <c r="B13827" t="inlineStr">
        <is>
          <t xml:space="preserve">UTI MMF-Discontinued - Regular Plan -Growth</t>
        </is>
      </c>
      <c r="C13827" t="inlineStr">
        <is>
          <t xml:space="preserve">INF789F01BF5</t>
        </is>
      </c>
    </row>
    <row r="13828">
      <c r="A13828" t="inlineStr">
        <is>
          <t xml:space="preserve">UTI Mutual Fund</t>
        </is>
      </c>
      <c r="B13828" t="inlineStr">
        <is>
          <t xml:space="preserve">UTI MNC Fund - Direct Plan - IDCW</t>
        </is>
      </c>
      <c r="C13828" t="inlineStr">
        <is>
          <t xml:space="preserve">INF789F01UB4</t>
        </is>
      </c>
    </row>
    <row r="13829">
      <c r="A13829" t="inlineStr">
        <is>
          <t xml:space="preserve">UTI Mutual Fund</t>
        </is>
      </c>
      <c r="B13829" t="inlineStr">
        <is>
          <t xml:space="preserve">UTI MNC Fund - Regular Plan - IDCW</t>
        </is>
      </c>
      <c r="C13829" t="inlineStr">
        <is>
          <t xml:space="preserve">INF789F01828</t>
        </is>
      </c>
    </row>
    <row r="13830">
      <c r="A13830" t="inlineStr">
        <is>
          <t xml:space="preserve">UTI Mutual Fund</t>
        </is>
      </c>
      <c r="B13830" t="inlineStr">
        <is>
          <t xml:space="preserve">UTI Money Market Fund - Direct Plan - Annual IDCW</t>
        </is>
      </c>
      <c r="C13830" t="inlineStr">
        <is>
          <t xml:space="preserve">INF789FA1N03</t>
        </is>
      </c>
    </row>
    <row r="13831">
      <c r="A13831" t="inlineStr">
        <is>
          <t xml:space="preserve">UTI Mutual Fund</t>
        </is>
      </c>
      <c r="B13831" t="inlineStr">
        <is>
          <t xml:space="preserve">UTI Money Market Fund - Direct Plan - Daily IDCW (Reinvestment)</t>
        </is>
      </c>
      <c r="C13831" t="inlineStr">
        <is>
          <t xml:space="preserve">INF789F01XU8</t>
        </is>
      </c>
    </row>
    <row r="13832">
      <c r="A13832" t="inlineStr">
        <is>
          <t xml:space="preserve">UTI Mutual Fund</t>
        </is>
      </c>
      <c r="B13832" t="inlineStr">
        <is>
          <t xml:space="preserve">UTI Money Market Fund - Direct Plan - Flexi IDCW</t>
        </is>
      </c>
      <c r="C13832" t="inlineStr">
        <is>
          <t xml:space="preserve">INF789FA1N29</t>
        </is>
      </c>
    </row>
    <row r="13833">
      <c r="A13833" t="inlineStr">
        <is>
          <t xml:space="preserve">UTI Mutual Fund</t>
        </is>
      </c>
      <c r="B13833" t="inlineStr">
        <is>
          <t xml:space="preserve">UTI Money Market Fund - Direct Plan - Fortnightly IDCW</t>
        </is>
      </c>
      <c r="C13833" t="inlineStr">
        <is>
          <t xml:space="preserve">INF789FA1M20</t>
        </is>
      </c>
    </row>
    <row r="13834">
      <c r="A13834" t="inlineStr">
        <is>
          <t xml:space="preserve">UTI Mutual Fund</t>
        </is>
      </c>
      <c r="B13834" t="inlineStr">
        <is>
          <t xml:space="preserve">UTI Money Market Fund - Direct Plan - Half-Yearly IDCW</t>
        </is>
      </c>
      <c r="C13834" t="inlineStr">
        <is>
          <t xml:space="preserve">INF789FA1M87</t>
        </is>
      </c>
    </row>
    <row r="13835">
      <c r="A13835" t="inlineStr">
        <is>
          <t xml:space="preserve">UTI Mutual Fund</t>
        </is>
      </c>
      <c r="B13835" t="inlineStr">
        <is>
          <t xml:space="preserve">UTI Money Market Fund - Direct Plan - Monthly IDCW</t>
        </is>
      </c>
      <c r="C13835" t="inlineStr">
        <is>
          <t xml:space="preserve">INF789FA1M46</t>
        </is>
      </c>
    </row>
    <row r="13836">
      <c r="A13836" t="inlineStr">
        <is>
          <t xml:space="preserve">UTI Mutual Fund</t>
        </is>
      </c>
      <c r="B13836" t="inlineStr">
        <is>
          <t xml:space="preserve">UTI Money Market Fund - Direct Plan - Quarterly IDCW</t>
        </is>
      </c>
      <c r="C13836" t="inlineStr">
        <is>
          <t xml:space="preserve">INF789FA1M61</t>
        </is>
      </c>
    </row>
    <row r="13837">
      <c r="A13837" t="inlineStr">
        <is>
          <t xml:space="preserve">UTI Mutual Fund</t>
        </is>
      </c>
      <c r="B13837" t="inlineStr">
        <is>
          <t xml:space="preserve">UTI Money Market Fund - Direct Plan - Weekly IDCW</t>
        </is>
      </c>
      <c r="C13837" t="inlineStr">
        <is>
          <t xml:space="preserve">INF789F01XW4</t>
        </is>
      </c>
    </row>
    <row r="13838">
      <c r="A13838" t="inlineStr">
        <is>
          <t xml:space="preserve">UTI Mutual Fund</t>
        </is>
      </c>
      <c r="B13838" t="inlineStr">
        <is>
          <t xml:space="preserve">UTI Money Market Fund - Regular Plan - Annual IDCW</t>
        </is>
      </c>
      <c r="C13838" t="inlineStr">
        <is>
          <t xml:space="preserve">INF789FA1L88</t>
        </is>
      </c>
    </row>
    <row r="13839">
      <c r="A13839" t="inlineStr">
        <is>
          <t xml:space="preserve">UTI Mutual Fund</t>
        </is>
      </c>
      <c r="B13839" t="inlineStr">
        <is>
          <t xml:space="preserve">UTI Money Market Fund - Regular Plan - Daily IDCW (Reinvestment)</t>
        </is>
      </c>
      <c r="C13839" t="inlineStr">
        <is>
          <t xml:space="preserve">INF789F01PW0</t>
        </is>
      </c>
    </row>
    <row r="13840">
      <c r="A13840" t="inlineStr">
        <is>
          <t xml:space="preserve">UTI Mutual Fund</t>
        </is>
      </c>
      <c r="B13840" t="inlineStr">
        <is>
          <t xml:space="preserve">UTI Money Market Fund - Regular Plan - Fortnightly IDCW</t>
        </is>
      </c>
      <c r="C13840" t="inlineStr">
        <is>
          <t xml:space="preserve">INF789FA1L05</t>
        </is>
      </c>
    </row>
    <row r="13841">
      <c r="A13841" t="inlineStr">
        <is>
          <t xml:space="preserve">UTI Mutual Fund</t>
        </is>
      </c>
      <c r="B13841" t="inlineStr">
        <is>
          <t xml:space="preserve">UTI Money Market Fund - Regular Plan - Half-Yearly IDCW</t>
        </is>
      </c>
      <c r="C13841" t="inlineStr">
        <is>
          <t xml:space="preserve">INF789FA1L62</t>
        </is>
      </c>
    </row>
    <row r="13842">
      <c r="A13842" t="inlineStr">
        <is>
          <t xml:space="preserve">UTI Mutual Fund</t>
        </is>
      </c>
      <c r="B13842" t="inlineStr">
        <is>
          <t xml:space="preserve">UTI Money Market Fund - Regular Plan - Monthly IDCW</t>
        </is>
      </c>
      <c r="C13842" t="inlineStr">
        <is>
          <t xml:space="preserve">INF789FA1L21</t>
        </is>
      </c>
    </row>
    <row r="13843">
      <c r="A13843" t="inlineStr">
        <is>
          <t xml:space="preserve">UTI Mutual Fund</t>
        </is>
      </c>
      <c r="B13843" t="inlineStr">
        <is>
          <t xml:space="preserve">UTI Money Market Fund - Regular Plan - Quarterly IDCW</t>
        </is>
      </c>
      <c r="C13843" t="inlineStr">
        <is>
          <t xml:space="preserve">INF789FA1L47</t>
        </is>
      </c>
    </row>
    <row r="13844">
      <c r="A13844" t="inlineStr">
        <is>
          <t xml:space="preserve">UTI Mutual Fund</t>
        </is>
      </c>
      <c r="B13844" t="inlineStr">
        <is>
          <t xml:space="preserve">UTI Money Market Fund - Regular Plan - Weekly IDCW</t>
        </is>
      </c>
      <c r="C13844" t="inlineStr">
        <is>
          <t xml:space="preserve">INF789F01PY6</t>
        </is>
      </c>
    </row>
    <row r="13845">
      <c r="A13845" t="inlineStr">
        <is>
          <t xml:space="preserve">UTI Mutual Fund</t>
        </is>
      </c>
      <c r="B13845" t="inlineStr">
        <is>
          <t xml:space="preserve">UTI Multi Asset Allocation Fund - Direct Plan - Growth Option</t>
        </is>
      </c>
      <c r="C13845" t="inlineStr">
        <is>
          <t xml:space="preserve">INF789F01VE6</t>
        </is>
      </c>
    </row>
    <row r="13846">
      <c r="A13846" t="inlineStr">
        <is>
          <t xml:space="preserve">UTI Mutual Fund</t>
        </is>
      </c>
      <c r="B13846" t="inlineStr">
        <is>
          <t xml:space="preserve">UTI Multi Asset Allocation Fund - Direct Plan - IDCW</t>
        </is>
      </c>
      <c r="C13846" t="inlineStr">
        <is>
          <t xml:space="preserve">INF789F01VC0</t>
        </is>
      </c>
    </row>
    <row r="13847">
      <c r="A13847" t="inlineStr">
        <is>
          <t xml:space="preserve">UTI Mutual Fund</t>
        </is>
      </c>
      <c r="B13847" t="inlineStr">
        <is>
          <t xml:space="preserve">UTI Multi Asset Allocation Fund - Regular Plan - Growth Option</t>
        </is>
      </c>
      <c r="C13847" t="inlineStr">
        <is>
          <t xml:space="preserve">INF789F01AP6</t>
        </is>
      </c>
    </row>
    <row r="13848">
      <c r="A13848" t="inlineStr">
        <is>
          <t xml:space="preserve">UTI Mutual Fund</t>
        </is>
      </c>
      <c r="B13848" t="inlineStr">
        <is>
          <t xml:space="preserve">UTI Multi Asset Allocation Fund - Regular Plan - IDCW</t>
        </is>
      </c>
      <c r="C13848" t="inlineStr">
        <is>
          <t xml:space="preserve">INF789F01AN1</t>
        </is>
      </c>
    </row>
    <row r="13849">
      <c r="A13849" t="inlineStr">
        <is>
          <t xml:space="preserve">UTI Mutual Fund</t>
        </is>
      </c>
      <c r="B13849" t="inlineStr">
        <is>
          <t xml:space="preserve">UTI Multi Cap Fund - Direct Plan - Growth Option</t>
        </is>
      </c>
      <c r="C13849" t="inlineStr">
        <is>
          <t xml:space="preserve">INF789F1AB89</t>
        </is>
      </c>
    </row>
    <row r="13850">
      <c r="A13850" t="inlineStr">
        <is>
          <t xml:space="preserve">UTI Mutual Fund</t>
        </is>
      </c>
      <c r="B13850" t="inlineStr">
        <is>
          <t xml:space="preserve">UTI Multi Cap Fund - Regular Plan - Growth Option</t>
        </is>
      </c>
      <c r="C13850" t="inlineStr">
        <is>
          <t xml:space="preserve">INF789F1AB71</t>
        </is>
      </c>
    </row>
    <row r="13851">
      <c r="A13851" t="inlineStr">
        <is>
          <t xml:space="preserve">UTI Mutual Fund</t>
        </is>
      </c>
      <c r="B13851" t="inlineStr">
        <is>
          <t xml:space="preserve">UTI Nifty 10 yr Benchmark G-Sec ETF</t>
        </is>
      </c>
      <c r="C13851" t="inlineStr">
        <is>
          <t xml:space="preserve">INF789F1AZF3</t>
        </is>
      </c>
    </row>
    <row r="13852">
      <c r="A13852" t="inlineStr">
        <is>
          <t xml:space="preserve">UTI Mutual Fund</t>
        </is>
      </c>
      <c r="B13852" t="inlineStr">
        <is>
          <t xml:space="preserve">UTI Nifty 200 Momentum 30 Index Fund - Direct Plan - Growth Option</t>
        </is>
      </c>
      <c r="C13852" t="inlineStr">
        <is>
          <t xml:space="preserve">INF789F1AUT5</t>
        </is>
      </c>
    </row>
    <row r="13853">
      <c r="A13853" t="inlineStr">
        <is>
          <t xml:space="preserve">UTI Mutual Fund</t>
        </is>
      </c>
      <c r="B13853" t="inlineStr">
        <is>
          <t xml:space="preserve">UTI Nifty 200 Momentum 30 Index Fund - Regular Plan - Growth Option</t>
        </is>
      </c>
      <c r="C13853" t="inlineStr">
        <is>
          <t xml:space="preserve">INF789F1AUS7</t>
        </is>
      </c>
    </row>
    <row r="13854">
      <c r="A13854" t="inlineStr">
        <is>
          <t xml:space="preserve">UTI Mutual Fund</t>
        </is>
      </c>
      <c r="B13854" t="inlineStr">
        <is>
          <t xml:space="preserve">UTI Nifty 200 Quality 30 Index Fund - Direct Plan - Growth Option</t>
        </is>
      </c>
      <c r="C13854" t="inlineStr">
        <is>
          <t xml:space="preserve">INF789F1AZH9</t>
        </is>
      </c>
    </row>
    <row r="13855">
      <c r="A13855" t="inlineStr">
        <is>
          <t xml:space="preserve">UTI Mutual Fund</t>
        </is>
      </c>
      <c r="B13855" t="inlineStr">
        <is>
          <t xml:space="preserve">UTI Nifty 200 Quality 30 Index Fund - Regular Plan - Growth Option</t>
        </is>
      </c>
      <c r="C13855" t="inlineStr">
        <is>
          <t xml:space="preserve">INF789F1AZG1</t>
        </is>
      </c>
    </row>
    <row r="13856">
      <c r="A13856" t="inlineStr">
        <is>
          <t xml:space="preserve">UTI Mutual Fund</t>
        </is>
      </c>
      <c r="B13856" t="inlineStr">
        <is>
          <t xml:space="preserve">UTI Nifty 5 yr Benchmark G-Sec ETF</t>
        </is>
      </c>
      <c r="C13856" t="inlineStr">
        <is>
          <t xml:space="preserve">INF789F1AZE6</t>
        </is>
      </c>
    </row>
    <row r="13857">
      <c r="A13857" t="inlineStr">
        <is>
          <t xml:space="preserve">UTI Mutual Fund</t>
        </is>
      </c>
      <c r="B13857" t="inlineStr">
        <is>
          <t xml:space="preserve">UTI Nifty 50 ETF</t>
        </is>
      </c>
      <c r="C13857" t="inlineStr">
        <is>
          <t xml:space="preserve">INF789F1AZC0</t>
        </is>
      </c>
    </row>
    <row r="13858">
      <c r="A13858" t="inlineStr">
        <is>
          <t xml:space="preserve">UTI Mutual Fund</t>
        </is>
      </c>
      <c r="B13858" t="inlineStr">
        <is>
          <t xml:space="preserve">UTI Nifty 50 Index Fund - Direct Plan - IDCW</t>
        </is>
      </c>
      <c r="C13858" t="inlineStr">
        <is>
          <t xml:space="preserve">INF789F01WY2</t>
        </is>
      </c>
    </row>
    <row r="13859">
      <c r="A13859" t="inlineStr">
        <is>
          <t xml:space="preserve">UTI Mutual Fund</t>
        </is>
      </c>
      <c r="B13859" t="inlineStr">
        <is>
          <t xml:space="preserve">UTI Nifty 50 Index Fund - Growth Option- Direct</t>
        </is>
      </c>
      <c r="C13859" t="inlineStr">
        <is>
          <t xml:space="preserve">INF789F01XA0</t>
        </is>
      </c>
    </row>
    <row r="13860">
      <c r="A13860" t="inlineStr">
        <is>
          <t xml:space="preserve">UTI Mutual Fund</t>
        </is>
      </c>
      <c r="B13860" t="inlineStr">
        <is>
          <t xml:space="preserve">UTI Nifty 50 Index Fund - Regular Plan - Growth Option</t>
        </is>
      </c>
      <c r="C13860" t="inlineStr">
        <is>
          <t xml:space="preserve">INF789F01JN2</t>
        </is>
      </c>
    </row>
    <row r="13861">
      <c r="A13861" t="inlineStr">
        <is>
          <t xml:space="preserve">UTI Mutual Fund</t>
        </is>
      </c>
      <c r="B13861" t="inlineStr">
        <is>
          <t xml:space="preserve">UTI Nifty 50 Index Fund - Regular Plan - IDCW</t>
        </is>
      </c>
      <c r="C13861" t="inlineStr">
        <is>
          <t xml:space="preserve">INF789F01JL6</t>
        </is>
      </c>
    </row>
    <row r="13862">
      <c r="A13862" t="inlineStr">
        <is>
          <t xml:space="preserve">UTI Mutual Fund</t>
        </is>
      </c>
      <c r="B13862" t="inlineStr">
        <is>
          <t xml:space="preserve">UTI Nifty 500 Value 50 Index Fund - Direct Plan - Growth Option</t>
        </is>
      </c>
      <c r="C13862" t="inlineStr">
        <is>
          <t xml:space="preserve">INF789F1AYN0</t>
        </is>
      </c>
    </row>
    <row r="13863">
      <c r="A13863" t="inlineStr">
        <is>
          <t xml:space="preserve">UTI Mutual Fund</t>
        </is>
      </c>
      <c r="B13863" t="inlineStr">
        <is>
          <t xml:space="preserve">UTI Nifty 500 Value 50 Index Fund - Regular Plan - Growth Option</t>
        </is>
      </c>
      <c r="C13863" t="inlineStr">
        <is>
          <t xml:space="preserve">INF789F1AYO8</t>
        </is>
      </c>
    </row>
    <row r="13864">
      <c r="A13864" t="inlineStr">
        <is>
          <t xml:space="preserve">UTI Mutual Fund</t>
        </is>
      </c>
      <c r="B13864" t="inlineStr">
        <is>
          <t xml:space="preserve">UTI Nifty Alpha Low-Volatility 30 Index Fund - Direct Plan - Growth Option</t>
        </is>
      </c>
      <c r="C13864" t="inlineStr">
        <is>
          <t xml:space="preserve">INF789F1AZM9</t>
        </is>
      </c>
    </row>
    <row r="13865">
      <c r="A13865" t="inlineStr">
        <is>
          <t xml:space="preserve">UTI Mutual Fund</t>
        </is>
      </c>
      <c r="B13865" t="inlineStr">
        <is>
          <t xml:space="preserve">UTI Nifty Alpha Low-Volatility 30 Index Fund - Regular Plan - Growth Option</t>
        </is>
      </c>
      <c r="C13865" t="inlineStr">
        <is>
          <t xml:space="preserve">INF789F1AZL1</t>
        </is>
      </c>
    </row>
    <row r="13866">
      <c r="A13866" t="inlineStr">
        <is>
          <t xml:space="preserve">UTI Mutual Fund</t>
        </is>
      </c>
      <c r="B13866" t="inlineStr">
        <is>
          <t xml:space="preserve">UTI Nifty Bank ETF</t>
        </is>
      </c>
      <c r="C13866" t="inlineStr">
        <is>
          <t xml:space="preserve">INF789F1AUV1</t>
        </is>
      </c>
    </row>
    <row r="13867">
      <c r="A13867" t="inlineStr">
        <is>
          <t xml:space="preserve">UTI Mutual Fund</t>
        </is>
      </c>
      <c r="B13867" t="inlineStr">
        <is>
          <t xml:space="preserve">UTI Nifty India Manufacturing Index Fund - Direct Plan - Growth Option</t>
        </is>
      </c>
      <c r="C13867" t="inlineStr">
        <is>
          <t xml:space="preserve">INF789F1AB48</t>
        </is>
      </c>
    </row>
    <row r="13868">
      <c r="A13868" t="inlineStr">
        <is>
          <t xml:space="preserve">UTI Mutual Fund</t>
        </is>
      </c>
      <c r="B13868" t="inlineStr">
        <is>
          <t xml:space="preserve">UTI Nifty India Manufacturing Index Fund - Regular Plan - Growth Option</t>
        </is>
      </c>
      <c r="C13868" t="inlineStr">
        <is>
          <t xml:space="preserve">INF789F1AB30</t>
        </is>
      </c>
    </row>
    <row r="13869">
      <c r="A13869" t="inlineStr">
        <is>
          <t xml:space="preserve">UTI Mutual Fund</t>
        </is>
      </c>
      <c r="B13869" t="inlineStr">
        <is>
          <t xml:space="preserve">UTI Nifty IT ETF</t>
        </is>
      </c>
      <c r="C13869" t="inlineStr">
        <is>
          <t xml:space="preserve">INF789F1AZD8</t>
        </is>
      </c>
    </row>
    <row r="13870">
      <c r="A13870" t="inlineStr">
        <is>
          <t xml:space="preserve">UTI Mutual Fund</t>
        </is>
      </c>
      <c r="B13870" t="inlineStr">
        <is>
          <t xml:space="preserve">UTI Nifty Midcap 150 Exchange Traded Fund</t>
        </is>
      </c>
      <c r="C13870" t="inlineStr">
        <is>
          <t xml:space="preserve">INF789F1AYX9</t>
        </is>
      </c>
    </row>
    <row r="13871">
      <c r="A13871" t="inlineStr">
        <is>
          <t xml:space="preserve">UTI Mutual Fund</t>
        </is>
      </c>
      <c r="B13871" t="inlineStr">
        <is>
          <t xml:space="preserve">UTI Nifty Midcap 150 Index Fund - Direct Plan - Growth Option</t>
        </is>
      </c>
      <c r="C13871" t="inlineStr">
        <is>
          <t xml:space="preserve">INF789F1AZO5</t>
        </is>
      </c>
    </row>
    <row r="13872">
      <c r="A13872" t="inlineStr">
        <is>
          <t xml:space="preserve">UTI Mutual Fund</t>
        </is>
      </c>
      <c r="B13872" t="inlineStr">
        <is>
          <t xml:space="preserve">UTI Nifty Midcap 150 Index Fund - Regular Plan - Growth Option</t>
        </is>
      </c>
      <c r="C13872" t="inlineStr">
        <is>
          <t xml:space="preserve">INF789F1AZN7</t>
        </is>
      </c>
    </row>
    <row r="13873">
      <c r="A13873" t="inlineStr">
        <is>
          <t xml:space="preserve">UTI Mutual Fund</t>
        </is>
      </c>
      <c r="B13873" t="inlineStr">
        <is>
          <t xml:space="preserve">UTI Nifty Midcap 150 Quality 50 Index Fund - Direct Plan - Growth Option</t>
        </is>
      </c>
      <c r="C13873" t="inlineStr">
        <is>
          <t xml:space="preserve">INF789F1AVH8</t>
        </is>
      </c>
    </row>
    <row r="13874">
      <c r="A13874" t="inlineStr">
        <is>
          <t xml:space="preserve">UTI Mutual Fund</t>
        </is>
      </c>
      <c r="B13874" t="inlineStr">
        <is>
          <t xml:space="preserve">UTI Nifty Midcap 150 Quality 50 Index Fund - Regular Plan - Growth Option</t>
        </is>
      </c>
      <c r="C13874" t="inlineStr">
        <is>
          <t xml:space="preserve">INF789F1AVG0</t>
        </is>
      </c>
    </row>
    <row r="13875">
      <c r="A13875" t="inlineStr">
        <is>
          <t xml:space="preserve">UTI Mutual Fund</t>
        </is>
      </c>
      <c r="B13875" t="inlineStr">
        <is>
          <t xml:space="preserve">UTI Nifty Midsmallcap 400 Momentum Quality 100 Index Fund - Direct Plan - Growth Option</t>
        </is>
      </c>
      <c r="C13875" t="inlineStr">
        <is>
          <t xml:space="preserve">INF789F1AB22</t>
        </is>
      </c>
    </row>
    <row r="13876">
      <c r="A13876" t="inlineStr">
        <is>
          <t xml:space="preserve">UTI Mutual Fund</t>
        </is>
      </c>
      <c r="B13876" t="inlineStr">
        <is>
          <t xml:space="preserve">UTI Nifty Midsmallcap 400 Momentum Quality 100 Index Fund - Regular Plan - Growth Option</t>
        </is>
      </c>
      <c r="C13876" t="inlineStr">
        <is>
          <t xml:space="preserve">INF789F1AB06</t>
        </is>
      </c>
    </row>
    <row r="13877">
      <c r="A13877" t="inlineStr">
        <is>
          <t xml:space="preserve">UTI Mutual Fund</t>
        </is>
      </c>
      <c r="B13877" t="inlineStr">
        <is>
          <t xml:space="preserve">UTI Nifty Next 50 Exchange Traded Fund</t>
        </is>
      </c>
      <c r="C13877" t="inlineStr">
        <is>
          <t xml:space="preserve">INF789F1AUW9</t>
        </is>
      </c>
    </row>
    <row r="13878">
      <c r="A13878" t="inlineStr">
        <is>
          <t xml:space="preserve">UTI Mutual Fund</t>
        </is>
      </c>
      <c r="B13878" t="inlineStr">
        <is>
          <t xml:space="preserve">UTI Nifty Next 50 Index Fund - Direct Plan - Growth Option</t>
        </is>
      </c>
      <c r="C13878" t="inlineStr">
        <is>
          <t xml:space="preserve">INF789FC12T1</t>
        </is>
      </c>
    </row>
    <row r="13879">
      <c r="A13879" t="inlineStr">
        <is>
          <t xml:space="preserve">UTI Mutual Fund</t>
        </is>
      </c>
      <c r="B13879" t="inlineStr">
        <is>
          <t xml:space="preserve">UTI Nifty Next 50 Index Fund - Regular Plan - Growth Option</t>
        </is>
      </c>
      <c r="C13879" t="inlineStr">
        <is>
          <t xml:space="preserve">INF789FC11T3</t>
        </is>
      </c>
    </row>
    <row r="13880">
      <c r="A13880" t="inlineStr">
        <is>
          <t xml:space="preserve">UTI Mutual Fund</t>
        </is>
      </c>
      <c r="B13880" t="inlineStr">
        <is>
          <t xml:space="preserve">UTI Nifty Private Bank Index Fund - Direct Plan - Growth Option</t>
        </is>
      </c>
      <c r="C13880" t="inlineStr">
        <is>
          <t xml:space="preserve">INF789F1AZJ5</t>
        </is>
      </c>
    </row>
    <row r="13881">
      <c r="A13881" t="inlineStr">
        <is>
          <t xml:space="preserve">UTI Mutual Fund</t>
        </is>
      </c>
      <c r="B13881" t="inlineStr">
        <is>
          <t xml:space="preserve">UTI Nifty Private Bank Index Fund - Regular Plan - Growth Option</t>
        </is>
      </c>
      <c r="C13881" t="inlineStr">
        <is>
          <t xml:space="preserve">INF789F1AZI7</t>
        </is>
      </c>
    </row>
    <row r="13882">
      <c r="A13882" t="inlineStr">
        <is>
          <t xml:space="preserve">UTI Mutual Fund</t>
        </is>
      </c>
      <c r="B13882" t="inlineStr">
        <is>
          <t xml:space="preserve">UTI NIFTY SDL Plus AAA PSU Bond Apr 2026 75:25 Index Fund - Direct Plan - Growth Option</t>
        </is>
      </c>
      <c r="C13882" t="inlineStr">
        <is>
          <t xml:space="preserve">INF789F1AXL6</t>
        </is>
      </c>
    </row>
    <row r="13883">
      <c r="A13883" t="inlineStr">
        <is>
          <t xml:space="preserve">UTI Mutual Fund</t>
        </is>
      </c>
      <c r="B13883" t="inlineStr">
        <is>
          <t xml:space="preserve">UTI NIFTY SDL Plus AAA PSU Bond Apr 2026 75:25 Index Fund - Regular Plan - Growth Option</t>
        </is>
      </c>
      <c r="C13883" t="inlineStr">
        <is>
          <t xml:space="preserve">INF789F1AXK8</t>
        </is>
      </c>
    </row>
    <row r="13884">
      <c r="A13884" t="inlineStr">
        <is>
          <t xml:space="preserve">UTI Mutual Fund</t>
        </is>
      </c>
      <c r="B13884" t="inlineStr">
        <is>
          <t xml:space="preserve">UTI NIFTY SDL Plus AAA PSU Bond Apr 2028- 75:25 Index Fund - Direct Plan - Growth Option</t>
        </is>
      </c>
      <c r="C13884" t="inlineStr">
        <is>
          <t xml:space="preserve">INF789F1AXR3</t>
        </is>
      </c>
    </row>
    <row r="13885">
      <c r="A13885" t="inlineStr">
        <is>
          <t xml:space="preserve">UTI Mutual Fund</t>
        </is>
      </c>
      <c r="B13885" t="inlineStr">
        <is>
          <t xml:space="preserve">UTI NIFTY SDL Plus AAA PSU Bond Apr 2028- 75:25 Index Fund - Regular Plan - Growth Option</t>
        </is>
      </c>
      <c r="C13885" t="inlineStr">
        <is>
          <t xml:space="preserve">INF789F1AXQ5</t>
        </is>
      </c>
    </row>
    <row r="13886">
      <c r="A13886" t="inlineStr">
        <is>
          <t xml:space="preserve">UTI Mutual Fund</t>
        </is>
      </c>
      <c r="B13886" t="inlineStr">
        <is>
          <t xml:space="preserve">UTI Nifty50 Equal Weight Index Fund - Direct Plan - Growth Option</t>
        </is>
      </c>
      <c r="C13886" t="inlineStr">
        <is>
          <t xml:space="preserve">INF789F1AYP5</t>
        </is>
      </c>
    </row>
    <row r="13887">
      <c r="A13887" t="inlineStr">
        <is>
          <t xml:space="preserve">UTI Mutual Fund</t>
        </is>
      </c>
      <c r="B13887" t="inlineStr">
        <is>
          <t xml:space="preserve">UTI Nifty50 Equal Weight Index Fund - Regular Plan - Growth Option</t>
        </is>
      </c>
      <c r="C13887" t="inlineStr">
        <is>
          <t xml:space="preserve">INF789F1AYQ3</t>
        </is>
      </c>
    </row>
    <row r="13888">
      <c r="A13888" t="inlineStr">
        <is>
          <t xml:space="preserve">UTI Mutual Fund</t>
        </is>
      </c>
      <c r="B13888" t="inlineStr">
        <is>
          <t xml:space="preserve">UTI Nifty500 Shariah Index Fund - Direct Plan Growth Option</t>
        </is>
      </c>
      <c r="C13888" t="inlineStr">
        <is>
          <t xml:space="preserve">INF789F1AD04</t>
        </is>
      </c>
    </row>
    <row r="13889">
      <c r="A13889" t="inlineStr">
        <is>
          <t xml:space="preserve">UTI Mutual Fund</t>
        </is>
      </c>
      <c r="B13889" t="inlineStr">
        <is>
          <t xml:space="preserve">UTI Nifty500 Shariah Index Fund - Regular Plan Growth Option</t>
        </is>
      </c>
      <c r="C13889" t="inlineStr">
        <is>
          <t xml:space="preserve">INF789F1AC96</t>
        </is>
      </c>
    </row>
    <row r="13890">
      <c r="A13890" t="inlineStr">
        <is>
          <t xml:space="preserve">UTI Mutual Fund</t>
        </is>
      </c>
      <c r="B13890" t="inlineStr">
        <is>
          <t xml:space="preserve">UTI Overnight Fund - Direct Plan - Daily IDCW</t>
        </is>
      </c>
      <c r="C13890" t="inlineStr">
        <is>
          <t xml:space="preserve">INF789FB1S89</t>
        </is>
      </c>
    </row>
    <row r="13891">
      <c r="A13891" t="inlineStr">
        <is>
          <t xml:space="preserve">UTI Mutual Fund</t>
        </is>
      </c>
      <c r="B13891" t="inlineStr">
        <is>
          <t xml:space="preserve">UTI Overnight Fund - Direct Plan - Periodic IDCW</t>
        </is>
      </c>
      <c r="C13891" t="inlineStr">
        <is>
          <t xml:space="preserve">INF789FB1T05</t>
        </is>
      </c>
    </row>
    <row r="13892">
      <c r="A13892" t="inlineStr">
        <is>
          <t xml:space="preserve">UTI Mutual Fund</t>
        </is>
      </c>
      <c r="B13892" t="inlineStr">
        <is>
          <t xml:space="preserve">UTI Overnight Fund - Regular Plan - Daily IDCW</t>
        </is>
      </c>
      <c r="C13892" t="inlineStr">
        <is>
          <t xml:space="preserve">INF789FB1T13</t>
        </is>
      </c>
    </row>
    <row r="13893">
      <c r="A13893" t="inlineStr">
        <is>
          <t xml:space="preserve">UTI Mutual Fund</t>
        </is>
      </c>
      <c r="B13893" t="inlineStr">
        <is>
          <t xml:space="preserve">UTI Overnight Fund - Regular Plan - Periodic IDCW</t>
        </is>
      </c>
      <c r="C13893" t="inlineStr">
        <is>
          <t xml:space="preserve">INF789F01588</t>
        </is>
      </c>
    </row>
    <row r="13894">
      <c r="A13894" t="inlineStr">
        <is>
          <t xml:space="preserve">UTI Mutual Fund</t>
        </is>
      </c>
      <c r="B13894" t="inlineStr">
        <is>
          <t xml:space="preserve">UTI Quant Fund - Direct Plan - Growth Option</t>
        </is>
      </c>
      <c r="C13894" t="inlineStr">
        <is>
          <t xml:space="preserve">INF789F1AA98</t>
        </is>
      </c>
    </row>
    <row r="13895">
      <c r="A13895" t="inlineStr">
        <is>
          <t xml:space="preserve">UTI Mutual Fund</t>
        </is>
      </c>
      <c r="B13895" t="inlineStr">
        <is>
          <t xml:space="preserve">UTI Quant Fund - Regular Plan - Growth Option</t>
        </is>
      </c>
      <c r="C13895" t="inlineStr">
        <is>
          <t xml:space="preserve">INF789F1AA80</t>
        </is>
      </c>
    </row>
    <row r="13896">
      <c r="A13896" t="inlineStr">
        <is>
          <t xml:space="preserve">UTI Mutual Fund</t>
        </is>
      </c>
      <c r="B13896" t="inlineStr">
        <is>
          <t xml:space="preserve">UTI Quarterly Interval Fund - I - Direct Plan - IDCW</t>
        </is>
      </c>
      <c r="C13896" t="inlineStr">
        <is>
          <t xml:space="preserve">INF789F01WG9</t>
        </is>
      </c>
    </row>
    <row r="13897">
      <c r="A13897" t="inlineStr">
        <is>
          <t xml:space="preserve">UTI Mutual Fund</t>
        </is>
      </c>
      <c r="B13897" t="inlineStr">
        <is>
          <t xml:space="preserve">UTI Quarterly Interval Fund - I - Regular Plan - Growth Option</t>
        </is>
      </c>
      <c r="C13897" t="inlineStr">
        <is>
          <t xml:space="preserve">INF789F01GE7</t>
        </is>
      </c>
    </row>
    <row r="13898">
      <c r="A13898" t="inlineStr">
        <is>
          <t xml:space="preserve">UTI Mutual Fund</t>
        </is>
      </c>
      <c r="B13898" t="inlineStr">
        <is>
          <t xml:space="preserve">UTI Quarterly Interval Fund - I - Regular Plan - IDCW</t>
        </is>
      </c>
      <c r="C13898" t="inlineStr">
        <is>
          <t xml:space="preserve">INF789F01GC1</t>
        </is>
      </c>
    </row>
    <row r="13899">
      <c r="A13899" t="inlineStr">
        <is>
          <t xml:space="preserve">UTI Mutual Fund</t>
        </is>
      </c>
      <c r="B13899" t="inlineStr">
        <is>
          <t xml:space="preserve">UTI Quarterly Interval Fund - I -Direct Plan - Growth Option</t>
        </is>
      </c>
      <c r="C13899" t="inlineStr">
        <is>
          <t xml:space="preserve">INF789F01WI5</t>
        </is>
      </c>
    </row>
    <row r="13900">
      <c r="A13900" t="inlineStr">
        <is>
          <t xml:space="preserve">UTI Mutual Fund</t>
        </is>
      </c>
      <c r="B13900" t="inlineStr">
        <is>
          <t xml:space="preserve">UTI Quarterly Interval Fund - II - Direct Plan - Growth Option</t>
        </is>
      </c>
      <c r="C13900" t="inlineStr">
        <is>
          <t xml:space="preserve">INF789F01WR6</t>
        </is>
      </c>
    </row>
    <row r="13901">
      <c r="A13901" t="inlineStr">
        <is>
          <t xml:space="preserve">UTI Mutual Fund</t>
        </is>
      </c>
      <c r="B13901" t="inlineStr">
        <is>
          <t xml:space="preserve">UTI Quarterly Interval Fund - II - Direct Plan - IDCW</t>
        </is>
      </c>
      <c r="C13901" t="inlineStr">
        <is>
          <t xml:space="preserve">INF789F01WP0</t>
        </is>
      </c>
    </row>
    <row r="13902">
      <c r="A13902" t="inlineStr">
        <is>
          <t xml:space="preserve">UTI Mutual Fund</t>
        </is>
      </c>
      <c r="B13902" t="inlineStr">
        <is>
          <t xml:space="preserve">UTI Quarterly Interval Fund - II - Regular Plan - Growth Option</t>
        </is>
      </c>
      <c r="C13902" t="inlineStr">
        <is>
          <t xml:space="preserve">INF789F01GW9</t>
        </is>
      </c>
    </row>
    <row r="13903">
      <c r="A13903" t="inlineStr">
        <is>
          <t xml:space="preserve">UTI Mutual Fund</t>
        </is>
      </c>
      <c r="B13903" t="inlineStr">
        <is>
          <t xml:space="preserve">UTI Quarterly Interval Fund - II - Regular Plan - IDCW</t>
        </is>
      </c>
      <c r="C13903" t="inlineStr">
        <is>
          <t xml:space="preserve">INF789F01GU3</t>
        </is>
      </c>
    </row>
    <row r="13904">
      <c r="A13904" t="inlineStr">
        <is>
          <t xml:space="preserve">UTI Mutual Fund</t>
        </is>
      </c>
      <c r="B13904" t="inlineStr">
        <is>
          <t xml:space="preserve">UTI Quarterly Interval Fund - III -Direct Plan - Growth Option</t>
        </is>
      </c>
      <c r="C13904" t="inlineStr">
        <is>
          <t xml:space="preserve">INF789F01WU0</t>
        </is>
      </c>
    </row>
    <row r="13905">
      <c r="A13905" t="inlineStr">
        <is>
          <t xml:space="preserve">UTI Mutual Fund</t>
        </is>
      </c>
      <c r="B13905" t="inlineStr">
        <is>
          <t xml:space="preserve">UTI Quarterly Interval Fund - III -Direct Plan - IDCW</t>
        </is>
      </c>
      <c r="C13905" t="inlineStr">
        <is>
          <t xml:space="preserve">INF789F01WS4</t>
        </is>
      </c>
    </row>
    <row r="13906">
      <c r="A13906" t="inlineStr">
        <is>
          <t xml:space="preserve">UTI Mutual Fund</t>
        </is>
      </c>
      <c r="B13906" t="inlineStr">
        <is>
          <t xml:space="preserve">UTI Quarterly Interval Fund - III -Regular Plan - Growth Option</t>
        </is>
      </c>
      <c r="C13906" t="inlineStr">
        <is>
          <t xml:space="preserve">INF789F01HC9</t>
        </is>
      </c>
    </row>
    <row r="13907">
      <c r="A13907" t="inlineStr">
        <is>
          <t xml:space="preserve">UTI Mutual Fund</t>
        </is>
      </c>
      <c r="B13907" t="inlineStr">
        <is>
          <t xml:space="preserve">UTI Quarterly Interval Fund - III -Regular Plan - IDCW</t>
        </is>
      </c>
      <c r="C13907" t="inlineStr">
        <is>
          <t xml:space="preserve">INF789F01HA3</t>
        </is>
      </c>
    </row>
    <row r="13908">
      <c r="A13908" t="inlineStr">
        <is>
          <t xml:space="preserve">UTI Mutual Fund</t>
        </is>
      </c>
      <c r="B13908" t="inlineStr">
        <is>
          <t xml:space="preserve">UTI Regular Saving Fund ( Segregated - 17022020) - Direct Plan - Flexi IDCW</t>
        </is>
      </c>
      <c r="C13908" t="inlineStr">
        <is>
          <t xml:space="preserve">INF789F1AQQ9</t>
        </is>
      </c>
    </row>
    <row r="13909">
      <c r="A13909" t="inlineStr">
        <is>
          <t xml:space="preserve">UTI Mutual Fund</t>
        </is>
      </c>
      <c r="B13909" t="inlineStr">
        <is>
          <t xml:space="preserve">UTI Regular Saving Fund ( Segregated - 17022020) - Direct Plan - Monthly IDCW</t>
        </is>
      </c>
      <c r="C13909" t="inlineStr">
        <is>
          <t xml:space="preserve">INF789F1AQN6</t>
        </is>
      </c>
    </row>
    <row r="13910">
      <c r="A13910" t="inlineStr">
        <is>
          <t xml:space="preserve">UTI Mutual Fund</t>
        </is>
      </c>
      <c r="B13910" t="inlineStr">
        <is>
          <t xml:space="preserve">UTI Regular Saving Fund ( Segregated - 17022020) - Regular Plan - Flexi IDCW</t>
        </is>
      </c>
      <c r="C13910" t="inlineStr">
        <is>
          <t xml:space="preserve">INF789F1AQK2</t>
        </is>
      </c>
    </row>
    <row r="13911">
      <c r="A13911" t="inlineStr">
        <is>
          <t xml:space="preserve">UTI Mutual Fund</t>
        </is>
      </c>
      <c r="B13911" t="inlineStr">
        <is>
          <t xml:space="preserve">UTI Regular Saving Fund ( Segregated - 17022020) - Regular Plan - Monthly IDCW</t>
        </is>
      </c>
      <c r="C13911" t="inlineStr">
        <is>
          <t xml:space="preserve">INF789F1AQH8</t>
        </is>
      </c>
    </row>
    <row r="13912">
      <c r="A13912" t="inlineStr">
        <is>
          <t xml:space="preserve">UTI Mutual Fund</t>
        </is>
      </c>
      <c r="B13912" t="inlineStr">
        <is>
          <t xml:space="preserve">UTI Retirement Fund - Regular Plan</t>
        </is>
      </c>
      <c r="C13912" t="inlineStr">
        <is>
          <t xml:space="preserve">INF789F1AA56</t>
        </is>
      </c>
    </row>
    <row r="13913">
      <c r="A13913" t="inlineStr">
        <is>
          <t xml:space="preserve">UTI Mutual Fund</t>
        </is>
      </c>
      <c r="B13913" t="inlineStr">
        <is>
          <t xml:space="preserve">UTI Retirement Fund- Direct Plan</t>
        </is>
      </c>
      <c r="C13913" t="inlineStr">
        <is>
          <t xml:space="preserve">INF789F1AA64</t>
        </is>
      </c>
    </row>
    <row r="13914">
      <c r="A13914" t="inlineStr">
        <is>
          <t xml:space="preserve">UTI Mutual Fund</t>
        </is>
      </c>
      <c r="B13914" t="inlineStr">
        <is>
          <t xml:space="preserve">UTI Short Duration Fund - Direct Plan - Annual IDCW</t>
        </is>
      </c>
      <c r="C13914" t="inlineStr">
        <is>
          <t xml:space="preserve">INF789FA1R33</t>
        </is>
      </c>
    </row>
    <row r="13915">
      <c r="A13915" t="inlineStr">
        <is>
          <t xml:space="preserve">UTI Mutual Fund</t>
        </is>
      </c>
      <c r="B13915" t="inlineStr">
        <is>
          <t xml:space="preserve">UTI Short Duration Fund - Direct Plan - Flexi IDCW</t>
        </is>
      </c>
      <c r="C13915" t="inlineStr">
        <is>
          <t xml:space="preserve">INF789FB1T70</t>
        </is>
      </c>
    </row>
    <row r="13916">
      <c r="A13916" t="inlineStr">
        <is>
          <t xml:space="preserve">UTI Mutual Fund</t>
        </is>
      </c>
      <c r="B13916" t="inlineStr">
        <is>
          <t xml:space="preserve">UTI Short Duration Fund - Direct Plan - Growth Option</t>
        </is>
      </c>
      <c r="C13916" t="inlineStr">
        <is>
          <t xml:space="preserve">INF789F01XY0</t>
        </is>
      </c>
    </row>
    <row r="13917">
      <c r="A13917" t="inlineStr">
        <is>
          <t xml:space="preserve">UTI Mutual Fund</t>
        </is>
      </c>
      <c r="B13917" t="inlineStr">
        <is>
          <t xml:space="preserve">UTI Short Duration Fund - Direct Plan - Half Yearly Dividend Option</t>
        </is>
      </c>
      <c r="C13917" t="inlineStr">
        <is>
          <t xml:space="preserve">INF789FA1R17</t>
        </is>
      </c>
    </row>
    <row r="13918">
      <c r="A13918" t="inlineStr">
        <is>
          <t xml:space="preserve">UTI Mutual Fund</t>
        </is>
      </c>
      <c r="B13918" t="inlineStr">
        <is>
          <t xml:space="preserve">UTI Short Duration Fund - Direct Plan - Monthly IDCW</t>
        </is>
      </c>
      <c r="C13918" t="inlineStr">
        <is>
          <t xml:space="preserve">INF789F01XZ7</t>
        </is>
      </c>
    </row>
    <row r="13919">
      <c r="A13919" t="inlineStr">
        <is>
          <t xml:space="preserve">UTI Mutual Fund</t>
        </is>
      </c>
      <c r="B13919" t="inlineStr">
        <is>
          <t xml:space="preserve">UTI Short Duration Fund - Direct Plan - Quarterly IDCW</t>
        </is>
      </c>
      <c r="C13919" t="inlineStr">
        <is>
          <t xml:space="preserve">INF789FA1R66</t>
        </is>
      </c>
    </row>
    <row r="13920">
      <c r="A13920" t="inlineStr">
        <is>
          <t xml:space="preserve">UTI Mutual Fund</t>
        </is>
      </c>
      <c r="B13920" t="inlineStr">
        <is>
          <t xml:space="preserve">UTI Short Duration Fund - Discontinued Regular Option - Dividend Sub Option</t>
        </is>
      </c>
      <c r="C13920" t="inlineStr">
        <is>
          <t xml:space="preserve">INF789F01AH3</t>
        </is>
      </c>
    </row>
    <row r="13921">
      <c r="A13921" t="inlineStr">
        <is>
          <t xml:space="preserve">UTI Mutual Fund</t>
        </is>
      </c>
      <c r="B13921" t="inlineStr">
        <is>
          <t xml:space="preserve">UTI Short Duration Fund - Discontinued Regular Option -Growth Sub Option</t>
        </is>
      </c>
      <c r="C13921" t="inlineStr">
        <is>
          <t xml:space="preserve">INF789F01AJ9</t>
        </is>
      </c>
    </row>
    <row r="13922">
      <c r="A13922" t="inlineStr">
        <is>
          <t xml:space="preserve">UTI Mutual Fund</t>
        </is>
      </c>
      <c r="B13922" t="inlineStr">
        <is>
          <t xml:space="preserve">UTI Short Duration Fund - Regular Plan - Annual IDCW</t>
        </is>
      </c>
      <c r="C13922" t="inlineStr">
        <is>
          <t xml:space="preserve">INF789FA1Q91</t>
        </is>
      </c>
    </row>
    <row r="13923">
      <c r="A13923" t="inlineStr">
        <is>
          <t xml:space="preserve">UTI Mutual Fund</t>
        </is>
      </c>
      <c r="B13923" t="inlineStr">
        <is>
          <t xml:space="preserve">UTI Short Duration Fund - Regular Plan - Flexi IDCW</t>
        </is>
      </c>
      <c r="C13923" t="inlineStr">
        <is>
          <t xml:space="preserve">INF789FB1T54</t>
        </is>
      </c>
    </row>
    <row r="13924">
      <c r="A13924" t="inlineStr">
        <is>
          <t xml:space="preserve">UTI Mutual Fund</t>
        </is>
      </c>
      <c r="B13924" t="inlineStr">
        <is>
          <t xml:space="preserve">UTI Short Duration Fund - Regular Plan - Growth Option</t>
        </is>
      </c>
      <c r="C13924" t="inlineStr">
        <is>
          <t xml:space="preserve">INF789F01QA4</t>
        </is>
      </c>
    </row>
    <row r="13925">
      <c r="A13925" t="inlineStr">
        <is>
          <t xml:space="preserve">UTI Mutual Fund</t>
        </is>
      </c>
      <c r="B13925" t="inlineStr">
        <is>
          <t xml:space="preserve">UTI Short Duration Fund - Regular Plan - Half-Yearly IDCW</t>
        </is>
      </c>
      <c r="C13925" t="inlineStr">
        <is>
          <t xml:space="preserve">INF789FA1Q75</t>
        </is>
      </c>
    </row>
    <row r="13926">
      <c r="A13926" t="inlineStr">
        <is>
          <t xml:space="preserve">UTI Mutual Fund</t>
        </is>
      </c>
      <c r="B13926" t="inlineStr">
        <is>
          <t xml:space="preserve">UTI Short Duration Fund - Regular Plan - Monthly IDCW</t>
        </is>
      </c>
      <c r="C13926" t="inlineStr">
        <is>
          <t xml:space="preserve">INF789F01QB2</t>
        </is>
      </c>
    </row>
    <row r="13927">
      <c r="A13927" t="inlineStr">
        <is>
          <t xml:space="preserve">UTI Mutual Fund</t>
        </is>
      </c>
      <c r="B13927" t="inlineStr">
        <is>
          <t xml:space="preserve">UTI Short Duration Fund - Regular Plan - Quarterly IDCW</t>
        </is>
      </c>
      <c r="C13927" t="inlineStr">
        <is>
          <t xml:space="preserve">INF789FC1GD5</t>
        </is>
      </c>
    </row>
    <row r="13928">
      <c r="A13928" t="inlineStr">
        <is>
          <t xml:space="preserve">UTI Mutual Fund</t>
        </is>
      </c>
      <c r="B13928" t="inlineStr">
        <is>
          <t xml:space="preserve">UTI Silver ETF Fund of Fund - Direct Plan - Growth Option</t>
        </is>
      </c>
      <c r="C13928" t="inlineStr">
        <is>
          <t xml:space="preserve">INF789F1AYL4</t>
        </is>
      </c>
    </row>
    <row r="13929">
      <c r="A13929" t="inlineStr">
        <is>
          <t xml:space="preserve">UTI Mutual Fund</t>
        </is>
      </c>
      <c r="B13929" t="inlineStr">
        <is>
          <t xml:space="preserve">UTI Silver ETF Fund of Fund - Regular Plan - Growth Option</t>
        </is>
      </c>
      <c r="C13929" t="inlineStr">
        <is>
          <t xml:space="preserve">INF789F1AYM2</t>
        </is>
      </c>
    </row>
    <row r="13930">
      <c r="A13930" t="inlineStr">
        <is>
          <t xml:space="preserve">UTI Mutual Fund</t>
        </is>
      </c>
      <c r="B13930" t="inlineStr">
        <is>
          <t xml:space="preserve">UTI Silver Exchange Traded Fund</t>
        </is>
      </c>
      <c r="C13930" t="inlineStr">
        <is>
          <t xml:space="preserve">INF789F1AYK6</t>
        </is>
      </c>
    </row>
    <row r="13931">
      <c r="A13931" t="inlineStr">
        <is>
          <t xml:space="preserve">UTI Mutual Fund</t>
        </is>
      </c>
      <c r="B13931" t="inlineStr">
        <is>
          <t xml:space="preserve">UTI Small Cap Fund - Direct Plan - Growth Option</t>
        </is>
      </c>
      <c r="C13931" t="inlineStr">
        <is>
          <t xml:space="preserve">INF789F1AUQ1</t>
        </is>
      </c>
    </row>
    <row r="13932">
      <c r="A13932" t="inlineStr">
        <is>
          <t xml:space="preserve">UTI Mutual Fund</t>
        </is>
      </c>
      <c r="B13932" t="inlineStr">
        <is>
          <t xml:space="preserve">UTI Small Cap Fund - Direct Plan - IDCW (Payout)</t>
        </is>
      </c>
      <c r="C13932" t="inlineStr">
        <is>
          <t xml:space="preserve">INF789F1AUR9</t>
        </is>
      </c>
    </row>
    <row r="13933">
      <c r="A13933" t="inlineStr">
        <is>
          <t xml:space="preserve">UTI Mutual Fund</t>
        </is>
      </c>
      <c r="B13933" t="inlineStr">
        <is>
          <t xml:space="preserve">UTI Small Cap Fund - Regular Plan - Growth Option</t>
        </is>
      </c>
      <c r="C13933" t="inlineStr">
        <is>
          <t xml:space="preserve">INF789F1AUO6</t>
        </is>
      </c>
    </row>
    <row r="13934">
      <c r="A13934" t="inlineStr">
        <is>
          <t xml:space="preserve">UTI Mutual Fund</t>
        </is>
      </c>
      <c r="B13934" t="inlineStr">
        <is>
          <t xml:space="preserve">UTI Small Cap Fund - Regular Plan - IDCW (Payout)</t>
        </is>
      </c>
      <c r="C13934" t="inlineStr">
        <is>
          <t xml:space="preserve">INF789F1AUP3</t>
        </is>
      </c>
    </row>
    <row r="13935">
      <c r="A13935" t="inlineStr">
        <is>
          <t xml:space="preserve">UTI Mutual Fund</t>
        </is>
      </c>
      <c r="B13935" t="inlineStr">
        <is>
          <t xml:space="preserve">UTI Transportation and Logistics Fund - Direct Plan - IDCW</t>
        </is>
      </c>
      <c r="C13935" t="inlineStr">
        <is>
          <t xml:space="preserve">INF789F01SF9</t>
        </is>
      </c>
    </row>
    <row r="13936">
      <c r="A13936" t="inlineStr">
        <is>
          <t xml:space="preserve">UTI Mutual Fund</t>
        </is>
      </c>
      <c r="B13936" t="inlineStr">
        <is>
          <t xml:space="preserve">UTI Transportation and Logistics Fund - Regular Plan - IDCW</t>
        </is>
      </c>
      <c r="C13936" t="inlineStr">
        <is>
          <t xml:space="preserve">INF789F01273</t>
        </is>
      </c>
    </row>
    <row r="13937">
      <c r="A13937" t="inlineStr">
        <is>
          <t xml:space="preserve">UTI Mutual Fund</t>
        </is>
      </c>
      <c r="B13937" t="inlineStr">
        <is>
          <t xml:space="preserve">UTI Ultra Short Duration Fund - Direct Plan - Annual IDCW</t>
        </is>
      </c>
      <c r="C13937" t="inlineStr">
        <is>
          <t xml:space="preserve">INF789FA1Q42</t>
        </is>
      </c>
    </row>
    <row r="13938">
      <c r="A13938" t="inlineStr">
        <is>
          <t xml:space="preserve">UTI Mutual Fund</t>
        </is>
      </c>
      <c r="B13938" t="inlineStr">
        <is>
          <t xml:space="preserve">UTI Ultra Short Duration Fund - Direct Plan - Daily IDCW (Reinvestment)</t>
        </is>
      </c>
      <c r="C13938" t="inlineStr">
        <is>
          <t xml:space="preserve">INF789F01TG5</t>
        </is>
      </c>
    </row>
    <row r="13939">
      <c r="A13939" t="inlineStr">
        <is>
          <t xml:space="preserve">UTI Mutual Fund</t>
        </is>
      </c>
      <c r="B13939" t="inlineStr">
        <is>
          <t xml:space="preserve">UTI Ultra Short Duration Fund - Direct Plan - Flexi IDCW</t>
        </is>
      </c>
      <c r="C13939" t="inlineStr">
        <is>
          <t xml:space="preserve">INF789FB1KQ0</t>
        </is>
      </c>
    </row>
    <row r="13940">
      <c r="A13940" t="inlineStr">
        <is>
          <t xml:space="preserve">UTI Mutual Fund</t>
        </is>
      </c>
      <c r="B13940" t="inlineStr">
        <is>
          <t xml:space="preserve">UTI Ultra Short Duration Fund - Direct Plan - Fortnightly IDCW</t>
        </is>
      </c>
      <c r="C13940" t="inlineStr">
        <is>
          <t xml:space="preserve">INF789FA1P68</t>
        </is>
      </c>
    </row>
    <row r="13941">
      <c r="A13941" t="inlineStr">
        <is>
          <t xml:space="preserve">UTI Mutual Fund</t>
        </is>
      </c>
      <c r="B13941" t="inlineStr">
        <is>
          <t xml:space="preserve">UTI Ultra Short Duration Fund - Direct Plan - Growth Option</t>
        </is>
      </c>
      <c r="C13941" t="inlineStr">
        <is>
          <t xml:space="preserve">INF789F01TI1</t>
        </is>
      </c>
    </row>
    <row r="13942">
      <c r="A13942" t="inlineStr">
        <is>
          <t xml:space="preserve">UTI Mutual Fund</t>
        </is>
      </c>
      <c r="B13942" t="inlineStr">
        <is>
          <t xml:space="preserve">UTI Ultra Short Duration Fund - Direct Plan - Half-Yearly IDCW</t>
        </is>
      </c>
      <c r="C13942" t="inlineStr">
        <is>
          <t xml:space="preserve">INF789FA1Q26</t>
        </is>
      </c>
    </row>
    <row r="13943">
      <c r="A13943" t="inlineStr">
        <is>
          <t xml:space="preserve">UTI Mutual Fund</t>
        </is>
      </c>
      <c r="B13943" t="inlineStr">
        <is>
          <t xml:space="preserve">UTI Ultra Short Duration Fund - Direct Plan - Monthly IDCW</t>
        </is>
      </c>
      <c r="C13943" t="inlineStr">
        <is>
          <t xml:space="preserve">INF789FA1P84</t>
        </is>
      </c>
    </row>
    <row r="13944">
      <c r="A13944" t="inlineStr">
        <is>
          <t xml:space="preserve">UTI Mutual Fund</t>
        </is>
      </c>
      <c r="B13944" t="inlineStr">
        <is>
          <t xml:space="preserve">UTI Ultra Short Duration Fund - Direct Plan - Quarterly IDCW</t>
        </is>
      </c>
      <c r="C13944" t="inlineStr">
        <is>
          <t xml:space="preserve">INF789FA1Q00</t>
        </is>
      </c>
    </row>
    <row r="13945">
      <c r="A13945" t="inlineStr">
        <is>
          <t xml:space="preserve">UTI Mutual Fund</t>
        </is>
      </c>
      <c r="B13945" t="inlineStr">
        <is>
          <t xml:space="preserve">UTI Ultra Short Duration Fund - Direct Plan - Weekly IDCW (Reinvestment)</t>
        </is>
      </c>
      <c r="C13945" t="inlineStr">
        <is>
          <t xml:space="preserve">INF789FB1S63</t>
        </is>
      </c>
    </row>
    <row r="13946">
      <c r="A13946" t="inlineStr">
        <is>
          <t xml:space="preserve">UTI Mutual Fund</t>
        </is>
      </c>
      <c r="B13946" t="inlineStr">
        <is>
          <t xml:space="preserve">UTI Ultra Short Duration Fund - Discontinued - INSTN GROWTH OPTION</t>
        </is>
      </c>
      <c r="C13946" t="inlineStr">
        <is>
          <t xml:space="preserve">INF789F01PM1</t>
        </is>
      </c>
    </row>
    <row r="13947">
      <c r="A13947" t="inlineStr">
        <is>
          <t xml:space="preserve">UTI Mutual Fund</t>
        </is>
      </c>
      <c r="B13947" t="inlineStr">
        <is>
          <t xml:space="preserve">UTI Ultra Short Duration Fund - Discontinued - INSTN PLAN - PERIODIC DIVIDEND OPTION</t>
        </is>
      </c>
      <c r="C13947" t="inlineStr">
        <is>
          <t xml:space="preserve">INF789F01PL3</t>
        </is>
      </c>
    </row>
    <row r="13948">
      <c r="A13948" t="inlineStr">
        <is>
          <t xml:space="preserve">UTI Mutual Fund</t>
        </is>
      </c>
      <c r="B13948" t="inlineStr">
        <is>
          <t xml:space="preserve">UTI Ultra Short Duration Fund - Regular Plan - Annual IDCW</t>
        </is>
      </c>
      <c r="C13948" t="inlineStr">
        <is>
          <t xml:space="preserve">INF789FA1P43</t>
        </is>
      </c>
    </row>
    <row r="13949">
      <c r="A13949" t="inlineStr">
        <is>
          <t xml:space="preserve">UTI Mutual Fund</t>
        </is>
      </c>
      <c r="B13949" t="inlineStr">
        <is>
          <t xml:space="preserve">UTI Ultra Short Duration Fund - Regular Plan - Daily IDCW (Reinvestment)</t>
        </is>
      </c>
      <c r="C13949" t="inlineStr">
        <is>
          <t xml:space="preserve">INF789F01554</t>
        </is>
      </c>
    </row>
    <row r="13950">
      <c r="A13950" t="inlineStr">
        <is>
          <t xml:space="preserve">UTI Mutual Fund</t>
        </is>
      </c>
      <c r="B13950" t="inlineStr">
        <is>
          <t xml:space="preserve">UTI Ultra Short Duration Fund - Regular Plan - Flexi IDCW</t>
        </is>
      </c>
      <c r="C13950" t="inlineStr">
        <is>
          <t xml:space="preserve">INF789FB1KS6</t>
        </is>
      </c>
    </row>
    <row r="13951">
      <c r="A13951" t="inlineStr">
        <is>
          <t xml:space="preserve">UTI Mutual Fund</t>
        </is>
      </c>
      <c r="B13951" t="inlineStr">
        <is>
          <t xml:space="preserve">UTI Ultra Short Duration Fund - Regular Plan - Fortnightly IDCW</t>
        </is>
      </c>
      <c r="C13951" t="inlineStr">
        <is>
          <t xml:space="preserve">INF789FA1O69</t>
        </is>
      </c>
    </row>
    <row r="13952">
      <c r="A13952" t="inlineStr">
        <is>
          <t xml:space="preserve">UTI Mutual Fund</t>
        </is>
      </c>
      <c r="B13952" t="inlineStr">
        <is>
          <t xml:space="preserve">UTI Ultra Short Duration Fund - Regular Plan - Growth Option</t>
        </is>
      </c>
      <c r="C13952" t="inlineStr">
        <is>
          <t xml:space="preserve">INF789F01570</t>
        </is>
      </c>
    </row>
    <row r="13953">
      <c r="A13953" t="inlineStr">
        <is>
          <t xml:space="preserve">UTI Mutual Fund</t>
        </is>
      </c>
      <c r="B13953" t="inlineStr">
        <is>
          <t xml:space="preserve">UTI Ultra Short Duration Fund - Regular Plan - Half-Yearly IDCW</t>
        </is>
      </c>
      <c r="C13953" t="inlineStr">
        <is>
          <t xml:space="preserve">INF789FA1P27</t>
        </is>
      </c>
    </row>
    <row r="13954">
      <c r="A13954" t="inlineStr">
        <is>
          <t xml:space="preserve">UTI Mutual Fund</t>
        </is>
      </c>
      <c r="B13954" t="inlineStr">
        <is>
          <t xml:space="preserve">UTI Ultra Short Duration Fund - Regular Plan - Monthly IDCW</t>
        </is>
      </c>
      <c r="C13954" t="inlineStr">
        <is>
          <t xml:space="preserve">INF789FA1O85</t>
        </is>
      </c>
    </row>
    <row r="13955">
      <c r="A13955" t="inlineStr">
        <is>
          <t xml:space="preserve">UTI Mutual Fund</t>
        </is>
      </c>
      <c r="B13955" t="inlineStr">
        <is>
          <t xml:space="preserve">UTI Ultra Short Duration Fund - Regular Plan - Quarterly IDCW</t>
        </is>
      </c>
      <c r="C13955" t="inlineStr">
        <is>
          <t xml:space="preserve">INF789FA1P01</t>
        </is>
      </c>
    </row>
    <row r="13956">
      <c r="A13956" t="inlineStr">
        <is>
          <t xml:space="preserve">UTI Mutual Fund</t>
        </is>
      </c>
      <c r="B13956" t="inlineStr">
        <is>
          <t xml:space="preserve">UTI Ultra Short Duration Fund - Regular Plan - Weekly IDCW (Reinvestment)</t>
        </is>
      </c>
      <c r="C13956" t="inlineStr">
        <is>
          <t xml:space="preserve">INF789F01562</t>
        </is>
      </c>
    </row>
    <row r="13957">
      <c r="A13957" t="inlineStr">
        <is>
          <t xml:space="preserve">UTI Mutual Fund</t>
        </is>
      </c>
      <c r="B13957" t="inlineStr">
        <is>
          <t xml:space="preserve">UTI Value Fund - Direct Plan - Growth Option</t>
        </is>
      </c>
      <c r="C13957" t="inlineStr">
        <is>
          <t xml:space="preserve">INF789F01VB2</t>
        </is>
      </c>
    </row>
    <row r="13958">
      <c r="A13958" t="inlineStr">
        <is>
          <t xml:space="preserve">UTI Mutual Fund</t>
        </is>
      </c>
      <c r="B13958" t="inlineStr">
        <is>
          <t xml:space="preserve">UTI Value Fund - Direct Plan - IDCW</t>
        </is>
      </c>
      <c r="C13958" t="inlineStr">
        <is>
          <t xml:space="preserve">INF789F01UZ3</t>
        </is>
      </c>
    </row>
    <row r="13959">
      <c r="A13959" t="inlineStr">
        <is>
          <t xml:space="preserve">UTI Mutual Fund</t>
        </is>
      </c>
      <c r="B13959" t="inlineStr">
        <is>
          <t xml:space="preserve">UTI Value Fund - Regular Plan - Growth Option</t>
        </is>
      </c>
      <c r="C13959" t="inlineStr">
        <is>
          <t xml:space="preserve">INF789F01AG5</t>
        </is>
      </c>
    </row>
    <row r="13960">
      <c r="A13960" t="inlineStr">
        <is>
          <t xml:space="preserve">UTI Mutual Fund</t>
        </is>
      </c>
      <c r="B13960" t="inlineStr">
        <is>
          <t xml:space="preserve">UTI Value Fund - Regular Plan - IDCW</t>
        </is>
      </c>
      <c r="C13960" t="inlineStr">
        <is>
          <t xml:space="preserve">INF789F01AE0</t>
        </is>
      </c>
    </row>
    <row r="13961">
      <c r="A13961" t="inlineStr">
        <is>
          <t xml:space="preserve">UTI Mutual Fund</t>
        </is>
      </c>
      <c r="B13961" t="inlineStr">
        <is>
          <t xml:space="preserve">UTI-Dividend Yield Fund.-Growth</t>
        </is>
      </c>
      <c r="C13961" t="inlineStr">
        <is>
          <t xml:space="preserve">INF789F01463</t>
        </is>
      </c>
    </row>
    <row r="13962">
      <c r="A13962" t="inlineStr">
        <is>
          <t xml:space="preserve">UTI Mutual Fund</t>
        </is>
      </c>
      <c r="B13962" t="inlineStr">
        <is>
          <t xml:space="preserve">UTI-Dividend Yield Fund.-Growth-Direct</t>
        </is>
      </c>
      <c r="C13962" t="inlineStr">
        <is>
          <t xml:space="preserve">INF789F01SW4</t>
        </is>
      </c>
    </row>
    <row r="13963">
      <c r="A13963" t="inlineStr">
        <is>
          <t xml:space="preserve">UTI Mutual Fund</t>
        </is>
      </c>
      <c r="B13963" t="inlineStr">
        <is>
          <t xml:space="preserve">UTI-Transportation and Logistics  Fund-Growth Option</t>
        </is>
      </c>
      <c r="C13963" t="inlineStr">
        <is>
          <t xml:space="preserve">INF789F01299</t>
        </is>
      </c>
    </row>
    <row r="13964">
      <c r="A13964" t="inlineStr">
        <is>
          <t xml:space="preserve">UTI Mutual Fund</t>
        </is>
      </c>
      <c r="B13964" t="inlineStr">
        <is>
          <t xml:space="preserve">UTI-Transportation and Logistics  Fund-Growth Option- Direct</t>
        </is>
      </c>
      <c r="C13964" t="inlineStr">
        <is>
          <t xml:space="preserve">INF789F01SH5</t>
        </is>
      </c>
    </row>
    <row r="13965">
      <c r="A13965" t="inlineStr">
        <is>
          <t xml:space="preserve">WhiteOak Capital Mutual Fund</t>
        </is>
      </c>
      <c r="B13965" t="inlineStr">
        <is>
          <t xml:space="preserve">WhiteOak Capital Aggressive Hybrid Fund Direct Plan Growth</t>
        </is>
      </c>
      <c r="C13965" t="inlineStr">
        <is>
          <t xml:space="preserve">INF03VN01AF8</t>
        </is>
      </c>
    </row>
    <row r="13966">
      <c r="A13966" t="inlineStr">
        <is>
          <t xml:space="preserve">WhiteOak Capital Mutual Fund</t>
        </is>
      </c>
      <c r="B13966" t="inlineStr">
        <is>
          <t xml:space="preserve">WhiteOak Capital Aggressive Hybrid Fund Regular Plan Growth</t>
        </is>
      </c>
      <c r="C13966" t="inlineStr">
        <is>
          <t xml:space="preserve">INF03VN01AG6</t>
        </is>
      </c>
    </row>
    <row r="13967">
      <c r="A13967" t="inlineStr">
        <is>
          <t xml:space="preserve">WhiteOak Capital Mutual Fund</t>
        </is>
      </c>
      <c r="B13967" t="inlineStr">
        <is>
          <t xml:space="preserve">WhiteOak Capital Arbitrage Fund Direct Plan Growth</t>
        </is>
      </c>
      <c r="C13967" t="inlineStr">
        <is>
          <t xml:space="preserve">INF03VN01910</t>
        </is>
      </c>
    </row>
    <row r="13968">
      <c r="A13968" t="inlineStr">
        <is>
          <t xml:space="preserve">WhiteOak Capital Mutual Fund</t>
        </is>
      </c>
      <c r="B13968" t="inlineStr">
        <is>
          <t xml:space="preserve">WhiteOak Capital Arbitrage Fund Regular Plan Growth</t>
        </is>
      </c>
      <c r="C13968" t="inlineStr">
        <is>
          <t xml:space="preserve">INF03VN01928</t>
        </is>
      </c>
    </row>
    <row r="13969">
      <c r="A13969" t="inlineStr">
        <is>
          <t xml:space="preserve">WhiteOak Capital Mutual Fund</t>
        </is>
      </c>
      <c r="B13969" t="inlineStr">
        <is>
          <t xml:space="preserve">WhiteOak Capital Balanced Advantage Fund Direct Plan Growth</t>
        </is>
      </c>
      <c r="C13969" t="inlineStr">
        <is>
          <t xml:space="preserve">INF03VN01738</t>
        </is>
      </c>
    </row>
    <row r="13970">
      <c r="A13970" t="inlineStr">
        <is>
          <t xml:space="preserve">WhiteOak Capital Mutual Fund</t>
        </is>
      </c>
      <c r="B13970" t="inlineStr">
        <is>
          <t xml:space="preserve">WhiteOak Capital Balanced Advantage Fund Regular Plan Growth</t>
        </is>
      </c>
      <c r="C13970" t="inlineStr">
        <is>
          <t xml:space="preserve">INF03VN01720</t>
        </is>
      </c>
    </row>
    <row r="13971">
      <c r="A13971" t="inlineStr">
        <is>
          <t xml:space="preserve">WhiteOak Capital Mutual Fund</t>
        </is>
      </c>
      <c r="B13971" t="inlineStr">
        <is>
          <t xml:space="preserve">WhiteOak Capital Balanced Hybrid Fund Direct Plan Growth</t>
        </is>
      </c>
      <c r="C13971" t="inlineStr">
        <is>
          <t xml:space="preserve">INF03VN01829</t>
        </is>
      </c>
    </row>
    <row r="13972">
      <c r="A13972" t="inlineStr">
        <is>
          <t xml:space="preserve">WhiteOak Capital Mutual Fund</t>
        </is>
      </c>
      <c r="B13972" t="inlineStr">
        <is>
          <t xml:space="preserve">WhiteOak Capital Balanced Hybrid Fund Regular Plan Growth</t>
        </is>
      </c>
      <c r="C13972" t="inlineStr">
        <is>
          <t xml:space="preserve">INF03VN01811</t>
        </is>
      </c>
    </row>
    <row r="13973">
      <c r="A13973" t="inlineStr">
        <is>
          <t xml:space="preserve">WhiteOak Capital Mutual Fund</t>
        </is>
      </c>
      <c r="B13973" t="inlineStr">
        <is>
          <t xml:space="preserve">WhiteOak Capital Banking &amp; Financial Services Fund - Direct Growth</t>
        </is>
      </c>
      <c r="C13973" t="inlineStr">
        <is>
          <t xml:space="preserve">INF03VN01860</t>
        </is>
      </c>
    </row>
    <row r="13974">
      <c r="A13974" t="inlineStr">
        <is>
          <t xml:space="preserve">WhiteOak Capital Mutual Fund</t>
        </is>
      </c>
      <c r="B13974" t="inlineStr">
        <is>
          <t xml:space="preserve">WhiteOak Capital Banking &amp; Financial Services Fund - Regular Growth</t>
        </is>
      </c>
      <c r="C13974" t="inlineStr">
        <is>
          <t xml:space="preserve">INF03VN01852</t>
        </is>
      </c>
    </row>
    <row r="13975">
      <c r="A13975" t="inlineStr">
        <is>
          <t xml:space="preserve">WhiteOak Capital Mutual Fund</t>
        </is>
      </c>
      <c r="B13975" t="inlineStr">
        <is>
          <t xml:space="preserve">WhiteOak Capital Consumption Opportunities Fund Direct Plan Growth</t>
        </is>
      </c>
      <c r="C13975" t="inlineStr">
        <is>
          <t xml:space="preserve">INF03VN01AD3</t>
        </is>
      </c>
    </row>
    <row r="13976">
      <c r="A13976" t="inlineStr">
        <is>
          <t xml:space="preserve">WhiteOak Capital Mutual Fund</t>
        </is>
      </c>
      <c r="B13976" t="inlineStr">
        <is>
          <t xml:space="preserve">WhiteOak Capital Consumption Opportunities Fund Regular Plan Growth</t>
        </is>
      </c>
      <c r="C13976" t="inlineStr">
        <is>
          <t xml:space="preserve">INF03VN01AE1</t>
        </is>
      </c>
    </row>
    <row r="13977">
      <c r="A13977" t="inlineStr">
        <is>
          <t xml:space="preserve">WhiteOak Capital Mutual Fund</t>
        </is>
      </c>
      <c r="B13977" t="inlineStr">
        <is>
          <t xml:space="preserve">WhiteOak Capital Digital Bharat Fund Direct Plan Growth</t>
        </is>
      </c>
      <c r="C13977" t="inlineStr">
        <is>
          <t xml:space="preserve">INF03VN01936</t>
        </is>
      </c>
    </row>
    <row r="13978">
      <c r="A13978" t="inlineStr">
        <is>
          <t xml:space="preserve">WhiteOak Capital Mutual Fund</t>
        </is>
      </c>
      <c r="B13978" t="inlineStr">
        <is>
          <t xml:space="preserve">WhiteOak Capital Digital Bharat Fund Regular Plan Growth</t>
        </is>
      </c>
      <c r="C13978" t="inlineStr">
        <is>
          <t xml:space="preserve">INF03VN01944</t>
        </is>
      </c>
    </row>
    <row r="13979">
      <c r="A13979" t="inlineStr">
        <is>
          <t xml:space="preserve">WhiteOak Capital Mutual Fund</t>
        </is>
      </c>
      <c r="B13979" t="inlineStr">
        <is>
          <t xml:space="preserve">WhiteOak Capital ELSS Tax Saver Fund Direct Plan Growth</t>
        </is>
      </c>
      <c r="C13979" t="inlineStr">
        <is>
          <t xml:space="preserve">INF03VN01621</t>
        </is>
      </c>
    </row>
    <row r="13980">
      <c r="A13980" t="inlineStr">
        <is>
          <t xml:space="preserve">WhiteOak Capital Mutual Fund</t>
        </is>
      </c>
      <c r="B13980" t="inlineStr">
        <is>
          <t xml:space="preserve">WhiteOak Capital ELSS Tax Saver Fund Direct Plan IDCW</t>
        </is>
      </c>
      <c r="C13980" t="inlineStr">
        <is>
          <t xml:space="preserve">INF03VN01639</t>
        </is>
      </c>
    </row>
    <row r="13981">
      <c r="A13981" t="inlineStr">
        <is>
          <t xml:space="preserve">WhiteOak Capital Mutual Fund</t>
        </is>
      </c>
      <c r="B13981" t="inlineStr">
        <is>
          <t xml:space="preserve">WhiteOak Capital ELSS Tax Saver Fund Regular Plan Growth</t>
        </is>
      </c>
      <c r="C13981" t="inlineStr">
        <is>
          <t xml:space="preserve">INF03VN01647</t>
        </is>
      </c>
    </row>
    <row r="13982">
      <c r="A13982" t="inlineStr">
        <is>
          <t xml:space="preserve">WhiteOak Capital Mutual Fund</t>
        </is>
      </c>
      <c r="B13982" t="inlineStr">
        <is>
          <t xml:space="preserve">WhiteOak Capital ELSS Tax Saver Fund Regular Plan IDCW</t>
        </is>
      </c>
      <c r="C13982" t="inlineStr">
        <is>
          <t xml:space="preserve">INF03VN01654</t>
        </is>
      </c>
    </row>
    <row r="13983">
      <c r="A13983" t="inlineStr">
        <is>
          <t xml:space="preserve">WhiteOak Capital Mutual Fund</t>
        </is>
      </c>
      <c r="B13983" t="inlineStr">
        <is>
          <t xml:space="preserve">WhiteOak Capital Equity Savings Fund Direct Plan Growth</t>
        </is>
      </c>
      <c r="C13983" t="inlineStr">
        <is>
          <t xml:space="preserve">INF03VN01AB7</t>
        </is>
      </c>
    </row>
    <row r="13984">
      <c r="A13984" t="inlineStr">
        <is>
          <t xml:space="preserve">WhiteOak Capital Mutual Fund</t>
        </is>
      </c>
      <c r="B13984" t="inlineStr">
        <is>
          <t xml:space="preserve">WhiteOak Capital Equity Savings Fund Regular Plan Growth</t>
        </is>
      </c>
      <c r="C13984" t="inlineStr">
        <is>
          <t xml:space="preserve">INF03VN01AC5</t>
        </is>
      </c>
    </row>
    <row r="13985">
      <c r="A13985" t="inlineStr">
        <is>
          <t xml:space="preserve">WhiteOak Capital Mutual Fund</t>
        </is>
      </c>
      <c r="B13985" t="inlineStr">
        <is>
          <t xml:space="preserve">WhiteOak Capital ESG Best-In-Class Strategy Fund Direct Plan Growth</t>
        </is>
      </c>
      <c r="C13985" t="inlineStr">
        <is>
          <t xml:space="preserve">INF03VN01951</t>
        </is>
      </c>
    </row>
    <row r="13986">
      <c r="A13986" t="inlineStr">
        <is>
          <t xml:space="preserve">WhiteOak Capital Mutual Fund</t>
        </is>
      </c>
      <c r="B13986" t="inlineStr">
        <is>
          <t xml:space="preserve">WhiteOak Capital ESG Best-In-Class Strategy Fund Regular Plan Growth</t>
        </is>
      </c>
      <c r="C13986" t="inlineStr">
        <is>
          <t xml:space="preserve">INF03VN01969</t>
        </is>
      </c>
    </row>
    <row r="13987">
      <c r="A13987" t="inlineStr">
        <is>
          <t xml:space="preserve">WhiteOak Capital Mutual Fund</t>
        </is>
      </c>
      <c r="B13987" t="inlineStr">
        <is>
          <t xml:space="preserve">WhiteOak Capital Flexi Cap Fund Direct Plan IDCW</t>
        </is>
      </c>
      <c r="C13987" t="inlineStr">
        <is>
          <t xml:space="preserve">INF03VN01555</t>
        </is>
      </c>
    </row>
    <row r="13988">
      <c r="A13988" t="inlineStr">
        <is>
          <t xml:space="preserve">WhiteOak Capital Mutual Fund</t>
        </is>
      </c>
      <c r="B13988" t="inlineStr">
        <is>
          <t xml:space="preserve">WhiteOak Capital Flexi Cap Fund Direct Plan-Growth</t>
        </is>
      </c>
      <c r="C13988" t="inlineStr">
        <is>
          <t xml:space="preserve">INF03VN01530</t>
        </is>
      </c>
    </row>
    <row r="13989">
      <c r="A13989" t="inlineStr">
        <is>
          <t xml:space="preserve">WhiteOak Capital Mutual Fund</t>
        </is>
      </c>
      <c r="B13989" t="inlineStr">
        <is>
          <t xml:space="preserve">WhiteOak Capital Flexi Cap Fund Regular Plan IDCW</t>
        </is>
      </c>
      <c r="C13989" t="inlineStr">
        <is>
          <t xml:space="preserve">INF03VN01522</t>
        </is>
      </c>
    </row>
    <row r="13990">
      <c r="A13990" t="inlineStr">
        <is>
          <t xml:space="preserve">WhiteOak Capital Mutual Fund</t>
        </is>
      </c>
      <c r="B13990" t="inlineStr">
        <is>
          <t xml:space="preserve">WhiteOak Capital Flexi Cap Fund Regular Plan-Growth</t>
        </is>
      </c>
      <c r="C13990" t="inlineStr">
        <is>
          <t xml:space="preserve">INF03VN01506</t>
        </is>
      </c>
    </row>
    <row r="13991">
      <c r="A13991" t="inlineStr">
        <is>
          <t xml:space="preserve">WhiteOak Capital Mutual Fund</t>
        </is>
      </c>
      <c r="B13991" t="inlineStr">
        <is>
          <t xml:space="preserve">Whiteoak Capital Large &amp; Mid Cap Fund Direct Plan Growth</t>
        </is>
      </c>
      <c r="C13991" t="inlineStr">
        <is>
          <t xml:space="preserve">INF03VN01845</t>
        </is>
      </c>
    </row>
    <row r="13992">
      <c r="A13992" t="inlineStr">
        <is>
          <t xml:space="preserve">WhiteOak Capital Mutual Fund</t>
        </is>
      </c>
      <c r="B13992" t="inlineStr">
        <is>
          <t xml:space="preserve">Whiteoak Capital Large &amp; Mid Cap Fund Regular Plan Growth</t>
        </is>
      </c>
      <c r="C13992" t="inlineStr">
        <is>
          <t xml:space="preserve">INF03VN01837</t>
        </is>
      </c>
    </row>
    <row r="13993">
      <c r="A13993" t="inlineStr">
        <is>
          <t xml:space="preserve">WhiteOak Capital Mutual Fund</t>
        </is>
      </c>
      <c r="B13993" t="inlineStr">
        <is>
          <t xml:space="preserve">WhiteOak Capital Large Cap Fund Direct Plan Growth</t>
        </is>
      </c>
      <c r="C13993" t="inlineStr">
        <is>
          <t xml:space="preserve">INF03VN01696</t>
        </is>
      </c>
    </row>
    <row r="13994">
      <c r="A13994" t="inlineStr">
        <is>
          <t xml:space="preserve">WhiteOak Capital Mutual Fund</t>
        </is>
      </c>
      <c r="B13994" t="inlineStr">
        <is>
          <t xml:space="preserve">WhiteOak Capital Large Cap Fund Direct Plan IDCW</t>
        </is>
      </c>
      <c r="C13994" t="inlineStr">
        <is>
          <t xml:space="preserve">INF03VN01704</t>
        </is>
      </c>
    </row>
    <row r="13995">
      <c r="A13995" t="inlineStr">
        <is>
          <t xml:space="preserve">WhiteOak Capital Mutual Fund</t>
        </is>
      </c>
      <c r="B13995" t="inlineStr">
        <is>
          <t xml:space="preserve">WhiteOak Capital Large Cap Fund Regular Plan Growth</t>
        </is>
      </c>
      <c r="C13995" t="inlineStr">
        <is>
          <t xml:space="preserve">INF03VN01662</t>
        </is>
      </c>
    </row>
    <row r="13996">
      <c r="A13996" t="inlineStr">
        <is>
          <t xml:space="preserve">WhiteOak Capital Mutual Fund</t>
        </is>
      </c>
      <c r="B13996" t="inlineStr">
        <is>
          <t xml:space="preserve">WhiteOak Capital Large Cap Fund Regular Plan IDCW</t>
        </is>
      </c>
      <c r="C13996" t="inlineStr">
        <is>
          <t xml:space="preserve">INF03VN01670</t>
        </is>
      </c>
    </row>
    <row r="13997">
      <c r="A13997" t="inlineStr">
        <is>
          <t xml:space="preserve">WhiteOak Capital Mutual Fund</t>
        </is>
      </c>
      <c r="B13997" t="inlineStr">
        <is>
          <t xml:space="preserve">WhiteOak Capital Liquid Fund- Direct plan-Daily Reinvestment of Income Distribution cum capital withdrawal option (IDCW)</t>
        </is>
      </c>
      <c r="C13997" t="inlineStr">
        <is>
          <t xml:space="preserve">INF03VN01019</t>
        </is>
      </c>
    </row>
    <row r="13998">
      <c r="A13998" t="inlineStr">
        <is>
          <t xml:space="preserve">WhiteOak Capital Mutual Fund</t>
        </is>
      </c>
      <c r="B13998" t="inlineStr">
        <is>
          <t xml:space="preserve">WhiteOak Capital Liquid Fund- Direct plan-Fortnightly Payout/ Reinvestment of Income Distribution cum capital withdrawal option (IDCW)</t>
        </is>
      </c>
      <c r="C13998" t="inlineStr">
        <is>
          <t xml:space="preserve">INF03VN01027</t>
        </is>
      </c>
    </row>
    <row r="13999">
      <c r="A13999" t="inlineStr">
        <is>
          <t xml:space="preserve">WhiteOak Capital Mutual Fund</t>
        </is>
      </c>
      <c r="B13999" t="inlineStr">
        <is>
          <t xml:space="preserve">WhiteOak Capital Liquid Fund- Direct plan-Growth Option</t>
        </is>
      </c>
      <c r="C13999" t="inlineStr">
        <is>
          <t xml:space="preserve">INF03VN01043</t>
        </is>
      </c>
    </row>
    <row r="14000">
      <c r="A14000" t="inlineStr">
        <is>
          <t xml:space="preserve">WhiteOak Capital Mutual Fund</t>
        </is>
      </c>
      <c r="B14000" t="inlineStr">
        <is>
          <t xml:space="preserve">WhiteOak Capital Liquid Fund- Direct plan-Monthly  Payout/ Reinvestment of Income Distribution cum capital withdrawal option (IDCW)</t>
        </is>
      </c>
      <c r="C14000" t="inlineStr">
        <is>
          <t xml:space="preserve">INF03VN01050</t>
        </is>
      </c>
    </row>
    <row r="14001">
      <c r="A14001" t="inlineStr">
        <is>
          <t xml:space="preserve">WhiteOak Capital Mutual Fund</t>
        </is>
      </c>
      <c r="B14001" t="inlineStr">
        <is>
          <t xml:space="preserve">WhiteOak Capital Liquid Fund- Direct plan-Weekly Payout/ Reinvestment of Income Distribution cum capital withdrawal option (IDCW)</t>
        </is>
      </c>
      <c r="C14001" t="inlineStr">
        <is>
          <t xml:space="preserve">INF03VN01076</t>
        </is>
      </c>
    </row>
    <row r="14002">
      <c r="A14002" t="inlineStr">
        <is>
          <t xml:space="preserve">WhiteOak Capital Mutual Fund</t>
        </is>
      </c>
      <c r="B14002" t="inlineStr">
        <is>
          <t xml:space="preserve">WhiteOak Capital Liquid Fund- Regular plan-Daily Reinvestment of Income Distribution cum capital withdrawal option (IDCW)</t>
        </is>
      </c>
      <c r="C14002" t="inlineStr">
        <is>
          <t xml:space="preserve">INF03VN01092</t>
        </is>
      </c>
    </row>
    <row r="14003">
      <c r="A14003" t="inlineStr">
        <is>
          <t xml:space="preserve">WhiteOak Capital Mutual Fund</t>
        </is>
      </c>
      <c r="B14003" t="inlineStr">
        <is>
          <t xml:space="preserve">WhiteOak Capital Liquid Fund- Regular plan-Fortnightly Payout/ Reinvestment of Income Distribution cum capital withdrawal option (IDCW)</t>
        </is>
      </c>
      <c r="C14003" t="inlineStr">
        <is>
          <t xml:space="preserve">INF03VN01100</t>
        </is>
      </c>
    </row>
    <row r="14004">
      <c r="A14004" t="inlineStr">
        <is>
          <t xml:space="preserve">WhiteOak Capital Mutual Fund</t>
        </is>
      </c>
      <c r="B14004" t="inlineStr">
        <is>
          <t xml:space="preserve">WhiteOak Capital Liquid Fund- Regular plan-Growth Option</t>
        </is>
      </c>
      <c r="C14004" t="inlineStr">
        <is>
          <t xml:space="preserve">INF03VN01126</t>
        </is>
      </c>
    </row>
    <row r="14005">
      <c r="A14005" t="inlineStr">
        <is>
          <t xml:space="preserve">WhiteOak Capital Mutual Fund</t>
        </is>
      </c>
      <c r="B14005" t="inlineStr">
        <is>
          <t xml:space="preserve">WhiteOak Capital Liquid Fund- Regular plan-Monthly Payout/ Reinvestment of Income Distribution cum capital withdrawal option (IDCW)</t>
        </is>
      </c>
      <c r="C14005" t="inlineStr">
        <is>
          <t xml:space="preserve">INF03VN01134</t>
        </is>
      </c>
    </row>
    <row r="14006">
      <c r="A14006" t="inlineStr">
        <is>
          <t xml:space="preserve">WhiteOak Capital Mutual Fund</t>
        </is>
      </c>
      <c r="B14006" t="inlineStr">
        <is>
          <t xml:space="preserve">WhiteOak Capital Liquid Fund- Regular plan-Weekly Payout/ Reinvestment of Income Distribution cum capital withdrawal option (IDCW)</t>
        </is>
      </c>
      <c r="C14006" t="inlineStr">
        <is>
          <t xml:space="preserve">INF03VN01159</t>
        </is>
      </c>
    </row>
    <row r="14007">
      <c r="A14007" t="inlineStr">
        <is>
          <t xml:space="preserve">WhiteOak Capital Mutual Fund</t>
        </is>
      </c>
      <c r="B14007" t="inlineStr">
        <is>
          <t xml:space="preserve">WhiteOak Capital Mid Cap Fund Direct Plan Growth</t>
        </is>
      </c>
      <c r="C14007" t="inlineStr">
        <is>
          <t xml:space="preserve">INF03VN01597</t>
        </is>
      </c>
    </row>
    <row r="14008">
      <c r="A14008" t="inlineStr">
        <is>
          <t xml:space="preserve">WhiteOak Capital Mutual Fund</t>
        </is>
      </c>
      <c r="B14008" t="inlineStr">
        <is>
          <t xml:space="preserve">WhiteOak Capital Mid Cap Fund Direct Plan IDCW</t>
        </is>
      </c>
      <c r="C14008" t="inlineStr">
        <is>
          <t xml:space="preserve">INF03VN01605</t>
        </is>
      </c>
    </row>
    <row r="14009">
      <c r="A14009" t="inlineStr">
        <is>
          <t xml:space="preserve">WhiteOak Capital Mutual Fund</t>
        </is>
      </c>
      <c r="B14009" t="inlineStr">
        <is>
          <t xml:space="preserve">WhiteOak Capital Mid Cap Fund Regular Plan Growth</t>
        </is>
      </c>
      <c r="C14009" t="inlineStr">
        <is>
          <t xml:space="preserve">INF03VN01563</t>
        </is>
      </c>
    </row>
    <row r="14010">
      <c r="A14010" t="inlineStr">
        <is>
          <t xml:space="preserve">WhiteOak Capital Mutual Fund</t>
        </is>
      </c>
      <c r="B14010" t="inlineStr">
        <is>
          <t xml:space="preserve">WhiteOak Capital Mid Cap Fund Regular Plan IDCW</t>
        </is>
      </c>
      <c r="C14010" t="inlineStr">
        <is>
          <t xml:space="preserve">INF03VN01571</t>
        </is>
      </c>
    </row>
    <row r="14011">
      <c r="A14011" t="inlineStr">
        <is>
          <t xml:space="preserve">WhiteOak Capital Mutual Fund</t>
        </is>
      </c>
      <c r="B14011" t="inlineStr">
        <is>
          <t xml:space="preserve">WhiteOak Capital Multi Asset Allocation Fund Direct Plan Growth</t>
        </is>
      </c>
      <c r="C14011" t="inlineStr">
        <is>
          <t xml:space="preserve">INF03VN01761</t>
        </is>
      </c>
    </row>
    <row r="14012">
      <c r="A14012" t="inlineStr">
        <is>
          <t xml:space="preserve">WhiteOak Capital Mutual Fund</t>
        </is>
      </c>
      <c r="B14012" t="inlineStr">
        <is>
          <t xml:space="preserve">WhiteOak Capital Multi Asset Allocation Fund Regular Plan Growth</t>
        </is>
      </c>
      <c r="C14012" t="inlineStr">
        <is>
          <t xml:space="preserve">INF03VN01779</t>
        </is>
      </c>
    </row>
    <row r="14013">
      <c r="A14013" t="inlineStr">
        <is>
          <t xml:space="preserve">WhiteOak Capital Mutual Fund</t>
        </is>
      </c>
      <c r="B14013" t="inlineStr">
        <is>
          <t xml:space="preserve">WhiteOak Capital Multi Cap Fund Direct Plan Growth</t>
        </is>
      </c>
      <c r="C14013" t="inlineStr">
        <is>
          <t xml:space="preserve">INF03VN01803</t>
        </is>
      </c>
    </row>
    <row r="14014">
      <c r="A14014" t="inlineStr">
        <is>
          <t xml:space="preserve">WhiteOak Capital Mutual Fund</t>
        </is>
      </c>
      <c r="B14014" t="inlineStr">
        <is>
          <t xml:space="preserve">WhiteOak Capital Multi Cap Fund Regular Plan Growth</t>
        </is>
      </c>
      <c r="C14014" t="inlineStr">
        <is>
          <t xml:space="preserve">INF03VN01795</t>
        </is>
      </c>
    </row>
    <row r="14015">
      <c r="A14015" t="inlineStr">
        <is>
          <t xml:space="preserve">WhiteOak Capital Mutual Fund</t>
        </is>
      </c>
      <c r="B14015" t="inlineStr">
        <is>
          <t xml:space="preserve">WhiteOak Capital Pharma and Heathcare Fund Direct Plan Growth</t>
        </is>
      </c>
      <c r="C14015" t="inlineStr">
        <is>
          <t xml:space="preserve">INF03VN01886</t>
        </is>
      </c>
    </row>
    <row r="14016">
      <c r="A14016" t="inlineStr">
        <is>
          <t xml:space="preserve">WhiteOak Capital Mutual Fund</t>
        </is>
      </c>
      <c r="B14016" t="inlineStr">
        <is>
          <t xml:space="preserve">WhiteOak Capital Pharma and Heathcare Fund Regular Plan Growth</t>
        </is>
      </c>
      <c r="C14016" t="inlineStr">
        <is>
          <t xml:space="preserve">INF03VN01878</t>
        </is>
      </c>
    </row>
    <row r="14017">
      <c r="A14017" t="inlineStr">
        <is>
          <t xml:space="preserve">WhiteOak Capital Mutual Fund</t>
        </is>
      </c>
      <c r="B14017" t="inlineStr">
        <is>
          <t xml:space="preserve">WhiteOak Capital Quality Equity Fund Direct Plan Growth</t>
        </is>
      </c>
      <c r="C14017" t="inlineStr">
        <is>
          <t xml:space="preserve">INF03VN01977</t>
        </is>
      </c>
    </row>
    <row r="14018">
      <c r="A14018" t="inlineStr">
        <is>
          <t xml:space="preserve">WhiteOak Capital Mutual Fund</t>
        </is>
      </c>
      <c r="B14018" t="inlineStr">
        <is>
          <t xml:space="preserve">WhiteOak Capital Quality Equity Fund Regular Plan Growth</t>
        </is>
      </c>
      <c r="C14018" t="inlineStr">
        <is>
          <t xml:space="preserve">INF03VN01985</t>
        </is>
      </c>
    </row>
    <row r="14019">
      <c r="A14019" t="inlineStr">
        <is>
          <t xml:space="preserve">WhiteOak Capital Mutual Fund</t>
        </is>
      </c>
      <c r="B14019" t="inlineStr">
        <is>
          <t xml:space="preserve">WhiteOak Capital Special Opportunities Fund - Direct Growth</t>
        </is>
      </c>
      <c r="C14019" t="inlineStr">
        <is>
          <t xml:space="preserve">INF03VN01902</t>
        </is>
      </c>
    </row>
    <row r="14020">
      <c r="A14020" t="inlineStr">
        <is>
          <t xml:space="preserve">WhiteOak Capital Mutual Fund</t>
        </is>
      </c>
      <c r="B14020" t="inlineStr">
        <is>
          <t xml:space="preserve">WhiteOak Capital Special Opportunities Fund - Regular Growth</t>
        </is>
      </c>
      <c r="C14020" t="inlineStr">
        <is>
          <t xml:space="preserve">INF03VN01894</t>
        </is>
      </c>
    </row>
    <row r="14021">
      <c r="A14021" t="inlineStr">
        <is>
          <t xml:space="preserve">WhiteOak Capital Mutual Fund</t>
        </is>
      </c>
      <c r="B14021" t="inlineStr">
        <is>
          <t xml:space="preserve">WhiteOak Capital Ultra Short Duration Fund- Direct plan-Daily Reinvestment of Income Distribution cum capital withdrawal option (IDCW)</t>
        </is>
      </c>
      <c r="C14021" t="inlineStr">
        <is>
          <t xml:space="preserve">INF03VN01175</t>
        </is>
      </c>
    </row>
    <row r="14022">
      <c r="A14022" t="inlineStr">
        <is>
          <t xml:space="preserve">WhiteOak Capital Mutual Fund</t>
        </is>
      </c>
      <c r="B14022" t="inlineStr">
        <is>
          <t xml:space="preserve">WhiteOak Capital Ultra Short Duration Fund- Direct plan-Fortnightly Payout/ Reinvestment of Income Distribution cum capital withdrawal option (IDCW)</t>
        </is>
      </c>
      <c r="C14022" t="inlineStr">
        <is>
          <t xml:space="preserve">INF03VN01183</t>
        </is>
      </c>
    </row>
    <row r="14023">
      <c r="A14023" t="inlineStr">
        <is>
          <t xml:space="preserve">WhiteOak Capital Mutual Fund</t>
        </is>
      </c>
      <c r="B14023" t="inlineStr">
        <is>
          <t xml:space="preserve">WhiteOak Capital Ultra Short Duration Fund- Direct plan-Growth Option</t>
        </is>
      </c>
      <c r="C14023" t="inlineStr">
        <is>
          <t xml:space="preserve">INF03VN01209</t>
        </is>
      </c>
    </row>
    <row r="14024">
      <c r="A14024" t="inlineStr">
        <is>
          <t xml:space="preserve">WhiteOak Capital Mutual Fund</t>
        </is>
      </c>
      <c r="B14024" t="inlineStr">
        <is>
          <t xml:space="preserve">WhiteOak Capital Ultra Short Duration Fund- Direct plan-Monthly Payout/ Reinvestment of Income Distribution cum capital withdrawal option (IDCW)</t>
        </is>
      </c>
      <c r="C14024" t="inlineStr">
        <is>
          <t xml:space="preserve">INF03VN01217</t>
        </is>
      </c>
    </row>
    <row r="14025">
      <c r="A14025" t="inlineStr">
        <is>
          <t xml:space="preserve">WhiteOak Capital Mutual Fund</t>
        </is>
      </c>
      <c r="B14025" t="inlineStr">
        <is>
          <t xml:space="preserve">WhiteOak Capital Ultra Short Duration Fund- Direct plan-Weekly Payout/ Reinvestment of Income Distribution cum capital withdrawal option (IDCW)</t>
        </is>
      </c>
      <c r="C14025" t="inlineStr">
        <is>
          <t xml:space="preserve">INF03VN01233</t>
        </is>
      </c>
    </row>
    <row r="14026">
      <c r="A14026" t="inlineStr">
        <is>
          <t xml:space="preserve">WhiteOak Capital Mutual Fund</t>
        </is>
      </c>
      <c r="B14026" t="inlineStr">
        <is>
          <t xml:space="preserve">WhiteOak Capital Ultra Short Duration Fund- Regular plan-Daily Reinvestment of Income Distribution cum capital withdrawal option (IDCW)</t>
        </is>
      </c>
      <c r="C14026" t="inlineStr">
        <is>
          <t xml:space="preserve">INF03VN01258</t>
        </is>
      </c>
    </row>
    <row r="14027">
      <c r="A14027" t="inlineStr">
        <is>
          <t xml:space="preserve">WhiteOak Capital Mutual Fund</t>
        </is>
      </c>
      <c r="B14027" t="inlineStr">
        <is>
          <t xml:space="preserve">WhiteOak Capital Ultra Short Duration Fund- Regular plan-Fortnightly Payout/ Reinvestment of Income Distribution cum capital withdrawal option (IDCW)</t>
        </is>
      </c>
      <c r="C14027" t="inlineStr">
        <is>
          <t xml:space="preserve">INF03VN01266</t>
        </is>
      </c>
    </row>
    <row r="14028">
      <c r="A14028" t="inlineStr">
        <is>
          <t xml:space="preserve">WhiteOak Capital Mutual Fund</t>
        </is>
      </c>
      <c r="B14028" t="inlineStr">
        <is>
          <t xml:space="preserve">WhiteOak Capital Ultra Short Duration Fund- Regular plan-Growth Option</t>
        </is>
      </c>
      <c r="C14028" t="inlineStr">
        <is>
          <t xml:space="preserve">INF03VN01282</t>
        </is>
      </c>
    </row>
    <row r="14029">
      <c r="A14029" t="inlineStr">
        <is>
          <t xml:space="preserve">WhiteOak Capital Mutual Fund</t>
        </is>
      </c>
      <c r="B14029" t="inlineStr">
        <is>
          <t xml:space="preserve">WhiteOak Capital Ultra Short Duration Fund- Regular plan-Monthly Payout/ Reinvestment of Income Distribution cum capital withdrawal option (IDCW)</t>
        </is>
      </c>
      <c r="C14029" t="inlineStr">
        <is>
          <t xml:space="preserve">INF03VN01290</t>
        </is>
      </c>
    </row>
    <row r="14030">
      <c r="A14030" t="inlineStr">
        <is>
          <t xml:space="preserve">WhiteOak Capital Mutual Fund</t>
        </is>
      </c>
      <c r="B14030" t="inlineStr">
        <is>
          <t xml:space="preserve">WhiteOak Capital Ultra Short Duration Fund- Regular plan-Weekly Payout/ Reinvestment of Income Distribution cum capital withdrawal option (IDCW)</t>
        </is>
      </c>
      <c r="C14030" t="inlineStr">
        <is>
          <t xml:space="preserve">INF03VN01316</t>
        </is>
      </c>
    </row>
    <row r="14031">
      <c r="A14031" t="inlineStr">
        <is>
          <t xml:space="preserve">Zerodha Mutual Fund</t>
        </is>
      </c>
      <c r="B14031" t="inlineStr">
        <is>
          <t xml:space="preserve">Zerodha BSE SENSEX Index Fund</t>
        </is>
      </c>
      <c r="C14031" t="inlineStr">
        <is>
          <t xml:space="preserve">INF0R8F01174</t>
        </is>
      </c>
    </row>
    <row r="14032">
      <c r="A14032" t="inlineStr">
        <is>
          <t xml:space="preserve">Zerodha Mutual Fund</t>
        </is>
      </c>
      <c r="B14032" t="inlineStr">
        <is>
          <t xml:space="preserve">Zerodha ELSS Tax Saver Nifty LargeMidcap 250 Index Fund - Direct Plan - Growth option</t>
        </is>
      </c>
      <c r="C14032" t="inlineStr">
        <is>
          <t xml:space="preserve">INF0R8F01026</t>
        </is>
      </c>
    </row>
    <row r="14033">
      <c r="A14033" t="inlineStr">
        <is>
          <t xml:space="preserve">Zerodha Mutual Fund</t>
        </is>
      </c>
      <c r="B14033" t="inlineStr">
        <is>
          <t xml:space="preserve">Zerodha Gold ETF</t>
        </is>
      </c>
      <c r="C14033" t="inlineStr">
        <is>
          <t xml:space="preserve">INF0R8F01042</t>
        </is>
      </c>
    </row>
    <row r="14034">
      <c r="A14034" t="inlineStr">
        <is>
          <t xml:space="preserve">Zerodha Mutual Fund</t>
        </is>
      </c>
      <c r="B14034" t="inlineStr">
        <is>
          <t xml:space="preserve">Zerodha Gold ETF FoF-Direct Plan - Growth Option</t>
        </is>
      </c>
      <c r="C14034" t="inlineStr">
        <is>
          <t xml:space="preserve">INF0R8F01083</t>
        </is>
      </c>
    </row>
    <row r="14035">
      <c r="A14035" t="inlineStr">
        <is>
          <t xml:space="preserve">Zerodha Mutual Fund</t>
        </is>
      </c>
      <c r="B14035" t="inlineStr">
        <is>
          <t xml:space="preserve">Zerodha Multi Asset Passive FoF - Direct - Growth</t>
        </is>
      </c>
      <c r="C14035" t="inlineStr">
        <is>
          <t xml:space="preserve">INF0R8F01117</t>
        </is>
      </c>
    </row>
    <row r="14036">
      <c r="A14036" t="inlineStr">
        <is>
          <t xml:space="preserve">Zerodha Mutual Fund</t>
        </is>
      </c>
      <c r="B14036" t="inlineStr">
        <is>
          <t xml:space="preserve">Zerodha Nifty 100 ETF</t>
        </is>
      </c>
      <c r="C14036" t="inlineStr">
        <is>
          <t xml:space="preserve">INF0R8F01067</t>
        </is>
      </c>
    </row>
    <row r="14037">
      <c r="A14037" t="inlineStr">
        <is>
          <t xml:space="preserve">Zerodha Mutual Fund</t>
        </is>
      </c>
      <c r="B14037" t="inlineStr">
        <is>
          <t xml:space="preserve">Zerodha Nifty 1D Rate Liquid ETF - Growth Option</t>
        </is>
      </c>
      <c r="C14037" t="inlineStr">
        <is>
          <t xml:space="preserve">INF0R8F01034</t>
        </is>
      </c>
    </row>
    <row r="14038">
      <c r="A14038" t="inlineStr">
        <is>
          <t xml:space="preserve">Zerodha Mutual Fund</t>
        </is>
      </c>
      <c r="B14038" t="inlineStr">
        <is>
          <t xml:space="preserve">Zerodha Nifty 50 ETF</t>
        </is>
      </c>
      <c r="C14038" t="inlineStr">
        <is>
          <t xml:space="preserve">INF0R8F01166</t>
        </is>
      </c>
    </row>
    <row r="14039">
      <c r="A14039" t="inlineStr">
        <is>
          <t xml:space="preserve">Zerodha Mutual Fund</t>
        </is>
      </c>
      <c r="B14039" t="inlineStr">
        <is>
          <t xml:space="preserve">Zerodha Nifty 50 Index Fund - Direct Plan - Growth</t>
        </is>
      </c>
      <c r="C14039" t="inlineStr">
        <is>
          <t xml:space="preserve">INF0R8F01158</t>
        </is>
      </c>
    </row>
    <row r="14040">
      <c r="A14040" t="inlineStr">
        <is>
          <t xml:space="preserve">Zerodha Mutual Fund</t>
        </is>
      </c>
      <c r="B14040" t="inlineStr">
        <is>
          <t xml:space="preserve">Zerodha Nifty 8-13 Yr G-Sec ETF</t>
        </is>
      </c>
      <c r="C14040" t="inlineStr">
        <is>
          <t xml:space="preserve">INF0R8F01133</t>
        </is>
      </c>
    </row>
    <row r="14041">
      <c r="A14041" t="inlineStr">
        <is>
          <t xml:space="preserve">Zerodha Mutual Fund</t>
        </is>
      </c>
      <c r="B14041" t="inlineStr">
        <is>
          <t xml:space="preserve">Zerodha Nifty LargeMidcap 250 Index Fund - Direct Plan - Growth option</t>
        </is>
      </c>
      <c r="C14041" t="inlineStr">
        <is>
          <t xml:space="preserve">INF0R8F01018</t>
        </is>
      </c>
    </row>
    <row r="14042">
      <c r="A14042" t="inlineStr">
        <is>
          <t xml:space="preserve">Zerodha Mutual Fund</t>
        </is>
      </c>
      <c r="B14042" t="inlineStr">
        <is>
          <t xml:space="preserve">Zerodha Nifty LargeMidcap250 Plus 8-13 Yr G-Sec 70:30 Index Fund - Direct Plan - Growth Option</t>
        </is>
      </c>
      <c r="C14042" t="inlineStr">
        <is>
          <t xml:space="preserve">INF0R8F01208</t>
        </is>
      </c>
    </row>
    <row r="14043">
      <c r="A14043" t="inlineStr">
        <is>
          <t xml:space="preserve">Zerodha Mutual Fund</t>
        </is>
      </c>
      <c r="B14043" t="inlineStr">
        <is>
          <t xml:space="preserve">Zerodha Nifty Midcap 150 ETF</t>
        </is>
      </c>
      <c r="C14043" t="inlineStr">
        <is>
          <t xml:space="preserve">INF0R8F01059</t>
        </is>
      </c>
    </row>
    <row r="14044">
      <c r="A14044" t="inlineStr">
        <is>
          <t xml:space="preserve">Zerodha Mutual Fund</t>
        </is>
      </c>
      <c r="B14044" t="inlineStr">
        <is>
          <t xml:space="preserve">Zerodha Nifty MidSmallcap400 50:50 Index Fund - Direct Plan - Growth Option</t>
        </is>
      </c>
      <c r="C14044" t="inlineStr">
        <is>
          <t xml:space="preserve">INF0R8F01190</t>
        </is>
      </c>
    </row>
    <row r="14045">
      <c r="A14045" t="inlineStr">
        <is>
          <t xml:space="preserve">Zerodha Mutual Fund</t>
        </is>
      </c>
      <c r="B14045" t="inlineStr">
        <is>
          <t xml:space="preserve">Zerodha Nifty Short Duration G-Sec Index Fund - Direct Plan - Growth Option</t>
        </is>
      </c>
      <c r="C14045" t="inlineStr">
        <is>
          <t xml:space="preserve">INF0R8F01182</t>
        </is>
      </c>
    </row>
    <row r="14046">
      <c r="A14046" t="inlineStr">
        <is>
          <t xml:space="preserve">Zerodha Mutual Fund</t>
        </is>
      </c>
      <c r="B14046" t="inlineStr">
        <is>
          <t xml:space="preserve">Zerodha Nifty Smallcap 100 ETF</t>
        </is>
      </c>
      <c r="C14046" t="inlineStr">
        <is>
          <t xml:space="preserve">INF0R8F01141</t>
        </is>
      </c>
    </row>
    <row r="14047">
      <c r="A14047" t="inlineStr">
        <is>
          <t xml:space="preserve">Zerodha Mutual Fund</t>
        </is>
      </c>
      <c r="B14047" t="inlineStr">
        <is>
          <t xml:space="preserve">Zerodha Overnight Fund - Direct Plan - Growth Option</t>
        </is>
      </c>
      <c r="C14047" t="inlineStr">
        <is>
          <t xml:space="preserve">INF0R8F01075</t>
        </is>
      </c>
    </row>
    <row r="14048">
      <c r="A14048" t="inlineStr">
        <is>
          <t xml:space="preserve">Zerodha Mutual Fund</t>
        </is>
      </c>
      <c r="B14048" t="inlineStr">
        <is>
          <t xml:space="preserve">Zerodha Silver ETF</t>
        </is>
      </c>
      <c r="C14048" t="inlineStr">
        <is>
          <t xml:space="preserve">INF0R8F01091</t>
        </is>
      </c>
    </row>
    <row r="14049">
      <c r="A14049" t="inlineStr">
        <is>
          <t xml:space="preserve">Zerodha Mutual Fund</t>
        </is>
      </c>
      <c r="B14049" t="inlineStr">
        <is>
          <t xml:space="preserve">Zerodha Silver ETF FoF - Direct Growth</t>
        </is>
      </c>
      <c r="C14049" t="inlineStr">
        <is>
          <t xml:space="preserve">INF0R8F01109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564"/>
  <sheetViews>
    <sheetView tabSelected="false" workbookViewId="0">
      <selection pane="topLeft" activeCell="A1" activeCellId="0" sqref="A1"/>
    </sheetView>
  </sheetViews>
  <sheetFormatPr defaultColWidth="8.6796875" defaultRowHeight="15"/>
  <cols>
    <col collapsed="false" customWidth="true" hidden="false" outlineLevel="0" max="1" min="1" style="1" width="16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5" min="4" style="1" width="12"/>
  </cols>
  <sheetData>
    <row r="1" ht="18" customHeight="true">
      <c r="A1" s="2" t="inlineStr">
        <is>
          <t xml:space="preserve">STOCK MASTER (BSE/NSE bhavcopy)</t>
        </is>
      </c>
    </row>
    <row r="2" ht="15" customHeight="true">
      <c r="A2" s="22" t="inlineStr">
        <is>
          <t xml:space="preserve">Feeds the Scrip dropdown on the Equity sheet. Auto-refreshed by UpdatePrices.bat: newly listed stocks are added, existing names are kept stable. Do not edit by hand.</t>
        </is>
      </c>
      <c r="D2" s="3" t="inlineStr">
        <is>
          <t xml:space="preserve">Refreshed:</t>
        </is>
      </c>
      <c r="E2" s="15" t="inlineStr">
        <is>
          <t xml:space="preserve">14-07-2026</t>
        </is>
      </c>
    </row>
    <row r="3" ht="15" customHeight="true">
      <c r="A3" s="6" t="inlineStr">
        <is>
          <t xml:space="preserve">Symbol</t>
        </is>
      </c>
      <c r="B3" s="6" t="inlineStr">
        <is>
          <t xml:space="preserve">Stock Name</t>
        </is>
      </c>
      <c r="C3" s="6" t="inlineStr">
        <is>
          <t xml:space="preserve">ISIN</t>
        </is>
      </c>
    </row>
    <row r="4">
      <c r="A4" t="inlineStr">
        <is>
          <t xml:space="preserve">20MICRONS</t>
        </is>
      </c>
      <c r="B4" t="inlineStr">
        <is>
          <t xml:space="preserve">20 MICRONS LTD.</t>
        </is>
      </c>
      <c r="C4" t="inlineStr">
        <is>
          <t xml:space="preserve">INE144J01027</t>
        </is>
      </c>
    </row>
    <row r="5">
      <c r="A5" t="inlineStr">
        <is>
          <t xml:space="preserve">360ONE</t>
        </is>
      </c>
      <c r="B5" t="inlineStr">
        <is>
          <t xml:space="preserve">360 ONE WAM LIMITED</t>
        </is>
      </c>
      <c r="C5" t="inlineStr">
        <is>
          <t xml:space="preserve">INE466L01038</t>
        </is>
      </c>
    </row>
    <row r="6">
      <c r="A6" t="inlineStr">
        <is>
          <t xml:space="preserve">926ONE29</t>
        </is>
      </c>
      <c r="B6" t="inlineStr">
        <is>
          <t xml:space="preserve">360OPL-9.26%-18-1-29-NCD</t>
        </is>
      </c>
      <c r="C6" t="inlineStr">
        <is>
          <t xml:space="preserve">INE248U07ES6</t>
        </is>
      </c>
    </row>
    <row r="7">
      <c r="A7" t="inlineStr">
        <is>
          <t xml:space="preserve">961ONE27</t>
        </is>
      </c>
      <c r="B7" t="inlineStr">
        <is>
          <t xml:space="preserve">360OPL-9.61%-18-1-27-NCD</t>
        </is>
      </c>
      <c r="C7" t="inlineStr">
        <is>
          <t xml:space="preserve">INE248U07EW8</t>
        </is>
      </c>
    </row>
    <row r="8">
      <c r="A8" t="inlineStr">
        <is>
          <t xml:space="preserve">3BBLACKBIO</t>
        </is>
      </c>
      <c r="B8" t="inlineStr">
        <is>
          <t xml:space="preserve">3B BlackBio Dx Limited</t>
        </is>
      </c>
      <c r="C8" t="inlineStr">
        <is>
          <t xml:space="preserve">INE994E01018</t>
        </is>
      </c>
    </row>
    <row r="9">
      <c r="A9" t="inlineStr">
        <is>
          <t xml:space="preserve">3BFILMS</t>
        </is>
      </c>
      <c r="B9" t="inlineStr">
        <is>
          <t xml:space="preserve">3B FILMS LIMITED</t>
        </is>
      </c>
      <c r="C9" t="inlineStr">
        <is>
          <t xml:space="preserve">INE0TE101010</t>
        </is>
      </c>
    </row>
    <row r="10">
      <c r="A10" t="inlineStr">
        <is>
          <t xml:space="preserve">3IINFOLTD</t>
        </is>
      </c>
      <c r="B10" t="inlineStr">
        <is>
          <t xml:space="preserve">3I INFOTECH LTD.</t>
        </is>
      </c>
      <c r="C10" t="inlineStr">
        <is>
          <t xml:space="preserve">INE748C01038</t>
        </is>
      </c>
    </row>
    <row r="11">
      <c r="A11" t="inlineStr">
        <is>
          <t xml:space="preserve">3MINDIA</t>
        </is>
      </c>
      <c r="B11" t="inlineStr">
        <is>
          <t xml:space="preserve">3M INDIA LTD.</t>
        </is>
      </c>
      <c r="C11" t="inlineStr">
        <is>
          <t xml:space="preserve">INE470A01017</t>
        </is>
      </c>
    </row>
    <row r="12">
      <c r="A12" t="inlineStr">
        <is>
          <t xml:space="preserve">3PLAND</t>
        </is>
      </c>
      <c r="B12" t="inlineStr">
        <is>
          <t xml:space="preserve">3P LAND HOLDINGS LTD.</t>
        </is>
      </c>
      <c r="C12" t="inlineStr">
        <is>
          <t xml:space="preserve">INE105C01023</t>
        </is>
      </c>
    </row>
    <row r="13">
      <c r="A13" t="inlineStr">
        <is>
          <t xml:space="preserve">5PAISA</t>
        </is>
      </c>
      <c r="B13" t="inlineStr">
        <is>
          <t xml:space="preserve">5paisa Capital Limited</t>
        </is>
      </c>
      <c r="C13" t="inlineStr">
        <is>
          <t xml:space="preserve">INE618L01018</t>
        </is>
      </c>
    </row>
    <row r="14">
      <c r="A14" t="inlineStr">
        <is>
          <t xml:space="preserve">63MOONS</t>
        </is>
      </c>
      <c r="B14" t="inlineStr">
        <is>
          <t xml:space="preserve">63 Moons Technologies Limited</t>
        </is>
      </c>
      <c r="C14" t="inlineStr">
        <is>
          <t xml:space="preserve">INE111B01023</t>
        </is>
      </c>
    </row>
    <row r="15">
      <c r="A15" t="inlineStr">
        <is>
          <t xml:space="preserve">7NR</t>
        </is>
      </c>
      <c r="B15" t="inlineStr">
        <is>
          <t xml:space="preserve">7NR Retail Limited</t>
        </is>
      </c>
      <c r="C15" t="inlineStr">
        <is>
          <t xml:space="preserve">INE413X01035</t>
        </is>
      </c>
    </row>
    <row r="16">
      <c r="A16" t="inlineStr">
        <is>
          <t xml:space="preserve">7SEASL</t>
        </is>
      </c>
      <c r="B16" t="inlineStr">
        <is>
          <t xml:space="preserve">7SEAS ENTERTAINMENT LIMITED</t>
        </is>
      </c>
      <c r="C16" t="inlineStr">
        <is>
          <t xml:space="preserve">INE454F01010</t>
        </is>
      </c>
    </row>
    <row r="17">
      <c r="A17" t="inlineStr">
        <is>
          <t xml:space="preserve">810IRFC27</t>
        </is>
      </c>
      <c r="B17" t="inlineStr">
        <is>
          <t xml:space="preserve">810IRFC2327</t>
        </is>
      </c>
      <c r="C17" t="inlineStr">
        <is>
          <t xml:space="preserve">INE053F07538</t>
        </is>
      </c>
    </row>
    <row r="18">
      <c r="A18" t="inlineStr">
        <is>
          <t xml:space="preserve">830PFCL27</t>
        </is>
      </c>
      <c r="B18" t="inlineStr">
        <is>
          <t xml:space="preserve">830PFC2027</t>
        </is>
      </c>
      <c r="C18" t="inlineStr">
        <is>
          <t xml:space="preserve">INE134E07208</t>
        </is>
      </c>
    </row>
    <row r="19">
      <c r="A19" t="inlineStr">
        <is>
          <t xml:space="preserve">863IIFCL28</t>
        </is>
      </c>
      <c r="B19" t="inlineStr">
        <is>
          <t xml:space="preserve">863IIFCL28</t>
        </is>
      </c>
      <c r="C19" t="inlineStr">
        <is>
          <t xml:space="preserve">INE787H07297</t>
        </is>
      </c>
    </row>
    <row r="20">
      <c r="A20" t="inlineStr">
        <is>
          <t xml:space="preserve">871REC28</t>
        </is>
      </c>
      <c r="B20" t="inlineStr">
        <is>
          <t xml:space="preserve">871REC28</t>
        </is>
      </c>
      <c r="C20" t="inlineStr">
        <is>
          <t xml:space="preserve">INE020B07HS2</t>
        </is>
      </c>
    </row>
    <row r="21">
      <c r="A21" t="inlineStr">
        <is>
          <t xml:space="preserve">873IIFC29D</t>
        </is>
      </c>
      <c r="B21" t="inlineStr">
        <is>
          <t xml:space="preserve">873IIFCL29C</t>
        </is>
      </c>
      <c r="C21" t="inlineStr">
        <is>
          <t xml:space="preserve">INE787H07362</t>
        </is>
      </c>
    </row>
    <row r="22">
      <c r="A22" t="inlineStr">
        <is>
          <t xml:space="preserve">875IIFCL33</t>
        </is>
      </c>
      <c r="B22" t="inlineStr">
        <is>
          <t xml:space="preserve">875IIFCL33</t>
        </is>
      </c>
      <c r="C22" t="inlineStr">
        <is>
          <t xml:space="preserve">INE787H07313</t>
        </is>
      </c>
    </row>
    <row r="23">
      <c r="A23" t="inlineStr">
        <is>
          <t xml:space="preserve">879PFCL28</t>
        </is>
      </c>
      <c r="B23" t="inlineStr">
        <is>
          <t xml:space="preserve">879PFC28</t>
        </is>
      </c>
      <c r="C23" t="inlineStr">
        <is>
          <t xml:space="preserve">INE134E07448</t>
        </is>
      </c>
    </row>
    <row r="24">
      <c r="A24" t="inlineStr">
        <is>
          <t xml:space="preserve">891IIFCL34</t>
        </is>
      </c>
      <c r="B24" t="inlineStr">
        <is>
          <t xml:space="preserve">891IIFCL34</t>
        </is>
      </c>
      <c r="C24" t="inlineStr">
        <is>
          <t xml:space="preserve">INE787H07370</t>
        </is>
      </c>
    </row>
    <row r="25">
      <c r="A25" t="inlineStr">
        <is>
          <t xml:space="preserve">901HUDCO34</t>
        </is>
      </c>
      <c r="B25" t="inlineStr">
        <is>
          <t xml:space="preserve">901HUDCO34</t>
        </is>
      </c>
      <c r="C25" t="inlineStr">
        <is>
          <t xml:space="preserve">INE031A07AB2</t>
        </is>
      </c>
    </row>
    <row r="26">
      <c r="A26" t="inlineStr">
        <is>
          <t xml:space="preserve">990IFCI37D</t>
        </is>
      </c>
      <c r="B26" t="inlineStr">
        <is>
          <t xml:space="preserve">990IFCI37D</t>
        </is>
      </c>
      <c r="C26" t="inlineStr">
        <is>
          <t xml:space="preserve">INE039A09PP9</t>
        </is>
      </c>
    </row>
    <row r="27">
      <c r="A27" t="inlineStr">
        <is>
          <t xml:space="preserve">ABCOTS</t>
        </is>
      </c>
      <c r="B27" t="inlineStr">
        <is>
          <t xml:space="preserve">A B Cotspin India Limited</t>
        </is>
      </c>
      <c r="C27" t="inlineStr">
        <is>
          <t xml:space="preserve">INE08PH01015</t>
        </is>
      </c>
    </row>
    <row r="28">
      <c r="A28" t="inlineStr">
        <is>
          <t xml:space="preserve">ABINFRA</t>
        </is>
      </c>
      <c r="B28" t="inlineStr">
        <is>
          <t xml:space="preserve">A B INFRABUILD LIMITED</t>
        </is>
      </c>
      <c r="C28" t="inlineStr">
        <is>
          <t xml:space="preserve">INE00YB01025</t>
        </is>
      </c>
    </row>
    <row r="29">
      <c r="A29" t="inlineStr">
        <is>
          <t xml:space="preserve">A1L</t>
        </is>
      </c>
      <c r="B29" t="inlineStr">
        <is>
          <t xml:space="preserve">A-1 LIMITED</t>
        </is>
      </c>
      <c r="C29" t="inlineStr">
        <is>
          <t xml:space="preserve">INE911Z01025</t>
        </is>
      </c>
    </row>
    <row r="30">
      <c r="A30" t="inlineStr">
        <is>
          <t xml:space="preserve">AFEL</t>
        </is>
      </c>
      <c r="B30" t="inlineStr">
        <is>
          <t xml:space="preserve">A.F. ENTERPRISES LTD</t>
        </is>
      </c>
      <c r="C30" t="inlineStr">
        <is>
          <t xml:space="preserve">INE663P01015</t>
        </is>
      </c>
    </row>
    <row r="31">
      <c r="A31" t="inlineStr">
        <is>
          <t xml:space="preserve">AKCAPIT</t>
        </is>
      </c>
      <c r="B31" t="inlineStr">
        <is>
          <t xml:space="preserve">A.K.CAPITAL SERVICES LTD.</t>
        </is>
      </c>
      <c r="C31" t="inlineStr">
        <is>
          <t xml:space="preserve">INE701G01012</t>
        </is>
      </c>
    </row>
    <row r="32">
      <c r="A32" t="inlineStr">
        <is>
          <t xml:space="preserve">A2ZINFRA</t>
        </is>
      </c>
      <c r="B32" t="inlineStr">
        <is>
          <t xml:space="preserve">A2Z INFRA ENGINEERING LIMITED</t>
        </is>
      </c>
      <c r="C32" t="inlineStr">
        <is>
          <t xml:space="preserve">INE619I01012</t>
        </is>
      </c>
    </row>
    <row r="33">
      <c r="A33" t="inlineStr">
        <is>
          <t xml:space="preserve">AAATECH</t>
        </is>
      </c>
      <c r="B33" t="inlineStr">
        <is>
          <t xml:space="preserve">AAA TECHNOLOGIES LIMITED</t>
        </is>
      </c>
      <c r="C33" t="inlineStr">
        <is>
          <t xml:space="preserve">INE0D0U01013</t>
        </is>
      </c>
    </row>
    <row r="34">
      <c r="A34" t="inlineStr">
        <is>
          <t xml:space="preserve">AADHARHFC</t>
        </is>
      </c>
      <c r="B34" t="inlineStr">
        <is>
          <t xml:space="preserve">Aadhar Housing Finance Limited</t>
        </is>
      </c>
      <c r="C34" t="inlineStr">
        <is>
          <t xml:space="preserve">INE883F01010</t>
        </is>
      </c>
    </row>
    <row r="35">
      <c r="A35" t="inlineStr">
        <is>
          <t xml:space="preserve">AADIIND</t>
        </is>
      </c>
      <c r="B35" t="inlineStr">
        <is>
          <t xml:space="preserve">AADI INDUSTRIES LTD.</t>
        </is>
      </c>
      <c r="C35" t="inlineStr">
        <is>
          <t xml:space="preserve">INE563D01013</t>
        </is>
      </c>
    </row>
    <row r="36">
      <c r="A36" t="inlineStr">
        <is>
          <t xml:space="preserve">AANCHALISP</t>
        </is>
      </c>
      <c r="B36" t="inlineStr">
        <is>
          <t xml:space="preserve">Aanchal Ispat Limited</t>
        </is>
      </c>
      <c r="C36" t="inlineStr">
        <is>
          <t xml:space="preserve">INE322R01022</t>
        </is>
      </c>
    </row>
    <row r="37">
      <c r="A37" t="inlineStr">
        <is>
          <t xml:space="preserve">AAREYDRUGS</t>
        </is>
      </c>
      <c r="B37" t="inlineStr">
        <is>
          <t xml:space="preserve">AAREY DRUGS &amp; PHARMACEUTICALS</t>
        </is>
      </c>
      <c r="C37" t="inlineStr">
        <is>
          <t xml:space="preserve">INE198H01019</t>
        </is>
      </c>
    </row>
    <row r="38">
      <c r="A38" t="inlineStr">
        <is>
          <t xml:space="preserve">AARNAV</t>
        </is>
      </c>
      <c r="B38" t="inlineStr">
        <is>
          <t xml:space="preserve">AARNAV FASHIONS LIMITED</t>
        </is>
      </c>
      <c r="C38" t="inlineStr">
        <is>
          <t xml:space="preserve">INE750R01016</t>
        </is>
      </c>
    </row>
    <row r="39">
      <c r="A39" t="inlineStr">
        <is>
          <t xml:space="preserve">AARTECH</t>
        </is>
      </c>
      <c r="B39" t="inlineStr">
        <is>
          <t xml:space="preserve">Aartech Solonics Limited</t>
        </is>
      </c>
      <c r="C39" t="inlineStr">
        <is>
          <t xml:space="preserve">INE01C001026</t>
        </is>
      </c>
    </row>
    <row r="40">
      <c r="A40" t="inlineStr">
        <is>
          <t xml:space="preserve">AARTIDRUGS</t>
        </is>
      </c>
      <c r="B40" t="inlineStr">
        <is>
          <t xml:space="preserve">AARTI DRUGS LTD.</t>
        </is>
      </c>
      <c r="C40" t="inlineStr">
        <is>
          <t xml:space="preserve">INE767A01016</t>
        </is>
      </c>
    </row>
    <row r="41">
      <c r="A41" t="inlineStr">
        <is>
          <t xml:space="preserve">AARTIIND</t>
        </is>
      </c>
      <c r="B41" t="inlineStr">
        <is>
          <t xml:space="preserve">AARTI INDUSTRIES LTD.</t>
        </is>
      </c>
      <c r="C41" t="inlineStr">
        <is>
          <t xml:space="preserve">INE769A01020</t>
        </is>
      </c>
    </row>
    <row r="42">
      <c r="A42" t="inlineStr">
        <is>
          <t xml:space="preserve">AARTIPHARM</t>
        </is>
      </c>
      <c r="B42" t="inlineStr">
        <is>
          <t xml:space="preserve">Aarti Pharmalabs Limited</t>
        </is>
      </c>
      <c r="C42" t="inlineStr">
        <is>
          <t xml:space="preserve">INE0LRU01027</t>
        </is>
      </c>
    </row>
    <row r="43">
      <c r="A43" t="inlineStr">
        <is>
          <t xml:space="preserve">AARTISURF</t>
        </is>
      </c>
      <c r="B43" t="inlineStr">
        <is>
          <t xml:space="preserve">Aarti Surfactants Limited</t>
        </is>
      </c>
      <c r="C43" t="inlineStr">
        <is>
          <t xml:space="preserve">INE09EO01013</t>
        </is>
      </c>
    </row>
    <row r="44">
      <c r="A44" t="inlineStr">
        <is>
          <t xml:space="preserve">AASTAFIN</t>
        </is>
      </c>
      <c r="B44" t="inlineStr">
        <is>
          <t xml:space="preserve">Aastamangalam Finance Limited</t>
        </is>
      </c>
      <c r="C44" t="inlineStr">
        <is>
          <t xml:space="preserve">INE819K01014</t>
        </is>
      </c>
    </row>
    <row r="45">
      <c r="A45" t="inlineStr">
        <is>
          <t xml:space="preserve">AASTHA</t>
        </is>
      </c>
      <c r="B45" t="inlineStr">
        <is>
          <t xml:space="preserve">AASTHA SPINTEX LIMITED</t>
        </is>
      </c>
      <c r="C45" t="inlineStr">
        <is>
          <t xml:space="preserve">INE2FMX01012</t>
        </is>
      </c>
    </row>
    <row r="46">
      <c r="A46" t="inlineStr">
        <is>
          <t xml:space="preserve">AAVAS</t>
        </is>
      </c>
      <c r="B46" t="inlineStr">
        <is>
          <t xml:space="preserve">AAVAS Financiers Limited</t>
        </is>
      </c>
      <c r="C46" t="inlineStr">
        <is>
          <t xml:space="preserve">INE216P01012</t>
        </is>
      </c>
    </row>
    <row r="47">
      <c r="A47" t="inlineStr">
        <is>
          <t xml:space="preserve">AAYUSHBULL</t>
        </is>
      </c>
      <c r="B47" t="inlineStr">
        <is>
          <t xml:space="preserve">AAYUSH ART AND BULLION LIMITED</t>
        </is>
      </c>
      <c r="C47" t="inlineStr">
        <is>
          <t xml:space="preserve">INE777X01017</t>
        </is>
      </c>
    </row>
    <row r="48">
      <c r="A48" t="inlineStr">
        <is>
          <t xml:space="preserve">AAYUSH</t>
        </is>
      </c>
      <c r="B48" t="inlineStr">
        <is>
          <t xml:space="preserve">AAYUSH WELLNESS LIMITED</t>
        </is>
      </c>
      <c r="C48" t="inlineStr">
        <is>
          <t xml:space="preserve">INE430R01023</t>
        </is>
      </c>
    </row>
    <row r="49">
      <c r="A49" t="inlineStr">
        <is>
          <t xml:space="preserve">ABAN</t>
        </is>
      </c>
      <c r="B49" t="inlineStr">
        <is>
          <t xml:space="preserve">ABAN OFFSHORE LTD.</t>
        </is>
      </c>
      <c r="C49" t="inlineStr">
        <is>
          <t xml:space="preserve">INE421A01028</t>
        </is>
      </c>
    </row>
    <row r="50">
      <c r="A50" t="inlineStr">
        <is>
          <t xml:space="preserve">AFSL</t>
        </is>
      </c>
      <c r="B50" t="inlineStr">
        <is>
          <t xml:space="preserve">ABANS FINANCIAL SERVICES LIMIT</t>
        </is>
      </c>
      <c r="C50" t="inlineStr">
        <is>
          <t xml:space="preserve">INE00ZE01026</t>
        </is>
      </c>
    </row>
    <row r="51">
      <c r="A51" t="inlineStr">
        <is>
          <t xml:space="preserve">ABATEAS</t>
        </is>
      </c>
      <c r="B51" t="inlineStr">
        <is>
          <t xml:space="preserve">ABATE AS INDUSTRIES LIMITED</t>
        </is>
      </c>
      <c r="C51" t="inlineStr">
        <is>
          <t xml:space="preserve">INE454E01013</t>
        </is>
      </c>
    </row>
    <row r="52">
      <c r="A52" t="inlineStr">
        <is>
          <t xml:space="preserve">ABB</t>
        </is>
      </c>
      <c r="B52" t="inlineStr">
        <is>
          <t xml:space="preserve">ABB INDIA LIMITED</t>
        </is>
      </c>
      <c r="C52" t="inlineStr">
        <is>
          <t xml:space="preserve">INE117A01022</t>
        </is>
      </c>
    </row>
    <row r="53">
      <c r="A53" t="inlineStr">
        <is>
          <t xml:space="preserve">ABBOTINDIA</t>
        </is>
      </c>
      <c r="B53" t="inlineStr">
        <is>
          <t xml:space="preserve">ABBOTT INDIA LTD.</t>
        </is>
      </c>
      <c r="C53" t="inlineStr">
        <is>
          <t xml:space="preserve">INE358A01014</t>
        </is>
      </c>
    </row>
    <row r="54">
      <c r="A54" t="inlineStr">
        <is>
          <t xml:space="preserve">ABCINDQ</t>
        </is>
      </c>
      <c r="B54" t="inlineStr">
        <is>
          <t xml:space="preserve">ABC INDIA LTD.</t>
        </is>
      </c>
      <c r="C54" t="inlineStr">
        <is>
          <t xml:space="preserve">INE125D01011</t>
        </is>
      </c>
    </row>
    <row r="55">
      <c r="A55" t="inlineStr">
        <is>
          <t xml:space="preserve">ALFL</t>
        </is>
      </c>
      <c r="B55" t="inlineStr">
        <is>
          <t xml:space="preserve">Abhinav Leasing &amp; Finance Limi</t>
        </is>
      </c>
      <c r="C55" t="inlineStr">
        <is>
          <t xml:space="preserve">INE211D01027</t>
        </is>
      </c>
    </row>
    <row r="56">
      <c r="A56" t="inlineStr">
        <is>
          <t xml:space="preserve">ABHIFIN</t>
        </is>
      </c>
      <c r="B56" t="inlineStr">
        <is>
          <t xml:space="preserve">Abhishek Finlease limited</t>
        </is>
      </c>
      <c r="C56" t="inlineStr">
        <is>
          <t xml:space="preserve">INE723C01015</t>
        </is>
      </c>
    </row>
    <row r="57">
      <c r="A57" t="inlineStr">
        <is>
          <t xml:space="preserve">ABHIINFRA</t>
        </is>
      </c>
      <c r="B57" t="inlineStr">
        <is>
          <t xml:space="preserve">Abhishek Infraventures Limited</t>
        </is>
      </c>
      <c r="C57" t="inlineStr">
        <is>
          <t xml:space="preserve">INE281P01016</t>
        </is>
      </c>
    </row>
    <row r="58">
      <c r="A58" t="inlineStr">
        <is>
          <t xml:space="preserve">ABIRAFN</t>
        </is>
      </c>
      <c r="B58" t="inlineStr">
        <is>
          <t xml:space="preserve">ABIRAMI FINANCIAL SERVICES (IN</t>
        </is>
      </c>
      <c r="C58" t="inlineStr">
        <is>
          <t xml:space="preserve">INE195I01013</t>
        </is>
      </c>
    </row>
    <row r="59">
      <c r="A59" t="inlineStr">
        <is>
          <t xml:space="preserve">ABMKNO</t>
        </is>
      </c>
      <c r="B59" t="inlineStr">
        <is>
          <t xml:space="preserve">ABM KNOWLEDGEWARE LTD.</t>
        </is>
      </c>
      <c r="C59" t="inlineStr">
        <is>
          <t xml:space="preserve">INE850B01026</t>
        </is>
      </c>
    </row>
    <row r="60">
      <c r="A60" t="inlineStr">
        <is>
          <t xml:space="preserve">ABRFL</t>
        </is>
      </c>
      <c r="B60" t="inlineStr">
        <is>
          <t xml:space="preserve">Abram Food Limited</t>
        </is>
      </c>
      <c r="C60" t="inlineStr">
        <is>
          <t xml:space="preserve">INE0ZDY01011</t>
        </is>
      </c>
    </row>
    <row r="61">
      <c r="A61" t="inlineStr">
        <is>
          <t xml:space="preserve">ABRIL</t>
        </is>
      </c>
      <c r="B61" t="inlineStr">
        <is>
          <t xml:space="preserve">ABRIL PAPER TECH LIMITED</t>
        </is>
      </c>
      <c r="C61" t="inlineStr">
        <is>
          <t xml:space="preserve">INE15MX01014</t>
        </is>
      </c>
    </row>
    <row r="62">
      <c r="A62" t="inlineStr">
        <is>
          <t xml:space="preserve">12ACAP27A</t>
        </is>
      </c>
      <c r="B62" t="inlineStr">
        <is>
          <t xml:space="preserve">ACAP-12%-7-11-27-PVT</t>
        </is>
      </c>
      <c r="C62" t="inlineStr">
        <is>
          <t xml:space="preserve">INE08XP07498</t>
        </is>
      </c>
    </row>
    <row r="63">
      <c r="A63" t="inlineStr">
        <is>
          <t xml:space="preserve">1280ACAP28</t>
        </is>
      </c>
      <c r="B63" t="inlineStr">
        <is>
          <t xml:space="preserve">ACAP-12.80%-7-5-28-PVT</t>
        </is>
      </c>
      <c r="C63" t="inlineStr">
        <is>
          <t xml:space="preserve">INE08XP07480</t>
        </is>
      </c>
    </row>
    <row r="64">
      <c r="A64" t="inlineStr">
        <is>
          <t xml:space="preserve">12ACAP27</t>
        </is>
      </c>
      <c r="B64" t="inlineStr">
        <is>
          <t xml:space="preserve">ACAPL-12%-11-6-27-PVT</t>
        </is>
      </c>
      <c r="C64" t="inlineStr">
        <is>
          <t xml:space="preserve">INE08XP07431</t>
        </is>
      </c>
    </row>
    <row r="65">
      <c r="A65" t="inlineStr">
        <is>
          <t xml:space="preserve">12ACAPL28A</t>
        </is>
      </c>
      <c r="B65" t="inlineStr">
        <is>
          <t xml:space="preserve">ACAPL-12%-17-11-28-PVT</t>
        </is>
      </c>
      <c r="C65" t="inlineStr">
        <is>
          <t xml:space="preserve">INE08XP07415</t>
        </is>
      </c>
    </row>
    <row r="66">
      <c r="A66" t="inlineStr">
        <is>
          <t xml:space="preserve">12ACAPL27B</t>
        </is>
      </c>
      <c r="B66" t="inlineStr">
        <is>
          <t xml:space="preserve">ACAPL-12%-21-05-27-PVT</t>
        </is>
      </c>
      <c r="C66" t="inlineStr">
        <is>
          <t xml:space="preserve">INE08XP07423</t>
        </is>
      </c>
    </row>
    <row r="67">
      <c r="A67" t="inlineStr">
        <is>
          <t xml:space="preserve">1250ACAPL29</t>
        </is>
      </c>
      <c r="B67" t="inlineStr">
        <is>
          <t xml:space="preserve">ACAPL-12.50%-06-02-29-PVT</t>
        </is>
      </c>
      <c r="C67" t="inlineStr">
        <is>
          <t xml:space="preserve">INE08XP07464</t>
        </is>
      </c>
    </row>
    <row r="68">
      <c r="A68" t="inlineStr">
        <is>
          <t xml:space="preserve">1250ACAP27</t>
        </is>
      </c>
      <c r="B68" t="inlineStr">
        <is>
          <t xml:space="preserve">ACAPL-12.50%-17-01-27-PVT</t>
        </is>
      </c>
      <c r="C68" t="inlineStr">
        <is>
          <t xml:space="preserve">INE08XP07449</t>
        </is>
      </c>
    </row>
    <row r="69">
      <c r="A69" t="inlineStr">
        <is>
          <t xml:space="preserve">13ACAPL28</t>
        </is>
      </c>
      <c r="B69" t="inlineStr">
        <is>
          <t xml:space="preserve">ACAPL-13%-29-10-28-PVT</t>
        </is>
      </c>
      <c r="C69" t="inlineStr">
        <is>
          <t xml:space="preserve">INE08XP07407</t>
        </is>
      </c>
    </row>
    <row r="70">
      <c r="A70" t="inlineStr">
        <is>
          <t xml:space="preserve">1435ACAP26</t>
        </is>
      </c>
      <c r="B70" t="inlineStr">
        <is>
          <t xml:space="preserve">ACAPL-14.35%-28-10-26-PVT</t>
        </is>
      </c>
      <c r="C70" t="inlineStr">
        <is>
          <t xml:space="preserve">INE08XP07381</t>
        </is>
      </c>
    </row>
    <row r="71">
      <c r="A71" t="inlineStr">
        <is>
          <t xml:space="preserve">ACC</t>
        </is>
      </c>
      <c r="B71" t="inlineStr">
        <is>
          <t xml:space="preserve">ACC LTD.</t>
        </is>
      </c>
      <c r="C71" t="inlineStr">
        <is>
          <t xml:space="preserve">INE012A01025</t>
        </is>
      </c>
    </row>
    <row r="72">
      <c r="A72" t="inlineStr">
        <is>
          <t xml:space="preserve">ACCEDERE</t>
        </is>
      </c>
      <c r="B72" t="inlineStr">
        <is>
          <t xml:space="preserve">ACCEDERE LIMITED</t>
        </is>
      </c>
      <c r="C72" t="inlineStr">
        <is>
          <t xml:space="preserve">INE578B01015</t>
        </is>
      </c>
    </row>
    <row r="73">
      <c r="A73" t="inlineStr">
        <is>
          <t xml:space="preserve">ACCEL</t>
        </is>
      </c>
      <c r="B73" t="inlineStr">
        <is>
          <t xml:space="preserve">ACCEL LIMITED</t>
        </is>
      </c>
      <c r="C73" t="inlineStr">
        <is>
          <t xml:space="preserve">INE258C01038</t>
        </is>
      </c>
    </row>
    <row r="74">
      <c r="A74" t="inlineStr">
        <is>
          <t xml:space="preserve">ACCELERATE</t>
        </is>
      </c>
      <c r="B74" t="inlineStr">
        <is>
          <t xml:space="preserve">ACCELERATEBS INDIA LIMITED</t>
        </is>
      </c>
      <c r="C74" t="inlineStr">
        <is>
          <t xml:space="preserve">INE0POP01017</t>
        </is>
      </c>
    </row>
    <row r="75">
      <c r="A75" t="inlineStr">
        <is>
          <t xml:space="preserve">ACCELYA</t>
        </is>
      </c>
      <c r="B75" t="inlineStr">
        <is>
          <t xml:space="preserve">ACCELYA SOLUTIONS INDIA LIMITE</t>
        </is>
      </c>
      <c r="C75" t="inlineStr">
        <is>
          <t xml:space="preserve">INE793A01012</t>
        </is>
      </c>
    </row>
    <row r="76">
      <c r="A76" t="inlineStr">
        <is>
          <t xml:space="preserve">ACCORDTS</t>
        </is>
      </c>
      <c r="B76" t="inlineStr">
        <is>
          <t xml:space="preserve">ACCORD TRANSFORMER &amp; SWITCHGEA</t>
        </is>
      </c>
      <c r="C76" t="inlineStr">
        <is>
          <t xml:space="preserve">INE132201018</t>
        </is>
      </c>
    </row>
    <row r="77">
      <c r="A77" t="inlineStr">
        <is>
          <t xml:space="preserve">ANL</t>
        </is>
      </c>
      <c r="B77" t="inlineStr">
        <is>
          <t xml:space="preserve">Accretion Nutraveda Limited</t>
        </is>
      </c>
      <c r="C77" t="inlineStr">
        <is>
          <t xml:space="preserve">INE1KVQ01019</t>
        </is>
      </c>
    </row>
    <row r="78">
      <c r="A78" t="inlineStr">
        <is>
          <t xml:space="preserve">ACCURACY</t>
        </is>
      </c>
      <c r="B78" t="inlineStr">
        <is>
          <t xml:space="preserve">Accuracy Shipping Limited</t>
        </is>
      </c>
      <c r="C78" t="inlineStr">
        <is>
          <t xml:space="preserve">INE648Z01023</t>
        </is>
      </c>
    </row>
    <row r="79">
      <c r="A79" t="inlineStr">
        <is>
          <t xml:space="preserve">ACEALPHA</t>
        </is>
      </c>
      <c r="B79" t="inlineStr">
        <is>
          <t xml:space="preserve">Ace Alpha Tech Limited</t>
        </is>
      </c>
      <c r="C79" t="inlineStr">
        <is>
          <t xml:space="preserve">INE0S9X01011</t>
        </is>
      </c>
    </row>
    <row r="80">
      <c r="A80" t="inlineStr">
        <is>
          <t xml:space="preserve">ACEEDU</t>
        </is>
      </c>
      <c r="B80" t="inlineStr">
        <is>
          <t xml:space="preserve">ACE EDUTREND LTD.</t>
        </is>
      </c>
      <c r="C80" t="inlineStr">
        <is>
          <t xml:space="preserve">INE715F01014</t>
        </is>
      </c>
    </row>
    <row r="81">
      <c r="A81" t="inlineStr">
        <is>
          <t xml:space="preserve">ACEMEN</t>
        </is>
      </c>
      <c r="B81" t="inlineStr">
        <is>
          <t xml:space="preserve">ACE MEN ENGG WORKS LIMITED</t>
        </is>
      </c>
      <c r="C81" t="inlineStr">
        <is>
          <t xml:space="preserve">INE023R01018</t>
        </is>
      </c>
    </row>
    <row r="82">
      <c r="A82" t="inlineStr">
        <is>
          <t xml:space="preserve">ACESOFT</t>
        </is>
      </c>
      <c r="B82" t="inlineStr">
        <is>
          <t xml:space="preserve">ACE SOFTWARE EXPORTS LTD.</t>
        </is>
      </c>
      <c r="C82" t="inlineStr">
        <is>
          <t xml:space="preserve">INE849B01010</t>
        </is>
      </c>
    </row>
    <row r="83">
      <c r="A83" t="inlineStr">
        <is>
          <t xml:space="preserve">ACHYUT</t>
        </is>
      </c>
      <c r="B83" t="inlineStr">
        <is>
          <t xml:space="preserve">Achyut Healthcare Limited</t>
        </is>
      </c>
      <c r="C83" t="inlineStr">
        <is>
          <t xml:space="preserve">INE0K1401020</t>
        </is>
      </c>
    </row>
    <row r="84">
      <c r="A84" t="inlineStr">
        <is>
          <t xml:space="preserve">ACIIN</t>
        </is>
      </c>
      <c r="B84" t="inlineStr">
        <is>
          <t xml:space="preserve">ACI INFOCOM LTD.</t>
        </is>
      </c>
      <c r="C84" t="inlineStr">
        <is>
          <t xml:space="preserve">INE167B01025</t>
        </is>
      </c>
    </row>
    <row r="85">
      <c r="A85" t="inlineStr">
        <is>
          <t xml:space="preserve">ACME</t>
        </is>
      </c>
      <c r="B85" t="inlineStr">
        <is>
          <t xml:space="preserve">Acme Resources Limited</t>
        </is>
      </c>
      <c r="C85" t="inlineStr">
        <is>
          <t xml:space="preserve">INE636B01011</t>
        </is>
      </c>
    </row>
    <row r="86">
      <c r="A86" t="inlineStr">
        <is>
          <t xml:space="preserve">ACMESOLAR</t>
        </is>
      </c>
      <c r="B86" t="inlineStr">
        <is>
          <t xml:space="preserve">ACME Solar Holdings Limited</t>
        </is>
      </c>
      <c r="C86" t="inlineStr">
        <is>
          <t xml:space="preserve">INE622W01025</t>
        </is>
      </c>
    </row>
    <row r="87">
      <c r="A87" t="inlineStr">
        <is>
          <t xml:space="preserve">ACSTECH</t>
        </is>
      </c>
      <c r="B87" t="inlineStr">
        <is>
          <t xml:space="preserve">ACS TECHNOLOGIES LIMITED</t>
        </is>
      </c>
      <c r="C87" t="inlineStr">
        <is>
          <t xml:space="preserve">INE366C01021</t>
        </is>
      </c>
    </row>
    <row r="88">
      <c r="A88" t="inlineStr">
        <is>
          <t xml:space="preserve">ACE</t>
        </is>
      </c>
      <c r="B88" t="inlineStr">
        <is>
          <t xml:space="preserve">ACTION CONSTRUCTION EQUIPMENT</t>
        </is>
      </c>
      <c r="C88" t="inlineStr">
        <is>
          <t xml:space="preserve">INE731H01025</t>
        </is>
      </c>
    </row>
    <row r="89">
      <c r="A89" t="inlineStr">
        <is>
          <t xml:space="preserve">ACTIVE</t>
        </is>
      </c>
      <c r="B89" t="inlineStr">
        <is>
          <t xml:space="preserve">Active Clothing Co  Limited</t>
        </is>
      </c>
      <c r="C89" t="inlineStr">
        <is>
          <t xml:space="preserve">INE380Z01015</t>
        </is>
      </c>
    </row>
    <row r="90">
      <c r="A90" t="inlineStr">
        <is>
          <t xml:space="preserve">ACUTAAS</t>
        </is>
      </c>
      <c r="B90" t="inlineStr">
        <is>
          <t xml:space="preserve">ACUTAAS CHEMICALS LIMITED</t>
        </is>
      </c>
      <c r="C90" t="inlineStr">
        <is>
          <t xml:space="preserve">INE00FF01025</t>
        </is>
      </c>
    </row>
    <row r="91">
      <c r="A91" t="inlineStr">
        <is>
          <t xml:space="preserve">ADMANUM</t>
        </is>
      </c>
      <c r="B91" t="inlineStr">
        <is>
          <t xml:space="preserve">AD-MANUM FINANCE LTD.</t>
        </is>
      </c>
      <c r="C91" t="inlineStr">
        <is>
          <t xml:space="preserve">INE556D01017</t>
        </is>
      </c>
    </row>
    <row r="92">
      <c r="A92" t="inlineStr">
        <is>
          <t xml:space="preserve">ADANIENSOL</t>
        </is>
      </c>
      <c r="B92" t="inlineStr">
        <is>
          <t xml:space="preserve">Adani Energy Solutions Limited</t>
        </is>
      </c>
      <c r="C92" t="inlineStr">
        <is>
          <t xml:space="preserve">INE931S01010</t>
        </is>
      </c>
    </row>
    <row r="93">
      <c r="A93" t="inlineStr">
        <is>
          <t xml:space="preserve">ADANIENT</t>
        </is>
      </c>
      <c r="B93" t="inlineStr">
        <is>
          <t xml:space="preserve">ADANI ENTERPRISES LTD.</t>
        </is>
      </c>
      <c r="C93" t="inlineStr">
        <is>
          <t xml:space="preserve">INE423A01024</t>
        </is>
      </c>
    </row>
    <row r="94">
      <c r="A94" t="inlineStr">
        <is>
          <t xml:space="preserve">ADANIGREEN</t>
        </is>
      </c>
      <c r="B94" t="inlineStr">
        <is>
          <t xml:space="preserve">Adani Green Energy Limited</t>
        </is>
      </c>
      <c r="C94" t="inlineStr">
        <is>
          <t xml:space="preserve">INE364U01010</t>
        </is>
      </c>
    </row>
    <row r="95">
      <c r="A95" t="inlineStr">
        <is>
          <t xml:space="preserve">ADANIPORTS</t>
        </is>
      </c>
      <c r="B95" t="inlineStr">
        <is>
          <t xml:space="preserve">ADANI PORTS AND SPECIAL ECONOM</t>
        </is>
      </c>
      <c r="C95" t="inlineStr">
        <is>
          <t xml:space="preserve">INE742F01042</t>
        </is>
      </c>
    </row>
    <row r="96">
      <c r="A96" t="inlineStr">
        <is>
          <t xml:space="preserve">ADANIPOWER</t>
        </is>
      </c>
      <c r="B96" t="inlineStr">
        <is>
          <t xml:space="preserve">ADANI POWER LTD.</t>
        </is>
      </c>
      <c r="C96" t="inlineStr">
        <is>
          <t xml:space="preserve">INE814H01029</t>
        </is>
      </c>
    </row>
    <row r="97">
      <c r="A97" t="inlineStr">
        <is>
          <t xml:space="preserve">ATGL</t>
        </is>
      </c>
      <c r="B97" t="inlineStr">
        <is>
          <t xml:space="preserve">ADANI TOTAL GAS LIMITED</t>
        </is>
      </c>
      <c r="C97" t="inlineStr">
        <is>
          <t xml:space="preserve">INE399L01023</t>
        </is>
      </c>
    </row>
    <row r="98">
      <c r="A98" t="inlineStr">
        <is>
          <t xml:space="preserve">ADARSHPL</t>
        </is>
      </c>
      <c r="B98" t="inlineStr">
        <is>
          <t xml:space="preserve">ADARSH PLANT PROTECT LTD.</t>
        </is>
      </c>
      <c r="C98" t="inlineStr">
        <is>
          <t xml:space="preserve">INE627D01016</t>
        </is>
      </c>
    </row>
    <row r="99">
      <c r="A99" t="inlineStr">
        <is>
          <t xml:space="preserve">ADCINDIA</t>
        </is>
      </c>
      <c r="B99" t="inlineStr">
        <is>
          <t xml:space="preserve">ADC INDIA COMMUNICATIONS LIMIT</t>
        </is>
      </c>
      <c r="C99" t="inlineStr">
        <is>
          <t xml:space="preserve">INE833A01016</t>
        </is>
      </c>
    </row>
    <row r="100">
      <c r="A100" t="inlineStr">
        <is>
          <t xml:space="preserve">ADCON</t>
        </is>
      </c>
      <c r="B100" t="inlineStr">
        <is>
          <t xml:space="preserve">Adcon Capital Services Limited</t>
        </is>
      </c>
      <c r="C100" t="inlineStr">
        <is>
          <t xml:space="preserve">INE805Q01028</t>
        </is>
      </c>
    </row>
    <row r="101">
      <c r="A101" t="inlineStr">
        <is>
          <t xml:space="preserve">ADCOUNTY</t>
        </is>
      </c>
      <c r="B101" t="inlineStr">
        <is>
          <t xml:space="preserve">ADCOUNTY MEDIA INDIA LIMITED</t>
        </is>
      </c>
      <c r="C101" t="inlineStr">
        <is>
          <t xml:space="preserve">INE0W1601012</t>
        </is>
      </c>
    </row>
    <row r="102">
      <c r="A102" t="inlineStr">
        <is>
          <t xml:space="preserve">ASRL</t>
        </is>
      </c>
      <c r="B102" t="inlineStr">
        <is>
          <t xml:space="preserve">Add-Shop E-Retail Limited</t>
        </is>
      </c>
      <c r="C102" t="inlineStr">
        <is>
          <t xml:space="preserve">INE01B501018</t>
        </is>
      </c>
    </row>
    <row r="103">
      <c r="A103" t="inlineStr">
        <is>
          <t xml:space="preserve">ADDIND</t>
        </is>
      </c>
      <c r="B103" t="inlineStr">
        <is>
          <t xml:space="preserve">ADDI INDUSTRIES LTD.</t>
        </is>
      </c>
      <c r="C103" t="inlineStr">
        <is>
          <t xml:space="preserve">INE757C01021</t>
        </is>
      </c>
    </row>
    <row r="104">
      <c r="A104" t="inlineStr">
        <is>
          <t xml:space="preserve">ADFFOODS</t>
        </is>
      </c>
      <c r="B104" t="inlineStr">
        <is>
          <t xml:space="preserve">ADF FOODS LTD.</t>
        </is>
      </c>
      <c r="C104" t="inlineStr">
        <is>
          <t xml:space="preserve">INE982B01027</t>
        </is>
      </c>
    </row>
    <row r="105">
      <c r="A105" t="inlineStr">
        <is>
          <t xml:space="preserve">ADHHATA</t>
        </is>
      </c>
      <c r="B105" t="inlineStr">
        <is>
          <t xml:space="preserve">ADHATA GLOBAL LIMITED</t>
        </is>
      </c>
      <c r="C105" t="inlineStr">
        <is>
          <t xml:space="preserve">INE586D01014</t>
        </is>
      </c>
    </row>
    <row r="106">
      <c r="A106" t="inlineStr">
        <is>
          <t xml:space="preserve">ADHBHUTIN</t>
        </is>
      </c>
      <c r="B106" t="inlineStr">
        <is>
          <t xml:space="preserve">Adhbhut Infrastructure Ltd.</t>
        </is>
      </c>
      <c r="C106" t="inlineStr">
        <is>
          <t xml:space="preserve">INE578L01014</t>
        </is>
      </c>
    </row>
    <row r="107">
      <c r="A107" t="inlineStr">
        <is>
          <t xml:space="preserve">ADINATH</t>
        </is>
      </c>
      <c r="B107" t="inlineStr">
        <is>
          <t xml:space="preserve">ADINATH TEXTILES LTD.</t>
        </is>
      </c>
      <c r="C107" t="inlineStr">
        <is>
          <t xml:space="preserve">INE207C01019</t>
        </is>
      </c>
    </row>
    <row r="108">
      <c r="A108" t="inlineStr">
        <is>
          <t xml:space="preserve">ADISHAKTI</t>
        </is>
      </c>
      <c r="B108" t="inlineStr">
        <is>
          <t xml:space="preserve">Adishakti Loha and Ispat Limit</t>
        </is>
      </c>
      <c r="C108" t="inlineStr">
        <is>
          <t xml:space="preserve">INE0CWK01019</t>
        </is>
      </c>
    </row>
    <row r="109">
      <c r="A109" t="inlineStr">
        <is>
          <t xml:space="preserve">ABCAPITAL</t>
        </is>
      </c>
      <c r="B109" t="inlineStr">
        <is>
          <t xml:space="preserve">Aditya Birla Capital Ltd</t>
        </is>
      </c>
      <c r="C109" t="inlineStr">
        <is>
          <t xml:space="preserve">INE674K01013</t>
        </is>
      </c>
    </row>
    <row r="110">
      <c r="A110" t="inlineStr">
        <is>
          <t xml:space="preserve">ABFRL</t>
        </is>
      </c>
      <c r="B110" t="inlineStr">
        <is>
          <t xml:space="preserve">Aditya Birla Fashion and Retai</t>
        </is>
      </c>
      <c r="C110" t="inlineStr">
        <is>
          <t xml:space="preserve">INE647O01011</t>
        </is>
      </c>
    </row>
    <row r="111">
      <c r="A111" t="inlineStr">
        <is>
          <t xml:space="preserve">ABLBL</t>
        </is>
      </c>
      <c r="B111" t="inlineStr">
        <is>
          <t xml:space="preserve">Aditya Birla Lifestyle Brands</t>
        </is>
      </c>
      <c r="C111" t="inlineStr">
        <is>
          <t xml:space="preserve">INE14LE01019</t>
        </is>
      </c>
    </row>
    <row r="112">
      <c r="A112" t="inlineStr">
        <is>
          <t xml:space="preserve">BIRLAMONEY</t>
        </is>
      </c>
      <c r="B112" t="inlineStr">
        <is>
          <t xml:space="preserve">ADITYA BIRLA MONEY LTD.</t>
        </is>
      </c>
      <c r="C112" t="inlineStr">
        <is>
          <t xml:space="preserve">INE865C01022</t>
        </is>
      </c>
    </row>
    <row r="113">
      <c r="A113" t="inlineStr">
        <is>
          <t xml:space="preserve">ABREL</t>
        </is>
      </c>
      <c r="B113" t="inlineStr">
        <is>
          <t xml:space="preserve">ADITYA BIRLA REAL ESTATE LIMIT</t>
        </is>
      </c>
      <c r="C113" t="inlineStr">
        <is>
          <t xml:space="preserve">INE055A01016</t>
        </is>
      </c>
    </row>
    <row r="114">
      <c r="A114" t="inlineStr">
        <is>
          <t xml:space="preserve">ABSLAMC</t>
        </is>
      </c>
      <c r="B114" t="inlineStr">
        <is>
          <t xml:space="preserve">Aditya Birla Sun Life AMC Limi</t>
        </is>
      </c>
      <c r="C114" t="inlineStr">
        <is>
          <t xml:space="preserve">INE404A01024</t>
        </is>
      </c>
    </row>
    <row r="115">
      <c r="A115" t="inlineStr">
        <is>
          <t xml:space="preserve">ACML</t>
        </is>
      </c>
      <c r="B115" t="inlineStr">
        <is>
          <t xml:space="preserve">ADITYA CONSUMER MARKETING LIMI</t>
        </is>
      </c>
      <c r="C115" t="inlineStr">
        <is>
          <t xml:space="preserve">INE427V01013</t>
        </is>
      </c>
    </row>
    <row r="116">
      <c r="A116" t="inlineStr">
        <is>
          <t xml:space="preserve">CPPLUS</t>
        </is>
      </c>
      <c r="B116" t="inlineStr">
        <is>
          <t xml:space="preserve">Aditya Infotech Limited</t>
        </is>
      </c>
      <c r="C116" t="inlineStr">
        <is>
          <t xml:space="preserve">INE819V01029</t>
        </is>
      </c>
    </row>
    <row r="117">
      <c r="A117" t="inlineStr">
        <is>
          <t xml:space="preserve">ADITYA</t>
        </is>
      </c>
      <c r="B117" t="inlineStr">
        <is>
          <t xml:space="preserve">ADITYA ISPAT LTD.</t>
        </is>
      </c>
      <c r="C117" t="inlineStr">
        <is>
          <t xml:space="preserve">INE570B01012</t>
        </is>
      </c>
    </row>
    <row r="118">
      <c r="A118" t="inlineStr">
        <is>
          <t xml:space="preserve">ADITYASP</t>
        </is>
      </c>
      <c r="B118" t="inlineStr">
        <is>
          <t xml:space="preserve">ADITYA SPINNERS LTD.</t>
        </is>
      </c>
      <c r="C118" t="inlineStr">
        <is>
          <t xml:space="preserve">INE122D01026</t>
        </is>
      </c>
    </row>
    <row r="119">
      <c r="A119" t="inlineStr">
        <is>
          <t xml:space="preserve">AVL</t>
        </is>
      </c>
      <c r="B119" t="inlineStr">
        <is>
          <t xml:space="preserve">Aditya Vision Limited</t>
        </is>
      </c>
      <c r="C119" t="inlineStr">
        <is>
          <t xml:space="preserve">INE679V01027</t>
        </is>
      </c>
    </row>
    <row r="120">
      <c r="A120" t="inlineStr">
        <is>
          <t xml:space="preserve">ADMACH</t>
        </is>
      </c>
      <c r="B120" t="inlineStr">
        <is>
          <t xml:space="preserve">ADMACH SYSTEMS LIMITED</t>
        </is>
      </c>
      <c r="C120" t="inlineStr">
        <is>
          <t xml:space="preserve">INE0XLO01010</t>
        </is>
      </c>
    </row>
    <row r="121">
      <c r="A121" t="inlineStr">
        <is>
          <t xml:space="preserve">ADON</t>
        </is>
      </c>
      <c r="B121" t="inlineStr">
        <is>
          <t xml:space="preserve">ADON AGRO COMMODITIES LIMITED</t>
        </is>
      </c>
      <c r="C121" t="inlineStr">
        <is>
          <t xml:space="preserve">INE1SME01017</t>
        </is>
      </c>
    </row>
    <row r="122">
      <c r="A122" t="inlineStr">
        <is>
          <t xml:space="preserve">ADOR</t>
        </is>
      </c>
      <c r="B122" t="inlineStr">
        <is>
          <t xml:space="preserve">ADOR WELDING LTD.</t>
        </is>
      </c>
      <c r="C122" t="inlineStr">
        <is>
          <t xml:space="preserve">INE045A01017</t>
        </is>
      </c>
    </row>
    <row r="123">
      <c r="A123" t="inlineStr">
        <is>
          <t xml:space="preserve">ADROITINFO</t>
        </is>
      </c>
      <c r="B123" t="inlineStr">
        <is>
          <t xml:space="preserve">Adroit Infotech Limited</t>
        </is>
      </c>
      <c r="C123" t="inlineStr">
        <is>
          <t xml:space="preserve">INE737B01033</t>
        </is>
      </c>
    </row>
    <row r="124">
      <c r="A124" t="inlineStr">
        <is>
          <t xml:space="preserve">ADTECH</t>
        </is>
      </c>
      <c r="B124" t="inlineStr">
        <is>
          <t xml:space="preserve">ADTECH SYSTEMS LIMITED</t>
        </is>
      </c>
      <c r="C124" t="inlineStr">
        <is>
          <t xml:space="preserve">INE257C01014</t>
        </is>
      </c>
    </row>
    <row r="125">
      <c r="A125" t="inlineStr">
        <is>
          <t xml:space="preserve">ADVAIT</t>
        </is>
      </c>
      <c r="B125" t="inlineStr">
        <is>
          <t xml:space="preserve">ADVAIT ENERGY TRANSITIONS LIMI</t>
        </is>
      </c>
      <c r="C125" t="inlineStr">
        <is>
          <t xml:space="preserve">INE0ALI01010</t>
        </is>
      </c>
    </row>
    <row r="126">
      <c r="A126" t="inlineStr">
        <is>
          <t xml:space="preserve">ADVANCE</t>
        </is>
      </c>
      <c r="B126" t="inlineStr">
        <is>
          <t xml:space="preserve">Advance Agrolife Limited</t>
        </is>
      </c>
      <c r="C126" t="inlineStr">
        <is>
          <t xml:space="preserve">INE1B0W01010</t>
        </is>
      </c>
    </row>
    <row r="127">
      <c r="A127" t="inlineStr">
        <is>
          <t xml:space="preserve">ADVLIFE</t>
        </is>
      </c>
      <c r="B127" t="inlineStr">
        <is>
          <t xml:space="preserve">ADVANCE LIFESTYLES LTD.</t>
        </is>
      </c>
      <c r="C127" t="inlineStr">
        <is>
          <t xml:space="preserve">INE900E01015</t>
        </is>
      </c>
    </row>
    <row r="128">
      <c r="A128" t="inlineStr">
        <is>
          <t xml:space="preserve">AMTL</t>
        </is>
      </c>
      <c r="B128" t="inlineStr">
        <is>
          <t xml:space="preserve">ADVANCE METERING TECHNOLOGY LT</t>
        </is>
      </c>
      <c r="C128" t="inlineStr">
        <is>
          <t xml:space="preserve">INE436N01029</t>
        </is>
      </c>
    </row>
    <row r="129">
      <c r="A129" t="inlineStr">
        <is>
          <t xml:space="preserve">ADVPETR-B</t>
        </is>
      </c>
      <c r="B129" t="inlineStr">
        <is>
          <t xml:space="preserve">ADVANCE PETROCHEMICALS LTD.</t>
        </is>
      </c>
      <c r="C129" t="inlineStr">
        <is>
          <t xml:space="preserve">INE334N01018</t>
        </is>
      </c>
    </row>
    <row r="130">
      <c r="A130" t="inlineStr">
        <is>
          <t xml:space="preserve">ADVENZYMES</t>
        </is>
      </c>
      <c r="B130" t="inlineStr">
        <is>
          <t xml:space="preserve">Advanced Enzyme Technologies L</t>
        </is>
      </c>
      <c r="C130" t="inlineStr">
        <is>
          <t xml:space="preserve">INE837H01020</t>
        </is>
      </c>
    </row>
    <row r="131">
      <c r="A131" t="inlineStr">
        <is>
          <t xml:space="preserve">ADVANIHOTR</t>
        </is>
      </c>
      <c r="B131" t="inlineStr">
        <is>
          <t xml:space="preserve">ADVANI HOTELS &amp; RESORTS (INDIA</t>
        </is>
      </c>
      <c r="C131" t="inlineStr">
        <is>
          <t xml:space="preserve">INE199C01026</t>
        </is>
      </c>
    </row>
    <row r="132">
      <c r="A132" t="inlineStr">
        <is>
          <t xml:space="preserve">ADVENTHTL</t>
        </is>
      </c>
      <c r="B132" t="inlineStr">
        <is>
          <t xml:space="preserve">Advent Hotels International Li</t>
        </is>
      </c>
      <c r="C132" t="inlineStr">
        <is>
          <t xml:space="preserve">INE28GN01010</t>
        </is>
      </c>
    </row>
    <row r="133">
      <c r="A133" t="inlineStr">
        <is>
          <t xml:space="preserve">ADVIKCA</t>
        </is>
      </c>
      <c r="B133" t="inlineStr">
        <is>
          <t xml:space="preserve">Advik Capital Limited</t>
        </is>
      </c>
      <c r="C133" t="inlineStr">
        <is>
          <t xml:space="preserve">INE178T01024</t>
        </is>
      </c>
    </row>
    <row r="134">
      <c r="A134" t="inlineStr">
        <is>
          <t xml:space="preserve">RAMBHAJO</t>
        </is>
      </c>
      <c r="B134" t="inlineStr">
        <is>
          <t xml:space="preserve">Advit Jewels Limited</t>
        </is>
      </c>
      <c r="C134" t="inlineStr">
        <is>
          <t xml:space="preserve">INE1SJO01012</t>
        </is>
      </c>
    </row>
    <row r="135">
      <c r="A135" t="inlineStr">
        <is>
          <t xml:space="preserve">AEGISLOG</t>
        </is>
      </c>
      <c r="B135" t="inlineStr">
        <is>
          <t xml:space="preserve">AEGIS LOGISTICS LTD.</t>
        </is>
      </c>
      <c r="C135" t="inlineStr">
        <is>
          <t xml:space="preserve">INE208C01025</t>
        </is>
      </c>
    </row>
    <row r="136">
      <c r="A136" t="inlineStr">
        <is>
          <t xml:space="preserve">AEGISVOPAK</t>
        </is>
      </c>
      <c r="B136" t="inlineStr">
        <is>
          <t xml:space="preserve">AEGIS VOPAK TERMINALS LIMITED</t>
        </is>
      </c>
      <c r="C136" t="inlineStr">
        <is>
          <t xml:space="preserve">INE0INX01018</t>
        </is>
      </c>
    </row>
    <row r="137">
      <c r="A137" t="inlineStr">
        <is>
          <t xml:space="preserve">AEL1212026</t>
        </is>
      </c>
      <c r="B137" t="inlineStr">
        <is>
          <t xml:space="preserve">AEL-12-1-31-NCD</t>
        </is>
      </c>
      <c r="C137" t="inlineStr">
        <is>
          <t xml:space="preserve">INE423A07542</t>
        </is>
      </c>
    </row>
    <row r="138">
      <c r="A138" t="inlineStr">
        <is>
          <t xml:space="preserve">AEL120924</t>
        </is>
      </c>
      <c r="B138" t="inlineStr">
        <is>
          <t xml:space="preserve">AEL-12-9-26-NCD</t>
        </is>
      </c>
      <c r="C138" t="inlineStr">
        <is>
          <t xml:space="preserve">INE423A07369</t>
        </is>
      </c>
    </row>
    <row r="139">
      <c r="A139" t="inlineStr">
        <is>
          <t xml:space="preserve">848AEL29</t>
        </is>
      </c>
      <c r="B139" t="inlineStr">
        <is>
          <t xml:space="preserve">AEL-8.48%-12-1-29-NCD</t>
        </is>
      </c>
      <c r="C139" t="inlineStr">
        <is>
          <t xml:space="preserve">INE423A07492</t>
        </is>
      </c>
    </row>
    <row r="140">
      <c r="A140" t="inlineStr">
        <is>
          <t xml:space="preserve">860AEL28</t>
        </is>
      </c>
      <c r="B140" t="inlineStr">
        <is>
          <t xml:space="preserve">AEL-8.60%-12-1-28-NCD</t>
        </is>
      </c>
      <c r="C140" t="inlineStr">
        <is>
          <t xml:space="preserve">INE423A07484</t>
        </is>
      </c>
    </row>
    <row r="141">
      <c r="A141" t="inlineStr">
        <is>
          <t xml:space="preserve">875AEL29</t>
        </is>
      </c>
      <c r="B141" t="inlineStr">
        <is>
          <t xml:space="preserve">AEL-8.75%-12-1-29-NCD</t>
        </is>
      </c>
      <c r="C141" t="inlineStr">
        <is>
          <t xml:space="preserve">INE423A07534</t>
        </is>
      </c>
    </row>
    <row r="142">
      <c r="A142" t="inlineStr">
        <is>
          <t xml:space="preserve">890AEL31</t>
        </is>
      </c>
      <c r="B142" t="inlineStr">
        <is>
          <t xml:space="preserve">AEL-8.90%-12-1-31-NCD</t>
        </is>
      </c>
      <c r="C142" t="inlineStr">
        <is>
          <t xml:space="preserve">INE423A07526</t>
        </is>
      </c>
    </row>
    <row r="143">
      <c r="A143" t="inlineStr">
        <is>
          <t xml:space="preserve">925AEL26</t>
        </is>
      </c>
      <c r="B143" t="inlineStr">
        <is>
          <t xml:space="preserve">AEL-9.25%-12-9-26-NCD</t>
        </is>
      </c>
      <c r="C143" t="inlineStr">
        <is>
          <t xml:space="preserve">INE423A07351</t>
        </is>
      </c>
    </row>
    <row r="144">
      <c r="A144" t="inlineStr">
        <is>
          <t xml:space="preserve">ACLD</t>
        </is>
      </c>
      <c r="B144" t="inlineStr">
        <is>
          <t xml:space="preserve">AELEA COMMODITIES LIMITED</t>
        </is>
      </c>
      <c r="C144" t="inlineStr">
        <is>
          <t xml:space="preserve">INE0T3401029</t>
        </is>
      </c>
    </row>
    <row r="145">
      <c r="A145" t="inlineStr">
        <is>
          <t xml:space="preserve">AEONXDIGI</t>
        </is>
      </c>
      <c r="B145" t="inlineStr">
        <is>
          <t xml:space="preserve">Aeonx Digital Technology Limit</t>
        </is>
      </c>
      <c r="C145" t="inlineStr">
        <is>
          <t xml:space="preserve">INE994D01010</t>
        </is>
      </c>
    </row>
    <row r="146">
      <c r="A146" t="inlineStr">
        <is>
          <t xml:space="preserve">AEQUS</t>
        </is>
      </c>
      <c r="B146" t="inlineStr">
        <is>
          <t xml:space="preserve">Aequs Limited</t>
        </is>
      </c>
      <c r="C146" t="inlineStr">
        <is>
          <t xml:space="preserve">INE947N01017</t>
        </is>
      </c>
    </row>
    <row r="147">
      <c r="A147" t="inlineStr">
        <is>
          <t xml:space="preserve">AEROENTER</t>
        </is>
      </c>
      <c r="B147" t="inlineStr">
        <is>
          <t xml:space="preserve">AEROFLEX ENTERPRISES LIMITED</t>
        </is>
      </c>
      <c r="C147" t="inlineStr">
        <is>
          <t xml:space="preserve">INE065D01027</t>
        </is>
      </c>
    </row>
    <row r="148">
      <c r="A148" t="inlineStr">
        <is>
          <t xml:space="preserve">AEROFLEX</t>
        </is>
      </c>
      <c r="B148" t="inlineStr">
        <is>
          <t xml:space="preserve">Aeroflex Industries Limited</t>
        </is>
      </c>
      <c r="C148" t="inlineStr">
        <is>
          <t xml:space="preserve">INE024001021</t>
        </is>
      </c>
    </row>
    <row r="149">
      <c r="A149" t="inlineStr">
        <is>
          <t xml:space="preserve">AERONEU</t>
        </is>
      </c>
      <c r="B149" t="inlineStr">
        <is>
          <t xml:space="preserve">Aeroflex Neu Limited</t>
        </is>
      </c>
      <c r="C149" t="inlineStr">
        <is>
          <t xml:space="preserve">INE035801013</t>
        </is>
      </c>
    </row>
    <row r="150">
      <c r="A150" t="inlineStr">
        <is>
          <t xml:space="preserve">AERPACE</t>
        </is>
      </c>
      <c r="B150" t="inlineStr">
        <is>
          <t xml:space="preserve">Aerpace Industries Limited</t>
        </is>
      </c>
      <c r="C150" t="inlineStr">
        <is>
          <t xml:space="preserve">INE175N01023</t>
        </is>
      </c>
    </row>
    <row r="151">
      <c r="A151" t="inlineStr">
        <is>
          <t xml:space="preserve">AETHER</t>
        </is>
      </c>
      <c r="B151" t="inlineStr">
        <is>
          <t xml:space="preserve">Aether Industries Limited</t>
        </is>
      </c>
      <c r="C151" t="inlineStr">
        <is>
          <t xml:space="preserve">INE0BWX01014</t>
        </is>
      </c>
    </row>
    <row r="152">
      <c r="A152" t="inlineStr">
        <is>
          <t xml:space="preserve">AFCOM</t>
        </is>
      </c>
      <c r="B152" t="inlineStr">
        <is>
          <t xml:space="preserve">Afcom Holdings Limited</t>
        </is>
      </c>
      <c r="C152" t="inlineStr">
        <is>
          <t xml:space="preserve">INE0OXY01013</t>
        </is>
      </c>
    </row>
    <row r="153">
      <c r="A153" t="inlineStr">
        <is>
          <t xml:space="preserve">AFCONS</t>
        </is>
      </c>
      <c r="B153" t="inlineStr">
        <is>
          <t xml:space="preserve">Afcons Infrastructure Limited</t>
        </is>
      </c>
      <c r="C153" t="inlineStr">
        <is>
          <t xml:space="preserve">INE101I01011</t>
        </is>
      </c>
    </row>
    <row r="154">
      <c r="A154" t="inlineStr">
        <is>
          <t xml:space="preserve">AFFLE</t>
        </is>
      </c>
      <c r="B154" t="inlineStr">
        <is>
          <t xml:space="preserve">AFFLE 3I LIMITED</t>
        </is>
      </c>
      <c r="C154" t="inlineStr">
        <is>
          <t xml:space="preserve">INE00WC01027</t>
        </is>
      </c>
    </row>
    <row r="155">
      <c r="A155" t="inlineStr">
        <is>
          <t xml:space="preserve">AFFORDABLE</t>
        </is>
      </c>
      <c r="B155" t="inlineStr">
        <is>
          <t xml:space="preserve">Affordable Robotic &amp; Automatio</t>
        </is>
      </c>
      <c r="C155" t="inlineStr">
        <is>
          <t xml:space="preserve">INE692Z01013</t>
        </is>
      </c>
    </row>
    <row r="156">
      <c r="A156" t="inlineStr">
        <is>
          <t xml:space="preserve">AGVENTURES</t>
        </is>
      </c>
      <c r="B156" t="inlineStr">
        <is>
          <t xml:space="preserve">AG VENTURES LIMITED</t>
        </is>
      </c>
      <c r="C156" t="inlineStr">
        <is>
          <t xml:space="preserve">INE321D01016</t>
        </is>
      </c>
    </row>
    <row r="157">
      <c r="A157" t="inlineStr">
        <is>
          <t xml:space="preserve">AGARIND</t>
        </is>
      </c>
      <c r="B157" t="inlineStr">
        <is>
          <t xml:space="preserve">AGARWAL INDUSTRIAL CORPORATION</t>
        </is>
      </c>
      <c r="C157" t="inlineStr">
        <is>
          <t xml:space="preserve">INE204E01012</t>
        </is>
      </c>
    </row>
    <row r="158">
      <c r="A158" t="inlineStr">
        <is>
          <t xml:space="preserve">AGI</t>
        </is>
      </c>
      <c r="B158" t="inlineStr">
        <is>
          <t xml:space="preserve">AGI GREENPAC LIMITED</t>
        </is>
      </c>
      <c r="C158" t="inlineStr">
        <is>
          <t xml:space="preserve">INE415A01038</t>
        </is>
      </c>
    </row>
    <row r="159">
      <c r="A159" t="inlineStr">
        <is>
          <t xml:space="preserve">AGIIL</t>
        </is>
      </c>
      <c r="B159" t="inlineStr">
        <is>
          <t xml:space="preserve">AGI Infra Limited</t>
        </is>
      </c>
      <c r="C159" t="inlineStr">
        <is>
          <t xml:space="preserve">INE976R01033</t>
        </is>
      </c>
    </row>
    <row r="160">
      <c r="A160" t="inlineStr">
        <is>
          <t xml:space="preserve">AGRITECH</t>
        </is>
      </c>
      <c r="B160" t="inlineStr">
        <is>
          <t xml:space="preserve">AGRI- TECH (INDIA) LTD</t>
        </is>
      </c>
      <c r="C160" t="inlineStr">
        <is>
          <t xml:space="preserve">INE449G01018</t>
        </is>
      </c>
    </row>
    <row r="161">
      <c r="A161" t="inlineStr">
        <is>
          <t xml:space="preserve">AGRIBIO</t>
        </is>
      </c>
      <c r="B161" t="inlineStr">
        <is>
          <t xml:space="preserve">AGRIBIO SPIRITS LIMITED</t>
        </is>
      </c>
      <c r="C161" t="inlineStr">
        <is>
          <t xml:space="preserve">INE679E01015</t>
        </is>
      </c>
    </row>
    <row r="162">
      <c r="A162" t="inlineStr">
        <is>
          <t xml:space="preserve">AHASOLAR</t>
        </is>
      </c>
      <c r="B162" t="inlineStr">
        <is>
          <t xml:space="preserve">AHASOLAR TECHNOLOGIES LIMITED</t>
        </is>
      </c>
      <c r="C162" t="inlineStr">
        <is>
          <t xml:space="preserve">INE0NEV01011</t>
        </is>
      </c>
    </row>
    <row r="163">
      <c r="A163" t="inlineStr">
        <is>
          <t xml:space="preserve">975AHFL28</t>
        </is>
      </c>
      <c r="B163" t="inlineStr">
        <is>
          <t xml:space="preserve">AHFL-9.75%-29-9-28-NCD</t>
        </is>
      </c>
      <c r="C163" t="inlineStr">
        <is>
          <t xml:space="preserve">INE538L07536</t>
        </is>
      </c>
    </row>
    <row r="164">
      <c r="A164" t="inlineStr">
        <is>
          <t xml:space="preserve">AHLUCONT</t>
        </is>
      </c>
      <c r="B164" t="inlineStr">
        <is>
          <t xml:space="preserve">AHLUWALIA CONTRACTS (INDIA) LT</t>
        </is>
      </c>
      <c r="C164" t="inlineStr">
        <is>
          <t xml:space="preserve">INE758C01029</t>
        </is>
      </c>
    </row>
    <row r="165">
      <c r="A165" t="inlineStr">
        <is>
          <t xml:space="preserve">AHMDSTE</t>
        </is>
      </c>
      <c r="B165" t="inlineStr">
        <is>
          <t xml:space="preserve">AHMEDABAD STEELCRAFT LTD.</t>
        </is>
      </c>
      <c r="C165" t="inlineStr">
        <is>
          <t xml:space="preserve">INE868C01018</t>
        </is>
      </c>
    </row>
    <row r="166">
      <c r="A166" t="inlineStr">
        <is>
          <t xml:space="preserve">AICHAMP</t>
        </is>
      </c>
      <c r="B166" t="inlineStr">
        <is>
          <t xml:space="preserve">AI CHAMPDANY INDUSTRIES LTD.</t>
        </is>
      </c>
      <c r="C166" t="inlineStr">
        <is>
          <t xml:space="preserve">INE768E01024</t>
        </is>
      </c>
    </row>
    <row r="167">
      <c r="A167" t="inlineStr">
        <is>
          <t xml:space="preserve">AIAENG</t>
        </is>
      </c>
      <c r="B167" t="inlineStr">
        <is>
          <t xml:space="preserve">AIA ENGINEERING LTD.</t>
        </is>
      </c>
      <c r="C167" t="inlineStr">
        <is>
          <t xml:space="preserve">INE212H01026</t>
        </is>
      </c>
    </row>
    <row r="168">
      <c r="A168" t="inlineStr">
        <is>
          <t xml:space="preserve">AIKPIPES</t>
        </is>
      </c>
      <c r="B168" t="inlineStr">
        <is>
          <t xml:space="preserve">AIK Pipes and Polymers Limited</t>
        </is>
      </c>
      <c r="C168" t="inlineStr">
        <is>
          <t xml:space="preserve">INE0QFT01015</t>
        </is>
      </c>
    </row>
    <row r="169">
      <c r="A169" t="inlineStr">
        <is>
          <t xml:space="preserve">AIMCOPEST</t>
        </is>
      </c>
      <c r="B169" t="inlineStr">
        <is>
          <t xml:space="preserve">AIMCO PESTICIDES LTD.</t>
        </is>
      </c>
      <c r="C169" t="inlineStr">
        <is>
          <t xml:space="preserve">INE008B01013</t>
        </is>
      </c>
    </row>
    <row r="170">
      <c r="A170" t="inlineStr">
        <is>
          <t xml:space="preserve">GOLDTECH</t>
        </is>
      </c>
      <c r="B170" t="inlineStr">
        <is>
          <t xml:space="preserve">AION TECH SOLUTIONS LIMITED</t>
        </is>
      </c>
      <c r="C170" t="inlineStr">
        <is>
          <t xml:space="preserve">INE805A01014</t>
        </is>
      </c>
    </row>
    <row r="171">
      <c r="A171" t="inlineStr">
        <is>
          <t xml:space="preserve">AIRAN</t>
        </is>
      </c>
      <c r="B171" t="inlineStr">
        <is>
          <t xml:space="preserve">AIRAN LIMITED</t>
        </is>
      </c>
      <c r="C171" t="inlineStr">
        <is>
          <t xml:space="preserve">INE645W01026</t>
        </is>
      </c>
    </row>
    <row r="172">
      <c r="A172" t="inlineStr">
        <is>
          <t xml:space="preserve">AIRFLOA</t>
        </is>
      </c>
      <c r="B172" t="inlineStr">
        <is>
          <t xml:space="preserve">AIRFLOA RAIL TECHNOLOGY LIMITE</t>
        </is>
      </c>
      <c r="C172" t="inlineStr">
        <is>
          <t xml:space="preserve">INE0XBS01012</t>
        </is>
      </c>
    </row>
    <row r="173">
      <c r="A173" t="inlineStr">
        <is>
          <t xml:space="preserve">AJANTPHARM</t>
        </is>
      </c>
      <c r="B173" t="inlineStr">
        <is>
          <t xml:space="preserve">AJANTA PHARMA LTD.</t>
        </is>
      </c>
      <c r="C173" t="inlineStr">
        <is>
          <t xml:space="preserve">INE031B01049</t>
        </is>
      </c>
    </row>
    <row r="174">
      <c r="A174" t="inlineStr">
        <is>
          <t xml:space="preserve">AJANTSOY</t>
        </is>
      </c>
      <c r="B174" t="inlineStr">
        <is>
          <t xml:space="preserve">AJANTA SOYA LTD.</t>
        </is>
      </c>
      <c r="C174" t="inlineStr">
        <is>
          <t xml:space="preserve">INE601B01023</t>
        </is>
      </c>
    </row>
    <row r="175">
      <c r="A175" t="inlineStr">
        <is>
          <t xml:space="preserve">AJAXENGG</t>
        </is>
      </c>
      <c r="B175" t="inlineStr">
        <is>
          <t xml:space="preserve">AJAX Engineering Limited</t>
        </is>
      </c>
      <c r="C175" t="inlineStr">
        <is>
          <t xml:space="preserve">INE274Y01021</t>
        </is>
      </c>
    </row>
    <row r="176">
      <c r="A176" t="inlineStr">
        <is>
          <t xml:space="preserve">AJCJEWEL</t>
        </is>
      </c>
      <c r="B176" t="inlineStr">
        <is>
          <t xml:space="preserve">AJC Jewel Manufacturers Limite</t>
        </is>
      </c>
      <c r="C176" t="inlineStr">
        <is>
          <t xml:space="preserve">INE0XRR01010</t>
        </is>
      </c>
    </row>
    <row r="177">
      <c r="A177" t="inlineStr">
        <is>
          <t xml:space="preserve">AJCON</t>
        </is>
      </c>
      <c r="B177" t="inlineStr">
        <is>
          <t xml:space="preserve">AJCON GLOBAL SERVICES LTD.</t>
        </is>
      </c>
      <c r="C177" t="inlineStr">
        <is>
          <t xml:space="preserve">INE759C01027</t>
        </is>
      </c>
    </row>
    <row r="178">
      <c r="A178" t="inlineStr">
        <is>
          <t xml:space="preserve">AJMERA</t>
        </is>
      </c>
      <c r="B178" t="inlineStr">
        <is>
          <t xml:space="preserve">AJMERA REALTY &amp; INFRA INDIA LT</t>
        </is>
      </c>
      <c r="C178" t="inlineStr">
        <is>
          <t xml:space="preserve">INE298G01035</t>
        </is>
      </c>
    </row>
    <row r="179">
      <c r="A179" t="inlineStr">
        <is>
          <t xml:space="preserve">AJWAFUN</t>
        </is>
      </c>
      <c r="B179" t="inlineStr">
        <is>
          <t xml:space="preserve">AJWA FUN WORLD &amp; RESORT LTD.</t>
        </is>
      </c>
      <c r="C179" t="inlineStr">
        <is>
          <t xml:space="preserve">INE863E01015</t>
        </is>
      </c>
    </row>
    <row r="180">
      <c r="A180" t="inlineStr">
        <is>
          <t xml:space="preserve">AAIL</t>
        </is>
      </c>
      <c r="B180" t="inlineStr">
        <is>
          <t xml:space="preserve">Akar Auto Industries Limited</t>
        </is>
      </c>
      <c r="C180" t="inlineStr">
        <is>
          <t xml:space="preserve">INE864E01021</t>
        </is>
      </c>
    </row>
    <row r="181">
      <c r="A181" t="inlineStr">
        <is>
          <t xml:space="preserve">AKI</t>
        </is>
      </c>
      <c r="B181" t="inlineStr">
        <is>
          <t xml:space="preserve">AKI India Limited</t>
        </is>
      </c>
      <c r="C181" t="inlineStr">
        <is>
          <t xml:space="preserve">INE642Z01026</t>
        </is>
      </c>
    </row>
    <row r="182">
      <c r="A182" t="inlineStr">
        <is>
          <t xml:space="preserve">AFIL</t>
        </is>
      </c>
      <c r="B182" t="inlineStr">
        <is>
          <t xml:space="preserve">Akme Fintrade (India) Limited</t>
        </is>
      </c>
      <c r="C182" t="inlineStr">
        <is>
          <t xml:space="preserve">INE916Y01027</t>
        </is>
      </c>
    </row>
    <row r="183">
      <c r="A183" t="inlineStr">
        <is>
          <t xml:space="preserve">AKSHOPTFBR</t>
        </is>
      </c>
      <c r="B183" t="inlineStr">
        <is>
          <t xml:space="preserve">AKSH OPTIFIBRE LTD.</t>
        </is>
      </c>
      <c r="C183" t="inlineStr">
        <is>
          <t xml:space="preserve">INE523B01011</t>
        </is>
      </c>
    </row>
    <row r="184">
      <c r="A184" t="inlineStr">
        <is>
          <t xml:space="preserve">AKSHAR</t>
        </is>
      </c>
      <c r="B184" t="inlineStr">
        <is>
          <t xml:space="preserve">Akshar Spintex Limited</t>
        </is>
      </c>
      <c r="C184" t="inlineStr">
        <is>
          <t xml:space="preserve">INE256Z01025</t>
        </is>
      </c>
    </row>
    <row r="185">
      <c r="A185" t="inlineStr">
        <is>
          <t xml:space="preserve">AKUMS</t>
        </is>
      </c>
      <c r="B185" t="inlineStr">
        <is>
          <t xml:space="preserve">Akums Drugs and Pharmaceutical</t>
        </is>
      </c>
      <c r="C185" t="inlineStr">
        <is>
          <t xml:space="preserve">INE09XN01023</t>
        </is>
      </c>
    </row>
    <row r="186">
      <c r="A186" t="inlineStr">
        <is>
          <t xml:space="preserve">ALSL</t>
        </is>
      </c>
      <c r="B186" t="inlineStr">
        <is>
          <t xml:space="preserve">ALACRITY SECURITIES LTD</t>
        </is>
      </c>
      <c r="C186" t="inlineStr">
        <is>
          <t xml:space="preserve">INE030P01017</t>
        </is>
      </c>
    </row>
    <row r="187">
      <c r="A187" t="inlineStr">
        <is>
          <t xml:space="preserve">ALANSCOTT</t>
        </is>
      </c>
      <c r="B187" t="inlineStr">
        <is>
          <t xml:space="preserve">ALAN SCOTT ENTERPRISES LIMITED</t>
        </is>
      </c>
      <c r="C187" t="inlineStr">
        <is>
          <t xml:space="preserve">INE273F01022</t>
        </is>
      </c>
    </row>
    <row r="188">
      <c r="A188" t="inlineStr">
        <is>
          <t xml:space="preserve">ALANKIT</t>
        </is>
      </c>
      <c r="B188" t="inlineStr">
        <is>
          <t xml:space="preserve">ALANKIT</t>
        </is>
      </c>
      <c r="C188" t="inlineStr">
        <is>
          <t xml:space="preserve">INE914E01040</t>
        </is>
      </c>
    </row>
    <row r="189">
      <c r="A189" t="inlineStr">
        <is>
          <t xml:space="preserve">ALBERTDAVD</t>
        </is>
      </c>
      <c r="B189" t="inlineStr">
        <is>
          <t xml:space="preserve">ALBERT DAVID LTD.</t>
        </is>
      </c>
      <c r="C189" t="inlineStr">
        <is>
          <t xml:space="preserve">INE155C01010</t>
        </is>
      </c>
    </row>
    <row r="190">
      <c r="A190" t="inlineStr">
        <is>
          <t xml:space="preserve">ALEMBICLTD</t>
        </is>
      </c>
      <c r="B190" t="inlineStr">
        <is>
          <t xml:space="preserve">ALEMBIC LTD.</t>
        </is>
      </c>
      <c r="C190" t="inlineStr">
        <is>
          <t xml:space="preserve">INE426A01027</t>
        </is>
      </c>
    </row>
    <row r="191">
      <c r="A191" t="inlineStr">
        <is>
          <t xml:space="preserve">APLLTD</t>
        </is>
      </c>
      <c r="B191" t="inlineStr">
        <is>
          <t xml:space="preserve">ALEMBIC PHARMACEUTICALS LTD.</t>
        </is>
      </c>
      <c r="C191" t="inlineStr">
        <is>
          <t xml:space="preserve">INE901L01018</t>
        </is>
      </c>
    </row>
    <row r="192">
      <c r="A192" t="inlineStr">
        <is>
          <t xml:space="preserve">ALEXANDER</t>
        </is>
      </c>
      <c r="B192" t="inlineStr">
        <is>
          <t xml:space="preserve">Alexander Stamps And Coin Limi</t>
        </is>
      </c>
      <c r="C192" t="inlineStr">
        <is>
          <t xml:space="preserve">INE191N01012</t>
        </is>
      </c>
    </row>
    <row r="193">
      <c r="A193" t="inlineStr">
        <is>
          <t xml:space="preserve">ALFAICA</t>
        </is>
      </c>
      <c r="B193" t="inlineStr">
        <is>
          <t xml:space="preserve">ALFA ICA (INDIA) LTD.</t>
        </is>
      </c>
      <c r="C193" t="inlineStr">
        <is>
          <t xml:space="preserve">INE042C01010</t>
        </is>
      </c>
    </row>
    <row r="194">
      <c r="A194" t="inlineStr">
        <is>
          <t xml:space="preserve">ALFATRAN</t>
        </is>
      </c>
      <c r="B194" t="inlineStr">
        <is>
          <t xml:space="preserve">ALFA TRANSFORMERS LTD.</t>
        </is>
      </c>
      <c r="C194" t="inlineStr">
        <is>
          <t xml:space="preserve">INE209C01015</t>
        </is>
      </c>
    </row>
    <row r="195">
      <c r="A195" t="inlineStr">
        <is>
          <t xml:space="preserve">ALFAVIO</t>
        </is>
      </c>
      <c r="B195" t="inlineStr">
        <is>
          <t xml:space="preserve">ALFAVISION OVERSEAS (INDIA) LT</t>
        </is>
      </c>
      <c r="C195" t="inlineStr">
        <is>
          <t xml:space="preserve">INE883B01027</t>
        </is>
      </c>
    </row>
    <row r="196">
      <c r="A196" t="inlineStr">
        <is>
          <t xml:space="preserve">ALFREDHE</t>
        </is>
      </c>
      <c r="B196" t="inlineStr">
        <is>
          <t xml:space="preserve">ALFRED HERBERT (INDIA) LTD.</t>
        </is>
      </c>
      <c r="C196" t="inlineStr">
        <is>
          <t xml:space="preserve">INE782D01027</t>
        </is>
      </c>
    </row>
    <row r="197">
      <c r="A197" t="inlineStr">
        <is>
          <t xml:space="preserve">ALGOQUANT</t>
        </is>
      </c>
      <c r="B197" t="inlineStr">
        <is>
          <t xml:space="preserve">ALGOQUANT FINTECH LIMITED</t>
        </is>
      </c>
      <c r="C197" t="inlineStr">
        <is>
          <t xml:space="preserve">INE598D01035</t>
        </is>
      </c>
    </row>
    <row r="198">
      <c r="A198" t="inlineStr">
        <is>
          <t xml:space="preserve">ALICON</t>
        </is>
      </c>
      <c r="B198" t="inlineStr">
        <is>
          <t xml:space="preserve">ALICON CASTALLOY LIMITED</t>
        </is>
      </c>
      <c r="C198" t="inlineStr">
        <is>
          <t xml:space="preserve">INE062D01024</t>
        </is>
      </c>
    </row>
    <row r="199">
      <c r="A199" t="inlineStr">
        <is>
          <t xml:space="preserve">ALIVUS</t>
        </is>
      </c>
      <c r="B199" t="inlineStr">
        <is>
          <t xml:space="preserve">ALIVUS LIFE SCIENCES LIMITED</t>
        </is>
      </c>
      <c r="C199" t="inlineStr">
        <is>
          <t xml:space="preserve">INE03Q201024</t>
        </is>
      </c>
    </row>
    <row r="200">
      <c r="A200" t="inlineStr">
        <is>
          <t xml:space="preserve">ALKALI</t>
        </is>
      </c>
      <c r="B200" t="inlineStr">
        <is>
          <t xml:space="preserve">ALKALI METALS LTD.</t>
        </is>
      </c>
      <c r="C200" t="inlineStr">
        <is>
          <t xml:space="preserve">INE773I01017</t>
        </is>
      </c>
    </row>
    <row r="201">
      <c r="A201" t="inlineStr">
        <is>
          <t xml:space="preserve">ALKEM</t>
        </is>
      </c>
      <c r="B201" t="inlineStr">
        <is>
          <t xml:space="preserve">Alkem Laboratories Limited</t>
        </is>
      </c>
      <c r="C201" t="inlineStr">
        <is>
          <t xml:space="preserve">INE540L01014</t>
        </is>
      </c>
    </row>
    <row r="202">
      <c r="A202" t="inlineStr">
        <is>
          <t xml:space="preserve">ALKOSIGN</t>
        </is>
      </c>
      <c r="B202" t="inlineStr">
        <is>
          <t xml:space="preserve">ALKOSIGN LIMITED</t>
        </is>
      </c>
      <c r="C202" t="inlineStr">
        <is>
          <t xml:space="preserve">INE0KA601012</t>
        </is>
      </c>
    </row>
    <row r="203">
      <c r="A203" t="inlineStr">
        <is>
          <t xml:space="preserve">ALKYLAMINE</t>
        </is>
      </c>
      <c r="B203" t="inlineStr">
        <is>
          <t xml:space="preserve">ALKYL AMINES CHEMICALS LTD.</t>
        </is>
      </c>
      <c r="C203" t="inlineStr">
        <is>
          <t xml:space="preserve">INE150B01039</t>
        </is>
      </c>
    </row>
    <row r="204">
      <c r="A204" t="inlineStr">
        <is>
          <t xml:space="preserve">ALLTIME</t>
        </is>
      </c>
      <c r="B204" t="inlineStr">
        <is>
          <t xml:space="preserve">ALL TIME PLASTICS LIMITED</t>
        </is>
      </c>
      <c r="C204" t="inlineStr">
        <is>
          <t xml:space="preserve">INE0GV601021</t>
        </is>
      </c>
    </row>
    <row r="205">
      <c r="A205" t="inlineStr">
        <is>
          <t xml:space="preserve">AGL</t>
        </is>
      </c>
      <c r="B205" t="inlineStr">
        <is>
          <t xml:space="preserve">Allcargo Global Limited</t>
        </is>
      </c>
      <c r="C205" t="inlineStr">
        <is>
          <t xml:space="preserve">INE1YPB01014</t>
        </is>
      </c>
    </row>
    <row r="206">
      <c r="A206" t="inlineStr">
        <is>
          <t xml:space="preserve">ALLCARGO</t>
        </is>
      </c>
      <c r="B206" t="inlineStr">
        <is>
          <t xml:space="preserve">ALLCARGO LOGISTICS LTD.</t>
        </is>
      </c>
      <c r="C206" t="inlineStr">
        <is>
          <t xml:space="preserve">INE418H01029</t>
        </is>
      </c>
    </row>
    <row r="207">
      <c r="A207" t="inlineStr">
        <is>
          <t xml:space="preserve">ATL</t>
        </is>
      </c>
      <c r="B207" t="inlineStr">
        <is>
          <t xml:space="preserve">Allcargo Terminals Limited</t>
        </is>
      </c>
      <c r="C207" t="inlineStr">
        <is>
          <t xml:space="preserve">INE0NN701020</t>
        </is>
      </c>
    </row>
    <row r="208">
      <c r="A208" t="inlineStr">
        <is>
          <t xml:space="preserve">ALLDIGI</t>
        </is>
      </c>
      <c r="B208" t="inlineStr">
        <is>
          <t xml:space="preserve">Alldigi Tech Limited</t>
        </is>
      </c>
      <c r="C208" t="inlineStr">
        <is>
          <t xml:space="preserve">INE835G01018</t>
        </is>
      </c>
    </row>
    <row r="209">
      <c r="A209" t="inlineStr">
        <is>
          <t xml:space="preserve">AIML</t>
        </is>
      </c>
      <c r="B209" t="inlineStr">
        <is>
          <t xml:space="preserve">ALLIANCE INTEGRATED METALIKS L</t>
        </is>
      </c>
      <c r="C209" t="inlineStr">
        <is>
          <t xml:space="preserve">INE123D01024</t>
        </is>
      </c>
    </row>
    <row r="210">
      <c r="A210" t="inlineStr">
        <is>
          <t xml:space="preserve">ABDL</t>
        </is>
      </c>
      <c r="B210" t="inlineStr">
        <is>
          <t xml:space="preserve">Allied Blenders and Distillers</t>
        </is>
      </c>
      <c r="C210" t="inlineStr">
        <is>
          <t xml:space="preserve">INE552Z01027</t>
        </is>
      </c>
    </row>
    <row r="211">
      <c r="A211" t="inlineStr">
        <is>
          <t xml:space="preserve">ADSL</t>
        </is>
      </c>
      <c r="B211" t="inlineStr">
        <is>
          <t xml:space="preserve">ALLIED DIGITAL SERVICES LTD.</t>
        </is>
      </c>
      <c r="C211" t="inlineStr">
        <is>
          <t xml:space="preserve">INE102I01027</t>
        </is>
      </c>
    </row>
    <row r="212">
      <c r="A212" t="inlineStr">
        <is>
          <t xml:space="preserve">ALMONDZ</t>
        </is>
      </c>
      <c r="B212" t="inlineStr">
        <is>
          <t xml:space="preserve">ALMONDZ GLOBAL SECURITIES LTD.</t>
        </is>
      </c>
      <c r="C212" t="inlineStr">
        <is>
          <t xml:space="preserve">INE326B01035</t>
        </is>
      </c>
    </row>
    <row r="213">
      <c r="A213" t="inlineStr">
        <is>
          <t xml:space="preserve">ALOKINDS</t>
        </is>
      </c>
      <c r="B213" t="inlineStr">
        <is>
          <t xml:space="preserve">ALOK INDUSTRIES LTD.</t>
        </is>
      </c>
      <c r="C213" t="inlineStr">
        <is>
          <t xml:space="preserve">INE270A01029</t>
        </is>
      </c>
    </row>
    <row r="214">
      <c r="A214" t="inlineStr">
        <is>
          <t xml:space="preserve">ALPA</t>
        </is>
      </c>
      <c r="B214" t="inlineStr">
        <is>
          <t xml:space="preserve">ALPA LABORATORIES LTD.</t>
        </is>
      </c>
      <c r="C214" t="inlineStr">
        <is>
          <t xml:space="preserve">INE385I01010</t>
        </is>
      </c>
    </row>
    <row r="215">
      <c r="A215" t="inlineStr">
        <is>
          <t xml:space="preserve">ALPHAGEO</t>
        </is>
      </c>
      <c r="B215" t="inlineStr">
        <is>
          <t xml:space="preserve">ALPHAGEO (INDIA) LTD.</t>
        </is>
      </c>
      <c r="C215" t="inlineStr">
        <is>
          <t xml:space="preserve">INE137C01018</t>
        </is>
      </c>
    </row>
    <row r="216">
      <c r="A216" t="inlineStr">
        <is>
          <t xml:space="preserve">ALPHAIND</t>
        </is>
      </c>
      <c r="B216" t="inlineStr">
        <is>
          <t xml:space="preserve">ALPHALOGIC INDUSTRIES LIMITED</t>
        </is>
      </c>
      <c r="C216" t="inlineStr">
        <is>
          <t xml:space="preserve">INE0NZF01019</t>
        </is>
      </c>
    </row>
    <row r="217">
      <c r="A217" t="inlineStr">
        <is>
          <t xml:space="preserve">ALPHALOGIC</t>
        </is>
      </c>
      <c r="B217" t="inlineStr">
        <is>
          <t xml:space="preserve">Alphalogic Techsys Limited</t>
        </is>
      </c>
      <c r="C217" t="inlineStr">
        <is>
          <t xml:space="preserve">INE08E401029</t>
        </is>
      </c>
    </row>
    <row r="218">
      <c r="A218" t="inlineStr">
        <is>
          <t xml:space="preserve">ALPINEHOU</t>
        </is>
      </c>
      <c r="B218" t="inlineStr">
        <is>
          <t xml:space="preserve">ALPINE HOUSING DEVELOPMENT COR</t>
        </is>
      </c>
      <c r="C218" t="inlineStr">
        <is>
          <t xml:space="preserve">INE840D01015</t>
        </is>
      </c>
    </row>
    <row r="219">
      <c r="A219" t="inlineStr">
        <is>
          <t xml:space="preserve">ALTIUSINVIT</t>
        </is>
      </c>
      <c r="B219" t="inlineStr">
        <is>
          <t xml:space="preserve">Altius Telecom Infrastructure</t>
        </is>
      </c>
      <c r="C219" t="inlineStr">
        <is>
          <t xml:space="preserve">INE0BWS23018</t>
        </is>
      </c>
    </row>
    <row r="220">
      <c r="A220" t="inlineStr">
        <is>
          <t xml:space="preserve">ALUFLUOR</t>
        </is>
      </c>
      <c r="B220" t="inlineStr">
        <is>
          <t xml:space="preserve">ALUFLUORIDE LTD.</t>
        </is>
      </c>
      <c r="C220" t="inlineStr">
        <is>
          <t xml:space="preserve">INE058F01019</t>
        </is>
      </c>
    </row>
    <row r="221">
      <c r="A221" t="inlineStr">
        <is>
          <t xml:space="preserve">AMAGI</t>
        </is>
      </c>
      <c r="B221" t="inlineStr">
        <is>
          <t xml:space="preserve">Amagi Media Labs Limited</t>
        </is>
      </c>
      <c r="C221" t="inlineStr">
        <is>
          <t xml:space="preserve">INE121R01077</t>
        </is>
      </c>
    </row>
    <row r="222">
      <c r="A222" t="inlineStr">
        <is>
          <t xml:space="preserve">AMAL</t>
        </is>
      </c>
      <c r="B222" t="inlineStr">
        <is>
          <t xml:space="preserve">AMAL LTD.</t>
        </is>
      </c>
      <c r="C222" t="inlineStr">
        <is>
          <t xml:space="preserve">INE841D01013</t>
        </is>
      </c>
    </row>
    <row r="223">
      <c r="A223" t="inlineStr">
        <is>
          <t xml:space="preserve">AMALGAM</t>
        </is>
      </c>
      <c r="B223" t="inlineStr">
        <is>
          <t xml:space="preserve">AMALGAMATED ELECTRICITY CO.LTD</t>
        </is>
      </c>
      <c r="C223" t="inlineStr">
        <is>
          <t xml:space="preserve">INE492N01022</t>
        </is>
      </c>
    </row>
    <row r="224">
      <c r="A224" t="inlineStr">
        <is>
          <t xml:space="preserve">AMANTA</t>
        </is>
      </c>
      <c r="B224" t="inlineStr">
        <is>
          <t xml:space="preserve">Amanta Healthcare Limited</t>
        </is>
      </c>
      <c r="C224" t="inlineStr">
        <is>
          <t xml:space="preserve">INE084K01015</t>
        </is>
      </c>
    </row>
    <row r="225">
      <c r="A225" t="inlineStr">
        <is>
          <t xml:space="preserve">ARE&amp;M</t>
        </is>
      </c>
      <c r="B225" t="inlineStr">
        <is>
          <t xml:space="preserve">Amara Raja Energy &amp; Mobility L</t>
        </is>
      </c>
      <c r="C225" t="inlineStr">
        <is>
          <t xml:space="preserve">INE885A01032</t>
        </is>
      </c>
    </row>
    <row r="226">
      <c r="A226" t="inlineStr">
        <is>
          <t xml:space="preserve">AMARJOTHI</t>
        </is>
      </c>
      <c r="B226" t="inlineStr">
        <is>
          <t xml:space="preserve">AMARJOTHI SPINNING MILLS LTD.</t>
        </is>
      </c>
      <c r="C226" t="inlineStr">
        <is>
          <t xml:space="preserve">INE484D01012</t>
        </is>
      </c>
    </row>
    <row r="227">
      <c r="A227" t="inlineStr">
        <is>
          <t xml:space="preserve">AMARSEC</t>
        </is>
      </c>
      <c r="B227" t="inlineStr">
        <is>
          <t xml:space="preserve">AMARNATH SECURITIES LTD</t>
        </is>
      </c>
      <c r="C227" t="inlineStr">
        <is>
          <t xml:space="preserve">INE745P01010</t>
        </is>
      </c>
    </row>
    <row r="228">
      <c r="A228" t="inlineStr">
        <is>
          <t xml:space="preserve">AEL</t>
        </is>
      </c>
      <c r="B228" t="inlineStr">
        <is>
          <t xml:space="preserve">Amba Enterprises Ltd.</t>
        </is>
      </c>
      <c r="C228" t="inlineStr">
        <is>
          <t xml:space="preserve">INE829P01020</t>
        </is>
      </c>
    </row>
    <row r="229">
      <c r="A229" t="inlineStr">
        <is>
          <t xml:space="preserve">AMBALALSA</t>
        </is>
      </c>
      <c r="B229" t="inlineStr">
        <is>
          <t xml:space="preserve">AMBALAL SARABHAI ENTERPRISES L</t>
        </is>
      </c>
      <c r="C229" t="inlineStr">
        <is>
          <t xml:space="preserve">INE432A01017</t>
        </is>
      </c>
    </row>
    <row r="230">
      <c r="A230" t="inlineStr">
        <is>
          <t xml:space="preserve">AMBARPIL</t>
        </is>
      </c>
      <c r="B230" t="inlineStr">
        <is>
          <t xml:space="preserve">Ambar Protein Industries Limit</t>
        </is>
      </c>
      <c r="C230" t="inlineStr">
        <is>
          <t xml:space="preserve">INE072V01017</t>
        </is>
      </c>
    </row>
    <row r="231">
      <c r="A231" t="inlineStr">
        <is>
          <t xml:space="preserve">AIHL</t>
        </is>
      </c>
      <c r="B231" t="inlineStr">
        <is>
          <t xml:space="preserve">AMBASSADOR INTRA HOLDINGS LIMI</t>
        </is>
      </c>
      <c r="C231" t="inlineStr">
        <is>
          <t xml:space="preserve">INE342U01016</t>
        </is>
      </c>
    </row>
    <row r="232">
      <c r="A232" t="inlineStr">
        <is>
          <t xml:space="preserve">AMBER</t>
        </is>
      </c>
      <c r="B232" t="inlineStr">
        <is>
          <t xml:space="preserve">Amber Enterprises India Limite</t>
        </is>
      </c>
      <c r="C232" t="inlineStr">
        <is>
          <t xml:space="preserve">INE371P01015</t>
        </is>
      </c>
    </row>
    <row r="233">
      <c r="A233" t="inlineStr">
        <is>
          <t xml:space="preserve">AMBICAAGAR</t>
        </is>
      </c>
      <c r="B233" t="inlineStr">
        <is>
          <t xml:space="preserve">AMBICA AGARBATHIES &amp; AROMA IND</t>
        </is>
      </c>
      <c r="C233" t="inlineStr">
        <is>
          <t xml:space="preserve">INE792B01012</t>
        </is>
      </c>
    </row>
    <row r="234">
      <c r="A234" t="inlineStr">
        <is>
          <t xml:space="preserve">AMBIKCO</t>
        </is>
      </c>
      <c r="B234" t="inlineStr">
        <is>
          <t xml:space="preserve">AMBIKA COTTON MILLS LTD.</t>
        </is>
      </c>
      <c r="C234" t="inlineStr">
        <is>
          <t xml:space="preserve">INE540G01014</t>
        </is>
      </c>
    </row>
    <row r="235">
      <c r="A235" t="inlineStr">
        <is>
          <t xml:space="preserve">AMBIT</t>
        </is>
      </c>
      <c r="B235" t="inlineStr">
        <is>
          <t xml:space="preserve">AMBITIOUS PLASTOMAC COMPANY LT</t>
        </is>
      </c>
      <c r="C235" t="inlineStr">
        <is>
          <t xml:space="preserve">INE267C01013</t>
        </is>
      </c>
    </row>
    <row r="236">
      <c r="A236" t="inlineStr">
        <is>
          <t xml:space="preserve">AMBOAGRI</t>
        </is>
      </c>
      <c r="B236" t="inlineStr">
        <is>
          <t xml:space="preserve">AMBO AGRITEC LIMITED</t>
        </is>
      </c>
      <c r="C236" t="inlineStr">
        <is>
          <t xml:space="preserve">INE0N6V01016</t>
        </is>
      </c>
    </row>
    <row r="237">
      <c r="A237" t="inlineStr">
        <is>
          <t xml:space="preserve">AMBUJACEM</t>
        </is>
      </c>
      <c r="B237" t="inlineStr">
        <is>
          <t xml:space="preserve">AMBUJA CEMENTS LTD.</t>
        </is>
      </c>
      <c r="C237" t="inlineStr">
        <is>
          <t xml:space="preserve">INE079A01024</t>
        </is>
      </c>
    </row>
    <row r="238">
      <c r="A238" t="inlineStr">
        <is>
          <t xml:space="preserve">AMCOIND</t>
        </is>
      </c>
      <c r="B238" t="inlineStr">
        <is>
          <t xml:space="preserve">AMCO INDIA LTD.</t>
        </is>
      </c>
      <c r="C238" t="inlineStr">
        <is>
          <t xml:space="preserve">INE924B01011</t>
        </is>
      </c>
    </row>
    <row r="239">
      <c r="A239" t="inlineStr">
        <is>
          <t xml:space="preserve">AMDIND</t>
        </is>
      </c>
      <c r="B239" t="inlineStr">
        <is>
          <t xml:space="preserve">AMD INDUSTRIES LTD.</t>
        </is>
      </c>
      <c r="C239" t="inlineStr">
        <is>
          <t xml:space="preserve">INE005I01014</t>
        </is>
      </c>
    </row>
    <row r="240">
      <c r="A240" t="inlineStr">
        <is>
          <t xml:space="preserve">AMEENJI</t>
        </is>
      </c>
      <c r="B240" t="inlineStr">
        <is>
          <t xml:space="preserve">AMEENJI RUBBER LIMITED</t>
        </is>
      </c>
      <c r="C240" t="inlineStr">
        <is>
          <t xml:space="preserve">INE14QA01016</t>
        </is>
      </c>
    </row>
    <row r="241">
      <c r="A241" t="inlineStr">
        <is>
          <t xml:space="preserve">AMERISE</t>
        </is>
      </c>
      <c r="B241" t="inlineStr">
        <is>
          <t xml:space="preserve">AMERISE BIOSCIENCES LIMITED</t>
        </is>
      </c>
      <c r="C241" t="inlineStr">
        <is>
          <t xml:space="preserve">INE673C01020</t>
        </is>
      </c>
    </row>
    <row r="242">
      <c r="A242" t="inlineStr">
        <is>
          <t xml:space="preserve">AMFORG</t>
        </is>
      </c>
      <c r="B242" t="inlineStr">
        <is>
          <t xml:space="preserve">AMFORGE INDUSTRIES LTD.</t>
        </is>
      </c>
      <c r="C242" t="inlineStr">
        <is>
          <t xml:space="preserve">INE991A01020</t>
        </is>
      </c>
    </row>
    <row r="243">
      <c r="A243" t="inlineStr">
        <is>
          <t xml:space="preserve">AMIC</t>
        </is>
      </c>
      <c r="B243" t="inlineStr">
        <is>
          <t xml:space="preserve">Amic Forging Limited</t>
        </is>
      </c>
      <c r="C243" t="inlineStr">
        <is>
          <t xml:space="preserve">INE0P9J01013</t>
        </is>
      </c>
    </row>
    <row r="244">
      <c r="A244" t="inlineStr">
        <is>
          <t xml:space="preserve">AMINTAN</t>
        </is>
      </c>
      <c r="B244" t="inlineStr">
        <is>
          <t xml:space="preserve">AMIN TANNERY LIMITED</t>
        </is>
      </c>
      <c r="C244" t="inlineStr">
        <is>
          <t xml:space="preserve">INE572Z01017</t>
        </is>
      </c>
    </row>
    <row r="245">
      <c r="A245" t="inlineStr">
        <is>
          <t xml:space="preserve">AMNPLST</t>
        </is>
      </c>
      <c r="B245" t="inlineStr">
        <is>
          <t xml:space="preserve">AMINES &amp; PLASTICIZERS LTD.</t>
        </is>
      </c>
      <c r="C245" t="inlineStr">
        <is>
          <t xml:space="preserve">INE275D01022</t>
        </is>
      </c>
    </row>
    <row r="246">
      <c r="A246" t="inlineStr">
        <is>
          <t xml:space="preserve">AMIRCHAND</t>
        </is>
      </c>
      <c r="B246" t="inlineStr">
        <is>
          <t xml:space="preserve">Amir Chand Jagdish Kumar (Expo</t>
        </is>
      </c>
      <c r="C246" t="inlineStr">
        <is>
          <t xml:space="preserve">INE05TO01019</t>
        </is>
      </c>
    </row>
    <row r="247">
      <c r="A247" t="inlineStr">
        <is>
          <t xml:space="preserve">AMITSEC</t>
        </is>
      </c>
      <c r="B247" t="inlineStr">
        <is>
          <t xml:space="preserve">AMIT SECURITIES LTD.</t>
        </is>
      </c>
      <c r="C247" t="inlineStr">
        <is>
          <t xml:space="preserve">INE137E01014</t>
        </is>
      </c>
    </row>
    <row r="248">
      <c r="A248" t="inlineStr">
        <is>
          <t xml:space="preserve">AMJLAND</t>
        </is>
      </c>
      <c r="B248" t="inlineStr">
        <is>
          <t xml:space="preserve">AMJ LAND HOLDINGS LIMITED</t>
        </is>
      </c>
      <c r="C248" t="inlineStr">
        <is>
          <t xml:space="preserve">INE606A01024</t>
        </is>
      </c>
    </row>
    <row r="249">
      <c r="A249" t="inlineStr">
        <is>
          <t xml:space="preserve">AMKAY</t>
        </is>
      </c>
      <c r="B249" t="inlineStr">
        <is>
          <t xml:space="preserve">Amkay Products Limited</t>
        </is>
      </c>
      <c r="C249" t="inlineStr">
        <is>
          <t xml:space="preserve">INE0QSB01016</t>
        </is>
      </c>
    </row>
    <row r="250">
      <c r="A250" t="inlineStr">
        <is>
          <t xml:space="preserve">AMPL</t>
        </is>
      </c>
      <c r="B250" t="inlineStr">
        <is>
          <t xml:space="preserve">AMPL Capital Limited</t>
        </is>
      </c>
      <c r="C250" t="inlineStr">
        <is>
          <t xml:space="preserve">INE727C01024</t>
        </is>
      </c>
    </row>
    <row r="251">
      <c r="A251" t="inlineStr">
        <is>
          <t xml:space="preserve">AMPVOLTS</t>
        </is>
      </c>
      <c r="B251" t="inlineStr">
        <is>
          <t xml:space="preserve">AMPVOLTS LIMITED</t>
        </is>
      </c>
      <c r="C251" t="inlineStr">
        <is>
          <t xml:space="preserve">INE989J01017</t>
        </is>
      </c>
    </row>
    <row r="252">
      <c r="A252" t="inlineStr">
        <is>
          <t xml:space="preserve">AMRAPLIN</t>
        </is>
      </c>
      <c r="B252" t="inlineStr">
        <is>
          <t xml:space="preserve">AMRAPALI INDUSTRIES LTD.</t>
        </is>
      </c>
      <c r="C252" t="inlineStr">
        <is>
          <t xml:space="preserve">INE762C01021</t>
        </is>
      </c>
    </row>
    <row r="253">
      <c r="A253" t="inlineStr">
        <is>
          <t xml:space="preserve">AMRAAGRI</t>
        </is>
      </c>
      <c r="B253" t="inlineStr">
        <is>
          <t xml:space="preserve">AMRAWORLD AGRICO LTD.</t>
        </is>
      </c>
      <c r="C253" t="inlineStr">
        <is>
          <t xml:space="preserve">INE735C01027</t>
        </is>
      </c>
    </row>
    <row r="254">
      <c r="A254" t="inlineStr">
        <is>
          <t xml:space="preserve">AMRUTANJAN</t>
        </is>
      </c>
      <c r="B254" t="inlineStr">
        <is>
          <t xml:space="preserve">AMRUTANJAN HEALTH CARE LTD.</t>
        </is>
      </c>
      <c r="C254" t="inlineStr">
        <is>
          <t xml:space="preserve">INE098F01031</t>
        </is>
      </c>
    </row>
    <row r="255">
      <c r="A255" t="inlineStr">
        <is>
          <t xml:space="preserve">AMS</t>
        </is>
      </c>
      <c r="B255" t="inlineStr">
        <is>
          <t xml:space="preserve">AMS POLYMERS LIMITED</t>
        </is>
      </c>
      <c r="C255" t="inlineStr">
        <is>
          <t xml:space="preserve">INE345U01019</t>
        </is>
      </c>
    </row>
    <row r="256">
      <c r="A256" t="inlineStr">
        <is>
          <t xml:space="preserve">AMWILL</t>
        </is>
      </c>
      <c r="B256" t="inlineStr">
        <is>
          <t xml:space="preserve">Amwill Health Care Limited</t>
        </is>
      </c>
      <c r="C256" t="inlineStr">
        <is>
          <t xml:space="preserve">INE0U2L01017</t>
        </is>
      </c>
    </row>
    <row r="257">
      <c r="A257" t="inlineStr">
        <is>
          <t xml:space="preserve">ANANDPROJ</t>
        </is>
      </c>
      <c r="B257" t="inlineStr">
        <is>
          <t xml:space="preserve">ANAND PROJECTS LTD</t>
        </is>
      </c>
      <c r="C257" t="inlineStr">
        <is>
          <t xml:space="preserve">INE134R01013</t>
        </is>
      </c>
    </row>
    <row r="258">
      <c r="A258" t="inlineStr">
        <is>
          <t xml:space="preserve">ARSSBL</t>
        </is>
      </c>
      <c r="B258" t="inlineStr">
        <is>
          <t xml:space="preserve">ANAND RATHI SHARE AND STOCK BR</t>
        </is>
      </c>
      <c r="C258" t="inlineStr">
        <is>
          <t xml:space="preserve">INE549H01021</t>
        </is>
      </c>
    </row>
    <row r="259">
      <c r="A259" t="inlineStr">
        <is>
          <t xml:space="preserve">ANANDRATHI</t>
        </is>
      </c>
      <c r="B259" t="inlineStr">
        <is>
          <t xml:space="preserve">Anand Rathi Wealth Limited</t>
        </is>
      </c>
      <c r="C259" t="inlineStr">
        <is>
          <t xml:space="preserve">INE463V01026</t>
        </is>
      </c>
    </row>
    <row r="260">
      <c r="A260" t="inlineStr">
        <is>
          <t xml:space="preserve">ARL</t>
        </is>
      </c>
      <c r="B260" t="inlineStr">
        <is>
          <t xml:space="preserve">Anand Rayons Limited</t>
        </is>
      </c>
      <c r="C260" t="inlineStr">
        <is>
          <t xml:space="preserve">INE02GA01012</t>
        </is>
      </c>
    </row>
    <row r="261">
      <c r="A261" t="inlineStr">
        <is>
          <t xml:space="preserve">ANANTRAJ</t>
        </is>
      </c>
      <c r="B261" t="inlineStr">
        <is>
          <t xml:space="preserve">ANANT RAJ LIMITED</t>
        </is>
      </c>
      <c r="C261" t="inlineStr">
        <is>
          <t xml:space="preserve">INE242C01024</t>
        </is>
      </c>
    </row>
    <row r="262">
      <c r="A262" t="inlineStr">
        <is>
          <t xml:space="preserve">ANANTAM</t>
        </is>
      </c>
      <c r="B262" t="inlineStr">
        <is>
          <t xml:space="preserve">Anantam Highways Trust</t>
        </is>
      </c>
      <c r="C262" t="inlineStr">
        <is>
          <t xml:space="preserve">INE1UA823019</t>
        </is>
      </c>
    </row>
    <row r="263">
      <c r="A263" t="inlineStr">
        <is>
          <t xml:space="preserve">ACL</t>
        </is>
      </c>
      <c r="B263" t="inlineStr">
        <is>
          <t xml:space="preserve">ANDHRA CEMENTS LTD.</t>
        </is>
      </c>
      <c r="C263" t="inlineStr">
        <is>
          <t xml:space="preserve">INE666E01020</t>
        </is>
      </c>
    </row>
    <row r="264">
      <c r="A264" t="inlineStr">
        <is>
          <t xml:space="preserve">ANDHRAPAP</t>
        </is>
      </c>
      <c r="B264" t="inlineStr">
        <is>
          <t xml:space="preserve">ANDHRA PAPER LIMITED</t>
        </is>
      </c>
      <c r="C264" t="inlineStr">
        <is>
          <t xml:space="preserve">INE435A01051</t>
        </is>
      </c>
    </row>
    <row r="265">
      <c r="A265" t="inlineStr">
        <is>
          <t xml:space="preserve">ANDHRAPET</t>
        </is>
      </c>
      <c r="B265" t="inlineStr">
        <is>
          <t xml:space="preserve">ANDHRA PETROCHEMICALS LTD.</t>
        </is>
      </c>
      <c r="C265" t="inlineStr">
        <is>
          <t xml:space="preserve">INE714B01016</t>
        </is>
      </c>
    </row>
    <row r="266">
      <c r="A266" t="inlineStr">
        <is>
          <t xml:space="preserve">ANDHRSUGAR</t>
        </is>
      </c>
      <c r="B266" t="inlineStr">
        <is>
          <t xml:space="preserve">ANDHRA SUGARS LTD.</t>
        </is>
      </c>
      <c r="C266" t="inlineStr">
        <is>
          <t xml:space="preserve">INE715B01021</t>
        </is>
      </c>
    </row>
    <row r="267">
      <c r="A267" t="inlineStr">
        <is>
          <t xml:space="preserve">ANDREWYU</t>
        </is>
      </c>
      <c r="B267" t="inlineStr">
        <is>
          <t xml:space="preserve">ANDREW YULE &amp; COMPANY LTD.</t>
        </is>
      </c>
      <c r="C267" t="inlineStr">
        <is>
          <t xml:space="preserve">INE449C01025</t>
        </is>
      </c>
    </row>
    <row r="268">
      <c r="A268" t="inlineStr">
        <is>
          <t xml:space="preserve">ANG</t>
        </is>
      </c>
      <c r="B268" t="inlineStr">
        <is>
          <t xml:space="preserve">ANG Lifesciences India Limited</t>
        </is>
      </c>
      <c r="C268" t="inlineStr">
        <is>
          <t xml:space="preserve">INE236W01016</t>
        </is>
      </c>
    </row>
    <row r="269">
      <c r="A269" t="inlineStr">
        <is>
          <t xml:space="preserve">ANGELONE</t>
        </is>
      </c>
      <c r="B269" t="inlineStr">
        <is>
          <t xml:space="preserve">ANGEL ONE LIMITED</t>
        </is>
      </c>
      <c r="C269" t="inlineStr">
        <is>
          <t xml:space="preserve">INE732I01021</t>
        </is>
      </c>
    </row>
    <row r="270">
      <c r="A270" t="inlineStr">
        <is>
          <t xml:space="preserve">ANIKINDS</t>
        </is>
      </c>
      <c r="B270" t="inlineStr">
        <is>
          <t xml:space="preserve">ANIK INDUSTRIES LTD.</t>
        </is>
      </c>
      <c r="C270" t="inlineStr">
        <is>
          <t xml:space="preserve">INE087B01017</t>
        </is>
      </c>
    </row>
    <row r="271">
      <c r="A271" t="inlineStr">
        <is>
          <t xml:space="preserve">ANIRIT</t>
        </is>
      </c>
      <c r="B271" t="inlineStr">
        <is>
          <t xml:space="preserve">ANIRIT VENTURES LIMITED</t>
        </is>
      </c>
      <c r="C271" t="inlineStr">
        <is>
          <t xml:space="preserve">INE161F01011</t>
        </is>
      </c>
    </row>
    <row r="272">
      <c r="A272" t="inlineStr">
        <is>
          <t xml:space="preserve">ANJANIFIN</t>
        </is>
      </c>
      <c r="B272" t="inlineStr">
        <is>
          <t xml:space="preserve">ANJANI FINANCE LTD.</t>
        </is>
      </c>
      <c r="C272" t="inlineStr">
        <is>
          <t xml:space="preserve">INE283D01018</t>
        </is>
      </c>
    </row>
    <row r="273">
      <c r="A273" t="inlineStr">
        <is>
          <t xml:space="preserve">ANJANIFOODS</t>
        </is>
      </c>
      <c r="B273" t="inlineStr">
        <is>
          <t xml:space="preserve">Anjani Foods Limited</t>
        </is>
      </c>
      <c r="C273" t="inlineStr">
        <is>
          <t xml:space="preserve">INE096I01021</t>
        </is>
      </c>
    </row>
    <row r="274">
      <c r="A274" t="inlineStr">
        <is>
          <t xml:space="preserve">APCL</t>
        </is>
      </c>
      <c r="B274" t="inlineStr">
        <is>
          <t xml:space="preserve">ANJANI PORTLAND CEMENT LTD.</t>
        </is>
      </c>
      <c r="C274" t="inlineStr">
        <is>
          <t xml:space="preserve">INE071F01012</t>
        </is>
      </c>
    </row>
    <row r="275">
      <c r="A275" t="inlineStr">
        <is>
          <t xml:space="preserve">ANJANI</t>
        </is>
      </c>
      <c r="B275" t="inlineStr">
        <is>
          <t xml:space="preserve">ANJANI SYNTHETICS LTD.</t>
        </is>
      </c>
      <c r="C275" t="inlineStr">
        <is>
          <t xml:space="preserve">INE364D01032</t>
        </is>
      </c>
    </row>
    <row r="276">
      <c r="A276" t="inlineStr">
        <is>
          <t xml:space="preserve">ANKIN</t>
        </is>
      </c>
      <c r="B276" t="inlineStr">
        <is>
          <t xml:space="preserve">ANKA INDIA LTD.</t>
        </is>
      </c>
      <c r="C276" t="inlineStr">
        <is>
          <t xml:space="preserve">INE067C01025</t>
        </is>
      </c>
    </row>
    <row r="277">
      <c r="A277" t="inlineStr">
        <is>
          <t xml:space="preserve">ANKITMETAL</t>
        </is>
      </c>
      <c r="B277" t="inlineStr">
        <is>
          <t xml:space="preserve">ANKIT METAL &amp; POWER LTD.</t>
        </is>
      </c>
      <c r="C277" t="inlineStr">
        <is>
          <t xml:space="preserve">INE106I01010</t>
        </is>
      </c>
    </row>
    <row r="278">
      <c r="A278" t="inlineStr">
        <is>
          <t xml:space="preserve">AHCL</t>
        </is>
      </c>
      <c r="B278" t="inlineStr">
        <is>
          <t xml:space="preserve">ANLON HEALTHCARE LIMITED</t>
        </is>
      </c>
      <c r="C278" t="inlineStr">
        <is>
          <t xml:space="preserve">INE0Y8W01025</t>
        </is>
      </c>
    </row>
    <row r="279">
      <c r="A279" t="inlineStr">
        <is>
          <t xml:space="preserve">ANMOL</t>
        </is>
      </c>
      <c r="B279" t="inlineStr">
        <is>
          <t xml:space="preserve">Anmol India Limited</t>
        </is>
      </c>
      <c r="C279" t="inlineStr">
        <is>
          <t xml:space="preserve">INE02AR01019</t>
        </is>
      </c>
    </row>
    <row r="280">
      <c r="A280" t="inlineStr">
        <is>
          <t xml:space="preserve">ANNAINFRA</t>
        </is>
      </c>
      <c r="B280" t="inlineStr">
        <is>
          <t xml:space="preserve">ANNA INFRASTRUCTURES LTD.</t>
        </is>
      </c>
      <c r="C280" t="inlineStr">
        <is>
          <t xml:space="preserve">INE336D01014</t>
        </is>
      </c>
    </row>
    <row r="281">
      <c r="A281" t="inlineStr">
        <is>
          <t xml:space="preserve">ANVRDHI</t>
        </is>
      </c>
      <c r="B281" t="inlineStr">
        <is>
          <t xml:space="preserve">ANNVRRIDHHI VENTURES LIMITED</t>
        </is>
      </c>
      <c r="C281" t="inlineStr">
        <is>
          <t xml:space="preserve">INE075K01013</t>
        </is>
      </c>
    </row>
    <row r="282">
      <c r="A282" t="inlineStr">
        <is>
          <t xml:space="preserve">ANSINDUS</t>
        </is>
      </c>
      <c r="B282" t="inlineStr">
        <is>
          <t xml:space="preserve">ANS INDUSTRIES LTD</t>
        </is>
      </c>
      <c r="C282" t="inlineStr">
        <is>
          <t xml:space="preserve">INE234J01018</t>
        </is>
      </c>
    </row>
    <row r="283">
      <c r="A283" t="inlineStr">
        <is>
          <t xml:space="preserve">ANSALBU</t>
        </is>
      </c>
      <c r="B283" t="inlineStr">
        <is>
          <t xml:space="preserve">ANSAL BUILDWELL LTD.</t>
        </is>
      </c>
      <c r="C283" t="inlineStr">
        <is>
          <t xml:space="preserve">INE030C01015</t>
        </is>
      </c>
    </row>
    <row r="284">
      <c r="A284" t="inlineStr">
        <is>
          <t xml:space="preserve">ANSALHSG</t>
        </is>
      </c>
      <c r="B284" t="inlineStr">
        <is>
          <t xml:space="preserve">ANSAL HOUSING LIMITED</t>
        </is>
      </c>
      <c r="C284" t="inlineStr">
        <is>
          <t xml:space="preserve">INE880B01015</t>
        </is>
      </c>
    </row>
    <row r="285">
      <c r="A285" t="inlineStr">
        <is>
          <t xml:space="preserve">ANSALAPI</t>
        </is>
      </c>
      <c r="B285" t="inlineStr">
        <is>
          <t xml:space="preserve">ANSAL PROPERTIES &amp; INFRASTRUCT</t>
        </is>
      </c>
      <c r="C285" t="inlineStr">
        <is>
          <t xml:space="preserve">INE436A01026</t>
        </is>
      </c>
    </row>
    <row r="286">
      <c r="A286" t="inlineStr">
        <is>
          <t xml:space="preserve">ANTELOPUS</t>
        </is>
      </c>
      <c r="B286" t="inlineStr">
        <is>
          <t xml:space="preserve">Antelopus Selan Energy Limited</t>
        </is>
      </c>
      <c r="C286" t="inlineStr">
        <is>
          <t xml:space="preserve">INE818A01017</t>
        </is>
      </c>
    </row>
    <row r="287">
      <c r="A287" t="inlineStr">
        <is>
          <t xml:space="preserve">ANTHEM</t>
        </is>
      </c>
      <c r="B287" t="inlineStr">
        <is>
          <t xml:space="preserve">Anthem Biosciences Limited</t>
        </is>
      </c>
      <c r="C287" t="inlineStr">
        <is>
          <t xml:space="preserve">INE0CZ201020</t>
        </is>
      </c>
    </row>
    <row r="288">
      <c r="A288" t="inlineStr">
        <is>
          <t xml:space="preserve">AWHCL</t>
        </is>
      </c>
      <c r="B288" t="inlineStr">
        <is>
          <t xml:space="preserve">Antony Waste Handling Cell Lim</t>
        </is>
      </c>
      <c r="C288" t="inlineStr">
        <is>
          <t xml:space="preserve">INE01BK01022</t>
        </is>
      </c>
    </row>
    <row r="289">
      <c r="A289" t="inlineStr">
        <is>
          <t xml:space="preserve">ANUBHAV</t>
        </is>
      </c>
      <c r="B289" t="inlineStr">
        <is>
          <t xml:space="preserve">ANUBHAV PLAST LIMITED</t>
        </is>
      </c>
      <c r="C289" t="inlineStr">
        <is>
          <t xml:space="preserve">INE1O7201010</t>
        </is>
      </c>
    </row>
    <row r="290">
      <c r="A290" t="inlineStr">
        <is>
          <t xml:space="preserve">ANUHPHR</t>
        </is>
      </c>
      <c r="B290" t="inlineStr">
        <is>
          <t xml:space="preserve">ANUH PHARMA LTD.</t>
        </is>
      </c>
      <c r="C290" t="inlineStr">
        <is>
          <t xml:space="preserve">INE489G01022</t>
        </is>
      </c>
    </row>
    <row r="291">
      <c r="A291" t="inlineStr">
        <is>
          <t xml:space="preserve">ANUPAM</t>
        </is>
      </c>
      <c r="B291" t="inlineStr">
        <is>
          <t xml:space="preserve">ANUPAM FINSERV LIMITED</t>
        </is>
      </c>
      <c r="C291" t="inlineStr">
        <is>
          <t xml:space="preserve">INE069B01023</t>
        </is>
      </c>
    </row>
    <row r="292">
      <c r="A292" t="inlineStr">
        <is>
          <t xml:space="preserve">ANURAS</t>
        </is>
      </c>
      <c r="B292" t="inlineStr">
        <is>
          <t xml:space="preserve">Anupam Rasayan India Limited</t>
        </is>
      </c>
      <c r="C292" t="inlineStr">
        <is>
          <t xml:space="preserve">INE930P01018</t>
        </is>
      </c>
    </row>
    <row r="293">
      <c r="A293" t="inlineStr">
        <is>
          <t xml:space="preserve">ANUROOP</t>
        </is>
      </c>
      <c r="B293" t="inlineStr">
        <is>
          <t xml:space="preserve">Anuroop Packaging Limited</t>
        </is>
      </c>
      <c r="C293" t="inlineStr">
        <is>
          <t xml:space="preserve">INE490Z01012</t>
        </is>
      </c>
    </row>
    <row r="294">
      <c r="A294" t="inlineStr">
        <is>
          <t xml:space="preserve">APARINDS</t>
        </is>
      </c>
      <c r="B294" t="inlineStr">
        <is>
          <t xml:space="preserve">APAR INDUSTRIES LTD.</t>
        </is>
      </c>
      <c r="C294" t="inlineStr">
        <is>
          <t xml:space="preserve">INE372A01015</t>
        </is>
      </c>
    </row>
    <row r="295">
      <c r="A295" t="inlineStr">
        <is>
          <t xml:space="preserve">APCOTEXIND</t>
        </is>
      </c>
      <c r="B295" t="inlineStr">
        <is>
          <t xml:space="preserve">APCOTEX INDUSTRIES LTD.</t>
        </is>
      </c>
      <c r="C295" t="inlineStr">
        <is>
          <t xml:space="preserve">INE116A01032</t>
        </is>
      </c>
    </row>
    <row r="296">
      <c r="A296" t="inlineStr">
        <is>
          <t xml:space="preserve">1032APCR28</t>
        </is>
      </c>
      <c r="B296" t="inlineStr">
        <is>
          <t xml:space="preserve">APCRDA-10.32%-16-8-28-PVT</t>
        </is>
      </c>
      <c r="C296" t="inlineStr">
        <is>
          <t xml:space="preserve">INE01E708057</t>
        </is>
      </c>
    </row>
    <row r="297">
      <c r="A297" t="inlineStr">
        <is>
          <t xml:space="preserve">PARKHOTELS</t>
        </is>
      </c>
      <c r="B297" t="inlineStr">
        <is>
          <t xml:space="preserve">Apeejay Surrendra Park Hotels</t>
        </is>
      </c>
      <c r="C297" t="inlineStr">
        <is>
          <t xml:space="preserve">INE988S01028</t>
        </is>
      </c>
    </row>
    <row r="298">
      <c r="A298" t="inlineStr">
        <is>
          <t xml:space="preserve">APEX</t>
        </is>
      </c>
      <c r="B298" t="inlineStr">
        <is>
          <t xml:space="preserve">Apex Frozen Foods Limited</t>
        </is>
      </c>
      <c r="C298" t="inlineStr">
        <is>
          <t xml:space="preserve">INE346W01013</t>
        </is>
      </c>
    </row>
    <row r="299">
      <c r="A299" t="inlineStr">
        <is>
          <t xml:space="preserve">APIS</t>
        </is>
      </c>
      <c r="B299" t="inlineStr">
        <is>
          <t xml:space="preserve">APIS INDIA LTD.</t>
        </is>
      </c>
      <c r="C299" t="inlineStr">
        <is>
          <t xml:space="preserve">INE070K01014</t>
        </is>
      </c>
    </row>
    <row r="300">
      <c r="A300" t="inlineStr">
        <is>
          <t xml:space="preserve">APLAPOLLO</t>
        </is>
      </c>
      <c r="B300" t="inlineStr">
        <is>
          <t xml:space="preserve">APL APOLLO TUBES LTD.</t>
        </is>
      </c>
      <c r="C300" t="inlineStr">
        <is>
          <t xml:space="preserve">INE702C01027</t>
        </is>
      </c>
    </row>
    <row r="301">
      <c r="A301" t="inlineStr">
        <is>
          <t xml:space="preserve">APLAB</t>
        </is>
      </c>
      <c r="B301" t="inlineStr">
        <is>
          <t xml:space="preserve">APLAB LTD.</t>
        </is>
      </c>
      <c r="C301" t="inlineStr">
        <is>
          <t xml:space="preserve">INE273A01015</t>
        </is>
      </c>
    </row>
    <row r="302">
      <c r="A302" t="inlineStr">
        <is>
          <t xml:space="preserve">APMIN</t>
        </is>
      </c>
      <c r="B302" t="inlineStr">
        <is>
          <t xml:space="preserve">APM INDUSTRIES LTD.</t>
        </is>
      </c>
      <c r="C302" t="inlineStr">
        <is>
          <t xml:space="preserve">INE170D01025</t>
        </is>
      </c>
    </row>
    <row r="303">
      <c r="A303" t="inlineStr">
        <is>
          <t xml:space="preserve">APOLLOFI</t>
        </is>
      </c>
      <c r="B303" t="inlineStr">
        <is>
          <t xml:space="preserve">APOLLO FINVEST (INDIA) LTD.</t>
        </is>
      </c>
      <c r="C303" t="inlineStr">
        <is>
          <t xml:space="preserve">INE412D01013</t>
        </is>
      </c>
    </row>
    <row r="304">
      <c r="A304" t="inlineStr">
        <is>
          <t xml:space="preserve">APOLLOHOSP</t>
        </is>
      </c>
      <c r="B304" t="inlineStr">
        <is>
          <t xml:space="preserve">APOLLO HOSPITALS ENTERPRISE LT</t>
        </is>
      </c>
      <c r="C304" t="inlineStr">
        <is>
          <t xml:space="preserve">INE437A01024</t>
        </is>
      </c>
    </row>
    <row r="305">
      <c r="A305" t="inlineStr">
        <is>
          <t xml:space="preserve">APOLLOIN</t>
        </is>
      </c>
      <c r="B305" t="inlineStr">
        <is>
          <t xml:space="preserve">Apollo Ingredients Limited</t>
        </is>
      </c>
      <c r="C305" t="inlineStr">
        <is>
          <t xml:space="preserve">INE314N01028</t>
        </is>
      </c>
    </row>
    <row r="306">
      <c r="A306" t="inlineStr">
        <is>
          <t xml:space="preserve">APOLLO</t>
        </is>
      </c>
      <c r="B306" t="inlineStr">
        <is>
          <t xml:space="preserve">Apollo Micro Systems Limited</t>
        </is>
      </c>
      <c r="C306" t="inlineStr">
        <is>
          <t xml:space="preserve">INE713T01028</t>
        </is>
      </c>
    </row>
    <row r="307">
      <c r="A307" t="inlineStr">
        <is>
          <t xml:space="preserve">APOLLOPIPE</t>
        </is>
      </c>
      <c r="B307" t="inlineStr">
        <is>
          <t xml:space="preserve">APOLLO PIPES LIMITED</t>
        </is>
      </c>
      <c r="C307" t="inlineStr">
        <is>
          <t xml:space="preserve">INE126J01016</t>
        </is>
      </c>
    </row>
    <row r="308">
      <c r="A308" t="inlineStr">
        <is>
          <t xml:space="preserve">ATIL</t>
        </is>
      </c>
      <c r="B308" t="inlineStr">
        <is>
          <t xml:space="preserve">APOLLO TECHNO INDUSTRIES LIMIT</t>
        </is>
      </c>
      <c r="C308" t="inlineStr">
        <is>
          <t xml:space="preserve">INE0X4A01013</t>
        </is>
      </c>
    </row>
    <row r="309">
      <c r="A309" t="inlineStr">
        <is>
          <t xml:space="preserve">APOLLOTYRE</t>
        </is>
      </c>
      <c r="B309" t="inlineStr">
        <is>
          <t xml:space="preserve">APOLLO TYRES LTD.</t>
        </is>
      </c>
      <c r="C309" t="inlineStr">
        <is>
          <t xml:space="preserve">INE438A01022</t>
        </is>
      </c>
    </row>
    <row r="310">
      <c r="A310" t="inlineStr">
        <is>
          <t xml:space="preserve">APOORVA</t>
        </is>
      </c>
      <c r="B310" t="inlineStr">
        <is>
          <t xml:space="preserve">Apoorva Leasing Finance &amp; Inve</t>
        </is>
      </c>
      <c r="C310" t="inlineStr">
        <is>
          <t xml:space="preserve">INE217S01014</t>
        </is>
      </c>
    </row>
    <row r="311">
      <c r="A311" t="inlineStr">
        <is>
          <t xml:space="preserve">962APSB27</t>
        </is>
      </c>
      <c r="B311" t="inlineStr">
        <is>
          <t xml:space="preserve">APSBCL-9.62%-31-5-27-PVT</t>
        </is>
      </c>
      <c r="C311" t="inlineStr">
        <is>
          <t xml:space="preserve">INE0M2307057</t>
        </is>
      </c>
    </row>
    <row r="312">
      <c r="A312" t="inlineStr">
        <is>
          <t xml:space="preserve">APTPACK</t>
        </is>
      </c>
      <c r="B312" t="inlineStr">
        <is>
          <t xml:space="preserve">APT PACKAGING LTD.</t>
        </is>
      </c>
      <c r="C312" t="inlineStr">
        <is>
          <t xml:space="preserve">INE046E01025</t>
        </is>
      </c>
    </row>
    <row r="313">
      <c r="A313" t="inlineStr">
        <is>
          <t xml:space="preserve">APTECHT</t>
        </is>
      </c>
      <c r="B313" t="inlineStr">
        <is>
          <t xml:space="preserve">APTECH LTD.</t>
        </is>
      </c>
      <c r="C313" t="inlineStr">
        <is>
          <t xml:space="preserve">INE266F01018</t>
        </is>
      </c>
    </row>
    <row r="314">
      <c r="A314" t="inlineStr">
        <is>
          <t xml:space="preserve">APPL</t>
        </is>
      </c>
      <c r="B314" t="inlineStr">
        <is>
          <t xml:space="preserve">Aptus Pharma Limited</t>
        </is>
      </c>
      <c r="C314" t="inlineStr">
        <is>
          <t xml:space="preserve">INE15XJ01010</t>
        </is>
      </c>
    </row>
    <row r="315">
      <c r="A315" t="inlineStr">
        <is>
          <t xml:space="preserve">APTUS</t>
        </is>
      </c>
      <c r="B315" t="inlineStr">
        <is>
          <t xml:space="preserve">Aptus Value Housing Finance In</t>
        </is>
      </c>
      <c r="C315" t="inlineStr">
        <is>
          <t xml:space="preserve">INE852O01025</t>
        </is>
      </c>
    </row>
    <row r="316">
      <c r="A316" t="inlineStr">
        <is>
          <t xml:space="preserve">AQYLON</t>
        </is>
      </c>
      <c r="B316" t="inlineStr">
        <is>
          <t xml:space="preserve">Aqylon Nexus Limited</t>
        </is>
      </c>
      <c r="C316" t="inlineStr">
        <is>
          <t xml:space="preserve">INE416A01051</t>
        </is>
      </c>
    </row>
    <row r="317">
      <c r="A317" t="inlineStr">
        <is>
          <t xml:space="preserve">ARAVALIS</t>
        </is>
      </c>
      <c r="B317" t="inlineStr">
        <is>
          <t xml:space="preserve">ARAVALI SECURITIES &amp; FINANCE L</t>
        </is>
      </c>
      <c r="C317" t="inlineStr">
        <is>
          <t xml:space="preserve">INE068C01015</t>
        </is>
      </c>
    </row>
    <row r="318">
      <c r="A318" t="inlineStr">
        <is>
          <t xml:space="preserve">ARCFIN</t>
        </is>
      </c>
      <c r="B318" t="inlineStr">
        <is>
          <t xml:space="preserve">ARC Finance Limited</t>
        </is>
      </c>
      <c r="C318" t="inlineStr">
        <is>
          <t xml:space="preserve">INE202R01026</t>
        </is>
      </c>
    </row>
    <row r="319">
      <c r="A319" t="inlineStr">
        <is>
          <t xml:space="preserve">ACI</t>
        </is>
      </c>
      <c r="B319" t="inlineStr">
        <is>
          <t xml:space="preserve">Archean Chemical Industries Li</t>
        </is>
      </c>
      <c r="C319" t="inlineStr">
        <is>
          <t xml:space="preserve">INE128X01021</t>
        </is>
      </c>
    </row>
    <row r="320">
      <c r="A320" t="inlineStr">
        <is>
          <t xml:space="preserve">ADL</t>
        </is>
      </c>
      <c r="B320" t="inlineStr">
        <is>
          <t xml:space="preserve">Archidply Decor Limited</t>
        </is>
      </c>
      <c r="C320" t="inlineStr">
        <is>
          <t xml:space="preserve">INE0CHO01012</t>
        </is>
      </c>
    </row>
    <row r="321">
      <c r="A321" t="inlineStr">
        <is>
          <t xml:space="preserve">ARCHIDPLY</t>
        </is>
      </c>
      <c r="B321" t="inlineStr">
        <is>
          <t xml:space="preserve">ARCHIDPLY INDUSTRIES LTD.</t>
        </is>
      </c>
      <c r="C321" t="inlineStr">
        <is>
          <t xml:space="preserve">INE877I01016</t>
        </is>
      </c>
    </row>
    <row r="322">
      <c r="A322" t="inlineStr">
        <is>
          <t xml:space="preserve">ARCHIES</t>
        </is>
      </c>
      <c r="B322" t="inlineStr">
        <is>
          <t xml:space="preserve">ARCHIES LTD.</t>
        </is>
      </c>
      <c r="C322" t="inlineStr">
        <is>
          <t xml:space="preserve">INE731A01020</t>
        </is>
      </c>
    </row>
    <row r="323">
      <c r="A323" t="inlineStr">
        <is>
          <t xml:space="preserve">ARCHITORG</t>
        </is>
      </c>
      <c r="B323" t="inlineStr">
        <is>
          <t xml:space="preserve">ARCHIT ORGANOSYS LTD.</t>
        </is>
      </c>
      <c r="C323" t="inlineStr">
        <is>
          <t xml:space="preserve">INE078I01011</t>
        </is>
      </c>
    </row>
    <row r="324">
      <c r="A324" t="inlineStr">
        <is>
          <t xml:space="preserve">ARCL</t>
        </is>
      </c>
      <c r="B324" t="inlineStr">
        <is>
          <t xml:space="preserve">ARCL Organics Ltd</t>
        </is>
      </c>
      <c r="C324" t="inlineStr">
        <is>
          <t xml:space="preserve">INE372M01010</t>
        </is>
      </c>
    </row>
    <row r="325">
      <c r="A325" t="inlineStr">
        <is>
          <t xml:space="preserve">AREXMIS</t>
        </is>
      </c>
      <c r="B325" t="inlineStr">
        <is>
          <t xml:space="preserve">AREX INDUSTRIES LTD.</t>
        </is>
      </c>
      <c r="C325" t="inlineStr">
        <is>
          <t xml:space="preserve">INE480H01011</t>
        </is>
      </c>
    </row>
    <row r="326">
      <c r="A326" t="inlineStr">
        <is>
          <t xml:space="preserve">ARFIN</t>
        </is>
      </c>
      <c r="B326" t="inlineStr">
        <is>
          <t xml:space="preserve">Arfin India Limited</t>
        </is>
      </c>
      <c r="C326" t="inlineStr">
        <is>
          <t xml:space="preserve">INE784R01023</t>
        </is>
      </c>
    </row>
    <row r="327">
      <c r="A327" t="inlineStr">
        <is>
          <t xml:space="preserve">ARIES</t>
        </is>
      </c>
      <c r="B327" t="inlineStr">
        <is>
          <t xml:space="preserve">ARIES AGRO LTD.</t>
        </is>
      </c>
      <c r="C327" t="inlineStr">
        <is>
          <t xml:space="preserve">INE298I01015</t>
        </is>
      </c>
    </row>
    <row r="328">
      <c r="A328" t="inlineStr">
        <is>
          <t xml:space="preserve">ARIGATO</t>
        </is>
      </c>
      <c r="B328" t="inlineStr">
        <is>
          <t xml:space="preserve">ARIGATO UNIVERSE LIMITED</t>
        </is>
      </c>
      <c r="C328" t="inlineStr">
        <is>
          <t xml:space="preserve">INE021N01011</t>
        </is>
      </c>
    </row>
    <row r="329">
      <c r="A329" t="inlineStr">
        <is>
          <t xml:space="preserve">ARIHANTCAP</t>
        </is>
      </c>
      <c r="B329" t="inlineStr">
        <is>
          <t xml:space="preserve">ARIHANT CAPITAL MARKETS LTD.</t>
        </is>
      </c>
      <c r="C329" t="inlineStr">
        <is>
          <t xml:space="preserve">INE420B01036</t>
        </is>
      </c>
    </row>
    <row r="330">
      <c r="A330" t="inlineStr">
        <is>
          <t xml:space="preserve">ARIHANT</t>
        </is>
      </c>
      <c r="B330" t="inlineStr">
        <is>
          <t xml:space="preserve">ARIHANT FOUNDATIONS &amp; HOUSING</t>
        </is>
      </c>
      <c r="C330" t="inlineStr">
        <is>
          <t xml:space="preserve">INE413D01011</t>
        </is>
      </c>
    </row>
    <row r="331">
      <c r="A331" t="inlineStr">
        <is>
          <t xml:space="preserve">ARIHANTSUP</t>
        </is>
      </c>
      <c r="B331" t="inlineStr">
        <is>
          <t xml:space="preserve">ARIHANT SUPERSTRUCTURES LIMITE</t>
        </is>
      </c>
      <c r="C331" t="inlineStr">
        <is>
          <t xml:space="preserve">INE643K01018</t>
        </is>
      </c>
    </row>
    <row r="332">
      <c r="A332" t="inlineStr">
        <is>
          <t xml:space="preserve">ARISE</t>
        </is>
      </c>
      <c r="B332" t="inlineStr">
        <is>
          <t xml:space="preserve">ARIHANTS SECURITIES LTD.</t>
        </is>
      </c>
      <c r="C332" t="inlineStr">
        <is>
          <t xml:space="preserve">INE190D01015</t>
        </is>
      </c>
    </row>
    <row r="333">
      <c r="A333" t="inlineStr">
        <is>
          <t xml:space="preserve">ARIS</t>
        </is>
      </c>
      <c r="B333" t="inlineStr">
        <is>
          <t xml:space="preserve">ArisInfra Solutions Limited</t>
        </is>
      </c>
      <c r="C333" t="inlineStr">
        <is>
          <t xml:space="preserve">INE0H9P01028</t>
        </is>
      </c>
    </row>
    <row r="334">
      <c r="A334" t="inlineStr">
        <is>
          <t xml:space="preserve">ARITAS</t>
        </is>
      </c>
      <c r="B334" t="inlineStr">
        <is>
          <t xml:space="preserve">Aritas Vinyl Limited</t>
        </is>
      </c>
      <c r="C334" t="inlineStr">
        <is>
          <t xml:space="preserve">INE1D8001016</t>
        </is>
      </c>
    </row>
    <row r="335">
      <c r="A335" t="inlineStr">
        <is>
          <t xml:space="preserve">ARKADE</t>
        </is>
      </c>
      <c r="B335" t="inlineStr">
        <is>
          <t xml:space="preserve">ARKADE DEVELOPERS LIMITED</t>
        </is>
      </c>
      <c r="C335" t="inlineStr">
        <is>
          <t xml:space="preserve">INE0QRL01017</t>
        </is>
      </c>
    </row>
    <row r="336">
      <c r="A336" t="inlineStr">
        <is>
          <t xml:space="preserve">ARMANFIN</t>
        </is>
      </c>
      <c r="B336" t="inlineStr">
        <is>
          <t xml:space="preserve">ARMAN FINANCIAL SERVICES LTD.</t>
        </is>
      </c>
      <c r="C336" t="inlineStr">
        <is>
          <t xml:space="preserve">INE109C01017</t>
        </is>
      </c>
    </row>
    <row r="337">
      <c r="A337" t="inlineStr">
        <is>
          <t xml:space="preserve">ARMAN</t>
        </is>
      </c>
      <c r="B337" t="inlineStr">
        <is>
          <t xml:space="preserve">ARMAN HOLDINGS LTD</t>
        </is>
      </c>
      <c r="C337" t="inlineStr">
        <is>
          <t xml:space="preserve">INE510P01018</t>
        </is>
      </c>
    </row>
    <row r="338">
      <c r="A338" t="inlineStr">
        <is>
          <t xml:space="preserve">ARNOLD</t>
        </is>
      </c>
      <c r="B338" t="inlineStr">
        <is>
          <t xml:space="preserve">ARNOLD HOLDINGS LTD</t>
        </is>
      </c>
      <c r="C338" t="inlineStr">
        <is>
          <t xml:space="preserve">INE185K01036</t>
        </is>
      </c>
    </row>
    <row r="339">
      <c r="A339" t="inlineStr">
        <is>
          <t xml:space="preserve">AROGRANITE</t>
        </is>
      </c>
      <c r="B339" t="inlineStr">
        <is>
          <t xml:space="preserve">ARO GRANITE INDUSTRIES LTD.</t>
        </is>
      </c>
      <c r="C339" t="inlineStr">
        <is>
          <t xml:space="preserve">INE210C01013</t>
        </is>
      </c>
    </row>
    <row r="340">
      <c r="A340" t="inlineStr">
        <is>
          <t xml:space="preserve">ARROWGREEN</t>
        </is>
      </c>
      <c r="B340" t="inlineStr">
        <is>
          <t xml:space="preserve">Arrow Greentech Limited</t>
        </is>
      </c>
      <c r="C340" t="inlineStr">
        <is>
          <t xml:space="preserve">INE570D01018</t>
        </is>
      </c>
    </row>
    <row r="341">
      <c r="A341" t="inlineStr">
        <is>
          <t xml:space="preserve">ARSHIYA</t>
        </is>
      </c>
      <c r="B341" t="inlineStr">
        <is>
          <t xml:space="preserve">ARSHIYA LIMITED</t>
        </is>
      </c>
      <c r="C341" t="inlineStr">
        <is>
          <t xml:space="preserve">INE968D01022</t>
        </is>
      </c>
    </row>
    <row r="342">
      <c r="A342" t="inlineStr">
        <is>
          <t xml:space="preserve">ARTEFACT</t>
        </is>
      </c>
      <c r="B342" t="inlineStr">
        <is>
          <t xml:space="preserve">ARTEFACT PROJECTS LTD.</t>
        </is>
      </c>
      <c r="C342" t="inlineStr">
        <is>
          <t xml:space="preserve">INE885B01014</t>
        </is>
      </c>
    </row>
    <row r="343">
      <c r="A343" t="inlineStr">
        <is>
          <t xml:space="preserve">ARTEMISADR</t>
        </is>
      </c>
      <c r="B343" t="inlineStr">
        <is>
          <t xml:space="preserve">Artemis ADR Marketplace Limite</t>
        </is>
      </c>
      <c r="C343" t="inlineStr">
        <is>
          <t xml:space="preserve">INE0D9X01018</t>
        </is>
      </c>
    </row>
    <row r="344">
      <c r="A344" t="inlineStr">
        <is>
          <t xml:space="preserve">AEPL</t>
        </is>
      </c>
      <c r="B344" t="inlineStr">
        <is>
          <t xml:space="preserve">Artemis Electricals and Projec</t>
        </is>
      </c>
      <c r="C344" t="inlineStr">
        <is>
          <t xml:space="preserve">INE757T01025</t>
        </is>
      </c>
    </row>
    <row r="345">
      <c r="A345" t="inlineStr">
        <is>
          <t xml:space="preserve">ARTEMISMED</t>
        </is>
      </c>
      <c r="B345" t="inlineStr">
        <is>
          <t xml:space="preserve">Artemis Medicare Services Limi</t>
        </is>
      </c>
      <c r="C345" t="inlineStr">
        <is>
          <t xml:space="preserve">INE025R01021</t>
        </is>
      </c>
    </row>
    <row r="346">
      <c r="A346" t="inlineStr">
        <is>
          <t xml:space="preserve">AEIM</t>
        </is>
      </c>
      <c r="B346" t="inlineStr">
        <is>
          <t xml:space="preserve">Artificial Electronics Intelli</t>
        </is>
      </c>
      <c r="C346" t="inlineStr">
        <is>
          <t xml:space="preserve">INE072B01027</t>
        </is>
      </c>
    </row>
    <row r="347">
      <c r="A347" t="inlineStr">
        <is>
          <t xml:space="preserve">ARTSON</t>
        </is>
      </c>
      <c r="B347" t="inlineStr">
        <is>
          <t xml:space="preserve">ARTSON LIMITED</t>
        </is>
      </c>
      <c r="C347" t="inlineStr">
        <is>
          <t xml:space="preserve">INE133D01023</t>
        </is>
      </c>
    </row>
    <row r="348">
      <c r="A348" t="inlineStr">
        <is>
          <t xml:space="preserve">ARUNAHTEL</t>
        </is>
      </c>
      <c r="B348" t="inlineStr">
        <is>
          <t xml:space="preserve">ARUNA HOTELS LTD.</t>
        </is>
      </c>
      <c r="C348" t="inlineStr">
        <is>
          <t xml:space="preserve">INE957C01019</t>
        </is>
      </c>
    </row>
    <row r="349">
      <c r="A349" t="inlineStr">
        <is>
          <t xml:space="preserve">ABVL</t>
        </is>
      </c>
      <c r="B349" t="inlineStr">
        <is>
          <t xml:space="preserve">Arunjyoti Bio Ventures Limited</t>
        </is>
      </c>
      <c r="C349" t="inlineStr">
        <is>
          <t xml:space="preserve">INE485K01022</t>
        </is>
      </c>
    </row>
    <row r="350">
      <c r="A350" t="inlineStr">
        <is>
          <t xml:space="preserve">ARVAYA</t>
        </is>
      </c>
      <c r="B350" t="inlineStr">
        <is>
          <t xml:space="preserve">Arvaya Healthcare Limited</t>
        </is>
      </c>
      <c r="C350" t="inlineStr">
        <is>
          <t xml:space="preserve">INE491D01017</t>
        </is>
      </c>
    </row>
    <row r="351">
      <c r="A351" t="inlineStr">
        <is>
          <t xml:space="preserve">ARVINDFASN</t>
        </is>
      </c>
      <c r="B351" t="inlineStr">
        <is>
          <t xml:space="preserve">Arvind Fashions Limited</t>
        </is>
      </c>
      <c r="C351" t="inlineStr">
        <is>
          <t xml:space="preserve">INE955V01021</t>
        </is>
      </c>
    </row>
    <row r="352">
      <c r="A352" t="inlineStr">
        <is>
          <t xml:space="preserve">ARVIND</t>
        </is>
      </c>
      <c r="B352" t="inlineStr">
        <is>
          <t xml:space="preserve">ARVIND LTD.</t>
        </is>
      </c>
      <c r="C352" t="inlineStr">
        <is>
          <t xml:space="preserve">INE034A01011</t>
        </is>
      </c>
    </row>
    <row r="353">
      <c r="A353" t="inlineStr">
        <is>
          <t xml:space="preserve">ARVSMART</t>
        </is>
      </c>
      <c r="B353" t="inlineStr">
        <is>
          <t xml:space="preserve">Arvind SmartSpaces Limited</t>
        </is>
      </c>
      <c r="C353" t="inlineStr">
        <is>
          <t xml:space="preserve">INE034S01021</t>
        </is>
      </c>
    </row>
    <row r="354">
      <c r="A354" t="inlineStr">
        <is>
          <t xml:space="preserve">ARYACAPM</t>
        </is>
      </c>
      <c r="B354" t="inlineStr">
        <is>
          <t xml:space="preserve">Aryaman Capital Markets Limite</t>
        </is>
      </c>
      <c r="C354" t="inlineStr">
        <is>
          <t xml:space="preserve">INE229R01011</t>
        </is>
      </c>
    </row>
    <row r="355">
      <c r="A355" t="inlineStr">
        <is>
          <t xml:space="preserve">ARYAMAN</t>
        </is>
      </c>
      <c r="B355" t="inlineStr">
        <is>
          <t xml:space="preserve">ARYAMAN FINANCIAL SERVICES LTD</t>
        </is>
      </c>
      <c r="C355" t="inlineStr">
        <is>
          <t xml:space="preserve">INE032E01017</t>
        </is>
      </c>
    </row>
    <row r="356">
      <c r="A356" t="inlineStr">
        <is>
          <t xml:space="preserve">ARYAN</t>
        </is>
      </c>
      <c r="B356" t="inlineStr">
        <is>
          <t xml:space="preserve">Aryan Share &amp; Stock Brokers Lt</t>
        </is>
      </c>
      <c r="C356" t="inlineStr">
        <is>
          <t xml:space="preserve">INE016X01010</t>
        </is>
      </c>
    </row>
    <row r="357">
      <c r="A357" t="inlineStr">
        <is>
          <t xml:space="preserve">ARYAVAN</t>
        </is>
      </c>
      <c r="B357" t="inlineStr">
        <is>
          <t xml:space="preserve">ARYAVAN ENTERPRISE LIMITED</t>
        </is>
      </c>
      <c r="C357" t="inlineStr">
        <is>
          <t xml:space="preserve">INE360S01012</t>
        </is>
      </c>
    </row>
    <row r="358">
      <c r="A358" t="inlineStr">
        <is>
          <t xml:space="preserve">ASAHIINDIA</t>
        </is>
      </c>
      <c r="B358" t="inlineStr">
        <is>
          <t xml:space="preserve">ASAHI INDIA GLASS LTD.</t>
        </is>
      </c>
      <c r="C358" t="inlineStr">
        <is>
          <t xml:space="preserve">INE439A01020</t>
        </is>
      </c>
    </row>
    <row r="359">
      <c r="A359" t="inlineStr">
        <is>
          <t xml:space="preserve">ASAHISONG</t>
        </is>
      </c>
      <c r="B359" t="inlineStr">
        <is>
          <t xml:space="preserve">ASAHI SONGWON COLORS LTD.</t>
        </is>
      </c>
      <c r="C359" t="inlineStr">
        <is>
          <t xml:space="preserve">INE228I01012</t>
        </is>
      </c>
    </row>
    <row r="360">
      <c r="A360" t="inlineStr">
        <is>
          <t xml:space="preserve">ASARFI</t>
        </is>
      </c>
      <c r="B360" t="inlineStr">
        <is>
          <t xml:space="preserve">ASARFI HOSPITAL LIMITED</t>
        </is>
      </c>
      <c r="C360" t="inlineStr">
        <is>
          <t xml:space="preserve">INE0DN001027</t>
        </is>
      </c>
    </row>
    <row r="361">
      <c r="A361" t="inlineStr">
        <is>
          <t xml:space="preserve">ASCENSIVE</t>
        </is>
      </c>
      <c r="B361" t="inlineStr">
        <is>
          <t xml:space="preserve">Ascensive Educare Limited</t>
        </is>
      </c>
      <c r="C361" t="inlineStr">
        <is>
          <t xml:space="preserve">INE0E4I01027</t>
        </is>
      </c>
    </row>
    <row r="362">
      <c r="A362" t="inlineStr">
        <is>
          <t xml:space="preserve">ASGARD</t>
        </is>
      </c>
      <c r="B362" t="inlineStr">
        <is>
          <t xml:space="preserve">ASGARD ALCOBEV LIMITED</t>
        </is>
      </c>
      <c r="C362" t="inlineStr">
        <is>
          <t xml:space="preserve">INE767M01029</t>
        </is>
      </c>
    </row>
    <row r="363">
      <c r="A363" t="inlineStr">
        <is>
          <t xml:space="preserve">ASHAPURMIN</t>
        </is>
      </c>
      <c r="B363" t="inlineStr">
        <is>
          <t xml:space="preserve">ASHAPURA MINECHEM LTD.</t>
        </is>
      </c>
      <c r="C363" t="inlineStr">
        <is>
          <t xml:space="preserve">INE348A01023</t>
        </is>
      </c>
    </row>
    <row r="364">
      <c r="A364" t="inlineStr">
        <is>
          <t xml:space="preserve">AGOL</t>
        </is>
      </c>
      <c r="B364" t="inlineStr">
        <is>
          <t xml:space="preserve">Ashapuri Gold Ornament Limited</t>
        </is>
      </c>
      <c r="C364" t="inlineStr">
        <is>
          <t xml:space="preserve">INE05FR01029</t>
        </is>
      </c>
    </row>
    <row r="365">
      <c r="A365" t="inlineStr">
        <is>
          <t xml:space="preserve">ASHAI</t>
        </is>
      </c>
      <c r="B365" t="inlineStr">
        <is>
          <t xml:space="preserve">ASHIANA AGRO INDUSTRIES LTD.</t>
        </is>
      </c>
      <c r="C365" t="inlineStr">
        <is>
          <t xml:space="preserve">INE709D01012</t>
        </is>
      </c>
    </row>
    <row r="366">
      <c r="A366" t="inlineStr">
        <is>
          <t xml:space="preserve">ASHIANA</t>
        </is>
      </c>
      <c r="B366" t="inlineStr">
        <is>
          <t xml:space="preserve">ASHIANA HOUSING LTD.</t>
        </is>
      </c>
      <c r="C366" t="inlineStr">
        <is>
          <t xml:space="preserve">INE365D01021</t>
        </is>
      </c>
    </row>
    <row r="367">
      <c r="A367" t="inlineStr">
        <is>
          <t xml:space="preserve">ASHIKA</t>
        </is>
      </c>
      <c r="B367" t="inlineStr">
        <is>
          <t xml:space="preserve">Ashika Credit Capital Ltd.</t>
        </is>
      </c>
      <c r="C367" t="inlineStr">
        <is>
          <t xml:space="preserve">INE094B01013</t>
        </is>
      </c>
    </row>
    <row r="368">
      <c r="A368" t="inlineStr">
        <is>
          <t xml:space="preserve">ASHIMASYN</t>
        </is>
      </c>
      <c r="B368" t="inlineStr">
        <is>
          <t xml:space="preserve">ASHIMA LTD.</t>
        </is>
      </c>
      <c r="C368" t="inlineStr">
        <is>
          <t xml:space="preserve">INE440A01010</t>
        </is>
      </c>
    </row>
    <row r="369">
      <c r="A369" t="inlineStr">
        <is>
          <t xml:space="preserve">ASHCAP</t>
        </is>
      </c>
      <c r="B369" t="inlineStr">
        <is>
          <t xml:space="preserve">ASHIRWAD CAPITAL LTD.</t>
        </is>
      </c>
      <c r="C369" t="inlineStr">
        <is>
          <t xml:space="preserve">INE894A01026</t>
        </is>
      </c>
    </row>
    <row r="370">
      <c r="A370" t="inlineStr">
        <is>
          <t xml:space="preserve">ASHSI</t>
        </is>
      </c>
      <c r="B370" t="inlineStr">
        <is>
          <t xml:space="preserve">ASHIRWAD STEELS &amp; INDUSTRIES L</t>
        </is>
      </c>
      <c r="C370" t="inlineStr">
        <is>
          <t xml:space="preserve">INE338C01012</t>
        </is>
      </c>
    </row>
    <row r="371">
      <c r="A371" t="inlineStr">
        <is>
          <t xml:space="preserve">ASHISHPO</t>
        </is>
      </c>
      <c r="B371" t="inlineStr">
        <is>
          <t xml:space="preserve">ASHISH POLYPLAST LTD.</t>
        </is>
      </c>
      <c r="C371" t="inlineStr">
        <is>
          <t xml:space="preserve">INE831C01016</t>
        </is>
      </c>
    </row>
    <row r="372">
      <c r="A372" t="inlineStr">
        <is>
          <t xml:space="preserve">ASHNI</t>
        </is>
      </c>
      <c r="B372" t="inlineStr">
        <is>
          <t xml:space="preserve">Ashnisha Industries Limited</t>
        </is>
      </c>
      <c r="C372" t="inlineStr">
        <is>
          <t xml:space="preserve">INE694W01024</t>
        </is>
      </c>
    </row>
    <row r="373">
      <c r="A373" t="inlineStr">
        <is>
          <t xml:space="preserve">ASHNOOR</t>
        </is>
      </c>
      <c r="B373" t="inlineStr">
        <is>
          <t xml:space="preserve">ASHNOOR TEXTILE MILLS LTD.</t>
        </is>
      </c>
      <c r="C373" t="inlineStr">
        <is>
          <t xml:space="preserve">INE372I01018</t>
        </is>
      </c>
    </row>
    <row r="374">
      <c r="A374" t="inlineStr">
        <is>
          <t xml:space="preserve">ASHOKLEY</t>
        </is>
      </c>
      <c r="B374" t="inlineStr">
        <is>
          <t xml:space="preserve">ASHOK LEYLAND LTD.</t>
        </is>
      </c>
      <c r="C374" t="inlineStr">
        <is>
          <t xml:space="preserve">INE208A01029</t>
        </is>
      </c>
    </row>
    <row r="375">
      <c r="A375" t="inlineStr">
        <is>
          <t xml:space="preserve">ASHOKA</t>
        </is>
      </c>
      <c r="B375" t="inlineStr">
        <is>
          <t xml:space="preserve">ASHOKA BUILDCON LTD.</t>
        </is>
      </c>
      <c r="C375" t="inlineStr">
        <is>
          <t xml:space="preserve">INE442H01029</t>
        </is>
      </c>
    </row>
    <row r="376">
      <c r="A376" t="inlineStr">
        <is>
          <t xml:space="preserve">ASHOKAMET</t>
        </is>
      </c>
      <c r="B376" t="inlineStr">
        <is>
          <t xml:space="preserve">Ashoka Metcast Limited</t>
        </is>
      </c>
      <c r="C376" t="inlineStr">
        <is>
          <t xml:space="preserve">INE760Y01011</t>
        </is>
      </c>
    </row>
    <row r="377">
      <c r="A377" t="inlineStr">
        <is>
          <t xml:space="preserve">ASHRAM</t>
        </is>
      </c>
      <c r="B377" t="inlineStr">
        <is>
          <t xml:space="preserve">ASHRAM ONLINE.COM LTD.</t>
        </is>
      </c>
      <c r="C377" t="inlineStr">
        <is>
          <t xml:space="preserve">INE293C01019</t>
        </is>
      </c>
    </row>
    <row r="378">
      <c r="A378" t="inlineStr">
        <is>
          <t xml:space="preserve">ASHUTPM</t>
        </is>
      </c>
      <c r="B378" t="inlineStr">
        <is>
          <t xml:space="preserve">ASHUTOSH PAPER MILLS LTD.</t>
        </is>
      </c>
      <c r="C378" t="inlineStr">
        <is>
          <t xml:space="preserve">INE723K01018</t>
        </is>
      </c>
    </row>
    <row r="379">
      <c r="A379" t="inlineStr">
        <is>
          <t xml:space="preserve">ASIIL</t>
        </is>
      </c>
      <c r="B379" t="inlineStr">
        <is>
          <t xml:space="preserve">ASI INDUSTRIES LIMITED</t>
        </is>
      </c>
      <c r="C379" t="inlineStr">
        <is>
          <t xml:space="preserve">INE443A01030</t>
        </is>
      </c>
    </row>
    <row r="380">
      <c r="A380" t="inlineStr">
        <is>
          <t xml:space="preserve">ASIACAP</t>
        </is>
      </c>
      <c r="B380" t="inlineStr">
        <is>
          <t xml:space="preserve">ASIA CAPITAL LIMITED</t>
        </is>
      </c>
      <c r="C380" t="inlineStr">
        <is>
          <t xml:space="preserve">INE131Q01011</t>
        </is>
      </c>
    </row>
    <row r="381">
      <c r="A381" t="inlineStr">
        <is>
          <t xml:space="preserve">ASIAPAK</t>
        </is>
      </c>
      <c r="B381" t="inlineStr">
        <is>
          <t xml:space="preserve">ASIA PACK LTD.</t>
        </is>
      </c>
      <c r="C381" t="inlineStr">
        <is>
          <t xml:space="preserve">INE784M01016</t>
        </is>
      </c>
    </row>
    <row r="382">
      <c r="A382" t="inlineStr">
        <is>
          <t xml:space="preserve">ASIANENE</t>
        </is>
      </c>
      <c r="B382" t="inlineStr">
        <is>
          <t xml:space="preserve">ASIAN ENERGY SERVICES LTD</t>
        </is>
      </c>
      <c r="C382" t="inlineStr">
        <is>
          <t xml:space="preserve">INE276G01015</t>
        </is>
      </c>
    </row>
    <row r="383">
      <c r="A383" t="inlineStr">
        <is>
          <t xml:space="preserve">ASIANTILES</t>
        </is>
      </c>
      <c r="B383" t="inlineStr">
        <is>
          <t xml:space="preserve">ASIAN GRANITO INDIA LTD.</t>
        </is>
      </c>
      <c r="C383" t="inlineStr">
        <is>
          <t xml:space="preserve">INE022I01019</t>
        </is>
      </c>
    </row>
    <row r="384">
      <c r="A384" t="inlineStr">
        <is>
          <t xml:space="preserve">AHLEAST</t>
        </is>
      </c>
      <c r="B384" t="inlineStr">
        <is>
          <t xml:space="preserve">ASIAN HOTELS (EAST) LTD.</t>
        </is>
      </c>
      <c r="C384" t="inlineStr">
        <is>
          <t xml:space="preserve">INE926K01017</t>
        </is>
      </c>
    </row>
    <row r="385">
      <c r="A385" t="inlineStr">
        <is>
          <t xml:space="preserve">ASIANHOTNR</t>
        </is>
      </c>
      <c r="B385" t="inlineStr">
        <is>
          <t xml:space="preserve">ASIAN HOTELS (NORTH) LIMITED</t>
        </is>
      </c>
      <c r="C385" t="inlineStr">
        <is>
          <t xml:space="preserve">INE363A01022</t>
        </is>
      </c>
    </row>
    <row r="386">
      <c r="A386" t="inlineStr">
        <is>
          <t xml:space="preserve">ASIANPAINT</t>
        </is>
      </c>
      <c r="B386" t="inlineStr">
        <is>
          <t xml:space="preserve">ASIAN PAINTS LTD.</t>
        </is>
      </c>
      <c r="C386" t="inlineStr">
        <is>
          <t xml:space="preserve">INE021A01026</t>
        </is>
      </c>
    </row>
    <row r="387">
      <c r="A387" t="inlineStr">
        <is>
          <t xml:space="preserve">ASINPET</t>
        </is>
      </c>
      <c r="B387" t="inlineStr">
        <is>
          <t xml:space="preserve">ASIAN PETROPRODUCTS &amp; EXPORTS</t>
        </is>
      </c>
      <c r="C387" t="inlineStr">
        <is>
          <t xml:space="preserve">INE810M01019</t>
        </is>
      </c>
    </row>
    <row r="388">
      <c r="A388" t="inlineStr">
        <is>
          <t xml:space="preserve">ASIANTNE</t>
        </is>
      </c>
      <c r="B388" t="inlineStr">
        <is>
          <t xml:space="preserve">ASIAN TEA &amp; EXPORTS LTD.</t>
        </is>
      </c>
      <c r="C388" t="inlineStr">
        <is>
          <t xml:space="preserve">INE822B01017</t>
        </is>
      </c>
    </row>
    <row r="389">
      <c r="A389" t="inlineStr">
        <is>
          <t xml:space="preserve">ASIAN</t>
        </is>
      </c>
      <c r="B389" t="inlineStr">
        <is>
          <t xml:space="preserve">Asian Warehousing Limited</t>
        </is>
      </c>
      <c r="C389" t="inlineStr">
        <is>
          <t xml:space="preserve">INE04Z101016</t>
        </is>
      </c>
    </row>
    <row r="390">
      <c r="A390" t="inlineStr">
        <is>
          <t xml:space="preserve">ASITCFIN</t>
        </is>
      </c>
      <c r="B390" t="inlineStr">
        <is>
          <t xml:space="preserve">ASIT C.MEHTA FINANCIAL SERVICE</t>
        </is>
      </c>
      <c r="C390" t="inlineStr">
        <is>
          <t xml:space="preserve">INE041B01014</t>
        </is>
      </c>
    </row>
    <row r="391">
      <c r="A391" t="inlineStr">
        <is>
          <t xml:space="preserve">ASKAUTOLTD</t>
        </is>
      </c>
      <c r="B391" t="inlineStr">
        <is>
          <t xml:space="preserve">ASK Automotive Limited</t>
        </is>
      </c>
      <c r="C391" t="inlineStr">
        <is>
          <t xml:space="preserve">INE491J01022</t>
        </is>
      </c>
    </row>
    <row r="392">
      <c r="A392" t="inlineStr">
        <is>
          <t xml:space="preserve">ASMTEC</t>
        </is>
      </c>
      <c r="B392" t="inlineStr">
        <is>
          <t xml:space="preserve">ASM TECHNOLOGIES LTD.</t>
        </is>
      </c>
      <c r="C392" t="inlineStr">
        <is>
          <t xml:space="preserve">INE867C01010</t>
        </is>
      </c>
    </row>
    <row r="393">
      <c r="A393" t="inlineStr">
        <is>
          <t xml:space="preserve">ASPIRA</t>
        </is>
      </c>
      <c r="B393" t="inlineStr">
        <is>
          <t xml:space="preserve">Aspira Pathlab &amp; Diagnostics L</t>
        </is>
      </c>
      <c r="C393" t="inlineStr">
        <is>
          <t xml:space="preserve">INE500C01017</t>
        </is>
      </c>
    </row>
    <row r="394">
      <c r="A394" t="inlineStr">
        <is>
          <t xml:space="preserve">ASALCBR</t>
        </is>
      </c>
      <c r="B394" t="inlineStr">
        <is>
          <t xml:space="preserve">ASSOCIATED ALCOHOLS &amp; BREWERIE</t>
        </is>
      </c>
      <c r="C394" t="inlineStr">
        <is>
          <t xml:space="preserve">INE073G01016</t>
        </is>
      </c>
    </row>
    <row r="395">
      <c r="A395" t="inlineStr">
        <is>
          <t xml:space="preserve">ASSOCER</t>
        </is>
      </c>
      <c r="B395" t="inlineStr">
        <is>
          <t xml:space="preserve">ASSOCIATED CERAMICS LTD.</t>
        </is>
      </c>
      <c r="C395" t="inlineStr">
        <is>
          <t xml:space="preserve">INE771E01010</t>
        </is>
      </c>
    </row>
    <row r="396">
      <c r="A396" t="inlineStr">
        <is>
          <t xml:space="preserve">ASSOCIATED</t>
        </is>
      </c>
      <c r="B396" t="inlineStr">
        <is>
          <t xml:space="preserve">Associated Coaters Limited</t>
        </is>
      </c>
      <c r="C396" t="inlineStr">
        <is>
          <t xml:space="preserve">INE0RIQ01013</t>
        </is>
      </c>
    </row>
    <row r="397">
      <c r="A397" t="inlineStr">
        <is>
          <t xml:space="preserve">ASTALLTD</t>
        </is>
      </c>
      <c r="B397" t="inlineStr">
        <is>
          <t xml:space="preserve">ASTAL LABORATORIES LIMITED</t>
        </is>
      </c>
      <c r="C397" t="inlineStr">
        <is>
          <t xml:space="preserve">INE307N01014</t>
        </is>
      </c>
    </row>
    <row r="398">
      <c r="A398" t="inlineStr">
        <is>
          <t xml:space="preserve">ASTEC</t>
        </is>
      </c>
      <c r="B398" t="inlineStr">
        <is>
          <t xml:space="preserve">ASTEC LIFESCIENCES LIMITED</t>
        </is>
      </c>
      <c r="C398" t="inlineStr">
        <is>
          <t xml:space="preserve">INE563J01010</t>
        </is>
      </c>
    </row>
    <row r="399">
      <c r="A399" t="inlineStr">
        <is>
          <t xml:space="preserve">ASTERDM</t>
        </is>
      </c>
      <c r="B399" t="inlineStr">
        <is>
          <t xml:space="preserve">Aster DM Healthcare Limited</t>
        </is>
      </c>
      <c r="C399" t="inlineStr">
        <is>
          <t xml:space="preserve">INE914M01019</t>
        </is>
      </c>
    </row>
    <row r="400">
      <c r="A400" t="inlineStr">
        <is>
          <t xml:space="preserve">ASTONEALAB</t>
        </is>
      </c>
      <c r="B400" t="inlineStr">
        <is>
          <t xml:space="preserve">ASTONEA LABS LIMITED</t>
        </is>
      </c>
      <c r="C400" t="inlineStr">
        <is>
          <t xml:space="preserve">INE0TG901011</t>
        </is>
      </c>
    </row>
    <row r="401">
      <c r="A401" t="inlineStr">
        <is>
          <t xml:space="preserve">ASTRAMICRO</t>
        </is>
      </c>
      <c r="B401" t="inlineStr">
        <is>
          <t xml:space="preserve">ASTRA MICROWAVE PRODUCTS LTD.</t>
        </is>
      </c>
      <c r="C401" t="inlineStr">
        <is>
          <t xml:space="preserve">INE386C01029</t>
        </is>
      </c>
    </row>
    <row r="402">
      <c r="A402" t="inlineStr">
        <is>
          <t xml:space="preserve">ASTRAL</t>
        </is>
      </c>
      <c r="B402" t="inlineStr">
        <is>
          <t xml:space="preserve">ASTRAL LIMITED</t>
        </is>
      </c>
      <c r="C402" t="inlineStr">
        <is>
          <t xml:space="preserve">INE006I01046</t>
        </is>
      </c>
    </row>
    <row r="403">
      <c r="A403" t="inlineStr">
        <is>
          <t xml:space="preserve">ASTRAZEN</t>
        </is>
      </c>
      <c r="B403" t="inlineStr">
        <is>
          <t xml:space="preserve">ASTRAZENECA PHARMA INDIA LTD.</t>
        </is>
      </c>
      <c r="C403" t="inlineStr">
        <is>
          <t xml:space="preserve">INE203A01020</t>
        </is>
      </c>
    </row>
    <row r="404">
      <c r="A404" t="inlineStr">
        <is>
          <t xml:space="preserve">ASTRONMULT</t>
        </is>
      </c>
      <c r="B404" t="inlineStr">
        <is>
          <t xml:space="preserve">Astron Multigrain Limited</t>
        </is>
      </c>
      <c r="C404" t="inlineStr">
        <is>
          <t xml:space="preserve">INE0RUY01012</t>
        </is>
      </c>
    </row>
    <row r="405">
      <c r="A405" t="inlineStr">
        <is>
          <t xml:space="preserve">ASTRON</t>
        </is>
      </c>
      <c r="B405" t="inlineStr">
        <is>
          <t xml:space="preserve">Astron Paper &amp; Board Mill Limi</t>
        </is>
      </c>
      <c r="C405" t="inlineStr">
        <is>
          <t xml:space="preserve">INE646X01014</t>
        </is>
      </c>
    </row>
    <row r="406">
      <c r="A406" t="inlineStr">
        <is>
          <t xml:space="preserve">ATALREAL</t>
        </is>
      </c>
      <c r="B406" t="inlineStr">
        <is>
          <t xml:space="preserve">Atal Realtech Limited</t>
        </is>
      </c>
      <c r="C406" t="inlineStr">
        <is>
          <t xml:space="preserve">INE0ALR01029</t>
        </is>
      </c>
    </row>
    <row r="407">
      <c r="A407" t="inlineStr">
        <is>
          <t xml:space="preserve">ATAM</t>
        </is>
      </c>
      <c r="B407" t="inlineStr">
        <is>
          <t xml:space="preserve">Atam Valves Limited</t>
        </is>
      </c>
      <c r="C407" t="inlineStr">
        <is>
          <t xml:space="preserve">INE09KD01013</t>
        </is>
      </c>
    </row>
    <row r="408">
      <c r="A408" t="inlineStr">
        <is>
          <t xml:space="preserve">ATENPAPERS</t>
        </is>
      </c>
      <c r="B408" t="inlineStr">
        <is>
          <t xml:space="preserve">Aten Papers &amp; Foam Limited</t>
        </is>
      </c>
      <c r="C408" t="inlineStr">
        <is>
          <t xml:space="preserve">INE0XCV01014</t>
        </is>
      </c>
    </row>
    <row r="409">
      <c r="A409" t="inlineStr">
        <is>
          <t xml:space="preserve">ATHARVENT</t>
        </is>
      </c>
      <c r="B409" t="inlineStr">
        <is>
          <t xml:space="preserve">ATHARV ENTERPRISES LTD.</t>
        </is>
      </c>
      <c r="C409" t="inlineStr">
        <is>
          <t xml:space="preserve">INE354E01031</t>
        </is>
      </c>
    </row>
    <row r="410">
      <c r="A410" t="inlineStr">
        <is>
          <t xml:space="preserve">ATHARVA</t>
        </is>
      </c>
      <c r="B410" t="inlineStr">
        <is>
          <t xml:space="preserve">Atharva Poly-Plast Limited</t>
        </is>
      </c>
      <c r="C410" t="inlineStr">
        <is>
          <t xml:space="preserve">INE226801012</t>
        </is>
      </c>
    </row>
    <row r="411">
      <c r="A411" t="inlineStr">
        <is>
          <t xml:space="preserve">ATHENAGLO</t>
        </is>
      </c>
      <c r="B411" t="inlineStr">
        <is>
          <t xml:space="preserve">Athena Global Technologies Lim</t>
        </is>
      </c>
      <c r="C411" t="inlineStr">
        <is>
          <t xml:space="preserve">INE576B01019</t>
        </is>
      </c>
    </row>
    <row r="412">
      <c r="A412" t="inlineStr">
        <is>
          <t xml:space="preserve">ATHERENERG</t>
        </is>
      </c>
      <c r="B412" t="inlineStr">
        <is>
          <t xml:space="preserve">Ather Energy Limited</t>
        </is>
      </c>
      <c r="C412" t="inlineStr">
        <is>
          <t xml:space="preserve">INE0LEZ01016</t>
        </is>
      </c>
    </row>
    <row r="413">
      <c r="A413" t="inlineStr">
        <is>
          <t xml:space="preserve">ATISHAY</t>
        </is>
      </c>
      <c r="B413" t="inlineStr">
        <is>
          <t xml:space="preserve">Atishay Limited</t>
        </is>
      </c>
      <c r="C413" t="inlineStr">
        <is>
          <t xml:space="preserve">INE011R01013</t>
        </is>
      </c>
    </row>
    <row r="414">
      <c r="A414" t="inlineStr">
        <is>
          <t xml:space="preserve">ATLANTAELE</t>
        </is>
      </c>
      <c r="B414" t="inlineStr">
        <is>
          <t xml:space="preserve">Atlanta Electricals Limited</t>
        </is>
      </c>
      <c r="C414" t="inlineStr">
        <is>
          <t xml:space="preserve">INE0Z4F01028</t>
        </is>
      </c>
    </row>
    <row r="415">
      <c r="A415" t="inlineStr">
        <is>
          <t xml:space="preserve">ATLANTAA</t>
        </is>
      </c>
      <c r="B415" t="inlineStr">
        <is>
          <t xml:space="preserve">ATLANTAA LIMITED</t>
        </is>
      </c>
      <c r="C415" t="inlineStr">
        <is>
          <t xml:space="preserve">INE285H01022</t>
        </is>
      </c>
    </row>
    <row r="416">
      <c r="A416" t="inlineStr">
        <is>
          <t xml:space="preserve">ATLASCYCLE</t>
        </is>
      </c>
      <c r="B416" t="inlineStr">
        <is>
          <t xml:space="preserve">ATLAS CYCLES (HARYANA) LTD.</t>
        </is>
      </c>
      <c r="C416" t="inlineStr">
        <is>
          <t xml:space="preserve">INE446A01025</t>
        </is>
      </c>
    </row>
    <row r="417">
      <c r="A417" t="inlineStr">
        <is>
          <t xml:space="preserve">ATULAUTO</t>
        </is>
      </c>
      <c r="B417" t="inlineStr">
        <is>
          <t xml:space="preserve">ATUL AUTO LTD.</t>
        </is>
      </c>
      <c r="C417" t="inlineStr">
        <is>
          <t xml:space="preserve">INE951D01028</t>
        </is>
      </c>
    </row>
    <row r="418">
      <c r="A418" t="inlineStr">
        <is>
          <t xml:space="preserve">ATUL</t>
        </is>
      </c>
      <c r="B418" t="inlineStr">
        <is>
          <t xml:space="preserve">ATUL LTD.</t>
        </is>
      </c>
      <c r="C418" t="inlineStr">
        <is>
          <t xml:space="preserve">INE100A01010</t>
        </is>
      </c>
    </row>
    <row r="419">
      <c r="A419" t="inlineStr">
        <is>
          <t xml:space="preserve">ATVPR</t>
        </is>
      </c>
      <c r="B419" t="inlineStr">
        <is>
          <t xml:space="preserve">ATV PROJECTS INDIA LTD.</t>
        </is>
      </c>
      <c r="C419" t="inlineStr">
        <is>
          <t xml:space="preserve">INE447A01015</t>
        </is>
      </c>
    </row>
    <row r="420">
      <c r="A420" t="inlineStr">
        <is>
          <t xml:space="preserve">ATVOENT</t>
        </is>
      </c>
      <c r="B420" t="inlineStr">
        <is>
          <t xml:space="preserve">Atvo Enterprises Limited</t>
        </is>
      </c>
      <c r="C420" t="inlineStr">
        <is>
          <t xml:space="preserve">INE219M01021</t>
        </is>
      </c>
    </row>
    <row r="421">
      <c r="A421" t="inlineStr">
        <is>
          <t xml:space="preserve">AUBANK</t>
        </is>
      </c>
      <c r="B421" t="inlineStr">
        <is>
          <t xml:space="preserve">AU Small Finance Bank Limited</t>
        </is>
      </c>
      <c r="C421" t="inlineStr">
        <is>
          <t xml:space="preserve">INE949L01017</t>
        </is>
      </c>
    </row>
    <row r="422">
      <c r="A422" t="inlineStr">
        <is>
          <t xml:space="preserve">AUREATE</t>
        </is>
      </c>
      <c r="B422" t="inlineStr">
        <is>
          <t xml:space="preserve">AUREATE TRADDE LIMITED</t>
        </is>
      </c>
      <c r="C422" t="inlineStr">
        <is>
          <t xml:space="preserve">INE1KVL01010</t>
        </is>
      </c>
    </row>
    <row r="423">
      <c r="A423" t="inlineStr">
        <is>
          <t xml:space="preserve">AURIONPRO</t>
        </is>
      </c>
      <c r="B423" t="inlineStr">
        <is>
          <t xml:space="preserve">AURIONPRO SOLUTIONS LTD.</t>
        </is>
      </c>
      <c r="C423" t="inlineStr">
        <is>
          <t xml:space="preserve">INE132H01018</t>
        </is>
      </c>
    </row>
    <row r="424">
      <c r="A424" t="inlineStr">
        <is>
          <t xml:space="preserve">AUROLAB</t>
        </is>
      </c>
      <c r="B424" t="inlineStr">
        <is>
          <t xml:space="preserve">AURO LABORATORIES LTD.</t>
        </is>
      </c>
      <c r="C424" t="inlineStr">
        <is>
          <t xml:space="preserve">INE292C01011</t>
        </is>
      </c>
    </row>
    <row r="425">
      <c r="A425" t="inlineStr">
        <is>
          <t xml:space="preserve">AUROPHARMA</t>
        </is>
      </c>
      <c r="B425" t="inlineStr">
        <is>
          <t xml:space="preserve">AUROBINDO PHARMA LTD.</t>
        </is>
      </c>
      <c r="C425" t="inlineStr">
        <is>
          <t xml:space="preserve">INE406A01037</t>
        </is>
      </c>
    </row>
    <row r="426">
      <c r="A426" t="inlineStr">
        <is>
          <t xml:space="preserve">AURUM</t>
        </is>
      </c>
      <c r="B426" t="inlineStr">
        <is>
          <t xml:space="preserve">Aurum PropTech Limited</t>
        </is>
      </c>
      <c r="C426" t="inlineStr">
        <is>
          <t xml:space="preserve">INE898S01029</t>
        </is>
      </c>
    </row>
    <row r="427">
      <c r="A427" t="inlineStr">
        <is>
          <t xml:space="preserve">AURUS</t>
        </is>
      </c>
      <c r="B427" t="inlineStr">
        <is>
          <t xml:space="preserve">AURUS GEM CORPORATION LIMITED</t>
        </is>
      </c>
      <c r="C427" t="inlineStr">
        <is>
          <t xml:space="preserve">INE142K01011</t>
        </is>
      </c>
    </row>
    <row r="428">
      <c r="A428" t="inlineStr">
        <is>
          <t xml:space="preserve">AUSOMENT</t>
        </is>
      </c>
      <c r="B428" t="inlineStr">
        <is>
          <t xml:space="preserve">AUSOM ENTERPRISE LIMITED</t>
        </is>
      </c>
      <c r="C428" t="inlineStr">
        <is>
          <t xml:space="preserve">INE218C01016</t>
        </is>
      </c>
    </row>
    <row r="429">
      <c r="A429" t="inlineStr">
        <is>
          <t xml:space="preserve">AUSTERE</t>
        </is>
      </c>
      <c r="B429" t="inlineStr">
        <is>
          <t xml:space="preserve">AUSTERE SYSTEMS LIMITED</t>
        </is>
      </c>
      <c r="C429" t="inlineStr">
        <is>
          <t xml:space="preserve">INE104201012</t>
        </is>
      </c>
    </row>
    <row r="430">
      <c r="A430" t="inlineStr">
        <is>
          <t xml:space="preserve">AUSTENG</t>
        </is>
      </c>
      <c r="B430" t="inlineStr">
        <is>
          <t xml:space="preserve">AUSTIN ENGINEERING CO.LTD.</t>
        </is>
      </c>
      <c r="C430" t="inlineStr">
        <is>
          <t xml:space="preserve">INE759F01012</t>
        </is>
      </c>
    </row>
    <row r="431">
      <c r="A431" t="inlineStr">
        <is>
          <t xml:space="preserve">AIIL</t>
        </is>
      </c>
      <c r="B431" t="inlineStr">
        <is>
          <t xml:space="preserve">Authum Investment &amp; Infrastruc</t>
        </is>
      </c>
      <c r="C431" t="inlineStr">
        <is>
          <t xml:space="preserve">INE206F01022</t>
        </is>
      </c>
    </row>
    <row r="432">
      <c r="A432" t="inlineStr">
        <is>
          <t xml:space="preserve">AFLTD</t>
        </is>
      </c>
      <c r="B432" t="inlineStr">
        <is>
          <t xml:space="preserve">Autofurnish Limited</t>
        </is>
      </c>
      <c r="C432" t="inlineStr">
        <is>
          <t xml:space="preserve">INE18HI01019</t>
        </is>
      </c>
    </row>
    <row r="433">
      <c r="A433" t="inlineStr">
        <is>
          <t xml:space="preserve">AUTOIND</t>
        </is>
      </c>
      <c r="B433" t="inlineStr">
        <is>
          <t xml:space="preserve">AUTOLINE INDUSTRIES LTD.</t>
        </is>
      </c>
      <c r="C433" t="inlineStr">
        <is>
          <t xml:space="preserve">INE718H01014</t>
        </is>
      </c>
    </row>
    <row r="434">
      <c r="A434" t="inlineStr">
        <is>
          <t xml:space="preserve">ACGL</t>
        </is>
      </c>
      <c r="B434" t="inlineStr">
        <is>
          <t xml:space="preserve">AUTOMOBILE CORPORATION OF GOA</t>
        </is>
      </c>
      <c r="C434" t="inlineStr">
        <is>
          <t xml:space="preserve">INE451C01013</t>
        </is>
      </c>
    </row>
    <row r="435">
      <c r="A435" t="inlineStr">
        <is>
          <t xml:space="preserve">AUTOAXLES</t>
        </is>
      </c>
      <c r="B435" t="inlineStr">
        <is>
          <t xml:space="preserve">AUTOMOTIVE AXLES LTD.</t>
        </is>
      </c>
      <c r="C435" t="inlineStr">
        <is>
          <t xml:space="preserve">INE449A01011</t>
        </is>
      </c>
    </row>
    <row r="436">
      <c r="A436" t="inlineStr">
        <is>
          <t xml:space="preserve">ASAL</t>
        </is>
      </c>
      <c r="B436" t="inlineStr">
        <is>
          <t xml:space="preserve">AUTOMOTIVE STAMPINGS &amp; ASSEMBL</t>
        </is>
      </c>
      <c r="C436" t="inlineStr">
        <is>
          <t xml:space="preserve">INE900C01027</t>
        </is>
      </c>
    </row>
    <row r="437">
      <c r="A437" t="inlineStr">
        <is>
          <t xml:space="preserve">AUTOINT</t>
        </is>
      </c>
      <c r="B437" t="inlineStr">
        <is>
          <t xml:space="preserve">AUTORIDERS INTERNATIONAL LTD.</t>
        </is>
      </c>
      <c r="C437" t="inlineStr">
        <is>
          <t xml:space="preserve">INE340U01010</t>
        </is>
      </c>
    </row>
    <row r="438">
      <c r="A438" t="inlineStr">
        <is>
          <t xml:space="preserve">AVADHSUGAR</t>
        </is>
      </c>
      <c r="B438" t="inlineStr">
        <is>
          <t xml:space="preserve">AVADH SUGAR &amp; ENERGY LIMITED</t>
        </is>
      </c>
      <c r="C438" t="inlineStr">
        <is>
          <t xml:space="preserve">INE349W01017</t>
        </is>
      </c>
    </row>
    <row r="439">
      <c r="A439" t="inlineStr">
        <is>
          <t xml:space="preserve">AVAILFC</t>
        </is>
      </c>
      <c r="B439" t="inlineStr">
        <is>
          <t xml:space="preserve">AVAILABLE FINANCE LTD.</t>
        </is>
      </c>
      <c r="C439" t="inlineStr">
        <is>
          <t xml:space="preserve">INE325G01010</t>
        </is>
      </c>
    </row>
    <row r="440">
      <c r="A440" t="inlineStr">
        <is>
          <t xml:space="preserve">AVALON</t>
        </is>
      </c>
      <c r="B440" t="inlineStr">
        <is>
          <t xml:space="preserve">Avalon Technologies Limited</t>
        </is>
      </c>
      <c r="C440" t="inlineStr">
        <is>
          <t xml:space="preserve">INE0LCL01028</t>
        </is>
      </c>
    </row>
    <row r="441">
      <c r="A441" t="inlineStr">
        <is>
          <t xml:space="preserve">AVANCE</t>
        </is>
      </c>
      <c r="B441" t="inlineStr">
        <is>
          <t xml:space="preserve">AVANCE TECHNOLOGIES LTD.</t>
        </is>
      </c>
      <c r="C441" t="inlineStr">
        <is>
          <t xml:space="preserve">INE758A01072</t>
        </is>
      </c>
    </row>
    <row r="442">
      <c r="A442" t="inlineStr">
        <is>
          <t xml:space="preserve">AVANTEL</t>
        </is>
      </c>
      <c r="B442" t="inlineStr">
        <is>
          <t xml:space="preserve">AVANTEL LTD.</t>
        </is>
      </c>
      <c r="C442" t="inlineStr">
        <is>
          <t xml:space="preserve">INE005B01027</t>
        </is>
      </c>
    </row>
    <row r="443">
      <c r="A443" t="inlineStr">
        <is>
          <t xml:space="preserve">AVANTIFEED</t>
        </is>
      </c>
      <c r="B443" t="inlineStr">
        <is>
          <t xml:space="preserve">AVANTI FEEDS LTD.</t>
        </is>
      </c>
      <c r="C443" t="inlineStr">
        <is>
          <t xml:space="preserve">INE871C01038</t>
        </is>
      </c>
    </row>
    <row r="444">
      <c r="A444" t="inlineStr">
        <is>
          <t xml:space="preserve">AVAX</t>
        </is>
      </c>
      <c r="B444" t="inlineStr">
        <is>
          <t xml:space="preserve">Avax Apparels and Ornaments Li</t>
        </is>
      </c>
      <c r="C444" t="inlineStr">
        <is>
          <t xml:space="preserve">INE0NQ401024</t>
        </is>
      </c>
    </row>
    <row r="445">
      <c r="A445" t="inlineStr">
        <is>
          <t xml:space="preserve">AVEER</t>
        </is>
      </c>
      <c r="B445" t="inlineStr">
        <is>
          <t xml:space="preserve">Aveer Foods Limited</t>
        </is>
      </c>
      <c r="C445" t="inlineStr">
        <is>
          <t xml:space="preserve">INE09BN01011</t>
        </is>
      </c>
    </row>
    <row r="446">
      <c r="A446" t="inlineStr">
        <is>
          <t xml:space="preserve">DMART</t>
        </is>
      </c>
      <c r="B446" t="inlineStr">
        <is>
          <t xml:space="preserve">Avenue Supermarts Limited</t>
        </is>
      </c>
      <c r="C446" t="inlineStr">
        <is>
          <t xml:space="preserve">INE192R01011</t>
        </is>
      </c>
    </row>
    <row r="447">
      <c r="A447" t="inlineStr">
        <is>
          <t xml:space="preserve">CCAVENUE</t>
        </is>
      </c>
      <c r="B447" t="inlineStr">
        <is>
          <t xml:space="preserve">AvenuesAI Limited</t>
        </is>
      </c>
      <c r="C447" t="inlineStr">
        <is>
          <t xml:space="preserve">INE483S01020</t>
        </is>
      </c>
    </row>
    <row r="448">
      <c r="A448" t="inlineStr">
        <is>
          <t xml:space="preserve">AVG</t>
        </is>
      </c>
      <c r="B448" t="inlineStr">
        <is>
          <t xml:space="preserve">AVG Logistics Limited</t>
        </is>
      </c>
      <c r="C448" t="inlineStr">
        <is>
          <t xml:space="preserve">INE680Z01018</t>
        </is>
      </c>
    </row>
    <row r="449">
      <c r="A449" t="inlineStr">
        <is>
          <t xml:space="preserve">ASMS</t>
        </is>
      </c>
      <c r="B449" t="inlineStr">
        <is>
          <t xml:space="preserve">Avio Smart Market Stack Limite</t>
        </is>
      </c>
      <c r="C449" t="inlineStr">
        <is>
          <t xml:space="preserve">INE855F01042</t>
        </is>
      </c>
    </row>
    <row r="450">
      <c r="A450" t="inlineStr">
        <is>
          <t xml:space="preserve">AVIVA</t>
        </is>
      </c>
      <c r="B450" t="inlineStr">
        <is>
          <t xml:space="preserve">AVIVA INDUSTRIES LTD.</t>
        </is>
      </c>
      <c r="C450" t="inlineStr">
        <is>
          <t xml:space="preserve">INE461H01011</t>
        </is>
      </c>
    </row>
    <row r="451">
      <c r="A451" t="inlineStr">
        <is>
          <t xml:space="preserve">AVONMORE</t>
        </is>
      </c>
      <c r="B451" t="inlineStr">
        <is>
          <t xml:space="preserve">AVONMORE CAPITAL &amp; MANAGEMENT</t>
        </is>
      </c>
      <c r="C451" t="inlineStr">
        <is>
          <t xml:space="preserve">INE323B01024</t>
        </is>
      </c>
    </row>
    <row r="452">
      <c r="A452" t="inlineStr">
        <is>
          <t xml:space="preserve">AVROIND</t>
        </is>
      </c>
      <c r="B452" t="inlineStr">
        <is>
          <t xml:space="preserve">Avro India Limited</t>
        </is>
      </c>
      <c r="C452" t="inlineStr">
        <is>
          <t xml:space="preserve">INE652Z01025</t>
        </is>
      </c>
    </row>
    <row r="453">
      <c r="A453" t="inlineStr">
        <is>
          <t xml:space="preserve">AVTNPL</t>
        </is>
      </c>
      <c r="B453" t="inlineStr">
        <is>
          <t xml:space="preserve">AVT NATURAL PRODUCTS LTD.</t>
        </is>
      </c>
      <c r="C453" t="inlineStr">
        <is>
          <t xml:space="preserve">INE488D01021</t>
        </is>
      </c>
    </row>
    <row r="454">
      <c r="A454" t="inlineStr">
        <is>
          <t xml:space="preserve">AWFIS</t>
        </is>
      </c>
      <c r="B454" t="inlineStr">
        <is>
          <t xml:space="preserve">Awfis Space Solutions Limited</t>
        </is>
      </c>
      <c r="C454" t="inlineStr">
        <is>
          <t xml:space="preserve">INE108V01019</t>
        </is>
      </c>
    </row>
    <row r="455">
      <c r="A455" t="inlineStr">
        <is>
          <t xml:space="preserve">AWL</t>
        </is>
      </c>
      <c r="B455" t="inlineStr">
        <is>
          <t xml:space="preserve">AWL AGRI BUSINESS LIMITED</t>
        </is>
      </c>
      <c r="C455" t="inlineStr">
        <is>
          <t xml:space="preserve">INE699H01024</t>
        </is>
      </c>
    </row>
    <row r="456">
      <c r="A456" t="inlineStr">
        <is>
          <t xml:space="preserve">AXELPOLY</t>
        </is>
      </c>
      <c r="B456" t="inlineStr">
        <is>
          <t xml:space="preserve">AXEL POLYMERS LTD.</t>
        </is>
      </c>
      <c r="C456" t="inlineStr">
        <is>
          <t xml:space="preserve">INE197C01012</t>
        </is>
      </c>
    </row>
    <row r="457">
      <c r="A457" t="inlineStr">
        <is>
          <t xml:space="preserve">AXISBANK</t>
        </is>
      </c>
      <c r="B457" t="inlineStr">
        <is>
          <t xml:space="preserve">AXIS BANK LTD.</t>
        </is>
      </c>
      <c r="C457" t="inlineStr">
        <is>
          <t xml:space="preserve">INE238A01034</t>
        </is>
      </c>
    </row>
    <row r="458">
      <c r="A458" t="inlineStr">
        <is>
          <t xml:space="preserve">AXISCADES</t>
        </is>
      </c>
      <c r="B458" t="inlineStr">
        <is>
          <t xml:space="preserve">AXISCADES TECHNOLOGIES LIMITED</t>
        </is>
      </c>
      <c r="C458" t="inlineStr">
        <is>
          <t xml:space="preserve">INE555B01013</t>
        </is>
      </c>
    </row>
    <row r="459">
      <c r="A459" t="inlineStr">
        <is>
          <t xml:space="preserve">AXITA</t>
        </is>
      </c>
      <c r="B459" t="inlineStr">
        <is>
          <t xml:space="preserve">Axita Cotton Limited</t>
        </is>
      </c>
      <c r="C459" t="inlineStr">
        <is>
          <t xml:space="preserve">INE02EZ01022</t>
        </is>
      </c>
    </row>
    <row r="460">
      <c r="A460" t="inlineStr">
        <is>
          <t xml:space="preserve">AXTEL</t>
        </is>
      </c>
      <c r="B460" t="inlineStr">
        <is>
          <t xml:space="preserve">AXTEL INDUSTRIES LTD.</t>
        </is>
      </c>
      <c r="C460" t="inlineStr">
        <is>
          <t xml:space="preserve">INE767C01012</t>
        </is>
      </c>
    </row>
    <row r="461">
      <c r="A461" t="inlineStr">
        <is>
          <t xml:space="preserve">AYE</t>
        </is>
      </c>
      <c r="B461" t="inlineStr">
        <is>
          <t xml:space="preserve">Aye Finance Limited</t>
        </is>
      </c>
      <c r="C461" t="inlineStr">
        <is>
          <t xml:space="preserve">INE501X01029</t>
        </is>
      </c>
    </row>
    <row r="462">
      <c r="A462" t="inlineStr">
        <is>
          <t xml:space="preserve">AYMSYNTEX</t>
        </is>
      </c>
      <c r="B462" t="inlineStr">
        <is>
          <t xml:space="preserve">AYM Syntex Limited</t>
        </is>
      </c>
      <c r="C462" t="inlineStr">
        <is>
          <t xml:space="preserve">INE193B01039</t>
        </is>
      </c>
    </row>
    <row r="463">
      <c r="A463" t="inlineStr">
        <is>
          <t xml:space="preserve">AZAD</t>
        </is>
      </c>
      <c r="B463" t="inlineStr">
        <is>
          <t xml:space="preserve">Azad Engineering Limited</t>
        </is>
      </c>
      <c r="C463" t="inlineStr">
        <is>
          <t xml:space="preserve">INE02IJ01035</t>
        </is>
      </c>
    </row>
    <row r="464">
      <c r="A464" t="inlineStr">
        <is>
          <t xml:space="preserve">AZADIND</t>
        </is>
      </c>
      <c r="B464" t="inlineStr">
        <is>
          <t xml:space="preserve">AZAD INDIA MOBILITY LIMITED</t>
        </is>
      </c>
      <c r="C464" t="inlineStr">
        <is>
          <t xml:space="preserve">INE566M01017</t>
        </is>
      </c>
    </row>
    <row r="465">
      <c r="A465" t="inlineStr">
        <is>
          <t xml:space="preserve">AZTEC</t>
        </is>
      </c>
      <c r="B465" t="inlineStr">
        <is>
          <t xml:space="preserve">Aztec Fluids &amp; Machinery Limit</t>
        </is>
      </c>
      <c r="C465" t="inlineStr">
        <is>
          <t xml:space="preserve">INE0SCB01016</t>
        </is>
      </c>
    </row>
    <row r="466">
      <c r="A466" t="inlineStr">
        <is>
          <t xml:space="preserve">BNALTD</t>
        </is>
      </c>
      <c r="B466" t="inlineStr">
        <is>
          <t xml:space="preserve">B &amp; A LTD.</t>
        </is>
      </c>
      <c r="C466" t="inlineStr">
        <is>
          <t xml:space="preserve">INE489D01011</t>
        </is>
      </c>
    </row>
    <row r="467">
      <c r="A467" t="inlineStr">
        <is>
          <t xml:space="preserve">BAPACK</t>
        </is>
      </c>
      <c r="B467" t="inlineStr">
        <is>
          <t xml:space="preserve">B&amp;A PACKAGING INDIA LIMITED</t>
        </is>
      </c>
      <c r="C467" t="inlineStr">
        <is>
          <t xml:space="preserve">INE00FM01013</t>
        </is>
      </c>
    </row>
    <row r="468">
      <c r="A468" t="inlineStr">
        <is>
          <t xml:space="preserve">BBTCL</t>
        </is>
      </c>
      <c r="B468" t="inlineStr">
        <is>
          <t xml:space="preserve">B&amp;B Triplewall Containers Limi</t>
        </is>
      </c>
      <c r="C468" t="inlineStr">
        <is>
          <t xml:space="preserve">INE01EE01011</t>
        </is>
      </c>
    </row>
    <row r="469">
      <c r="A469" t="inlineStr">
        <is>
          <t xml:space="preserve">BRRL</t>
        </is>
      </c>
      <c r="B469" t="inlineStr">
        <is>
          <t xml:space="preserve">B-RIGHT REALESTATE LIMITED</t>
        </is>
      </c>
      <c r="C469" t="inlineStr">
        <is>
          <t xml:space="preserve">INE0IZQ01016</t>
        </is>
      </c>
    </row>
    <row r="470">
      <c r="A470" t="inlineStr">
        <is>
          <t xml:space="preserve">BAGFILMS</t>
        </is>
      </c>
      <c r="B470" t="inlineStr">
        <is>
          <t xml:space="preserve">B.A.G.FILMS &amp; MEDIA LTD.</t>
        </is>
      </c>
      <c r="C470" t="inlineStr">
        <is>
          <t xml:space="preserve">INE116D01028</t>
        </is>
      </c>
    </row>
    <row r="471">
      <c r="A471" t="inlineStr">
        <is>
          <t xml:space="preserve">BCP</t>
        </is>
      </c>
      <c r="B471" t="inlineStr">
        <is>
          <t xml:space="preserve">B.C. POWER CONTROLS LTD</t>
        </is>
      </c>
      <c r="C471" t="inlineStr">
        <is>
          <t xml:space="preserve">INE905P01028</t>
        </is>
      </c>
    </row>
    <row r="472">
      <c r="A472" t="inlineStr">
        <is>
          <t xml:space="preserve">BLKASHYAP</t>
        </is>
      </c>
      <c r="B472" t="inlineStr">
        <is>
          <t xml:space="preserve">B.L.KASHYAP AND SONS LTD.</t>
        </is>
      </c>
      <c r="C472" t="inlineStr">
        <is>
          <t xml:space="preserve">INE350H01032</t>
        </is>
      </c>
    </row>
    <row r="473">
      <c r="A473" t="inlineStr">
        <is>
          <t xml:space="preserve">BNRSEC</t>
        </is>
      </c>
      <c r="B473" t="inlineStr">
        <is>
          <t xml:space="preserve">B.N.RATHI SECURITIES LTD.</t>
        </is>
      </c>
      <c r="C473" t="inlineStr">
        <is>
          <t xml:space="preserve">INE710D01028</t>
        </is>
      </c>
    </row>
    <row r="474">
      <c r="A474" t="inlineStr">
        <is>
          <t xml:space="preserve">BRGIL</t>
        </is>
      </c>
      <c r="B474" t="inlineStr">
        <is>
          <t xml:space="preserve">B.R.GOYAL INFRASTRUCTURE LIMIT</t>
        </is>
      </c>
      <c r="C474" t="inlineStr">
        <is>
          <t xml:space="preserve">INE00ST01011</t>
        </is>
      </c>
    </row>
    <row r="475">
      <c r="A475" t="inlineStr">
        <is>
          <t xml:space="preserve">B2BSOFT</t>
        </is>
      </c>
      <c r="B475" t="inlineStr">
        <is>
          <t xml:space="preserve">B2B SOFTWARE TECHNOLOGIES LTD.</t>
        </is>
      </c>
      <c r="C475" t="inlineStr">
        <is>
          <t xml:space="preserve">INE151B01011</t>
        </is>
      </c>
    </row>
    <row r="476">
      <c r="A476" t="inlineStr">
        <is>
          <t xml:space="preserve">STYLEBAAZA</t>
        </is>
      </c>
      <c r="B476" t="inlineStr">
        <is>
          <t xml:space="preserve">Baazar Style Retail Limited</t>
        </is>
      </c>
      <c r="C476" t="inlineStr">
        <is>
          <t xml:space="preserve">INE01FR01028</t>
        </is>
      </c>
    </row>
    <row r="477">
      <c r="A477" t="inlineStr">
        <is>
          <t xml:space="preserve">BABA</t>
        </is>
      </c>
      <c r="B477" t="inlineStr">
        <is>
          <t xml:space="preserve">BABA ARTS LTD.</t>
        </is>
      </c>
      <c r="C477" t="inlineStr">
        <is>
          <t xml:space="preserve">INE893A01036</t>
        </is>
      </c>
    </row>
    <row r="478">
      <c r="A478" t="inlineStr">
        <is>
          <t xml:space="preserve">BACPHAR</t>
        </is>
      </c>
      <c r="B478" t="inlineStr">
        <is>
          <t xml:space="preserve">BACIL PHARMA LTD.</t>
        </is>
      </c>
      <c r="C478" t="inlineStr">
        <is>
          <t xml:space="preserve">INE711D01018</t>
        </is>
      </c>
    </row>
    <row r="479">
      <c r="A479" t="inlineStr">
        <is>
          <t xml:space="preserve">BAFNAPH</t>
        </is>
      </c>
      <c r="B479" t="inlineStr">
        <is>
          <t xml:space="preserve">BAFNA PHARMACEUTICALS LTD.</t>
        </is>
      </c>
      <c r="C479" t="inlineStr">
        <is>
          <t xml:space="preserve">INE878I01022</t>
        </is>
      </c>
    </row>
    <row r="480">
      <c r="A480" t="inlineStr">
        <is>
          <t xml:space="preserve">BAGMANE</t>
        </is>
      </c>
      <c r="B480" t="inlineStr">
        <is>
          <t xml:space="preserve">Bagmane Prime Office REIT</t>
        </is>
      </c>
      <c r="C480" t="inlineStr">
        <is>
          <t xml:space="preserve">INE2OVN25015</t>
        </is>
      </c>
    </row>
    <row r="481">
      <c r="A481" t="inlineStr">
        <is>
          <t xml:space="preserve">BAIKAKAJI</t>
        </is>
      </c>
      <c r="B481" t="inlineStr">
        <is>
          <t xml:space="preserve">BAI-KAKAJI POLYMERS LIMITED</t>
        </is>
      </c>
      <c r="C481" t="inlineStr">
        <is>
          <t xml:space="preserve">INE1IJQ01026</t>
        </is>
      </c>
    </row>
    <row r="482">
      <c r="A482" t="inlineStr">
        <is>
          <t xml:space="preserve">BAIDFIN</t>
        </is>
      </c>
      <c r="B482" t="inlineStr">
        <is>
          <t xml:space="preserve">BAID FINSERV LIMITED</t>
        </is>
      </c>
      <c r="C482" t="inlineStr">
        <is>
          <t xml:space="preserve">INE020D01022</t>
        </is>
      </c>
    </row>
    <row r="483">
      <c r="A483" t="inlineStr">
        <is>
          <t xml:space="preserve">BAJAJ-AUTO</t>
        </is>
      </c>
      <c r="B483" t="inlineStr">
        <is>
          <t xml:space="preserve">BAJAJ AUTO LTD.</t>
        </is>
      </c>
      <c r="C483" t="inlineStr">
        <is>
          <t xml:space="preserve">INE917I01010</t>
        </is>
      </c>
    </row>
    <row r="484">
      <c r="A484" t="inlineStr">
        <is>
          <t xml:space="preserve">BAJAJCON</t>
        </is>
      </c>
      <c r="B484" t="inlineStr">
        <is>
          <t xml:space="preserve">BAJAJ CONSUMER CARE LIMITED</t>
        </is>
      </c>
      <c r="C484" t="inlineStr">
        <is>
          <t xml:space="preserve">INE933K01021</t>
        </is>
      </c>
    </row>
    <row r="485">
      <c r="A485" t="inlineStr">
        <is>
          <t xml:space="preserve">BAJAJELEC</t>
        </is>
      </c>
      <c r="B485" t="inlineStr">
        <is>
          <t xml:space="preserve">BAJAJ ELECTRICALS LTD.</t>
        </is>
      </c>
      <c r="C485" t="inlineStr">
        <is>
          <t xml:space="preserve">INE193E01025</t>
        </is>
      </c>
    </row>
    <row r="486">
      <c r="A486" t="inlineStr">
        <is>
          <t xml:space="preserve">BAJFINANCE</t>
        </is>
      </c>
      <c r="B486" t="inlineStr">
        <is>
          <t xml:space="preserve">BAJAJ FINANCE LIMITED</t>
        </is>
      </c>
      <c r="C486" t="inlineStr">
        <is>
          <t xml:space="preserve">INE296A01032</t>
        </is>
      </c>
    </row>
    <row r="487">
      <c r="A487" t="inlineStr">
        <is>
          <t xml:space="preserve">BAJAJFINSV</t>
        </is>
      </c>
      <c r="B487" t="inlineStr">
        <is>
          <t xml:space="preserve">BAJAJ FINSERV LTD.</t>
        </is>
      </c>
      <c r="C487" t="inlineStr">
        <is>
          <t xml:space="preserve">INE918I01026</t>
        </is>
      </c>
    </row>
    <row r="488">
      <c r="A488" t="inlineStr">
        <is>
          <t xml:space="preserve">BAJAJHCARE</t>
        </is>
      </c>
      <c r="B488" t="inlineStr">
        <is>
          <t xml:space="preserve">Bajaj Healthcare Limited</t>
        </is>
      </c>
      <c r="C488" t="inlineStr">
        <is>
          <t xml:space="preserve">INE411U01027</t>
        </is>
      </c>
    </row>
    <row r="489">
      <c r="A489" t="inlineStr">
        <is>
          <t xml:space="preserve">BAJAJHIND</t>
        </is>
      </c>
      <c r="B489" t="inlineStr">
        <is>
          <t xml:space="preserve">BAJAJ HINDUSTHAN SUGAR LIMITED</t>
        </is>
      </c>
      <c r="C489" t="inlineStr">
        <is>
          <t xml:space="preserve">INE306A01021</t>
        </is>
      </c>
    </row>
    <row r="490">
      <c r="A490" t="inlineStr">
        <is>
          <t xml:space="preserve">BAJAJHLDNG</t>
        </is>
      </c>
      <c r="B490" t="inlineStr">
        <is>
          <t xml:space="preserve">BAJAJ HOLDINGS &amp; INVESTMENT LT</t>
        </is>
      </c>
      <c r="C490" t="inlineStr">
        <is>
          <t xml:space="preserve">INE118A01012</t>
        </is>
      </c>
    </row>
    <row r="491">
      <c r="A491" t="inlineStr">
        <is>
          <t xml:space="preserve">BAJAJHFL</t>
        </is>
      </c>
      <c r="B491" t="inlineStr">
        <is>
          <t xml:space="preserve">Bajaj Housing Finance Limited</t>
        </is>
      </c>
      <c r="C491" t="inlineStr">
        <is>
          <t xml:space="preserve">INE377Y01014</t>
        </is>
      </c>
    </row>
    <row r="492">
      <c r="A492" t="inlineStr">
        <is>
          <t xml:space="preserve">BAJAJST</t>
        </is>
      </c>
      <c r="B492" t="inlineStr">
        <is>
          <t xml:space="preserve">BAJAJ STEEL INDUSTRIES LTD.</t>
        </is>
      </c>
      <c r="C492" t="inlineStr">
        <is>
          <t xml:space="preserve">INE704G01024</t>
        </is>
      </c>
    </row>
    <row r="493">
      <c r="A493" t="inlineStr">
        <is>
          <t xml:space="preserve">BAJEL</t>
        </is>
      </c>
      <c r="B493" t="inlineStr">
        <is>
          <t xml:space="preserve">Bajel Projects Limited</t>
        </is>
      </c>
      <c r="C493" t="inlineStr">
        <is>
          <t xml:space="preserve">INE0KQN01018</t>
        </is>
      </c>
    </row>
    <row r="494">
      <c r="A494" t="inlineStr">
        <is>
          <t xml:space="preserve">BALPHARMA</t>
        </is>
      </c>
      <c r="B494" t="inlineStr">
        <is>
          <t xml:space="preserve">BAL PHARMA LTD.</t>
        </is>
      </c>
      <c r="C494" t="inlineStr">
        <is>
          <t xml:space="preserve">INE083D01012</t>
        </is>
      </c>
    </row>
    <row r="495">
      <c r="A495" t="inlineStr">
        <is>
          <t xml:space="preserve">BALAMINES</t>
        </is>
      </c>
      <c r="B495" t="inlineStr">
        <is>
          <t xml:space="preserve">BALAJI AMINES LTD.</t>
        </is>
      </c>
      <c r="C495" t="inlineStr">
        <is>
          <t xml:space="preserve">INE050E01027</t>
        </is>
      </c>
    </row>
    <row r="496">
      <c r="A496" t="inlineStr">
        <is>
          <t xml:space="preserve">BALAJITELE</t>
        </is>
      </c>
      <c r="B496" t="inlineStr">
        <is>
          <t xml:space="preserve">BALAJI TELEFILMS LTD.</t>
        </is>
      </c>
      <c r="C496" t="inlineStr">
        <is>
          <t xml:space="preserve">INE794B01026</t>
        </is>
      </c>
    </row>
    <row r="497">
      <c r="A497" t="inlineStr">
        <is>
          <t xml:space="preserve">BALKRISIND</t>
        </is>
      </c>
      <c r="B497" t="inlineStr">
        <is>
          <t xml:space="preserve">BALKRISHNA INDUSTRIES LTD.</t>
        </is>
      </c>
      <c r="C497" t="inlineStr">
        <is>
          <t xml:space="preserve">INE787D01026</t>
        </is>
      </c>
    </row>
    <row r="498">
      <c r="A498" t="inlineStr">
        <is>
          <t xml:space="preserve">BALKRISHNA</t>
        </is>
      </c>
      <c r="B498" t="inlineStr">
        <is>
          <t xml:space="preserve">Balkrishna Paper Mills Ltd.</t>
        </is>
      </c>
      <c r="C498" t="inlineStr">
        <is>
          <t xml:space="preserve">INE875R01011</t>
        </is>
      </c>
    </row>
    <row r="499">
      <c r="A499" t="inlineStr">
        <is>
          <t xml:space="preserve">BALMLAWRIE</t>
        </is>
      </c>
      <c r="B499" t="inlineStr">
        <is>
          <t xml:space="preserve">BALMER LAWRIE AND COMPANY LIMI</t>
        </is>
      </c>
      <c r="C499" t="inlineStr">
        <is>
          <t xml:space="preserve">INE164A01016</t>
        </is>
      </c>
    </row>
    <row r="500">
      <c r="A500" t="inlineStr">
        <is>
          <t xml:space="preserve">BLIL</t>
        </is>
      </c>
      <c r="B500" t="inlineStr">
        <is>
          <t xml:space="preserve">BALMER LAWRIE INVESTMENTS LTD.</t>
        </is>
      </c>
      <c r="C500" t="inlineStr">
        <is>
          <t xml:space="preserve">INE525F01025</t>
        </is>
      </c>
    </row>
    <row r="501">
      <c r="A501" t="inlineStr">
        <is>
          <t xml:space="preserve">BALRAMCHIN</t>
        </is>
      </c>
      <c r="B501" t="inlineStr">
        <is>
          <t xml:space="preserve">BALRAMPUR CHINI MILLS LTD</t>
        </is>
      </c>
      <c r="C501" t="inlineStr">
        <is>
          <t xml:space="preserve">INE119A01028</t>
        </is>
      </c>
    </row>
    <row r="502">
      <c r="A502" t="inlineStr">
        <is>
          <t xml:space="preserve">BALUFORGE</t>
        </is>
      </c>
      <c r="B502" t="inlineStr">
        <is>
          <t xml:space="preserve">BALU FORGE INDUSTRIES LIMITED</t>
        </is>
      </c>
      <c r="C502" t="inlineStr">
        <is>
          <t xml:space="preserve">INE011E01029</t>
        </is>
      </c>
    </row>
    <row r="503">
      <c r="A503" t="inlineStr">
        <is>
          <t xml:space="preserve">BALTE</t>
        </is>
      </c>
      <c r="B503" t="inlineStr">
        <is>
          <t xml:space="preserve">BALURGHAT TECHNOLOGIES LTD.</t>
        </is>
      </c>
      <c r="C503" t="inlineStr">
        <is>
          <t xml:space="preserve">INE654B01014</t>
        </is>
      </c>
    </row>
    <row r="504">
      <c r="A504" t="inlineStr">
        <is>
          <t xml:space="preserve">BAMBINO</t>
        </is>
      </c>
      <c r="B504" t="inlineStr">
        <is>
          <t xml:space="preserve">BAMBINO AGRO INDUSTRIES LTD.</t>
        </is>
      </c>
      <c r="C504" t="inlineStr">
        <is>
          <t xml:space="preserve">INE921D01013</t>
        </is>
      </c>
    </row>
    <row r="505">
      <c r="A505" t="inlineStr">
        <is>
          <t xml:space="preserve">BAMPSL</t>
        </is>
      </c>
      <c r="B505" t="inlineStr">
        <is>
          <t xml:space="preserve">BAMPSL SECURITIES LTD.</t>
        </is>
      </c>
      <c r="C505" t="inlineStr">
        <is>
          <t xml:space="preserve">INE802A01037</t>
        </is>
      </c>
    </row>
    <row r="506">
      <c r="A506" t="inlineStr">
        <is>
          <t xml:space="preserve">BANARBEADS</t>
        </is>
      </c>
      <c r="B506" t="inlineStr">
        <is>
          <t xml:space="preserve">BANARAS BEADS LTD.</t>
        </is>
      </c>
      <c r="C506" t="inlineStr">
        <is>
          <t xml:space="preserve">INE655B01011</t>
        </is>
      </c>
    </row>
    <row r="507">
      <c r="A507" t="inlineStr">
        <is>
          <t xml:space="preserve">BANASFN</t>
        </is>
      </c>
      <c r="B507" t="inlineStr">
        <is>
          <t xml:space="preserve">BANAS FINANCE LTD.</t>
        </is>
      </c>
      <c r="C507" t="inlineStr">
        <is>
          <t xml:space="preserve">INE521L01030</t>
        </is>
      </c>
    </row>
    <row r="508">
      <c r="A508" t="inlineStr">
        <is>
          <t xml:space="preserve">BANCOINDIA</t>
        </is>
      </c>
      <c r="B508" t="inlineStr">
        <is>
          <t xml:space="preserve">BANCO PRODUCTS (INDIA) LTD.</t>
        </is>
      </c>
      <c r="C508" t="inlineStr">
        <is>
          <t xml:space="preserve">INE213C01025</t>
        </is>
      </c>
    </row>
    <row r="509">
      <c r="A509" t="inlineStr">
        <is>
          <t xml:space="preserve">BANDARAM</t>
        </is>
      </c>
      <c r="B509" t="inlineStr">
        <is>
          <t xml:space="preserve">BANDARAM PHARMA PACKTECH LIMIT</t>
        </is>
      </c>
      <c r="C509" t="inlineStr">
        <is>
          <t xml:space="preserve">INE875N01036</t>
        </is>
      </c>
    </row>
    <row r="510">
      <c r="A510" t="inlineStr">
        <is>
          <t xml:space="preserve">BANDHANBNK</t>
        </is>
      </c>
      <c r="B510" t="inlineStr">
        <is>
          <t xml:space="preserve">Bandhan Bank Limited</t>
        </is>
      </c>
      <c r="C510" t="inlineStr">
        <is>
          <t xml:space="preserve">INE545U01014</t>
        </is>
      </c>
    </row>
    <row r="511">
      <c r="A511" t="inlineStr">
        <is>
          <t xml:space="preserve">BANG</t>
        </is>
      </c>
      <c r="B511" t="inlineStr">
        <is>
          <t xml:space="preserve">BANG OVERSEAS LTD.</t>
        </is>
      </c>
      <c r="C511" t="inlineStr">
        <is>
          <t xml:space="preserve">INE863I01016</t>
        </is>
      </c>
    </row>
    <row r="512">
      <c r="A512" t="inlineStr">
        <is>
          <t xml:space="preserve">BANKBARODA</t>
        </is>
      </c>
      <c r="B512" t="inlineStr">
        <is>
          <t xml:space="preserve">BANK OF BARODA</t>
        </is>
      </c>
      <c r="C512" t="inlineStr">
        <is>
          <t xml:space="preserve">INE028A01039</t>
        </is>
      </c>
    </row>
    <row r="513">
      <c r="A513" t="inlineStr">
        <is>
          <t xml:space="preserve">BANKINDIA</t>
        </is>
      </c>
      <c r="B513" t="inlineStr">
        <is>
          <t xml:space="preserve">BANK OF INDIA</t>
        </is>
      </c>
      <c r="C513" t="inlineStr">
        <is>
          <t xml:space="preserve">INE084A01016</t>
        </is>
      </c>
    </row>
    <row r="514">
      <c r="A514" t="inlineStr">
        <is>
          <t xml:space="preserve">MAHABANK</t>
        </is>
      </c>
      <c r="B514" t="inlineStr">
        <is>
          <t xml:space="preserve">BANK OF MAHARASHTRA</t>
        </is>
      </c>
      <c r="C514" t="inlineStr">
        <is>
          <t xml:space="preserve">INE457A01014</t>
        </is>
      </c>
    </row>
    <row r="515">
      <c r="A515" t="inlineStr">
        <is>
          <t xml:space="preserve">BASML</t>
        </is>
      </c>
      <c r="B515" t="inlineStr">
        <is>
          <t xml:space="preserve">BANNARI AMMAN SPINNING MILLS L</t>
        </is>
      </c>
      <c r="C515" t="inlineStr">
        <is>
          <t xml:space="preserve">INE186H01022</t>
        </is>
      </c>
    </row>
    <row r="516">
      <c r="A516" t="inlineStr">
        <is>
          <t xml:space="preserve">BANARISUG</t>
        </is>
      </c>
      <c r="B516" t="inlineStr">
        <is>
          <t xml:space="preserve">BANNARI AMMAN SUGARS LTD.</t>
        </is>
      </c>
      <c r="C516" t="inlineStr">
        <is>
          <t xml:space="preserve">INE459A01010</t>
        </is>
      </c>
    </row>
    <row r="517">
      <c r="A517" t="inlineStr">
        <is>
          <t xml:space="preserve">BRPL</t>
        </is>
      </c>
      <c r="B517" t="inlineStr">
        <is>
          <t xml:space="preserve">BANSAL ROOFING PRODUCTS LTD</t>
        </is>
      </c>
      <c r="C517" t="inlineStr">
        <is>
          <t xml:space="preserve">INE319Q01012</t>
        </is>
      </c>
    </row>
    <row r="518">
      <c r="A518" t="inlineStr">
        <is>
          <t xml:space="preserve">BANSALWIRE</t>
        </is>
      </c>
      <c r="B518" t="inlineStr">
        <is>
          <t xml:space="preserve">Bansal Wire Industries Limited</t>
        </is>
      </c>
      <c r="C518" t="inlineStr">
        <is>
          <t xml:space="preserve">INE0B9K01025</t>
        </is>
      </c>
    </row>
    <row r="519">
      <c r="A519" t="inlineStr">
        <is>
          <t xml:space="preserve">BANSWRAS</t>
        </is>
      </c>
      <c r="B519" t="inlineStr">
        <is>
          <t xml:space="preserve">BANSWARA SYNTEX LTD.</t>
        </is>
      </c>
      <c r="C519" t="inlineStr">
        <is>
          <t xml:space="preserve">INE629D01020</t>
        </is>
      </c>
    </row>
    <row r="520">
      <c r="A520" t="inlineStr">
        <is>
          <t xml:space="preserve">BVCL</t>
        </is>
      </c>
      <c r="B520" t="inlineStr">
        <is>
          <t xml:space="preserve">BARAK VALLEY CEMENTS LTD.</t>
        </is>
      </c>
      <c r="C520" t="inlineStr">
        <is>
          <t xml:space="preserve">INE139I01011</t>
        </is>
      </c>
    </row>
    <row r="521">
      <c r="A521" t="inlineStr">
        <is>
          <t xml:space="preserve">BAROEXT</t>
        </is>
      </c>
      <c r="B521" t="inlineStr">
        <is>
          <t xml:space="preserve">BARODA EXTRUSION LTD.</t>
        </is>
      </c>
      <c r="C521" t="inlineStr">
        <is>
          <t xml:space="preserve">INE927K01023</t>
        </is>
      </c>
    </row>
    <row r="522">
      <c r="A522" t="inlineStr">
        <is>
          <t xml:space="preserve">BARODARY</t>
        </is>
      </c>
      <c r="B522" t="inlineStr">
        <is>
          <t xml:space="preserve">BARODA RAYON CORPORATION LTD.</t>
        </is>
      </c>
      <c r="C522" t="inlineStr">
        <is>
          <t xml:space="preserve">INE461A01024</t>
        </is>
      </c>
    </row>
    <row r="523">
      <c r="A523" t="inlineStr">
        <is>
          <t xml:space="preserve">BASANTGL</t>
        </is>
      </c>
      <c r="B523" t="inlineStr">
        <is>
          <t xml:space="preserve">BASANT AGRO TECH (INDIA) LTD.</t>
        </is>
      </c>
      <c r="C523" t="inlineStr">
        <is>
          <t xml:space="preserve">INE473E01021</t>
        </is>
      </c>
    </row>
    <row r="524">
      <c r="A524" t="inlineStr">
        <is>
          <t xml:space="preserve">BASF</t>
        </is>
      </c>
      <c r="B524" t="inlineStr">
        <is>
          <t xml:space="preserve">BASF INDIA LTD.</t>
        </is>
      </c>
      <c r="C524" t="inlineStr">
        <is>
          <t xml:space="preserve">INE373A01013</t>
        </is>
      </c>
    </row>
    <row r="525">
      <c r="A525" t="inlineStr">
        <is>
          <t xml:space="preserve">BATAINDIA</t>
        </is>
      </c>
      <c r="B525" t="inlineStr">
        <is>
          <t xml:space="preserve">BATA INDIA LTD.</t>
        </is>
      </c>
      <c r="C525" t="inlineStr">
        <is>
          <t xml:space="preserve">INE176A01028</t>
        </is>
      </c>
    </row>
    <row r="526">
      <c r="A526" t="inlineStr">
        <is>
          <t xml:space="preserve">BATLIBOI</t>
        </is>
      </c>
      <c r="B526" t="inlineStr">
        <is>
          <t xml:space="preserve">BATLIBOI LTD.</t>
        </is>
      </c>
      <c r="C526" t="inlineStr">
        <is>
          <t xml:space="preserve">INE177C01022</t>
        </is>
      </c>
    </row>
    <row r="527">
      <c r="A527" t="inlineStr">
        <is>
          <t xml:space="preserve">BAYERCROP</t>
        </is>
      </c>
      <c r="B527" t="inlineStr">
        <is>
          <t xml:space="preserve">BAYER CROPSCIENCE LTD.</t>
        </is>
      </c>
      <c r="C527" t="inlineStr">
        <is>
          <t xml:space="preserve">INE462A01022</t>
        </is>
      </c>
    </row>
    <row r="528">
      <c r="A528" t="inlineStr">
        <is>
          <t xml:space="preserve">BAZELINTER</t>
        </is>
      </c>
      <c r="B528" t="inlineStr">
        <is>
          <t xml:space="preserve">Bazel International Limited</t>
        </is>
      </c>
      <c r="C528" t="inlineStr">
        <is>
          <t xml:space="preserve">INE217E01014</t>
        </is>
      </c>
    </row>
    <row r="529">
      <c r="A529" t="inlineStr">
        <is>
          <t xml:space="preserve">BCCFUBA</t>
        </is>
      </c>
      <c r="B529" t="inlineStr">
        <is>
          <t xml:space="preserve">BCC FUBA INDIA LTD.</t>
        </is>
      </c>
      <c r="C529" t="inlineStr">
        <is>
          <t xml:space="preserve">INE788D01016</t>
        </is>
      </c>
    </row>
    <row r="530">
      <c r="A530" t="inlineStr">
        <is>
          <t xml:space="preserve">BCLIND</t>
        </is>
      </c>
      <c r="B530" t="inlineStr">
        <is>
          <t xml:space="preserve">BCL INDUSTRIES LIMITED</t>
        </is>
      </c>
      <c r="C530" t="inlineStr">
        <is>
          <t xml:space="preserve">INE412G01024</t>
        </is>
      </c>
    </row>
    <row r="531">
      <c r="A531" t="inlineStr">
        <is>
          <t xml:space="preserve">BCPL</t>
        </is>
      </c>
      <c r="B531" t="inlineStr">
        <is>
          <t xml:space="preserve">BCPL Railway Infrastructure Li</t>
        </is>
      </c>
      <c r="C531" t="inlineStr">
        <is>
          <t xml:space="preserve">INE00SW01015</t>
        </is>
      </c>
    </row>
    <row r="532">
      <c r="A532" t="inlineStr">
        <is>
          <t xml:space="preserve">125BCSL29</t>
        </is>
      </c>
      <c r="B532" t="inlineStr">
        <is>
          <t xml:space="preserve">BCSL-12.5%-18-3-29-PVT</t>
        </is>
      </c>
      <c r="C532" t="inlineStr">
        <is>
          <t xml:space="preserve">INE04UP07162</t>
        </is>
      </c>
    </row>
    <row r="533">
      <c r="A533" t="inlineStr">
        <is>
          <t xml:space="preserve">BDH</t>
        </is>
      </c>
      <c r="B533" t="inlineStr">
        <is>
          <t xml:space="preserve">BDH INDUSTRIES LTD.</t>
        </is>
      </c>
      <c r="C533" t="inlineStr">
        <is>
          <t xml:space="preserve">INE278D01018</t>
        </is>
      </c>
    </row>
    <row r="534">
      <c r="A534" t="inlineStr">
        <is>
          <t xml:space="preserve">BEDMUTHA</t>
        </is>
      </c>
      <c r="B534" t="inlineStr">
        <is>
          <t xml:space="preserve">BEDMUTHA INDUSTRIES LTD.</t>
        </is>
      </c>
      <c r="C534" t="inlineStr">
        <is>
          <t xml:space="preserve">INE844K01012</t>
        </is>
      </c>
    </row>
    <row r="535">
      <c r="A535" t="inlineStr">
        <is>
          <t xml:space="preserve">BEEKAY</t>
        </is>
      </c>
      <c r="B535" t="inlineStr">
        <is>
          <t xml:space="preserve">Beekay Steel Industries Ltd.</t>
        </is>
      </c>
      <c r="C535" t="inlineStr">
        <is>
          <t xml:space="preserve">INE213D01015</t>
        </is>
      </c>
    </row>
    <row r="536">
      <c r="A536" t="inlineStr">
        <is>
          <t xml:space="preserve">BEEYU</t>
        </is>
      </c>
      <c r="B536" t="inlineStr">
        <is>
          <t xml:space="preserve">BEEYU OVERSEAS LTD.</t>
        </is>
      </c>
      <c r="C536" t="inlineStr">
        <is>
          <t xml:space="preserve">INE052B01011</t>
        </is>
      </c>
    </row>
    <row r="537">
      <c r="A537" t="inlineStr">
        <is>
          <t xml:space="preserve">BEEZAASAN</t>
        </is>
      </c>
      <c r="B537" t="inlineStr">
        <is>
          <t xml:space="preserve">Beezaasan Explotech Limited</t>
        </is>
      </c>
      <c r="C537" t="inlineStr">
        <is>
          <t xml:space="preserve">INE13VU01016</t>
        </is>
      </c>
    </row>
    <row r="538">
      <c r="A538" t="inlineStr">
        <is>
          <t xml:space="preserve">BEFOUNDMOL</t>
        </is>
      </c>
      <c r="B538" t="inlineStr">
        <is>
          <t xml:space="preserve">BEFOUND MOVEMENT LIMITED</t>
        </is>
      </c>
      <c r="C538" t="inlineStr">
        <is>
          <t xml:space="preserve">INE425F01028</t>
        </is>
      </c>
    </row>
    <row r="539">
      <c r="A539" t="inlineStr">
        <is>
          <t xml:space="preserve">BELDING</t>
        </is>
      </c>
      <c r="B539" t="inlineStr">
        <is>
          <t xml:space="preserve">BELDING INDIA LIMITED</t>
        </is>
      </c>
      <c r="C539" t="inlineStr">
        <is>
          <t xml:space="preserve">INE363L01045</t>
        </is>
      </c>
    </row>
    <row r="540">
      <c r="A540" t="inlineStr">
        <is>
          <t xml:space="preserve">BELLACASA</t>
        </is>
      </c>
      <c r="B540" t="inlineStr">
        <is>
          <t xml:space="preserve">Bella Casa Fashion &amp; Retail Li</t>
        </is>
      </c>
      <c r="C540" t="inlineStr">
        <is>
          <t xml:space="preserve">INE344T01014</t>
        </is>
      </c>
    </row>
    <row r="541">
      <c r="A541" t="inlineStr">
        <is>
          <t xml:space="preserve">BELRISE</t>
        </is>
      </c>
      <c r="B541" t="inlineStr">
        <is>
          <t xml:space="preserve">BELRISE INDUSTRIES LIMITED</t>
        </is>
      </c>
      <c r="C541" t="inlineStr">
        <is>
          <t xml:space="preserve">INE894V01022</t>
        </is>
      </c>
    </row>
    <row r="542">
      <c r="A542" t="inlineStr">
        <is>
          <t xml:space="preserve">BEMHY</t>
        </is>
      </c>
      <c r="B542" t="inlineStr">
        <is>
          <t xml:space="preserve">BEMCO HYDRAULICS LTD.</t>
        </is>
      </c>
      <c r="C542" t="inlineStr">
        <is>
          <t xml:space="preserve">INE142E01022</t>
        </is>
      </c>
    </row>
    <row r="543">
      <c r="A543" t="inlineStr">
        <is>
          <t xml:space="preserve">BLAL</t>
        </is>
      </c>
      <c r="B543" t="inlineStr">
        <is>
          <t xml:space="preserve">BEML Land Assets Limited</t>
        </is>
      </c>
      <c r="C543" t="inlineStr">
        <is>
          <t xml:space="preserve">INE0N7W01012</t>
        </is>
      </c>
    </row>
    <row r="544">
      <c r="A544" t="inlineStr">
        <is>
          <t xml:space="preserve">BEML</t>
        </is>
      </c>
      <c r="B544" t="inlineStr">
        <is>
          <t xml:space="preserve">BEML LTD.</t>
        </is>
      </c>
      <c r="C544" t="inlineStr">
        <is>
          <t xml:space="preserve">INE258A01024</t>
        </is>
      </c>
    </row>
    <row r="545">
      <c r="A545" t="inlineStr">
        <is>
          <t xml:space="preserve">BENARAS</t>
        </is>
      </c>
      <c r="B545" t="inlineStr">
        <is>
          <t xml:space="preserve">BENARES HOTELS LTD.</t>
        </is>
      </c>
      <c r="C545" t="inlineStr">
        <is>
          <t xml:space="preserve">INE664D01019</t>
        </is>
      </c>
    </row>
    <row r="546">
      <c r="A546" t="inlineStr">
        <is>
          <t xml:space="preserve">BENCHMARK</t>
        </is>
      </c>
      <c r="B546" t="inlineStr">
        <is>
          <t xml:space="preserve">Benchmark Computer Solutions L</t>
        </is>
      </c>
      <c r="C546" t="inlineStr">
        <is>
          <t xml:space="preserve">INE0Q2Z01013</t>
        </is>
      </c>
    </row>
    <row r="547">
      <c r="A547" t="inlineStr">
        <is>
          <t xml:space="preserve">BENGALASM</t>
        </is>
      </c>
      <c r="B547" t="inlineStr">
        <is>
          <t xml:space="preserve">BENGAL &amp; ASSAM COMPANY LTD.</t>
        </is>
      </c>
      <c r="C547" t="inlineStr">
        <is>
          <t xml:space="preserve">INE083K01017</t>
        </is>
      </c>
    </row>
    <row r="548">
      <c r="A548" t="inlineStr">
        <is>
          <t xml:space="preserve">BENGALT</t>
        </is>
      </c>
      <c r="B548" t="inlineStr">
        <is>
          <t xml:space="preserve">BENGAL TEA &amp; FABRICS LTD.</t>
        </is>
      </c>
      <c r="C548" t="inlineStr">
        <is>
          <t xml:space="preserve">INE665D01016</t>
        </is>
      </c>
    </row>
    <row r="549">
      <c r="A549" t="inlineStr">
        <is>
          <t xml:space="preserve">BERGEPAINT</t>
        </is>
      </c>
      <c r="B549" t="inlineStr">
        <is>
          <t xml:space="preserve">BERGER PAINTS INDIA LTD.</t>
        </is>
      </c>
      <c r="C549" t="inlineStr">
        <is>
          <t xml:space="preserve">INE463A01038</t>
        </is>
      </c>
    </row>
    <row r="550">
      <c r="A550" t="inlineStr">
        <is>
          <t xml:space="preserve">BERVINL</t>
        </is>
      </c>
      <c r="B550" t="inlineStr">
        <is>
          <t xml:space="preserve">BERVIN INVESTMENT &amp; LEASING LT</t>
        </is>
      </c>
      <c r="C550" t="inlineStr">
        <is>
          <t xml:space="preserve">INE348I01018</t>
        </is>
      </c>
    </row>
    <row r="551">
      <c r="A551" t="inlineStr">
        <is>
          <t xml:space="preserve">BERLDRG</t>
        </is>
      </c>
      <c r="B551" t="inlineStr">
        <is>
          <t xml:space="preserve">BERYL DRUGS LTD.</t>
        </is>
      </c>
      <c r="C551" t="inlineStr">
        <is>
          <t xml:space="preserve">INE415H01017</t>
        </is>
      </c>
    </row>
    <row r="552">
      <c r="A552" t="inlineStr">
        <is>
          <t xml:space="preserve">BERYLSE</t>
        </is>
      </c>
      <c r="B552" t="inlineStr">
        <is>
          <t xml:space="preserve">BERYL SECURITIES LTD.</t>
        </is>
      </c>
      <c r="C552" t="inlineStr">
        <is>
          <t xml:space="preserve">INE508J01015</t>
        </is>
      </c>
    </row>
    <row r="553">
      <c r="A553" t="inlineStr">
        <is>
          <t xml:space="preserve">BESTAGRO</t>
        </is>
      </c>
      <c r="B553" t="inlineStr">
        <is>
          <t xml:space="preserve">BEST AGROLIFE LIMITED</t>
        </is>
      </c>
      <c r="C553" t="inlineStr">
        <is>
          <t xml:space="preserve">INE052T01021</t>
        </is>
      </c>
    </row>
    <row r="554">
      <c r="A554" t="inlineStr">
        <is>
          <t xml:space="preserve">BESTEAST</t>
        </is>
      </c>
      <c r="B554" t="inlineStr">
        <is>
          <t xml:space="preserve">BEST EASTERN HOTELS LTD.</t>
        </is>
      </c>
      <c r="C554" t="inlineStr">
        <is>
          <t xml:space="preserve">INE553F01035</t>
        </is>
      </c>
    </row>
    <row r="555">
      <c r="A555" t="inlineStr">
        <is>
          <t xml:space="preserve">BETXIND</t>
        </is>
      </c>
      <c r="B555" t="inlineStr">
        <is>
          <t xml:space="preserve">BETEX INDIA LTD.</t>
        </is>
      </c>
      <c r="C555" t="inlineStr">
        <is>
          <t xml:space="preserve">INE765L01017</t>
        </is>
      </c>
    </row>
    <row r="556">
      <c r="A556" t="inlineStr">
        <is>
          <t xml:space="preserve">BFINVEST</t>
        </is>
      </c>
      <c r="B556" t="inlineStr">
        <is>
          <t xml:space="preserve">BF INVESTMENT LTD.</t>
        </is>
      </c>
      <c r="C556" t="inlineStr">
        <is>
          <t xml:space="preserve">INE878K01010</t>
        </is>
      </c>
    </row>
    <row r="557">
      <c r="A557" t="inlineStr">
        <is>
          <t xml:space="preserve">BFUTILITIE</t>
        </is>
      </c>
      <c r="B557" t="inlineStr">
        <is>
          <t xml:space="preserve">BF UTILITIES LTD.</t>
        </is>
      </c>
      <c r="C557" t="inlineStr">
        <is>
          <t xml:space="preserve">INE243D01012</t>
        </is>
      </c>
    </row>
    <row r="558">
      <c r="A558" t="inlineStr">
        <is>
          <t xml:space="preserve">BFLAFL</t>
        </is>
      </c>
      <c r="B558" t="inlineStr">
        <is>
          <t xml:space="preserve">BFL Asset Finvest Limited</t>
        </is>
      </c>
      <c r="C558" t="inlineStr">
        <is>
          <t xml:space="preserve">INE948Q01018</t>
        </is>
      </c>
    </row>
    <row r="559">
      <c r="A559" t="inlineStr">
        <is>
          <t xml:space="preserve">BGIL</t>
        </is>
      </c>
      <c r="B559" t="inlineStr">
        <is>
          <t xml:space="preserve">BGIL FILMS &amp; TECHNOLOGIES LTD.</t>
        </is>
      </c>
      <c r="C559" t="inlineStr">
        <is>
          <t xml:space="preserve">INE443D01018</t>
        </is>
      </c>
    </row>
    <row r="560">
      <c r="A560" t="inlineStr">
        <is>
          <t xml:space="preserve">BGRENERGY</t>
        </is>
      </c>
      <c r="B560" t="inlineStr">
        <is>
          <t xml:space="preserve">BGR ENERGY SYSTEMS LTD.</t>
        </is>
      </c>
      <c r="C560" t="inlineStr">
        <is>
          <t xml:space="preserve">INE661I01014</t>
        </is>
      </c>
    </row>
    <row r="561">
      <c r="A561" t="inlineStr">
        <is>
          <t xml:space="preserve">BHAGGAS</t>
        </is>
      </c>
      <c r="B561" t="inlineStr">
        <is>
          <t xml:space="preserve">BHAGAWATI GAS LIMITED</t>
        </is>
      </c>
      <c r="C561" t="inlineStr">
        <is>
          <t xml:space="preserve">INE099C01010</t>
        </is>
      </c>
    </row>
    <row r="562">
      <c r="A562" t="inlineStr">
        <is>
          <t xml:space="preserve">BHAGERIA</t>
        </is>
      </c>
      <c r="B562" t="inlineStr">
        <is>
          <t xml:space="preserve">Bhageria Industries Limited</t>
        </is>
      </c>
      <c r="C562" t="inlineStr">
        <is>
          <t xml:space="preserve">INE354C01027</t>
        </is>
      </c>
    </row>
    <row r="563">
      <c r="A563" t="inlineStr">
        <is>
          <t xml:space="preserve">BHAGCHEM</t>
        </is>
      </c>
      <c r="B563" t="inlineStr">
        <is>
          <t xml:space="preserve">BHAGIRADHA CHEMICALS &amp; INDUSTR</t>
        </is>
      </c>
      <c r="C563" t="inlineStr">
        <is>
          <t xml:space="preserve">INE414D01027</t>
        </is>
      </c>
    </row>
    <row r="564">
      <c r="A564" t="inlineStr">
        <is>
          <t xml:space="preserve">BGWTATO</t>
        </is>
      </c>
      <c r="B564" t="inlineStr">
        <is>
          <t xml:space="preserve">BHAGWATI AUTOCAST LTD.</t>
        </is>
      </c>
      <c r="C564" t="inlineStr">
        <is>
          <t xml:space="preserve">INE106G01014</t>
        </is>
      </c>
    </row>
    <row r="565">
      <c r="A565" t="inlineStr">
        <is>
          <t xml:space="preserve">BHAGWOX</t>
        </is>
      </c>
      <c r="B565" t="inlineStr">
        <is>
          <t xml:space="preserve">BHAGWATI OXYGEN LTD.</t>
        </is>
      </c>
      <c r="C565" t="inlineStr">
        <is>
          <t xml:space="preserve">INE026I01010</t>
        </is>
      </c>
    </row>
    <row r="566">
      <c r="A566" t="inlineStr">
        <is>
          <t xml:space="preserve">BHAGYANGR</t>
        </is>
      </c>
      <c r="B566" t="inlineStr">
        <is>
          <t xml:space="preserve">BHAGYANAGAR INDIA LTD.</t>
        </is>
      </c>
      <c r="C566" t="inlineStr">
        <is>
          <t xml:space="preserve">INE458B01036</t>
        </is>
      </c>
    </row>
    <row r="567">
      <c r="A567" t="inlineStr">
        <is>
          <t xml:space="preserve">BHANDARI</t>
        </is>
      </c>
      <c r="B567" t="inlineStr">
        <is>
          <t xml:space="preserve">BHANDARI HOSIERY EXPORTS LTD.</t>
        </is>
      </c>
      <c r="C567" t="inlineStr">
        <is>
          <t xml:space="preserve">INE474E01029</t>
        </is>
      </c>
    </row>
    <row r="568">
      <c r="A568" t="inlineStr">
        <is>
          <t xml:space="preserve">BEPL</t>
        </is>
      </c>
      <c r="B568" t="inlineStr">
        <is>
          <t xml:space="preserve">BHANSALI ENGINEERING POLYMERS</t>
        </is>
      </c>
      <c r="C568" t="inlineStr">
        <is>
          <t xml:space="preserve">INE922A01025</t>
        </is>
      </c>
    </row>
    <row r="569">
      <c r="A569" t="inlineStr">
        <is>
          <t xml:space="preserve">BHARATAGRI</t>
        </is>
      </c>
      <c r="B569" t="inlineStr">
        <is>
          <t xml:space="preserve">BHARAT AGRI FERT &amp; REALTY LTD.</t>
        </is>
      </c>
      <c r="C569" t="inlineStr">
        <is>
          <t xml:space="preserve">INE842D01029</t>
        </is>
      </c>
    </row>
    <row r="570">
      <c r="A570" t="inlineStr">
        <is>
          <t xml:space="preserve">BHARAT</t>
        </is>
      </c>
      <c r="B570" t="inlineStr">
        <is>
          <t xml:space="preserve">Bharat Bhushan Finance &amp; Commo</t>
        </is>
      </c>
      <c r="C570" t="inlineStr">
        <is>
          <t xml:space="preserve">INE900A01013</t>
        </is>
      </c>
    </row>
    <row r="571">
      <c r="A571" t="inlineStr">
        <is>
          <t xml:space="preserve">BBL</t>
        </is>
      </c>
      <c r="B571" t="inlineStr">
        <is>
          <t xml:space="preserve">BHARAT BIJLEE LTD.</t>
        </is>
      </c>
      <c r="C571" t="inlineStr">
        <is>
          <t xml:space="preserve">INE464A01036</t>
        </is>
      </c>
    </row>
    <row r="572">
      <c r="A572" t="inlineStr">
        <is>
          <t xml:space="preserve">BHARATCOAL</t>
        </is>
      </c>
      <c r="B572" t="inlineStr">
        <is>
          <t xml:space="preserve">BHARAT COKING COAL LIMITED</t>
        </is>
      </c>
      <c r="C572" t="inlineStr">
        <is>
          <t xml:space="preserve">INE05XR01022</t>
        </is>
      </c>
    </row>
    <row r="573">
      <c r="A573" t="inlineStr">
        <is>
          <t xml:space="preserve">BDL</t>
        </is>
      </c>
      <c r="B573" t="inlineStr">
        <is>
          <t xml:space="preserve">Bharat Dynamics Limited</t>
        </is>
      </c>
      <c r="C573" t="inlineStr">
        <is>
          <t xml:space="preserve">INE171Z01026</t>
        </is>
      </c>
    </row>
    <row r="574">
      <c r="A574" t="inlineStr">
        <is>
          <t xml:space="preserve">BEL</t>
        </is>
      </c>
      <c r="B574" t="inlineStr">
        <is>
          <t xml:space="preserve">BHARAT ELECTRONICS LTD.</t>
        </is>
      </c>
      <c r="C574" t="inlineStr">
        <is>
          <t xml:space="preserve">INE263A01024</t>
        </is>
      </c>
    </row>
    <row r="575">
      <c r="A575" t="inlineStr">
        <is>
          <t xml:space="preserve">BHARATFORG</t>
        </is>
      </c>
      <c r="B575" t="inlineStr">
        <is>
          <t xml:space="preserve">BHARAT FORGE LTD.</t>
        </is>
      </c>
      <c r="C575" t="inlineStr">
        <is>
          <t xml:space="preserve">INE465A01025</t>
        </is>
      </c>
    </row>
    <row r="576">
      <c r="A576" t="inlineStr">
        <is>
          <t xml:space="preserve">BHARATGEAR</t>
        </is>
      </c>
      <c r="B576" t="inlineStr">
        <is>
          <t xml:space="preserve">BHARAT GEARS LTD.</t>
        </is>
      </c>
      <c r="C576" t="inlineStr">
        <is>
          <t xml:space="preserve">INE561C01019</t>
        </is>
      </c>
    </row>
    <row r="577">
      <c r="A577" t="inlineStr">
        <is>
          <t xml:space="preserve">BGDL</t>
        </is>
      </c>
      <c r="B577" t="inlineStr">
        <is>
          <t xml:space="preserve">BHARAT GLOBAL DEVELOPERS LIMIT</t>
        </is>
      </c>
      <c r="C577" t="inlineStr">
        <is>
          <t xml:space="preserve">INE893C01032</t>
        </is>
      </c>
    </row>
    <row r="578">
      <c r="A578" t="inlineStr">
        <is>
          <t xml:space="preserve">BHEL</t>
        </is>
      </c>
      <c r="B578" t="inlineStr">
        <is>
          <t xml:space="preserve">BHARAT HEAVY ELECTRICALS LTD.</t>
        </is>
      </c>
      <c r="C578" t="inlineStr">
        <is>
          <t xml:space="preserve">INE257A01026</t>
        </is>
      </c>
    </row>
    <row r="579">
      <c r="A579" t="inlineStr">
        <is>
          <t xml:space="preserve">BIBCL</t>
        </is>
      </c>
      <c r="B579" t="inlineStr">
        <is>
          <t xml:space="preserve">BHARAT IMMUNOLOGICALS &amp; BIOLOG</t>
        </is>
      </c>
      <c r="C579" t="inlineStr">
        <is>
          <t xml:space="preserve">INE994B01014</t>
        </is>
      </c>
    </row>
    <row r="580">
      <c r="A580" t="inlineStr">
        <is>
          <t xml:space="preserve">BPLPHARMA</t>
        </is>
      </c>
      <c r="B580" t="inlineStr">
        <is>
          <t xml:space="preserve">Bharat Parenterals Limited</t>
        </is>
      </c>
      <c r="C580" t="inlineStr">
        <is>
          <t xml:space="preserve">INE365Y01019</t>
        </is>
      </c>
    </row>
    <row r="581">
      <c r="A581" t="inlineStr">
        <is>
          <t xml:space="preserve">BPCL</t>
        </is>
      </c>
      <c r="B581" t="inlineStr">
        <is>
          <t xml:space="preserve">BHARAT PETROLEUM CORPORATION L</t>
        </is>
      </c>
      <c r="C581" t="inlineStr">
        <is>
          <t xml:space="preserve">INE029A01011</t>
        </is>
      </c>
    </row>
    <row r="582">
      <c r="A582" t="inlineStr">
        <is>
          <t xml:space="preserve">BHARATRAS</t>
        </is>
      </c>
      <c r="B582" t="inlineStr">
        <is>
          <t xml:space="preserve">BHARAT RASAYAN LTD.</t>
        </is>
      </c>
      <c r="C582" t="inlineStr">
        <is>
          <t xml:space="preserve">INE838B01021</t>
        </is>
      </c>
    </row>
    <row r="583">
      <c r="A583" t="inlineStr">
        <is>
          <t xml:space="preserve">BRNL</t>
        </is>
      </c>
      <c r="B583" t="inlineStr">
        <is>
          <t xml:space="preserve">Bharat Road Network Limited</t>
        </is>
      </c>
      <c r="C583" t="inlineStr">
        <is>
          <t xml:space="preserve">INE727S01012</t>
        </is>
      </c>
    </row>
    <row r="584">
      <c r="A584" t="inlineStr">
        <is>
          <t xml:space="preserve">BHARATSE</t>
        </is>
      </c>
      <c r="B584" t="inlineStr">
        <is>
          <t xml:space="preserve">BHARAT SEATS LTD.</t>
        </is>
      </c>
      <c r="C584" t="inlineStr">
        <is>
          <t xml:space="preserve">INE415D01024</t>
        </is>
      </c>
    </row>
    <row r="585">
      <c r="A585" t="inlineStr">
        <is>
          <t xml:space="preserve">BHARATWIRE</t>
        </is>
      </c>
      <c r="B585" t="inlineStr">
        <is>
          <t xml:space="preserve">Bharat Wire Ropes Limited</t>
        </is>
      </c>
      <c r="C585" t="inlineStr">
        <is>
          <t xml:space="preserve">INE316L01019</t>
        </is>
      </c>
    </row>
    <row r="586">
      <c r="A586" t="inlineStr">
        <is>
          <t xml:space="preserve">BHARATROHAN</t>
        </is>
      </c>
      <c r="B586" t="inlineStr">
        <is>
          <t xml:space="preserve">BHARATROHAN AIRBORNE INNOVATIO</t>
        </is>
      </c>
      <c r="C586" t="inlineStr">
        <is>
          <t xml:space="preserve">INE0QMV01017</t>
        </is>
      </c>
    </row>
    <row r="587">
      <c r="A587" t="inlineStr">
        <is>
          <t xml:space="preserve">BHARTIARTL</t>
        </is>
      </c>
      <c r="B587" t="inlineStr">
        <is>
          <t xml:space="preserve">BHARTI AIRTEL LTD.</t>
        </is>
      </c>
      <c r="C587" t="inlineStr">
        <is>
          <t xml:space="preserve">INE397D01024</t>
        </is>
      </c>
    </row>
    <row r="588">
      <c r="A588" t="inlineStr">
        <is>
          <t xml:space="preserve">BHARTIHEXA</t>
        </is>
      </c>
      <c r="B588" t="inlineStr">
        <is>
          <t xml:space="preserve">Bharti Hexacom Limited</t>
        </is>
      </c>
      <c r="C588" t="inlineStr">
        <is>
          <t xml:space="preserve">INE343G01021</t>
        </is>
      </c>
    </row>
    <row r="589">
      <c r="A589" t="inlineStr">
        <is>
          <t xml:space="preserve">BIL</t>
        </is>
      </c>
      <c r="B589" t="inlineStr">
        <is>
          <t xml:space="preserve">BHARTIYA INTERNATIONAL LTD.</t>
        </is>
      </c>
      <c r="C589" t="inlineStr">
        <is>
          <t xml:space="preserve">INE828A01016</t>
        </is>
      </c>
    </row>
    <row r="590">
      <c r="A590" t="inlineStr">
        <is>
          <t xml:space="preserve">BHASKAGR</t>
        </is>
      </c>
      <c r="B590" t="inlineStr">
        <is>
          <t xml:space="preserve">BHASKAR AGROCHEMICALS LTD.</t>
        </is>
      </c>
      <c r="C590" t="inlineStr">
        <is>
          <t xml:space="preserve">INE972C01018</t>
        </is>
      </c>
    </row>
    <row r="591">
      <c r="A591" t="inlineStr">
        <is>
          <t xml:space="preserve">BCCL</t>
        </is>
      </c>
      <c r="B591" t="inlineStr">
        <is>
          <t xml:space="preserve">Bhatia Colour Chem Limited</t>
        </is>
      </c>
      <c r="C591" t="inlineStr">
        <is>
          <t xml:space="preserve">INE0KQ001017</t>
        </is>
      </c>
    </row>
    <row r="592">
      <c r="A592" t="inlineStr">
        <is>
          <t xml:space="preserve">BHATIA</t>
        </is>
      </c>
      <c r="B592" t="inlineStr">
        <is>
          <t xml:space="preserve">Bhatia Communications &amp; Retail</t>
        </is>
      </c>
      <c r="C592" t="inlineStr">
        <is>
          <t xml:space="preserve">INE341Z01025</t>
        </is>
      </c>
    </row>
    <row r="593">
      <c r="A593" t="inlineStr">
        <is>
          <t xml:space="preserve">BHAVIK</t>
        </is>
      </c>
      <c r="B593" t="inlineStr">
        <is>
          <t xml:space="preserve">BHAVIK ENTERPRISES LIMITED</t>
        </is>
      </c>
      <c r="C593" t="inlineStr">
        <is>
          <t xml:space="preserve">INE18PB01017</t>
        </is>
      </c>
    </row>
    <row r="594">
      <c r="A594" t="inlineStr">
        <is>
          <t xml:space="preserve">BHILSPIN</t>
        </is>
      </c>
      <c r="B594" t="inlineStr">
        <is>
          <t xml:space="preserve">BHILWARA SPINNERS LTD.</t>
        </is>
      </c>
      <c r="C594" t="inlineStr">
        <is>
          <t xml:space="preserve">INE436C01014</t>
        </is>
      </c>
    </row>
    <row r="595">
      <c r="A595" t="inlineStr">
        <is>
          <t xml:space="preserve">BTTL</t>
        </is>
      </c>
      <c r="B595" t="inlineStr">
        <is>
          <t xml:space="preserve">BHILWARA TECHNICAL TEXTILES LT</t>
        </is>
      </c>
      <c r="C595" t="inlineStr">
        <is>
          <t xml:space="preserve">INE274K01012</t>
        </is>
      </c>
    </row>
    <row r="596">
      <c r="A596" t="inlineStr">
        <is>
          <t xml:space="preserve">BHUDEVI</t>
        </is>
      </c>
      <c r="B596" t="inlineStr">
        <is>
          <t xml:space="preserve">BHUDEVI INFRA PROJECTS LIMITED</t>
        </is>
      </c>
      <c r="C596" t="inlineStr">
        <is>
          <t xml:space="preserve">INE432N01010</t>
        </is>
      </c>
    </row>
    <row r="597">
      <c r="A597" t="inlineStr">
        <is>
          <t xml:space="preserve">BIGBLOC</t>
        </is>
      </c>
      <c r="B597" t="inlineStr">
        <is>
          <t xml:space="preserve">Bigbloc Construction Limited</t>
        </is>
      </c>
      <c r="C597" t="inlineStr">
        <is>
          <t xml:space="preserve">INE412U01025</t>
        </is>
      </c>
    </row>
    <row r="598">
      <c r="A598" t="inlineStr">
        <is>
          <t xml:space="preserve">BIHSPONG</t>
        </is>
      </c>
      <c r="B598" t="inlineStr">
        <is>
          <t xml:space="preserve">BIHAR SPONGE IRON LTD.</t>
        </is>
      </c>
      <c r="C598" t="inlineStr">
        <is>
          <t xml:space="preserve">INE819C01011</t>
        </is>
      </c>
    </row>
    <row r="599">
      <c r="A599" t="inlineStr">
        <is>
          <t xml:space="preserve">BIKAJI</t>
        </is>
      </c>
      <c r="B599" t="inlineStr">
        <is>
          <t xml:space="preserve">Bikaji Foods International Lim</t>
        </is>
      </c>
      <c r="C599" t="inlineStr">
        <is>
          <t xml:space="preserve">INE00E101023</t>
        </is>
      </c>
    </row>
    <row r="600">
      <c r="A600" t="inlineStr">
        <is>
          <t xml:space="preserve">BILVYAPAR</t>
        </is>
      </c>
      <c r="B600" t="inlineStr">
        <is>
          <t xml:space="preserve">BIL VYAPAR LIMITED</t>
        </is>
      </c>
      <c r="C600" t="inlineStr">
        <is>
          <t xml:space="preserve">INE071A01013</t>
        </is>
      </c>
    </row>
    <row r="601">
      <c r="A601" t="inlineStr">
        <is>
          <t xml:space="preserve">BI</t>
        </is>
      </c>
      <c r="B601" t="inlineStr">
        <is>
          <t xml:space="preserve">BILCARE LTD.</t>
        </is>
      </c>
      <c r="C601" t="inlineStr">
        <is>
          <t xml:space="preserve">INE986A01012</t>
        </is>
      </c>
    </row>
    <row r="602">
      <c r="A602" t="inlineStr">
        <is>
          <t xml:space="preserve">GROWW</t>
        </is>
      </c>
      <c r="B602" t="inlineStr">
        <is>
          <t xml:space="preserve">Billionbrains Garage Ventures</t>
        </is>
      </c>
      <c r="C602" t="inlineStr">
        <is>
          <t xml:space="preserve">INE0HOQ01053</t>
        </is>
      </c>
    </row>
    <row r="603">
      <c r="A603" t="inlineStr">
        <is>
          <t xml:space="preserve">BIMETAL</t>
        </is>
      </c>
      <c r="B603" t="inlineStr">
        <is>
          <t xml:space="preserve">BIMETAL BEARINGS LTD.</t>
        </is>
      </c>
      <c r="C603" t="inlineStr">
        <is>
          <t xml:space="preserve">INE469A01019</t>
        </is>
      </c>
    </row>
    <row r="604">
      <c r="A604" t="inlineStr">
        <is>
          <t xml:space="preserve">ZBINTXPP</t>
        </is>
      </c>
      <c r="B604" t="inlineStr">
        <is>
          <t xml:space="preserve">BINAYAK TEX PROCESSORS LTD.</t>
        </is>
      </c>
      <c r="C604" t="inlineStr">
        <is>
          <t xml:space="preserve">INE626H01019</t>
        </is>
      </c>
    </row>
    <row r="605">
      <c r="A605" t="inlineStr">
        <is>
          <t xml:space="preserve">BIOCON</t>
        </is>
      </c>
      <c r="B605" t="inlineStr">
        <is>
          <t xml:space="preserve">BIOCON LTD.</t>
        </is>
      </c>
      <c r="C605" t="inlineStr">
        <is>
          <t xml:space="preserve">INE376G01013</t>
        </is>
      </c>
    </row>
    <row r="606">
      <c r="A606" t="inlineStr">
        <is>
          <t xml:space="preserve">BIOFILCHEM</t>
        </is>
      </c>
      <c r="B606" t="inlineStr">
        <is>
          <t xml:space="preserve">BIOFIL CHEMICALS &amp; PHARMACEUTI</t>
        </is>
      </c>
      <c r="C606" t="inlineStr">
        <is>
          <t xml:space="preserve">INE829A01014</t>
        </is>
      </c>
    </row>
    <row r="607">
      <c r="A607" t="inlineStr">
        <is>
          <t xml:space="preserve">BIOGEN</t>
        </is>
      </c>
      <c r="B607" t="inlineStr">
        <is>
          <t xml:space="preserve">BIOGEN PHARMACHEM INDUSTRIES L</t>
        </is>
      </c>
      <c r="C607" t="inlineStr">
        <is>
          <t xml:space="preserve">INE703D01023</t>
        </is>
      </c>
    </row>
    <row r="608">
      <c r="A608" t="inlineStr">
        <is>
          <t xml:space="preserve">BIRLACABLE</t>
        </is>
      </c>
      <c r="B608" t="inlineStr">
        <is>
          <t xml:space="preserve">Birla Cable Limited</t>
        </is>
      </c>
      <c r="C608" t="inlineStr">
        <is>
          <t xml:space="preserve">INE800A01015</t>
        </is>
      </c>
    </row>
    <row r="609">
      <c r="A609" t="inlineStr">
        <is>
          <t xml:space="preserve">BIRLACORPN</t>
        </is>
      </c>
      <c r="B609" t="inlineStr">
        <is>
          <t xml:space="preserve">BIRLA CORPORATION LTD.</t>
        </is>
      </c>
      <c r="C609" t="inlineStr">
        <is>
          <t xml:space="preserve">INE340A01012</t>
        </is>
      </c>
    </row>
    <row r="610">
      <c r="A610" t="inlineStr">
        <is>
          <t xml:space="preserve">BIRLAPREC</t>
        </is>
      </c>
      <c r="B610" t="inlineStr">
        <is>
          <t xml:space="preserve">BIRLA PRECISION TECHNOLOGIES L</t>
        </is>
      </c>
      <c r="C610" t="inlineStr">
        <is>
          <t xml:space="preserve">INE372E01025</t>
        </is>
      </c>
    </row>
    <row r="611">
      <c r="A611" t="inlineStr">
        <is>
          <t xml:space="preserve">BIRLANU</t>
        </is>
      </c>
      <c r="B611" t="inlineStr">
        <is>
          <t xml:space="preserve">BIRLANU LIMITED</t>
        </is>
      </c>
      <c r="C611" t="inlineStr">
        <is>
          <t xml:space="preserve">INE557A01011</t>
        </is>
      </c>
    </row>
    <row r="612">
      <c r="A612" t="inlineStr">
        <is>
          <t xml:space="preserve">BSOFT</t>
        </is>
      </c>
      <c r="B612" t="inlineStr">
        <is>
          <t xml:space="preserve">BIRLASOFT LIMITED</t>
        </is>
      </c>
      <c r="C612" t="inlineStr">
        <is>
          <t xml:space="preserve">INE836A01035</t>
        </is>
      </c>
    </row>
    <row r="613">
      <c r="A613" t="inlineStr">
        <is>
          <t xml:space="preserve">BITS</t>
        </is>
      </c>
      <c r="B613" t="inlineStr">
        <is>
          <t xml:space="preserve">BITS LTD.</t>
        </is>
      </c>
      <c r="C613" t="inlineStr">
        <is>
          <t xml:space="preserve">INE839A01021</t>
        </is>
      </c>
    </row>
    <row r="614">
      <c r="A614" t="inlineStr">
        <is>
          <t xml:space="preserve">BIZOTIC</t>
        </is>
      </c>
      <c r="B614" t="inlineStr">
        <is>
          <t xml:space="preserve">Bizotic Commercial Limited</t>
        </is>
      </c>
      <c r="C614" t="inlineStr">
        <is>
          <t xml:space="preserve">INE0OJ401014</t>
        </is>
      </c>
    </row>
    <row r="615">
      <c r="A615" t="inlineStr">
        <is>
          <t xml:space="preserve">BKV</t>
        </is>
      </c>
      <c r="B615" t="inlineStr">
        <is>
          <t xml:space="preserve">BKV INDUSTRIES LTD.</t>
        </is>
      </c>
      <c r="C615" t="inlineStr">
        <is>
          <t xml:space="preserve">INE356C01022</t>
        </is>
      </c>
    </row>
    <row r="616">
      <c r="A616" t="inlineStr">
        <is>
          <t xml:space="preserve">BBOX</t>
        </is>
      </c>
      <c r="B616" t="inlineStr">
        <is>
          <t xml:space="preserve">BLACK BOX LIMITED</t>
        </is>
      </c>
      <c r="C616" t="inlineStr">
        <is>
          <t xml:space="preserve">INE676A01027</t>
        </is>
      </c>
    </row>
    <row r="617">
      <c r="A617" t="inlineStr">
        <is>
          <t xml:space="preserve">BLACKROSE</t>
        </is>
      </c>
      <c r="B617" t="inlineStr">
        <is>
          <t xml:space="preserve">BLACK ROSE INDUSTRIES LTD.</t>
        </is>
      </c>
      <c r="C617" t="inlineStr">
        <is>
          <t xml:space="preserve">INE761G01016</t>
        </is>
      </c>
    </row>
    <row r="618">
      <c r="A618" t="inlineStr">
        <is>
          <t xml:space="preserve">BLACKBUCK</t>
        </is>
      </c>
      <c r="B618" t="inlineStr">
        <is>
          <t xml:space="preserve">BlackBuck Limited</t>
        </is>
      </c>
      <c r="C618" t="inlineStr">
        <is>
          <t xml:space="preserve">INE0UIZ01018</t>
        </is>
      </c>
    </row>
    <row r="619">
      <c r="A619" t="inlineStr">
        <is>
          <t xml:space="preserve">BLBLIMITED</t>
        </is>
      </c>
      <c r="B619" t="inlineStr">
        <is>
          <t xml:space="preserve">BLB LTD.</t>
        </is>
      </c>
      <c r="C619" t="inlineStr">
        <is>
          <t xml:space="preserve">INE791A01024</t>
        </is>
      </c>
    </row>
    <row r="620">
      <c r="A620" t="inlineStr">
        <is>
          <t xml:space="preserve">BLISSGVS</t>
        </is>
      </c>
      <c r="B620" t="inlineStr">
        <is>
          <t xml:space="preserve">BLISS GVS PHARMA LTD.</t>
        </is>
      </c>
      <c r="C620" t="inlineStr">
        <is>
          <t xml:space="preserve">INE416D01022</t>
        </is>
      </c>
    </row>
    <row r="621">
      <c r="A621" t="inlineStr">
        <is>
          <t xml:space="preserve">BLOOM</t>
        </is>
      </c>
      <c r="B621" t="inlineStr">
        <is>
          <t xml:space="preserve">BLOOM DEKOR LTD.</t>
        </is>
      </c>
      <c r="C621" t="inlineStr">
        <is>
          <t xml:space="preserve">INE253C01013</t>
        </is>
      </c>
    </row>
    <row r="622">
      <c r="A622" t="inlineStr">
        <is>
          <t xml:space="preserve">BLOIN</t>
        </is>
      </c>
      <c r="B622" t="inlineStr">
        <is>
          <t xml:space="preserve">BLOOM INDUSTRIES LTD.</t>
        </is>
      </c>
      <c r="C622" t="inlineStr">
        <is>
          <t xml:space="preserve">INE373E01015</t>
        </is>
      </c>
    </row>
    <row r="623">
      <c r="A623" t="inlineStr">
        <is>
          <t xml:space="preserve">BLSE</t>
        </is>
      </c>
      <c r="B623" t="inlineStr">
        <is>
          <t xml:space="preserve">BLS E-Services Limited</t>
        </is>
      </c>
      <c r="C623" t="inlineStr">
        <is>
          <t xml:space="preserve">INE0NLT01010</t>
        </is>
      </c>
    </row>
    <row r="624">
      <c r="A624" t="inlineStr">
        <is>
          <t xml:space="preserve">BLS</t>
        </is>
      </c>
      <c r="B624" t="inlineStr">
        <is>
          <t xml:space="preserve">BLS International Services Ltd</t>
        </is>
      </c>
      <c r="C624" t="inlineStr">
        <is>
          <t xml:space="preserve">INE153T01027</t>
        </is>
      </c>
    </row>
    <row r="625">
      <c r="A625" t="inlineStr">
        <is>
          <t xml:space="preserve">BLT</t>
        </is>
      </c>
      <c r="B625" t="inlineStr">
        <is>
          <t xml:space="preserve">BLT Logistics Limited</t>
        </is>
      </c>
      <c r="C625" t="inlineStr">
        <is>
          <t xml:space="preserve">INE0W4K01013</t>
        </is>
      </c>
    </row>
    <row r="626">
      <c r="A626" t="inlineStr">
        <is>
          <t xml:space="preserve">BLUECHIPT</t>
        </is>
      </c>
      <c r="B626" t="inlineStr">
        <is>
          <t xml:space="preserve">BLUE CHIP TEX INDUSTRIES LTD.</t>
        </is>
      </c>
      <c r="C626" t="inlineStr">
        <is>
          <t xml:space="preserve">INE472D01017</t>
        </is>
      </c>
    </row>
    <row r="627">
      <c r="A627" t="inlineStr">
        <is>
          <t xml:space="preserve">BLUECLOUDS</t>
        </is>
      </c>
      <c r="B627" t="inlineStr">
        <is>
          <t xml:space="preserve">Blue Cloud Softech Solutions L</t>
        </is>
      </c>
      <c r="C627" t="inlineStr">
        <is>
          <t xml:space="preserve">INE373T01047</t>
        </is>
      </c>
    </row>
    <row r="628">
      <c r="A628" t="inlineStr">
        <is>
          <t xml:space="preserve">BLUEDART</t>
        </is>
      </c>
      <c r="B628" t="inlineStr">
        <is>
          <t xml:space="preserve">BLUE DART EXPRESS LTD.</t>
        </is>
      </c>
      <c r="C628" t="inlineStr">
        <is>
          <t xml:space="preserve">INE233B01017</t>
        </is>
      </c>
    </row>
    <row r="629">
      <c r="A629" t="inlineStr">
        <is>
          <t xml:space="preserve">BLUEJET</t>
        </is>
      </c>
      <c r="B629" t="inlineStr">
        <is>
          <t xml:space="preserve">Blue Jet Healthcare Limited</t>
        </is>
      </c>
      <c r="C629" t="inlineStr">
        <is>
          <t xml:space="preserve">INE0KBH01020</t>
        </is>
      </c>
    </row>
    <row r="630">
      <c r="A630" t="inlineStr">
        <is>
          <t xml:space="preserve">BPAGRI</t>
        </is>
      </c>
      <c r="B630" t="inlineStr">
        <is>
          <t xml:space="preserve">Blue Pearl Agriventures Limite</t>
        </is>
      </c>
      <c r="C630" t="inlineStr">
        <is>
          <t xml:space="preserve">INE439N01031</t>
        </is>
      </c>
    </row>
    <row r="631">
      <c r="A631" t="inlineStr">
        <is>
          <t xml:space="preserve">BLUESTARCO</t>
        </is>
      </c>
      <c r="B631" t="inlineStr">
        <is>
          <t xml:space="preserve">BLUE STAR LTD.</t>
        </is>
      </c>
      <c r="C631" t="inlineStr">
        <is>
          <t xml:space="preserve">INE472A01039</t>
        </is>
      </c>
    </row>
    <row r="632">
      <c r="A632" t="inlineStr">
        <is>
          <t xml:space="preserve">BLUESTONE</t>
        </is>
      </c>
      <c r="B632" t="inlineStr">
        <is>
          <t xml:space="preserve">BlueStone Jewellery and Lifest</t>
        </is>
      </c>
      <c r="C632" t="inlineStr">
        <is>
          <t xml:space="preserve">INE304W01038</t>
        </is>
      </c>
    </row>
    <row r="633">
      <c r="A633" t="inlineStr">
        <is>
          <t xml:space="preserve">BLUSPRING</t>
        </is>
      </c>
      <c r="B633" t="inlineStr">
        <is>
          <t xml:space="preserve">Bluspring Enterprises Limited</t>
        </is>
      </c>
      <c r="C633" t="inlineStr">
        <is>
          <t xml:space="preserve">INE0U4101014</t>
        </is>
      </c>
    </row>
    <row r="634">
      <c r="A634" t="inlineStr">
        <is>
          <t xml:space="preserve">BMBMUMG</t>
        </is>
      </c>
      <c r="B634" t="inlineStr">
        <is>
          <t xml:space="preserve">BMB MUSIC &amp; MAGNETICS LTD.</t>
        </is>
      </c>
      <c r="C634" t="inlineStr">
        <is>
          <t xml:space="preserve">INE644K01016</t>
        </is>
      </c>
    </row>
    <row r="635">
      <c r="A635" t="inlineStr">
        <is>
          <t xml:space="preserve">BMW</t>
        </is>
      </c>
      <c r="B635" t="inlineStr">
        <is>
          <t xml:space="preserve">BMW INDUSTRIES LIMITED</t>
        </is>
      </c>
      <c r="C635" t="inlineStr">
        <is>
          <t xml:space="preserve">INE374E01021</t>
        </is>
      </c>
    </row>
    <row r="636">
      <c r="A636" t="inlineStr">
        <is>
          <t xml:space="preserve">BMWVENTLTD</t>
        </is>
      </c>
      <c r="B636" t="inlineStr">
        <is>
          <t xml:space="preserve">BMW VENTURES LIMITED</t>
        </is>
      </c>
      <c r="C636" t="inlineStr">
        <is>
          <t xml:space="preserve">INE965W01036</t>
        </is>
      </c>
    </row>
    <row r="637">
      <c r="A637" t="inlineStr">
        <is>
          <t xml:space="preserve">BNAGROCHEM</t>
        </is>
      </c>
      <c r="B637" t="inlineStr">
        <is>
          <t xml:space="preserve">BN AGROCHEM LIMITED</t>
        </is>
      </c>
      <c r="C637" t="inlineStr">
        <is>
          <t xml:space="preserve">INE00HZ01011</t>
        </is>
      </c>
    </row>
    <row r="638">
      <c r="A638" t="inlineStr">
        <is>
          <t xml:space="preserve">BNRUDY</t>
        </is>
      </c>
      <c r="B638" t="inlineStr">
        <is>
          <t xml:space="preserve">BNR UDYOG LTD.</t>
        </is>
      </c>
      <c r="C638" t="inlineStr">
        <is>
          <t xml:space="preserve">INE355C01016</t>
        </is>
      </c>
    </row>
    <row r="639">
      <c r="A639" t="inlineStr">
        <is>
          <t xml:space="preserve">BODALCHEM</t>
        </is>
      </c>
      <c r="B639" t="inlineStr">
        <is>
          <t xml:space="preserve">BODAL CHEMICALS LTD.</t>
        </is>
      </c>
      <c r="C639" t="inlineStr">
        <is>
          <t xml:space="preserve">INE338D01028</t>
        </is>
      </c>
    </row>
    <row r="640">
      <c r="A640" t="inlineStr">
        <is>
          <t xml:space="preserve">BTML</t>
        </is>
      </c>
      <c r="B640" t="inlineStr">
        <is>
          <t xml:space="preserve">BODHI TREE MULTIMEDIA LIMITED</t>
        </is>
      </c>
      <c r="C640" t="inlineStr">
        <is>
          <t xml:space="preserve">INE0EEJ01023</t>
        </is>
      </c>
    </row>
    <row r="641">
      <c r="A641" t="inlineStr">
        <is>
          <t xml:space="preserve">BODHTREE</t>
        </is>
      </c>
      <c r="B641" t="inlineStr">
        <is>
          <t xml:space="preserve">Bodhtree Consulting Limited</t>
        </is>
      </c>
      <c r="C641" t="inlineStr">
        <is>
          <t xml:space="preserve">INE104F01029</t>
        </is>
      </c>
    </row>
    <row r="642">
      <c r="A642" t="inlineStr">
        <is>
          <t xml:space="preserve">BOMBCYC</t>
        </is>
      </c>
      <c r="B642" t="inlineStr">
        <is>
          <t xml:space="preserve">BOMBAY CYCLE &amp; MOTOR AGENCY LT</t>
        </is>
      </c>
      <c r="C642" t="inlineStr">
        <is>
          <t xml:space="preserve">INE691K01017</t>
        </is>
      </c>
    </row>
    <row r="643">
      <c r="A643" t="inlineStr">
        <is>
          <t xml:space="preserve">BOMDYEING</t>
        </is>
      </c>
      <c r="B643" t="inlineStr">
        <is>
          <t xml:space="preserve">BOMBAY DYEING &amp; MFG.CO.LTD.</t>
        </is>
      </c>
      <c r="C643" t="inlineStr">
        <is>
          <t xml:space="preserve">INE032A01023</t>
        </is>
      </c>
    </row>
    <row r="644">
      <c r="A644" t="inlineStr">
        <is>
          <t xml:space="preserve">BOMOXY-B1</t>
        </is>
      </c>
      <c r="B644" t="inlineStr">
        <is>
          <t xml:space="preserve">BOMBAY OXYGEN INVESTMENTS LIMI</t>
        </is>
      </c>
      <c r="C644" t="inlineStr">
        <is>
          <t xml:space="preserve">INE01TL01014</t>
        </is>
      </c>
    </row>
    <row r="645">
      <c r="A645" t="inlineStr">
        <is>
          <t xml:space="preserve">BSHSL</t>
        </is>
      </c>
      <c r="B645" t="inlineStr">
        <is>
          <t xml:space="preserve">BOMBAY SUPER HYBRID SEEDS LIMI</t>
        </is>
      </c>
      <c r="C645" t="inlineStr">
        <is>
          <t xml:space="preserve">INE032Z01020</t>
        </is>
      </c>
    </row>
    <row r="646">
      <c r="A646" t="inlineStr">
        <is>
          <t xml:space="preserve">BOMTALKIES</t>
        </is>
      </c>
      <c r="B646" t="inlineStr">
        <is>
          <t xml:space="preserve">BOMBAY TALKIES LIMITED</t>
        </is>
      </c>
      <c r="C646" t="inlineStr">
        <is>
          <t xml:space="preserve">INE910D01024</t>
        </is>
      </c>
    </row>
    <row r="647">
      <c r="A647" t="inlineStr">
        <is>
          <t xml:space="preserve">BOMBWIR</t>
        </is>
      </c>
      <c r="B647" t="inlineStr">
        <is>
          <t xml:space="preserve">BOMBAY WIRE ROPES LTD.</t>
        </is>
      </c>
      <c r="C647" t="inlineStr">
        <is>
          <t xml:space="preserve">INE089T01023</t>
        </is>
      </c>
    </row>
    <row r="648">
      <c r="A648" t="inlineStr">
        <is>
          <t xml:space="preserve">BONDADA</t>
        </is>
      </c>
      <c r="B648" t="inlineStr">
        <is>
          <t xml:space="preserve">Bondada Engineering Limited</t>
        </is>
      </c>
      <c r="C648" t="inlineStr">
        <is>
          <t xml:space="preserve">INE0Q8P01029</t>
        </is>
      </c>
    </row>
    <row r="649">
      <c r="A649" t="inlineStr">
        <is>
          <t xml:space="preserve">BONLON</t>
        </is>
      </c>
      <c r="B649" t="inlineStr">
        <is>
          <t xml:space="preserve">BONLON INDUSTRIES LIMITED</t>
        </is>
      </c>
      <c r="C649" t="inlineStr">
        <is>
          <t xml:space="preserve">INE0B9A01018</t>
        </is>
      </c>
    </row>
    <row r="650">
      <c r="A650" t="inlineStr">
        <is>
          <t xml:space="preserve">BORANA</t>
        </is>
      </c>
      <c r="B650" t="inlineStr">
        <is>
          <t xml:space="preserve">BORANA WEAVES LIMITED</t>
        </is>
      </c>
      <c r="C650" t="inlineStr">
        <is>
          <t xml:space="preserve">INE16SF01016</t>
        </is>
      </c>
    </row>
    <row r="651">
      <c r="A651" t="inlineStr">
        <is>
          <t xml:space="preserve">BOROLTD</t>
        </is>
      </c>
      <c r="B651" t="inlineStr">
        <is>
          <t xml:space="preserve">Borosil Limited</t>
        </is>
      </c>
      <c r="C651" t="inlineStr">
        <is>
          <t xml:space="preserve">INE02PY01013</t>
        </is>
      </c>
    </row>
    <row r="652">
      <c r="A652" t="inlineStr">
        <is>
          <t xml:space="preserve">BORORENEW</t>
        </is>
      </c>
      <c r="B652" t="inlineStr">
        <is>
          <t xml:space="preserve">BOROSIL RENEWABLES LIMITED</t>
        </is>
      </c>
      <c r="C652" t="inlineStr">
        <is>
          <t xml:space="preserve">INE666D01022</t>
        </is>
      </c>
    </row>
    <row r="653">
      <c r="A653" t="inlineStr">
        <is>
          <t xml:space="preserve">BOROSCI</t>
        </is>
      </c>
      <c r="B653" t="inlineStr">
        <is>
          <t xml:space="preserve">Borosil Scientific Limited</t>
        </is>
      </c>
      <c r="C653" t="inlineStr">
        <is>
          <t xml:space="preserve">INE02L001032</t>
        </is>
      </c>
    </row>
    <row r="654">
      <c r="A654" t="inlineStr">
        <is>
          <t xml:space="preserve">BOSCH-HCIL</t>
        </is>
      </c>
      <c r="B654" t="inlineStr">
        <is>
          <t xml:space="preserve">BOSCH HOME COMFORT INDIA LIMIT</t>
        </is>
      </c>
      <c r="C654" t="inlineStr">
        <is>
          <t xml:space="preserve">INE782A01015</t>
        </is>
      </c>
    </row>
    <row r="655">
      <c r="A655" t="inlineStr">
        <is>
          <t xml:space="preserve">BOSCHLTD</t>
        </is>
      </c>
      <c r="B655" t="inlineStr">
        <is>
          <t xml:space="preserve">BOSCH LTD.</t>
        </is>
      </c>
      <c r="C655" t="inlineStr">
        <is>
          <t xml:space="preserve">INE323A01026</t>
        </is>
      </c>
    </row>
    <row r="656">
      <c r="A656" t="inlineStr">
        <is>
          <t xml:space="preserve">BOSTON</t>
        </is>
      </c>
      <c r="B656" t="inlineStr">
        <is>
          <t xml:space="preserve">BOSTON COMMERCE LIMITED</t>
        </is>
      </c>
      <c r="C656" t="inlineStr">
        <is>
          <t xml:space="preserve">INE109B01019</t>
        </is>
      </c>
    </row>
    <row r="657">
      <c r="A657" t="inlineStr">
        <is>
          <t xml:space="preserve">BPL</t>
        </is>
      </c>
      <c r="B657" t="inlineStr">
        <is>
          <t xml:space="preserve">BPL LTD.</t>
        </is>
      </c>
      <c r="C657" t="inlineStr">
        <is>
          <t xml:space="preserve">INE110A01019</t>
        </is>
      </c>
    </row>
    <row r="658">
      <c r="A658" t="inlineStr">
        <is>
          <t xml:space="preserve">BRADYM</t>
        </is>
      </c>
      <c r="B658" t="inlineStr">
        <is>
          <t xml:space="preserve">BRADY &amp; MORRIS ENGINEERING CO.</t>
        </is>
      </c>
      <c r="C658" t="inlineStr">
        <is>
          <t xml:space="preserve">INE856A01017</t>
        </is>
      </c>
    </row>
    <row r="659">
      <c r="A659" t="inlineStr">
        <is>
          <t xml:space="preserve">BRAHMINFRA</t>
        </is>
      </c>
      <c r="B659" t="inlineStr">
        <is>
          <t xml:space="preserve">BRAHMAPUTRA INFRASTRUCTURE LTD</t>
        </is>
      </c>
      <c r="C659" t="inlineStr">
        <is>
          <t xml:space="preserve">INE320I01017</t>
        </is>
      </c>
    </row>
    <row r="660">
      <c r="A660" t="inlineStr">
        <is>
          <t xml:space="preserve">FIRSTCRY</t>
        </is>
      </c>
      <c r="B660" t="inlineStr">
        <is>
          <t xml:space="preserve">Brainbees Solutions Limited</t>
        </is>
      </c>
      <c r="C660" t="inlineStr">
        <is>
          <t xml:space="preserve">INE02RE01045</t>
        </is>
      </c>
    </row>
    <row r="661">
      <c r="A661" t="inlineStr">
        <is>
          <t xml:space="preserve">BCONCEPTS</t>
        </is>
      </c>
      <c r="B661" t="inlineStr">
        <is>
          <t xml:space="preserve">Brand Concepts Limited</t>
        </is>
      </c>
      <c r="C661" t="inlineStr">
        <is>
          <t xml:space="preserve">INE977Y01011</t>
        </is>
      </c>
    </row>
    <row r="662">
      <c r="A662" t="inlineStr">
        <is>
          <t xml:space="preserve">BRAWN</t>
        </is>
      </c>
      <c r="B662" t="inlineStr">
        <is>
          <t xml:space="preserve">BRAWN BIOTECH LTD.</t>
        </is>
      </c>
      <c r="C662" t="inlineStr">
        <is>
          <t xml:space="preserve">INE899B01015</t>
        </is>
      </c>
    </row>
    <row r="663">
      <c r="A663" t="inlineStr">
        <is>
          <t xml:space="preserve">BRIDGESE</t>
        </is>
      </c>
      <c r="B663" t="inlineStr">
        <is>
          <t xml:space="preserve">BRIDGE SECURITIES LTD.</t>
        </is>
      </c>
      <c r="C663" t="inlineStr">
        <is>
          <t xml:space="preserve">INE958C01025</t>
        </is>
      </c>
    </row>
    <row r="664">
      <c r="A664" t="inlineStr">
        <is>
          <t xml:space="preserve">BRIGADE</t>
        </is>
      </c>
      <c r="B664" t="inlineStr">
        <is>
          <t xml:space="preserve">BRIGADE ENTERPRISES LTD.</t>
        </is>
      </c>
      <c r="C664" t="inlineStr">
        <is>
          <t xml:space="preserve">INE791I01019</t>
        </is>
      </c>
    </row>
    <row r="665">
      <c r="A665" t="inlineStr">
        <is>
          <t xml:space="preserve">BRIGHOTEL</t>
        </is>
      </c>
      <c r="B665" t="inlineStr">
        <is>
          <t xml:space="preserve">Brigade Hotel Ventures Limited</t>
        </is>
      </c>
      <c r="C665" t="inlineStr">
        <is>
          <t xml:space="preserve">INE03NU01014</t>
        </is>
      </c>
    </row>
    <row r="666">
      <c r="A666" t="inlineStr">
        <is>
          <t xml:space="preserve">BRIGHTBR</t>
        </is>
      </c>
      <c r="B666" t="inlineStr">
        <is>
          <t xml:space="preserve">BRIGHT BROTHERS LTD.</t>
        </is>
      </c>
      <c r="C666" t="inlineStr">
        <is>
          <t xml:space="preserve">INE630D01010</t>
        </is>
      </c>
    </row>
    <row r="667">
      <c r="A667" t="inlineStr">
        <is>
          <t xml:space="preserve">BRIGHT</t>
        </is>
      </c>
      <c r="B667" t="inlineStr">
        <is>
          <t xml:space="preserve">Bright Outdoor Media Limited</t>
        </is>
      </c>
      <c r="C667" t="inlineStr">
        <is>
          <t xml:space="preserve">INE0OMI01019</t>
        </is>
      </c>
    </row>
    <row r="668">
      <c r="A668" t="inlineStr">
        <is>
          <t xml:space="preserve">BCG</t>
        </is>
      </c>
      <c r="B668" t="inlineStr">
        <is>
          <t xml:space="preserve">BRIGHTCOM GROUP LIMITED</t>
        </is>
      </c>
      <c r="C668" t="inlineStr">
        <is>
          <t xml:space="preserve">INE425B01027</t>
        </is>
      </c>
    </row>
    <row r="669">
      <c r="A669" t="inlineStr">
        <is>
          <t xml:space="preserve">BRIJLEAS</t>
        </is>
      </c>
      <c r="B669" t="inlineStr">
        <is>
          <t xml:space="preserve">BRIJLAXMI LEASING &amp; FINANCE LT</t>
        </is>
      </c>
      <c r="C669" t="inlineStr">
        <is>
          <t xml:space="preserve">INE957E01031</t>
        </is>
      </c>
    </row>
    <row r="670">
      <c r="A670" t="inlineStr">
        <is>
          <t xml:space="preserve">BRISK</t>
        </is>
      </c>
      <c r="B670" t="inlineStr">
        <is>
          <t xml:space="preserve">Brisk Technovision Limited</t>
        </is>
      </c>
      <c r="C670" t="inlineStr">
        <is>
          <t xml:space="preserve">INE0Q6L01014</t>
        </is>
      </c>
    </row>
    <row r="671">
      <c r="A671" t="inlineStr">
        <is>
          <t xml:space="preserve">BRITANNIA</t>
        </is>
      </c>
      <c r="B671" t="inlineStr">
        <is>
          <t xml:space="preserve">BRITANNIA INDUSTRIES LTD.</t>
        </is>
      </c>
      <c r="C671" t="inlineStr">
        <is>
          <t xml:space="preserve">INE216A01030</t>
        </is>
      </c>
    </row>
    <row r="672">
      <c r="A672" t="inlineStr">
        <is>
          <t xml:space="preserve">BIRET</t>
        </is>
      </c>
      <c r="B672" t="inlineStr">
        <is>
          <t xml:space="preserve">Brookfield India Real Estate T</t>
        </is>
      </c>
      <c r="C672" t="inlineStr">
        <is>
          <t xml:space="preserve">INE0FDU25010</t>
        </is>
      </c>
    </row>
    <row r="673">
      <c r="A673" t="inlineStr">
        <is>
          <t xml:space="preserve">BROOKS</t>
        </is>
      </c>
      <c r="B673" t="inlineStr">
        <is>
          <t xml:space="preserve">BROOKS LABORATORIES LTD.</t>
        </is>
      </c>
      <c r="C673" t="inlineStr">
        <is>
          <t xml:space="preserve">INE650L01011</t>
        </is>
      </c>
    </row>
    <row r="674">
      <c r="A674" t="inlineStr">
        <is>
          <t xml:space="preserve">BSELALGO</t>
        </is>
      </c>
      <c r="B674" t="inlineStr">
        <is>
          <t xml:space="preserve">BSEL ALGO LIMITED</t>
        </is>
      </c>
      <c r="C674" t="inlineStr">
        <is>
          <t xml:space="preserve">INE395A01016</t>
        </is>
      </c>
    </row>
    <row r="675">
      <c r="A675" t="inlineStr">
        <is>
          <t xml:space="preserve">BSL</t>
        </is>
      </c>
      <c r="B675" t="inlineStr">
        <is>
          <t xml:space="preserve">BSL LTD.</t>
        </is>
      </c>
      <c r="C675" t="inlineStr">
        <is>
          <t xml:space="preserve">INE594B01012</t>
        </is>
      </c>
    </row>
    <row r="676">
      <c r="A676" t="inlineStr">
        <is>
          <t xml:space="preserve">BUTTERFLY</t>
        </is>
      </c>
      <c r="B676" t="inlineStr">
        <is>
          <t xml:space="preserve">BUTTERFLY GANDHIMATHI APPLIANC</t>
        </is>
      </c>
      <c r="C676" t="inlineStr">
        <is>
          <t xml:space="preserve">INE295F01017</t>
        </is>
      </c>
    </row>
    <row r="677">
      <c r="A677" t="inlineStr">
        <is>
          <t xml:space="preserve">MAPMYINDIA</t>
        </is>
      </c>
      <c r="B677" t="inlineStr">
        <is>
          <t xml:space="preserve">C.E. Info Systems Limited</t>
        </is>
      </c>
      <c r="C677" t="inlineStr">
        <is>
          <t xml:space="preserve">INE0BV301023</t>
        </is>
      </c>
    </row>
    <row r="678">
      <c r="A678" t="inlineStr">
        <is>
          <t xml:space="preserve">CJGEL</t>
        </is>
      </c>
      <c r="B678" t="inlineStr">
        <is>
          <t xml:space="preserve">C.J.GELATINE PRODUCTS LTD.</t>
        </is>
      </c>
      <c r="C678" t="inlineStr">
        <is>
          <t xml:space="preserve">INE557D01015</t>
        </is>
      </c>
    </row>
    <row r="679">
      <c r="A679" t="inlineStr">
        <is>
          <t xml:space="preserve">CALCOM</t>
        </is>
      </c>
      <c r="B679" t="inlineStr">
        <is>
          <t xml:space="preserve">CALCOM VISION LTD.</t>
        </is>
      </c>
      <c r="C679" t="inlineStr">
        <is>
          <t xml:space="preserve">INE216C01010</t>
        </is>
      </c>
    </row>
    <row r="680">
      <c r="A680" t="inlineStr">
        <is>
          <t xml:space="preserve">CALSOFT</t>
        </is>
      </c>
      <c r="B680" t="inlineStr">
        <is>
          <t xml:space="preserve">CALIFORNIA SOFTWARE CO.LTD.</t>
        </is>
      </c>
      <c r="C680" t="inlineStr">
        <is>
          <t xml:space="preserve">INE526B01014</t>
        </is>
      </c>
    </row>
    <row r="681">
      <c r="A681" t="inlineStr">
        <is>
          <t xml:space="preserve">CALLISTA</t>
        </is>
      </c>
      <c r="B681" t="inlineStr">
        <is>
          <t xml:space="preserve">Callista Industries Limited</t>
        </is>
      </c>
      <c r="C681" t="inlineStr">
        <is>
          <t xml:space="preserve">INE714Q01014</t>
        </is>
      </c>
    </row>
    <row r="682">
      <c r="A682" t="inlineStr">
        <is>
          <t xml:space="preserve">CTE</t>
        </is>
      </c>
      <c r="B682" t="inlineStr">
        <is>
          <t xml:space="preserve">CAMBRIDGE TECHNOLOGY ENTERPRIS</t>
        </is>
      </c>
      <c r="C682" t="inlineStr">
        <is>
          <t xml:space="preserve">INE627H01017</t>
        </is>
      </c>
    </row>
    <row r="683">
      <c r="A683" t="inlineStr">
        <is>
          <t xml:space="preserve">CAMEXLTD</t>
        </is>
      </c>
      <c r="B683" t="inlineStr">
        <is>
          <t xml:space="preserve">CAMEX LTD.</t>
        </is>
      </c>
      <c r="C683" t="inlineStr">
        <is>
          <t xml:space="preserve">INE198C01010</t>
        </is>
      </c>
    </row>
    <row r="684">
      <c r="A684" t="inlineStr">
        <is>
          <t xml:space="preserve">CAMLINFINE</t>
        </is>
      </c>
      <c r="B684" t="inlineStr">
        <is>
          <t xml:space="preserve">Camlin Fine Sciences Ltd</t>
        </is>
      </c>
      <c r="C684" t="inlineStr">
        <is>
          <t xml:space="preserve">INE052I01032</t>
        </is>
      </c>
    </row>
    <row r="685">
      <c r="A685" t="inlineStr">
        <is>
          <t xml:space="preserve">CAMPUS</t>
        </is>
      </c>
      <c r="B685" t="inlineStr">
        <is>
          <t xml:space="preserve">Campus Activewear Limited</t>
        </is>
      </c>
      <c r="C685" t="inlineStr">
        <is>
          <t xml:space="preserve">INE278Y01022</t>
        </is>
      </c>
    </row>
    <row r="686">
      <c r="A686" t="inlineStr">
        <is>
          <t xml:space="preserve">CANFINHOME</t>
        </is>
      </c>
      <c r="B686" t="inlineStr">
        <is>
          <t xml:space="preserve">CAN FIN HOMES LTD.</t>
        </is>
      </c>
      <c r="C686" t="inlineStr">
        <is>
          <t xml:space="preserve">INE477A01020</t>
        </is>
      </c>
    </row>
    <row r="687">
      <c r="A687" t="inlineStr">
        <is>
          <t xml:space="preserve">CANBK</t>
        </is>
      </c>
      <c r="B687" t="inlineStr">
        <is>
          <t xml:space="preserve">CANARA BANK</t>
        </is>
      </c>
      <c r="C687" t="inlineStr">
        <is>
          <t xml:space="preserve">INE476A01022</t>
        </is>
      </c>
    </row>
    <row r="688">
      <c r="A688" t="inlineStr">
        <is>
          <t xml:space="preserve">CANHLIFE</t>
        </is>
      </c>
      <c r="B688" t="inlineStr">
        <is>
          <t xml:space="preserve">Canara HSBC Life Insurance Com</t>
        </is>
      </c>
      <c r="C688" t="inlineStr">
        <is>
          <t xml:space="preserve">INE01TY01017</t>
        </is>
      </c>
    </row>
    <row r="689">
      <c r="A689" t="inlineStr">
        <is>
          <t xml:space="preserve">CRAMC</t>
        </is>
      </c>
      <c r="B689" t="inlineStr">
        <is>
          <t xml:space="preserve">Canara Robeco Asset Management</t>
        </is>
      </c>
      <c r="C689" t="inlineStr">
        <is>
          <t xml:space="preserve">INE218I01013</t>
        </is>
      </c>
    </row>
    <row r="690">
      <c r="A690" t="inlineStr">
        <is>
          <t xml:space="preserve">CANDOUR</t>
        </is>
      </c>
      <c r="B690" t="inlineStr">
        <is>
          <t xml:space="preserve">CANDOUR TECHTEX LIMITED</t>
        </is>
      </c>
      <c r="C690" t="inlineStr">
        <is>
          <t xml:space="preserve">INE713D01055</t>
        </is>
      </c>
    </row>
    <row r="691">
      <c r="A691" t="inlineStr">
        <is>
          <t xml:space="preserve">CANTABIL</t>
        </is>
      </c>
      <c r="B691" t="inlineStr">
        <is>
          <t xml:space="preserve">CANTABIL RETAIL INDIA LTD.</t>
        </is>
      </c>
      <c r="C691" t="inlineStr">
        <is>
          <t xml:space="preserve">INE068L01024</t>
        </is>
      </c>
    </row>
    <row r="692">
      <c r="A692" t="inlineStr">
        <is>
          <t xml:space="preserve">CAPACITE</t>
        </is>
      </c>
      <c r="B692" t="inlineStr">
        <is>
          <t xml:space="preserve">Capacite Infraprojects Limited</t>
        </is>
      </c>
      <c r="C692" t="inlineStr">
        <is>
          <t xml:space="preserve">INE264T01014</t>
        </is>
      </c>
    </row>
    <row r="693">
      <c r="A693" t="inlineStr">
        <is>
          <t xml:space="preserve">CAPFIN</t>
        </is>
      </c>
      <c r="B693" t="inlineStr">
        <is>
          <t xml:space="preserve">Capfin India Limited</t>
        </is>
      </c>
      <c r="C693" t="inlineStr">
        <is>
          <t xml:space="preserve">INE960C01013</t>
        </is>
      </c>
    </row>
    <row r="694">
      <c r="A694" t="inlineStr">
        <is>
          <t xml:space="preserve">CAPILLARY</t>
        </is>
      </c>
      <c r="B694" t="inlineStr">
        <is>
          <t xml:space="preserve">Capillary Technologies India L</t>
        </is>
      </c>
      <c r="C694" t="inlineStr">
        <is>
          <t xml:space="preserve">INE0ILV01024</t>
        </is>
      </c>
    </row>
    <row r="695">
      <c r="A695" t="inlineStr">
        <is>
          <t xml:space="preserve">CIFL</t>
        </is>
      </c>
      <c r="B695" t="inlineStr">
        <is>
          <t xml:space="preserve">CAPITAL INDIA FINANCE LIMITED</t>
        </is>
      </c>
      <c r="C695" t="inlineStr">
        <is>
          <t xml:space="preserve">INE345H01024</t>
        </is>
      </c>
    </row>
    <row r="696">
      <c r="A696" t="inlineStr">
        <is>
          <t xml:space="preserve">CAPINVIT</t>
        </is>
      </c>
      <c r="B696" t="inlineStr">
        <is>
          <t xml:space="preserve">Capital Infra Trust</t>
        </is>
      </c>
      <c r="C696" t="inlineStr">
        <is>
          <t xml:space="preserve">INE0Z8Z23013</t>
        </is>
      </c>
    </row>
    <row r="697">
      <c r="A697" t="inlineStr">
        <is>
          <t xml:space="preserve">CAPITALSFB</t>
        </is>
      </c>
      <c r="B697" t="inlineStr">
        <is>
          <t xml:space="preserve">Capital Small Finance Bank Ltd</t>
        </is>
      </c>
      <c r="C697" t="inlineStr">
        <is>
          <t xml:space="preserve">INE646H01017</t>
        </is>
      </c>
    </row>
    <row r="698">
      <c r="A698" t="inlineStr">
        <is>
          <t xml:space="preserve">CTL</t>
        </is>
      </c>
      <c r="B698" t="inlineStr">
        <is>
          <t xml:space="preserve">CAPITAL TRADE LINKS LTD</t>
        </is>
      </c>
      <c r="C698" t="inlineStr">
        <is>
          <t xml:space="preserve">INE172D01021</t>
        </is>
      </c>
    </row>
    <row r="699">
      <c r="A699" t="inlineStr">
        <is>
          <t xml:space="preserve">CAPTRUST</t>
        </is>
      </c>
      <c r="B699" t="inlineStr">
        <is>
          <t xml:space="preserve">CAPITAL TRUST LTD.</t>
        </is>
      </c>
      <c r="C699" t="inlineStr">
        <is>
          <t xml:space="preserve">INE707C01018</t>
        </is>
      </c>
    </row>
    <row r="700">
      <c r="A700" t="inlineStr">
        <is>
          <t xml:space="preserve">CNINFOTECH</t>
        </is>
      </c>
      <c r="B700" t="inlineStr">
        <is>
          <t xml:space="preserve">CAPITALNUMBERS INFOTECH  LIMIT</t>
        </is>
      </c>
      <c r="C700" t="inlineStr">
        <is>
          <t xml:space="preserve">INE0WXM01011</t>
        </is>
      </c>
    </row>
    <row r="701">
      <c r="A701" t="inlineStr">
        <is>
          <t xml:space="preserve">CAPLIPOINT</t>
        </is>
      </c>
      <c r="B701" t="inlineStr">
        <is>
          <t xml:space="preserve">CAPLIN POINT LABORATORIES LTD.</t>
        </is>
      </c>
      <c r="C701" t="inlineStr">
        <is>
          <t xml:space="preserve">INE475E01026</t>
        </is>
      </c>
    </row>
    <row r="702">
      <c r="A702" t="inlineStr">
        <is>
          <t xml:space="preserve">CGCL</t>
        </is>
      </c>
      <c r="B702" t="inlineStr">
        <is>
          <t xml:space="preserve">CAPRI GLOBAL CAPITAL LIMITED</t>
        </is>
      </c>
      <c r="C702" t="inlineStr">
        <is>
          <t xml:space="preserve">INE180C01042</t>
        </is>
      </c>
    </row>
    <row r="703">
      <c r="A703" t="inlineStr">
        <is>
          <t xml:space="preserve">CAPRICORN</t>
        </is>
      </c>
      <c r="B703" t="inlineStr">
        <is>
          <t xml:space="preserve">CAPRICORN SYSTEMS GLOBAL SOLUT</t>
        </is>
      </c>
      <c r="C703" t="inlineStr">
        <is>
          <t xml:space="preserve">INE968E01012</t>
        </is>
      </c>
    </row>
    <row r="704">
      <c r="A704" t="inlineStr">
        <is>
          <t xml:space="preserve">CAPRIHANS</t>
        </is>
      </c>
      <c r="B704" t="inlineStr">
        <is>
          <t xml:space="preserve">CAPRIHANS INDIA LTD.</t>
        </is>
      </c>
      <c r="C704" t="inlineStr">
        <is>
          <t xml:space="preserve">INE479A01018</t>
        </is>
      </c>
    </row>
    <row r="705">
      <c r="A705" t="inlineStr">
        <is>
          <t xml:space="preserve">CAPRO</t>
        </is>
      </c>
      <c r="B705" t="inlineStr">
        <is>
          <t xml:space="preserve">CAPROLACTAM CHEMICALS LTD.</t>
        </is>
      </c>
      <c r="C705" t="inlineStr">
        <is>
          <t xml:space="preserve">INE470N01010</t>
        </is>
      </c>
    </row>
    <row r="706">
      <c r="A706" t="inlineStr">
        <is>
          <t xml:space="preserve">CAPPIPES</t>
        </is>
      </c>
      <c r="B706" t="inlineStr">
        <is>
          <t xml:space="preserve">Captain Pipes Limited</t>
        </is>
      </c>
      <c r="C706" t="inlineStr">
        <is>
          <t xml:space="preserve">INE513R01026</t>
        </is>
      </c>
    </row>
    <row r="707">
      <c r="A707" t="inlineStr">
        <is>
          <t xml:space="preserve">CPL</t>
        </is>
      </c>
      <c r="B707" t="inlineStr">
        <is>
          <t xml:space="preserve">CAPTAIN POLYPLAST LTD</t>
        </is>
      </c>
      <c r="C707" t="inlineStr">
        <is>
          <t xml:space="preserve">INE536P01021</t>
        </is>
      </c>
    </row>
    <row r="708">
      <c r="A708" t="inlineStr">
        <is>
          <t xml:space="preserve">CARBORUNIV</t>
        </is>
      </c>
      <c r="B708" t="inlineStr">
        <is>
          <t xml:space="preserve">CARBORUNDUM UNIVERSAL LTD.</t>
        </is>
      </c>
      <c r="C708" t="inlineStr">
        <is>
          <t xml:space="preserve">INE120A01034</t>
        </is>
      </c>
    </row>
    <row r="709">
      <c r="A709" t="inlineStr">
        <is>
          <t xml:space="preserve">CARERATING</t>
        </is>
      </c>
      <c r="B709" t="inlineStr">
        <is>
          <t xml:space="preserve">CARE Ratings Limited</t>
        </is>
      </c>
      <c r="C709" t="inlineStr">
        <is>
          <t xml:space="preserve">INE752H01013</t>
        </is>
      </c>
    </row>
    <row r="710">
      <c r="A710" t="inlineStr">
        <is>
          <t xml:space="preserve">CPEDU</t>
        </is>
      </c>
      <c r="B710" t="inlineStr">
        <is>
          <t xml:space="preserve">Career Point Edutech Limited</t>
        </is>
      </c>
      <c r="C710" t="inlineStr">
        <is>
          <t xml:space="preserve">INE0P6P01016</t>
        </is>
      </c>
    </row>
    <row r="711">
      <c r="A711" t="inlineStr">
        <is>
          <t xml:space="preserve">CARGOSOL</t>
        </is>
      </c>
      <c r="B711" t="inlineStr">
        <is>
          <t xml:space="preserve">Cargosol Logistics Limited</t>
        </is>
      </c>
      <c r="C711" t="inlineStr">
        <is>
          <t xml:space="preserve">INE0KZM01011</t>
        </is>
      </c>
    </row>
    <row r="712">
      <c r="A712" t="inlineStr">
        <is>
          <t xml:space="preserve">CARRARO</t>
        </is>
      </c>
      <c r="B712" t="inlineStr">
        <is>
          <t xml:space="preserve">CARRARO INDIA LIMITED</t>
        </is>
      </c>
      <c r="C712" t="inlineStr">
        <is>
          <t xml:space="preserve">INE0V7W01012</t>
        </is>
      </c>
    </row>
    <row r="713">
      <c r="A713" t="inlineStr">
        <is>
          <t xml:space="preserve">CARTRADE</t>
        </is>
      </c>
      <c r="B713" t="inlineStr">
        <is>
          <t xml:space="preserve">CarTrade Tech Limited</t>
        </is>
      </c>
      <c r="C713" t="inlineStr">
        <is>
          <t xml:space="preserve">INE290S01011</t>
        </is>
      </c>
    </row>
    <row r="714">
      <c r="A714" t="inlineStr">
        <is>
          <t xml:space="preserve">CARYSIL</t>
        </is>
      </c>
      <c r="B714" t="inlineStr">
        <is>
          <t xml:space="preserve">CARYSIL LIMITED</t>
        </is>
      </c>
      <c r="C714" t="inlineStr">
        <is>
          <t xml:space="preserve">INE482D01024</t>
        </is>
      </c>
    </row>
    <row r="715">
      <c r="A715" t="inlineStr">
        <is>
          <t xml:space="preserve">CASPIAN</t>
        </is>
      </c>
      <c r="B715" t="inlineStr">
        <is>
          <t xml:space="preserve">CASPIAN CORPORATE SERVICES LIM</t>
        </is>
      </c>
      <c r="C715" t="inlineStr">
        <is>
          <t xml:space="preserve">INE176N01039</t>
        </is>
      </c>
    </row>
    <row r="716">
      <c r="A716" t="inlineStr">
        <is>
          <t xml:space="preserve">CASTROLIND</t>
        </is>
      </c>
      <c r="B716" t="inlineStr">
        <is>
          <t xml:space="preserve">CASTROL INDIA LTD.</t>
        </is>
      </c>
      <c r="C716" t="inlineStr">
        <is>
          <t xml:space="preserve">INE172A01027</t>
        </is>
      </c>
    </row>
    <row r="717">
      <c r="A717" t="inlineStr">
        <is>
          <t xml:space="preserve">CATVISION</t>
        </is>
      </c>
      <c r="B717" t="inlineStr">
        <is>
          <t xml:space="preserve">CATVISION  LIMITED</t>
        </is>
      </c>
      <c r="C717" t="inlineStr">
        <is>
          <t xml:space="preserve">INE660B01011</t>
        </is>
      </c>
    </row>
    <row r="718">
      <c r="A718" t="inlineStr">
        <is>
          <t xml:space="preserve">1025CCIL27</t>
        </is>
      </c>
      <c r="B718" t="inlineStr">
        <is>
          <t xml:space="preserve">CCIL-10.25%-18-09-27-NCD</t>
        </is>
      </c>
      <c r="C718" t="inlineStr">
        <is>
          <t xml:space="preserve">INE051307CJ7</t>
        </is>
      </c>
    </row>
    <row r="719">
      <c r="A719" t="inlineStr">
        <is>
          <t xml:space="preserve">1080CCIL28</t>
        </is>
      </c>
      <c r="B719" t="inlineStr">
        <is>
          <t xml:space="preserve">CCIL-10.80%-18-03-28-NCD</t>
        </is>
      </c>
      <c r="C719" t="inlineStr">
        <is>
          <t xml:space="preserve">INE051307CG3</t>
        </is>
      </c>
    </row>
    <row r="720">
      <c r="A720" t="inlineStr">
        <is>
          <t xml:space="preserve">CCIL101125</t>
        </is>
      </c>
      <c r="B720" t="inlineStr">
        <is>
          <t xml:space="preserve">CCIL-11-11-26-NCD</t>
        </is>
      </c>
      <c r="C720" t="inlineStr">
        <is>
          <t xml:space="preserve">INE051307CB4</t>
        </is>
      </c>
    </row>
    <row r="721">
      <c r="A721" t="inlineStr">
        <is>
          <t xml:space="preserve">1125CCIL29</t>
        </is>
      </c>
      <c r="B721" t="inlineStr">
        <is>
          <t xml:space="preserve">CCIL-11.25%-17-03-29-NCD</t>
        </is>
      </c>
      <c r="C721" t="inlineStr">
        <is>
          <t xml:space="preserve">INE051307CE8</t>
        </is>
      </c>
    </row>
    <row r="722">
      <c r="A722" t="inlineStr">
        <is>
          <t xml:space="preserve">12CCIL30C</t>
        </is>
      </c>
      <c r="B722" t="inlineStr">
        <is>
          <t xml:space="preserve">CCIL-12%-16-1-30-NCD</t>
        </is>
      </c>
      <c r="C722" t="inlineStr">
        <is>
          <t xml:space="preserve">INE051307BK7</t>
        </is>
      </c>
    </row>
    <row r="723">
      <c r="A723" t="inlineStr">
        <is>
          <t xml:space="preserve">12CCIL30</t>
        </is>
      </c>
      <c r="B723" t="inlineStr">
        <is>
          <t xml:space="preserve">CCIL-12%-9-11-30-NCD</t>
        </is>
      </c>
      <c r="C723" t="inlineStr">
        <is>
          <t xml:space="preserve">INE051307CA6</t>
        </is>
      </c>
    </row>
    <row r="724">
      <c r="A724" t="inlineStr">
        <is>
          <t xml:space="preserve">CCIL18326</t>
        </is>
      </c>
      <c r="B724" t="inlineStr">
        <is>
          <t xml:space="preserve">CCIL-22-04-27-NCD</t>
        </is>
      </c>
      <c r="C724" t="inlineStr">
        <is>
          <t xml:space="preserve">INE051307CH1</t>
        </is>
      </c>
    </row>
    <row r="725">
      <c r="A725" t="inlineStr">
        <is>
          <t xml:space="preserve">CCLINTER</t>
        </is>
      </c>
      <c r="B725" t="inlineStr">
        <is>
          <t xml:space="preserve">CCL INTERNATIONAL LTD.</t>
        </is>
      </c>
      <c r="C725" t="inlineStr">
        <is>
          <t xml:space="preserve">INE778E01031</t>
        </is>
      </c>
    </row>
    <row r="726">
      <c r="A726" t="inlineStr">
        <is>
          <t xml:space="preserve">CCL</t>
        </is>
      </c>
      <c r="B726" t="inlineStr">
        <is>
          <t xml:space="preserve">CCL PRODUCTS (INDIA) LTD.</t>
        </is>
      </c>
      <c r="C726" t="inlineStr">
        <is>
          <t xml:space="preserve">INE421D01022</t>
        </is>
      </c>
    </row>
    <row r="727">
      <c r="A727" t="inlineStr">
        <is>
          <t xml:space="preserve">CCME</t>
        </is>
      </c>
      <c r="B727" t="inlineStr">
        <is>
          <t xml:space="preserve">CCME GLOBAL LIMITED</t>
        </is>
      </c>
      <c r="C727" t="inlineStr">
        <is>
          <t xml:space="preserve">INE194N01016</t>
        </is>
      </c>
    </row>
    <row r="728">
      <c r="A728" t="inlineStr">
        <is>
          <t xml:space="preserve">CDG</t>
        </is>
      </c>
      <c r="B728" t="inlineStr">
        <is>
          <t xml:space="preserve">CDG PETCHEM LIMITED</t>
        </is>
      </c>
      <c r="C728" t="inlineStr">
        <is>
          <t xml:space="preserve">INE198N01017</t>
        </is>
      </c>
    </row>
    <row r="729">
      <c r="A729" t="inlineStr">
        <is>
          <t xml:space="preserve">CEATLTD</t>
        </is>
      </c>
      <c r="B729" t="inlineStr">
        <is>
          <t xml:space="preserve">CEAT LTD.</t>
        </is>
      </c>
      <c r="C729" t="inlineStr">
        <is>
          <t xml:space="preserve">INE482A01020</t>
        </is>
      </c>
    </row>
    <row r="730">
      <c r="A730" t="inlineStr">
        <is>
          <t xml:space="preserve">CEEJAY</t>
        </is>
      </c>
      <c r="B730" t="inlineStr">
        <is>
          <t xml:space="preserve">CEEJAY FINANCE LTD.</t>
        </is>
      </c>
      <c r="C730" t="inlineStr">
        <is>
          <t xml:space="preserve">INE358C01010</t>
        </is>
      </c>
    </row>
    <row r="731">
      <c r="A731" t="inlineStr">
        <is>
          <t xml:space="preserve">CEENIK</t>
        </is>
      </c>
      <c r="B731" t="inlineStr">
        <is>
          <t xml:space="preserve">CEENIK EXPORTS (INDIA) LTD.</t>
        </is>
      </c>
      <c r="C731" t="inlineStr">
        <is>
          <t xml:space="preserve">INE418D01010</t>
        </is>
      </c>
    </row>
    <row r="732">
      <c r="A732" t="inlineStr">
        <is>
          <t xml:space="preserve">CEETAIN</t>
        </is>
      </c>
      <c r="B732" t="inlineStr">
        <is>
          <t xml:space="preserve">CEETA INDUSTRIES LTD.</t>
        </is>
      </c>
      <c r="C732" t="inlineStr">
        <is>
          <t xml:space="preserve">INE760J01012</t>
        </is>
      </c>
    </row>
    <row r="733">
      <c r="A733" t="inlineStr">
        <is>
          <t xml:space="preserve">CEIGALL</t>
        </is>
      </c>
      <c r="B733" t="inlineStr">
        <is>
          <t xml:space="preserve">Ceigall India Limited</t>
        </is>
      </c>
      <c r="C733" t="inlineStr">
        <is>
          <t xml:space="preserve">INE0AG901020</t>
        </is>
      </c>
    </row>
    <row r="734">
      <c r="A734" t="inlineStr">
        <is>
          <t xml:space="preserve">CEINSYS</t>
        </is>
      </c>
      <c r="B734" t="inlineStr">
        <is>
          <t xml:space="preserve">CEINSYS TECH LIMITED</t>
        </is>
      </c>
      <c r="C734" t="inlineStr">
        <is>
          <t xml:space="preserve">INE016Q01014</t>
        </is>
      </c>
    </row>
    <row r="735">
      <c r="A735" t="inlineStr">
        <is>
          <t xml:space="preserve">CELEBRITY</t>
        </is>
      </c>
      <c r="B735" t="inlineStr">
        <is>
          <t xml:space="preserve">CELEBRITY FASHIONS LTD.</t>
        </is>
      </c>
      <c r="C735" t="inlineStr">
        <is>
          <t xml:space="preserve">INE185H01016</t>
        </is>
      </c>
    </row>
    <row r="736">
      <c r="A736" t="inlineStr">
        <is>
          <t xml:space="preserve">CELLA</t>
        </is>
      </c>
      <c r="B736" t="inlineStr">
        <is>
          <t xml:space="preserve">CELLA SPACE LIMITED</t>
        </is>
      </c>
      <c r="C736" t="inlineStr">
        <is>
          <t xml:space="preserve">INE266H01014</t>
        </is>
      </c>
    </row>
    <row r="737">
      <c r="A737" t="inlineStr">
        <is>
          <t xml:space="preserve">CELLO</t>
        </is>
      </c>
      <c r="B737" t="inlineStr">
        <is>
          <t xml:space="preserve">Cello World Limited</t>
        </is>
      </c>
      <c r="C737" t="inlineStr">
        <is>
          <t xml:space="preserve">INE0LMW01024</t>
        </is>
      </c>
    </row>
    <row r="738">
      <c r="A738" t="inlineStr">
        <is>
          <t xml:space="preserve">CEMAINFRA</t>
        </is>
      </c>
      <c r="B738" t="inlineStr">
        <is>
          <t xml:space="preserve">CEMANTIC INFRA-TECH LIMITED</t>
        </is>
      </c>
      <c r="C738" t="inlineStr">
        <is>
          <t xml:space="preserve">INE222B01028</t>
        </is>
      </c>
    </row>
    <row r="739">
      <c r="A739" t="inlineStr">
        <is>
          <t xml:space="preserve">CEMPRO</t>
        </is>
      </c>
      <c r="B739" t="inlineStr">
        <is>
          <t xml:space="preserve">Cemindia Projects Limited</t>
        </is>
      </c>
      <c r="C739" t="inlineStr">
        <is>
          <t xml:space="preserve">INE686A01026</t>
        </is>
      </c>
    </row>
    <row r="740">
      <c r="A740" t="inlineStr">
        <is>
          <t xml:space="preserve">CENLUB</t>
        </is>
      </c>
      <c r="B740" t="inlineStr">
        <is>
          <t xml:space="preserve">CENLUB INDUSTRIES LTD.</t>
        </is>
      </c>
      <c r="C740" t="inlineStr">
        <is>
          <t xml:space="preserve">INE627F01011</t>
        </is>
      </c>
    </row>
    <row r="741">
      <c r="A741" t="inlineStr">
        <is>
          <t xml:space="preserve">CENTRALBK</t>
        </is>
      </c>
      <c r="B741" t="inlineStr">
        <is>
          <t xml:space="preserve">CENTRAL BANK OF INDIA</t>
        </is>
      </c>
      <c r="C741" t="inlineStr">
        <is>
          <t xml:space="preserve">INE483A01010</t>
        </is>
      </c>
    </row>
    <row r="742">
      <c r="A742" t="inlineStr">
        <is>
          <t xml:space="preserve">CMPDI</t>
        </is>
      </c>
      <c r="B742" t="inlineStr">
        <is>
          <t xml:space="preserve">Central Mine Planning &amp; Design</t>
        </is>
      </c>
      <c r="C742" t="inlineStr">
        <is>
          <t xml:space="preserve">INE05HV01027</t>
        </is>
      </c>
    </row>
    <row r="743">
      <c r="A743" t="inlineStr">
        <is>
          <t xml:space="preserve">CENTRUM</t>
        </is>
      </c>
      <c r="B743" t="inlineStr">
        <is>
          <t xml:space="preserve">CENTRUM CAPITAL LTD.</t>
        </is>
      </c>
      <c r="C743" t="inlineStr">
        <is>
          <t xml:space="preserve">INE660C01027</t>
        </is>
      </c>
    </row>
    <row r="744">
      <c r="A744" t="inlineStr">
        <is>
          <t xml:space="preserve">CENTUM</t>
        </is>
      </c>
      <c r="B744" t="inlineStr">
        <is>
          <t xml:space="preserve">CENTUM ELECTRONICS LTD.</t>
        </is>
      </c>
      <c r="C744" t="inlineStr">
        <is>
          <t xml:space="preserve">INE320B01020</t>
        </is>
      </c>
    </row>
    <row r="745">
      <c r="A745" t="inlineStr">
        <is>
          <t xml:space="preserve">CENTENKA</t>
        </is>
      </c>
      <c r="B745" t="inlineStr">
        <is>
          <t xml:space="preserve">CENTURY ENKA LTD.</t>
        </is>
      </c>
      <c r="C745" t="inlineStr">
        <is>
          <t xml:space="preserve">INE485A01015</t>
        </is>
      </c>
    </row>
    <row r="746">
      <c r="A746" t="inlineStr">
        <is>
          <t xml:space="preserve">CENTEXT</t>
        </is>
      </c>
      <c r="B746" t="inlineStr">
        <is>
          <t xml:space="preserve">CENTURY EXTRUSIONS LTD.</t>
        </is>
      </c>
      <c r="C746" t="inlineStr">
        <is>
          <t xml:space="preserve">INE281A01026</t>
        </is>
      </c>
    </row>
    <row r="747">
      <c r="A747" t="inlineStr">
        <is>
          <t xml:space="preserve">CENTURYPLY</t>
        </is>
      </c>
      <c r="B747" t="inlineStr">
        <is>
          <t xml:space="preserve">CENTURY PLYBOARDS (I) LTD.</t>
        </is>
      </c>
      <c r="C747" t="inlineStr">
        <is>
          <t xml:space="preserve">INE348B01021</t>
        </is>
      </c>
    </row>
    <row r="748">
      <c r="A748" t="inlineStr">
        <is>
          <t xml:space="preserve">CERA</t>
        </is>
      </c>
      <c r="B748" t="inlineStr">
        <is>
          <t xml:space="preserve">CERA SANITARYWARE LTD.</t>
        </is>
      </c>
      <c r="C748" t="inlineStr">
        <is>
          <t xml:space="preserve">INE739E01017</t>
        </is>
      </c>
    </row>
    <row r="749">
      <c r="A749" t="inlineStr">
        <is>
          <t xml:space="preserve">CEREBRAINT</t>
        </is>
      </c>
      <c r="B749" t="inlineStr">
        <is>
          <t xml:space="preserve">CEREBRA INTEGRATED TECHNOLOGIE</t>
        </is>
      </c>
      <c r="C749" t="inlineStr">
        <is>
          <t xml:space="preserve">INE345B01019</t>
        </is>
      </c>
    </row>
    <row r="750">
      <c r="A750" t="inlineStr">
        <is>
          <t xml:space="preserve">CESC</t>
        </is>
      </c>
      <c r="B750" t="inlineStr">
        <is>
          <t xml:space="preserve">CESC LTD.</t>
        </is>
      </c>
      <c r="C750" t="inlineStr">
        <is>
          <t xml:space="preserve">INE486A01021</t>
        </is>
      </c>
    </row>
    <row r="751">
      <c r="A751" t="inlineStr">
        <is>
          <t xml:space="preserve">CFF</t>
        </is>
      </c>
      <c r="B751" t="inlineStr">
        <is>
          <t xml:space="preserve">CFF FLUID CONTROL LIMITED</t>
        </is>
      </c>
      <c r="C751" t="inlineStr">
        <is>
          <t xml:space="preserve">INE0NJ001013</t>
        </is>
      </c>
    </row>
    <row r="752">
      <c r="A752" t="inlineStr">
        <is>
          <t xml:space="preserve">11CFL28</t>
        </is>
      </c>
      <c r="B752" t="inlineStr">
        <is>
          <t xml:space="preserve">CFL-11%-20-4-28-PVT</t>
        </is>
      </c>
      <c r="C752" t="inlineStr">
        <is>
          <t xml:space="preserve">INE718F07031</t>
        </is>
      </c>
    </row>
    <row r="753">
      <c r="A753" t="inlineStr">
        <is>
          <t xml:space="preserve">CGPOWER</t>
        </is>
      </c>
      <c r="B753" t="inlineStr">
        <is>
          <t xml:space="preserve">CG Power and Industrial Soluti</t>
        </is>
      </c>
      <c r="C753" t="inlineStr">
        <is>
          <t xml:space="preserve">INE067A01029</t>
        </is>
      </c>
    </row>
    <row r="754">
      <c r="A754" t="inlineStr">
        <is>
          <t xml:space="preserve">CGVAK</t>
        </is>
      </c>
      <c r="B754" t="inlineStr">
        <is>
          <t xml:space="preserve">CG-VAK SOFTWARE &amp; EXPORTS LTD.</t>
        </is>
      </c>
      <c r="C754" t="inlineStr">
        <is>
          <t xml:space="preserve">INE084D01010</t>
        </is>
      </c>
    </row>
    <row r="755">
      <c r="A755" t="inlineStr">
        <is>
          <t xml:space="preserve">89CGCL27</t>
        </is>
      </c>
      <c r="B755" t="inlineStr">
        <is>
          <t xml:space="preserve">CGCL-8.9%-13-4-27-NCD</t>
        </is>
      </c>
      <c r="C755" t="inlineStr">
        <is>
          <t xml:space="preserve">INE180C07221</t>
        </is>
      </c>
    </row>
    <row r="756">
      <c r="A756" t="inlineStr">
        <is>
          <t xml:space="preserve">893CGCL31</t>
        </is>
      </c>
      <c r="B756" t="inlineStr">
        <is>
          <t xml:space="preserve">CGCL-8.93%-30-4-31-NCD</t>
        </is>
      </c>
      <c r="C756" t="inlineStr">
        <is>
          <t xml:space="preserve">INE180C07296</t>
        </is>
      </c>
    </row>
    <row r="757">
      <c r="A757" t="inlineStr">
        <is>
          <t xml:space="preserve">9CGCL028</t>
        </is>
      </c>
      <c r="B757" t="inlineStr">
        <is>
          <t xml:space="preserve">CGCL-9%-30-4-28-NCD</t>
        </is>
      </c>
      <c r="C757" t="inlineStr">
        <is>
          <t xml:space="preserve">INE180C07288</t>
        </is>
      </c>
    </row>
    <row r="758">
      <c r="A758" t="inlineStr">
        <is>
          <t xml:space="preserve">915CGCL29</t>
        </is>
      </c>
      <c r="B758" t="inlineStr">
        <is>
          <t xml:space="preserve">CGCL-9.15%-30-4-29-NCD</t>
        </is>
      </c>
      <c r="C758" t="inlineStr">
        <is>
          <t xml:space="preserve">INE180C07320</t>
        </is>
      </c>
    </row>
    <row r="759">
      <c r="A759" t="inlineStr">
        <is>
          <t xml:space="preserve">925CGCL28A</t>
        </is>
      </c>
      <c r="B759" t="inlineStr">
        <is>
          <t xml:space="preserve">CGCL-9.25%-13-10-28-NCD</t>
        </is>
      </c>
      <c r="C759" t="inlineStr">
        <is>
          <t xml:space="preserve">INE180C07205</t>
        </is>
      </c>
    </row>
    <row r="760">
      <c r="A760" t="inlineStr">
        <is>
          <t xml:space="preserve">950CGCL36</t>
        </is>
      </c>
      <c r="B760" t="inlineStr">
        <is>
          <t xml:space="preserve">CGCL-9.50%-30-4-36-NCD</t>
        </is>
      </c>
      <c r="C760" t="inlineStr">
        <is>
          <t xml:space="preserve">INE180C07312</t>
        </is>
      </c>
    </row>
    <row r="761">
      <c r="A761" t="inlineStr">
        <is>
          <t xml:space="preserve">97CGCL35</t>
        </is>
      </c>
      <c r="B761" t="inlineStr">
        <is>
          <t xml:space="preserve">CGCL-9.7%-13-10-35-NCD</t>
        </is>
      </c>
      <c r="C761" t="inlineStr">
        <is>
          <t xml:space="preserve">INE180C07213</t>
        </is>
      </c>
    </row>
    <row r="762">
      <c r="A762" t="inlineStr">
        <is>
          <t xml:space="preserve">CHALET</t>
        </is>
      </c>
      <c r="B762" t="inlineStr">
        <is>
          <t xml:space="preserve">Chalet Hotels Limited</t>
        </is>
      </c>
      <c r="C762" t="inlineStr">
        <is>
          <t xml:space="preserve">INE427F01016</t>
        </is>
      </c>
    </row>
    <row r="763">
      <c r="A763" t="inlineStr">
        <is>
          <t xml:space="preserve">CHALLANI</t>
        </is>
      </c>
      <c r="B763" t="inlineStr">
        <is>
          <t xml:space="preserve">CHALLANI CAPITAL LIMITED</t>
        </is>
      </c>
      <c r="C763" t="inlineStr">
        <is>
          <t xml:space="preserve">INE807A01010</t>
        </is>
      </c>
    </row>
    <row r="764">
      <c r="A764" t="inlineStr">
        <is>
          <t xml:space="preserve">CLSEL</t>
        </is>
      </c>
      <c r="B764" t="inlineStr">
        <is>
          <t xml:space="preserve">CHAMAN LAL SETIA EXPORTS LIMIT</t>
        </is>
      </c>
      <c r="C764" t="inlineStr">
        <is>
          <t xml:space="preserve">INE419D01026</t>
        </is>
      </c>
    </row>
    <row r="765">
      <c r="A765" t="inlineStr">
        <is>
          <t xml:space="preserve">CHMBBRW</t>
        </is>
      </c>
      <c r="B765" t="inlineStr">
        <is>
          <t xml:space="preserve">CHAMBAL BREWERIES &amp; DISTILLERI</t>
        </is>
      </c>
      <c r="C765" t="inlineStr">
        <is>
          <t xml:space="preserve">INE417N01011</t>
        </is>
      </c>
    </row>
    <row r="766">
      <c r="A766" t="inlineStr">
        <is>
          <t xml:space="preserve">CHAMBLFERT</t>
        </is>
      </c>
      <c r="B766" t="inlineStr">
        <is>
          <t xml:space="preserve">CHAMBAL FERTILISERS &amp; CHEMICAL</t>
        </is>
      </c>
      <c r="C766" t="inlineStr">
        <is>
          <t xml:space="preserve">INE085A01013</t>
        </is>
      </c>
    </row>
    <row r="767">
      <c r="A767" t="inlineStr">
        <is>
          <t xml:space="preserve">CHANDNIMACH</t>
        </is>
      </c>
      <c r="B767" t="inlineStr">
        <is>
          <t xml:space="preserve">Chandni Machines Limited</t>
        </is>
      </c>
      <c r="C767" t="inlineStr">
        <is>
          <t xml:space="preserve">INE01GZ01011</t>
        </is>
      </c>
    </row>
    <row r="768">
      <c r="A768" t="inlineStr">
        <is>
          <t xml:space="preserve">CBPL</t>
        </is>
      </c>
      <c r="B768" t="inlineStr">
        <is>
          <t xml:space="preserve">Chandra Bhagat Pharma Limited</t>
        </is>
      </c>
      <c r="C768" t="inlineStr">
        <is>
          <t xml:space="preserve">INE07QQ01016</t>
        </is>
      </c>
    </row>
    <row r="769">
      <c r="A769" t="inlineStr">
        <is>
          <t xml:space="preserve">CHANDRAP</t>
        </is>
      </c>
      <c r="B769" t="inlineStr">
        <is>
          <t xml:space="preserve">CHANDRA PRABHU INTERNATIONAL L</t>
        </is>
      </c>
      <c r="C769" t="inlineStr">
        <is>
          <t xml:space="preserve">INE368D01025</t>
        </is>
      </c>
    </row>
    <row r="770">
      <c r="A770" t="inlineStr">
        <is>
          <t xml:space="preserve">CHANDRIMA</t>
        </is>
      </c>
      <c r="B770" t="inlineStr">
        <is>
          <t xml:space="preserve">Chandrima Mercantiles limited</t>
        </is>
      </c>
      <c r="C770" t="inlineStr">
        <is>
          <t xml:space="preserve">INE371F01024</t>
        </is>
      </c>
    </row>
    <row r="771">
      <c r="A771" t="inlineStr">
        <is>
          <t xml:space="preserve">CHRTEDCA</t>
        </is>
      </c>
      <c r="B771" t="inlineStr">
        <is>
          <t xml:space="preserve">CHARTERED CAPITAL &amp; INVESTMENT</t>
        </is>
      </c>
      <c r="C771" t="inlineStr">
        <is>
          <t xml:space="preserve">INE953B01010</t>
        </is>
      </c>
    </row>
    <row r="772">
      <c r="A772" t="inlineStr">
        <is>
          <t xml:space="preserve">CHLOGIST</t>
        </is>
      </c>
      <c r="B772" t="inlineStr">
        <is>
          <t xml:space="preserve">CHARTERED LOGISTICS LTD.</t>
        </is>
      </c>
      <c r="C772" t="inlineStr">
        <is>
          <t xml:space="preserve">INE558F01026</t>
        </is>
      </c>
    </row>
    <row r="773">
      <c r="A773" t="inlineStr">
        <is>
          <t xml:space="preserve">CHATHA</t>
        </is>
      </c>
      <c r="B773" t="inlineStr">
        <is>
          <t xml:space="preserve">CHATHA FOODS LIMITED</t>
        </is>
      </c>
      <c r="C773" t="inlineStr">
        <is>
          <t xml:space="preserve">INE0AH901011</t>
        </is>
      </c>
    </row>
    <row r="774">
      <c r="A774" t="inlineStr">
        <is>
          <t xml:space="preserve">CHTR</t>
        </is>
      </c>
      <c r="B774" t="inlineStr">
        <is>
          <t xml:space="preserve">Chatterbox Technologies Limite</t>
        </is>
      </c>
      <c r="C774" t="inlineStr">
        <is>
          <t xml:space="preserve">INE1B4801017</t>
        </is>
      </c>
    </row>
    <row r="775">
      <c r="A775" t="inlineStr">
        <is>
          <t xml:space="preserve">CHDCHEM</t>
        </is>
      </c>
      <c r="B775" t="inlineStr">
        <is>
          <t xml:space="preserve">CHD Chemicals Limited</t>
        </is>
      </c>
      <c r="C775" t="inlineStr">
        <is>
          <t xml:space="preserve">INE043U01010</t>
        </is>
      </c>
    </row>
    <row r="776">
      <c r="A776" t="inlineStr">
        <is>
          <t xml:space="preserve">CHEMBONDCH</t>
        </is>
      </c>
      <c r="B776" t="inlineStr">
        <is>
          <t xml:space="preserve">CHEMBOND CHEMICALS  LIMITED</t>
        </is>
      </c>
      <c r="C776" t="inlineStr">
        <is>
          <t xml:space="preserve">INE0TGX01019</t>
        </is>
      </c>
    </row>
    <row r="777">
      <c r="A777" t="inlineStr">
        <is>
          <t xml:space="preserve">CHEMBOND</t>
        </is>
      </c>
      <c r="B777" t="inlineStr">
        <is>
          <t xml:space="preserve">Chembond Material Technologies</t>
        </is>
      </c>
      <c r="C777" t="inlineStr">
        <is>
          <t xml:space="preserve">INE995D01025</t>
        </is>
      </c>
    </row>
    <row r="778">
      <c r="A778" t="inlineStr">
        <is>
          <t xml:space="preserve">CHEMCON</t>
        </is>
      </c>
      <c r="B778" t="inlineStr">
        <is>
          <t xml:space="preserve">Chemcon Speciality Chemicals L</t>
        </is>
      </c>
      <c r="C778" t="inlineStr">
        <is>
          <t xml:space="preserve">INE03YM01018</t>
        </is>
      </c>
    </row>
    <row r="779">
      <c r="A779" t="inlineStr">
        <is>
          <t xml:space="preserve">CHEMCRUX</t>
        </is>
      </c>
      <c r="B779" t="inlineStr">
        <is>
          <t xml:space="preserve">Chemcrux Enterprises Limited</t>
        </is>
      </c>
      <c r="C779" t="inlineStr">
        <is>
          <t xml:space="preserve">INE298W01016</t>
        </is>
      </c>
    </row>
    <row r="780">
      <c r="A780" t="inlineStr">
        <is>
          <t xml:space="preserve">CHEMFAB</t>
        </is>
      </c>
      <c r="B780" t="inlineStr">
        <is>
          <t xml:space="preserve">Chemfab Alkalis Ltd</t>
        </is>
      </c>
      <c r="C780" t="inlineStr">
        <is>
          <t xml:space="preserve">INE783X01023</t>
        </is>
      </c>
    </row>
    <row r="781">
      <c r="A781" t="inlineStr">
        <is>
          <t xml:space="preserve">CHEMKART</t>
        </is>
      </c>
      <c r="B781" t="inlineStr">
        <is>
          <t xml:space="preserve">Chemkart India Limited</t>
        </is>
      </c>
      <c r="C781" t="inlineStr">
        <is>
          <t xml:space="preserve">INE0VWL01017</t>
        </is>
      </c>
    </row>
    <row r="782">
      <c r="A782" t="inlineStr">
        <is>
          <t xml:space="preserve">CHEMPLASTS</t>
        </is>
      </c>
      <c r="B782" t="inlineStr">
        <is>
          <t xml:space="preserve">Chemplast Sanmar Limited</t>
        </is>
      </c>
      <c r="C782" t="inlineStr">
        <is>
          <t xml:space="preserve">INE488A01050</t>
        </is>
      </c>
    </row>
    <row r="783">
      <c r="A783" t="inlineStr">
        <is>
          <t xml:space="preserve">CHEMTECH</t>
        </is>
      </c>
      <c r="B783" t="inlineStr">
        <is>
          <t xml:space="preserve">CHEMTECH INDUSTRIAL VALVES LTD</t>
        </is>
      </c>
      <c r="C783" t="inlineStr">
        <is>
          <t xml:space="preserve">INE212P01011</t>
        </is>
      </c>
    </row>
    <row r="784">
      <c r="A784" t="inlineStr">
        <is>
          <t xml:space="preserve">CHENFERRO</t>
        </is>
      </c>
      <c r="B784" t="inlineStr">
        <is>
          <t xml:space="preserve">CHENNAI FERROUS INDUSTRIES LIM</t>
        </is>
      </c>
      <c r="C784" t="inlineStr">
        <is>
          <t xml:space="preserve">INE777O01016</t>
        </is>
      </c>
    </row>
    <row r="785">
      <c r="A785" t="inlineStr">
        <is>
          <t xml:space="preserve">CMMHOSP</t>
        </is>
      </c>
      <c r="B785" t="inlineStr">
        <is>
          <t xml:space="preserve">CHENNAI MEENAKSHI MULTISPECIAL</t>
        </is>
      </c>
      <c r="C785" t="inlineStr">
        <is>
          <t xml:space="preserve">INE889F01017</t>
        </is>
      </c>
    </row>
    <row r="786">
      <c r="A786" t="inlineStr">
        <is>
          <t xml:space="preserve">CHENNPETRO</t>
        </is>
      </c>
      <c r="B786" t="inlineStr">
        <is>
          <t xml:space="preserve">CHENNAI PETROLEUM CORPORATION</t>
        </is>
      </c>
      <c r="C786" t="inlineStr">
        <is>
          <t xml:space="preserve">INE178A01016</t>
        </is>
      </c>
    </row>
    <row r="787">
      <c r="A787" t="inlineStr">
        <is>
          <t xml:space="preserve">CHEVIOT</t>
        </is>
      </c>
      <c r="B787" t="inlineStr">
        <is>
          <t xml:space="preserve">CHEVIOT CO.LTD.</t>
        </is>
      </c>
      <c r="C787" t="inlineStr">
        <is>
          <t xml:space="preserve">INE974B01016</t>
        </is>
      </c>
    </row>
    <row r="788">
      <c r="A788" t="inlineStr">
        <is>
          <t xml:space="preserve">CHIRAHARIT</t>
        </is>
      </c>
      <c r="B788" t="inlineStr">
        <is>
          <t xml:space="preserve">Chiraharit Limited</t>
        </is>
      </c>
      <c r="C788" t="inlineStr">
        <is>
          <t xml:space="preserve">INE12P101018</t>
        </is>
      </c>
    </row>
    <row r="789">
      <c r="A789" t="inlineStr">
        <is>
          <t xml:space="preserve">CHLLTD</t>
        </is>
      </c>
      <c r="B789" t="inlineStr">
        <is>
          <t xml:space="preserve">CHL LTD.</t>
        </is>
      </c>
      <c r="C789" t="inlineStr">
        <is>
          <t xml:space="preserve">INE790D01020</t>
        </is>
      </c>
    </row>
    <row r="790">
      <c r="A790" t="inlineStr">
        <is>
          <t xml:space="preserve">CHOICEIN</t>
        </is>
      </c>
      <c r="B790" t="inlineStr">
        <is>
          <t xml:space="preserve">CHOICE INTERNATIONAL LTD.</t>
        </is>
      </c>
      <c r="C790" t="inlineStr">
        <is>
          <t xml:space="preserve">INE102B01014</t>
        </is>
      </c>
    </row>
    <row r="791">
      <c r="A791" t="inlineStr">
        <is>
          <t xml:space="preserve">CHOKSI</t>
        </is>
      </c>
      <c r="B791" t="inlineStr">
        <is>
          <t xml:space="preserve">CHOKSI ASIA LIMITED</t>
        </is>
      </c>
      <c r="C791" t="inlineStr">
        <is>
          <t xml:space="preserve">INE865B01016</t>
        </is>
      </c>
    </row>
    <row r="792">
      <c r="A792" t="inlineStr">
        <is>
          <t xml:space="preserve">CHOKSILA</t>
        </is>
      </c>
      <c r="B792" t="inlineStr">
        <is>
          <t xml:space="preserve">CHOKSI LABORATORIES LTD.</t>
        </is>
      </c>
      <c r="C792" t="inlineStr">
        <is>
          <t xml:space="preserve">INE493D01013</t>
        </is>
      </c>
    </row>
    <row r="793">
      <c r="A793" t="inlineStr">
        <is>
          <t xml:space="preserve">CHOLAHLDNG</t>
        </is>
      </c>
      <c r="B793" t="inlineStr">
        <is>
          <t xml:space="preserve">CHOLAMANDALAM FINANCIAL HOLDIN</t>
        </is>
      </c>
      <c r="C793" t="inlineStr">
        <is>
          <t xml:space="preserve">INE149A01033</t>
        </is>
      </c>
    </row>
    <row r="794">
      <c r="A794" t="inlineStr">
        <is>
          <t xml:space="preserve">CHOLAFIN</t>
        </is>
      </c>
      <c r="B794" t="inlineStr">
        <is>
          <t xml:space="preserve">CHOLAMANDALAM INVESTMENT AND F</t>
        </is>
      </c>
      <c r="C794" t="inlineStr">
        <is>
          <t xml:space="preserve">INE121A01024</t>
        </is>
      </c>
    </row>
    <row r="795">
      <c r="A795" t="inlineStr">
        <is>
          <t xml:space="preserve">CHORDIA</t>
        </is>
      </c>
      <c r="B795" t="inlineStr">
        <is>
          <t xml:space="preserve">CHORDIA FOOD PRODUCTS LTD.</t>
        </is>
      </c>
      <c r="C795" t="inlineStr">
        <is>
          <t xml:space="preserve">INE975C01011</t>
        </is>
      </c>
    </row>
    <row r="796">
      <c r="A796" t="inlineStr">
        <is>
          <t xml:space="preserve">CHOTHANI</t>
        </is>
      </c>
      <c r="B796" t="inlineStr">
        <is>
          <t xml:space="preserve">CHOTHANI FOODS LIMITED</t>
        </is>
      </c>
      <c r="C796" t="inlineStr">
        <is>
          <t xml:space="preserve">INE344X01016</t>
        </is>
      </c>
    </row>
    <row r="797">
      <c r="A797" t="inlineStr">
        <is>
          <t xml:space="preserve">CHOWGULSTM</t>
        </is>
      </c>
      <c r="B797" t="inlineStr">
        <is>
          <t xml:space="preserve">CHOWGULE STEAMSHIPS LTD.</t>
        </is>
      </c>
      <c r="C797" t="inlineStr">
        <is>
          <t xml:space="preserve">INE490A01015</t>
        </is>
      </c>
    </row>
    <row r="798">
      <c r="A798" t="inlineStr">
        <is>
          <t xml:space="preserve">CHROME</t>
        </is>
      </c>
      <c r="B798" t="inlineStr">
        <is>
          <t xml:space="preserve">Chrome Silicon Limited</t>
        </is>
      </c>
      <c r="C798" t="inlineStr">
        <is>
          <t xml:space="preserve">INE114E01013</t>
        </is>
      </c>
    </row>
    <row r="799">
      <c r="A799" t="inlineStr">
        <is>
          <t xml:space="preserve">CIANAGRO</t>
        </is>
      </c>
      <c r="B799" t="inlineStr">
        <is>
          <t xml:space="preserve">CIAN Agro Ind &amp; Infra Ltd</t>
        </is>
      </c>
      <c r="C799" t="inlineStr">
        <is>
          <t xml:space="preserve">INE052V01019</t>
        </is>
      </c>
    </row>
    <row r="800">
      <c r="A800" t="inlineStr">
        <is>
          <t xml:space="preserve">CHCL</t>
        </is>
      </c>
      <c r="B800" t="inlineStr">
        <is>
          <t xml:space="preserve">Cian Healthcare Limited</t>
        </is>
      </c>
      <c r="C800" t="inlineStr">
        <is>
          <t xml:space="preserve">INE05BN01027</t>
        </is>
      </c>
    </row>
    <row r="801">
      <c r="A801" t="inlineStr">
        <is>
          <t xml:space="preserve">CIEINDIA</t>
        </is>
      </c>
      <c r="B801" t="inlineStr">
        <is>
          <t xml:space="preserve">CIE Automotive India Limited</t>
        </is>
      </c>
      <c r="C801" t="inlineStr">
        <is>
          <t xml:space="preserve">INE536H01010</t>
        </is>
      </c>
    </row>
    <row r="802">
      <c r="A802" t="inlineStr">
        <is>
          <t xml:space="preserve">1088CIFPER</t>
        </is>
      </c>
      <c r="B802" t="inlineStr">
        <is>
          <t xml:space="preserve">CIFCL-10.88%-PERPETUAL-PVT</t>
        </is>
      </c>
      <c r="C802" t="inlineStr">
        <is>
          <t xml:space="preserve">INE121A08OI5</t>
        </is>
      </c>
    </row>
    <row r="803">
      <c r="A803" t="inlineStr">
        <is>
          <t xml:space="preserve">CILSEC</t>
        </is>
      </c>
      <c r="B803" t="inlineStr">
        <is>
          <t xml:space="preserve">CIL SECURITIES LIMITED</t>
        </is>
      </c>
      <c r="C803" t="inlineStr">
        <is>
          <t xml:space="preserve">INE830A01012</t>
        </is>
      </c>
    </row>
    <row r="804">
      <c r="A804" t="inlineStr">
        <is>
          <t xml:space="preserve">CINDRELL</t>
        </is>
      </c>
      <c r="B804" t="inlineStr">
        <is>
          <t xml:space="preserve">CINDRELLA FINANCIAL SERVICES L</t>
        </is>
      </c>
      <c r="C804" t="inlineStr">
        <is>
          <t xml:space="preserve">INE897D01015</t>
        </is>
      </c>
    </row>
    <row r="805">
      <c r="A805" t="inlineStr">
        <is>
          <t xml:space="preserve">CINDHO</t>
        </is>
      </c>
      <c r="B805" t="inlineStr">
        <is>
          <t xml:space="preserve">CINDRELLA HOTELS LTD.</t>
        </is>
      </c>
      <c r="C805" t="inlineStr">
        <is>
          <t xml:space="preserve">INE908C01012</t>
        </is>
      </c>
    </row>
    <row r="806">
      <c r="A806" t="inlineStr">
        <is>
          <t xml:space="preserve">CINELINE</t>
        </is>
      </c>
      <c r="B806" t="inlineStr">
        <is>
          <t xml:space="preserve">CINELINE INDIA LIMITED</t>
        </is>
      </c>
      <c r="C806" t="inlineStr">
        <is>
          <t xml:space="preserve">INE704H01022</t>
        </is>
      </c>
    </row>
    <row r="807">
      <c r="A807" t="inlineStr">
        <is>
          <t xml:space="preserve">CINEVISTA</t>
        </is>
      </c>
      <c r="B807" t="inlineStr">
        <is>
          <t xml:space="preserve">CINEVISTA LTD.</t>
        </is>
      </c>
      <c r="C807" t="inlineStr">
        <is>
          <t xml:space="preserve">INE039B01026</t>
        </is>
      </c>
    </row>
    <row r="808">
      <c r="A808" t="inlineStr">
        <is>
          <t xml:space="preserve">CIPLA</t>
        </is>
      </c>
      <c r="B808" t="inlineStr">
        <is>
          <t xml:space="preserve">CIPLA LTD.</t>
        </is>
      </c>
      <c r="C808" t="inlineStr">
        <is>
          <t xml:space="preserve">INE059A01026</t>
        </is>
      </c>
    </row>
    <row r="809">
      <c r="A809" t="inlineStr">
        <is>
          <t xml:space="preserve">CITADEL</t>
        </is>
      </c>
      <c r="B809" t="inlineStr">
        <is>
          <t xml:space="preserve">CITADEL REALTY AND DEVELOPERS</t>
        </is>
      </c>
      <c r="C809" t="inlineStr">
        <is>
          <t xml:space="preserve">INE906D01014</t>
        </is>
      </c>
    </row>
    <row r="810">
      <c r="A810" t="inlineStr">
        <is>
          <t xml:space="preserve">CITIPOR</t>
        </is>
      </c>
      <c r="B810" t="inlineStr">
        <is>
          <t xml:space="preserve">CITIPORT FINANCIAL SERVICES LT</t>
        </is>
      </c>
      <c r="C810" t="inlineStr">
        <is>
          <t xml:space="preserve">INE494D01011</t>
        </is>
      </c>
    </row>
    <row r="811">
      <c r="A811" t="inlineStr">
        <is>
          <t xml:space="preserve">CITIUSINVT</t>
        </is>
      </c>
      <c r="B811" t="inlineStr">
        <is>
          <t xml:space="preserve">Citius TransNet Investment Tru</t>
        </is>
      </c>
      <c r="C811" t="inlineStr">
        <is>
          <t xml:space="preserve">INE2Q7823014</t>
        </is>
      </c>
    </row>
    <row r="812">
      <c r="A812" t="inlineStr">
        <is>
          <t xml:space="preserve">CITIZEN</t>
        </is>
      </c>
      <c r="B812" t="inlineStr">
        <is>
          <t xml:space="preserve">Citizen Solar Limited</t>
        </is>
      </c>
      <c r="C812" t="inlineStr">
        <is>
          <t xml:space="preserve">INE473L01018</t>
        </is>
      </c>
    </row>
    <row r="813">
      <c r="A813" t="inlineStr">
        <is>
          <t xml:space="preserve">CPML</t>
        </is>
      </c>
      <c r="B813" t="inlineStr">
        <is>
          <t xml:space="preserve">CITY PULSE MULTIVENTURES LIMIT</t>
        </is>
      </c>
      <c r="C813" t="inlineStr">
        <is>
          <t xml:space="preserve">INE056001014</t>
        </is>
      </c>
    </row>
    <row r="814">
      <c r="A814" t="inlineStr">
        <is>
          <t xml:space="preserve">CUB</t>
        </is>
      </c>
      <c r="B814" t="inlineStr">
        <is>
          <t xml:space="preserve">CITY UNION BANK LIMITED</t>
        </is>
      </c>
      <c r="C814" t="inlineStr">
        <is>
          <t xml:space="preserve">INE491A01021</t>
        </is>
      </c>
    </row>
    <row r="815">
      <c r="A815" t="inlineStr">
        <is>
          <t xml:space="preserve">CITYMAN</t>
        </is>
      </c>
      <c r="B815" t="inlineStr">
        <is>
          <t xml:space="preserve">CITYMAN LTD.</t>
        </is>
      </c>
      <c r="C815" t="inlineStr">
        <is>
          <t xml:space="preserve">INE117C01010</t>
        </is>
      </c>
    </row>
    <row r="816">
      <c r="A816" t="inlineStr">
        <is>
          <t xml:space="preserve">CLEDUCATE</t>
        </is>
      </c>
      <c r="B816" t="inlineStr">
        <is>
          <t xml:space="preserve">CL Educate Limited</t>
        </is>
      </c>
      <c r="C816" t="inlineStr">
        <is>
          <t xml:space="preserve">INE201M01029</t>
        </is>
      </c>
    </row>
    <row r="817">
      <c r="A817" t="inlineStr">
        <is>
          <t xml:space="preserve">CLFL</t>
        </is>
      </c>
      <c r="B817" t="inlineStr">
        <is>
          <t xml:space="preserve">Classic Leasing &amp; Finance Ltd.</t>
        </is>
      </c>
      <c r="C817" t="inlineStr">
        <is>
          <t xml:space="preserve">INE949C01016</t>
        </is>
      </c>
    </row>
    <row r="818">
      <c r="A818" t="inlineStr">
        <is>
          <t xml:space="preserve">CLEANMAX</t>
        </is>
      </c>
      <c r="B818" t="inlineStr">
        <is>
          <t xml:space="preserve">Clean Max Enviro Energy Soluti</t>
        </is>
      </c>
      <c r="C818" t="inlineStr">
        <is>
          <t xml:space="preserve">INE647U01026</t>
        </is>
      </c>
    </row>
    <row r="819">
      <c r="A819" t="inlineStr">
        <is>
          <t xml:space="preserve">CLEAN</t>
        </is>
      </c>
      <c r="B819" t="inlineStr">
        <is>
          <t xml:space="preserve">Clean Science and Technology L</t>
        </is>
      </c>
      <c r="C819" t="inlineStr">
        <is>
          <t xml:space="preserve">INE227W01023</t>
        </is>
      </c>
    </row>
    <row r="820">
      <c r="A820" t="inlineStr">
        <is>
          <t xml:space="preserve">CLENON</t>
        </is>
      </c>
      <c r="B820" t="inlineStr">
        <is>
          <t xml:space="preserve">CLENON ENTERPRISES LIMITED</t>
        </is>
      </c>
      <c r="C820" t="inlineStr">
        <is>
          <t xml:space="preserve">INE769B01028</t>
        </is>
      </c>
    </row>
    <row r="821">
      <c r="A821" t="inlineStr">
        <is>
          <t xml:space="preserve">CTLLAB</t>
        </is>
      </c>
      <c r="B821" t="inlineStr">
        <is>
          <t xml:space="preserve">Clinitech Laboratory Limited</t>
        </is>
      </c>
      <c r="C821" t="inlineStr">
        <is>
          <t xml:space="preserve">INE0QMR01015</t>
        </is>
      </c>
    </row>
    <row r="822">
      <c r="A822" t="inlineStr">
        <is>
          <t xml:space="preserve">CLIOINFO</t>
        </is>
      </c>
      <c r="B822" t="inlineStr">
        <is>
          <t xml:space="preserve">CLIO INFOTECH LTD.</t>
        </is>
      </c>
      <c r="C822" t="inlineStr">
        <is>
          <t xml:space="preserve">INE011B01017</t>
        </is>
      </c>
    </row>
    <row r="823">
      <c r="A823" t="inlineStr">
        <is>
          <t xml:space="preserve">CLN</t>
        </is>
      </c>
      <c r="B823" t="inlineStr">
        <is>
          <t xml:space="preserve">CLN ENERGY LIMITED</t>
        </is>
      </c>
      <c r="C823" t="inlineStr">
        <is>
          <t xml:space="preserve">INE0WDX01010</t>
        </is>
      </c>
    </row>
    <row r="824">
      <c r="A824" t="inlineStr">
        <is>
          <t xml:space="preserve">CMRGREEN</t>
        </is>
      </c>
      <c r="B824" t="inlineStr">
        <is>
          <t xml:space="preserve">CMR Green Technologies Limited</t>
        </is>
      </c>
      <c r="C824" t="inlineStr">
        <is>
          <t xml:space="preserve">INE00WV01027</t>
        </is>
      </c>
    </row>
    <row r="825">
      <c r="A825" t="inlineStr">
        <is>
          <t xml:space="preserve">CMSINFO</t>
        </is>
      </c>
      <c r="B825" t="inlineStr">
        <is>
          <t xml:space="preserve">CMS Info Systems Limited</t>
        </is>
      </c>
      <c r="C825" t="inlineStr">
        <is>
          <t xml:space="preserve">INE925R01014</t>
        </is>
      </c>
    </row>
    <row r="826">
      <c r="A826" t="inlineStr">
        <is>
          <t xml:space="preserve">CMXLTD</t>
        </is>
      </c>
      <c r="B826" t="inlineStr">
        <is>
          <t xml:space="preserve">CMX HOLDINGS LIMITED</t>
        </is>
      </c>
      <c r="C826" t="inlineStr">
        <is>
          <t xml:space="preserve">INE027F01014</t>
        </is>
      </c>
    </row>
    <row r="827">
      <c r="A827" t="inlineStr">
        <is>
          <t xml:space="preserve">COALINDIA</t>
        </is>
      </c>
      <c r="B827" t="inlineStr">
        <is>
          <t xml:space="preserve">COAL INDIA LTD.</t>
        </is>
      </c>
      <c r="C827" t="inlineStr">
        <is>
          <t xml:space="preserve">INE522F01014</t>
        </is>
      </c>
    </row>
    <row r="828">
      <c r="A828" t="inlineStr">
        <is>
          <t xml:space="preserve">COASTCORP</t>
        </is>
      </c>
      <c r="B828" t="inlineStr">
        <is>
          <t xml:space="preserve">COASTAL CORPORATION LTD.</t>
        </is>
      </c>
      <c r="C828" t="inlineStr">
        <is>
          <t xml:space="preserve">INE377E01024</t>
        </is>
      </c>
    </row>
    <row r="829">
      <c r="A829" t="inlineStr">
        <is>
          <t xml:space="preserve">COCHMAL</t>
        </is>
      </c>
      <c r="B829" t="inlineStr">
        <is>
          <t xml:space="preserve">COCHIN MALABAR ESTATES &amp; INDUS</t>
        </is>
      </c>
      <c r="C829" t="inlineStr">
        <is>
          <t xml:space="preserve">INE788M01017</t>
        </is>
      </c>
    </row>
    <row r="830">
      <c r="A830" t="inlineStr">
        <is>
          <t xml:space="preserve">COCHINM</t>
        </is>
      </c>
      <c r="B830" t="inlineStr">
        <is>
          <t xml:space="preserve">COCHIN MINERALS &amp; RUTILE LTD.</t>
        </is>
      </c>
      <c r="C830" t="inlineStr">
        <is>
          <t xml:space="preserve">INE105D01013</t>
        </is>
      </c>
    </row>
    <row r="831">
      <c r="A831" t="inlineStr">
        <is>
          <t xml:space="preserve">COCHINSHIP</t>
        </is>
      </c>
      <c r="B831" t="inlineStr">
        <is>
          <t xml:space="preserve">Cochin Shipyard Limited</t>
        </is>
      </c>
      <c r="C831" t="inlineStr">
        <is>
          <t xml:space="preserve">INE704P01025</t>
        </is>
      </c>
    </row>
    <row r="832">
      <c r="A832" t="inlineStr">
        <is>
          <t xml:space="preserve">COFFEEDAY</t>
        </is>
      </c>
      <c r="B832" t="inlineStr">
        <is>
          <t xml:space="preserve">Coffee Day Enterprises Limited</t>
        </is>
      </c>
      <c r="C832" t="inlineStr">
        <is>
          <t xml:space="preserve">INE335K01011</t>
        </is>
      </c>
    </row>
    <row r="833">
      <c r="A833" t="inlineStr">
        <is>
          <t xml:space="preserve">COFORGE</t>
        </is>
      </c>
      <c r="B833" t="inlineStr">
        <is>
          <t xml:space="preserve">COFORGE LIMITED</t>
        </is>
      </c>
      <c r="C833" t="inlineStr">
        <is>
          <t xml:space="preserve">INE591G01025</t>
        </is>
      </c>
    </row>
    <row r="834">
      <c r="A834" t="inlineStr">
        <is>
          <t xml:space="preserve">COHANCE</t>
        </is>
      </c>
      <c r="B834" t="inlineStr">
        <is>
          <t xml:space="preserve">Cohance Lifesciences Limited</t>
        </is>
      </c>
      <c r="C834" t="inlineStr">
        <is>
          <t xml:space="preserve">INE03QK01018</t>
        </is>
      </c>
    </row>
    <row r="835">
      <c r="A835" t="inlineStr">
        <is>
          <t xml:space="preserve">COLPAL</t>
        </is>
      </c>
      <c r="B835" t="inlineStr">
        <is>
          <t xml:space="preserve">COLGATE-PALMOLIVE (INDIA) LTD.</t>
        </is>
      </c>
      <c r="C835" t="inlineStr">
        <is>
          <t xml:space="preserve">INE259A01022</t>
        </is>
      </c>
    </row>
    <row r="836">
      <c r="A836" t="inlineStr">
        <is>
          <t xml:space="preserve">COLINZ</t>
        </is>
      </c>
      <c r="B836" t="inlineStr">
        <is>
          <t xml:space="preserve">COLINZ LABORATORIES LTD.</t>
        </is>
      </c>
      <c r="C836" t="inlineStr">
        <is>
          <t xml:space="preserve">INE923C01011</t>
        </is>
      </c>
    </row>
    <row r="837">
      <c r="A837" t="inlineStr">
        <is>
          <t xml:space="preserve">COLORCHIPS</t>
        </is>
      </c>
      <c r="B837" t="inlineStr">
        <is>
          <t xml:space="preserve">COLORCHIPS NEW MEDIA LIMITED</t>
        </is>
      </c>
      <c r="C837" t="inlineStr">
        <is>
          <t xml:space="preserve">INE621I01042</t>
        </is>
      </c>
    </row>
    <row r="838">
      <c r="A838" t="inlineStr">
        <is>
          <t xml:space="preserve">COMFINCAP</t>
        </is>
      </c>
      <c r="B838" t="inlineStr">
        <is>
          <t xml:space="preserve">COMFORT FINCAP LTD.</t>
        </is>
      </c>
      <c r="C838" t="inlineStr">
        <is>
          <t xml:space="preserve">INE274M01026</t>
        </is>
      </c>
    </row>
    <row r="839">
      <c r="A839" t="inlineStr">
        <is>
          <t xml:space="preserve">COMFINTE</t>
        </is>
      </c>
      <c r="B839" t="inlineStr">
        <is>
          <t xml:space="preserve">COMFORT INTECH LTD.</t>
        </is>
      </c>
      <c r="C839" t="inlineStr">
        <is>
          <t xml:space="preserve">INE819A01049</t>
        </is>
      </c>
    </row>
    <row r="840">
      <c r="A840" t="inlineStr">
        <is>
          <t xml:space="preserve">COMSYN</t>
        </is>
      </c>
      <c r="B840" t="inlineStr">
        <is>
          <t xml:space="preserve">Commercial Syn Bags Limited</t>
        </is>
      </c>
      <c r="C840" t="inlineStr">
        <is>
          <t xml:space="preserve">INE073V01015</t>
        </is>
      </c>
    </row>
    <row r="841">
      <c r="A841" t="inlineStr">
        <is>
          <t xml:space="preserve">COMPEAU</t>
        </is>
      </c>
      <c r="B841" t="inlineStr">
        <is>
          <t xml:space="preserve">COMPETENT AUTOMOBILES CO.LTD.</t>
        </is>
      </c>
      <c r="C841" t="inlineStr">
        <is>
          <t xml:space="preserve">INE823B01015</t>
        </is>
      </c>
    </row>
    <row r="842">
      <c r="A842" t="inlineStr">
        <is>
          <t xml:space="preserve">COMPINFO</t>
        </is>
      </c>
      <c r="B842" t="inlineStr">
        <is>
          <t xml:space="preserve">COMPUAGE INFOCOM LTD.</t>
        </is>
      </c>
      <c r="C842" t="inlineStr">
        <is>
          <t xml:space="preserve">INE070C01037</t>
        </is>
      </c>
    </row>
    <row r="843">
      <c r="A843" t="inlineStr">
        <is>
          <t xml:space="preserve">COMPUSOFT</t>
        </is>
      </c>
      <c r="B843" t="inlineStr">
        <is>
          <t xml:space="preserve">COMPUCOM SOFTWARE LTD.</t>
        </is>
      </c>
      <c r="C843" t="inlineStr">
        <is>
          <t xml:space="preserve">INE453B01029</t>
        </is>
      </c>
    </row>
    <row r="844">
      <c r="A844" t="inlineStr">
        <is>
          <t xml:space="preserve">CAMS</t>
        </is>
      </c>
      <c r="B844" t="inlineStr">
        <is>
          <t xml:space="preserve">Computer Age Management Servic</t>
        </is>
      </c>
      <c r="C844" t="inlineStr">
        <is>
          <t xml:space="preserve">INE596I01020</t>
        </is>
      </c>
    </row>
    <row r="845">
      <c r="A845" t="inlineStr">
        <is>
          <t xml:space="preserve">COMPUPN</t>
        </is>
      </c>
      <c r="B845" t="inlineStr">
        <is>
          <t xml:space="preserve">COMPUTER POINT LTD.</t>
        </is>
      </c>
      <c r="C845" t="inlineStr">
        <is>
          <t xml:space="preserve">INE607B01012</t>
        </is>
      </c>
    </row>
    <row r="846">
      <c r="A846" t="inlineStr">
        <is>
          <t xml:space="preserve">COMRADE</t>
        </is>
      </c>
      <c r="B846" t="inlineStr">
        <is>
          <t xml:space="preserve">Comrade Appliances Limited</t>
        </is>
      </c>
      <c r="C846" t="inlineStr">
        <is>
          <t xml:space="preserve">INE0NXA01015</t>
        </is>
      </c>
    </row>
    <row r="847">
      <c r="A847" t="inlineStr">
        <is>
          <t xml:space="preserve">CONART</t>
        </is>
      </c>
      <c r="B847" t="inlineStr">
        <is>
          <t xml:space="preserve">CONART ENGINEERS LTD.</t>
        </is>
      </c>
      <c r="C847" t="inlineStr">
        <is>
          <t xml:space="preserve">INE714D01020</t>
        </is>
      </c>
    </row>
    <row r="848">
      <c r="A848" t="inlineStr">
        <is>
          <t xml:space="preserve">CONCORDBIO</t>
        </is>
      </c>
      <c r="B848" t="inlineStr">
        <is>
          <t xml:space="preserve">Concord Biotech Limited</t>
        </is>
      </c>
      <c r="C848" t="inlineStr">
        <is>
          <t xml:space="preserve">INE338H01029</t>
        </is>
      </c>
    </row>
    <row r="849">
      <c r="A849" t="inlineStr">
        <is>
          <t xml:space="preserve">CNCRD</t>
        </is>
      </c>
      <c r="B849" t="inlineStr">
        <is>
          <t xml:space="preserve">Concord Control Systems Limite</t>
        </is>
      </c>
      <c r="C849" t="inlineStr">
        <is>
          <t xml:space="preserve">INE0N0J01014</t>
        </is>
      </c>
    </row>
    <row r="850">
      <c r="A850" t="inlineStr">
        <is>
          <t xml:space="preserve">CONCORD</t>
        </is>
      </c>
      <c r="B850" t="inlineStr">
        <is>
          <t xml:space="preserve">Concord Drugs Limited</t>
        </is>
      </c>
      <c r="C850" t="inlineStr">
        <is>
          <t xml:space="preserve">INE858L01010</t>
        </is>
      </c>
    </row>
    <row r="851">
      <c r="A851" t="inlineStr">
        <is>
          <t xml:space="preserve">CEWATER</t>
        </is>
      </c>
      <c r="B851" t="inlineStr">
        <is>
          <t xml:space="preserve">Concord Enviro Systems Limited</t>
        </is>
      </c>
      <c r="C851" t="inlineStr">
        <is>
          <t xml:space="preserve">INE037Z01029</t>
        </is>
      </c>
    </row>
    <row r="852">
      <c r="A852" t="inlineStr">
        <is>
          <t xml:space="preserve">CFEL</t>
        </is>
      </c>
      <c r="B852" t="inlineStr">
        <is>
          <t xml:space="preserve">CONFIDENCE FUTURISTIC ENERGETE</t>
        </is>
      </c>
      <c r="C852" t="inlineStr">
        <is>
          <t xml:space="preserve">INE700F01024</t>
        </is>
      </c>
    </row>
    <row r="853">
      <c r="A853" t="inlineStr">
        <is>
          <t xml:space="preserve">CONFIPET</t>
        </is>
      </c>
      <c r="B853" t="inlineStr">
        <is>
          <t xml:space="preserve">CONFIDENCE PETROLEUM INDIA LTD</t>
        </is>
      </c>
      <c r="C853" t="inlineStr">
        <is>
          <t xml:space="preserve">INE552D01024</t>
        </is>
      </c>
    </row>
    <row r="854">
      <c r="A854" t="inlineStr">
        <is>
          <t xml:space="preserve">CCDL</t>
        </is>
      </c>
      <c r="B854" t="inlineStr">
        <is>
          <t xml:space="preserve">Consecutive Commodities Limite (CCDL)</t>
        </is>
      </c>
      <c r="C854" t="inlineStr">
        <is>
          <t xml:space="preserve">INE187R01029</t>
        </is>
      </c>
    </row>
    <row r="855">
      <c r="A855" t="inlineStr">
        <is>
          <t xml:space="preserve">CCDL-RE</t>
        </is>
      </c>
      <c r="B855" t="inlineStr">
        <is>
          <t xml:space="preserve">Consecutive Commodities Limite (CCDL-RE)</t>
        </is>
      </c>
      <c r="C855" t="inlineStr">
        <is>
          <t xml:space="preserve">INE187R20011</t>
        </is>
      </c>
    </row>
    <row r="856">
      <c r="A856" t="inlineStr">
        <is>
          <t xml:space="preserve">CCCL</t>
        </is>
      </c>
      <c r="B856" t="inlineStr">
        <is>
          <t xml:space="preserve">CONSOLIDATED CONSTRUCTION CONS</t>
        </is>
      </c>
      <c r="C856" t="inlineStr">
        <is>
          <t xml:space="preserve">INE429I01024</t>
        </is>
      </c>
    </row>
    <row r="857">
      <c r="A857" t="inlineStr">
        <is>
          <t xml:space="preserve">CONSTRONIC</t>
        </is>
      </c>
      <c r="B857" t="inlineStr">
        <is>
          <t xml:space="preserve">CONSTRONICS INFRA LIMITED</t>
        </is>
      </c>
      <c r="C857" t="inlineStr">
        <is>
          <t xml:space="preserve">INE537B01011</t>
        </is>
      </c>
    </row>
    <row r="858">
      <c r="A858" t="inlineStr">
        <is>
          <t xml:space="preserve">CONTAINE</t>
        </is>
      </c>
      <c r="B858" t="inlineStr">
        <is>
          <t xml:space="preserve">CONTAINE TECHNOLOGIES LIMITED</t>
        </is>
      </c>
      <c r="C858" t="inlineStr">
        <is>
          <t xml:space="preserve">INE0M8901010</t>
        </is>
      </c>
    </row>
    <row r="859">
      <c r="A859" t="inlineStr">
        <is>
          <t xml:space="preserve">CONCOR</t>
        </is>
      </c>
      <c r="B859" t="inlineStr">
        <is>
          <t xml:space="preserve">CONTAINER CORPORATION OF INDIA</t>
        </is>
      </c>
      <c r="C859" t="inlineStr">
        <is>
          <t xml:space="preserve">INE111A01025</t>
        </is>
      </c>
    </row>
    <row r="860">
      <c r="A860" t="inlineStr">
        <is>
          <t xml:space="preserve">CONTAINER</t>
        </is>
      </c>
      <c r="B860" t="inlineStr">
        <is>
          <t xml:space="preserve">Containerway International Lim</t>
        </is>
      </c>
      <c r="C860" t="inlineStr">
        <is>
          <t xml:space="preserve">INE319U01022</t>
        </is>
      </c>
    </row>
    <row r="861">
      <c r="A861" t="inlineStr">
        <is>
          <t xml:space="preserve">CONTILI</t>
        </is>
      </c>
      <c r="B861" t="inlineStr">
        <is>
          <t xml:space="preserve">CONTIL INDIA LTD.</t>
        </is>
      </c>
      <c r="C861" t="inlineStr">
        <is>
          <t xml:space="preserve">INE080G01029</t>
        </is>
      </c>
    </row>
    <row r="862">
      <c r="A862" t="inlineStr">
        <is>
          <t xml:space="preserve">CONTICON</t>
        </is>
      </c>
      <c r="B862" t="inlineStr">
        <is>
          <t xml:space="preserve">CONTINENTAL CONTROLS LTD.</t>
        </is>
      </c>
      <c r="C862" t="inlineStr">
        <is>
          <t xml:space="preserve">INE545B01022</t>
        </is>
      </c>
    </row>
    <row r="863">
      <c r="A863" t="inlineStr">
        <is>
          <t xml:space="preserve">CONTPTR</t>
        </is>
      </c>
      <c r="B863" t="inlineStr">
        <is>
          <t xml:space="preserve">CONTINENTAL PETROLEUMS LTD.</t>
        </is>
      </c>
      <c r="C863" t="inlineStr">
        <is>
          <t xml:space="preserve">INE369D01023</t>
        </is>
      </c>
    </row>
    <row r="864">
      <c r="A864" t="inlineStr">
        <is>
          <t xml:space="preserve">CSL</t>
        </is>
      </c>
      <c r="B864" t="inlineStr">
        <is>
          <t xml:space="preserve">Continental Securities Limited</t>
        </is>
      </c>
      <c r="C864" t="inlineStr">
        <is>
          <t xml:space="preserve">INE183Q01020</t>
        </is>
      </c>
    </row>
    <row r="865">
      <c r="A865" t="inlineStr">
        <is>
          <t xml:space="preserve">CONTROLPR</t>
        </is>
      </c>
      <c r="B865" t="inlineStr">
        <is>
          <t xml:space="preserve">CONTROL PRINT LIMITED</t>
        </is>
      </c>
      <c r="C865" t="inlineStr">
        <is>
          <t xml:space="preserve">INE663B01015</t>
        </is>
      </c>
    </row>
    <row r="866">
      <c r="A866" t="inlineStr">
        <is>
          <t xml:space="preserve">CORALFINAC</t>
        </is>
      </c>
      <c r="B866" t="inlineStr">
        <is>
          <t xml:space="preserve">CORAL INDIA FINANCE &amp; HOUSING</t>
        </is>
      </c>
      <c r="C866" t="inlineStr">
        <is>
          <t xml:space="preserve">INE558D01021</t>
        </is>
      </c>
    </row>
    <row r="867">
      <c r="A867" t="inlineStr">
        <is>
          <t xml:space="preserve">CORALAB</t>
        </is>
      </c>
      <c r="B867" t="inlineStr">
        <is>
          <t xml:space="preserve">CORAL LABORATORIES LTD.</t>
        </is>
      </c>
      <c r="C867" t="inlineStr">
        <is>
          <t xml:space="preserve">INE683E01017</t>
        </is>
      </c>
    </row>
    <row r="868">
      <c r="A868" t="inlineStr">
        <is>
          <t xml:space="preserve">CORNE</t>
        </is>
      </c>
      <c r="B868" t="inlineStr">
        <is>
          <t xml:space="preserve">CORAL NEWSPRINTS LTD.</t>
        </is>
      </c>
      <c r="C868" t="inlineStr">
        <is>
          <t xml:space="preserve">INE715D01019</t>
        </is>
      </c>
    </row>
    <row r="869">
      <c r="A869" t="inlineStr">
        <is>
          <t xml:space="preserve">CORDSCABLE</t>
        </is>
      </c>
      <c r="B869" t="inlineStr">
        <is>
          <t xml:space="preserve">CORDS CABLE INDUSTRIES LTD.</t>
        </is>
      </c>
      <c r="C869" t="inlineStr">
        <is>
          <t xml:space="preserve">INE792I01017</t>
        </is>
      </c>
    </row>
    <row r="870">
      <c r="A870" t="inlineStr">
        <is>
          <t xml:space="preserve">COROENGG</t>
        </is>
      </c>
      <c r="B870" t="inlineStr">
        <is>
          <t xml:space="preserve">COROMANDEL ENGINEERING COMPANY</t>
        </is>
      </c>
      <c r="C870" t="inlineStr">
        <is>
          <t xml:space="preserve">INE312J01012</t>
        </is>
      </c>
    </row>
    <row r="871">
      <c r="A871" t="inlineStr">
        <is>
          <t xml:space="preserve">COROMANDEL</t>
        </is>
      </c>
      <c r="B871" t="inlineStr">
        <is>
          <t xml:space="preserve">COROMANDEL INTERNATIONAL LTD.</t>
        </is>
      </c>
      <c r="C871" t="inlineStr">
        <is>
          <t xml:space="preserve">INE169A01031</t>
        </is>
      </c>
    </row>
    <row r="872">
      <c r="A872" t="inlineStr">
        <is>
          <t xml:space="preserve">CORONA</t>
        </is>
      </c>
      <c r="B872" t="inlineStr">
        <is>
          <t xml:space="preserve">Corona Remedies Limited</t>
        </is>
      </c>
      <c r="C872" t="inlineStr">
        <is>
          <t xml:space="preserve">INE02ZQ01018</t>
        </is>
      </c>
    </row>
    <row r="873">
      <c r="A873" t="inlineStr">
        <is>
          <t xml:space="preserve">CMBL</t>
        </is>
      </c>
      <c r="B873" t="inlineStr">
        <is>
          <t xml:space="preserve">Corporate Merchant Bankers Lim</t>
        </is>
      </c>
      <c r="C873" t="inlineStr">
        <is>
          <t xml:space="preserve">INE850R01014</t>
        </is>
      </c>
    </row>
    <row r="874">
      <c r="A874" t="inlineStr">
        <is>
          <t xml:space="preserve">COSCO</t>
        </is>
      </c>
      <c r="B874" t="inlineStr">
        <is>
          <t xml:space="preserve">COSCO (INDIA) LTD.</t>
        </is>
      </c>
      <c r="C874" t="inlineStr">
        <is>
          <t xml:space="preserve">INE949B01018</t>
        </is>
      </c>
    </row>
    <row r="875">
      <c r="A875" t="inlineStr">
        <is>
          <t xml:space="preserve">COSMICCRF</t>
        </is>
      </c>
      <c r="B875" t="inlineStr">
        <is>
          <t xml:space="preserve">Cosmic CRF Limited</t>
        </is>
      </c>
      <c r="C875" t="inlineStr">
        <is>
          <t xml:space="preserve">INE0ORA01015</t>
        </is>
      </c>
    </row>
    <row r="876">
      <c r="A876" t="inlineStr">
        <is>
          <t xml:space="preserve">COSMOFE</t>
        </is>
      </c>
      <c r="B876" t="inlineStr">
        <is>
          <t xml:space="preserve">COSMO FERRITES LTD.</t>
        </is>
      </c>
      <c r="C876" t="inlineStr">
        <is>
          <t xml:space="preserve">INE124B01018</t>
        </is>
      </c>
    </row>
    <row r="877">
      <c r="A877" t="inlineStr">
        <is>
          <t xml:space="preserve">COSMOFIRST</t>
        </is>
      </c>
      <c r="B877" t="inlineStr">
        <is>
          <t xml:space="preserve">Cosmo First Limited</t>
        </is>
      </c>
      <c r="C877" t="inlineStr">
        <is>
          <t xml:space="preserve">INE757A01017</t>
        </is>
      </c>
    </row>
    <row r="878">
      <c r="A878" t="inlineStr">
        <is>
          <t xml:space="preserve">COSPOWER</t>
        </is>
      </c>
      <c r="B878" t="inlineStr">
        <is>
          <t xml:space="preserve">Cospower Engineering Limited</t>
        </is>
      </c>
      <c r="C878" t="inlineStr">
        <is>
          <t xml:space="preserve">INE0CQB01010</t>
        </is>
      </c>
    </row>
    <row r="879">
      <c r="A879" t="inlineStr">
        <is>
          <t xml:space="preserve">COSYN</t>
        </is>
      </c>
      <c r="B879" t="inlineStr">
        <is>
          <t xml:space="preserve">COSYN Limited</t>
        </is>
      </c>
      <c r="C879" t="inlineStr">
        <is>
          <t xml:space="preserve">INE029B01019</t>
        </is>
      </c>
    </row>
    <row r="880">
      <c r="A880" t="inlineStr">
        <is>
          <t xml:space="preserve">CCHHL</t>
        </is>
      </c>
      <c r="B880" t="inlineStr">
        <is>
          <t xml:space="preserve">COUNTRY CLUB HOSPITALITY AND H</t>
        </is>
      </c>
      <c r="C880" t="inlineStr">
        <is>
          <t xml:space="preserve">INE652F01027</t>
        </is>
      </c>
    </row>
    <row r="881">
      <c r="A881" t="inlineStr">
        <is>
          <t xml:space="preserve">COUNCODOS</t>
        </is>
      </c>
      <c r="B881" t="inlineStr">
        <is>
          <t xml:space="preserve">COUNTRY CONDOS LTD.</t>
        </is>
      </c>
      <c r="C881" t="inlineStr">
        <is>
          <t xml:space="preserve">INE695B01025</t>
        </is>
      </c>
    </row>
    <row r="882">
      <c r="A882" t="inlineStr">
        <is>
          <t xml:space="preserve">COVANCE</t>
        </is>
      </c>
      <c r="B882" t="inlineStr">
        <is>
          <t xml:space="preserve">COVANCE SOFTSOL LIMITED</t>
        </is>
      </c>
      <c r="C882" t="inlineStr">
        <is>
          <t xml:space="preserve">INE0R8101016</t>
        </is>
      </c>
    </row>
    <row r="883">
      <c r="A883" t="inlineStr">
        <is>
          <t xml:space="preserve">CPCAP</t>
        </is>
      </c>
      <c r="B883" t="inlineStr">
        <is>
          <t xml:space="preserve">CP CAPITAL LIMITED</t>
        </is>
      </c>
      <c r="C883" t="inlineStr">
        <is>
          <t xml:space="preserve">INE521J01018</t>
        </is>
      </c>
    </row>
    <row r="884">
      <c r="A884" t="inlineStr">
        <is>
          <t xml:space="preserve">CRAFTSMAN</t>
        </is>
      </c>
      <c r="B884" t="inlineStr">
        <is>
          <t xml:space="preserve">Craftsman Automation Limited</t>
        </is>
      </c>
      <c r="C884" t="inlineStr">
        <is>
          <t xml:space="preserve">INE00LO01017</t>
        </is>
      </c>
    </row>
    <row r="885">
      <c r="A885" t="inlineStr">
        <is>
          <t xml:space="preserve">CRANEINFRA</t>
        </is>
      </c>
      <c r="B885" t="inlineStr">
        <is>
          <t xml:space="preserve">Crane Infrastructure Limited</t>
        </is>
      </c>
      <c r="C885" t="inlineStr">
        <is>
          <t xml:space="preserve">INE176L01017</t>
        </is>
      </c>
    </row>
    <row r="886">
      <c r="A886" t="inlineStr">
        <is>
          <t xml:space="preserve">CRANESSOFT</t>
        </is>
      </c>
      <c r="B886" t="inlineStr">
        <is>
          <t xml:space="preserve">CRANES SOFTWARE INTERNATIONAL</t>
        </is>
      </c>
      <c r="C886" t="inlineStr">
        <is>
          <t xml:space="preserve">INE234B01023</t>
        </is>
      </c>
    </row>
    <row r="887">
      <c r="A887" t="inlineStr">
        <is>
          <t xml:space="preserve">CRANEX</t>
        </is>
      </c>
      <c r="B887" t="inlineStr">
        <is>
          <t xml:space="preserve">CRANEX LTD.</t>
        </is>
      </c>
      <c r="C887" t="inlineStr">
        <is>
          <t xml:space="preserve">INE608B01010</t>
        </is>
      </c>
    </row>
    <row r="888">
      <c r="A888" t="inlineStr">
        <is>
          <t xml:space="preserve">CRAVATEX</t>
        </is>
      </c>
      <c r="B888" t="inlineStr">
        <is>
          <t xml:space="preserve">CRAVATEX LTD.</t>
        </is>
      </c>
      <c r="C888" t="inlineStr">
        <is>
          <t xml:space="preserve">INE145E01017</t>
        </is>
      </c>
    </row>
    <row r="889">
      <c r="A889" t="inlineStr">
        <is>
          <t xml:space="preserve">CRAZY</t>
        </is>
      </c>
      <c r="B889" t="inlineStr">
        <is>
          <t xml:space="preserve">CRAZY SNACKS LIMITED</t>
        </is>
      </c>
      <c r="C889" t="inlineStr">
        <is>
          <t xml:space="preserve">INE0RBX01014</t>
        </is>
      </c>
    </row>
    <row r="890">
      <c r="A890" t="inlineStr">
        <is>
          <t xml:space="preserve">CREATIVE</t>
        </is>
      </c>
      <c r="B890" t="inlineStr">
        <is>
          <t xml:space="preserve">Creative Castings Limited</t>
        </is>
      </c>
      <c r="C890" t="inlineStr">
        <is>
          <t xml:space="preserve">INE146E01015</t>
        </is>
      </c>
    </row>
    <row r="891">
      <c r="A891" t="inlineStr">
        <is>
          <t xml:space="preserve">CREATIVEYE</t>
        </is>
      </c>
      <c r="B891" t="inlineStr">
        <is>
          <t xml:space="preserve">CREATIVE EYE LTD.</t>
        </is>
      </c>
      <c r="C891" t="inlineStr">
        <is>
          <t xml:space="preserve">INE230B01021</t>
        </is>
      </c>
    </row>
    <row r="892">
      <c r="A892" t="inlineStr">
        <is>
          <t xml:space="preserve">CNL</t>
        </is>
      </c>
      <c r="B892" t="inlineStr">
        <is>
          <t xml:space="preserve">CREATIVE NEWTECH LIMITED</t>
        </is>
      </c>
      <c r="C892" t="inlineStr">
        <is>
          <t xml:space="preserve">INE985W01018</t>
        </is>
      </c>
    </row>
    <row r="893">
      <c r="A893" t="inlineStr">
        <is>
          <t xml:space="preserve">CREDITACC</t>
        </is>
      </c>
      <c r="B893" t="inlineStr">
        <is>
          <t xml:space="preserve">CreditAccess Grameen Ltd.</t>
        </is>
      </c>
      <c r="C893" t="inlineStr">
        <is>
          <t xml:space="preserve">INE741K01010</t>
        </is>
      </c>
    </row>
    <row r="894">
      <c r="A894" t="inlineStr">
        <is>
          <t xml:space="preserve">MUFTI</t>
        </is>
      </c>
      <c r="B894" t="inlineStr">
        <is>
          <t xml:space="preserve">Credo Brands Marketing Limited</t>
        </is>
      </c>
      <c r="C894" t="inlineStr">
        <is>
          <t xml:space="preserve">INE220Q01020</t>
        </is>
      </c>
    </row>
    <row r="895">
      <c r="A895" t="inlineStr">
        <is>
          <t xml:space="preserve">CRESCENTIS</t>
        </is>
      </c>
      <c r="B895" t="inlineStr">
        <is>
          <t xml:space="preserve">Crescentis Capital Limited</t>
        </is>
      </c>
      <c r="C895" t="inlineStr">
        <is>
          <t xml:space="preserve">INE754C01010</t>
        </is>
      </c>
    </row>
    <row r="896">
      <c r="A896" t="inlineStr">
        <is>
          <t xml:space="preserve">CRSL</t>
        </is>
      </c>
      <c r="B896" t="inlineStr">
        <is>
          <t xml:space="preserve">CRESSANDA RAILWAY SOLUTIONS LI</t>
        </is>
      </c>
      <c r="C896" t="inlineStr">
        <is>
          <t xml:space="preserve">INE716D01033</t>
        </is>
      </c>
    </row>
    <row r="897">
      <c r="A897" t="inlineStr">
        <is>
          <t xml:space="preserve">CREST</t>
        </is>
      </c>
      <c r="B897" t="inlineStr">
        <is>
          <t xml:space="preserve">CREST</t>
        </is>
      </c>
      <c r="C897" t="inlineStr">
        <is>
          <t xml:space="preserve">INE559D01011</t>
        </is>
      </c>
    </row>
    <row r="898">
      <c r="A898" t="inlineStr">
        <is>
          <t xml:space="preserve">CRSTCHM</t>
        </is>
      </c>
      <c r="B898" t="inlineStr">
        <is>
          <t xml:space="preserve">CRESTCHEM LTD.</t>
        </is>
      </c>
      <c r="C898" t="inlineStr">
        <is>
          <t xml:space="preserve">INE293N01016</t>
        </is>
      </c>
    </row>
    <row r="899">
      <c r="A899" t="inlineStr">
        <is>
          <t xml:space="preserve">CRISIL</t>
        </is>
      </c>
      <c r="B899" t="inlineStr">
        <is>
          <t xml:space="preserve">CRISIL LTD.</t>
        </is>
      </c>
      <c r="C899" t="inlineStr">
        <is>
          <t xml:space="preserve">INE007A01025</t>
        </is>
      </c>
    </row>
    <row r="900">
      <c r="A900" t="inlineStr">
        <is>
          <t xml:space="preserve">CRIZAC</t>
        </is>
      </c>
      <c r="B900" t="inlineStr">
        <is>
          <t xml:space="preserve">CRIZAC LIMITED</t>
        </is>
      </c>
      <c r="C900" t="inlineStr">
        <is>
          <t xml:space="preserve">INE0S4R01014</t>
        </is>
      </c>
    </row>
    <row r="901">
      <c r="A901" t="inlineStr">
        <is>
          <t xml:space="preserve">CROISSANCE</t>
        </is>
      </c>
      <c r="B901" t="inlineStr">
        <is>
          <t xml:space="preserve">CROISSANCE LIMITED</t>
        </is>
      </c>
      <c r="C901" t="inlineStr">
        <is>
          <t xml:space="preserve">INE587J01027</t>
        </is>
      </c>
    </row>
    <row r="902">
      <c r="A902" t="inlineStr">
        <is>
          <t xml:space="preserve">CROMPTON</t>
        </is>
      </c>
      <c r="B902" t="inlineStr">
        <is>
          <t xml:space="preserve">Crompton Greaves Consumer Elec</t>
        </is>
      </c>
      <c r="C902" t="inlineStr">
        <is>
          <t xml:space="preserve">INE299U01018</t>
        </is>
      </c>
    </row>
    <row r="903">
      <c r="A903" t="inlineStr">
        <is>
          <t xml:space="preserve">CROPSTER</t>
        </is>
      </c>
      <c r="B903" t="inlineStr">
        <is>
          <t xml:space="preserve">CROPSTER AGRO LIMITED</t>
        </is>
      </c>
      <c r="C903" t="inlineStr">
        <is>
          <t xml:space="preserve">INE293E01031</t>
        </is>
      </c>
    </row>
    <row r="904">
      <c r="A904" t="inlineStr">
        <is>
          <t xml:space="preserve">CRYOGENIC</t>
        </is>
      </c>
      <c r="B904" t="inlineStr">
        <is>
          <t xml:space="preserve">CRYOGENIC OGS LIMITED</t>
        </is>
      </c>
      <c r="C904" t="inlineStr">
        <is>
          <t xml:space="preserve">INE0TL001013</t>
        </is>
      </c>
    </row>
    <row r="905">
      <c r="A905" t="inlineStr">
        <is>
          <t xml:space="preserve">CRYSTAL</t>
        </is>
      </c>
      <c r="B905" t="inlineStr">
        <is>
          <t xml:space="preserve">CRYSTAL BUSINESS SYSTEM LIMITE</t>
        </is>
      </c>
      <c r="C905" t="inlineStr">
        <is>
          <t xml:space="preserve">INE994R01028</t>
        </is>
      </c>
    </row>
    <row r="906">
      <c r="A906" t="inlineStr">
        <is>
          <t xml:space="preserve">CSBBANK</t>
        </is>
      </c>
      <c r="B906" t="inlineStr">
        <is>
          <t xml:space="preserve">CSB Bank Limited</t>
        </is>
      </c>
      <c r="C906" t="inlineStr">
        <is>
          <t xml:space="preserve">INE679A01013</t>
        </is>
      </c>
    </row>
    <row r="907">
      <c r="A907" t="inlineStr">
        <is>
          <t xml:space="preserve">CSLFINANCE</t>
        </is>
      </c>
      <c r="B907" t="inlineStr">
        <is>
          <t xml:space="preserve">CSL Finance Limited</t>
        </is>
      </c>
      <c r="C907" t="inlineStr">
        <is>
          <t xml:space="preserve">INE718F01018</t>
        </is>
      </c>
    </row>
    <row r="908">
      <c r="A908" t="inlineStr">
        <is>
          <t xml:space="preserve">CSM</t>
        </is>
      </c>
      <c r="B908" t="inlineStr">
        <is>
          <t xml:space="preserve">CSM TECHNOLOGIES LIMITED</t>
        </is>
      </c>
      <c r="C908" t="inlineStr">
        <is>
          <t xml:space="preserve">INE0ZK601013</t>
        </is>
      </c>
    </row>
    <row r="909">
      <c r="A909" t="inlineStr">
        <is>
          <t xml:space="preserve">CUBEXTUB</t>
        </is>
      </c>
      <c r="B909" t="inlineStr">
        <is>
          <t xml:space="preserve">CUBEX TUBINGS LTD.</t>
        </is>
      </c>
      <c r="C909" t="inlineStr">
        <is>
          <t xml:space="preserve">INE144D01012</t>
        </is>
      </c>
    </row>
    <row r="910">
      <c r="A910" t="inlineStr">
        <is>
          <t xml:space="preserve">CUBIFIN</t>
        </is>
      </c>
      <c r="B910" t="inlineStr">
        <is>
          <t xml:space="preserve">CUBICAL FINANCIAL SERVICES LTD</t>
        </is>
      </c>
      <c r="C910" t="inlineStr">
        <is>
          <t xml:space="preserve">INE717D01023</t>
        </is>
      </c>
    </row>
    <row r="911">
      <c r="A911" t="inlineStr">
        <is>
          <t xml:space="preserve">CUMMINSIND</t>
        </is>
      </c>
      <c r="B911" t="inlineStr">
        <is>
          <t xml:space="preserve">CUMMINS INDIA LTD.</t>
        </is>
      </c>
      <c r="C911" t="inlineStr">
        <is>
          <t xml:space="preserve">INE298A01020</t>
        </is>
      </c>
    </row>
    <row r="912">
      <c r="A912" t="inlineStr">
        <is>
          <t xml:space="preserve">CUPIDALBV</t>
        </is>
      </c>
      <c r="B912" t="inlineStr">
        <is>
          <t xml:space="preserve">CUPID BREWERIES AND DISTILLERI</t>
        </is>
      </c>
      <c r="C912" t="inlineStr">
        <is>
          <t xml:space="preserve">INE108G01010</t>
        </is>
      </c>
    </row>
    <row r="913">
      <c r="A913" t="inlineStr">
        <is>
          <t xml:space="preserve">CUPID</t>
        </is>
      </c>
      <c r="B913" t="inlineStr">
        <is>
          <t xml:space="preserve">CUPID LTD.</t>
        </is>
      </c>
      <c r="C913" t="inlineStr">
        <is>
          <t xml:space="preserve">INE509F01029</t>
        </is>
      </c>
    </row>
    <row r="914">
      <c r="A914" t="inlineStr">
        <is>
          <t xml:space="preserve">CURAA</t>
        </is>
      </c>
      <c r="B914" t="inlineStr">
        <is>
          <t xml:space="preserve">CURA TECHNOLOGIES LTD.</t>
        </is>
      </c>
      <c r="C914" t="inlineStr">
        <is>
          <t xml:space="preserve">INE117B01020</t>
        </is>
      </c>
    </row>
    <row r="915">
      <c r="A915" t="inlineStr">
        <is>
          <t xml:space="preserve">CWD</t>
        </is>
      </c>
      <c r="B915" t="inlineStr">
        <is>
          <t xml:space="preserve">CWD Limited</t>
        </is>
      </c>
      <c r="C915" t="inlineStr">
        <is>
          <t xml:space="preserve">INE0H8H01019</t>
        </is>
      </c>
    </row>
    <row r="916">
      <c r="A916" t="inlineStr">
        <is>
          <t xml:space="preserve">CYBELEIND</t>
        </is>
      </c>
      <c r="B916" t="inlineStr">
        <is>
          <t xml:space="preserve">CYBELE INDUSTRIES LTD.</t>
        </is>
      </c>
      <c r="C916" t="inlineStr">
        <is>
          <t xml:space="preserve">INE183D01010</t>
        </is>
      </c>
    </row>
    <row r="917">
      <c r="A917" t="inlineStr">
        <is>
          <t xml:space="preserve">CYBERMEDIA</t>
        </is>
      </c>
      <c r="B917" t="inlineStr">
        <is>
          <t xml:space="preserve">CYBER MEDIA (INDIA) LTD.</t>
        </is>
      </c>
      <c r="C917" t="inlineStr">
        <is>
          <t xml:space="preserve">INE278G01037</t>
        </is>
      </c>
    </row>
    <row r="918">
      <c r="A918" t="inlineStr">
        <is>
          <t xml:space="preserve">CYBERTECH</t>
        </is>
      </c>
      <c r="B918" t="inlineStr">
        <is>
          <t xml:space="preserve">CYBERTECH SYSTEMS AND SOFTWARE</t>
        </is>
      </c>
      <c r="C918" t="inlineStr">
        <is>
          <t xml:space="preserve">INE214A01019</t>
        </is>
      </c>
    </row>
    <row r="919">
      <c r="A919" t="inlineStr">
        <is>
          <t xml:space="preserve">CYIENTDLM</t>
        </is>
      </c>
      <c r="B919" t="inlineStr">
        <is>
          <t xml:space="preserve">Cyient DLM Limited</t>
        </is>
      </c>
      <c r="C919" t="inlineStr">
        <is>
          <t xml:space="preserve">INE055S01018</t>
        </is>
      </c>
    </row>
    <row r="920">
      <c r="A920" t="inlineStr">
        <is>
          <t xml:space="preserve">CYIENT</t>
        </is>
      </c>
      <c r="B920" t="inlineStr">
        <is>
          <t xml:space="preserve">CYIENT LIMITED</t>
        </is>
      </c>
      <c r="C920" t="inlineStr">
        <is>
          <t xml:space="preserve">INE136B01020</t>
        </is>
      </c>
    </row>
    <row r="921">
      <c r="A921" t="inlineStr">
        <is>
          <t xml:space="preserve">DBCORP</t>
        </is>
      </c>
      <c r="B921" t="inlineStr">
        <is>
          <t xml:space="preserve">D B CORP LTD</t>
        </is>
      </c>
      <c r="C921" t="inlineStr">
        <is>
          <t xml:space="preserve">INE950I01011</t>
        </is>
      </c>
    </row>
    <row r="922">
      <c r="A922" t="inlineStr">
        <is>
          <t xml:space="preserve">DPABHUSHAN</t>
        </is>
      </c>
      <c r="B922" t="inlineStr">
        <is>
          <t xml:space="preserve">D P ABHUSHAN LIMITED</t>
        </is>
      </c>
      <c r="C922" t="inlineStr">
        <is>
          <t xml:space="preserve">INE266Y01019</t>
        </is>
      </c>
    </row>
    <row r="923">
      <c r="A923" t="inlineStr">
        <is>
          <t xml:space="preserve">DHINDIA</t>
        </is>
      </c>
      <c r="B923" t="inlineStr">
        <is>
          <t xml:space="preserve">D&amp;H INDIA LTD</t>
        </is>
      </c>
      <c r="C923" t="inlineStr">
        <is>
          <t xml:space="preserve">INE589D01018</t>
        </is>
      </c>
    </row>
    <row r="924">
      <c r="A924" t="inlineStr">
        <is>
          <t xml:space="preserve">DLINKINDIA</t>
        </is>
      </c>
      <c r="B924" t="inlineStr">
        <is>
          <t xml:space="preserve">D-LINK (INDIA) LTD</t>
        </is>
      </c>
      <c r="C924" t="inlineStr">
        <is>
          <t xml:space="preserve">INE250K01012</t>
        </is>
      </c>
    </row>
    <row r="925">
      <c r="A925" t="inlineStr">
        <is>
          <t xml:space="preserve">DPWIRES</t>
        </is>
      </c>
      <c r="B925" t="inlineStr">
        <is>
          <t xml:space="preserve">D.P. WIRES LIMITED</t>
        </is>
      </c>
      <c r="C925" t="inlineStr">
        <is>
          <t xml:space="preserve">INE864X01013</t>
        </is>
      </c>
    </row>
    <row r="926">
      <c r="A926" t="inlineStr">
        <is>
          <t xml:space="preserve">DABUR</t>
        </is>
      </c>
      <c r="B926" t="inlineStr">
        <is>
          <t xml:space="preserve">DABUR INDIA LTD.</t>
        </is>
      </c>
      <c r="C926" t="inlineStr">
        <is>
          <t xml:space="preserve">INE016A01026</t>
        </is>
      </c>
    </row>
    <row r="927">
      <c r="A927" t="inlineStr">
        <is>
          <t xml:space="preserve">DACHEPALLI</t>
        </is>
      </c>
      <c r="B927" t="inlineStr">
        <is>
          <t xml:space="preserve">Dachepalli Publishers Limited</t>
        </is>
      </c>
      <c r="C927" t="inlineStr">
        <is>
          <t xml:space="preserve">INE1F9M01018</t>
        </is>
      </c>
    </row>
    <row r="928">
      <c r="A928" t="inlineStr">
        <is>
          <t xml:space="preserve">DAICHI</t>
        </is>
      </c>
      <c r="B928" t="inlineStr">
        <is>
          <t xml:space="preserve">DAI-ICHI KARKARIA LTD.</t>
        </is>
      </c>
      <c r="C928" t="inlineStr">
        <is>
          <t xml:space="preserve">INE928C01010</t>
        </is>
      </c>
    </row>
    <row r="929">
      <c r="A929" t="inlineStr">
        <is>
          <t xml:space="preserve">DAIKAFFI</t>
        </is>
      </c>
      <c r="B929" t="inlineStr">
        <is>
          <t xml:space="preserve">DAIKAFFIL CHEMICALS INDIA LTD.</t>
        </is>
      </c>
      <c r="C929" t="inlineStr">
        <is>
          <t xml:space="preserve">INE789B01018</t>
        </is>
      </c>
    </row>
    <row r="930">
      <c r="A930" t="inlineStr">
        <is>
          <t xml:space="preserve">DALBHARAT</t>
        </is>
      </c>
      <c r="B930" t="inlineStr">
        <is>
          <t xml:space="preserve">DALMIA BHARAT LIMITED</t>
        </is>
      </c>
      <c r="C930" t="inlineStr">
        <is>
          <t xml:space="preserve">INE00R701025</t>
        </is>
      </c>
    </row>
    <row r="931">
      <c r="A931" t="inlineStr">
        <is>
          <t xml:space="preserve">DALMIASUG</t>
        </is>
      </c>
      <c r="B931" t="inlineStr">
        <is>
          <t xml:space="preserve">DALMIA BHARAT SUGAR AND INDUST</t>
        </is>
      </c>
      <c r="C931" t="inlineStr">
        <is>
          <t xml:space="preserve">INE495A01022</t>
        </is>
      </c>
    </row>
    <row r="932">
      <c r="A932" t="inlineStr">
        <is>
          <t xml:space="preserve">DIDL</t>
        </is>
      </c>
      <c r="B932" t="inlineStr">
        <is>
          <t xml:space="preserve">DALMIA INDUSTRIAL DEVELOPMENT</t>
        </is>
      </c>
      <c r="C932" t="inlineStr">
        <is>
          <t xml:space="preserve">INE642P01019</t>
        </is>
      </c>
    </row>
    <row r="933">
      <c r="A933" t="inlineStr">
        <is>
          <t xml:space="preserve">DAMCAPITAL</t>
        </is>
      </c>
      <c r="B933" t="inlineStr">
        <is>
          <t xml:space="preserve">DAM Capital Advisors Limited</t>
        </is>
      </c>
      <c r="C933" t="inlineStr">
        <is>
          <t xml:space="preserve">INE284H01025</t>
        </is>
      </c>
    </row>
    <row r="934">
      <c r="A934" t="inlineStr">
        <is>
          <t xml:space="preserve">DANLAW</t>
        </is>
      </c>
      <c r="B934" t="inlineStr">
        <is>
          <t xml:space="preserve">DANLAW TECHNOLOGIES INDIA LTD.</t>
        </is>
      </c>
      <c r="C934" t="inlineStr">
        <is>
          <t xml:space="preserve">INE310B01013</t>
        </is>
      </c>
    </row>
    <row r="935">
      <c r="A935" t="inlineStr">
        <is>
          <t xml:space="preserve">DANUBE</t>
        </is>
      </c>
      <c r="B935" t="inlineStr">
        <is>
          <t xml:space="preserve">DANUBE INDUSTRIES LIMITED</t>
        </is>
      </c>
      <c r="C935" t="inlineStr">
        <is>
          <t xml:space="preserve">INE575D01041</t>
        </is>
      </c>
    </row>
    <row r="936">
      <c r="A936" t="inlineStr">
        <is>
          <t xml:space="preserve">DARJEELING</t>
        </is>
      </c>
      <c r="B936" t="inlineStr">
        <is>
          <t xml:space="preserve">DARJEELING INDUSTRIIES LIMITED</t>
        </is>
      </c>
      <c r="C936" t="inlineStr">
        <is>
          <t xml:space="preserve">INE830S01014</t>
        </is>
      </c>
    </row>
    <row r="937">
      <c r="A937" t="inlineStr">
        <is>
          <t xml:space="preserve">DARSHANORNA</t>
        </is>
      </c>
      <c r="B937" t="inlineStr">
        <is>
          <t xml:space="preserve">Darshan Orna Limited</t>
        </is>
      </c>
      <c r="C937" t="inlineStr">
        <is>
          <t xml:space="preserve">INE671T01028</t>
        </is>
      </c>
    </row>
    <row r="938">
      <c r="A938" t="inlineStr">
        <is>
          <t xml:space="preserve">DATAPATTNS</t>
        </is>
      </c>
      <c r="B938" t="inlineStr">
        <is>
          <t xml:space="preserve">Data Patterns (India) Limited</t>
        </is>
      </c>
      <c r="C938" t="inlineStr">
        <is>
          <t xml:space="preserve">INE0IX101010</t>
        </is>
      </c>
    </row>
    <row r="939">
      <c r="A939" t="inlineStr">
        <is>
          <t xml:space="preserve">DATAMATICS</t>
        </is>
      </c>
      <c r="B939" t="inlineStr">
        <is>
          <t xml:space="preserve">DATAMATICS GLOBAL SERVICES LTD</t>
        </is>
      </c>
      <c r="C939" t="inlineStr">
        <is>
          <t xml:space="preserve">INE365B01017</t>
        </is>
      </c>
    </row>
    <row r="940">
      <c r="A940" t="inlineStr">
        <is>
          <t xml:space="preserve">DATIWARE</t>
        </is>
      </c>
      <c r="B940" t="inlineStr">
        <is>
          <t xml:space="preserve">DATIWARE MARITIME INFRA LIMITE</t>
        </is>
      </c>
      <c r="C940" t="inlineStr">
        <is>
          <t xml:space="preserve">INE673U01014</t>
        </is>
      </c>
    </row>
    <row r="941">
      <c r="A941" t="inlineStr">
        <is>
          <t xml:space="preserve">DAVANGERE</t>
        </is>
      </c>
      <c r="B941" t="inlineStr">
        <is>
          <t xml:space="preserve">Davangere Sugar Company Limite</t>
        </is>
      </c>
      <c r="C941" t="inlineStr">
        <is>
          <t xml:space="preserve">INE179G01029</t>
        </is>
      </c>
    </row>
    <row r="942">
      <c r="A942" t="inlineStr">
        <is>
          <t xml:space="preserve">DAVIN</t>
        </is>
      </c>
      <c r="B942" t="inlineStr">
        <is>
          <t xml:space="preserve">Davin Sons Retail Limited</t>
        </is>
      </c>
      <c r="C942" t="inlineStr">
        <is>
          <t xml:space="preserve">INE0Q2L01013</t>
        </is>
      </c>
    </row>
    <row r="943">
      <c r="A943" t="inlineStr">
        <is>
          <t xml:space="preserve">DBSTOCKBRO</t>
        </is>
      </c>
      <c r="B943" t="inlineStr">
        <is>
          <t xml:space="preserve">DB (INTERNATIONAL) STOCK BROKE</t>
        </is>
      </c>
      <c r="C943" t="inlineStr">
        <is>
          <t xml:space="preserve">INE921B01025</t>
        </is>
      </c>
    </row>
    <row r="944">
      <c r="A944" t="inlineStr">
        <is>
          <t xml:space="preserve">DCI</t>
        </is>
      </c>
      <c r="B944" t="inlineStr">
        <is>
          <t xml:space="preserve">Dc Infotech and Communication</t>
        </is>
      </c>
      <c r="C944" t="inlineStr">
        <is>
          <t xml:space="preserve">INE0A1101019</t>
        </is>
      </c>
    </row>
    <row r="945">
      <c r="A945" t="inlineStr">
        <is>
          <t xml:space="preserve">DCBBANK</t>
        </is>
      </c>
      <c r="B945" t="inlineStr">
        <is>
          <t xml:space="preserve">DCB BANK LIMITED</t>
        </is>
      </c>
      <c r="C945" t="inlineStr">
        <is>
          <t xml:space="preserve">INE503A01015</t>
        </is>
      </c>
    </row>
    <row r="946">
      <c r="A946" t="inlineStr">
        <is>
          <t xml:space="preserve">DCM</t>
        </is>
      </c>
      <c r="B946" t="inlineStr">
        <is>
          <t xml:space="preserve">DCM LTD.</t>
        </is>
      </c>
      <c r="C946" t="inlineStr">
        <is>
          <t xml:space="preserve">INE498A01018</t>
        </is>
      </c>
    </row>
    <row r="947">
      <c r="A947" t="inlineStr">
        <is>
          <t xml:space="preserve">DCMNVL</t>
        </is>
      </c>
      <c r="B947" t="inlineStr">
        <is>
          <t xml:space="preserve">DCM NOUVELLE LIMITED</t>
        </is>
      </c>
      <c r="C947" t="inlineStr">
        <is>
          <t xml:space="preserve">INE08KP01019</t>
        </is>
      </c>
    </row>
    <row r="948">
      <c r="A948" t="inlineStr">
        <is>
          <t xml:space="preserve">DSFCL</t>
        </is>
      </c>
      <c r="B948" t="inlineStr">
        <is>
          <t xml:space="preserve">DCM SHRIRAM FINE CHEMICALS LIM</t>
        </is>
      </c>
      <c r="C948" t="inlineStr">
        <is>
          <t xml:space="preserve">INE0OFM01015</t>
        </is>
      </c>
    </row>
    <row r="949">
      <c r="A949" t="inlineStr">
        <is>
          <t xml:space="preserve">DCMSRIND</t>
        </is>
      </c>
      <c r="B949" t="inlineStr">
        <is>
          <t xml:space="preserve">DCM SHRIRAM INDUSTRIES LTD.</t>
        </is>
      </c>
      <c r="C949" t="inlineStr">
        <is>
          <t xml:space="preserve">INE843D01027</t>
        </is>
      </c>
    </row>
    <row r="950">
      <c r="A950" t="inlineStr">
        <is>
          <t xml:space="preserve">DCMSIL</t>
        </is>
      </c>
      <c r="B950" t="inlineStr">
        <is>
          <t xml:space="preserve">DCM SHRIRAM INTERNATIONAL LIMI</t>
        </is>
      </c>
      <c r="C950" t="inlineStr">
        <is>
          <t xml:space="preserve">INE0OU201013</t>
        </is>
      </c>
    </row>
    <row r="951">
      <c r="A951" t="inlineStr">
        <is>
          <t xml:space="preserve">DCMSHRIRAM</t>
        </is>
      </c>
      <c r="B951" t="inlineStr">
        <is>
          <t xml:space="preserve">DCM SHRIRAM LIMITED</t>
        </is>
      </c>
      <c r="C951" t="inlineStr">
        <is>
          <t xml:space="preserve">INE499A01024</t>
        </is>
      </c>
    </row>
    <row r="952">
      <c r="A952" t="inlineStr">
        <is>
          <t xml:space="preserve">DCW</t>
        </is>
      </c>
      <c r="B952" t="inlineStr">
        <is>
          <t xml:space="preserve">DCW LTD.</t>
        </is>
      </c>
      <c r="C952" t="inlineStr">
        <is>
          <t xml:space="preserve">INE500A01029</t>
        </is>
      </c>
    </row>
    <row r="953">
      <c r="A953" t="inlineStr">
        <is>
          <t xml:space="preserve">DCXINDIA</t>
        </is>
      </c>
      <c r="B953" t="inlineStr">
        <is>
          <t xml:space="preserve">DCX Systems Limited</t>
        </is>
      </c>
      <c r="C953" t="inlineStr">
        <is>
          <t xml:space="preserve">INE0KL801015</t>
        </is>
      </c>
    </row>
    <row r="954">
      <c r="A954" t="inlineStr">
        <is>
          <t xml:space="preserve">DDEVPLSTIK</t>
        </is>
      </c>
      <c r="B954" t="inlineStr">
        <is>
          <t xml:space="preserve">DDEV PLASTIKS INDUSTRIES LIMIT</t>
        </is>
      </c>
      <c r="C954" t="inlineStr">
        <is>
          <t xml:space="preserve">INE0HR601026</t>
        </is>
      </c>
    </row>
    <row r="955">
      <c r="A955" t="inlineStr">
        <is>
          <t xml:space="preserve">DENORA</t>
        </is>
      </c>
      <c r="B955" t="inlineStr">
        <is>
          <t xml:space="preserve">DE NORA INDIA LTD.</t>
        </is>
      </c>
      <c r="C955" t="inlineStr">
        <is>
          <t xml:space="preserve">INE244A01016</t>
        </is>
      </c>
    </row>
    <row r="956">
      <c r="A956" t="inlineStr">
        <is>
          <t xml:space="preserve">DECCANCE</t>
        </is>
      </c>
      <c r="B956" t="inlineStr">
        <is>
          <t xml:space="preserve">DECCAN CEMENTS LTD.</t>
        </is>
      </c>
      <c r="C956" t="inlineStr">
        <is>
          <t xml:space="preserve">INE583C01021</t>
        </is>
      </c>
    </row>
    <row r="957">
      <c r="A957" t="inlineStr">
        <is>
          <t xml:space="preserve">DECNGOLD</t>
        </is>
      </c>
      <c r="B957" t="inlineStr">
        <is>
          <t xml:space="preserve">DECCAN GOLD MINES LTD.</t>
        </is>
      </c>
      <c r="C957" t="inlineStr">
        <is>
          <t xml:space="preserve">INE945F01025</t>
        </is>
      </c>
    </row>
    <row r="958">
      <c r="A958" t="inlineStr">
        <is>
          <t xml:space="preserve">DECCAN</t>
        </is>
      </c>
      <c r="B958" t="inlineStr">
        <is>
          <t xml:space="preserve">Deccan Health Care Limited</t>
        </is>
      </c>
      <c r="C958" t="inlineStr">
        <is>
          <t xml:space="preserve">INE452W01019</t>
        </is>
      </c>
    </row>
    <row r="959">
      <c r="A959" t="inlineStr">
        <is>
          <t xml:space="preserve">DECPO</t>
        </is>
      </c>
      <c r="B959" t="inlineStr">
        <is>
          <t xml:space="preserve">DECCAN POLYPACKS LTD.</t>
        </is>
      </c>
      <c r="C959" t="inlineStr">
        <is>
          <t xml:space="preserve">INE132E01015</t>
        </is>
      </c>
    </row>
    <row r="960">
      <c r="A960" t="inlineStr">
        <is>
          <t xml:space="preserve">DFL</t>
        </is>
      </c>
      <c r="B960" t="inlineStr">
        <is>
          <t xml:space="preserve">Decillion Finance Ltd.</t>
        </is>
      </c>
      <c r="C960" t="inlineStr">
        <is>
          <t xml:space="preserve">INE848N01017</t>
        </is>
      </c>
    </row>
    <row r="961">
      <c r="A961" t="inlineStr">
        <is>
          <t xml:space="preserve">DECIPHER</t>
        </is>
      </c>
      <c r="B961" t="inlineStr">
        <is>
          <t xml:space="preserve">DECIPHER LABS LIMITED</t>
        </is>
      </c>
      <c r="C961" t="inlineStr">
        <is>
          <t xml:space="preserve">INE643N01012</t>
        </is>
      </c>
    </row>
    <row r="962">
      <c r="A962" t="inlineStr">
        <is>
          <t xml:space="preserve">DECOMIC</t>
        </is>
      </c>
      <c r="B962" t="inlineStr">
        <is>
          <t xml:space="preserve">DECO-MICA LTD.</t>
        </is>
      </c>
      <c r="C962" t="inlineStr">
        <is>
          <t xml:space="preserve">INE907E01010</t>
        </is>
      </c>
    </row>
    <row r="963">
      <c r="A963" t="inlineStr">
        <is>
          <t xml:space="preserve">DITCO</t>
        </is>
      </c>
      <c r="B963" t="inlineStr">
        <is>
          <t xml:space="preserve">Decorous Investment and Tradin</t>
        </is>
      </c>
      <c r="C963" t="inlineStr">
        <is>
          <t xml:space="preserve">INE183R01010</t>
        </is>
      </c>
    </row>
    <row r="964">
      <c r="A964" t="inlineStr">
        <is>
          <t xml:space="preserve">DEEDEV</t>
        </is>
      </c>
      <c r="B964" t="inlineStr">
        <is>
          <t xml:space="preserve">DEE DEVELOPMENT ENGINEERS LIMI</t>
        </is>
      </c>
      <c r="C964" t="inlineStr">
        <is>
          <t xml:space="preserve">INE841L01016</t>
        </is>
      </c>
    </row>
    <row r="965">
      <c r="A965" t="inlineStr">
        <is>
          <t xml:space="preserve">DEEPAI</t>
        </is>
      </c>
      <c r="B965" t="inlineStr">
        <is>
          <t xml:space="preserve">Deep Health AI India Limited</t>
        </is>
      </c>
      <c r="C965" t="inlineStr">
        <is>
          <t xml:space="preserve">INE005G01026</t>
        </is>
      </c>
    </row>
    <row r="966">
      <c r="A966" t="inlineStr">
        <is>
          <t xml:space="preserve">DEEPINDS</t>
        </is>
      </c>
      <c r="B966" t="inlineStr">
        <is>
          <t xml:space="preserve">Deep Industries Limited</t>
        </is>
      </c>
      <c r="C966" t="inlineStr">
        <is>
          <t xml:space="preserve">INE0FHS01024</t>
        </is>
      </c>
    </row>
    <row r="967">
      <c r="A967" t="inlineStr">
        <is>
          <t xml:space="preserve">DEEP</t>
        </is>
      </c>
      <c r="B967" t="inlineStr">
        <is>
          <t xml:space="preserve">Deep Polymers Limited</t>
        </is>
      </c>
      <c r="C967" t="inlineStr">
        <is>
          <t xml:space="preserve">INE00IY01012</t>
        </is>
      </c>
    </row>
    <row r="968">
      <c r="A968" t="inlineStr">
        <is>
          <t xml:space="preserve">DBEIL</t>
        </is>
      </c>
      <c r="B968" t="inlineStr">
        <is>
          <t xml:space="preserve">Deepak Builders and Engineers</t>
        </is>
      </c>
      <c r="C968" t="inlineStr">
        <is>
          <t xml:space="preserve">INE0OPA01027</t>
        </is>
      </c>
    </row>
    <row r="969">
      <c r="A969" t="inlineStr">
        <is>
          <t xml:space="preserve">DEEPAKCHEM</t>
        </is>
      </c>
      <c r="B969" t="inlineStr">
        <is>
          <t xml:space="preserve">DEEPAK CHEMTEX LIMITED</t>
        </is>
      </c>
      <c r="C969" t="inlineStr">
        <is>
          <t xml:space="preserve">INE0RDM01013</t>
        </is>
      </c>
    </row>
    <row r="970">
      <c r="A970" t="inlineStr">
        <is>
          <t xml:space="preserve">DEEPAKFERT</t>
        </is>
      </c>
      <c r="B970" t="inlineStr">
        <is>
          <t xml:space="preserve">DEEPAK FERTILISERS &amp; PETROCHEM</t>
        </is>
      </c>
      <c r="C970" t="inlineStr">
        <is>
          <t xml:space="preserve">INE501A01019</t>
        </is>
      </c>
    </row>
    <row r="971">
      <c r="A971" t="inlineStr">
        <is>
          <t xml:space="preserve">DEEPAKNTR</t>
        </is>
      </c>
      <c r="B971" t="inlineStr">
        <is>
          <t xml:space="preserve">DEEPAK NITRITE LTD.</t>
        </is>
      </c>
      <c r="C971" t="inlineStr">
        <is>
          <t xml:space="preserve">INE288B01029</t>
        </is>
      </c>
    </row>
    <row r="972">
      <c r="A972" t="inlineStr">
        <is>
          <t xml:space="preserve">DEEPAKSP</t>
        </is>
      </c>
      <c r="B972" t="inlineStr">
        <is>
          <t xml:space="preserve">DEEPAK SPINNERS LTD.</t>
        </is>
      </c>
      <c r="C972" t="inlineStr">
        <is>
          <t xml:space="preserve">INE272C01013</t>
        </is>
      </c>
    </row>
    <row r="973">
      <c r="A973" t="inlineStr">
        <is>
          <t xml:space="preserve">DEFRAIL</t>
        </is>
      </c>
      <c r="B973" t="inlineStr">
        <is>
          <t xml:space="preserve">Defrail Technologies Limited</t>
        </is>
      </c>
      <c r="C973" t="inlineStr">
        <is>
          <t xml:space="preserve">INE0ZE201010</t>
        </is>
      </c>
    </row>
    <row r="974">
      <c r="A974" t="inlineStr">
        <is>
          <t xml:space="preserve">DELHIVERY</t>
        </is>
      </c>
      <c r="B974" t="inlineStr">
        <is>
          <t xml:space="preserve">Delhivery Limited</t>
        </is>
      </c>
      <c r="C974" t="inlineStr">
        <is>
          <t xml:space="preserve">INE148O01028</t>
        </is>
      </c>
    </row>
    <row r="975">
      <c r="A975" t="inlineStr">
        <is>
          <t xml:space="preserve">DELPHIFX</t>
        </is>
      </c>
      <c r="B975" t="inlineStr">
        <is>
          <t xml:space="preserve">DELPHI WORLD MONEY LIMITED</t>
        </is>
      </c>
      <c r="C975" t="inlineStr">
        <is>
          <t xml:space="preserve">INE726L01027</t>
        </is>
      </c>
    </row>
    <row r="976">
      <c r="A976" t="inlineStr">
        <is>
          <t xml:space="preserve">DELTACORP</t>
        </is>
      </c>
      <c r="B976" t="inlineStr">
        <is>
          <t xml:space="preserve">DELTA CORP LTD.</t>
        </is>
      </c>
      <c r="C976" t="inlineStr">
        <is>
          <t xml:space="preserve">INE124G01033</t>
        </is>
      </c>
    </row>
    <row r="977">
      <c r="A977" t="inlineStr">
        <is>
          <t xml:space="preserve">DELTA</t>
        </is>
      </c>
      <c r="B977" t="inlineStr">
        <is>
          <t xml:space="preserve">Delta Industrial Resources Lim</t>
        </is>
      </c>
      <c r="C977" t="inlineStr">
        <is>
          <t xml:space="preserve">INE681Q01015</t>
        </is>
      </c>
    </row>
    <row r="978">
      <c r="A978" t="inlineStr">
        <is>
          <t xml:space="preserve">DELTAMAGNT</t>
        </is>
      </c>
      <c r="B978" t="inlineStr">
        <is>
          <t xml:space="preserve">DELTA MANUFACTURING LIMITED</t>
        </is>
      </c>
      <c r="C978" t="inlineStr">
        <is>
          <t xml:space="preserve">INE393A01011</t>
        </is>
      </c>
    </row>
    <row r="979">
      <c r="A979" t="inlineStr">
        <is>
          <t xml:space="preserve">DLTNCBL</t>
        </is>
      </c>
      <c r="B979" t="inlineStr">
        <is>
          <t xml:space="preserve">DELTON CABLES LTD.</t>
        </is>
      </c>
      <c r="C979" t="inlineStr">
        <is>
          <t xml:space="preserve">INE872E01016</t>
        </is>
      </c>
    </row>
    <row r="980">
      <c r="A980" t="inlineStr">
        <is>
          <t xml:space="preserve">DEN</t>
        </is>
      </c>
      <c r="B980" t="inlineStr">
        <is>
          <t xml:space="preserve">DEN NETWORKS LTD</t>
        </is>
      </c>
      <c r="C980" t="inlineStr">
        <is>
          <t xml:space="preserve">INE947J01015</t>
        </is>
      </c>
    </row>
    <row r="981">
      <c r="A981" t="inlineStr">
        <is>
          <t xml:space="preserve">DENISCHEM</t>
        </is>
      </c>
      <c r="B981" t="inlineStr">
        <is>
          <t xml:space="preserve">DENIS CHEM LAB LTD</t>
        </is>
      </c>
      <c r="C981" t="inlineStr">
        <is>
          <t xml:space="preserve">INE051G01012</t>
        </is>
      </c>
    </row>
    <row r="982">
      <c r="A982" t="inlineStr">
        <is>
          <t xml:space="preserve">DENTA</t>
        </is>
      </c>
      <c r="B982" t="inlineStr">
        <is>
          <t xml:space="preserve">Denta Water and Infra Solution</t>
        </is>
      </c>
      <c r="C982" t="inlineStr">
        <is>
          <t xml:space="preserve">INE0R4L01018</t>
        </is>
      </c>
    </row>
    <row r="983">
      <c r="A983" t="inlineStr">
        <is>
          <t xml:space="preserve">DESCO</t>
        </is>
      </c>
      <c r="B983" t="inlineStr">
        <is>
          <t xml:space="preserve">Desco Infratech Limited</t>
        </is>
      </c>
      <c r="C983" t="inlineStr">
        <is>
          <t xml:space="preserve">INE0TGG01014</t>
        </is>
      </c>
    </row>
    <row r="984">
      <c r="A984" t="inlineStr">
        <is>
          <t xml:space="preserve">DEVX</t>
        </is>
      </c>
      <c r="B984" t="inlineStr">
        <is>
          <t xml:space="preserve">Dev Accelerator Limited</t>
        </is>
      </c>
      <c r="C984" t="inlineStr">
        <is>
          <t xml:space="preserve">INE0VOV01021</t>
        </is>
      </c>
    </row>
    <row r="985">
      <c r="A985" t="inlineStr">
        <is>
          <t xml:space="preserve">DEVIT</t>
        </is>
      </c>
      <c r="B985" t="inlineStr">
        <is>
          <t xml:space="preserve">DEV INFORMATION TECHNOLOGY LIM</t>
        </is>
      </c>
      <c r="C985" t="inlineStr">
        <is>
          <t xml:space="preserve">INE060X01034</t>
        </is>
      </c>
    </row>
    <row r="986">
      <c r="A986" t="inlineStr">
        <is>
          <t xml:space="preserve">DEVLAB</t>
        </is>
      </c>
      <c r="B986" t="inlineStr">
        <is>
          <t xml:space="preserve">Dev Labtech Venture Limited</t>
        </is>
      </c>
      <c r="C986" t="inlineStr">
        <is>
          <t xml:space="preserve">INE0NIJ01025</t>
        </is>
      </c>
    </row>
    <row r="987">
      <c r="A987" t="inlineStr">
        <is>
          <t xml:space="preserve">DEVYANI</t>
        </is>
      </c>
      <c r="B987" t="inlineStr">
        <is>
          <t xml:space="preserve">Devyani International Limited</t>
        </is>
      </c>
      <c r="C987" t="inlineStr">
        <is>
          <t xml:space="preserve">INE872J01023</t>
        </is>
      </c>
    </row>
    <row r="988">
      <c r="A988" t="inlineStr">
        <is>
          <t xml:space="preserve">DHABRIYA</t>
        </is>
      </c>
      <c r="B988" t="inlineStr">
        <is>
          <t xml:space="preserve">Dhabriya Polywood Limited</t>
        </is>
      </c>
      <c r="C988" t="inlineStr">
        <is>
          <t xml:space="preserve">INE260R01016</t>
        </is>
      </c>
    </row>
    <row r="989">
      <c r="A989" t="inlineStr">
        <is>
          <t xml:space="preserve">DBOL</t>
        </is>
      </c>
      <c r="B989" t="inlineStr">
        <is>
          <t xml:space="preserve">Dhampur Bio Organics Limited</t>
        </is>
      </c>
      <c r="C989" t="inlineStr">
        <is>
          <t xml:space="preserve">INE0I3401014</t>
        </is>
      </c>
    </row>
    <row r="990">
      <c r="A990" t="inlineStr">
        <is>
          <t xml:space="preserve">DHAMPURSUG</t>
        </is>
      </c>
      <c r="B990" t="inlineStr">
        <is>
          <t xml:space="preserve">DHAMPUR SUGAR MILLS LTD.</t>
        </is>
      </c>
      <c r="C990" t="inlineStr">
        <is>
          <t xml:space="preserve">INE041A01016</t>
        </is>
      </c>
    </row>
    <row r="991">
      <c r="A991" t="inlineStr">
        <is>
          <t xml:space="preserve">DHAMPURE</t>
        </is>
      </c>
      <c r="B991" t="inlineStr">
        <is>
          <t xml:space="preserve">DHAMPURE SPECIALITY SUGARS LTD</t>
        </is>
      </c>
      <c r="C991" t="inlineStr">
        <is>
          <t xml:space="preserve">INE956B01013</t>
        </is>
      </c>
    </row>
    <row r="992">
      <c r="A992" t="inlineStr">
        <is>
          <t xml:space="preserve">DHANROTO</t>
        </is>
      </c>
      <c r="B992" t="inlineStr">
        <is>
          <t xml:space="preserve">DHANALAXMI ROTO SPINNERS LTD.</t>
        </is>
      </c>
      <c r="C992" t="inlineStr">
        <is>
          <t xml:space="preserve">INE220C01012</t>
        </is>
      </c>
    </row>
    <row r="993">
      <c r="A993" t="inlineStr">
        <is>
          <t xml:space="preserve">DEL</t>
        </is>
      </c>
      <c r="B993" t="inlineStr">
        <is>
          <t xml:space="preserve">Dhanashree Electronics Limited</t>
        </is>
      </c>
      <c r="C993" t="inlineStr">
        <is>
          <t xml:space="preserve">INE413F01016</t>
        </is>
      </c>
    </row>
    <row r="994">
      <c r="A994" t="inlineStr">
        <is>
          <t xml:space="preserve">DHANBANK</t>
        </is>
      </c>
      <c r="B994" t="inlineStr">
        <is>
          <t xml:space="preserve">DHANLAXMI BANK LIMITED</t>
        </is>
      </c>
      <c r="C994" t="inlineStr">
        <is>
          <t xml:space="preserve">INE680A01011</t>
        </is>
      </c>
    </row>
    <row r="995">
      <c r="A995" t="inlineStr">
        <is>
          <t xml:space="preserve">DHANCOT</t>
        </is>
      </c>
      <c r="B995" t="inlineStr">
        <is>
          <t xml:space="preserve">DHANLAXMI COTEX LTD.</t>
        </is>
      </c>
      <c r="C995" t="inlineStr">
        <is>
          <t xml:space="preserve">INE977F01010</t>
        </is>
      </c>
    </row>
    <row r="996">
      <c r="A996" t="inlineStr">
        <is>
          <t xml:space="preserve">DHANSAFAL</t>
        </is>
      </c>
      <c r="B996" t="inlineStr">
        <is>
          <t xml:space="preserve">DHANSAFAL FINSERVE LIMITED</t>
        </is>
      </c>
      <c r="C996" t="inlineStr">
        <is>
          <t xml:space="preserve">INE195E01020</t>
        </is>
      </c>
    </row>
    <row r="997">
      <c r="A997" t="inlineStr">
        <is>
          <t xml:space="preserve">DHANUKA</t>
        </is>
      </c>
      <c r="B997" t="inlineStr">
        <is>
          <t xml:space="preserve">DHANUKA AGRITECH LTD.</t>
        </is>
      </c>
      <c r="C997" t="inlineStr">
        <is>
          <t xml:space="preserve">INE435G01025</t>
        </is>
      </c>
    </row>
    <row r="998">
      <c r="A998" t="inlineStr">
        <is>
          <t xml:space="preserve">ZDHJERK</t>
        </is>
      </c>
      <c r="B998" t="inlineStr">
        <is>
          <t xml:space="preserve">DHANVANTRI JEEVAN REKHA LTD.</t>
        </is>
      </c>
      <c r="C998" t="inlineStr">
        <is>
          <t xml:space="preserve">INE239F01015</t>
        </is>
      </c>
    </row>
    <row r="999">
      <c r="A999" t="inlineStr">
        <is>
          <t xml:space="preserve">DHARAN</t>
        </is>
      </c>
      <c r="B999" t="inlineStr">
        <is>
          <t xml:space="preserve">DHARAN INFRA-EPC LIMITED</t>
        </is>
      </c>
      <c r="C999" t="inlineStr">
        <is>
          <t xml:space="preserve">INE278R01034</t>
        </is>
      </c>
    </row>
    <row r="1000">
      <c r="A1000" t="inlineStr">
        <is>
          <t xml:space="preserve">DHARFIN</t>
        </is>
      </c>
      <c r="B1000" t="inlineStr">
        <is>
          <t xml:space="preserve">DHARANI FINANCE LTD.</t>
        </is>
      </c>
      <c r="C1000" t="inlineStr">
        <is>
          <t xml:space="preserve">INE899D01011</t>
        </is>
      </c>
    </row>
    <row r="1001">
      <c r="A1001" t="inlineStr">
        <is>
          <t xml:space="preserve">DHARMAJ</t>
        </is>
      </c>
      <c r="B1001" t="inlineStr">
        <is>
          <t xml:space="preserve">Dharmaj Crop Guard Limited</t>
        </is>
      </c>
      <c r="C1001" t="inlineStr">
        <is>
          <t xml:space="preserve">INE00OQ01016</t>
        </is>
      </c>
    </row>
    <row r="1002">
      <c r="A1002" t="inlineStr">
        <is>
          <t xml:space="preserve">DHATRE</t>
        </is>
      </c>
      <c r="B1002" t="inlineStr">
        <is>
          <t xml:space="preserve">Dhatre Udyog Limited</t>
        </is>
      </c>
      <c r="C1002" t="inlineStr">
        <is>
          <t xml:space="preserve">INE715T01031</t>
        </is>
      </c>
    </row>
    <row r="1003">
      <c r="A1003" t="inlineStr">
        <is>
          <t xml:space="preserve">DHENUBUILD</t>
        </is>
      </c>
      <c r="B1003" t="inlineStr">
        <is>
          <t xml:space="preserve">DHENU BUILDCON INFRA LTD.</t>
        </is>
      </c>
      <c r="C1003" t="inlineStr">
        <is>
          <t xml:space="preserve">INE758D01027</t>
        </is>
      </c>
    </row>
    <row r="1004">
      <c r="A1004" t="inlineStr">
        <is>
          <t xml:space="preserve">DHOOTIN</t>
        </is>
      </c>
      <c r="B1004" t="inlineStr">
        <is>
          <t xml:space="preserve">DHOOT INDUSTRIAL FINANCE LTD.</t>
        </is>
      </c>
      <c r="C1004" t="inlineStr">
        <is>
          <t xml:space="preserve">INE313G01016</t>
        </is>
      </c>
    </row>
    <row r="1005">
      <c r="A1005" t="inlineStr">
        <is>
          <t xml:space="preserve">DHPIND</t>
        </is>
      </c>
      <c r="B1005" t="inlineStr">
        <is>
          <t xml:space="preserve">DHP INDIA LTD.</t>
        </is>
      </c>
      <c r="C1005" t="inlineStr">
        <is>
          <t xml:space="preserve">INE590D01016</t>
        </is>
      </c>
    </row>
    <row r="1006">
      <c r="A1006" t="inlineStr">
        <is>
          <t xml:space="preserve">DHRUV</t>
        </is>
      </c>
      <c r="B1006" t="inlineStr">
        <is>
          <t xml:space="preserve">Dhruv Consultancy Services Lim</t>
        </is>
      </c>
      <c r="C1006" t="inlineStr">
        <is>
          <t xml:space="preserve">INE506Z01015</t>
        </is>
      </c>
    </row>
    <row r="1007">
      <c r="A1007" t="inlineStr">
        <is>
          <t xml:space="preserve">DHRUVCA</t>
        </is>
      </c>
      <c r="B1007" t="inlineStr">
        <is>
          <t xml:space="preserve">DHRUVA CAPITAL SERVICES LTD.</t>
        </is>
      </c>
      <c r="C1007" t="inlineStr">
        <is>
          <t xml:space="preserve">INE972E01014</t>
        </is>
      </c>
    </row>
    <row r="1008">
      <c r="A1008" t="inlineStr">
        <is>
          <t xml:space="preserve">DHUNINV</t>
        </is>
      </c>
      <c r="B1008" t="inlineStr">
        <is>
          <t xml:space="preserve">DHUNSERI INVESTMENTS LTD.</t>
        </is>
      </c>
      <c r="C1008" t="inlineStr">
        <is>
          <t xml:space="preserve">INE320L01011</t>
        </is>
      </c>
    </row>
    <row r="1009">
      <c r="A1009" t="inlineStr">
        <is>
          <t xml:space="preserve">DTIL</t>
        </is>
      </c>
      <c r="B1009" t="inlineStr">
        <is>
          <t xml:space="preserve">Dhunseri Tea &amp; Industries Ltd</t>
        </is>
      </c>
      <c r="C1009" t="inlineStr">
        <is>
          <t xml:space="preserve">INE341R01014</t>
        </is>
      </c>
    </row>
    <row r="1010">
      <c r="A1010" t="inlineStr">
        <is>
          <t xml:space="preserve">DVL</t>
        </is>
      </c>
      <c r="B1010" t="inlineStr">
        <is>
          <t xml:space="preserve">Dhunseri Ventures Limited</t>
        </is>
      </c>
      <c r="C1010" t="inlineStr">
        <is>
          <t xml:space="preserve">INE477B01010</t>
        </is>
      </c>
    </row>
    <row r="1011">
      <c r="A1011" t="inlineStr">
        <is>
          <t xml:space="preserve">DHYAANITR</t>
        </is>
      </c>
      <c r="B1011" t="inlineStr">
        <is>
          <t xml:space="preserve">DHYAANI TRADEVENTTURES LIMITED</t>
        </is>
      </c>
      <c r="C1011" t="inlineStr">
        <is>
          <t xml:space="preserve">INE0K5F01014</t>
        </is>
      </c>
    </row>
    <row r="1012">
      <c r="A1012" t="inlineStr">
        <is>
          <t xml:space="preserve">DIAMINESQ</t>
        </is>
      </c>
      <c r="B1012" t="inlineStr">
        <is>
          <t xml:space="preserve">DIAMINES &amp; CHEMICALS LTD.</t>
        </is>
      </c>
      <c r="C1012" t="inlineStr">
        <is>
          <t xml:space="preserve">INE591D01014</t>
        </is>
      </c>
    </row>
    <row r="1013">
      <c r="A1013" t="inlineStr">
        <is>
          <t xml:space="preserve">DIACABS</t>
        </is>
      </c>
      <c r="B1013" t="inlineStr">
        <is>
          <t xml:space="preserve">DIAMOND POWER INFRASTRUCTURE L</t>
        </is>
      </c>
      <c r="C1013" t="inlineStr">
        <is>
          <t xml:space="preserve">INE989C01038</t>
        </is>
      </c>
    </row>
    <row r="1014">
      <c r="A1014" t="inlineStr">
        <is>
          <t xml:space="preserve">DIANATEA</t>
        </is>
      </c>
      <c r="B1014" t="inlineStr">
        <is>
          <t xml:space="preserve">DIANA TEA CO.LTD.</t>
        </is>
      </c>
      <c r="C1014" t="inlineStr">
        <is>
          <t xml:space="preserve">INE012E01035</t>
        </is>
      </c>
    </row>
    <row r="1015">
      <c r="A1015" t="inlineStr">
        <is>
          <t xml:space="preserve">DICIND</t>
        </is>
      </c>
      <c r="B1015" t="inlineStr">
        <is>
          <t xml:space="preserve">DIC INDIA LTD.</t>
        </is>
      </c>
      <c r="C1015" t="inlineStr">
        <is>
          <t xml:space="preserve">INE303A01010</t>
        </is>
      </c>
    </row>
    <row r="1016">
      <c r="A1016" t="inlineStr">
        <is>
          <t xml:space="preserve">DIFFNKG</t>
        </is>
      </c>
      <c r="B1016" t="inlineStr">
        <is>
          <t xml:space="preserve">Diffusion Engineers Limited</t>
        </is>
      </c>
      <c r="C1016" t="inlineStr">
        <is>
          <t xml:space="preserve">INE184O01015</t>
        </is>
      </c>
    </row>
    <row r="1017">
      <c r="A1017" t="inlineStr">
        <is>
          <t xml:space="preserve">DGCONTENT</t>
        </is>
      </c>
      <c r="B1017" t="inlineStr">
        <is>
          <t xml:space="preserve">Digicontent Limited</t>
        </is>
      </c>
      <c r="C1017" t="inlineStr">
        <is>
          <t xml:space="preserve">INE03JI01017</t>
        </is>
      </c>
    </row>
    <row r="1018">
      <c r="A1018" t="inlineStr">
        <is>
          <t xml:space="preserve">DIGIDRIVE</t>
        </is>
      </c>
      <c r="B1018" t="inlineStr">
        <is>
          <t xml:space="preserve">DIGIDRIVE DISTRIBUTORS LIMITED</t>
        </is>
      </c>
      <c r="C1018" t="inlineStr">
        <is>
          <t xml:space="preserve">INE0PSC01024</t>
        </is>
      </c>
    </row>
    <row r="1019">
      <c r="A1019" t="inlineStr">
        <is>
          <t xml:space="preserve">DIGILOGIC</t>
        </is>
      </c>
      <c r="B1019" t="inlineStr">
        <is>
          <t xml:space="preserve">DIGILOGIC SYSTEMS LIMITED</t>
        </is>
      </c>
      <c r="C1019" t="inlineStr">
        <is>
          <t xml:space="preserve">INE1OOT01028</t>
        </is>
      </c>
    </row>
    <row r="1020">
      <c r="A1020" t="inlineStr">
        <is>
          <t xml:space="preserve">DIGISPICE</t>
        </is>
      </c>
      <c r="B1020" t="inlineStr">
        <is>
          <t xml:space="preserve">DIGISPICE TECHNOLOGIES LIMITED</t>
        </is>
      </c>
      <c r="C1020" t="inlineStr">
        <is>
          <t xml:space="preserve">INE927C01020</t>
        </is>
      </c>
    </row>
    <row r="1021">
      <c r="A1021" t="inlineStr">
        <is>
          <t xml:space="preserve">DIGITIDE</t>
        </is>
      </c>
      <c r="B1021" t="inlineStr">
        <is>
          <t xml:space="preserve">Digitide Solutions Limited</t>
        </is>
      </c>
      <c r="C1021" t="inlineStr">
        <is>
          <t xml:space="preserve">INE0U4701011</t>
        </is>
      </c>
    </row>
    <row r="1022">
      <c r="A1022" t="inlineStr">
        <is>
          <t xml:space="preserve">DIGJAMLMTD</t>
        </is>
      </c>
      <c r="B1022" t="inlineStr">
        <is>
          <t xml:space="preserve">DIGJAM LIMITED</t>
        </is>
      </c>
      <c r="C1022" t="inlineStr">
        <is>
          <t xml:space="preserve">INE731U01028</t>
        </is>
      </c>
    </row>
    <row r="1023">
      <c r="A1023" t="inlineStr">
        <is>
          <t xml:space="preserve">DIKSHA</t>
        </is>
      </c>
      <c r="B1023" t="inlineStr">
        <is>
          <t xml:space="preserve">DIKSHA POLYMERS LIMITED</t>
        </is>
      </c>
      <c r="C1023" t="inlineStr">
        <is>
          <t xml:space="preserve">INE1OSI01014</t>
        </is>
      </c>
    </row>
    <row r="1024">
      <c r="A1024" t="inlineStr">
        <is>
          <t xml:space="preserve">DILIGENT</t>
        </is>
      </c>
      <c r="B1024" t="inlineStr">
        <is>
          <t xml:space="preserve">DILIGENT INDUSTRIES LTD.</t>
        </is>
      </c>
      <c r="C1024" t="inlineStr">
        <is>
          <t xml:space="preserve">INE650C01036</t>
        </is>
      </c>
    </row>
    <row r="1025">
      <c r="A1025" t="inlineStr">
        <is>
          <t xml:space="preserve">DNAMEDIA</t>
        </is>
      </c>
      <c r="B1025" t="inlineStr">
        <is>
          <t xml:space="preserve">Diligent Media Corporation Lim</t>
        </is>
      </c>
      <c r="C1025" t="inlineStr">
        <is>
          <t xml:space="preserve">INE016M01021</t>
        </is>
      </c>
    </row>
    <row r="1026">
      <c r="A1026" t="inlineStr">
        <is>
          <t xml:space="preserve">DBL</t>
        </is>
      </c>
      <c r="B1026" t="inlineStr">
        <is>
          <t xml:space="preserve">Dilip Buildcon Limited</t>
        </is>
      </c>
      <c r="C1026" t="inlineStr">
        <is>
          <t xml:space="preserve">INE917M01012</t>
        </is>
      </c>
    </row>
    <row r="1027">
      <c r="A1027" t="inlineStr">
        <is>
          <t xml:space="preserve">DFPL</t>
        </is>
      </c>
      <c r="B1027" t="inlineStr">
        <is>
          <t xml:space="preserve">DINDIGUL FARM PRODUCT LIMITED</t>
        </is>
      </c>
      <c r="C1027" t="inlineStr">
        <is>
          <t xml:space="preserve">INE0S6R01027</t>
        </is>
      </c>
    </row>
    <row r="1028">
      <c r="A1028" t="inlineStr">
        <is>
          <t xml:space="preserve">DPL</t>
        </is>
      </c>
      <c r="B1028" t="inlineStr">
        <is>
          <t xml:space="preserve">DIPNA PHARMACHEM LIMITED</t>
        </is>
      </c>
      <c r="C1028" t="inlineStr">
        <is>
          <t xml:space="preserve">INE0MC401013</t>
        </is>
      </c>
    </row>
    <row r="1029">
      <c r="A1029" t="inlineStr">
        <is>
          <t xml:space="preserve">DISAQ</t>
        </is>
      </c>
      <c r="B1029" t="inlineStr">
        <is>
          <t xml:space="preserve">DISA INDIA LTD.</t>
        </is>
      </c>
      <c r="C1029" t="inlineStr">
        <is>
          <t xml:space="preserve">INE131C01011</t>
        </is>
      </c>
    </row>
    <row r="1030">
      <c r="A1030" t="inlineStr">
        <is>
          <t xml:space="preserve">DISHTV</t>
        </is>
      </c>
      <c r="B1030" t="inlineStr">
        <is>
          <t xml:space="preserve">DISH TV INDIA LTD.</t>
        </is>
      </c>
      <c r="C1030" t="inlineStr">
        <is>
          <t xml:space="preserve">INE836F01026</t>
        </is>
      </c>
    </row>
    <row r="1031">
      <c r="A1031" t="inlineStr">
        <is>
          <t xml:space="preserve">DRL</t>
        </is>
      </c>
      <c r="B1031" t="inlineStr">
        <is>
          <t xml:space="preserve">DISHA RESOURCES LIMITED</t>
        </is>
      </c>
      <c r="C1031" t="inlineStr">
        <is>
          <t xml:space="preserve">INE193D01019</t>
        </is>
      </c>
    </row>
    <row r="1032">
      <c r="A1032" t="inlineStr">
        <is>
          <t xml:space="preserve">DCAL</t>
        </is>
      </c>
      <c r="B1032" t="inlineStr">
        <is>
          <t xml:space="preserve">Dishman Carbogen Amcis Limited</t>
        </is>
      </c>
      <c r="C1032" t="inlineStr">
        <is>
          <t xml:space="preserve">INE385W01011</t>
        </is>
      </c>
    </row>
    <row r="1033">
      <c r="A1033" t="inlineStr">
        <is>
          <t xml:space="preserve">DIVGIITTS</t>
        </is>
      </c>
      <c r="B1033" t="inlineStr">
        <is>
          <t xml:space="preserve">DIVGI TORQTRANSFER SYSTEMS LIM</t>
        </is>
      </c>
      <c r="C1033" t="inlineStr">
        <is>
          <t xml:space="preserve">INE753U01022</t>
        </is>
      </c>
    </row>
    <row r="1034">
      <c r="A1034" t="inlineStr">
        <is>
          <t xml:space="preserve">DIVISLAB</t>
        </is>
      </c>
      <c r="B1034" t="inlineStr">
        <is>
          <t xml:space="preserve">DIVIS LABORATORIES LTD.</t>
        </is>
      </c>
      <c r="C1034" t="inlineStr">
        <is>
          <t xml:space="preserve">INE361B01024</t>
        </is>
      </c>
    </row>
    <row r="1035">
      <c r="A1035" t="inlineStr">
        <is>
          <t xml:space="preserve">DIVSHKT</t>
        </is>
      </c>
      <c r="B1035" t="inlineStr">
        <is>
          <t xml:space="preserve">DIVYASHAKTI LIMITED</t>
        </is>
      </c>
      <c r="C1035" t="inlineStr">
        <is>
          <t xml:space="preserve">INE410G01010</t>
        </is>
      </c>
    </row>
    <row r="1036">
      <c r="A1036" t="inlineStr">
        <is>
          <t xml:space="preserve">DIXON</t>
        </is>
      </c>
      <c r="B1036" t="inlineStr">
        <is>
          <t xml:space="preserve">Dixon Technologies (India) Lim</t>
        </is>
      </c>
      <c r="C1036" t="inlineStr">
        <is>
          <t xml:space="preserve">INE935N01020</t>
        </is>
      </c>
    </row>
    <row r="1037">
      <c r="A1037" t="inlineStr">
        <is>
          <t xml:space="preserve">DJML</t>
        </is>
      </c>
      <c r="B1037" t="inlineStr">
        <is>
          <t xml:space="preserve">DJ Mediaprint &amp; Logistics Limi</t>
        </is>
      </c>
      <c r="C1037" t="inlineStr">
        <is>
          <t xml:space="preserve">INE0B1K01014</t>
        </is>
      </c>
    </row>
    <row r="1038">
      <c r="A1038" t="inlineStr">
        <is>
          <t xml:space="preserve">DJSSS</t>
        </is>
      </c>
      <c r="B1038" t="inlineStr">
        <is>
          <t xml:space="preserve">DJS STOCK &amp; SHARES LTD.</t>
        </is>
      </c>
      <c r="C1038" t="inlineStr">
        <is>
          <t xml:space="preserve">INE234E01027</t>
        </is>
      </c>
    </row>
    <row r="1039">
      <c r="A1039" t="inlineStr">
        <is>
          <t xml:space="preserve">11DKGFSF28</t>
        </is>
      </c>
      <c r="B1039" t="inlineStr">
        <is>
          <t xml:space="preserve">DKGFSF-11%-7-1-28-PVT</t>
        </is>
      </c>
      <c r="C1039" t="inlineStr">
        <is>
          <t xml:space="preserve">INE179P07613</t>
        </is>
      </c>
    </row>
    <row r="1040">
      <c r="A1040" t="inlineStr">
        <is>
          <t xml:space="preserve">DLF</t>
        </is>
      </c>
      <c r="B1040" t="inlineStr">
        <is>
          <t xml:space="preserve">DLF LTD.</t>
        </is>
      </c>
      <c r="C1040" t="inlineStr">
        <is>
          <t xml:space="preserve">INE271C01023</t>
        </is>
      </c>
    </row>
    <row r="1041">
      <c r="A1041" t="inlineStr">
        <is>
          <t xml:space="preserve">DMCC</t>
        </is>
      </c>
      <c r="B1041" t="inlineStr">
        <is>
          <t xml:space="preserve">DMCC SPECIALITY CHEMICALS LIMI</t>
        </is>
      </c>
      <c r="C1041" t="inlineStr">
        <is>
          <t xml:space="preserve">INE505A01010</t>
        </is>
      </c>
    </row>
    <row r="1042">
      <c r="A1042" t="inlineStr">
        <is>
          <t xml:space="preserve">DMR</t>
        </is>
      </c>
      <c r="B1042" t="inlineStr">
        <is>
          <t xml:space="preserve">DMR ENGINEERING LIMITED</t>
        </is>
      </c>
      <c r="C1042" t="inlineStr">
        <is>
          <t xml:space="preserve">INE07L501010</t>
        </is>
      </c>
    </row>
    <row r="1043">
      <c r="A1043" t="inlineStr">
        <is>
          <t xml:space="preserve">DODLA</t>
        </is>
      </c>
      <c r="B1043" t="inlineStr">
        <is>
          <t xml:space="preserve">Dodla Dairy Limited</t>
        </is>
      </c>
      <c r="C1043" t="inlineStr">
        <is>
          <t xml:space="preserve">INE021O01019</t>
        </is>
      </c>
    </row>
    <row r="1044">
      <c r="A1044" t="inlineStr">
        <is>
          <t xml:space="preserve">DOLATALGO</t>
        </is>
      </c>
      <c r="B1044" t="inlineStr">
        <is>
          <t xml:space="preserve">DOLAT ALGOTECH LIMITED</t>
        </is>
      </c>
      <c r="C1044" t="inlineStr">
        <is>
          <t xml:space="preserve">INE966A01022</t>
        </is>
      </c>
    </row>
    <row r="1045">
      <c r="A1045" t="inlineStr">
        <is>
          <t xml:space="preserve">DOLFIN</t>
        </is>
      </c>
      <c r="B1045" t="inlineStr">
        <is>
          <t xml:space="preserve">Dolfin Rubbers Limited</t>
        </is>
      </c>
      <c r="C1045" t="inlineStr">
        <is>
          <t xml:space="preserve">INE666Y01010</t>
        </is>
      </c>
    </row>
    <row r="1046">
      <c r="A1046" t="inlineStr">
        <is>
          <t xml:space="preserve">DOLLAR</t>
        </is>
      </c>
      <c r="B1046" t="inlineStr">
        <is>
          <t xml:space="preserve">Dollar Industries Limited</t>
        </is>
      </c>
      <c r="C1046" t="inlineStr">
        <is>
          <t xml:space="preserve">INE325C01035</t>
        </is>
      </c>
    </row>
    <row r="1047">
      <c r="A1047" t="inlineStr">
        <is>
          <t xml:space="preserve">DKUAL</t>
        </is>
      </c>
      <c r="B1047" t="inlineStr">
        <is>
          <t xml:space="preserve">Dolphin Kitchen Utensils and A</t>
        </is>
      </c>
      <c r="C1047" t="inlineStr">
        <is>
          <t xml:space="preserve">INE0QXT01018</t>
        </is>
      </c>
    </row>
    <row r="1048">
      <c r="A1048" t="inlineStr">
        <is>
          <t xml:space="preserve">DOLPHIN</t>
        </is>
      </c>
      <c r="B1048" t="inlineStr">
        <is>
          <t xml:space="preserve">DOLPHIN OFFSHORE ENTERPRISES (</t>
        </is>
      </c>
      <c r="C1048" t="inlineStr">
        <is>
          <t xml:space="preserve">INE920A01037</t>
        </is>
      </c>
    </row>
    <row r="1049">
      <c r="A1049" t="inlineStr">
        <is>
          <t xml:space="preserve">DOMS</t>
        </is>
      </c>
      <c r="B1049" t="inlineStr">
        <is>
          <t xml:space="preserve">DOMS Industries Limited</t>
        </is>
      </c>
      <c r="C1049" t="inlineStr">
        <is>
          <t xml:space="preserve">INE321T01012</t>
        </is>
      </c>
    </row>
    <row r="1050">
      <c r="A1050" t="inlineStr">
        <is>
          <t xml:space="preserve">DONEAR</t>
        </is>
      </c>
      <c r="B1050" t="inlineStr">
        <is>
          <t xml:space="preserve">DONEAR INDUSTRIES LTD.</t>
        </is>
      </c>
      <c r="C1050" t="inlineStr">
        <is>
          <t xml:space="preserve">INE668D01028</t>
        </is>
      </c>
    </row>
    <row r="1051">
      <c r="A1051" t="inlineStr">
        <is>
          <t xml:space="preserve">AGARWALEYE</t>
        </is>
      </c>
      <c r="B1051" t="inlineStr">
        <is>
          <t xml:space="preserve">Dr. Agarwal's Health Care Limi</t>
        </is>
      </c>
      <c r="C1051" t="inlineStr">
        <is>
          <t xml:space="preserve">INE943P01029</t>
        </is>
      </c>
    </row>
    <row r="1052">
      <c r="A1052" t="inlineStr">
        <is>
          <t xml:space="preserve">LALPATHLAB</t>
        </is>
      </c>
      <c r="B1052" t="inlineStr">
        <is>
          <t xml:space="preserve">Dr. Lal Pathlabs Limited</t>
        </is>
      </c>
      <c r="C1052" t="inlineStr">
        <is>
          <t xml:space="preserve">INE600L01024</t>
        </is>
      </c>
    </row>
    <row r="1053">
      <c r="A1053" t="inlineStr">
        <is>
          <t xml:space="preserve">DRAGARWQ</t>
        </is>
      </c>
      <c r="B1053" t="inlineStr">
        <is>
          <t xml:space="preserve">DR.AGARWALS EYE HOSPITAL LTD.</t>
        </is>
      </c>
      <c r="C1053" t="inlineStr">
        <is>
          <t xml:space="preserve">INE934C01018</t>
        </is>
      </c>
    </row>
    <row r="1054">
      <c r="A1054" t="inlineStr">
        <is>
          <t xml:space="preserve">DRREDDY</t>
        </is>
      </c>
      <c r="B1054" t="inlineStr">
        <is>
          <t xml:space="preserve">DR.REDDYS LABORATORIES LTD.</t>
        </is>
      </c>
      <c r="C1054" t="inlineStr">
        <is>
          <t xml:space="preserve">INE089A01031</t>
        </is>
      </c>
    </row>
    <row r="1055">
      <c r="A1055" t="inlineStr">
        <is>
          <t xml:space="preserve">DRCSYSTEMS</t>
        </is>
      </c>
      <c r="B1055" t="inlineStr">
        <is>
          <t xml:space="preserve">DRC Systems India Limited</t>
        </is>
      </c>
      <c r="C1055" t="inlineStr">
        <is>
          <t xml:space="preserve">INE03RS01027</t>
        </is>
      </c>
    </row>
    <row r="1056">
      <c r="A1056" t="inlineStr">
        <is>
          <t xml:space="preserve">DREAMFOLKS</t>
        </is>
      </c>
      <c r="B1056" t="inlineStr">
        <is>
          <t xml:space="preserve">DREAMFOLKS SERVICES LIMITED</t>
        </is>
      </c>
      <c r="C1056" t="inlineStr">
        <is>
          <t xml:space="preserve">INE0JS101016</t>
        </is>
      </c>
    </row>
    <row r="1057">
      <c r="A1057" t="inlineStr">
        <is>
          <t xml:space="preserve">DREDGECORP</t>
        </is>
      </c>
      <c r="B1057" t="inlineStr">
        <is>
          <t xml:space="preserve">DREDGING CORPORATION OF INDIA</t>
        </is>
      </c>
      <c r="C1057" t="inlineStr">
        <is>
          <t xml:space="preserve">INE506A01018</t>
        </is>
      </c>
    </row>
    <row r="1058">
      <c r="A1058" t="inlineStr">
        <is>
          <t xml:space="preserve">DRONACHRYA</t>
        </is>
      </c>
      <c r="B1058" t="inlineStr">
        <is>
          <t xml:space="preserve">Droneacharya Aerial Innovation</t>
        </is>
      </c>
      <c r="C1058" t="inlineStr">
        <is>
          <t xml:space="preserve">INE0MQD01015</t>
        </is>
      </c>
    </row>
    <row r="1059">
      <c r="A1059" t="inlineStr">
        <is>
          <t xml:space="preserve">KEEPLEARN</t>
        </is>
      </c>
      <c r="B1059" t="inlineStr">
        <is>
          <t xml:space="preserve">DSJ KEEP LEARNING LIMITED</t>
        </is>
      </c>
      <c r="C1059" t="inlineStr">
        <is>
          <t xml:space="preserve">INE055C01020</t>
        </is>
      </c>
    </row>
    <row r="1060">
      <c r="A1060" t="inlineStr">
        <is>
          <t xml:space="preserve">ZAPPFRESH</t>
        </is>
      </c>
      <c r="B1060" t="inlineStr">
        <is>
          <t xml:space="preserve">DSM Fresh Foods Limited</t>
        </is>
      </c>
      <c r="C1060" t="inlineStr">
        <is>
          <t xml:space="preserve">INE0SUM01015</t>
        </is>
      </c>
    </row>
    <row r="1061">
      <c r="A1061" t="inlineStr">
        <is>
          <t xml:space="preserve">DUCON</t>
        </is>
      </c>
      <c r="B1061" t="inlineStr">
        <is>
          <t xml:space="preserve">Ducon Infratechnologies Ltd</t>
        </is>
      </c>
      <c r="C1061" t="inlineStr">
        <is>
          <t xml:space="preserve">INE741L01018</t>
        </is>
      </c>
    </row>
    <row r="1062">
      <c r="A1062" t="inlineStr">
        <is>
          <t xml:space="preserve">DUKEOFS</t>
        </is>
      </c>
      <c r="B1062" t="inlineStr">
        <is>
          <t xml:space="preserve">DUKE OFFSHORE LTD.</t>
        </is>
      </c>
      <c r="C1062" t="inlineStr">
        <is>
          <t xml:space="preserve">INE397G01019</t>
        </is>
      </c>
    </row>
    <row r="1063">
      <c r="A1063" t="inlineStr">
        <is>
          <t xml:space="preserve">DUNCANENG</t>
        </is>
      </c>
      <c r="B1063" t="inlineStr">
        <is>
          <t xml:space="preserve">Duncan Engineering Limited</t>
        </is>
      </c>
      <c r="C1063" t="inlineStr">
        <is>
          <t xml:space="preserve">INE340F01011</t>
        </is>
      </c>
    </row>
    <row r="1064">
      <c r="A1064" t="inlineStr">
        <is>
          <t xml:space="preserve">DUROPACK</t>
        </is>
      </c>
      <c r="B1064" t="inlineStr">
        <is>
          <t xml:space="preserve">DUROPACK LTD.</t>
        </is>
      </c>
      <c r="C1064" t="inlineStr">
        <is>
          <t xml:space="preserve">INE138B01018</t>
        </is>
      </c>
    </row>
    <row r="1065">
      <c r="A1065" t="inlineStr">
        <is>
          <t xml:space="preserve">DUROPLY</t>
        </is>
      </c>
      <c r="B1065" t="inlineStr">
        <is>
          <t xml:space="preserve">DUROPLY INDUSTRIES LIMITED</t>
        </is>
      </c>
      <c r="C1065" t="inlineStr">
        <is>
          <t xml:space="preserve">INE932D01010</t>
        </is>
      </c>
    </row>
    <row r="1066">
      <c r="A1066" t="inlineStr">
        <is>
          <t xml:space="preserve">DUTRON</t>
        </is>
      </c>
      <c r="B1066" t="inlineStr">
        <is>
          <t xml:space="preserve">DUTRON POLYMERS LTD.</t>
        </is>
      </c>
      <c r="C1066" t="inlineStr">
        <is>
          <t xml:space="preserve">INE940C01015</t>
        </is>
      </c>
    </row>
    <row r="1067">
      <c r="A1067" t="inlineStr">
        <is>
          <t xml:space="preserve">DWARKESH</t>
        </is>
      </c>
      <c r="B1067" t="inlineStr">
        <is>
          <t xml:space="preserve">DWARIKESH SUGAR INDUSTRIES LTD</t>
        </is>
      </c>
      <c r="C1067" t="inlineStr">
        <is>
          <t xml:space="preserve">INE366A01041</t>
        </is>
      </c>
    </row>
    <row r="1068">
      <c r="A1068" t="inlineStr">
        <is>
          <t xml:space="preserve">DSSL</t>
        </is>
      </c>
      <c r="B1068" t="inlineStr">
        <is>
          <t xml:space="preserve">DYNACONS SYSTEMS &amp; SOLUTIONS L</t>
        </is>
      </c>
      <c r="C1068" t="inlineStr">
        <is>
          <t xml:space="preserve">INE417B01040</t>
        </is>
      </c>
    </row>
    <row r="1069">
      <c r="A1069" t="inlineStr">
        <is>
          <t xml:space="preserve">DYNAMATECH</t>
        </is>
      </c>
      <c r="B1069" t="inlineStr">
        <is>
          <t xml:space="preserve">DYNAMATIC TECHNOLOGIES LTD.</t>
        </is>
      </c>
      <c r="C1069" t="inlineStr">
        <is>
          <t xml:space="preserve">INE221B01012</t>
        </is>
      </c>
    </row>
    <row r="1070">
      <c r="A1070" t="inlineStr">
        <is>
          <t xml:space="preserve">DYCL</t>
        </is>
      </c>
      <c r="B1070" t="inlineStr">
        <is>
          <t xml:space="preserve">Dynamic Cables Limited</t>
        </is>
      </c>
      <c r="C1070" t="inlineStr">
        <is>
          <t xml:space="preserve">INE600Y01019</t>
        </is>
      </c>
    </row>
    <row r="1071">
      <c r="A1071" t="inlineStr">
        <is>
          <t xml:space="preserve">DYNAMICP</t>
        </is>
      </c>
      <c r="B1071" t="inlineStr">
        <is>
          <t xml:space="preserve">DYNAMIC PORTFOLIO MANAGEMENT &amp;</t>
        </is>
      </c>
      <c r="C1071" t="inlineStr">
        <is>
          <t xml:space="preserve">INE118C01018</t>
        </is>
      </c>
    </row>
    <row r="1072">
      <c r="A1072" t="inlineStr">
        <is>
          <t xml:space="preserve">DYNAVSN</t>
        </is>
      </c>
      <c r="B1072" t="inlineStr">
        <is>
          <t xml:space="preserve">DYNAVISION LTD.</t>
        </is>
      </c>
      <c r="C1072" t="inlineStr">
        <is>
          <t xml:space="preserve">INE083E01010</t>
        </is>
      </c>
    </row>
    <row r="1073">
      <c r="A1073" t="inlineStr">
        <is>
          <t xml:space="preserve">DYNPRO</t>
        </is>
      </c>
      <c r="B1073" t="inlineStr">
        <is>
          <t xml:space="preserve">DYNEMIC PRODUCTS LTD.</t>
        </is>
      </c>
      <c r="C1073" t="inlineStr">
        <is>
          <t xml:space="preserve">INE256H01015</t>
        </is>
      </c>
    </row>
    <row r="1074">
      <c r="A1074" t="inlineStr">
        <is>
          <t xml:space="preserve">ELAND</t>
        </is>
      </c>
      <c r="B1074" t="inlineStr">
        <is>
          <t xml:space="preserve">E-Land Apparel Limited</t>
        </is>
      </c>
      <c r="C1074" t="inlineStr">
        <is>
          <t xml:space="preserve">INE311H01018</t>
        </is>
      </c>
    </row>
    <row r="1075">
      <c r="A1075" t="inlineStr">
        <is>
          <t xml:space="preserve">EIDPARRY</t>
        </is>
      </c>
      <c r="B1075" t="inlineStr">
        <is>
          <t xml:space="preserve">E.I.D.-PARRY (INDIA) LTD.</t>
        </is>
      </c>
      <c r="C1075" t="inlineStr">
        <is>
          <t xml:space="preserve">INE126A01031</t>
        </is>
      </c>
    </row>
    <row r="1076">
      <c r="A1076" t="inlineStr">
        <is>
          <t xml:space="preserve">E2E</t>
        </is>
      </c>
      <c r="B1076" t="inlineStr">
        <is>
          <t xml:space="preserve">E2E Networks Limited</t>
        </is>
      </c>
      <c r="C1076" t="inlineStr">
        <is>
          <t xml:space="preserve">INE255Z01027</t>
        </is>
      </c>
    </row>
    <row r="1077">
      <c r="A1077" t="inlineStr">
        <is>
          <t xml:space="preserve">EASTBUILD</t>
        </is>
      </c>
      <c r="B1077" t="inlineStr">
        <is>
          <t xml:space="preserve">EAST BUILDTECH LTD.</t>
        </is>
      </c>
      <c r="C1077" t="inlineStr">
        <is>
          <t xml:space="preserve">INE706N01017</t>
        </is>
      </c>
    </row>
    <row r="1078">
      <c r="A1078" t="inlineStr">
        <is>
          <t xml:space="preserve">EASTINDIA</t>
        </is>
      </c>
      <c r="B1078" t="inlineStr">
        <is>
          <t xml:space="preserve">East India Drums and Barrels M</t>
        </is>
      </c>
      <c r="C1078" t="inlineStr">
        <is>
          <t xml:space="preserve">INE191C01023</t>
        </is>
      </c>
    </row>
    <row r="1079">
      <c r="A1079" t="inlineStr">
        <is>
          <t xml:space="preserve">EASTWEST</t>
        </is>
      </c>
      <c r="B1079" t="inlineStr">
        <is>
          <t xml:space="preserve">EAST WEST FREIGHT CARRIERS LTD</t>
        </is>
      </c>
      <c r="C1079" t="inlineStr">
        <is>
          <t xml:space="preserve">INE595R01023</t>
        </is>
      </c>
    </row>
    <row r="1080">
      <c r="A1080" t="inlineStr">
        <is>
          <t xml:space="preserve">EASTSILK</t>
        </is>
      </c>
      <c r="B1080" t="inlineStr">
        <is>
          <t xml:space="preserve">EASTERN SILK INDUSTRIES LTD.</t>
        </is>
      </c>
      <c r="C1080" t="inlineStr">
        <is>
          <t xml:space="preserve">INE962C01035</t>
        </is>
      </c>
    </row>
    <row r="1081">
      <c r="A1081" t="inlineStr">
        <is>
          <t xml:space="preserve">EASTRED</t>
        </is>
      </c>
      <c r="B1081" t="inlineStr">
        <is>
          <t xml:space="preserve">EASTERN TREADS LTD.</t>
        </is>
      </c>
      <c r="C1081" t="inlineStr">
        <is>
          <t xml:space="preserve">INE500D01015</t>
        </is>
      </c>
    </row>
    <row r="1082">
      <c r="A1082" t="inlineStr">
        <is>
          <t xml:space="preserve">EASUN</t>
        </is>
      </c>
      <c r="B1082" t="inlineStr">
        <is>
          <t xml:space="preserve">Easun Capital Markets Limited</t>
        </is>
      </c>
      <c r="C1082" t="inlineStr">
        <is>
          <t xml:space="preserve">INE771C01014</t>
        </is>
      </c>
    </row>
    <row r="1083">
      <c r="A1083" t="inlineStr">
        <is>
          <t xml:space="preserve">EASEMYTRIP</t>
        </is>
      </c>
      <c r="B1083" t="inlineStr">
        <is>
          <t xml:space="preserve">Easy Trip Planners Limited</t>
        </is>
      </c>
      <c r="C1083" t="inlineStr">
        <is>
          <t xml:space="preserve">INE07O001026</t>
        </is>
      </c>
    </row>
    <row r="1084">
      <c r="A1084" t="inlineStr">
        <is>
          <t xml:space="preserve">EBIX</t>
        </is>
      </c>
      <c r="B1084" t="inlineStr">
        <is>
          <t xml:space="preserve">EBIX LIMITED</t>
        </is>
      </c>
      <c r="C1084" t="inlineStr">
        <is>
          <t xml:space="preserve">INE432F01032</t>
        </is>
      </c>
    </row>
    <row r="1085">
      <c r="A1085" t="inlineStr">
        <is>
          <t xml:space="preserve">ECLERX</t>
        </is>
      </c>
      <c r="B1085" t="inlineStr">
        <is>
          <t xml:space="preserve">ECLERX SERVICES LTD.</t>
        </is>
      </c>
      <c r="C1085" t="inlineStr">
        <is>
          <t xml:space="preserve">INE738I01010</t>
        </is>
      </c>
    </row>
    <row r="1086">
      <c r="A1086" t="inlineStr">
        <is>
          <t xml:space="preserve">ECOHOTELS</t>
        </is>
      </c>
      <c r="B1086" t="inlineStr">
        <is>
          <t xml:space="preserve">ECO HOTELS AND RESORTS LIMITED</t>
        </is>
      </c>
      <c r="C1086" t="inlineStr">
        <is>
          <t xml:space="preserve">INE638N01012</t>
        </is>
      </c>
    </row>
    <row r="1087">
      <c r="A1087" t="inlineStr">
        <is>
          <t xml:space="preserve">ECORECO</t>
        </is>
      </c>
      <c r="B1087" t="inlineStr">
        <is>
          <t xml:space="preserve">ECO RECYCLING LTD.</t>
        </is>
      </c>
      <c r="C1087" t="inlineStr">
        <is>
          <t xml:space="preserve">INE316A01038</t>
        </is>
      </c>
    </row>
    <row r="1088">
      <c r="A1088" t="inlineStr">
        <is>
          <t xml:space="preserve">ECOBOAR</t>
        </is>
      </c>
      <c r="B1088" t="inlineStr">
        <is>
          <t xml:space="preserve">ECOBOARD INDUSTRIES LTD.</t>
        </is>
      </c>
      <c r="C1088" t="inlineStr">
        <is>
          <t xml:space="preserve">INE866A01016</t>
        </is>
      </c>
    </row>
    <row r="1089">
      <c r="A1089" t="inlineStr">
        <is>
          <t xml:space="preserve">ETIL</t>
        </is>
      </c>
      <c r="B1089" t="inlineStr">
        <is>
          <t xml:space="preserve">Econo Trade (India) Limited</t>
        </is>
      </c>
      <c r="C1089" t="inlineStr">
        <is>
          <t xml:space="preserve">INE937K01014</t>
        </is>
      </c>
    </row>
    <row r="1090">
      <c r="A1090" t="inlineStr">
        <is>
          <t xml:space="preserve">ECOPLAST</t>
        </is>
      </c>
      <c r="B1090" t="inlineStr">
        <is>
          <t xml:space="preserve">ECOPLAST LTD.</t>
        </is>
      </c>
      <c r="C1090" t="inlineStr">
        <is>
          <t xml:space="preserve">INE423D01010</t>
        </is>
      </c>
    </row>
    <row r="1091">
      <c r="A1091" t="inlineStr">
        <is>
          <t xml:space="preserve">ECOSMOBLTY</t>
        </is>
      </c>
      <c r="B1091" t="inlineStr">
        <is>
          <t xml:space="preserve">ECOS (India) Mobility &amp; Hospit</t>
        </is>
      </c>
      <c r="C1091" t="inlineStr">
        <is>
          <t xml:space="preserve">INE06HJ01020</t>
        </is>
      </c>
    </row>
    <row r="1092">
      <c r="A1092" t="inlineStr">
        <is>
          <t xml:space="preserve">ECS</t>
        </is>
      </c>
      <c r="B1092" t="inlineStr">
        <is>
          <t xml:space="preserve">ECS Biztech Limited</t>
        </is>
      </c>
      <c r="C1092" t="inlineStr">
        <is>
          <t xml:space="preserve">INE925Q01024</t>
        </is>
      </c>
    </row>
    <row r="1093">
      <c r="A1093" t="inlineStr">
        <is>
          <t xml:space="preserve">EDELWEISS</t>
        </is>
      </c>
      <c r="B1093" t="inlineStr">
        <is>
          <t xml:space="preserve">EDELWEISS FINANCIAL SERVICES L</t>
        </is>
      </c>
      <c r="C1093" t="inlineStr">
        <is>
          <t xml:space="preserve">INE532F01054</t>
        </is>
      </c>
    </row>
    <row r="1094">
      <c r="A1094" t="inlineStr">
        <is>
          <t xml:space="preserve">EDVENSWA</t>
        </is>
      </c>
      <c r="B1094" t="inlineStr">
        <is>
          <t xml:space="preserve">Edvenswa Enterprises Limited</t>
        </is>
      </c>
      <c r="C1094" t="inlineStr">
        <is>
          <t xml:space="preserve">INE125G01014</t>
        </is>
      </c>
    </row>
    <row r="1095">
      <c r="A1095" t="inlineStr">
        <is>
          <t xml:space="preserve">EEL130827</t>
        </is>
      </c>
      <c r="B1095" t="inlineStr">
        <is>
          <t xml:space="preserve">EEL-13-8-27-PVT</t>
        </is>
      </c>
      <c r="C1095" t="inlineStr">
        <is>
          <t xml:space="preserve">INE468N07BI2</t>
        </is>
      </c>
    </row>
    <row r="1096">
      <c r="A1096" t="inlineStr">
        <is>
          <t xml:space="preserve">EEL280324A</t>
        </is>
      </c>
      <c r="B1096" t="inlineStr">
        <is>
          <t xml:space="preserve">EEL-26-11-27-PVT</t>
        </is>
      </c>
      <c r="C1096" t="inlineStr">
        <is>
          <t xml:space="preserve">INE468N07BD3</t>
        </is>
      </c>
    </row>
    <row r="1097">
      <c r="A1097" t="inlineStr">
        <is>
          <t xml:space="preserve">EEL280324</t>
        </is>
      </c>
      <c r="B1097" t="inlineStr">
        <is>
          <t xml:space="preserve">EEL-27-01-27-PVT</t>
        </is>
      </c>
      <c r="C1097" t="inlineStr">
        <is>
          <t xml:space="preserve">INE468N07BC5</t>
        </is>
      </c>
    </row>
    <row r="1098">
      <c r="A1098" t="inlineStr">
        <is>
          <t xml:space="preserve">EEL310125</t>
        </is>
      </c>
      <c r="B1098" t="inlineStr">
        <is>
          <t xml:space="preserve">EEL-DISC-31-1-28-PVT</t>
        </is>
      </c>
      <c r="C1098" t="inlineStr">
        <is>
          <t xml:space="preserve">INE468N07BM4</t>
        </is>
      </c>
    </row>
    <row r="1099">
      <c r="A1099" t="inlineStr">
        <is>
          <t xml:space="preserve">EELZC27</t>
        </is>
      </c>
      <c r="B1099" t="inlineStr">
        <is>
          <t xml:space="preserve">EEL-ZC-26-2-27-PVT</t>
        </is>
      </c>
      <c r="C1099" t="inlineStr">
        <is>
          <t xml:space="preserve">INE468N07615</t>
        </is>
      </c>
    </row>
    <row r="1100">
      <c r="A1100" t="inlineStr">
        <is>
          <t xml:space="preserve">EFCIL</t>
        </is>
      </c>
      <c r="B1100" t="inlineStr">
        <is>
          <t xml:space="preserve">EFC (I) LIMITED</t>
        </is>
      </c>
      <c r="C1100" t="inlineStr">
        <is>
          <t xml:space="preserve">INE886D01026</t>
        </is>
      </c>
    </row>
    <row r="1101">
      <c r="A1101" t="inlineStr">
        <is>
          <t xml:space="preserve">EFCL25325</t>
        </is>
      </c>
      <c r="B1101" t="inlineStr">
        <is>
          <t xml:space="preserve">EFCL-21-04-28-PVT</t>
        </is>
      </c>
      <c r="C1101" t="inlineStr">
        <is>
          <t xml:space="preserve">INE836K07221</t>
        </is>
      </c>
    </row>
    <row r="1102">
      <c r="A1102" t="inlineStr">
        <is>
          <t xml:space="preserve">EFCL250225</t>
        </is>
      </c>
      <c r="B1102" t="inlineStr">
        <is>
          <t xml:space="preserve">EFCL-27-4-27-PVT</t>
        </is>
      </c>
      <c r="C1102" t="inlineStr">
        <is>
          <t xml:space="preserve">INE836K07189</t>
        </is>
      </c>
    </row>
    <row r="1103">
      <c r="A1103" t="inlineStr">
        <is>
          <t xml:space="preserve">EFCL300725</t>
        </is>
      </c>
      <c r="B1103" t="inlineStr">
        <is>
          <t xml:space="preserve">EFCL-30-10-28-PVT</t>
        </is>
      </c>
      <c r="C1103" t="inlineStr">
        <is>
          <t xml:space="preserve">INE836K07312</t>
        </is>
      </c>
    </row>
    <row r="1104">
      <c r="A1104" t="inlineStr">
        <is>
          <t xml:space="preserve">EFCL280723</t>
        </is>
      </c>
      <c r="B1104" t="inlineStr">
        <is>
          <t xml:space="preserve">EFCL-8-4-27-PVT</t>
        </is>
      </c>
      <c r="C1104" t="inlineStr">
        <is>
          <t xml:space="preserve">INE836K07056</t>
        </is>
      </c>
    </row>
    <row r="1105">
      <c r="A1105" t="inlineStr">
        <is>
          <t xml:space="preserve">EFCL24326</t>
        </is>
      </c>
      <c r="B1105" t="inlineStr">
        <is>
          <t xml:space="preserve">EFCL-ZC-25-06-29-PVT</t>
        </is>
      </c>
      <c r="C1105" t="inlineStr">
        <is>
          <t xml:space="preserve">INE836K07338</t>
        </is>
      </c>
    </row>
    <row r="1106">
      <c r="A1106" t="inlineStr">
        <is>
          <t xml:space="preserve">0EFCL29</t>
        </is>
      </c>
      <c r="B1106" t="inlineStr">
        <is>
          <t xml:space="preserve">EFCL-ZC-30-4-29-PVT</t>
        </is>
      </c>
      <c r="C1106" t="inlineStr">
        <is>
          <t xml:space="preserve">INE836K07320</t>
        </is>
      </c>
    </row>
    <row r="1107">
      <c r="A1107" t="inlineStr">
        <is>
          <t xml:space="preserve">1015ECL29</t>
        </is>
      </c>
      <c r="B1107" t="inlineStr">
        <is>
          <t xml:space="preserve">EFL-10.15%-4-1-29-NCD</t>
        </is>
      </c>
      <c r="C1107" t="inlineStr">
        <is>
          <t xml:space="preserve">INE804IA7014</t>
        </is>
      </c>
    </row>
    <row r="1108">
      <c r="A1108" t="inlineStr">
        <is>
          <t xml:space="preserve">1060ECL29</t>
        </is>
      </c>
      <c r="B1108" t="inlineStr">
        <is>
          <t xml:space="preserve">EFL-10.60%-4-1-29-NCD</t>
        </is>
      </c>
      <c r="C1108" t="inlineStr">
        <is>
          <t xml:space="preserve">INE804IA7022</t>
        </is>
      </c>
    </row>
    <row r="1109">
      <c r="A1109" t="inlineStr">
        <is>
          <t xml:space="preserve">943ECL28</t>
        </is>
      </c>
      <c r="B1109" t="inlineStr">
        <is>
          <t xml:space="preserve">EFL-9.43%-6-8-28-NCD</t>
        </is>
      </c>
      <c r="C1109" t="inlineStr">
        <is>
          <t xml:space="preserve">INE804I078Y8</t>
        </is>
      </c>
    </row>
    <row r="1110">
      <c r="A1110" t="inlineStr">
        <is>
          <t xml:space="preserve">985ECL28</t>
        </is>
      </c>
      <c r="B1110" t="inlineStr">
        <is>
          <t xml:space="preserve">EFL-9.85%-6-8-28-NCD</t>
        </is>
      </c>
      <c r="C1110" t="inlineStr">
        <is>
          <t xml:space="preserve">INE804I079Y6</t>
        </is>
      </c>
    </row>
    <row r="1111">
      <c r="A1111" t="inlineStr">
        <is>
          <t xml:space="preserve">EFORU</t>
        </is>
      </c>
      <c r="B1111" t="inlineStr">
        <is>
          <t xml:space="preserve">EFORU ENTERTAINMENT LIMITED</t>
        </is>
      </c>
      <c r="C1111" t="inlineStr">
        <is>
          <t xml:space="preserve">INE355H01015</t>
        </is>
      </c>
    </row>
    <row r="1112">
      <c r="A1112" t="inlineStr">
        <is>
          <t xml:space="preserve">10EFSL036</t>
        </is>
      </c>
      <c r="B1112" t="inlineStr">
        <is>
          <t xml:space="preserve">EFSL-10%-16-6-36-NCD</t>
        </is>
      </c>
      <c r="C1112" t="inlineStr">
        <is>
          <t xml:space="preserve">INE532F07JF0</t>
        </is>
      </c>
    </row>
    <row r="1113">
      <c r="A1113" t="inlineStr">
        <is>
          <t xml:space="preserve">10EFSL33A</t>
        </is>
      </c>
      <c r="B1113" t="inlineStr">
        <is>
          <t xml:space="preserve">EFSL-10%-26-10-33-NCD</t>
        </is>
      </c>
      <c r="C1113" t="inlineStr">
        <is>
          <t xml:space="preserve">INE532F07EL9</t>
        </is>
      </c>
    </row>
    <row r="1114">
      <c r="A1114" t="inlineStr">
        <is>
          <t xml:space="preserve">10EFSL34</t>
        </is>
      </c>
      <c r="B1114" t="inlineStr">
        <is>
          <t xml:space="preserve">EFSL-10%-29-1-34-NCD</t>
        </is>
      </c>
      <c r="C1114" t="inlineStr">
        <is>
          <t xml:space="preserve">INE532F07FB7</t>
        </is>
      </c>
    </row>
    <row r="1115">
      <c r="A1115" t="inlineStr">
        <is>
          <t xml:space="preserve">1010EFS28A</t>
        </is>
      </c>
      <c r="B1115" t="inlineStr">
        <is>
          <t xml:space="preserve">EFSL-10.10%-20-1-28-NCD</t>
        </is>
      </c>
      <c r="C1115" t="inlineStr">
        <is>
          <t xml:space="preserve">INE532F07DJ5</t>
        </is>
      </c>
    </row>
    <row r="1116">
      <c r="A1116" t="inlineStr">
        <is>
          <t xml:space="preserve">1010EFSL32</t>
        </is>
      </c>
      <c r="B1116" t="inlineStr">
        <is>
          <t xml:space="preserve">EFSL-10.10%-20-10-32-NCD</t>
        </is>
      </c>
      <c r="C1116" t="inlineStr">
        <is>
          <t xml:space="preserve">INE532F07DE6</t>
        </is>
      </c>
    </row>
    <row r="1117">
      <c r="A1117" t="inlineStr">
        <is>
          <t xml:space="preserve">1010EFS28</t>
        </is>
      </c>
      <c r="B1117" t="inlineStr">
        <is>
          <t xml:space="preserve">EFSL-10.10%-21-7-28-NCD</t>
        </is>
      </c>
      <c r="C1117" t="inlineStr">
        <is>
          <t xml:space="preserve">INE532F07EH7</t>
        </is>
      </c>
    </row>
    <row r="1118">
      <c r="A1118" t="inlineStr">
        <is>
          <t xml:space="preserve">1010EFSL28</t>
        </is>
      </c>
      <c r="B1118" t="inlineStr">
        <is>
          <t xml:space="preserve">EFSL-10.10%-26-10-28-NCD</t>
        </is>
      </c>
      <c r="C1118" t="inlineStr">
        <is>
          <t xml:space="preserve">INE532F07EM7</t>
        </is>
      </c>
    </row>
    <row r="1119">
      <c r="A1119" t="inlineStr">
        <is>
          <t xml:space="preserve">1010EFS29</t>
        </is>
      </c>
      <c r="B1119" t="inlineStr">
        <is>
          <t xml:space="preserve">EFSL-10.10%-29-4-29-NCD</t>
        </is>
      </c>
      <c r="C1119" t="inlineStr">
        <is>
          <t xml:space="preserve">INE532F07FO0</t>
        </is>
      </c>
    </row>
    <row r="1120">
      <c r="A1120" t="inlineStr">
        <is>
          <t xml:space="preserve">1025EFSL35</t>
        </is>
      </c>
      <c r="B1120" t="inlineStr">
        <is>
          <t xml:space="preserve">EFSL-10.25%-7-10-35-NCD</t>
        </is>
      </c>
      <c r="C1120" t="inlineStr">
        <is>
          <t xml:space="preserve">INE532F07IF2</t>
        </is>
      </c>
    </row>
    <row r="1121">
      <c r="A1121" t="inlineStr">
        <is>
          <t xml:space="preserve">1049EFSL34</t>
        </is>
      </c>
      <c r="B1121" t="inlineStr">
        <is>
          <t xml:space="preserve">EFSL-10.49%-26-7-34-NCD</t>
        </is>
      </c>
      <c r="C1121" t="inlineStr">
        <is>
          <t xml:space="preserve">INE532F07FZ6</t>
        </is>
      </c>
    </row>
    <row r="1122">
      <c r="A1122" t="inlineStr">
        <is>
          <t xml:space="preserve">1049EFS35F</t>
        </is>
      </c>
      <c r="B1122" t="inlineStr">
        <is>
          <t xml:space="preserve">EFSL-10.49%-30-04-35-NCD</t>
        </is>
      </c>
      <c r="C1122" t="inlineStr">
        <is>
          <t xml:space="preserve">INE532F07HG2</t>
        </is>
      </c>
    </row>
    <row r="1123">
      <c r="A1123" t="inlineStr">
        <is>
          <t xml:space="preserve">1050EFS29C</t>
        </is>
      </c>
      <c r="B1123" t="inlineStr">
        <is>
          <t xml:space="preserve">EFSL-10.50%-24-10-29-NCD</t>
        </is>
      </c>
      <c r="C1123" t="inlineStr">
        <is>
          <t xml:space="preserve">INE532F07GF6</t>
        </is>
      </c>
    </row>
    <row r="1124">
      <c r="A1124" t="inlineStr">
        <is>
          <t xml:space="preserve">1050EFSL35</t>
        </is>
      </c>
      <c r="B1124" t="inlineStr">
        <is>
          <t xml:space="preserve">EFSL-10.50%-24-7-35-NCD</t>
        </is>
      </c>
      <c r="C1124" t="inlineStr">
        <is>
          <t xml:space="preserve">INE532F07HR9</t>
        </is>
      </c>
    </row>
    <row r="1125">
      <c r="A1125" t="inlineStr">
        <is>
          <t xml:space="preserve">EFSL18326A</t>
        </is>
      </c>
      <c r="B1125" t="inlineStr">
        <is>
          <t xml:space="preserve">EFSL-18-3-29-NCD</t>
        </is>
      </c>
      <c r="C1125" t="inlineStr">
        <is>
          <t xml:space="preserve">INE532F07IW7</t>
        </is>
      </c>
    </row>
    <row r="1126">
      <c r="A1126" t="inlineStr">
        <is>
          <t xml:space="preserve">921EFSL31</t>
        </is>
      </c>
      <c r="B1126" t="inlineStr">
        <is>
          <t xml:space="preserve">EFSL-18-3-31-NCD</t>
        </is>
      </c>
      <c r="C1126" t="inlineStr">
        <is>
          <t xml:space="preserve">INE532F07IV9</t>
        </is>
      </c>
    </row>
    <row r="1127">
      <c r="A1127" t="inlineStr">
        <is>
          <t xml:space="preserve">EFSL24725A</t>
        </is>
      </c>
      <c r="B1127" t="inlineStr">
        <is>
          <t xml:space="preserve">EFSL-24-7-30-NCD</t>
        </is>
      </c>
      <c r="C1127" t="inlineStr">
        <is>
          <t xml:space="preserve">INE532F07HS7</t>
        </is>
      </c>
    </row>
    <row r="1128">
      <c r="A1128" t="inlineStr">
        <is>
          <t xml:space="preserve">EFSL29</t>
        </is>
      </c>
      <c r="B1128" t="inlineStr">
        <is>
          <t xml:space="preserve">EFSL-29-1-29-NCD</t>
        </is>
      </c>
      <c r="C1128" t="inlineStr">
        <is>
          <t xml:space="preserve">INE532F07FA9</t>
        </is>
      </c>
    </row>
    <row r="1129">
      <c r="A1129" t="inlineStr">
        <is>
          <t xml:space="preserve">880EFSL29</t>
        </is>
      </c>
      <c r="B1129" t="inlineStr">
        <is>
          <t xml:space="preserve">EFSL-8.80%-18-3-29-NCD</t>
        </is>
      </c>
      <c r="C1129" t="inlineStr">
        <is>
          <t xml:space="preserve">INE532F07IY3</t>
        </is>
      </c>
    </row>
    <row r="1130">
      <c r="A1130" t="inlineStr">
        <is>
          <t xml:space="preserve">885EFSL27</t>
        </is>
      </c>
      <c r="B1130" t="inlineStr">
        <is>
          <t xml:space="preserve">EFSL-8.85%-12-12-27-NCD</t>
        </is>
      </c>
      <c r="C1130" t="inlineStr">
        <is>
          <t xml:space="preserve">INE532F07IM8</t>
        </is>
      </c>
    </row>
    <row r="1131">
      <c r="A1131" t="inlineStr">
        <is>
          <t xml:space="preserve">915EFSL26</t>
        </is>
      </c>
      <c r="B1131" t="inlineStr">
        <is>
          <t xml:space="preserve">EFSL-9.15%-10-9-26-NCD</t>
        </is>
      </c>
      <c r="C1131" t="inlineStr">
        <is>
          <t xml:space="preserve">INE532F07CF5</t>
        </is>
      </c>
    </row>
    <row r="1132">
      <c r="A1132" t="inlineStr">
        <is>
          <t xml:space="preserve">915EFSL26A</t>
        </is>
      </c>
      <c r="B1132" t="inlineStr">
        <is>
          <t xml:space="preserve">EFSL-9.15%-28-12-26-NCD</t>
        </is>
      </c>
      <c r="C1132" t="inlineStr">
        <is>
          <t xml:space="preserve">INE532F07CQ2</t>
        </is>
      </c>
    </row>
    <row r="1133">
      <c r="A1133" t="inlineStr">
        <is>
          <t xml:space="preserve">920EFSL26A</t>
        </is>
      </c>
      <c r="B1133" t="inlineStr">
        <is>
          <t xml:space="preserve">EFSL-9.20%-26-10-26-NCD</t>
        </is>
      </c>
      <c r="C1133" t="inlineStr">
        <is>
          <t xml:space="preserve">INE532F07EQ8</t>
        </is>
      </c>
    </row>
    <row r="1134">
      <c r="A1134" t="inlineStr">
        <is>
          <t xml:space="preserve">93EFSL31</t>
        </is>
      </c>
      <c r="B1134" t="inlineStr">
        <is>
          <t xml:space="preserve">EFSL-9.30%-10-9-31-NCD</t>
        </is>
      </c>
      <c r="C1134" t="inlineStr">
        <is>
          <t xml:space="preserve">INE532F07CI9</t>
        </is>
      </c>
    </row>
    <row r="1135">
      <c r="A1135" t="inlineStr">
        <is>
          <t xml:space="preserve">93EFSL31A</t>
        </is>
      </c>
      <c r="B1135" t="inlineStr">
        <is>
          <t xml:space="preserve">EFSL-9.30%-28-12-31-NCD</t>
        </is>
      </c>
      <c r="C1135" t="inlineStr">
        <is>
          <t xml:space="preserve">INE532F07CT6</t>
        </is>
      </c>
    </row>
    <row r="1136">
      <c r="A1136" t="inlineStr">
        <is>
          <t xml:space="preserve">940EFSL28</t>
        </is>
      </c>
      <c r="B1136" t="inlineStr">
        <is>
          <t xml:space="preserve">EFSL-9.40%-12-12-28-NCD</t>
        </is>
      </c>
      <c r="C1136" t="inlineStr">
        <is>
          <t xml:space="preserve">INE532F07IQ9</t>
        </is>
      </c>
    </row>
    <row r="1137">
      <c r="A1137" t="inlineStr">
        <is>
          <t xml:space="preserve">944EFSL30</t>
        </is>
      </c>
      <c r="B1137" t="inlineStr">
        <is>
          <t xml:space="preserve">EFSL-9.44%-12-12-30-NCD</t>
        </is>
      </c>
      <c r="C1137" t="inlineStr">
        <is>
          <t xml:space="preserve">INE532F07IP1</t>
        </is>
      </c>
    </row>
    <row r="1138">
      <c r="A1138" t="inlineStr">
        <is>
          <t xml:space="preserve">955EFSL26A</t>
        </is>
      </c>
      <c r="B1138" t="inlineStr">
        <is>
          <t xml:space="preserve">EFSL-9.55%-10-9-26-NCD</t>
        </is>
      </c>
      <c r="C1138" t="inlineStr">
        <is>
          <t xml:space="preserve">INE532F07CG3</t>
        </is>
      </c>
    </row>
    <row r="1139">
      <c r="A1139" t="inlineStr">
        <is>
          <t xml:space="preserve">957EFSL28</t>
        </is>
      </c>
      <c r="B1139" t="inlineStr">
        <is>
          <t xml:space="preserve">EFSL-9.57%-24-1-28-NCD</t>
        </is>
      </c>
      <c r="C1139" t="inlineStr">
        <is>
          <t xml:space="preserve">INE532F07GQ3</t>
        </is>
      </c>
    </row>
    <row r="1140">
      <c r="A1140" t="inlineStr">
        <is>
          <t xml:space="preserve">957EFSL27A</t>
        </is>
      </c>
      <c r="B1140" t="inlineStr">
        <is>
          <t xml:space="preserve">EFSL-9.57%-24-10-27-NCD</t>
        </is>
      </c>
      <c r="C1140" t="inlineStr">
        <is>
          <t xml:space="preserve">INE532F07GD1</t>
        </is>
      </c>
    </row>
    <row r="1141">
      <c r="A1141" t="inlineStr">
        <is>
          <t xml:space="preserve">957EFSL27</t>
        </is>
      </c>
      <c r="B1141" t="inlineStr">
        <is>
          <t xml:space="preserve">EFSL-9.57%-26-7-27-NCD</t>
        </is>
      </c>
      <c r="C1141" t="inlineStr">
        <is>
          <t xml:space="preserve">INE532F07FR3</t>
        </is>
      </c>
    </row>
    <row r="1142">
      <c r="A1142" t="inlineStr">
        <is>
          <t xml:space="preserve">957EFSL28B</t>
        </is>
      </c>
      <c r="B1142" t="inlineStr">
        <is>
          <t xml:space="preserve">EFSL-9.57%-30-04-28-NCD</t>
        </is>
      </c>
      <c r="C1142" t="inlineStr">
        <is>
          <t xml:space="preserve">INE532F07HJ6</t>
        </is>
      </c>
    </row>
    <row r="1143">
      <c r="A1143" t="inlineStr">
        <is>
          <t xml:space="preserve">958EFSL36</t>
        </is>
      </c>
      <c r="B1143" t="inlineStr">
        <is>
          <t xml:space="preserve">EFSL-9.58%-18-3-36-NCD</t>
        </is>
      </c>
      <c r="C1143" t="inlineStr">
        <is>
          <t xml:space="preserve">INE532F07JA1</t>
        </is>
      </c>
    </row>
    <row r="1144">
      <c r="A1144" t="inlineStr">
        <is>
          <t xml:space="preserve">965EFSL32</t>
        </is>
      </c>
      <c r="B1144" t="inlineStr">
        <is>
          <t xml:space="preserve">EFSL-9.65%-20-10-32-NCD</t>
        </is>
      </c>
      <c r="C1144" t="inlineStr">
        <is>
          <t xml:space="preserve">INE532F07DD8</t>
        </is>
      </c>
    </row>
    <row r="1145">
      <c r="A1145" t="inlineStr">
        <is>
          <t xml:space="preserve">967EFSL28D</t>
        </is>
      </c>
      <c r="B1145" t="inlineStr">
        <is>
          <t xml:space="preserve">EFSL-9.67%-20-1-28-NCD</t>
        </is>
      </c>
      <c r="C1145" t="inlineStr">
        <is>
          <t xml:space="preserve">INE532F07DK3</t>
        </is>
      </c>
    </row>
    <row r="1146">
      <c r="A1146" t="inlineStr">
        <is>
          <t xml:space="preserve">967EFSL28A</t>
        </is>
      </c>
      <c r="B1146" t="inlineStr">
        <is>
          <t xml:space="preserve">EFSL-9.67%-26-10-28-NCD</t>
        </is>
      </c>
      <c r="C1146" t="inlineStr">
        <is>
          <t xml:space="preserve">INE532F07EO3</t>
        </is>
      </c>
    </row>
    <row r="1147">
      <c r="A1147" t="inlineStr">
        <is>
          <t xml:space="preserve">967EFSL29</t>
        </is>
      </c>
      <c r="B1147" t="inlineStr">
        <is>
          <t xml:space="preserve">EFSL-9.67%-29-1-29-NCD</t>
        </is>
      </c>
      <c r="C1147" t="inlineStr">
        <is>
          <t xml:space="preserve">INE532F07EY2</t>
        </is>
      </c>
    </row>
    <row r="1148">
      <c r="A1148" t="inlineStr">
        <is>
          <t xml:space="preserve">967EFSL35</t>
        </is>
      </c>
      <c r="B1148" t="inlineStr">
        <is>
          <t xml:space="preserve">EFSL-9.67-12-12-35-NCD</t>
        </is>
      </c>
      <c r="C1148" t="inlineStr">
        <is>
          <t xml:space="preserve">INE532F07IJ4</t>
        </is>
      </c>
    </row>
    <row r="1149">
      <c r="A1149" t="inlineStr">
        <is>
          <t xml:space="preserve">97EFSL31A</t>
        </is>
      </c>
      <c r="B1149" t="inlineStr">
        <is>
          <t xml:space="preserve">EFSL-9.7%-28-12-31-NCD</t>
        </is>
      </c>
      <c r="C1149" t="inlineStr">
        <is>
          <t xml:space="preserve">INE532F07CU4</t>
        </is>
      </c>
    </row>
    <row r="1150">
      <c r="A1150" t="inlineStr">
        <is>
          <t xml:space="preserve">97EFSL31</t>
        </is>
      </c>
      <c r="B1150" t="inlineStr">
        <is>
          <t xml:space="preserve">EFSL-9.70%-10-9-31-NCD</t>
        </is>
      </c>
      <c r="C1150" t="inlineStr">
        <is>
          <t xml:space="preserve">INE532F07CJ7</t>
        </is>
      </c>
    </row>
    <row r="1151">
      <c r="A1151" t="inlineStr">
        <is>
          <t xml:space="preserve">995EFSL31</t>
        </is>
      </c>
      <c r="B1151" t="inlineStr">
        <is>
          <t xml:space="preserve">EFSL-9.95%-8-1-31-NCD</t>
        </is>
      </c>
      <c r="C1151" t="inlineStr">
        <is>
          <t xml:space="preserve">INE532F07BQ4</t>
        </is>
      </c>
    </row>
    <row r="1152">
      <c r="A1152" t="inlineStr">
        <is>
          <t xml:space="preserve">EFSLZC28C</t>
        </is>
      </c>
      <c r="B1152" t="inlineStr">
        <is>
          <t xml:space="preserve">EFSL-ZC-26-10-28-NCD</t>
        </is>
      </c>
      <c r="C1152" t="inlineStr">
        <is>
          <t xml:space="preserve">INE532F07EN5</t>
        </is>
      </c>
    </row>
    <row r="1153">
      <c r="A1153" t="inlineStr">
        <is>
          <t xml:space="preserve">EFSLZC28</t>
        </is>
      </c>
      <c r="B1153" t="inlineStr">
        <is>
          <t xml:space="preserve">EFSL-Zero Coupon-20-1-28-NCD</t>
        </is>
      </c>
      <c r="C1153" t="inlineStr">
        <is>
          <t xml:space="preserve">INE532F07DG1</t>
        </is>
      </c>
    </row>
    <row r="1154">
      <c r="A1154" t="inlineStr">
        <is>
          <t xml:space="preserve">EICHERMOT</t>
        </is>
      </c>
      <c r="B1154" t="inlineStr">
        <is>
          <t xml:space="preserve">EICHER MOTORS LTD.</t>
        </is>
      </c>
      <c r="C1154" t="inlineStr">
        <is>
          <t xml:space="preserve">INE066A01021</t>
        </is>
      </c>
    </row>
    <row r="1155">
      <c r="A1155" t="inlineStr">
        <is>
          <t xml:space="preserve">EIHAHOTELS</t>
        </is>
      </c>
      <c r="B1155" t="inlineStr">
        <is>
          <t xml:space="preserve">EIH ASSOCIATED HOTELS LTD.</t>
        </is>
      </c>
      <c r="C1155" t="inlineStr">
        <is>
          <t xml:space="preserve">INE276C01014</t>
        </is>
      </c>
    </row>
    <row r="1156">
      <c r="A1156" t="inlineStr">
        <is>
          <t xml:space="preserve">EIHOTEL</t>
        </is>
      </c>
      <c r="B1156" t="inlineStr">
        <is>
          <t xml:space="preserve">EIH LTD.</t>
        </is>
      </c>
      <c r="C1156" t="inlineStr">
        <is>
          <t xml:space="preserve">INE230A01023</t>
        </is>
      </c>
    </row>
    <row r="1157">
      <c r="A1157" t="inlineStr">
        <is>
          <t xml:space="preserve">EIKO</t>
        </is>
      </c>
      <c r="B1157" t="inlineStr">
        <is>
          <t xml:space="preserve">EIKO LIFESCIENCES LIMITED</t>
        </is>
      </c>
      <c r="C1157" t="inlineStr">
        <is>
          <t xml:space="preserve">INE666Q01016</t>
        </is>
      </c>
    </row>
    <row r="1158">
      <c r="A1158" t="inlineStr">
        <is>
          <t xml:space="preserve">EIMCOELECO</t>
        </is>
      </c>
      <c r="B1158" t="inlineStr">
        <is>
          <t xml:space="preserve">EIMCO ELECON (INDIA) LTD.</t>
        </is>
      </c>
      <c r="C1158" t="inlineStr">
        <is>
          <t xml:space="preserve">INE158B01016</t>
        </is>
      </c>
    </row>
    <row r="1159">
      <c r="A1159" t="inlineStr">
        <is>
          <t xml:space="preserve">EKAMLEA</t>
        </is>
      </c>
      <c r="B1159" t="inlineStr">
        <is>
          <t xml:space="preserve">EKAM LEASING &amp; FINANCE CO.LTD.</t>
        </is>
      </c>
      <c r="C1159" t="inlineStr">
        <is>
          <t xml:space="preserve">INE906L01025</t>
        </is>
      </c>
    </row>
    <row r="1160">
      <c r="A1160" t="inlineStr">
        <is>
          <t xml:space="preserve">EKANSH</t>
        </is>
      </c>
      <c r="B1160" t="inlineStr">
        <is>
          <t xml:space="preserve">Ekansh Concepts Limited</t>
        </is>
      </c>
      <c r="C1160" t="inlineStr">
        <is>
          <t xml:space="preserve">INE005E01013</t>
        </is>
      </c>
    </row>
    <row r="1161">
      <c r="A1161" t="inlineStr">
        <is>
          <t xml:space="preserve">EKENNIS</t>
        </is>
      </c>
      <c r="B1161" t="inlineStr">
        <is>
          <t xml:space="preserve">Ekennis Software Service Limit</t>
        </is>
      </c>
      <c r="C1161" t="inlineStr">
        <is>
          <t xml:space="preserve">INE0KCM01010</t>
        </is>
      </c>
    </row>
    <row r="1162">
      <c r="A1162" t="inlineStr">
        <is>
          <t xml:space="preserve">EKI</t>
        </is>
      </c>
      <c r="B1162" t="inlineStr">
        <is>
          <t xml:space="preserve">EKI Energy Services Limited</t>
        </is>
      </c>
      <c r="C1162" t="inlineStr">
        <is>
          <t xml:space="preserve">INE0CPR01018</t>
        </is>
      </c>
    </row>
    <row r="1163">
      <c r="A1163" t="inlineStr">
        <is>
          <t xml:space="preserve">ELFORGE</t>
        </is>
      </c>
      <c r="B1163" t="inlineStr">
        <is>
          <t xml:space="preserve">EL FORGE LTD.</t>
        </is>
      </c>
      <c r="C1163" t="inlineStr">
        <is>
          <t xml:space="preserve">INE158F01017</t>
        </is>
      </c>
    </row>
    <row r="1164">
      <c r="A1164" t="inlineStr">
        <is>
          <t xml:space="preserve">ELANTAS</t>
        </is>
      </c>
      <c r="B1164" t="inlineStr">
        <is>
          <t xml:space="preserve">ELANTAS BECK INDIA LTD.</t>
        </is>
      </c>
      <c r="C1164" t="inlineStr">
        <is>
          <t xml:space="preserve">INE280B01018</t>
        </is>
      </c>
    </row>
    <row r="1165">
      <c r="A1165" t="inlineStr">
        <is>
          <t xml:space="preserve">ELCIDIN</t>
        </is>
      </c>
      <c r="B1165" t="inlineStr">
        <is>
          <t xml:space="preserve">ELCID INVESTMENTS LTD.</t>
        </is>
      </c>
      <c r="C1165" t="inlineStr">
        <is>
          <t xml:space="preserve">INE927X01018</t>
        </is>
      </c>
    </row>
    <row r="1166">
      <c r="A1166" t="inlineStr">
        <is>
          <t xml:space="preserve">ELECON</t>
        </is>
      </c>
      <c r="B1166" t="inlineStr">
        <is>
          <t xml:space="preserve">ELECON ENGINEERING CO.LTD.</t>
        </is>
      </c>
      <c r="C1166" t="inlineStr">
        <is>
          <t xml:space="preserve">INE205B01031</t>
        </is>
      </c>
    </row>
    <row r="1167">
      <c r="A1167" t="inlineStr">
        <is>
          <t xml:space="preserve">EMIL</t>
        </is>
      </c>
      <c r="B1167" t="inlineStr">
        <is>
          <t xml:space="preserve">Electronics Mart India Limited</t>
        </is>
      </c>
      <c r="C1167" t="inlineStr">
        <is>
          <t xml:space="preserve">INE02YR01019</t>
        </is>
      </c>
    </row>
    <row r="1168">
      <c r="A1168" t="inlineStr">
        <is>
          <t xml:space="preserve">ELECTCAST</t>
        </is>
      </c>
      <c r="B1168" t="inlineStr">
        <is>
          <t xml:space="preserve">ELECTROSTEEL CASTINGS LTD.</t>
        </is>
      </c>
      <c r="C1168" t="inlineStr">
        <is>
          <t xml:space="preserve">INE086A01029</t>
        </is>
      </c>
    </row>
    <row r="1169">
      <c r="A1169" t="inlineStr">
        <is>
          <t xml:space="preserve">ELECTHERM</t>
        </is>
      </c>
      <c r="B1169" t="inlineStr">
        <is>
          <t xml:space="preserve">ELECTROTHERM (INDIA) LTD.</t>
        </is>
      </c>
      <c r="C1169" t="inlineStr">
        <is>
          <t xml:space="preserve">INE822G01016</t>
        </is>
      </c>
    </row>
    <row r="1170">
      <c r="A1170" t="inlineStr">
        <is>
          <t xml:space="preserve">ELEFLOR</t>
        </is>
      </c>
      <c r="B1170" t="inlineStr">
        <is>
          <t xml:space="preserve">ELEGANT FLORICULTURE &amp; AGROTEC</t>
        </is>
      </c>
      <c r="C1170" t="inlineStr">
        <is>
          <t xml:space="preserve">INE152E01013</t>
        </is>
      </c>
    </row>
    <row r="1171">
      <c r="A1171" t="inlineStr">
        <is>
          <t xml:space="preserve">ELEMARB</t>
        </is>
      </c>
      <c r="B1171" t="inlineStr">
        <is>
          <t xml:space="preserve">ELEGANT MARBLES &amp; GRANI INDUST</t>
        </is>
      </c>
      <c r="C1171" t="inlineStr">
        <is>
          <t xml:space="preserve">INE095B01010</t>
        </is>
      </c>
    </row>
    <row r="1172">
      <c r="A1172" t="inlineStr">
        <is>
          <t xml:space="preserve">ELFIN</t>
        </is>
      </c>
      <c r="B1172" t="inlineStr">
        <is>
          <t xml:space="preserve">Elfin Agro India Limited</t>
        </is>
      </c>
      <c r="C1172" t="inlineStr">
        <is>
          <t xml:space="preserve">INE1FEW01013</t>
        </is>
      </c>
    </row>
    <row r="1173">
      <c r="A1173" t="inlineStr">
        <is>
          <t xml:space="preserve">ELGIEQUIP</t>
        </is>
      </c>
      <c r="B1173" t="inlineStr">
        <is>
          <t xml:space="preserve">ELGI EQUIPMENTS LTD.</t>
        </is>
      </c>
      <c r="C1173" t="inlineStr">
        <is>
          <t xml:space="preserve">INE285A01027</t>
        </is>
      </c>
    </row>
    <row r="1174">
      <c r="A1174" t="inlineStr">
        <is>
          <t xml:space="preserve">ELIN</t>
        </is>
      </c>
      <c r="B1174" t="inlineStr">
        <is>
          <t xml:space="preserve">Elin Electronics Limited</t>
        </is>
      </c>
      <c r="C1174" t="inlineStr">
        <is>
          <t xml:space="preserve">INE050401020</t>
        </is>
      </c>
    </row>
    <row r="1175">
      <c r="A1175" t="inlineStr">
        <is>
          <t xml:space="preserve">ELITECON</t>
        </is>
      </c>
      <c r="B1175" t="inlineStr">
        <is>
          <t xml:space="preserve">ELITECON INTERNATIONAL LIMITED</t>
        </is>
      </c>
      <c r="C1175" t="inlineStr">
        <is>
          <t xml:space="preserve">INE669R01026</t>
        </is>
      </c>
    </row>
    <row r="1176">
      <c r="A1176" t="inlineStr">
        <is>
          <t xml:space="preserve">ELIXIR</t>
        </is>
      </c>
      <c r="B1176" t="inlineStr">
        <is>
          <t xml:space="preserve">Elixir Capital Limited</t>
        </is>
      </c>
      <c r="C1176" t="inlineStr">
        <is>
          <t xml:space="preserve">INE785D01012</t>
        </is>
      </c>
    </row>
    <row r="1177">
      <c r="A1177" t="inlineStr">
        <is>
          <t xml:space="preserve">ELLEN</t>
        </is>
      </c>
      <c r="B1177" t="inlineStr">
        <is>
          <t xml:space="preserve">ELLENBARRIE INDUSTRIAL GASES L</t>
        </is>
      </c>
      <c r="C1177" t="inlineStr">
        <is>
          <t xml:space="preserve">INE236E01022</t>
        </is>
      </c>
    </row>
    <row r="1178">
      <c r="A1178" t="inlineStr">
        <is>
          <t xml:space="preserve">ELNET</t>
        </is>
      </c>
      <c r="B1178" t="inlineStr">
        <is>
          <t xml:space="preserve">ELNET TECHNOLOGIES LTD.</t>
        </is>
      </c>
      <c r="C1178" t="inlineStr">
        <is>
          <t xml:space="preserve">INE033C01019</t>
        </is>
      </c>
    </row>
    <row r="1179">
      <c r="A1179" t="inlineStr">
        <is>
          <t xml:space="preserve">ELPROINTL</t>
        </is>
      </c>
      <c r="B1179" t="inlineStr">
        <is>
          <t xml:space="preserve">ELPRO INTERNATIONAL LTD.</t>
        </is>
      </c>
      <c r="C1179" t="inlineStr">
        <is>
          <t xml:space="preserve">INE579B01039</t>
        </is>
      </c>
    </row>
    <row r="1180">
      <c r="A1180" t="inlineStr">
        <is>
          <t xml:space="preserve">EMAINDIA</t>
        </is>
      </c>
      <c r="B1180" t="inlineStr">
        <is>
          <t xml:space="preserve">EMA INDIA LTD.</t>
        </is>
      </c>
      <c r="C1180" t="inlineStr">
        <is>
          <t xml:space="preserve">INE279D01016</t>
        </is>
      </c>
    </row>
    <row r="1181">
      <c r="A1181" t="inlineStr">
        <is>
          <t xml:space="preserve">EMAMILTD</t>
        </is>
      </c>
      <c r="B1181" t="inlineStr">
        <is>
          <t xml:space="preserve">EMAMI LTD.</t>
        </is>
      </c>
      <c r="C1181" t="inlineStr">
        <is>
          <t xml:space="preserve">INE548C01032</t>
        </is>
      </c>
    </row>
    <row r="1182">
      <c r="A1182" t="inlineStr">
        <is>
          <t xml:space="preserve">EMAMIPAP</t>
        </is>
      </c>
      <c r="B1182" t="inlineStr">
        <is>
          <t xml:space="preserve">EMAMI PAPER MILLS LTD.</t>
        </is>
      </c>
      <c r="C1182" t="inlineStr">
        <is>
          <t xml:space="preserve">INE830C01026</t>
        </is>
      </c>
    </row>
    <row r="1183">
      <c r="A1183" t="inlineStr">
        <is>
          <t xml:space="preserve">EMAMIREAL</t>
        </is>
      </c>
      <c r="B1183" t="inlineStr">
        <is>
          <t xml:space="preserve">EMAMI REALTY LIMITED</t>
        </is>
      </c>
      <c r="C1183" t="inlineStr">
        <is>
          <t xml:space="preserve">INE778K01012</t>
        </is>
      </c>
    </row>
    <row r="1184">
      <c r="A1184" t="inlineStr">
        <is>
          <t xml:space="preserve">EMBDL</t>
        </is>
      </c>
      <c r="B1184" t="inlineStr">
        <is>
          <t xml:space="preserve">EMBASSY DEVELOPMENTS LIMITED</t>
        </is>
      </c>
      <c r="C1184" t="inlineStr">
        <is>
          <t xml:space="preserve">INE069I01010</t>
        </is>
      </c>
    </row>
    <row r="1185">
      <c r="A1185" t="inlineStr">
        <is>
          <t xml:space="preserve">EMBASSY</t>
        </is>
      </c>
      <c r="B1185" t="inlineStr">
        <is>
          <t xml:space="preserve">Embassy Office Parks REIT</t>
        </is>
      </c>
      <c r="C1185" t="inlineStr">
        <is>
          <t xml:space="preserve">INE041025011</t>
        </is>
      </c>
    </row>
    <row r="1186">
      <c r="A1186" t="inlineStr">
        <is>
          <t xml:space="preserve">EMCURE</t>
        </is>
      </c>
      <c r="B1186" t="inlineStr">
        <is>
          <t xml:space="preserve">Emcure Pharmaceuticals Limited</t>
        </is>
      </c>
      <c r="C1186" t="inlineStr">
        <is>
          <t xml:space="preserve">INE168P01015</t>
        </is>
      </c>
    </row>
    <row r="1187">
      <c r="A1187" t="inlineStr">
        <is>
          <t xml:space="preserve">EMERALD</t>
        </is>
      </c>
      <c r="B1187" t="inlineStr">
        <is>
          <t xml:space="preserve">Emerald Finance Limited</t>
        </is>
      </c>
      <c r="C1187" t="inlineStr">
        <is>
          <t xml:space="preserve">INE030Q01015</t>
        </is>
      </c>
    </row>
    <row r="1188">
      <c r="A1188" t="inlineStr">
        <is>
          <t xml:space="preserve">EMERALL</t>
        </is>
      </c>
      <c r="B1188" t="inlineStr">
        <is>
          <t xml:space="preserve">Emerald Leisures Limited</t>
        </is>
      </c>
      <c r="C1188" t="inlineStr">
        <is>
          <t xml:space="preserve">INE044N01021</t>
        </is>
      </c>
    </row>
    <row r="1189">
      <c r="A1189" t="inlineStr">
        <is>
          <t xml:space="preserve">EMERGENT</t>
        </is>
      </c>
      <c r="B1189" t="inlineStr">
        <is>
          <t xml:space="preserve">EMERGENT INDUSTRIAL SOLUTIONS</t>
        </is>
      </c>
      <c r="C1189" t="inlineStr">
        <is>
          <t xml:space="preserve">INE668L01013</t>
        </is>
      </c>
    </row>
    <row r="1190">
      <c r="A1190" t="inlineStr">
        <is>
          <t xml:space="preserve">EMIAC</t>
        </is>
      </c>
      <c r="B1190" t="inlineStr">
        <is>
          <t xml:space="preserve">EMIAC TECHNOLOGIES LIMITED</t>
        </is>
      </c>
      <c r="C1190" t="inlineStr">
        <is>
          <t xml:space="preserve">INE1OSW01015</t>
        </is>
      </c>
    </row>
    <row r="1191">
      <c r="A1191" t="inlineStr">
        <is>
          <t xml:space="preserve">EMKAY</t>
        </is>
      </c>
      <c r="B1191" t="inlineStr">
        <is>
          <t xml:space="preserve">EMKAY GLOBAL FINANCIAL SERVICE</t>
        </is>
      </c>
      <c r="C1191" t="inlineStr">
        <is>
          <t xml:space="preserve">INE296H01011</t>
        </is>
      </c>
    </row>
    <row r="1192">
      <c r="A1192" t="inlineStr">
        <is>
          <t xml:space="preserve">EMMBI</t>
        </is>
      </c>
      <c r="B1192" t="inlineStr">
        <is>
          <t xml:space="preserve">EMMBI INDUSTRIES LTD</t>
        </is>
      </c>
      <c r="C1192" t="inlineStr">
        <is>
          <t xml:space="preserve">INE753K01015</t>
        </is>
      </c>
    </row>
    <row r="1193">
      <c r="A1193" t="inlineStr">
        <is>
          <t xml:space="preserve">EMMESSA</t>
        </is>
      </c>
      <c r="B1193" t="inlineStr">
        <is>
          <t xml:space="preserve">EMMESSAR BIOTECH &amp; NUTRITION L</t>
        </is>
      </c>
      <c r="C1193" t="inlineStr">
        <is>
          <t xml:space="preserve">INE634B01016</t>
        </is>
      </c>
    </row>
    <row r="1194">
      <c r="A1194" t="inlineStr">
        <is>
          <t xml:space="preserve">EMMFORCE</t>
        </is>
      </c>
      <c r="B1194" t="inlineStr">
        <is>
          <t xml:space="preserve">EMMFORCE AUTOTECH LIMITED</t>
        </is>
      </c>
      <c r="C1194" t="inlineStr">
        <is>
          <t xml:space="preserve">INE0SDC01012</t>
        </is>
      </c>
    </row>
    <row r="1195">
      <c r="A1195" t="inlineStr">
        <is>
          <t xml:space="preserve">EMMVEE</t>
        </is>
      </c>
      <c r="B1195" t="inlineStr">
        <is>
          <t xml:space="preserve">Emmvee Photovoltaic Power Limi</t>
        </is>
      </c>
      <c r="C1195" t="inlineStr">
        <is>
          <t xml:space="preserve">INE1C6T01020</t>
        </is>
      </c>
    </row>
    <row r="1196">
      <c r="A1196" t="inlineStr">
        <is>
          <t xml:space="preserve">EMPIND</t>
        </is>
      </c>
      <c r="B1196" t="inlineStr">
        <is>
          <t xml:space="preserve">EMPIRE INDUSTRIES LTD.</t>
        </is>
      </c>
      <c r="C1196" t="inlineStr">
        <is>
          <t xml:space="preserve">INE515H01014</t>
        </is>
      </c>
    </row>
    <row r="1197">
      <c r="A1197" t="inlineStr">
        <is>
          <t xml:space="preserve">EMPOWER</t>
        </is>
      </c>
      <c r="B1197" t="inlineStr">
        <is>
          <t xml:space="preserve">EMPOWER INDIA LTD.</t>
        </is>
      </c>
      <c r="C1197" t="inlineStr">
        <is>
          <t xml:space="preserve">INE507F01023</t>
        </is>
      </c>
    </row>
    <row r="1198">
      <c r="A1198" t="inlineStr">
        <is>
          <t xml:space="preserve">EMROCK</t>
        </is>
      </c>
      <c r="B1198" t="inlineStr">
        <is>
          <t xml:space="preserve">EMROCK CORPORATION LIMITED</t>
        </is>
      </c>
      <c r="C1198" t="inlineStr">
        <is>
          <t xml:space="preserve">INE554H01021</t>
        </is>
      </c>
    </row>
    <row r="1199">
      <c r="A1199" t="inlineStr">
        <is>
          <t xml:space="preserve">EMSLIMITED</t>
        </is>
      </c>
      <c r="B1199" t="inlineStr">
        <is>
          <t xml:space="preserve">EMS LIMITED</t>
        </is>
      </c>
      <c r="C1199" t="inlineStr">
        <is>
          <t xml:space="preserve">INE0OV601013</t>
        </is>
      </c>
    </row>
    <row r="1200">
      <c r="A1200" t="inlineStr">
        <is>
          <t xml:space="preserve">EMUDHRA</t>
        </is>
      </c>
      <c r="B1200" t="inlineStr">
        <is>
          <t xml:space="preserve">eMudhra Limited</t>
        </is>
      </c>
      <c r="C1200" t="inlineStr">
        <is>
          <t xml:space="preserve">INE01QM01018</t>
        </is>
      </c>
    </row>
    <row r="1201">
      <c r="A1201" t="inlineStr">
        <is>
          <t xml:space="preserve">ENBETRD</t>
        </is>
      </c>
      <c r="B1201" t="inlineStr">
        <is>
          <t xml:space="preserve">Enbee Trade &amp;amp; Finance Ltd</t>
        </is>
      </c>
      <c r="C1201" t="inlineStr">
        <is>
          <t xml:space="preserve">INE993I01029</t>
        </is>
      </c>
    </row>
    <row r="1202">
      <c r="A1202" t="inlineStr">
        <is>
          <t xml:space="preserve">ENCODE</t>
        </is>
      </c>
      <c r="B1202" t="inlineStr">
        <is>
          <t xml:space="preserve">ENCODE PACKAGING INDIA LIMITED</t>
        </is>
      </c>
      <c r="C1202" t="inlineStr">
        <is>
          <t xml:space="preserve">INE900O01014</t>
        </is>
      </c>
    </row>
    <row r="1203">
      <c r="A1203" t="inlineStr">
        <is>
          <t xml:space="preserve">ENDURANCE</t>
        </is>
      </c>
      <c r="B1203" t="inlineStr">
        <is>
          <t xml:space="preserve">Endurance Technologies Limited</t>
        </is>
      </c>
      <c r="C1203" t="inlineStr">
        <is>
          <t xml:space="preserve">INE913H01037</t>
        </is>
      </c>
    </row>
    <row r="1204">
      <c r="A1204" t="inlineStr">
        <is>
          <t xml:space="preserve">ENERGYDEV</t>
        </is>
      </c>
      <c r="B1204" t="inlineStr">
        <is>
          <t xml:space="preserve">ENERGY DEVELOPMENT COMPANY LTD</t>
        </is>
      </c>
      <c r="C1204" t="inlineStr">
        <is>
          <t xml:space="preserve">INE306C01019</t>
        </is>
      </c>
    </row>
    <row r="1205">
      <c r="A1205" t="inlineStr">
        <is>
          <t xml:space="preserve">ENERGYINF</t>
        </is>
      </c>
      <c r="B1205" t="inlineStr">
        <is>
          <t xml:space="preserve">Energy Infrastructure Trust</t>
        </is>
      </c>
      <c r="C1205" t="inlineStr">
        <is>
          <t xml:space="preserve">INE05KD23015</t>
        </is>
      </c>
    </row>
    <row r="1206">
      <c r="A1206" t="inlineStr">
        <is>
          <t xml:space="preserve">ENGINERSIN</t>
        </is>
      </c>
      <c r="B1206" t="inlineStr">
        <is>
          <t xml:space="preserve">ENGINEERS INDIA LTD.</t>
        </is>
      </c>
      <c r="C1206" t="inlineStr">
        <is>
          <t xml:space="preserve">INE510A01028</t>
        </is>
      </c>
    </row>
    <row r="1207">
      <c r="A1207" t="inlineStr">
        <is>
          <t xml:space="preserve">ENKEIWHEL</t>
        </is>
      </c>
      <c r="B1207" t="inlineStr">
        <is>
          <t xml:space="preserve">ENKEI WHEELS (INDIA) LTD.</t>
        </is>
      </c>
      <c r="C1207" t="inlineStr">
        <is>
          <t xml:space="preserve">INE130L01014</t>
        </is>
      </c>
    </row>
    <row r="1208">
      <c r="A1208" t="inlineStr">
        <is>
          <t xml:space="preserve">ENTERO</t>
        </is>
      </c>
      <c r="B1208" t="inlineStr">
        <is>
          <t xml:space="preserve">Entero Healthcare Solutions Li</t>
        </is>
      </c>
      <c r="C1208" t="inlineStr">
        <is>
          <t xml:space="preserve">INE010601016</t>
        </is>
      </c>
    </row>
    <row r="1209">
      <c r="A1209" t="inlineStr">
        <is>
          <t xml:space="preserve">ENTRINT</t>
        </is>
      </c>
      <c r="B1209" t="inlineStr">
        <is>
          <t xml:space="preserve">ENTERPRISE INTERNATIONAL LTD.</t>
        </is>
      </c>
      <c r="C1209" t="inlineStr">
        <is>
          <t xml:space="preserve">INE439G01019</t>
        </is>
      </c>
    </row>
    <row r="1210">
      <c r="A1210" t="inlineStr">
        <is>
          <t xml:space="preserve">ENIL</t>
        </is>
      </c>
      <c r="B1210" t="inlineStr">
        <is>
          <t xml:space="preserve">ENTERTAINMENT NETWORK (INDIA)</t>
        </is>
      </c>
      <c r="C1210" t="inlineStr">
        <is>
          <t xml:space="preserve">INE265F01028</t>
        </is>
      </c>
    </row>
    <row r="1211">
      <c r="A1211" t="inlineStr">
        <is>
          <t xml:space="preserve">ENVAIREL</t>
        </is>
      </c>
      <c r="B1211" t="inlineStr">
        <is>
          <t xml:space="preserve">ENVAIR ELECTRODYNE LTD.</t>
        </is>
      </c>
      <c r="C1211" t="inlineStr">
        <is>
          <t xml:space="preserve">INE601C01013</t>
        </is>
      </c>
    </row>
    <row r="1212">
      <c r="A1212" t="inlineStr">
        <is>
          <t xml:space="preserve">EIEL</t>
        </is>
      </c>
      <c r="B1212" t="inlineStr">
        <is>
          <t xml:space="preserve">ENVIRO INFRA ENGINEERS LIMITED</t>
        </is>
      </c>
      <c r="C1212" t="inlineStr">
        <is>
          <t xml:space="preserve">INE0LLY01014</t>
        </is>
      </c>
    </row>
    <row r="1213">
      <c r="A1213" t="inlineStr">
        <is>
          <t xml:space="preserve">EPACK</t>
        </is>
      </c>
      <c r="B1213" t="inlineStr">
        <is>
          <t xml:space="preserve">EPACK Durable Limited</t>
        </is>
      </c>
      <c r="C1213" t="inlineStr">
        <is>
          <t xml:space="preserve">INE0G5901015</t>
        </is>
      </c>
    </row>
    <row r="1214">
      <c r="A1214" t="inlineStr">
        <is>
          <t xml:space="preserve">EPACKPEB</t>
        </is>
      </c>
      <c r="B1214" t="inlineStr">
        <is>
          <t xml:space="preserve">Epack Prefab Technologies Limi</t>
        </is>
      </c>
      <c r="C1214" t="inlineStr">
        <is>
          <t xml:space="preserve">INE0MLS01022</t>
        </is>
      </c>
    </row>
    <row r="1215">
      <c r="A1215" t="inlineStr">
        <is>
          <t xml:space="preserve">EPIC</t>
        </is>
      </c>
      <c r="B1215" t="inlineStr">
        <is>
          <t xml:space="preserve">EPIC ENERGY LTD.</t>
        </is>
      </c>
      <c r="C1215" t="inlineStr">
        <is>
          <t xml:space="preserve">INE932F01015</t>
        </is>
      </c>
    </row>
    <row r="1216">
      <c r="A1216" t="inlineStr">
        <is>
          <t xml:space="preserve">EPIGRAL</t>
        </is>
      </c>
      <c r="B1216" t="inlineStr">
        <is>
          <t xml:space="preserve">Epigral Limited</t>
        </is>
      </c>
      <c r="C1216" t="inlineStr">
        <is>
          <t xml:space="preserve">INE071N01016</t>
        </is>
      </c>
    </row>
    <row r="1217">
      <c r="A1217" t="inlineStr">
        <is>
          <t xml:space="preserve">EPL</t>
        </is>
      </c>
      <c r="B1217" t="inlineStr">
        <is>
          <t xml:space="preserve">EPL LIMITED</t>
        </is>
      </c>
      <c r="C1217" t="inlineStr">
        <is>
          <t xml:space="preserve">INE255A01020</t>
        </is>
      </c>
    </row>
    <row r="1218">
      <c r="A1218" t="inlineStr">
        <is>
          <t xml:space="preserve">EPSOMPRO</t>
        </is>
      </c>
      <c r="B1218" t="inlineStr">
        <is>
          <t xml:space="preserve">EPSOM PROPERTIES LTD.</t>
        </is>
      </c>
      <c r="C1218" t="inlineStr">
        <is>
          <t xml:space="preserve">INE601F01016</t>
        </is>
      </c>
    </row>
    <row r="1219">
      <c r="A1219" t="inlineStr">
        <is>
          <t xml:space="preserve">EPUJA</t>
        </is>
      </c>
      <c r="B1219" t="inlineStr">
        <is>
          <t xml:space="preserve">EPUJA SPIRITECH LIMITED</t>
        </is>
      </c>
      <c r="C1219" t="inlineStr">
        <is>
          <t xml:space="preserve">INE807D01030</t>
        </is>
      </c>
    </row>
    <row r="1220">
      <c r="A1220" t="inlineStr">
        <is>
          <t xml:space="preserve">EQUIPPP</t>
        </is>
      </c>
      <c r="B1220" t="inlineStr">
        <is>
          <t xml:space="preserve">EQUIPPP SOCIAL IMPACT TECHNOLO</t>
        </is>
      </c>
      <c r="C1220" t="inlineStr">
        <is>
          <t xml:space="preserve">INE217G01035</t>
        </is>
      </c>
    </row>
    <row r="1221">
      <c r="A1221" t="inlineStr">
        <is>
          <t xml:space="preserve">EQUITASBNK</t>
        </is>
      </c>
      <c r="B1221" t="inlineStr">
        <is>
          <t xml:space="preserve">Equitas Small Finance Bank Lim</t>
        </is>
      </c>
      <c r="C1221" t="inlineStr">
        <is>
          <t xml:space="preserve">INE063P01018</t>
        </is>
      </c>
    </row>
    <row r="1222">
      <c r="A1222" t="inlineStr">
        <is>
          <t xml:space="preserve">ERIS</t>
        </is>
      </c>
      <c r="B1222" t="inlineStr">
        <is>
          <t xml:space="preserve">Eris Lifesciences Limited</t>
        </is>
      </c>
      <c r="C1222" t="inlineStr">
        <is>
          <t xml:space="preserve">INE406M01024</t>
        </is>
      </c>
    </row>
    <row r="1223">
      <c r="A1223" t="inlineStr">
        <is>
          <t xml:space="preserve">ERPSOFT</t>
        </is>
      </c>
      <c r="B1223" t="inlineStr">
        <is>
          <t xml:space="preserve">ERP SOFT SYSTEMS LTD.</t>
        </is>
      </c>
      <c r="C1223" t="inlineStr">
        <is>
          <t xml:space="preserve">INE308B01017</t>
        </is>
      </c>
    </row>
    <row r="1224">
      <c r="A1224" t="inlineStr">
        <is>
          <t xml:space="preserve">ESARIND</t>
        </is>
      </c>
      <c r="B1224" t="inlineStr">
        <is>
          <t xml:space="preserve">ESAAR (INDIA) LTD.</t>
        </is>
      </c>
      <c r="C1224" t="inlineStr">
        <is>
          <t xml:space="preserve">INE404L01039</t>
        </is>
      </c>
    </row>
    <row r="1225">
      <c r="A1225" t="inlineStr">
        <is>
          <t xml:space="preserve">ESABINDIA</t>
        </is>
      </c>
      <c r="B1225" t="inlineStr">
        <is>
          <t xml:space="preserve">ESAB INDIA LTD.</t>
        </is>
      </c>
      <c r="C1225" t="inlineStr">
        <is>
          <t xml:space="preserve">INE284A01012</t>
        </is>
      </c>
    </row>
    <row r="1226">
      <c r="A1226" t="inlineStr">
        <is>
          <t xml:space="preserve">ESAFSFB</t>
        </is>
      </c>
      <c r="B1226" t="inlineStr">
        <is>
          <t xml:space="preserve">ESAF Small Finance Bank Ltd</t>
        </is>
      </c>
      <c r="C1226" t="inlineStr">
        <is>
          <t xml:space="preserve">INE818W01011</t>
        </is>
      </c>
    </row>
    <row r="1227">
      <c r="A1227" t="inlineStr">
        <is>
          <t xml:space="preserve">ESCORP</t>
        </is>
      </c>
      <c r="B1227" t="inlineStr">
        <is>
          <t xml:space="preserve">Escorp Asset Management Limite</t>
        </is>
      </c>
      <c r="C1227" t="inlineStr">
        <is>
          <t xml:space="preserve">INE953W01016</t>
        </is>
      </c>
    </row>
    <row r="1228">
      <c r="A1228" t="inlineStr">
        <is>
          <t xml:space="preserve">ESCORTS</t>
        </is>
      </c>
      <c r="B1228" t="inlineStr">
        <is>
          <t xml:space="preserve">Escorts Kubota Limited</t>
        </is>
      </c>
      <c r="C1228" t="inlineStr">
        <is>
          <t xml:space="preserve">INE042A01014</t>
        </is>
      </c>
    </row>
    <row r="1229">
      <c r="A1229" t="inlineStr">
        <is>
          <t xml:space="preserve">960EFSL27</t>
        </is>
      </c>
      <c r="B1229" t="inlineStr">
        <is>
          <t xml:space="preserve">ESFL-9.60%-29-1-27-NCD</t>
        </is>
      </c>
      <c r="C1229" t="inlineStr">
        <is>
          <t xml:space="preserve">INE532F07EW6</t>
        </is>
      </c>
    </row>
    <row r="1230">
      <c r="A1230" t="inlineStr">
        <is>
          <t xml:space="preserve">ESHAMEDIA</t>
        </is>
      </c>
      <c r="B1230" t="inlineStr">
        <is>
          <t xml:space="preserve">ESHA MEDIA RESEARCH LIMITED</t>
        </is>
      </c>
      <c r="C1230" t="inlineStr">
        <is>
          <t xml:space="preserve">INE328F01016</t>
        </is>
      </c>
    </row>
    <row r="1231">
      <c r="A1231" t="inlineStr">
        <is>
          <t xml:space="preserve">ESPIRE</t>
        </is>
      </c>
      <c r="B1231" t="inlineStr">
        <is>
          <t xml:space="preserve">ESPIRE HOSPITALITY LIMITED</t>
        </is>
      </c>
      <c r="C1231" t="inlineStr">
        <is>
          <t xml:space="preserve">INE176O01011</t>
        </is>
      </c>
    </row>
    <row r="1232">
      <c r="A1232" t="inlineStr">
        <is>
          <t xml:space="preserve">1090ESP26A</t>
        </is>
      </c>
      <c r="B1232" t="inlineStr">
        <is>
          <t xml:space="preserve">ESPL-10.90%-4-2-26-PVT</t>
        </is>
      </c>
      <c r="C1232" t="inlineStr">
        <is>
          <t xml:space="preserve">INE01YL07334</t>
        </is>
      </c>
    </row>
    <row r="1233">
      <c r="A1233" t="inlineStr">
        <is>
          <t xml:space="preserve">ESSARSHPNG</t>
        </is>
      </c>
      <c r="B1233" t="inlineStr">
        <is>
          <t xml:space="preserve">ESSAR SHIPPING LTD.</t>
        </is>
      </c>
      <c r="C1233" t="inlineStr">
        <is>
          <t xml:space="preserve">INE122M01019</t>
        </is>
      </c>
    </row>
    <row r="1234">
      <c r="A1234" t="inlineStr">
        <is>
          <t xml:space="preserve">ESSEX</t>
        </is>
      </c>
      <c r="B1234" t="inlineStr">
        <is>
          <t xml:space="preserve">ESSEX MARINE LIMITED</t>
        </is>
      </c>
      <c r="C1234" t="inlineStr">
        <is>
          <t xml:space="preserve">INE1IBY01019</t>
        </is>
      </c>
    </row>
    <row r="1235">
      <c r="A1235" t="inlineStr">
        <is>
          <t xml:space="preserve">ESTER</t>
        </is>
      </c>
      <c r="B1235" t="inlineStr">
        <is>
          <t xml:space="preserve">ESTER INDUSTRIES LTD.</t>
        </is>
      </c>
      <c r="C1235" t="inlineStr">
        <is>
          <t xml:space="preserve">INE778B01029</t>
        </is>
      </c>
    </row>
    <row r="1236">
      <c r="A1236" t="inlineStr">
        <is>
          <t xml:space="preserve">ETERNAL</t>
        </is>
      </c>
      <c r="B1236" t="inlineStr">
        <is>
          <t xml:space="preserve">Eternal Limited</t>
        </is>
      </c>
      <c r="C1236" t="inlineStr">
        <is>
          <t xml:space="preserve">INE758T01015</t>
        </is>
      </c>
    </row>
    <row r="1237">
      <c r="A1237" t="inlineStr">
        <is>
          <t xml:space="preserve">ETHOSLTD</t>
        </is>
      </c>
      <c r="B1237" t="inlineStr">
        <is>
          <t xml:space="preserve">ETHOS LIMITED</t>
        </is>
      </c>
      <c r="C1237" t="inlineStr">
        <is>
          <t xml:space="preserve">INE04TZ01018</t>
        </is>
      </c>
    </row>
    <row r="1238">
      <c r="A1238" t="inlineStr">
        <is>
          <t xml:space="preserve">EUPHORIAIT</t>
        </is>
      </c>
      <c r="B1238" t="inlineStr">
        <is>
          <t xml:space="preserve">Euphoria Infotech (India) Limi</t>
        </is>
      </c>
      <c r="C1238" t="inlineStr">
        <is>
          <t xml:space="preserve">INE0PYT01018</t>
        </is>
      </c>
    </row>
    <row r="1239">
      <c r="A1239" t="inlineStr">
        <is>
          <t xml:space="preserve">EUREKAFORB</t>
        </is>
      </c>
      <c r="B1239" t="inlineStr">
        <is>
          <t xml:space="preserve">Eureka Forbes Limited</t>
        </is>
      </c>
      <c r="C1239" t="inlineStr">
        <is>
          <t xml:space="preserve">INE0KCE01017</t>
        </is>
      </c>
    </row>
    <row r="1240">
      <c r="A1240" t="inlineStr">
        <is>
          <t xml:space="preserve">EUREKAI</t>
        </is>
      </c>
      <c r="B1240" t="inlineStr">
        <is>
          <t xml:space="preserve">EUREKA INDUSTRIES LTD.</t>
        </is>
      </c>
      <c r="C1240" t="inlineStr">
        <is>
          <t xml:space="preserve">INE958A01011</t>
        </is>
      </c>
    </row>
    <row r="1241">
      <c r="A1241" t="inlineStr">
        <is>
          <t xml:space="preserve">EUROLED</t>
        </is>
      </c>
      <c r="B1241" t="inlineStr">
        <is>
          <t xml:space="preserve">EURO LEDER FASHION LTD.</t>
        </is>
      </c>
      <c r="C1241" t="inlineStr">
        <is>
          <t xml:space="preserve">INE940E01011</t>
        </is>
      </c>
    </row>
    <row r="1242">
      <c r="A1242" t="inlineStr">
        <is>
          <t xml:space="preserve">EUROBOND</t>
        </is>
      </c>
      <c r="B1242" t="inlineStr">
        <is>
          <t xml:space="preserve">Euro Panel Products Limited</t>
        </is>
      </c>
      <c r="C1242" t="inlineStr">
        <is>
          <t xml:space="preserve">INE505V01016</t>
        </is>
      </c>
    </row>
    <row r="1243">
      <c r="A1243" t="inlineStr">
        <is>
          <t xml:space="preserve">EUROPRATIK</t>
        </is>
      </c>
      <c r="B1243" t="inlineStr">
        <is>
          <t xml:space="preserve">EURO PRATIK SALES LIMITED</t>
        </is>
      </c>
      <c r="C1243" t="inlineStr">
        <is>
          <t xml:space="preserve">INE198501012</t>
        </is>
      </c>
    </row>
    <row r="1244">
      <c r="A1244" t="inlineStr">
        <is>
          <t xml:space="preserve">EUROTEXIND</t>
        </is>
      </c>
      <c r="B1244" t="inlineStr">
        <is>
          <t xml:space="preserve">EUROTEX INDUSTRIES &amp; EXPORTS L</t>
        </is>
      </c>
      <c r="C1244" t="inlineStr">
        <is>
          <t xml:space="preserve">INE022C01012</t>
        </is>
      </c>
    </row>
    <row r="1245">
      <c r="A1245" t="inlineStr">
        <is>
          <t xml:space="preserve">EVANS</t>
        </is>
      </c>
      <c r="B1245" t="inlineStr">
        <is>
          <t xml:space="preserve">EVANS ELECTRIC LIMITED</t>
        </is>
      </c>
      <c r="C1245" t="inlineStr">
        <is>
          <t xml:space="preserve">INE06TD01010</t>
        </is>
      </c>
    </row>
    <row r="1246">
      <c r="A1246" t="inlineStr">
        <is>
          <t xml:space="preserve">EVEREADY</t>
        </is>
      </c>
      <c r="B1246" t="inlineStr">
        <is>
          <t xml:space="preserve">EVEREADY INDUSTRIES INDIA LTD.</t>
        </is>
      </c>
      <c r="C1246" t="inlineStr">
        <is>
          <t xml:space="preserve">INE128A01029</t>
        </is>
      </c>
    </row>
    <row r="1247">
      <c r="A1247" t="inlineStr">
        <is>
          <t xml:space="preserve">EVERESTIND</t>
        </is>
      </c>
      <c r="B1247" t="inlineStr">
        <is>
          <t xml:space="preserve">EVEREST INDUSTRIES LTD.</t>
        </is>
      </c>
      <c r="C1247" t="inlineStr">
        <is>
          <t xml:space="preserve">INE295A01018</t>
        </is>
      </c>
    </row>
    <row r="1248">
      <c r="A1248" t="inlineStr">
        <is>
          <t xml:space="preserve">EKC</t>
        </is>
      </c>
      <c r="B1248" t="inlineStr">
        <is>
          <t xml:space="preserve">EVEREST KANTO CYLINDER LTD.</t>
        </is>
      </c>
      <c r="C1248" t="inlineStr">
        <is>
          <t xml:space="preserve">INE184H01027</t>
        </is>
      </c>
    </row>
    <row r="1249">
      <c r="A1249" t="inlineStr">
        <is>
          <t xml:space="preserve">EVERESTO</t>
        </is>
      </c>
      <c r="B1249" t="inlineStr">
        <is>
          <t xml:space="preserve">EVEREST ORGANICS LTD.</t>
        </is>
      </c>
      <c r="C1249" t="inlineStr">
        <is>
          <t xml:space="preserve">INE334C01029</t>
        </is>
      </c>
    </row>
    <row r="1250">
      <c r="A1250" t="inlineStr">
        <is>
          <t xml:space="preserve">EVERFIN</t>
        </is>
      </c>
      <c r="B1250" t="inlineStr">
        <is>
          <t xml:space="preserve">EVERLON FINANCIALS LIMITED</t>
        </is>
      </c>
      <c r="C1250" t="inlineStr">
        <is>
          <t xml:space="preserve">INE339D01034</t>
        </is>
      </c>
    </row>
    <row r="1251">
      <c r="A1251" t="inlineStr">
        <is>
          <t xml:space="preserve">EVEXIA</t>
        </is>
      </c>
      <c r="B1251" t="inlineStr">
        <is>
          <t xml:space="preserve">EVEXIA LIFECARE LIMITED</t>
        </is>
      </c>
      <c r="C1251" t="inlineStr">
        <is>
          <t xml:space="preserve">INE313M01030</t>
        </is>
      </c>
    </row>
    <row r="1252">
      <c r="A1252" t="inlineStr">
        <is>
          <t xml:space="preserve">EVOQ</t>
        </is>
      </c>
      <c r="B1252" t="inlineStr">
        <is>
          <t xml:space="preserve">Evoq Remedies Limited</t>
        </is>
      </c>
      <c r="C1252" t="inlineStr">
        <is>
          <t xml:space="preserve">INE0JVD01011</t>
        </is>
      </c>
    </row>
    <row r="1253">
      <c r="A1253" t="inlineStr">
        <is>
          <t xml:space="preserve">EXATO</t>
        </is>
      </c>
      <c r="B1253" t="inlineStr">
        <is>
          <t xml:space="preserve">EXATO TECHNOLOGIES LIMITED</t>
        </is>
      </c>
      <c r="C1253" t="inlineStr">
        <is>
          <t xml:space="preserve">INE1E4401010</t>
        </is>
      </c>
    </row>
    <row r="1254">
      <c r="A1254" t="inlineStr">
        <is>
          <t xml:space="preserve">EXCELINDUS</t>
        </is>
      </c>
      <c r="B1254" t="inlineStr">
        <is>
          <t xml:space="preserve">EXCEL INDUSTRIES LTD.</t>
        </is>
      </c>
      <c r="C1254" t="inlineStr">
        <is>
          <t xml:space="preserve">INE369A01029</t>
        </is>
      </c>
    </row>
    <row r="1255">
      <c r="A1255" t="inlineStr">
        <is>
          <t xml:space="preserve">EXCELSOFT</t>
        </is>
      </c>
      <c r="B1255" t="inlineStr">
        <is>
          <t xml:space="preserve">Excelsoft Technologies Limited</t>
        </is>
      </c>
      <c r="C1255" t="inlineStr">
        <is>
          <t xml:space="preserve">INE606N01019</t>
        </is>
      </c>
    </row>
    <row r="1256">
      <c r="A1256" t="inlineStr">
        <is>
          <t xml:space="preserve">EXHICON</t>
        </is>
      </c>
      <c r="B1256" t="inlineStr">
        <is>
          <t xml:space="preserve">Exhicon Events Media Solutions</t>
        </is>
      </c>
      <c r="C1256" t="inlineStr">
        <is>
          <t xml:space="preserve">INE0O8901016</t>
        </is>
      </c>
    </row>
    <row r="1257">
      <c r="A1257" t="inlineStr">
        <is>
          <t xml:space="preserve">EXICOM</t>
        </is>
      </c>
      <c r="B1257" t="inlineStr">
        <is>
          <t xml:space="preserve">EXICOM TELE-SYSTEMS LIMITED</t>
        </is>
      </c>
      <c r="C1257" t="inlineStr">
        <is>
          <t xml:space="preserve">INE777F01014</t>
        </is>
      </c>
    </row>
    <row r="1258">
      <c r="A1258" t="inlineStr">
        <is>
          <t xml:space="preserve">EXIDEIND</t>
        </is>
      </c>
      <c r="B1258" t="inlineStr">
        <is>
          <t xml:space="preserve">EXIDE INDUSTRIES LTD.</t>
        </is>
      </c>
      <c r="C1258" t="inlineStr">
        <is>
          <t xml:space="preserve">INE302A01020</t>
        </is>
      </c>
    </row>
    <row r="1259">
      <c r="A1259" t="inlineStr">
        <is>
          <t xml:space="preserve">EXPLEOSOL</t>
        </is>
      </c>
      <c r="B1259" t="inlineStr">
        <is>
          <t xml:space="preserve">EXPLEO SOLUTIONS LIMITED</t>
        </is>
      </c>
      <c r="C1259" t="inlineStr">
        <is>
          <t xml:space="preserve">INE201K01015</t>
        </is>
      </c>
    </row>
    <row r="1260">
      <c r="A1260" t="inlineStr">
        <is>
          <t xml:space="preserve">EXPOEAPL</t>
        </is>
      </c>
      <c r="B1260" t="inlineStr">
        <is>
          <t xml:space="preserve">EXPO ENGINEERING AND PROJECTS</t>
        </is>
      </c>
      <c r="C1260" t="inlineStr">
        <is>
          <t xml:space="preserve">INE561D01025</t>
        </is>
      </c>
    </row>
    <row r="1261">
      <c r="A1261" t="inlineStr">
        <is>
          <t xml:space="preserve">EXXARO</t>
        </is>
      </c>
      <c r="B1261" t="inlineStr">
        <is>
          <t xml:space="preserve">Exxaro Tiles Limited</t>
        </is>
      </c>
      <c r="C1261" t="inlineStr">
        <is>
          <t xml:space="preserve">INE0GFE01026</t>
        </is>
      </c>
    </row>
    <row r="1262">
      <c r="A1262" t="inlineStr">
        <is>
          <t xml:space="preserve">EY</t>
        </is>
      </c>
      <c r="B1262" t="inlineStr">
        <is>
          <t xml:space="preserve">EYANTRA VENTURES LIMITED</t>
        </is>
      </c>
      <c r="C1262" t="inlineStr">
        <is>
          <t xml:space="preserve">INE750G01019</t>
        </is>
      </c>
    </row>
    <row r="1263">
      <c r="A1263" t="inlineStr">
        <is>
          <t xml:space="preserve">FMEC</t>
        </is>
      </c>
      <c r="B1263" t="inlineStr">
        <is>
          <t xml:space="preserve">F MEC INTERNATIONAL FINANCIAL</t>
        </is>
      </c>
      <c r="C1263" t="inlineStr">
        <is>
          <t xml:space="preserve">INE108T01021</t>
        </is>
      </c>
    </row>
    <row r="1264">
      <c r="A1264" t="inlineStr">
        <is>
          <t xml:space="preserve">FAALCON</t>
        </is>
      </c>
      <c r="B1264" t="inlineStr">
        <is>
          <t xml:space="preserve">Faalcon Concepts Limited</t>
        </is>
      </c>
      <c r="C1264" t="inlineStr">
        <is>
          <t xml:space="preserve">INE0Q9W01015</t>
        </is>
      </c>
    </row>
    <row r="1265">
      <c r="A1265" t="inlineStr">
        <is>
          <t xml:space="preserve">FABCLEAN</t>
        </is>
      </c>
      <c r="B1265" t="inlineStr">
        <is>
          <t xml:space="preserve">FABTECH TECHNOLOGIES CLEANROOM</t>
        </is>
      </c>
      <c r="C1265" t="inlineStr">
        <is>
          <t xml:space="preserve">INE0HSD01011</t>
        </is>
      </c>
    </row>
    <row r="1266">
      <c r="A1266" t="inlineStr">
        <is>
          <t xml:space="preserve">FABTECH</t>
        </is>
      </c>
      <c r="B1266" t="inlineStr">
        <is>
          <t xml:space="preserve">Fabtech Technologies Limited</t>
        </is>
      </c>
      <c r="C1266" t="inlineStr">
        <is>
          <t xml:space="preserve">INE0HF201011</t>
        </is>
      </c>
    </row>
    <row r="1267">
      <c r="A1267" t="inlineStr">
        <is>
          <t xml:space="preserve">FACORALL</t>
        </is>
      </c>
      <c r="B1267" t="inlineStr">
        <is>
          <t xml:space="preserve">FACOR ALLOYS LTD.</t>
        </is>
      </c>
      <c r="C1267" t="inlineStr">
        <is>
          <t xml:space="preserve">INE828G01013</t>
        </is>
      </c>
    </row>
    <row r="1268">
      <c r="A1268" t="inlineStr">
        <is>
          <t xml:space="preserve">FAIRCHEMOR</t>
        </is>
      </c>
      <c r="B1268" t="inlineStr">
        <is>
          <t xml:space="preserve">Fairchem Organics Limited</t>
        </is>
      </c>
      <c r="C1268" t="inlineStr">
        <is>
          <t xml:space="preserve">INE0DNW01011</t>
        </is>
      </c>
    </row>
    <row r="1269">
      <c r="A1269" t="inlineStr">
        <is>
          <t xml:space="preserve">FAMILYCARE</t>
        </is>
      </c>
      <c r="B1269" t="inlineStr">
        <is>
          <t xml:space="preserve">FAMILY CARE HOSPITALS LIMITED</t>
        </is>
      </c>
      <c r="C1269" t="inlineStr">
        <is>
          <t xml:space="preserve">INE146N01016</t>
        </is>
      </c>
    </row>
    <row r="1270">
      <c r="A1270" t="inlineStr">
        <is>
          <t xml:space="preserve">FAZE3Q</t>
        </is>
      </c>
      <c r="B1270" t="inlineStr">
        <is>
          <t xml:space="preserve">FAZE THREE LTD.</t>
        </is>
      </c>
      <c r="C1270" t="inlineStr">
        <is>
          <t xml:space="preserve">INE963C01033</t>
        </is>
      </c>
    </row>
    <row r="1271">
      <c r="A1271" t="inlineStr">
        <is>
          <t xml:space="preserve">FCSSOFT</t>
        </is>
      </c>
      <c r="B1271" t="inlineStr">
        <is>
          <t xml:space="preserve">FCS SOFTWARE SOLUTIONS LTD.</t>
        </is>
      </c>
      <c r="C1271" t="inlineStr">
        <is>
          <t xml:space="preserve">INE512B01022</t>
        </is>
      </c>
    </row>
    <row r="1272">
      <c r="A1272" t="inlineStr">
        <is>
          <t xml:space="preserve">FDC</t>
        </is>
      </c>
      <c r="B1272" t="inlineStr">
        <is>
          <t xml:space="preserve">FDC LTD.</t>
        </is>
      </c>
      <c r="C1272" t="inlineStr">
        <is>
          <t xml:space="preserve">INE258B01022</t>
        </is>
      </c>
    </row>
    <row r="1273">
      <c r="A1273" t="inlineStr">
        <is>
          <t xml:space="preserve">FEDFINA</t>
        </is>
      </c>
      <c r="B1273" t="inlineStr">
        <is>
          <t xml:space="preserve">Fedbank Financial Services Lim</t>
        </is>
      </c>
      <c r="C1273" t="inlineStr">
        <is>
          <t xml:space="preserve">INE007N01010</t>
        </is>
      </c>
    </row>
    <row r="1274">
      <c r="A1274" t="inlineStr">
        <is>
          <t xml:space="preserve">FEDDERSHOL</t>
        </is>
      </c>
      <c r="B1274" t="inlineStr">
        <is>
          <t xml:space="preserve">FEDDERS HOLDING LIMITED</t>
        </is>
      </c>
      <c r="C1274" t="inlineStr">
        <is>
          <t xml:space="preserve">INE417D01020</t>
        </is>
      </c>
    </row>
    <row r="1275">
      <c r="A1275" t="inlineStr">
        <is>
          <t xml:space="preserve">FEDERALBNK</t>
        </is>
      </c>
      <c r="B1275" t="inlineStr">
        <is>
          <t xml:space="preserve">FEDERAL BANK LTD.</t>
        </is>
      </c>
      <c r="C1275" t="inlineStr">
        <is>
          <t xml:space="preserve">INE171A01029</t>
        </is>
      </c>
    </row>
    <row r="1276">
      <c r="A1276" t="inlineStr">
        <is>
          <t xml:space="preserve">FMGOETZE</t>
        </is>
      </c>
      <c r="B1276" t="inlineStr">
        <is>
          <t xml:space="preserve">FEDERAL-MOGUL GOETZE (INDIA) L</t>
        </is>
      </c>
      <c r="C1276" t="inlineStr">
        <is>
          <t xml:space="preserve">INE529A01010</t>
        </is>
      </c>
    </row>
    <row r="1277">
      <c r="A1277" t="inlineStr">
        <is>
          <t xml:space="preserve">FERMENTA</t>
        </is>
      </c>
      <c r="B1277" t="inlineStr">
        <is>
          <t xml:space="preserve">FERMENTA BIOTECH LIMITED</t>
        </is>
      </c>
      <c r="C1277" t="inlineStr">
        <is>
          <t xml:space="preserve">INE225B01021</t>
        </is>
      </c>
    </row>
    <row r="1278">
      <c r="A1278" t="inlineStr">
        <is>
          <t xml:space="preserve">FACT</t>
        </is>
      </c>
      <c r="B1278" t="inlineStr">
        <is>
          <t xml:space="preserve">FERTILIZERS &amp; CHEMICALS TRAVAN</t>
        </is>
      </c>
      <c r="C1278" t="inlineStr">
        <is>
          <t xml:space="preserve">INE188A01015</t>
        </is>
      </c>
    </row>
    <row r="1279">
      <c r="A1279" t="inlineStr">
        <is>
          <t xml:space="preserve">FERVENTSYN</t>
        </is>
      </c>
      <c r="B1279" t="inlineStr">
        <is>
          <t xml:space="preserve">FERVENT SYNERGIES LTD.</t>
        </is>
      </c>
      <c r="C1279" t="inlineStr">
        <is>
          <t xml:space="preserve">INE258M01011</t>
        </is>
      </c>
    </row>
    <row r="1280">
      <c r="A1280" t="inlineStr">
        <is>
          <t xml:space="preserve">1133FFS28</t>
        </is>
      </c>
      <c r="B1280" t="inlineStr">
        <is>
          <t xml:space="preserve">FFSL-11.33%-16-6-28-PVT</t>
        </is>
      </c>
      <c r="C1280" t="inlineStr">
        <is>
          <t xml:space="preserve">INE734I07115</t>
        </is>
      </c>
    </row>
    <row r="1281">
      <c r="A1281" t="inlineStr">
        <is>
          <t xml:space="preserve">FGP</t>
        </is>
      </c>
      <c r="B1281" t="inlineStr">
        <is>
          <t xml:space="preserve">FGP LTD.</t>
        </is>
      </c>
      <c r="C1281" t="inlineStr">
        <is>
          <t xml:space="preserve">INE512A01016</t>
        </is>
      </c>
    </row>
    <row r="1282">
      <c r="A1282" t="inlineStr">
        <is>
          <t xml:space="preserve">FIBERWEB</t>
        </is>
      </c>
      <c r="B1282" t="inlineStr">
        <is>
          <t xml:space="preserve">FIBERWEB (INDIA) LTD.</t>
        </is>
      </c>
      <c r="C1282" t="inlineStr">
        <is>
          <t xml:space="preserve">INE296C01020</t>
        </is>
      </c>
    </row>
    <row r="1283">
      <c r="A1283" t="inlineStr">
        <is>
          <t xml:space="preserve">FIEMIND</t>
        </is>
      </c>
      <c r="B1283" t="inlineStr">
        <is>
          <t xml:space="preserve">FIEM INDUSTRIES LTD.</t>
        </is>
      </c>
      <c r="C1283" t="inlineStr">
        <is>
          <t xml:space="preserve">INE737H01014</t>
        </is>
      </c>
    </row>
    <row r="1284">
      <c r="A1284" t="inlineStr">
        <is>
          <t xml:space="preserve">FILATFASH</t>
        </is>
      </c>
      <c r="B1284" t="inlineStr">
        <is>
          <t xml:space="preserve">FILATEX FASHIONS LTD.</t>
        </is>
      </c>
      <c r="C1284" t="inlineStr">
        <is>
          <t xml:space="preserve">INE185E01021</t>
        </is>
      </c>
    </row>
    <row r="1285">
      <c r="A1285" t="inlineStr">
        <is>
          <t xml:space="preserve">FILATEX</t>
        </is>
      </c>
      <c r="B1285" t="inlineStr">
        <is>
          <t xml:space="preserve">FILATEX INDIA LTD.</t>
        </is>
      </c>
      <c r="C1285" t="inlineStr">
        <is>
          <t xml:space="preserve">INE816B01035</t>
        </is>
      </c>
    </row>
    <row r="1286">
      <c r="A1286" t="inlineStr">
        <is>
          <t xml:space="preserve">FILME</t>
        </is>
      </c>
      <c r="B1286" t="inlineStr">
        <is>
          <t xml:space="preserve">FILMCITY MEDIA LTD.</t>
        </is>
      </c>
      <c r="C1286" t="inlineStr">
        <is>
          <t xml:space="preserve">INE600B01033</t>
        </is>
      </c>
    </row>
    <row r="1287">
      <c r="A1287" t="inlineStr">
        <is>
          <t xml:space="preserve">FILTRON</t>
        </is>
      </c>
      <c r="B1287" t="inlineStr">
        <is>
          <t xml:space="preserve">FILTRON ENGINEERS LTD.</t>
        </is>
      </c>
      <c r="C1287" t="inlineStr">
        <is>
          <t xml:space="preserve">INE589N01017</t>
        </is>
      </c>
    </row>
    <row r="1288">
      <c r="A1288" t="inlineStr">
        <is>
          <t xml:space="preserve">FINEORG</t>
        </is>
      </c>
      <c r="B1288" t="inlineStr">
        <is>
          <t xml:space="preserve">Fine Organic Industries Limite</t>
        </is>
      </c>
      <c r="C1288" t="inlineStr">
        <is>
          <t xml:space="preserve">INE686Y01026</t>
        </is>
      </c>
    </row>
    <row r="1289">
      <c r="A1289" t="inlineStr">
        <is>
          <t xml:space="preserve">FINELINE</t>
        </is>
      </c>
      <c r="B1289" t="inlineStr">
        <is>
          <t xml:space="preserve">FINE-LINE CIRCUITS LTD.</t>
        </is>
      </c>
      <c r="C1289" t="inlineStr">
        <is>
          <t xml:space="preserve">INE087E01011</t>
        </is>
      </c>
    </row>
    <row r="1290">
      <c r="A1290" t="inlineStr">
        <is>
          <t xml:space="preserve">FTL</t>
        </is>
      </c>
      <c r="B1290" t="inlineStr">
        <is>
          <t xml:space="preserve">Finelistings Technologies Limi</t>
        </is>
      </c>
      <c r="C1290" t="inlineStr">
        <is>
          <t xml:space="preserve">INE0QOQ01013</t>
        </is>
      </c>
    </row>
    <row r="1291">
      <c r="A1291" t="inlineStr">
        <is>
          <t xml:space="preserve">FCL</t>
        </is>
      </c>
      <c r="B1291" t="inlineStr">
        <is>
          <t xml:space="preserve">FINEOTEX CHEMICAL LTD.</t>
        </is>
      </c>
      <c r="C1291" t="inlineStr">
        <is>
          <t xml:space="preserve">INE045J01034</t>
        </is>
      </c>
    </row>
    <row r="1292">
      <c r="A1292" t="inlineStr">
        <is>
          <t xml:space="preserve">FINKURVE</t>
        </is>
      </c>
      <c r="B1292" t="inlineStr">
        <is>
          <t xml:space="preserve">FINKURVE FINANCIAL SERVICES LT</t>
        </is>
      </c>
      <c r="C1292" t="inlineStr">
        <is>
          <t xml:space="preserve">INE734I01027</t>
        </is>
      </c>
    </row>
    <row r="1293">
      <c r="A1293" t="inlineStr">
        <is>
          <t xml:space="preserve">FINOPB</t>
        </is>
      </c>
      <c r="B1293" t="inlineStr">
        <is>
          <t xml:space="preserve">Fino Payments Bank Limited</t>
        </is>
      </c>
      <c r="C1293" t="inlineStr">
        <is>
          <t xml:space="preserve">INE02NC01014</t>
        </is>
      </c>
    </row>
    <row r="1294">
      <c r="A1294" t="inlineStr">
        <is>
          <t xml:space="preserve">FINCABLES</t>
        </is>
      </c>
      <c r="B1294" t="inlineStr">
        <is>
          <t xml:space="preserve">FINOLEX CABLES LTD.</t>
        </is>
      </c>
      <c r="C1294" t="inlineStr">
        <is>
          <t xml:space="preserve">INE235A01022</t>
        </is>
      </c>
    </row>
    <row r="1295">
      <c r="A1295" t="inlineStr">
        <is>
          <t xml:space="preserve">FINPIPE</t>
        </is>
      </c>
      <c r="B1295" t="inlineStr">
        <is>
          <t xml:space="preserve">FINOLEX INDUSTRIES LTD.</t>
        </is>
      </c>
      <c r="C1295" t="inlineStr">
        <is>
          <t xml:space="preserve">INE183A01024</t>
        </is>
      </c>
    </row>
    <row r="1296">
      <c r="A1296" t="inlineStr">
        <is>
          <t xml:space="preserve">1STCUS</t>
        </is>
      </c>
      <c r="B1296" t="inlineStr">
        <is>
          <t xml:space="preserve">FIRST CUSTODIAN FUND (INDIA) L</t>
        </is>
      </c>
      <c r="C1296" t="inlineStr">
        <is>
          <t xml:space="preserve">INE609B01018</t>
        </is>
      </c>
    </row>
    <row r="1297">
      <c r="A1297" t="inlineStr">
        <is>
          <t xml:space="preserve">FIRSTFIN</t>
        </is>
      </c>
      <c r="B1297" t="inlineStr">
        <is>
          <t xml:space="preserve">FIRST FINTEC LIMITED</t>
        </is>
      </c>
      <c r="C1297" t="inlineStr">
        <is>
          <t xml:space="preserve">INE683B01047</t>
        </is>
      </c>
    </row>
    <row r="1298">
      <c r="A1298" t="inlineStr">
        <is>
          <t xml:space="preserve">FSL</t>
        </is>
      </c>
      <c r="B1298" t="inlineStr">
        <is>
          <t xml:space="preserve">FIRSTSOURCE SOLUTIONS LTD.</t>
        </is>
      </c>
      <c r="C1298" t="inlineStr">
        <is>
          <t xml:space="preserve">INE684F01012</t>
        </is>
      </c>
    </row>
    <row r="1299">
      <c r="A1299" t="inlineStr">
        <is>
          <t xml:space="preserve">FISCHER</t>
        </is>
      </c>
      <c r="B1299" t="inlineStr">
        <is>
          <t xml:space="preserve">FISCHER MEDICAL VENTURES LIMIT</t>
        </is>
      </c>
      <c r="C1299" t="inlineStr">
        <is>
          <t xml:space="preserve">INE771F01041</t>
        </is>
      </c>
    </row>
    <row r="1300">
      <c r="A1300" t="inlineStr">
        <is>
          <t xml:space="preserve">FIVESTAR</t>
        </is>
      </c>
      <c r="B1300" t="inlineStr">
        <is>
          <t xml:space="preserve">Five-Star Business Finance Ltd</t>
        </is>
      </c>
      <c r="C1300" t="inlineStr">
        <is>
          <t xml:space="preserve">INE128S01021</t>
        </is>
      </c>
    </row>
    <row r="1301">
      <c r="A1301" t="inlineStr">
        <is>
          <t xml:space="preserve">FLAIR</t>
        </is>
      </c>
      <c r="B1301" t="inlineStr">
        <is>
          <t xml:space="preserve">Flair Writing Industries Limit</t>
        </is>
      </c>
      <c r="C1301" t="inlineStr">
        <is>
          <t xml:space="preserve">INE00Y201027</t>
        </is>
      </c>
    </row>
    <row r="1302">
      <c r="A1302" t="inlineStr">
        <is>
          <t xml:space="preserve">FLEXFO</t>
        </is>
      </c>
      <c r="B1302" t="inlineStr">
        <is>
          <t xml:space="preserve">FLEX FOODS LTD.</t>
        </is>
      </c>
      <c r="C1302" t="inlineStr">
        <is>
          <t xml:space="preserve">INE954B01018</t>
        </is>
      </c>
    </row>
    <row r="1303">
      <c r="A1303" t="inlineStr">
        <is>
          <t xml:space="preserve">FLEXITUFF</t>
        </is>
      </c>
      <c r="B1303" t="inlineStr">
        <is>
          <t xml:space="preserve">FLEXITUFF VENTURES INTERNATION</t>
        </is>
      </c>
      <c r="C1303" t="inlineStr">
        <is>
          <t xml:space="preserve">INE060J01017</t>
        </is>
      </c>
    </row>
    <row r="1304">
      <c r="A1304" t="inlineStr">
        <is>
          <t xml:space="preserve">FLOMIC</t>
        </is>
      </c>
      <c r="B1304" t="inlineStr">
        <is>
          <t xml:space="preserve">FLOMIC GLOBAL LOGISTICS LIMITE</t>
        </is>
      </c>
      <c r="C1304" t="inlineStr">
        <is>
          <t xml:space="preserve">INE952M01019</t>
        </is>
      </c>
    </row>
    <row r="1305">
      <c r="A1305" t="inlineStr">
        <is>
          <t xml:space="preserve">FLORACORP</t>
        </is>
      </c>
      <c r="B1305" t="inlineStr">
        <is>
          <t xml:space="preserve">Flora Corporation Limited</t>
        </is>
      </c>
      <c r="C1305" t="inlineStr">
        <is>
          <t xml:space="preserve">INE318U01016</t>
        </is>
      </c>
    </row>
    <row r="1306">
      <c r="A1306" t="inlineStr">
        <is>
          <t xml:space="preserve">FLUIDOM</t>
        </is>
      </c>
      <c r="B1306" t="inlineStr">
        <is>
          <t xml:space="preserve">FLUIDOMAT LTD.</t>
        </is>
      </c>
      <c r="C1306" t="inlineStr">
        <is>
          <t xml:space="preserve">INE459C01016</t>
        </is>
      </c>
    </row>
    <row r="1307">
      <c r="A1307" t="inlineStr">
        <is>
          <t xml:space="preserve">FOCUS</t>
        </is>
      </c>
      <c r="B1307" t="inlineStr">
        <is>
          <t xml:space="preserve">Focus Business Solution Limite</t>
        </is>
      </c>
      <c r="C1307" t="inlineStr">
        <is>
          <t xml:space="preserve">INE0DXR01010</t>
        </is>
      </c>
    </row>
    <row r="1308">
      <c r="A1308" t="inlineStr">
        <is>
          <t xml:space="preserve">FOODSIN</t>
        </is>
      </c>
      <c r="B1308" t="inlineStr">
        <is>
          <t xml:space="preserve">FOODS &amp; INNS LTD.</t>
        </is>
      </c>
      <c r="C1308" t="inlineStr">
        <is>
          <t xml:space="preserve">INE976E01023</t>
        </is>
      </c>
    </row>
    <row r="1309">
      <c r="A1309" t="inlineStr">
        <is>
          <t xml:space="preserve">FORBESCO</t>
        </is>
      </c>
      <c r="B1309" t="inlineStr">
        <is>
          <t xml:space="preserve">FORBES &amp; COMPANY LTD.</t>
        </is>
      </c>
      <c r="C1309" t="inlineStr">
        <is>
          <t xml:space="preserve">INE518A01013</t>
        </is>
      </c>
    </row>
    <row r="1310">
      <c r="A1310" t="inlineStr">
        <is>
          <t xml:space="preserve">TOTEM</t>
        </is>
      </c>
      <c r="B1310" t="inlineStr">
        <is>
          <t xml:space="preserve">Forbes Precision Tools and Mac</t>
        </is>
      </c>
      <c r="C1310" t="inlineStr">
        <is>
          <t xml:space="preserve">INE0TT901016</t>
        </is>
      </c>
    </row>
    <row r="1311">
      <c r="A1311" t="inlineStr">
        <is>
          <t xml:space="preserve">FORCEMOT</t>
        </is>
      </c>
      <c r="B1311" t="inlineStr">
        <is>
          <t xml:space="preserve">FORCE MOTORS LTD.</t>
        </is>
      </c>
      <c r="C1311" t="inlineStr">
        <is>
          <t xml:space="preserve">INE451A01017</t>
        </is>
      </c>
    </row>
    <row r="1312">
      <c r="A1312" t="inlineStr">
        <is>
          <t xml:space="preserve">FORTIS</t>
        </is>
      </c>
      <c r="B1312" t="inlineStr">
        <is>
          <t xml:space="preserve">FORTIS HEALTHCARE LTD.</t>
        </is>
      </c>
      <c r="C1312" t="inlineStr">
        <is>
          <t xml:space="preserve">INE061F01013</t>
        </is>
      </c>
    </row>
    <row r="1313">
      <c r="A1313" t="inlineStr">
        <is>
          <t xml:space="preserve">FORTISMLR</t>
        </is>
      </c>
      <c r="B1313" t="inlineStr">
        <is>
          <t xml:space="preserve">FORTIS MALAR HOSPITALS LIMITED</t>
        </is>
      </c>
      <c r="C1313" t="inlineStr">
        <is>
          <t xml:space="preserve">INE842B01015</t>
        </is>
      </c>
    </row>
    <row r="1314">
      <c r="A1314" t="inlineStr">
        <is>
          <t xml:space="preserve">FORINTL</t>
        </is>
      </c>
      <c r="B1314" t="inlineStr">
        <is>
          <t xml:space="preserve">FORTUNE INTERNATIONAL LTD.</t>
        </is>
      </c>
      <c r="C1314" t="inlineStr">
        <is>
          <t xml:space="preserve">INE501D01013</t>
        </is>
      </c>
    </row>
    <row r="1315">
      <c r="A1315" t="inlineStr">
        <is>
          <t xml:space="preserve">FOSECOC</t>
        </is>
      </c>
      <c r="B1315" t="inlineStr">
        <is>
          <t xml:space="preserve">FOSECO CRUCIBLE INDIA LIMITED</t>
        </is>
      </c>
      <c r="C1315" t="inlineStr">
        <is>
          <t xml:space="preserve">INE599F01020</t>
        </is>
      </c>
    </row>
    <row r="1316">
      <c r="A1316" t="inlineStr">
        <is>
          <t xml:space="preserve">FOSECOIND</t>
        </is>
      </c>
      <c r="B1316" t="inlineStr">
        <is>
          <t xml:space="preserve">FOSECO INDIA LTD.</t>
        </is>
      </c>
      <c r="C1316" t="inlineStr">
        <is>
          <t xml:space="preserve">INE519A01011</t>
        </is>
      </c>
    </row>
    <row r="1317">
      <c r="A1317" t="inlineStr">
        <is>
          <t xml:space="preserve">FRACTAL</t>
        </is>
      </c>
      <c r="B1317" t="inlineStr">
        <is>
          <t xml:space="preserve">Fractal Analytics Limited</t>
        </is>
      </c>
      <c r="C1317" t="inlineStr">
        <is>
          <t xml:space="preserve">INE212S01015</t>
        </is>
      </c>
    </row>
    <row r="1318">
      <c r="A1318" t="inlineStr">
        <is>
          <t xml:space="preserve">FIL</t>
        </is>
      </c>
      <c r="B1318" t="inlineStr">
        <is>
          <t xml:space="preserve">Fractal Industries Limited</t>
        </is>
      </c>
      <c r="C1318" t="inlineStr">
        <is>
          <t xml:space="preserve">INE1W3Q01011</t>
        </is>
      </c>
    </row>
    <row r="1319">
      <c r="A1319" t="inlineStr">
        <is>
          <t xml:space="preserve">FRANKLININD</t>
        </is>
      </c>
      <c r="B1319" t="inlineStr">
        <is>
          <t xml:space="preserve">Franklin Industries Limited</t>
        </is>
      </c>
      <c r="C1319" t="inlineStr">
        <is>
          <t xml:space="preserve">INE789R01022</t>
        </is>
      </c>
    </row>
    <row r="1320">
      <c r="A1320" t="inlineStr">
        <is>
          <t xml:space="preserve">FRASER</t>
        </is>
      </c>
      <c r="B1320" t="inlineStr">
        <is>
          <t xml:space="preserve">Fraser And Company Limited</t>
        </is>
      </c>
      <c r="C1320" t="inlineStr">
        <is>
          <t xml:space="preserve">INE184Q01010</t>
        </is>
      </c>
    </row>
    <row r="1321">
      <c r="A1321" t="inlineStr">
        <is>
          <t xml:space="preserve">FRATELLI</t>
        </is>
      </c>
      <c r="B1321" t="inlineStr">
        <is>
          <t xml:space="preserve">Fratelli Vineyards Limited</t>
        </is>
      </c>
      <c r="C1321" t="inlineStr">
        <is>
          <t xml:space="preserve">INE401Z01019</t>
        </is>
      </c>
    </row>
    <row r="1322">
      <c r="A1322" t="inlineStr">
        <is>
          <t xml:space="preserve">FREDUN</t>
        </is>
      </c>
      <c r="B1322" t="inlineStr">
        <is>
          <t xml:space="preserve">Fredun Pharmaceuticals Limited</t>
        </is>
      </c>
      <c r="C1322" t="inlineStr">
        <is>
          <t xml:space="preserve">INE194R01017</t>
        </is>
      </c>
    </row>
    <row r="1323">
      <c r="A1323" t="inlineStr">
        <is>
          <t xml:space="preserve">FRONTCAP</t>
        </is>
      </c>
      <c r="B1323" t="inlineStr">
        <is>
          <t xml:space="preserve">FRONTIER CAPITAL LIMITED</t>
        </is>
      </c>
      <c r="C1323" t="inlineStr">
        <is>
          <t xml:space="preserve">INE977E01013</t>
        </is>
      </c>
    </row>
    <row r="1324">
      <c r="A1324" t="inlineStr">
        <is>
          <t xml:space="preserve">FRONTSP</t>
        </is>
      </c>
      <c r="B1324" t="inlineStr">
        <is>
          <t xml:space="preserve">FRONTIER SPRINGS LTD.</t>
        </is>
      </c>
      <c r="C1324" t="inlineStr">
        <is>
          <t xml:space="preserve">INE572D01014</t>
        </is>
      </c>
    </row>
    <row r="1325">
      <c r="A1325" t="inlineStr">
        <is>
          <t xml:space="preserve">FRONTFN</t>
        </is>
      </c>
      <c r="B1325" t="inlineStr">
        <is>
          <t xml:space="preserve">FRONTLINE FINANCIAL SERVICES L</t>
        </is>
      </c>
      <c r="C1325" t="inlineStr">
        <is>
          <t xml:space="preserve">INE776R01011</t>
        </is>
      </c>
    </row>
    <row r="1326">
      <c r="A1326" t="inlineStr">
        <is>
          <t xml:space="preserve">FRUTION</t>
        </is>
      </c>
      <c r="B1326" t="inlineStr">
        <is>
          <t xml:space="preserve">FRUITION VENTURE LTD</t>
        </is>
      </c>
      <c r="C1326" t="inlineStr">
        <is>
          <t xml:space="preserve">INE836C01015</t>
        </is>
      </c>
    </row>
    <row r="1327">
      <c r="A1327" t="inlineStr">
        <is>
          <t xml:space="preserve">NYKAA</t>
        </is>
      </c>
      <c r="B1327" t="inlineStr">
        <is>
          <t xml:space="preserve">FSN E-Commerce Ventures Limite</t>
        </is>
      </c>
      <c r="C1327" t="inlineStr">
        <is>
          <t xml:space="preserve">INE388Y01029</t>
        </is>
      </c>
    </row>
    <row r="1328">
      <c r="A1328" t="inlineStr">
        <is>
          <t xml:space="preserve">UTLSOLAR</t>
        </is>
      </c>
      <c r="B1328" t="inlineStr">
        <is>
          <t xml:space="preserve">Fujiyama Power Systems Limited</t>
        </is>
      </c>
      <c r="C1328" t="inlineStr">
        <is>
          <t xml:space="preserve">INE12UR01024</t>
        </is>
      </c>
    </row>
    <row r="1329">
      <c r="A1329" t="inlineStr">
        <is>
          <t xml:space="preserve">FUSION</t>
        </is>
      </c>
      <c r="B1329" t="inlineStr">
        <is>
          <t xml:space="preserve">FUSION FINANCE LIMITED</t>
        </is>
      </c>
      <c r="C1329" t="inlineStr">
        <is>
          <t xml:space="preserve">INE139R01012</t>
        </is>
      </c>
    </row>
    <row r="1330">
      <c r="A1330" t="inlineStr">
        <is>
          <t xml:space="preserve">FEL</t>
        </is>
      </c>
      <c r="B1330" t="inlineStr">
        <is>
          <t xml:space="preserve">Future Enterprises Limited</t>
        </is>
      </c>
      <c r="C1330" t="inlineStr">
        <is>
          <t xml:space="preserve">INE623B01027</t>
        </is>
      </c>
    </row>
    <row r="1331">
      <c r="A1331" t="inlineStr">
        <is>
          <t xml:space="preserve">FLFL</t>
        </is>
      </c>
      <c r="B1331" t="inlineStr">
        <is>
          <t xml:space="preserve">FUTURE LIFESTYLE FASHIONS LTD</t>
        </is>
      </c>
      <c r="C1331" t="inlineStr">
        <is>
          <t xml:space="preserve">INE452O01016</t>
        </is>
      </c>
    </row>
    <row r="1332">
      <c r="A1332" t="inlineStr">
        <is>
          <t xml:space="preserve">FMNL</t>
        </is>
      </c>
      <c r="B1332" t="inlineStr">
        <is>
          <t xml:space="preserve">FUTURE MARKET NETWORKS LTD.</t>
        </is>
      </c>
      <c r="C1332" t="inlineStr">
        <is>
          <t xml:space="preserve">INE360L01017</t>
        </is>
      </c>
    </row>
    <row r="1333">
      <c r="A1333" t="inlineStr">
        <is>
          <t xml:space="preserve">FUTURSEC</t>
        </is>
      </c>
      <c r="B1333" t="inlineStr">
        <is>
          <t xml:space="preserve">FUTURISTIC SECURITIES LTD.</t>
        </is>
      </c>
      <c r="C1333" t="inlineStr">
        <is>
          <t xml:space="preserve">INE425D01015</t>
        </is>
      </c>
    </row>
    <row r="1334">
      <c r="A1334" t="inlineStr">
        <is>
          <t xml:space="preserve">FUTSOL</t>
        </is>
      </c>
      <c r="B1334" t="inlineStr">
        <is>
          <t xml:space="preserve">FUTURISTIC SOLUTIONS LTD.</t>
        </is>
      </c>
      <c r="C1334" t="inlineStr">
        <is>
          <t xml:space="preserve">INE241F01011</t>
        </is>
      </c>
    </row>
    <row r="1335">
      <c r="A1335" t="inlineStr">
        <is>
          <t xml:space="preserve">FYNX</t>
        </is>
      </c>
      <c r="B1335" t="inlineStr">
        <is>
          <t xml:space="preserve">FYNX CAPITAL LIMITED</t>
        </is>
      </c>
      <c r="C1335" t="inlineStr">
        <is>
          <t xml:space="preserve">INE455H01021</t>
        </is>
      </c>
    </row>
    <row r="1336">
      <c r="A1336" t="inlineStr">
        <is>
          <t xml:space="preserve">GMPL</t>
        </is>
      </c>
      <c r="B1336" t="inlineStr">
        <is>
          <t xml:space="preserve">G M Polyplast Limited</t>
        </is>
      </c>
      <c r="C1336" t="inlineStr">
        <is>
          <t xml:space="preserve">INE0E2801015</t>
        </is>
      </c>
    </row>
    <row r="1337">
      <c r="A1337" t="inlineStr">
        <is>
          <t xml:space="preserve">GNA</t>
        </is>
      </c>
      <c r="B1337" t="inlineStr">
        <is>
          <t xml:space="preserve">G N A Axles Limited</t>
        </is>
      </c>
      <c r="C1337" t="inlineStr">
        <is>
          <t xml:space="preserve">INE934S01014</t>
        </is>
      </c>
    </row>
    <row r="1338">
      <c r="A1338" t="inlineStr">
        <is>
          <t xml:space="preserve">GRINFRA</t>
        </is>
      </c>
      <c r="B1338" t="inlineStr">
        <is>
          <t xml:space="preserve">G R Infraprojects Limited</t>
        </is>
      </c>
      <c r="C1338" t="inlineStr">
        <is>
          <t xml:space="preserve">INE201P01022</t>
        </is>
      </c>
    </row>
    <row r="1339">
      <c r="A1339" t="inlineStr">
        <is>
          <t xml:space="preserve">GGDPROP</t>
        </is>
      </c>
      <c r="B1339" t="inlineStr">
        <is>
          <t xml:space="preserve">G. G. Dandekar Properties Limi</t>
        </is>
      </c>
      <c r="C1339" t="inlineStr">
        <is>
          <t xml:space="preserve">INE631D01026</t>
        </is>
      </c>
    </row>
    <row r="1340">
      <c r="A1340" t="inlineStr">
        <is>
          <t xml:space="preserve">GKP</t>
        </is>
      </c>
      <c r="B1340" t="inlineStr">
        <is>
          <t xml:space="preserve">G. K. P. Printing &amp; Packaging</t>
        </is>
      </c>
      <c r="C1340" t="inlineStr">
        <is>
          <t xml:space="preserve">INE05QJ01015</t>
        </is>
      </c>
    </row>
    <row r="1341">
      <c r="A1341" t="inlineStr">
        <is>
          <t xml:space="preserve">GGAUTO</t>
        </is>
      </c>
      <c r="B1341" t="inlineStr">
        <is>
          <t xml:space="preserve">G.G.AUTOMOTIVE GEARS LTD.</t>
        </is>
      </c>
      <c r="C1341" t="inlineStr">
        <is>
          <t xml:space="preserve">INE493B01017</t>
        </is>
      </c>
    </row>
    <row r="1342">
      <c r="A1342" t="inlineStr">
        <is>
          <t xml:space="preserve">GKCONS</t>
        </is>
      </c>
      <c r="B1342" t="inlineStr">
        <is>
          <t xml:space="preserve">G.K.CONSULTANTS LTD.</t>
        </is>
      </c>
      <c r="C1342" t="inlineStr">
        <is>
          <t xml:space="preserve">INE131D01019</t>
        </is>
      </c>
    </row>
    <row r="1343">
      <c r="A1343" t="inlineStr">
        <is>
          <t xml:space="preserve">GMBREW</t>
        </is>
      </c>
      <c r="B1343" t="inlineStr">
        <is>
          <t xml:space="preserve">G.M.BREWERIES LTD.</t>
        </is>
      </c>
      <c r="C1343" t="inlineStr">
        <is>
          <t xml:space="preserve">INE075D01018</t>
        </is>
      </c>
    </row>
    <row r="1344">
      <c r="A1344" t="inlineStr">
        <is>
          <t xml:space="preserve">GSAUTO</t>
        </is>
      </c>
      <c r="B1344" t="inlineStr">
        <is>
          <t xml:space="preserve">G.S.AUTO INTERNATIONAL LTD.</t>
        </is>
      </c>
      <c r="C1344" t="inlineStr">
        <is>
          <t xml:space="preserve">INE736H01024</t>
        </is>
      </c>
    </row>
    <row r="1345">
      <c r="A1345" t="inlineStr">
        <is>
          <t xml:space="preserve">GTIL</t>
        </is>
      </c>
      <c r="B1345" t="inlineStr">
        <is>
          <t xml:space="preserve">Gabion Technologies India Limi</t>
        </is>
      </c>
      <c r="C1345" t="inlineStr">
        <is>
          <t xml:space="preserve">INE1H1501013</t>
        </is>
      </c>
    </row>
    <row r="1346">
      <c r="A1346" t="inlineStr">
        <is>
          <t xml:space="preserve">GABRIEL</t>
        </is>
      </c>
      <c r="B1346" t="inlineStr">
        <is>
          <t xml:space="preserve">GABRIEL INDIA LTD.</t>
        </is>
      </c>
      <c r="C1346" t="inlineStr">
        <is>
          <t xml:space="preserve">INE524A01029</t>
        </is>
      </c>
    </row>
    <row r="1347">
      <c r="A1347" t="inlineStr">
        <is>
          <t xml:space="preserve">GPSL</t>
        </is>
      </c>
      <c r="B1347" t="inlineStr">
        <is>
          <t xml:space="preserve">Gabriel Pet Straps Limited</t>
        </is>
      </c>
      <c r="C1347" t="inlineStr">
        <is>
          <t xml:space="preserve">INE0QZF01012</t>
        </is>
      </c>
    </row>
    <row r="1348">
      <c r="A1348" t="inlineStr">
        <is>
          <t xml:space="preserve">GATECH</t>
        </is>
      </c>
      <c r="B1348" t="inlineStr">
        <is>
          <t xml:space="preserve">GACM Technologies Limited</t>
        </is>
      </c>
      <c r="C1348" t="inlineStr">
        <is>
          <t xml:space="preserve">INE224E01028</t>
        </is>
      </c>
    </row>
    <row r="1349">
      <c r="A1349" t="inlineStr">
        <is>
          <t xml:space="preserve">GATECHDVR</t>
        </is>
      </c>
      <c r="B1349" t="inlineStr">
        <is>
          <t xml:space="preserve">GACM Technologies Limited - DV</t>
        </is>
      </c>
      <c r="C1349" t="inlineStr">
        <is>
          <t xml:space="preserve">INE224E01036</t>
        </is>
      </c>
    </row>
    <row r="1350">
      <c r="A1350" t="inlineStr">
        <is>
          <t xml:space="preserve">GAGAN</t>
        </is>
      </c>
      <c r="B1350" t="inlineStr">
        <is>
          <t xml:space="preserve">GAGAN GASES LTD.</t>
        </is>
      </c>
      <c r="C1350" t="inlineStr">
        <is>
          <t xml:space="preserve">INE076D01016</t>
        </is>
      </c>
    </row>
    <row r="1351">
      <c r="A1351" t="inlineStr">
        <is>
          <t xml:space="preserve">GAIL</t>
        </is>
      </c>
      <c r="B1351" t="inlineStr">
        <is>
          <t xml:space="preserve">GAIL (INDIA) LTD.</t>
        </is>
      </c>
      <c r="C1351" t="inlineStr">
        <is>
          <t xml:space="preserve">INE129A01019</t>
        </is>
      </c>
    </row>
    <row r="1352">
      <c r="A1352" t="inlineStr">
        <is>
          <t xml:space="preserve">GAJANANSEC</t>
        </is>
      </c>
      <c r="B1352" t="inlineStr">
        <is>
          <t xml:space="preserve">GAJANAN SECURITIES SERVICES LT</t>
        </is>
      </c>
      <c r="C1352" t="inlineStr">
        <is>
          <t xml:space="preserve">INE868G01019</t>
        </is>
      </c>
    </row>
    <row r="1353">
      <c r="A1353" t="inlineStr">
        <is>
          <t xml:space="preserve">GGPL</t>
        </is>
      </c>
      <c r="B1353" t="inlineStr">
        <is>
          <t xml:space="preserve">Gala Global Products Limited</t>
        </is>
      </c>
      <c r="C1353" t="inlineStr">
        <is>
          <t xml:space="preserve">INE480S01026</t>
        </is>
      </c>
    </row>
    <row r="1354">
      <c r="A1354" t="inlineStr">
        <is>
          <t xml:space="preserve">GALAPREC</t>
        </is>
      </c>
      <c r="B1354" t="inlineStr">
        <is>
          <t xml:space="preserve">Gala Precision Engineering Lim</t>
        </is>
      </c>
      <c r="C1354" t="inlineStr">
        <is>
          <t xml:space="preserve">INE0RE001014</t>
        </is>
      </c>
    </row>
    <row r="1355">
      <c r="A1355" t="inlineStr">
        <is>
          <t xml:space="preserve">GALACTICO</t>
        </is>
      </c>
      <c r="B1355" t="inlineStr">
        <is>
          <t xml:space="preserve">Galactico Corporate Services L</t>
        </is>
      </c>
      <c r="C1355" t="inlineStr">
        <is>
          <t xml:space="preserve">INE906Y01028</t>
        </is>
      </c>
    </row>
    <row r="1356">
      <c r="A1356" t="inlineStr">
        <is>
          <t xml:space="preserve">GALADAFIN</t>
        </is>
      </c>
      <c r="B1356" t="inlineStr">
        <is>
          <t xml:space="preserve">Galada Finance Limited</t>
        </is>
      </c>
      <c r="C1356" t="inlineStr">
        <is>
          <t xml:space="preserve">INE243E01010</t>
        </is>
      </c>
    </row>
    <row r="1357">
      <c r="A1357" t="inlineStr">
        <is>
          <t xml:space="preserve">GALAGEX</t>
        </is>
      </c>
      <c r="B1357" t="inlineStr">
        <is>
          <t xml:space="preserve">GALAXY AGRICO EXPORTS LTD.</t>
        </is>
      </c>
      <c r="C1357" t="inlineStr">
        <is>
          <t xml:space="preserve">INE803L01016</t>
        </is>
      </c>
    </row>
    <row r="1358">
      <c r="A1358" t="inlineStr">
        <is>
          <t xml:space="preserve">GALXBRG</t>
        </is>
      </c>
      <c r="B1358" t="inlineStr">
        <is>
          <t xml:space="preserve">GALAXY BEARINGS LTD.</t>
        </is>
      </c>
      <c r="C1358" t="inlineStr">
        <is>
          <t xml:space="preserve">INE020S01012</t>
        </is>
      </c>
    </row>
    <row r="1359">
      <c r="A1359" t="inlineStr">
        <is>
          <t xml:space="preserve">GSLTD</t>
        </is>
      </c>
      <c r="B1359" t="inlineStr">
        <is>
          <t xml:space="preserve">GALAXY SUPERMARKET LIMITED</t>
        </is>
      </c>
      <c r="C1359" t="inlineStr">
        <is>
          <t xml:space="preserve">INE403B01016</t>
        </is>
      </c>
    </row>
    <row r="1360">
      <c r="A1360" t="inlineStr">
        <is>
          <t xml:space="preserve">GALAXYSURF</t>
        </is>
      </c>
      <c r="B1360" t="inlineStr">
        <is>
          <t xml:space="preserve">Galaxy Surfactants Limited</t>
        </is>
      </c>
      <c r="C1360" t="inlineStr">
        <is>
          <t xml:space="preserve">INE600K01018</t>
        </is>
      </c>
    </row>
    <row r="1361">
      <c r="A1361" t="inlineStr">
        <is>
          <t xml:space="preserve">GALLANTT</t>
        </is>
      </c>
      <c r="B1361" t="inlineStr">
        <is>
          <t xml:space="preserve">GALLANTT ISPAT LIMITED</t>
        </is>
      </c>
      <c r="C1361" t="inlineStr">
        <is>
          <t xml:space="preserve">INE297H01019</t>
        </is>
      </c>
    </row>
    <row r="1362">
      <c r="A1362" t="inlineStr">
        <is>
          <t xml:space="preserve">GALLARD</t>
        </is>
      </c>
      <c r="B1362" t="inlineStr">
        <is>
          <t xml:space="preserve">Gallard Steel Limited</t>
        </is>
      </c>
      <c r="C1362" t="inlineStr">
        <is>
          <t xml:space="preserve">INE0BUQ01012</t>
        </is>
      </c>
    </row>
    <row r="1363">
      <c r="A1363" t="inlineStr">
        <is>
          <t xml:space="preserve">GALLOPENT</t>
        </is>
      </c>
      <c r="B1363" t="inlineStr">
        <is>
          <t xml:space="preserve">GALLOPS ENTERPRISE LTD.</t>
        </is>
      </c>
      <c r="C1363" t="inlineStr">
        <is>
          <t xml:space="preserve">INE755J01012</t>
        </is>
      </c>
    </row>
    <row r="1364">
      <c r="A1364" t="inlineStr">
        <is>
          <t xml:space="preserve">GAMCO</t>
        </is>
      </c>
      <c r="B1364" t="inlineStr">
        <is>
          <t xml:space="preserve">GAMCO LIMITED</t>
        </is>
      </c>
      <c r="C1364" t="inlineStr">
        <is>
          <t xml:space="preserve">INE890S01026</t>
        </is>
      </c>
    </row>
    <row r="1365">
      <c r="A1365" t="inlineStr">
        <is>
          <t xml:space="preserve">TRADEUNO</t>
        </is>
      </c>
      <c r="B1365" t="inlineStr">
        <is>
          <t xml:space="preserve">GAME CHANGERS TEXFAB LIMITED</t>
        </is>
      </c>
      <c r="C1365" t="inlineStr">
        <is>
          <t xml:space="preserve">INE1GUJ01014</t>
        </is>
      </c>
    </row>
    <row r="1366">
      <c r="A1366" t="inlineStr">
        <is>
          <t xml:space="preserve">GANDHAR</t>
        </is>
      </c>
      <c r="B1366" t="inlineStr">
        <is>
          <t xml:space="preserve">Gandhar Oil Refinery (India) L</t>
        </is>
      </c>
      <c r="C1366" t="inlineStr">
        <is>
          <t xml:space="preserve">INE717W01049</t>
        </is>
      </c>
    </row>
    <row r="1367">
      <c r="A1367" t="inlineStr">
        <is>
          <t xml:space="preserve">GANDHITUBE</t>
        </is>
      </c>
      <c r="B1367" t="inlineStr">
        <is>
          <t xml:space="preserve">GANDHI SPECIAL TUBES LTD.</t>
        </is>
      </c>
      <c r="C1367" t="inlineStr">
        <is>
          <t xml:space="preserve">INE524B01027</t>
        </is>
      </c>
    </row>
    <row r="1368">
      <c r="A1368" t="inlineStr">
        <is>
          <t xml:space="preserve">GANESHBE</t>
        </is>
      </c>
      <c r="B1368" t="inlineStr">
        <is>
          <t xml:space="preserve">GANESH BENZOPLAST LTD.</t>
        </is>
      </c>
      <c r="C1368" t="inlineStr">
        <is>
          <t xml:space="preserve">INE388A01029</t>
        </is>
      </c>
    </row>
    <row r="1369">
      <c r="A1369" t="inlineStr">
        <is>
          <t xml:space="preserve">GANESHCP</t>
        </is>
      </c>
      <c r="B1369" t="inlineStr">
        <is>
          <t xml:space="preserve">Ganesh Consumer Products Limit</t>
        </is>
      </c>
      <c r="C1369" t="inlineStr">
        <is>
          <t xml:space="preserve">INE652V01016</t>
        </is>
      </c>
    </row>
    <row r="1370">
      <c r="A1370" t="inlineStr">
        <is>
          <t xml:space="preserve">GANHOLD</t>
        </is>
      </c>
      <c r="B1370" t="inlineStr">
        <is>
          <t xml:space="preserve">GANESH HOLDINGS LTD.</t>
        </is>
      </c>
      <c r="C1370" t="inlineStr">
        <is>
          <t xml:space="preserve">INE932M01011</t>
        </is>
      </c>
    </row>
    <row r="1371">
      <c r="A1371" t="inlineStr">
        <is>
          <t xml:space="preserve">GANESHHOU</t>
        </is>
      </c>
      <c r="B1371" t="inlineStr">
        <is>
          <t xml:space="preserve">GANESH HOUSING LIMITED</t>
        </is>
      </c>
      <c r="C1371" t="inlineStr">
        <is>
          <t xml:space="preserve">INE460C01014</t>
        </is>
      </c>
    </row>
    <row r="1372">
      <c r="A1372" t="inlineStr">
        <is>
          <t xml:space="preserve">GANECOS</t>
        </is>
      </c>
      <c r="B1372" t="inlineStr">
        <is>
          <t xml:space="preserve">GANESHA ECOSPHERE LTD.</t>
        </is>
      </c>
      <c r="C1372" t="inlineStr">
        <is>
          <t xml:space="preserve">INE845D01014</t>
        </is>
      </c>
    </row>
    <row r="1373">
      <c r="A1373" t="inlineStr">
        <is>
          <t xml:space="preserve">GANVERSE</t>
        </is>
      </c>
      <c r="B1373" t="inlineStr">
        <is>
          <t xml:space="preserve">GANESHA ECOVERSE LIMITED</t>
        </is>
      </c>
      <c r="C1373" t="inlineStr">
        <is>
          <t xml:space="preserve">INE369Q01017</t>
        </is>
      </c>
    </row>
    <row r="1374">
      <c r="A1374" t="inlineStr">
        <is>
          <t xml:space="preserve">GANGAPA</t>
        </is>
      </c>
      <c r="B1374" t="inlineStr">
        <is>
          <t xml:space="preserve">GANGA PAPERS INDIA LTD.</t>
        </is>
      </c>
      <c r="C1374" t="inlineStr">
        <is>
          <t xml:space="preserve">INE278O01015</t>
        </is>
      </c>
    </row>
    <row r="1375">
      <c r="A1375" t="inlineStr">
        <is>
          <t xml:space="preserve">GANGESSECU</t>
        </is>
      </c>
      <c r="B1375" t="inlineStr">
        <is>
          <t xml:space="preserve">Ganges Securities Ltd.</t>
        </is>
      </c>
      <c r="C1375" t="inlineStr">
        <is>
          <t xml:space="preserve">INE335W01016</t>
        </is>
      </c>
    </row>
    <row r="1376">
      <c r="A1376" t="inlineStr">
        <is>
          <t xml:space="preserve">GANONPRO</t>
        </is>
      </c>
      <c r="B1376" t="inlineStr">
        <is>
          <t xml:space="preserve">Ganon Products Limited</t>
        </is>
      </c>
      <c r="C1376" t="inlineStr">
        <is>
          <t xml:space="preserve">INE162L01017</t>
        </is>
      </c>
    </row>
    <row r="1377">
      <c r="A1377" t="inlineStr">
        <is>
          <t xml:space="preserve">GARBIFIN</t>
        </is>
      </c>
      <c r="B1377" t="inlineStr">
        <is>
          <t xml:space="preserve">Garbi Finvest Limited</t>
        </is>
      </c>
      <c r="C1377" t="inlineStr">
        <is>
          <t xml:space="preserve">INE721C01019</t>
        </is>
      </c>
    </row>
    <row r="1378">
      <c r="A1378" t="inlineStr">
        <is>
          <t xml:space="preserve">GRSE</t>
        </is>
      </c>
      <c r="B1378" t="inlineStr">
        <is>
          <t xml:space="preserve">Garden Reach Shipbuilders &amp; En</t>
        </is>
      </c>
      <c r="C1378" t="inlineStr">
        <is>
          <t xml:space="preserve">INE382Z01011</t>
        </is>
      </c>
    </row>
    <row r="1379">
      <c r="A1379" t="inlineStr">
        <is>
          <t xml:space="preserve">GARGFUR</t>
        </is>
      </c>
      <c r="B1379" t="inlineStr">
        <is>
          <t xml:space="preserve">GARG FURNACE LTD.</t>
        </is>
      </c>
      <c r="C1379" t="inlineStr">
        <is>
          <t xml:space="preserve">INE194E01015</t>
        </is>
      </c>
    </row>
    <row r="1380">
      <c r="A1380" t="inlineStr">
        <is>
          <t xml:space="preserve">GARMNTMNTR</t>
        </is>
      </c>
      <c r="B1380" t="inlineStr">
        <is>
          <t xml:space="preserve">GARMENT MANTRA LIFESTYLE LIMIT</t>
        </is>
      </c>
      <c r="C1380" t="inlineStr">
        <is>
          <t xml:space="preserve">INE653S01028</t>
        </is>
      </c>
    </row>
    <row r="1381">
      <c r="A1381" t="inlineStr">
        <is>
          <t xml:space="preserve">GARNET</t>
        </is>
      </c>
      <c r="B1381" t="inlineStr">
        <is>
          <t xml:space="preserve">GARNET CONSTRUCTION LTD.</t>
        </is>
      </c>
      <c r="C1381" t="inlineStr">
        <is>
          <t xml:space="preserve">INE797D01017</t>
        </is>
      </c>
    </row>
    <row r="1382">
      <c r="A1382" t="inlineStr">
        <is>
          <t xml:space="preserve">GARNETINT</t>
        </is>
      </c>
      <c r="B1382" t="inlineStr">
        <is>
          <t xml:space="preserve">GARNET INTERNATIONAL LTD.</t>
        </is>
      </c>
      <c r="C1382" t="inlineStr">
        <is>
          <t xml:space="preserve">INE590B01010</t>
        </is>
      </c>
    </row>
    <row r="1383">
      <c r="A1383" t="inlineStr">
        <is>
          <t xml:space="preserve">GARUDA</t>
        </is>
      </c>
      <c r="B1383" t="inlineStr">
        <is>
          <t xml:space="preserve">Garuda Construction and Engine</t>
        </is>
      </c>
      <c r="C1383" t="inlineStr">
        <is>
          <t xml:space="preserve">INE0JVO01026</t>
        </is>
      </c>
    </row>
    <row r="1384">
      <c r="A1384" t="inlineStr">
        <is>
          <t xml:space="preserve">GRWRHITECH</t>
        </is>
      </c>
      <c r="B1384" t="inlineStr">
        <is>
          <t xml:space="preserve">GARWARE HI-TECH FILMS LIMITED</t>
        </is>
      </c>
      <c r="C1384" t="inlineStr">
        <is>
          <t xml:space="preserve">INE291A01017</t>
        </is>
      </c>
    </row>
    <row r="1385">
      <c r="A1385" t="inlineStr">
        <is>
          <t xml:space="preserve">GARWAMAR</t>
        </is>
      </c>
      <c r="B1385" t="inlineStr">
        <is>
          <t xml:space="preserve">GARWARE MARINE INDUSTRIES LTD.</t>
        </is>
      </c>
      <c r="C1385" t="inlineStr">
        <is>
          <t xml:space="preserve">INE925D01014</t>
        </is>
      </c>
    </row>
    <row r="1386">
      <c r="A1386" t="inlineStr">
        <is>
          <t xml:space="preserve">GARWAOFFS</t>
        </is>
      </c>
      <c r="B1386" t="inlineStr">
        <is>
          <t xml:space="preserve">GARWARE OFFSHORE SERVICES LIMI</t>
        </is>
      </c>
      <c r="C1386" t="inlineStr">
        <is>
          <t xml:space="preserve">INE446C01013</t>
        </is>
      </c>
    </row>
    <row r="1387">
      <c r="A1387" t="inlineStr">
        <is>
          <t xml:space="preserve">GARWSYN</t>
        </is>
      </c>
      <c r="B1387" t="inlineStr">
        <is>
          <t xml:space="preserve">GARWARE SYNTHETICS LTD.</t>
        </is>
      </c>
      <c r="C1387" t="inlineStr">
        <is>
          <t xml:space="preserve">INE340D01016</t>
        </is>
      </c>
    </row>
    <row r="1388">
      <c r="A1388" t="inlineStr">
        <is>
          <t xml:space="preserve">GARFIBRES</t>
        </is>
      </c>
      <c r="B1388" t="inlineStr">
        <is>
          <t xml:space="preserve">GARWARE TECHNICAL FIBRES LIMIT</t>
        </is>
      </c>
      <c r="C1388" t="inlineStr">
        <is>
          <t xml:space="preserve">INE276A01018</t>
        </is>
      </c>
    </row>
    <row r="1389">
      <c r="A1389" t="inlineStr">
        <is>
          <t xml:space="preserve">GATEWAY</t>
        </is>
      </c>
      <c r="B1389" t="inlineStr">
        <is>
          <t xml:space="preserve">Gateway Distriparks Limited</t>
        </is>
      </c>
      <c r="C1389" t="inlineStr">
        <is>
          <t xml:space="preserve">INE079J01017</t>
        </is>
      </c>
    </row>
    <row r="1390">
      <c r="A1390" t="inlineStr">
        <is>
          <t xml:space="preserve">GAUDIUMIVF</t>
        </is>
      </c>
      <c r="B1390" t="inlineStr">
        <is>
          <t xml:space="preserve">Gaudium IVF and Women Health L</t>
        </is>
      </c>
      <c r="C1390" t="inlineStr">
        <is>
          <t xml:space="preserve">INE0P8B01020</t>
        </is>
      </c>
    </row>
    <row r="1391">
      <c r="A1391" t="inlineStr">
        <is>
          <t xml:space="preserve">GEL</t>
        </is>
      </c>
      <c r="B1391" t="inlineStr">
        <is>
          <t xml:space="preserve">Gautam Exim Limited</t>
        </is>
      </c>
      <c r="C1391" t="inlineStr">
        <is>
          <t xml:space="preserve">INE721X01023</t>
        </is>
      </c>
    </row>
    <row r="1392">
      <c r="A1392" t="inlineStr">
        <is>
          <t xml:space="preserve">GGL</t>
        </is>
      </c>
      <c r="B1392" t="inlineStr">
        <is>
          <t xml:space="preserve">Gautam Gems Limited</t>
        </is>
      </c>
      <c r="C1392" t="inlineStr">
        <is>
          <t xml:space="preserve">INE063Z01017</t>
        </is>
      </c>
    </row>
    <row r="1393">
      <c r="A1393" t="inlineStr">
        <is>
          <t xml:space="preserve">GAYATRIBI</t>
        </is>
      </c>
      <c r="B1393" t="inlineStr">
        <is>
          <t xml:space="preserve">GAYATRI BIOORGANICS LTD.</t>
        </is>
      </c>
      <c r="C1393" t="inlineStr">
        <is>
          <t xml:space="preserve">INE052E01015</t>
        </is>
      </c>
    </row>
    <row r="1394">
      <c r="A1394" t="inlineStr">
        <is>
          <t xml:space="preserve">GAYAHWS</t>
        </is>
      </c>
      <c r="B1394" t="inlineStr">
        <is>
          <t xml:space="preserve">GAYATRI HIGHWAYS LTD</t>
        </is>
      </c>
      <c r="C1394" t="inlineStr">
        <is>
          <t xml:space="preserve">INE287Z01012</t>
        </is>
      </c>
    </row>
    <row r="1395">
      <c r="A1395" t="inlineStr">
        <is>
          <t xml:space="preserve">GAYAPROJ</t>
        </is>
      </c>
      <c r="B1395" t="inlineStr">
        <is>
          <t xml:space="preserve">GAYATRI PROJECTS LTD.</t>
        </is>
      </c>
      <c r="C1395" t="inlineStr">
        <is>
          <t xml:space="preserve">INE336H01023</t>
        </is>
      </c>
    </row>
    <row r="1396">
      <c r="A1396" t="inlineStr">
        <is>
          <t xml:space="preserve">GAYATRI</t>
        </is>
      </c>
      <c r="B1396" t="inlineStr">
        <is>
          <t xml:space="preserve">GAYATRI SUGARS LTD.</t>
        </is>
      </c>
      <c r="C1396" t="inlineStr">
        <is>
          <t xml:space="preserve">INE622E01023</t>
        </is>
      </c>
    </row>
    <row r="1397">
      <c r="A1397" t="inlineStr">
        <is>
          <t xml:space="preserve">GBLOGISTIC</t>
        </is>
      </c>
      <c r="B1397" t="inlineStr">
        <is>
          <t xml:space="preserve">GB Logistics Commerce Limited</t>
        </is>
      </c>
      <c r="C1397" t="inlineStr">
        <is>
          <t xml:space="preserve">INE0RWU01016</t>
        </is>
      </c>
    </row>
    <row r="1398">
      <c r="A1398" t="inlineStr">
        <is>
          <t xml:space="preserve">GCMCOMM</t>
        </is>
      </c>
      <c r="B1398" t="inlineStr">
        <is>
          <t xml:space="preserve">GCM COMMODITY &amp; DERIVATIVES LT</t>
        </is>
      </c>
      <c r="C1398" t="inlineStr">
        <is>
          <t xml:space="preserve">INE200P01016</t>
        </is>
      </c>
    </row>
    <row r="1399">
      <c r="A1399" t="inlineStr">
        <is>
          <t xml:space="preserve">GCMSECU</t>
        </is>
      </c>
      <c r="B1399" t="inlineStr">
        <is>
          <t xml:space="preserve">GCM SECURITIES LTD</t>
        </is>
      </c>
      <c r="C1399" t="inlineStr">
        <is>
          <t xml:space="preserve">INE168O01026</t>
        </is>
      </c>
    </row>
    <row r="1400">
      <c r="A1400" t="inlineStr">
        <is>
          <t xml:space="preserve">GCONNECT</t>
        </is>
      </c>
      <c r="B1400" t="inlineStr">
        <is>
          <t xml:space="preserve">Gconnect Logitech and Supply C</t>
        </is>
      </c>
      <c r="C1400" t="inlineStr">
        <is>
          <t xml:space="preserve">INE0QHY01011</t>
        </is>
      </c>
    </row>
    <row r="1401">
      <c r="A1401" t="inlineStr">
        <is>
          <t xml:space="preserve">GDLLEAS</t>
        </is>
      </c>
      <c r="B1401" t="inlineStr">
        <is>
          <t xml:space="preserve">GDL LEASING &amp; FINANCE LTD.</t>
        </is>
      </c>
      <c r="C1401" t="inlineStr">
        <is>
          <t xml:space="preserve">INE545E01018</t>
        </is>
      </c>
    </row>
    <row r="1402">
      <c r="A1402" t="inlineStr">
        <is>
          <t xml:space="preserve">GVPIL</t>
        </is>
      </c>
      <c r="B1402" t="inlineStr">
        <is>
          <t xml:space="preserve">GE Power India Ltd</t>
        </is>
      </c>
      <c r="C1402" t="inlineStr">
        <is>
          <t xml:space="preserve">INE878A01011</t>
        </is>
      </c>
    </row>
    <row r="1403">
      <c r="A1403" t="inlineStr">
        <is>
          <t xml:space="preserve">GVT&amp;D</t>
        </is>
      </c>
      <c r="B1403" t="inlineStr">
        <is>
          <t xml:space="preserve">GE Vernova T&amp;D India Limited</t>
        </is>
      </c>
      <c r="C1403" t="inlineStr">
        <is>
          <t xml:space="preserve">INE200A01026</t>
        </is>
      </c>
    </row>
    <row r="1404">
      <c r="A1404" t="inlineStr">
        <is>
          <t xml:space="preserve">GEE</t>
        </is>
      </c>
      <c r="B1404" t="inlineStr">
        <is>
          <t xml:space="preserve">GEE LTD.</t>
        </is>
      </c>
      <c r="C1404" t="inlineStr">
        <is>
          <t xml:space="preserve">INE064H01021</t>
        </is>
      </c>
    </row>
    <row r="1405">
      <c r="A1405" t="inlineStr">
        <is>
          <t xml:space="preserve">GEECEE</t>
        </is>
      </c>
      <c r="B1405" t="inlineStr">
        <is>
          <t xml:space="preserve">GEECEE VENTURES LIMITED</t>
        </is>
      </c>
      <c r="C1405" t="inlineStr">
        <is>
          <t xml:space="preserve">INE916G01016</t>
        </is>
      </c>
    </row>
    <row r="1406">
      <c r="A1406" t="inlineStr">
        <is>
          <t xml:space="preserve">GEMAROMA</t>
        </is>
      </c>
      <c r="B1406" t="inlineStr">
        <is>
          <t xml:space="preserve">Gem Aromatics Limited</t>
        </is>
      </c>
      <c r="C1406" t="inlineStr">
        <is>
          <t xml:space="preserve">INE06XZ01023</t>
        </is>
      </c>
    </row>
    <row r="1407">
      <c r="A1407" t="inlineStr">
        <is>
          <t xml:space="preserve">GEMENVIRO</t>
        </is>
      </c>
      <c r="B1407" t="inlineStr">
        <is>
          <t xml:space="preserve">GEM Enviro Management Limited</t>
        </is>
      </c>
      <c r="C1407" t="inlineStr">
        <is>
          <t xml:space="preserve">INE0RUJ01013</t>
        </is>
      </c>
    </row>
    <row r="1408">
      <c r="A1408" t="inlineStr">
        <is>
          <t xml:space="preserve">GEMSI</t>
        </is>
      </c>
      <c r="B1408" t="inlineStr">
        <is>
          <t xml:space="preserve">GEMSTONE INVESTMENTS LTD.</t>
        </is>
      </c>
      <c r="C1408" t="inlineStr">
        <is>
          <t xml:space="preserve">INE503D01027</t>
        </is>
      </c>
    </row>
    <row r="1409">
      <c r="A1409" t="inlineStr">
        <is>
          <t xml:space="preserve">GICRE</t>
        </is>
      </c>
      <c r="B1409" t="inlineStr">
        <is>
          <t xml:space="preserve">General Insurance Corporation</t>
        </is>
      </c>
      <c r="C1409" t="inlineStr">
        <is>
          <t xml:space="preserve">INE481Y01014</t>
        </is>
      </c>
    </row>
    <row r="1410">
      <c r="A1410" t="inlineStr">
        <is>
          <t xml:space="preserve">GENCON</t>
        </is>
      </c>
      <c r="B1410" t="inlineStr">
        <is>
          <t xml:space="preserve">Generic Engineering Constructi</t>
        </is>
      </c>
      <c r="C1410" t="inlineStr">
        <is>
          <t xml:space="preserve">INE854S01022</t>
        </is>
      </c>
    </row>
    <row r="1411">
      <c r="A1411" t="inlineStr">
        <is>
          <t xml:space="preserve">GENESYS</t>
        </is>
      </c>
      <c r="B1411" t="inlineStr">
        <is>
          <t xml:space="preserve">GENESYS INTERNATIONAL CORPORAT</t>
        </is>
      </c>
      <c r="C1411" t="inlineStr">
        <is>
          <t xml:space="preserve">INE727B01026</t>
        </is>
      </c>
    </row>
    <row r="1412">
      <c r="A1412" t="inlineStr">
        <is>
          <t xml:space="preserve">GENNEX</t>
        </is>
      </c>
      <c r="B1412" t="inlineStr">
        <is>
          <t xml:space="preserve">GENNEX LABORATORIES LTD.</t>
        </is>
      </c>
      <c r="C1412" t="inlineStr">
        <is>
          <t xml:space="preserve">INE509C01026</t>
        </is>
      </c>
    </row>
    <row r="1413">
      <c r="A1413" t="inlineStr">
        <is>
          <t xml:space="preserve">GVBL</t>
        </is>
      </c>
      <c r="B1413" t="inlineStr">
        <is>
          <t xml:space="preserve">GENOMIC VALLEY BIOTECH LIMITED</t>
        </is>
      </c>
      <c r="C1413" t="inlineStr">
        <is>
          <t xml:space="preserve">INE574D01010</t>
        </is>
      </c>
    </row>
    <row r="1414">
      <c r="A1414" t="inlineStr">
        <is>
          <t xml:space="preserve">GENPHARMA</t>
        </is>
      </c>
      <c r="B1414" t="inlineStr">
        <is>
          <t xml:space="preserve">GENPHARMASEC LIMITED</t>
        </is>
      </c>
      <c r="C1414" t="inlineStr">
        <is>
          <t xml:space="preserve">INE861N01036</t>
        </is>
      </c>
    </row>
    <row r="1415">
      <c r="A1415" t="inlineStr">
        <is>
          <t xml:space="preserve">GENUSPAPER</t>
        </is>
      </c>
      <c r="B1415" t="inlineStr">
        <is>
          <t xml:space="preserve">GENUS PAPER &amp; BOARDS LIMITED</t>
        </is>
      </c>
      <c r="C1415" t="inlineStr">
        <is>
          <t xml:space="preserve">INE949P01018</t>
        </is>
      </c>
    </row>
    <row r="1416">
      <c r="A1416" t="inlineStr">
        <is>
          <t xml:space="preserve">GENUSPOWER</t>
        </is>
      </c>
      <c r="B1416" t="inlineStr">
        <is>
          <t xml:space="preserve">GENUS POWER INFRASTRUCTURES LT</t>
        </is>
      </c>
      <c r="C1416" t="inlineStr">
        <is>
          <t xml:space="preserve">INE955D01029</t>
        </is>
      </c>
    </row>
    <row r="1417">
      <c r="A1417" t="inlineStr">
        <is>
          <t xml:space="preserve">GENUSPRIME</t>
        </is>
      </c>
      <c r="B1417" t="inlineStr">
        <is>
          <t xml:space="preserve">GENUS PRIME INFRA LIMITED</t>
        </is>
      </c>
      <c r="C1417" t="inlineStr">
        <is>
          <t xml:space="preserve">INE256D01014</t>
        </is>
      </c>
    </row>
    <row r="1418">
      <c r="A1418" t="inlineStr">
        <is>
          <t xml:space="preserve">GEOJITFSL</t>
        </is>
      </c>
      <c r="B1418" t="inlineStr">
        <is>
          <t xml:space="preserve">Geojit Financial Services Limi</t>
        </is>
      </c>
      <c r="C1418" t="inlineStr">
        <is>
          <t xml:space="preserve">INE007B01023</t>
        </is>
      </c>
    </row>
    <row r="1419">
      <c r="A1419" t="inlineStr">
        <is>
          <t xml:space="preserve">GFLLIMITED</t>
        </is>
      </c>
      <c r="B1419" t="inlineStr">
        <is>
          <t xml:space="preserve">GFL LIMITED</t>
        </is>
      </c>
      <c r="C1419" t="inlineStr">
        <is>
          <t xml:space="preserve">INE538A01037</t>
        </is>
      </c>
    </row>
    <row r="1420">
      <c r="A1420" t="inlineStr">
        <is>
          <t xml:space="preserve">GHCL</t>
        </is>
      </c>
      <c r="B1420" t="inlineStr">
        <is>
          <t xml:space="preserve">GHCL LTD.</t>
        </is>
      </c>
      <c r="C1420" t="inlineStr">
        <is>
          <t xml:space="preserve">INE539A01019</t>
        </is>
      </c>
    </row>
    <row r="1421">
      <c r="A1421" t="inlineStr">
        <is>
          <t xml:space="preserve">GHCLTEXTIL</t>
        </is>
      </c>
      <c r="B1421" t="inlineStr">
        <is>
          <t xml:space="preserve">GHCL Textiles Limited</t>
        </is>
      </c>
      <c r="C1421" t="inlineStr">
        <is>
          <t xml:space="preserve">INE0PA801013</t>
        </is>
      </c>
    </row>
    <row r="1422">
      <c r="A1422" t="inlineStr">
        <is>
          <t xml:space="preserve">GHVINFRA</t>
        </is>
      </c>
      <c r="B1422" t="inlineStr">
        <is>
          <t xml:space="preserve">GHV INFRA PROJECTS LIMITED</t>
        </is>
      </c>
      <c r="C1422" t="inlineStr">
        <is>
          <t xml:space="preserve">INE809Q01020</t>
        </is>
      </c>
    </row>
    <row r="1423">
      <c r="A1423" t="inlineStr">
        <is>
          <t xml:space="preserve">GIANLIFE</t>
        </is>
      </c>
      <c r="B1423" t="inlineStr">
        <is>
          <t xml:space="preserve">Gian Life Care Limited</t>
        </is>
      </c>
      <c r="C1423" t="inlineStr">
        <is>
          <t xml:space="preserve">INE063601012</t>
        </is>
      </c>
    </row>
    <row r="1424">
      <c r="A1424" t="inlineStr">
        <is>
          <t xml:space="preserve">GICHSGFIN</t>
        </is>
      </c>
      <c r="B1424" t="inlineStr">
        <is>
          <t xml:space="preserve">GIC HOUSING FINANCE LTD.</t>
        </is>
      </c>
      <c r="C1424" t="inlineStr">
        <is>
          <t xml:space="preserve">INE289B01019</t>
        </is>
      </c>
    </row>
    <row r="1425">
      <c r="A1425" t="inlineStr">
        <is>
          <t xml:space="preserve">GILADAFINS</t>
        </is>
      </c>
      <c r="B1425" t="inlineStr">
        <is>
          <t xml:space="preserve">Gilada Finance &amp; Investments L</t>
        </is>
      </c>
      <c r="C1425" t="inlineStr">
        <is>
          <t xml:space="preserve">INE918C01029</t>
        </is>
      </c>
    </row>
    <row r="1426">
      <c r="A1426" t="inlineStr">
        <is>
          <t xml:space="preserve">GILLANDERS</t>
        </is>
      </c>
      <c r="B1426" t="inlineStr">
        <is>
          <t xml:space="preserve">GILLANDERS ARBUTHNOT &amp; CO.LTD.</t>
        </is>
      </c>
      <c r="C1426" t="inlineStr">
        <is>
          <t xml:space="preserve">INE047B01011</t>
        </is>
      </c>
    </row>
    <row r="1427">
      <c r="A1427" t="inlineStr">
        <is>
          <t xml:space="preserve">GILLETTE</t>
        </is>
      </c>
      <c r="B1427" t="inlineStr">
        <is>
          <t xml:space="preserve">GILLETTE INDIA LTD.</t>
        </is>
      </c>
      <c r="C1427" t="inlineStr">
        <is>
          <t xml:space="preserve">INE322A01010</t>
        </is>
      </c>
    </row>
    <row r="1428">
      <c r="A1428" t="inlineStr">
        <is>
          <t xml:space="preserve">GINNIFILA</t>
        </is>
      </c>
      <c r="B1428" t="inlineStr">
        <is>
          <t xml:space="preserve">GINNI FILAMENTS LTD.</t>
        </is>
      </c>
      <c r="C1428" t="inlineStr">
        <is>
          <t xml:space="preserve">INE424C01010</t>
        </is>
      </c>
    </row>
    <row r="1429">
      <c r="A1429" t="inlineStr">
        <is>
          <t xml:space="preserve">GITARENEW</t>
        </is>
      </c>
      <c r="B1429" t="inlineStr">
        <is>
          <t xml:space="preserve">GITA RENEWABLE ENERGY LIMITED</t>
        </is>
      </c>
      <c r="C1429" t="inlineStr">
        <is>
          <t xml:space="preserve">INE776O01018</t>
        </is>
      </c>
    </row>
    <row r="1430">
      <c r="A1430" t="inlineStr">
        <is>
          <t xml:space="preserve">GKENERGY</t>
        </is>
      </c>
      <c r="B1430" t="inlineStr">
        <is>
          <t xml:space="preserve">GK ENERGY LIMITED</t>
        </is>
      </c>
      <c r="C1430" t="inlineStr">
        <is>
          <t xml:space="preserve">INE1AG301022</t>
        </is>
      </c>
    </row>
    <row r="1431">
      <c r="A1431" t="inlineStr">
        <is>
          <t xml:space="preserve">GKB</t>
        </is>
      </c>
      <c r="B1431" t="inlineStr">
        <is>
          <t xml:space="preserve">GKB OPHTHALMICS LTD.</t>
        </is>
      </c>
      <c r="C1431" t="inlineStr">
        <is>
          <t xml:space="preserve">INE265D01015</t>
        </is>
      </c>
    </row>
    <row r="1432">
      <c r="A1432" t="inlineStr">
        <is>
          <t xml:space="preserve">GLAND</t>
        </is>
      </c>
      <c r="B1432" t="inlineStr">
        <is>
          <t xml:space="preserve">Gland Pharma Limited</t>
        </is>
      </c>
      <c r="C1432" t="inlineStr">
        <is>
          <t xml:space="preserve">INE068V01023</t>
        </is>
      </c>
    </row>
    <row r="1433">
      <c r="A1433" t="inlineStr">
        <is>
          <t xml:space="preserve">GLAXO</t>
        </is>
      </c>
      <c r="B1433" t="inlineStr">
        <is>
          <t xml:space="preserve">GLAXOSMITHKLINE PHARMACEUTICAL</t>
        </is>
      </c>
      <c r="C1433" t="inlineStr">
        <is>
          <t xml:space="preserve">INE159A01016</t>
        </is>
      </c>
    </row>
    <row r="1434">
      <c r="A1434" t="inlineStr">
        <is>
          <t xml:space="preserve">GLEN</t>
        </is>
      </c>
      <c r="B1434" t="inlineStr">
        <is>
          <t xml:space="preserve">Glen Industries Limited</t>
        </is>
      </c>
      <c r="C1434" t="inlineStr">
        <is>
          <t xml:space="preserve">INE0UMC01019</t>
        </is>
      </c>
    </row>
    <row r="1435">
      <c r="A1435" t="inlineStr">
        <is>
          <t xml:space="preserve">GLENMARK</t>
        </is>
      </c>
      <c r="B1435" t="inlineStr">
        <is>
          <t xml:space="preserve">GLENMARK PHARMACEUTICALS LTD.</t>
        </is>
      </c>
      <c r="C1435" t="inlineStr">
        <is>
          <t xml:space="preserve">INE935A01035</t>
        </is>
      </c>
    </row>
    <row r="1436">
      <c r="A1436" t="inlineStr">
        <is>
          <t xml:space="preserve">GLITTEKG</t>
        </is>
      </c>
      <c r="B1436" t="inlineStr">
        <is>
          <t xml:space="preserve">GLITTEK GRANITES LTD.</t>
        </is>
      </c>
      <c r="C1436" t="inlineStr">
        <is>
          <t xml:space="preserve">INE741B01027</t>
        </is>
      </c>
    </row>
    <row r="1437">
      <c r="A1437" t="inlineStr">
        <is>
          <t xml:space="preserve">GLOBALCA</t>
        </is>
      </c>
      <c r="B1437" t="inlineStr">
        <is>
          <t xml:space="preserve">GLOBAL CAPITAL MARKETS LTD.</t>
        </is>
      </c>
      <c r="C1437" t="inlineStr">
        <is>
          <t xml:space="preserve">INE062C01042</t>
        </is>
      </c>
    </row>
    <row r="1438">
      <c r="A1438" t="inlineStr">
        <is>
          <t xml:space="preserve">MEDANTA</t>
        </is>
      </c>
      <c r="B1438" t="inlineStr">
        <is>
          <t xml:space="preserve">Global Health Limited</t>
        </is>
      </c>
      <c r="C1438" t="inlineStr">
        <is>
          <t xml:space="preserve">INE474Q01031</t>
        </is>
      </c>
    </row>
    <row r="1439">
      <c r="A1439" t="inlineStr">
        <is>
          <t xml:space="preserve">GLHRL</t>
        </is>
      </c>
      <c r="B1439" t="inlineStr">
        <is>
          <t xml:space="preserve">Global Longlife Hospital and R</t>
        </is>
      </c>
      <c r="C1439" t="inlineStr">
        <is>
          <t xml:space="preserve">INE0J2K01014</t>
        </is>
      </c>
    </row>
    <row r="1440">
      <c r="A1440" t="inlineStr">
        <is>
          <t xml:space="preserve">GSLSU</t>
        </is>
      </c>
      <c r="B1440" t="inlineStr">
        <is>
          <t xml:space="preserve">Global Surfaces Limited</t>
        </is>
      </c>
      <c r="C1440" t="inlineStr">
        <is>
          <t xml:space="preserve">INE0JSX01015</t>
        </is>
      </c>
    </row>
    <row r="1441">
      <c r="A1441" t="inlineStr">
        <is>
          <t xml:space="preserve">GLOBALVECT</t>
        </is>
      </c>
      <c r="B1441" t="inlineStr">
        <is>
          <t xml:space="preserve">GLOBAL VECTRA HELICORP LTD.</t>
        </is>
      </c>
      <c r="C1441" t="inlineStr">
        <is>
          <t xml:space="preserve">INE792H01019</t>
        </is>
      </c>
    </row>
    <row r="1442">
      <c r="A1442" t="inlineStr">
        <is>
          <t xml:space="preserve">GLOBALE</t>
        </is>
      </c>
      <c r="B1442" t="inlineStr">
        <is>
          <t xml:space="preserve">Globale Tessile Limited</t>
        </is>
      </c>
      <c r="C1442" t="inlineStr">
        <is>
          <t xml:space="preserve">INE0URU01010</t>
        </is>
      </c>
    </row>
    <row r="1443">
      <c r="A1443" t="inlineStr">
        <is>
          <t xml:space="preserve">GSTL</t>
        </is>
      </c>
      <c r="B1443" t="inlineStr">
        <is>
          <t xml:space="preserve">GlobalSpace Technologies Limit</t>
        </is>
      </c>
      <c r="C1443" t="inlineStr">
        <is>
          <t xml:space="preserve">INE632W01016</t>
        </is>
      </c>
    </row>
    <row r="1444">
      <c r="A1444" t="inlineStr">
        <is>
          <t xml:space="preserve">GLOBECIVIL</t>
        </is>
      </c>
      <c r="B1444" t="inlineStr">
        <is>
          <t xml:space="preserve">GLOBE CIVIL PROJECTS LIMITED</t>
        </is>
      </c>
      <c r="C1444" t="inlineStr">
        <is>
          <t xml:space="preserve">INE0V3U01015</t>
        </is>
      </c>
    </row>
    <row r="1445">
      <c r="A1445" t="inlineStr">
        <is>
          <t xml:space="preserve">GLCL</t>
        </is>
      </c>
      <c r="B1445" t="inlineStr">
        <is>
          <t xml:space="preserve">Globe Commercials Limited</t>
        </is>
      </c>
      <c r="C1445" t="inlineStr">
        <is>
          <t xml:space="preserve">INE804Q01013</t>
        </is>
      </c>
    </row>
    <row r="1446">
      <c r="A1446" t="inlineStr">
        <is>
          <t xml:space="preserve">GLOBTIER</t>
        </is>
      </c>
      <c r="B1446" t="inlineStr">
        <is>
          <t xml:space="preserve">Globtier Infotech limited</t>
        </is>
      </c>
      <c r="C1446" t="inlineStr">
        <is>
          <t xml:space="preserve">INE12P601017</t>
        </is>
      </c>
    </row>
    <row r="1447">
      <c r="A1447" t="inlineStr">
        <is>
          <t xml:space="preserve">GLOBUSCON</t>
        </is>
      </c>
      <c r="B1447" t="inlineStr">
        <is>
          <t xml:space="preserve">GLOBUS CONSTRUCTORS &amp; DEVELOPE</t>
        </is>
      </c>
      <c r="C1447" t="inlineStr">
        <is>
          <t xml:space="preserve">INE064L01015</t>
        </is>
      </c>
    </row>
    <row r="1448">
      <c r="A1448" t="inlineStr">
        <is>
          <t xml:space="preserve">GLOBUSSPR</t>
        </is>
      </c>
      <c r="B1448" t="inlineStr">
        <is>
          <t xml:space="preserve">GLOBUS SPIRITS LTD.</t>
        </is>
      </c>
      <c r="C1448" t="inlineStr">
        <is>
          <t xml:space="preserve">INE615I01010</t>
        </is>
      </c>
    </row>
    <row r="1449">
      <c r="A1449" t="inlineStr">
        <is>
          <t xml:space="preserve">GLOSTERLTD</t>
        </is>
      </c>
      <c r="B1449" t="inlineStr">
        <is>
          <t xml:space="preserve">Gloster Ltd</t>
        </is>
      </c>
      <c r="C1449" t="inlineStr">
        <is>
          <t xml:space="preserve">INE350Z01018</t>
        </is>
      </c>
    </row>
    <row r="1450">
      <c r="A1450" t="inlineStr">
        <is>
          <t xml:space="preserve">GLOTTIS</t>
        </is>
      </c>
      <c r="B1450" t="inlineStr">
        <is>
          <t xml:space="preserve">Glottis Limited</t>
        </is>
      </c>
      <c r="C1450" t="inlineStr">
        <is>
          <t xml:space="preserve">INE0TQE01026</t>
        </is>
      </c>
    </row>
    <row r="1451">
      <c r="A1451" t="inlineStr">
        <is>
          <t xml:space="preserve">GMMPFAUDLR</t>
        </is>
      </c>
      <c r="B1451" t="inlineStr">
        <is>
          <t xml:space="preserve">GMM PFAUDLER LTD.</t>
        </is>
      </c>
      <c r="C1451" t="inlineStr">
        <is>
          <t xml:space="preserve">INE541A01023</t>
        </is>
      </c>
    </row>
    <row r="1452">
      <c r="A1452" t="inlineStr">
        <is>
          <t xml:space="preserve">GMRAIRPORT</t>
        </is>
      </c>
      <c r="B1452" t="inlineStr">
        <is>
          <t xml:space="preserve">GMR Airports Limited</t>
        </is>
      </c>
      <c r="C1452" t="inlineStr">
        <is>
          <t xml:space="preserve">INE776C01039</t>
        </is>
      </c>
    </row>
    <row r="1453">
      <c r="A1453" t="inlineStr">
        <is>
          <t xml:space="preserve">GMRP&amp;UI</t>
        </is>
      </c>
      <c r="B1453" t="inlineStr">
        <is>
          <t xml:space="preserve">GMR Power and Urban Infra Limi</t>
        </is>
      </c>
      <c r="C1453" t="inlineStr">
        <is>
          <t xml:space="preserve">INE0CU601026</t>
        </is>
      </c>
    </row>
    <row r="1454">
      <c r="A1454" t="inlineStr">
        <is>
          <t xml:space="preserve">EBGNG</t>
        </is>
      </c>
      <c r="B1454" t="inlineStr">
        <is>
          <t xml:space="preserve">GNG Electronics Limited</t>
        </is>
      </c>
      <c r="C1454" t="inlineStr">
        <is>
          <t xml:space="preserve">INE18JU01028</t>
        </is>
      </c>
    </row>
    <row r="1455">
      <c r="A1455" t="inlineStr">
        <is>
          <t xml:space="preserve">GODIGIT</t>
        </is>
      </c>
      <c r="B1455" t="inlineStr">
        <is>
          <t xml:space="preserve">Go Digit General Insurance Lim</t>
        </is>
      </c>
      <c r="C1455" t="inlineStr">
        <is>
          <t xml:space="preserve">INE03JT01014</t>
        </is>
      </c>
    </row>
    <row r="1456">
      <c r="A1456" t="inlineStr">
        <is>
          <t xml:space="preserve">GOCOLORS</t>
        </is>
      </c>
      <c r="B1456" t="inlineStr">
        <is>
          <t xml:space="preserve">Go Fashion (India) Limited</t>
        </is>
      </c>
      <c r="C1456" t="inlineStr">
        <is>
          <t xml:space="preserve">INE0BJS01011</t>
        </is>
      </c>
    </row>
    <row r="1457">
      <c r="A1457" t="inlineStr">
        <is>
          <t xml:space="preserve">GOACARBON</t>
        </is>
      </c>
      <c r="B1457" t="inlineStr">
        <is>
          <t xml:space="preserve">GOA CARBON LTD.</t>
        </is>
      </c>
      <c r="C1457" t="inlineStr">
        <is>
          <t xml:space="preserve">INE426D01013</t>
        </is>
      </c>
    </row>
    <row r="1458">
      <c r="A1458" t="inlineStr">
        <is>
          <t xml:space="preserve">GOCLCORP</t>
        </is>
      </c>
      <c r="B1458" t="inlineStr">
        <is>
          <t xml:space="preserve">GOCL Corporation Limited</t>
        </is>
      </c>
      <c r="C1458" t="inlineStr">
        <is>
          <t xml:space="preserve">INE077F01035</t>
        </is>
      </c>
    </row>
    <row r="1459">
      <c r="A1459" t="inlineStr">
        <is>
          <t xml:space="preserve">GODAVARIB</t>
        </is>
      </c>
      <c r="B1459" t="inlineStr">
        <is>
          <t xml:space="preserve">Godavari Biorefineries Limited</t>
        </is>
      </c>
      <c r="C1459" t="inlineStr">
        <is>
          <t xml:space="preserve">INE497S01012</t>
        </is>
      </c>
    </row>
    <row r="1460">
      <c r="A1460" t="inlineStr">
        <is>
          <t xml:space="preserve">GODAVARI</t>
        </is>
      </c>
      <c r="B1460" t="inlineStr">
        <is>
          <t xml:space="preserve">GODAVARI DRUGS LTD.</t>
        </is>
      </c>
      <c r="C1460" t="inlineStr">
        <is>
          <t xml:space="preserve">INE362C01012</t>
        </is>
      </c>
    </row>
    <row r="1461">
      <c r="A1461" t="inlineStr">
        <is>
          <t xml:space="preserve">GPIL</t>
        </is>
      </c>
      <c r="B1461" t="inlineStr">
        <is>
          <t xml:space="preserve">GODAWARI POWER &amp; ISPAT LTD.</t>
        </is>
      </c>
      <c r="C1461" t="inlineStr">
        <is>
          <t xml:space="preserve">INE177H01039</t>
        </is>
      </c>
    </row>
    <row r="1462">
      <c r="A1462" t="inlineStr">
        <is>
          <t xml:space="preserve">GODFRYPHLP</t>
        </is>
      </c>
      <c r="B1462" t="inlineStr">
        <is>
          <t xml:space="preserve">GODFREY PHILLIPS INDIA LTD.</t>
        </is>
      </c>
      <c r="C1462" t="inlineStr">
        <is>
          <t xml:space="preserve">INE260B01028</t>
        </is>
      </c>
    </row>
    <row r="1463">
      <c r="A1463" t="inlineStr">
        <is>
          <t xml:space="preserve">GODREJAGRO</t>
        </is>
      </c>
      <c r="B1463" t="inlineStr">
        <is>
          <t xml:space="preserve">Godrej Agrovet Limited</t>
        </is>
      </c>
      <c r="C1463" t="inlineStr">
        <is>
          <t xml:space="preserve">INE850D01014</t>
        </is>
      </c>
    </row>
    <row r="1464">
      <c r="A1464" t="inlineStr">
        <is>
          <t xml:space="preserve">GODREJCP</t>
        </is>
      </c>
      <c r="B1464" t="inlineStr">
        <is>
          <t xml:space="preserve">GODREJ CONSUMER PRODUCTS LTD.</t>
        </is>
      </c>
      <c r="C1464" t="inlineStr">
        <is>
          <t xml:space="preserve">INE102D01028</t>
        </is>
      </c>
    </row>
    <row r="1465">
      <c r="A1465" t="inlineStr">
        <is>
          <t xml:space="preserve">GODREJIND</t>
        </is>
      </c>
      <c r="B1465" t="inlineStr">
        <is>
          <t xml:space="preserve">GODREJ INDUSTRIES LTD.</t>
        </is>
      </c>
      <c r="C1465" t="inlineStr">
        <is>
          <t xml:space="preserve">INE233A01035</t>
        </is>
      </c>
    </row>
    <row r="1466">
      <c r="A1466" t="inlineStr">
        <is>
          <t xml:space="preserve">GODREJPROP</t>
        </is>
      </c>
      <c r="B1466" t="inlineStr">
        <is>
          <t xml:space="preserve">GODREJ PROPERTIES LTD</t>
        </is>
      </c>
      <c r="C1466" t="inlineStr">
        <is>
          <t xml:space="preserve">INE484J01027</t>
        </is>
      </c>
    </row>
    <row r="1467">
      <c r="A1467" t="inlineStr">
        <is>
          <t xml:space="preserve">GOELCONS</t>
        </is>
      </c>
      <c r="B1467" t="inlineStr">
        <is>
          <t xml:space="preserve">GOEL CONSTRUCTION COMPANY LIMI</t>
        </is>
      </c>
      <c r="C1467" t="inlineStr">
        <is>
          <t xml:space="preserve">INE0ZOM01013</t>
        </is>
      </c>
    </row>
    <row r="1468">
      <c r="A1468" t="inlineStr">
        <is>
          <t xml:space="preserve">GBFL</t>
        </is>
      </c>
      <c r="B1468" t="inlineStr">
        <is>
          <t xml:space="preserve">Goenka Business &amp; Finance Limi</t>
        </is>
      </c>
      <c r="C1468" t="inlineStr">
        <is>
          <t xml:space="preserve">INE997C01015</t>
        </is>
      </c>
    </row>
    <row r="1469">
      <c r="A1469" t="inlineStr">
        <is>
          <t xml:space="preserve">GOKAKTEX</t>
        </is>
      </c>
      <c r="B1469" t="inlineStr">
        <is>
          <t xml:space="preserve">GOKAK TEXTILES LTD.</t>
        </is>
      </c>
      <c r="C1469" t="inlineStr">
        <is>
          <t xml:space="preserve">INE642I01014</t>
        </is>
      </c>
    </row>
    <row r="1470">
      <c r="A1470" t="inlineStr">
        <is>
          <t xml:space="preserve">GOKEX</t>
        </is>
      </c>
      <c r="B1470" t="inlineStr">
        <is>
          <t xml:space="preserve">GOKALDAS EXPORTS LTD.</t>
        </is>
      </c>
      <c r="C1470" t="inlineStr">
        <is>
          <t xml:space="preserve">INE887G01027</t>
        </is>
      </c>
    </row>
    <row r="1471">
      <c r="A1471" t="inlineStr">
        <is>
          <t xml:space="preserve">GOKULAGRO</t>
        </is>
      </c>
      <c r="B1471" t="inlineStr">
        <is>
          <t xml:space="preserve">Gokul Agro Resources Ltd</t>
        </is>
      </c>
      <c r="C1471" t="inlineStr">
        <is>
          <t xml:space="preserve">INE314T01033</t>
        </is>
      </c>
    </row>
    <row r="1472">
      <c r="A1472" t="inlineStr">
        <is>
          <t xml:space="preserve">GOKUL</t>
        </is>
      </c>
      <c r="B1472" t="inlineStr">
        <is>
          <t xml:space="preserve">GOKUL REFOILS &amp; SOLVENT LTD.</t>
        </is>
      </c>
      <c r="C1472" t="inlineStr">
        <is>
          <t xml:space="preserve">INE020J01029</t>
        </is>
      </c>
    </row>
    <row r="1473">
      <c r="A1473" t="inlineStr">
        <is>
          <t xml:space="preserve">GOLDCOINHF</t>
        </is>
      </c>
      <c r="B1473" t="inlineStr">
        <is>
          <t xml:space="preserve">GOLD COIN HEALTH FOODS LTD</t>
        </is>
      </c>
      <c r="C1473" t="inlineStr">
        <is>
          <t xml:space="preserve">INE634J01027</t>
        </is>
      </c>
    </row>
    <row r="1474">
      <c r="A1474" t="inlineStr">
        <is>
          <t xml:space="preserve">GOLDLEG</t>
        </is>
      </c>
      <c r="B1474" t="inlineStr">
        <is>
          <t xml:space="preserve">GOLDEN LEGAND LEASING &amp; FINANC</t>
        </is>
      </c>
      <c r="C1474" t="inlineStr">
        <is>
          <t xml:space="preserve">INE088E01019</t>
        </is>
      </c>
    </row>
    <row r="1475">
      <c r="A1475" t="inlineStr">
        <is>
          <t xml:space="preserve">GOLDENTOBC</t>
        </is>
      </c>
      <c r="B1475" t="inlineStr">
        <is>
          <t xml:space="preserve">GOLDEN TOBACCO LTD.</t>
        </is>
      </c>
      <c r="C1475" t="inlineStr">
        <is>
          <t xml:space="preserve">INE973A01010</t>
        </is>
      </c>
    </row>
    <row r="1476">
      <c r="A1476" t="inlineStr">
        <is>
          <t xml:space="preserve">GOLDIAM</t>
        </is>
      </c>
      <c r="B1476" t="inlineStr">
        <is>
          <t xml:space="preserve">GOLDIAM INTERNATIONAL LTD.</t>
        </is>
      </c>
      <c r="C1476" t="inlineStr">
        <is>
          <t xml:space="preserve">INE025B01025</t>
        </is>
      </c>
    </row>
    <row r="1477">
      <c r="A1477" t="inlineStr">
        <is>
          <t xml:space="preserve">GLPL</t>
        </is>
      </c>
      <c r="B1477" t="inlineStr">
        <is>
          <t xml:space="preserve">GOLDLINE PHARMACEUTICAL LIMITE</t>
        </is>
      </c>
      <c r="C1477" t="inlineStr">
        <is>
          <t xml:space="preserve">INE1CLW01015</t>
        </is>
      </c>
    </row>
    <row r="1478">
      <c r="A1478" t="inlineStr">
        <is>
          <t xml:space="preserve">GOLECHA</t>
        </is>
      </c>
      <c r="B1478" t="inlineStr">
        <is>
          <t xml:space="preserve">GOLECHHA GLOBAL FINANCE LTD.</t>
        </is>
      </c>
      <c r="C1478" t="inlineStr">
        <is>
          <t xml:space="preserve">INE427D01011</t>
        </is>
      </c>
    </row>
    <row r="1479">
      <c r="A1479" t="inlineStr">
        <is>
          <t xml:space="preserve">GOLKUNDIA</t>
        </is>
      </c>
      <c r="B1479" t="inlineStr">
        <is>
          <t xml:space="preserve">GOLKUNDA DIAMONDS &amp; JEWELLERY</t>
        </is>
      </c>
      <c r="C1479" t="inlineStr">
        <is>
          <t xml:space="preserve">INE798D01015</t>
        </is>
      </c>
    </row>
    <row r="1480">
      <c r="A1480" t="inlineStr">
        <is>
          <t xml:space="preserve">GOODLUCK</t>
        </is>
      </c>
      <c r="B1480" t="inlineStr">
        <is>
          <t xml:space="preserve">Goodluck India Limited</t>
        </is>
      </c>
      <c r="C1480" t="inlineStr">
        <is>
          <t xml:space="preserve">INE127I01024</t>
        </is>
      </c>
    </row>
    <row r="1481">
      <c r="A1481" t="inlineStr">
        <is>
          <t xml:space="preserve">GOODRICKE</t>
        </is>
      </c>
      <c r="B1481" t="inlineStr">
        <is>
          <t xml:space="preserve">GOODRICKE GROUP LTD.</t>
        </is>
      </c>
      <c r="C1481" t="inlineStr">
        <is>
          <t xml:space="preserve">INE300A01016</t>
        </is>
      </c>
    </row>
    <row r="1482">
      <c r="A1482" t="inlineStr">
        <is>
          <t xml:space="preserve">GOODYEAR</t>
        </is>
      </c>
      <c r="B1482" t="inlineStr">
        <is>
          <t xml:space="preserve">GOODYEAR INDIA LTD.</t>
        </is>
      </c>
      <c r="C1482" t="inlineStr">
        <is>
          <t xml:space="preserve">INE533A01012</t>
        </is>
      </c>
    </row>
    <row r="1483">
      <c r="A1483" t="inlineStr">
        <is>
          <t xml:space="preserve">GOPAL</t>
        </is>
      </c>
      <c r="B1483" t="inlineStr">
        <is>
          <t xml:space="preserve">Gopal Snacks Limited</t>
        </is>
      </c>
      <c r="C1483" t="inlineStr">
        <is>
          <t xml:space="preserve">INE0L9R01028</t>
        </is>
      </c>
    </row>
    <row r="1484">
      <c r="A1484" t="inlineStr">
        <is>
          <t xml:space="preserve">GORANIN</t>
        </is>
      </c>
      <c r="B1484" t="inlineStr">
        <is>
          <t xml:space="preserve">GORANI INDUSTRIES LTD.</t>
        </is>
      </c>
      <c r="C1484" t="inlineStr">
        <is>
          <t xml:space="preserve">INE792J01015</t>
        </is>
      </c>
    </row>
    <row r="1485">
      <c r="A1485" t="inlineStr">
        <is>
          <t xml:space="preserve">GOURMET</t>
        </is>
      </c>
      <c r="B1485" t="inlineStr">
        <is>
          <t xml:space="preserve">GOURMET GATEWAY INDIA LIMITED</t>
        </is>
      </c>
      <c r="C1485" t="inlineStr">
        <is>
          <t xml:space="preserve">INE512D01028</t>
        </is>
      </c>
    </row>
    <row r="1486">
      <c r="A1486" t="inlineStr">
        <is>
          <t xml:space="preserve">GOWRALE</t>
        </is>
      </c>
      <c r="B1486" t="inlineStr">
        <is>
          <t xml:space="preserve">GOWRA LEASING &amp; FINANCE LTD.</t>
        </is>
      </c>
      <c r="C1486" t="inlineStr">
        <is>
          <t xml:space="preserve">INE225G01012</t>
        </is>
      </c>
    </row>
    <row r="1487">
      <c r="A1487" t="inlineStr">
        <is>
          <t xml:space="preserve">GOYALALUM</t>
        </is>
      </c>
      <c r="B1487" t="inlineStr">
        <is>
          <t xml:space="preserve">GOYAL ALUMINIUMS LIMITED</t>
        </is>
      </c>
      <c r="C1487" t="inlineStr">
        <is>
          <t xml:space="preserve">INE705X01026</t>
        </is>
      </c>
    </row>
    <row r="1488">
      <c r="A1488" t="inlineStr">
        <is>
          <t xml:space="preserve">GOYALASS</t>
        </is>
      </c>
      <c r="B1488" t="inlineStr">
        <is>
          <t xml:space="preserve">GOYAL ASSOCIATES LTD.</t>
        </is>
      </c>
      <c r="C1488" t="inlineStr">
        <is>
          <t xml:space="preserve">INE912B01032</t>
        </is>
      </c>
    </row>
    <row r="1489">
      <c r="A1489" t="inlineStr">
        <is>
          <t xml:space="preserve">GULFPETRO</t>
        </is>
      </c>
      <c r="B1489" t="inlineStr">
        <is>
          <t xml:space="preserve">GP PETROLEUMS LTD</t>
        </is>
      </c>
      <c r="C1489" t="inlineStr">
        <is>
          <t xml:space="preserve">INE586G01017</t>
        </is>
      </c>
    </row>
    <row r="1490">
      <c r="A1490" t="inlineStr">
        <is>
          <t xml:space="preserve">GPTHEALTH</t>
        </is>
      </c>
      <c r="B1490" t="inlineStr">
        <is>
          <t xml:space="preserve">GPT Healthcare Limited</t>
        </is>
      </c>
      <c r="C1490" t="inlineStr">
        <is>
          <t xml:space="preserve">INE486R01017</t>
        </is>
      </c>
    </row>
    <row r="1491">
      <c r="A1491" t="inlineStr">
        <is>
          <t xml:space="preserve">GPTINFRA</t>
        </is>
      </c>
      <c r="B1491" t="inlineStr">
        <is>
          <t xml:space="preserve">GPT INFRAPROJECTS LTD.</t>
        </is>
      </c>
      <c r="C1491" t="inlineStr">
        <is>
          <t xml:space="preserve">INE390G01014</t>
        </is>
      </c>
    </row>
    <row r="1492">
      <c r="A1492" t="inlineStr">
        <is>
          <t xml:space="preserve">GRAMEVA</t>
        </is>
      </c>
      <c r="B1492" t="inlineStr">
        <is>
          <t xml:space="preserve">GRAMEVA LIMITED</t>
        </is>
      </c>
      <c r="C1492" t="inlineStr">
        <is>
          <t xml:space="preserve">INE578R01011</t>
        </is>
      </c>
    </row>
    <row r="1493">
      <c r="A1493" t="inlineStr">
        <is>
          <t xml:space="preserve">GRANDOAK</t>
        </is>
      </c>
      <c r="B1493" t="inlineStr">
        <is>
          <t xml:space="preserve">GRAND OAK CANYONS DISTILLERY L</t>
        </is>
      </c>
      <c r="C1493" t="inlineStr">
        <is>
          <t xml:space="preserve">INE926B01016</t>
        </is>
      </c>
    </row>
    <row r="1494">
      <c r="A1494" t="inlineStr">
        <is>
          <t xml:space="preserve">GRANDMA</t>
        </is>
      </c>
      <c r="B1494" t="inlineStr">
        <is>
          <t xml:space="preserve">GRANDMA TRADING &amp; AGENCIES LTD</t>
        </is>
      </c>
      <c r="C1494" t="inlineStr">
        <is>
          <t xml:space="preserve">INE927M01029</t>
        </is>
      </c>
    </row>
    <row r="1495">
      <c r="A1495" t="inlineStr">
        <is>
          <t xml:space="preserve">GRANULES</t>
        </is>
      </c>
      <c r="B1495" t="inlineStr">
        <is>
          <t xml:space="preserve">GRANULES INDIA LTD.</t>
        </is>
      </c>
      <c r="C1495" t="inlineStr">
        <is>
          <t xml:space="preserve">INE101D01020</t>
        </is>
      </c>
    </row>
    <row r="1496">
      <c r="A1496" t="inlineStr">
        <is>
          <t xml:space="preserve">GRAPHITE</t>
        </is>
      </c>
      <c r="B1496" t="inlineStr">
        <is>
          <t xml:space="preserve">GRAPHITE INDIA LTD.</t>
        </is>
      </c>
      <c r="C1496" t="inlineStr">
        <is>
          <t xml:space="preserve">INE371A01025</t>
        </is>
      </c>
    </row>
    <row r="1497">
      <c r="A1497" t="inlineStr">
        <is>
          <t xml:space="preserve">GRASIM</t>
        </is>
      </c>
      <c r="B1497" t="inlineStr">
        <is>
          <t xml:space="preserve">GRASIM INDUSTRIES LTD.</t>
        </is>
      </c>
      <c r="C1497" t="inlineStr">
        <is>
          <t xml:space="preserve">INE047A01021</t>
        </is>
      </c>
    </row>
    <row r="1498">
      <c r="A1498" t="inlineStr">
        <is>
          <t xml:space="preserve">GRAUWEIL</t>
        </is>
      </c>
      <c r="B1498" t="inlineStr">
        <is>
          <t xml:space="preserve">GRAUER &amp; WEIL (INDIA) LTD.</t>
        </is>
      </c>
      <c r="C1498" t="inlineStr">
        <is>
          <t xml:space="preserve">INE266D01021</t>
        </is>
      </c>
    </row>
    <row r="1499">
      <c r="A1499" t="inlineStr">
        <is>
          <t xml:space="preserve">GRAVISSHO</t>
        </is>
      </c>
      <c r="B1499" t="inlineStr">
        <is>
          <t xml:space="preserve">GRAVISS HOSPITALITY LIMITED</t>
        </is>
      </c>
      <c r="C1499" t="inlineStr">
        <is>
          <t xml:space="preserve">INE214F01026</t>
        </is>
      </c>
    </row>
    <row r="1500">
      <c r="A1500" t="inlineStr">
        <is>
          <t xml:space="preserve">GRAVITA</t>
        </is>
      </c>
      <c r="B1500" t="inlineStr">
        <is>
          <t xml:space="preserve">GRAVITA INDIA LTD.</t>
        </is>
      </c>
      <c r="C1500" t="inlineStr">
        <is>
          <t xml:space="preserve">INE024L01027</t>
        </is>
      </c>
    </row>
    <row r="1501">
      <c r="A1501" t="inlineStr">
        <is>
          <t xml:space="preserve">GRAVITY</t>
        </is>
      </c>
      <c r="B1501" t="inlineStr">
        <is>
          <t xml:space="preserve">GRAVITY (INDIA) LTD.</t>
        </is>
      </c>
      <c r="C1501" t="inlineStr">
        <is>
          <t xml:space="preserve">INE995A01013</t>
        </is>
      </c>
    </row>
    <row r="1502">
      <c r="A1502" t="inlineStr">
        <is>
          <t xml:space="preserve">GRERENEW</t>
        </is>
      </c>
      <c r="B1502" t="inlineStr">
        <is>
          <t xml:space="preserve">GRE Renew Enertech Limited</t>
        </is>
      </c>
      <c r="C1502" t="inlineStr">
        <is>
          <t xml:space="preserve">INE0U8P01015</t>
        </is>
      </c>
    </row>
    <row r="1503">
      <c r="A1503" t="inlineStr">
        <is>
          <t xml:space="preserve">GESHIP</t>
        </is>
      </c>
      <c r="B1503" t="inlineStr">
        <is>
          <t xml:space="preserve">GREAT EASTERN SHIPPING CO.LTD.</t>
        </is>
      </c>
      <c r="C1503" t="inlineStr">
        <is>
          <t xml:space="preserve">INE017A01032</t>
        </is>
      </c>
    </row>
    <row r="1504">
      <c r="A1504" t="inlineStr">
        <is>
          <t xml:space="preserve">GREAVESCOT</t>
        </is>
      </c>
      <c r="B1504" t="inlineStr">
        <is>
          <t xml:space="preserve">GREAVES COTTON LTD.</t>
        </is>
      </c>
      <c r="C1504" t="inlineStr">
        <is>
          <t xml:space="preserve">INE224A01026</t>
        </is>
      </c>
    </row>
    <row r="1505">
      <c r="A1505" t="inlineStr">
        <is>
          <t xml:space="preserve">GREENCREST</t>
        </is>
      </c>
      <c r="B1505" t="inlineStr">
        <is>
          <t xml:space="preserve">GREENCREST FINANCIAL SERVICES</t>
        </is>
      </c>
      <c r="C1505" t="inlineStr">
        <is>
          <t xml:space="preserve">INE414C01045</t>
        </is>
      </c>
    </row>
    <row r="1506">
      <c r="A1506" t="inlineStr">
        <is>
          <t xml:space="preserve">GVL</t>
        </is>
      </c>
      <c r="B1506" t="inlineStr">
        <is>
          <t xml:space="preserve">Greenhitech Ventures Limited</t>
        </is>
      </c>
      <c r="C1506" t="inlineStr">
        <is>
          <t xml:space="preserve">INE0S0701019</t>
        </is>
      </c>
    </row>
    <row r="1507">
      <c r="A1507" t="inlineStr">
        <is>
          <t xml:space="preserve">GREENLAM</t>
        </is>
      </c>
      <c r="B1507" t="inlineStr">
        <is>
          <t xml:space="preserve">Greenlam Industries Ltd</t>
        </is>
      </c>
      <c r="C1507" t="inlineStr">
        <is>
          <t xml:space="preserve">INE544R01021</t>
        </is>
      </c>
    </row>
    <row r="1508">
      <c r="A1508" t="inlineStr">
        <is>
          <t xml:space="preserve">GREENPANEL</t>
        </is>
      </c>
      <c r="B1508" t="inlineStr">
        <is>
          <t xml:space="preserve">Greenpanel Industries Limited</t>
        </is>
      </c>
      <c r="C1508" t="inlineStr">
        <is>
          <t xml:space="preserve">INE08ZM01014</t>
        </is>
      </c>
    </row>
    <row r="1509">
      <c r="A1509" t="inlineStr">
        <is>
          <t xml:space="preserve">GREENPLY</t>
        </is>
      </c>
      <c r="B1509" t="inlineStr">
        <is>
          <t xml:space="preserve">GREENPLY INDUSTRIES LTD.</t>
        </is>
      </c>
      <c r="C1509" t="inlineStr">
        <is>
          <t xml:space="preserve">INE461C01038</t>
        </is>
      </c>
    </row>
    <row r="1510">
      <c r="A1510" t="inlineStr">
        <is>
          <t xml:space="preserve">GCSL</t>
        </is>
      </c>
      <c r="B1510" t="inlineStr">
        <is>
          <t xml:space="preserve">Gretex Corporate Services Limi</t>
        </is>
      </c>
      <c r="C1510" t="inlineStr">
        <is>
          <t xml:space="preserve">INE199P01028</t>
        </is>
      </c>
    </row>
    <row r="1511">
      <c r="A1511" t="inlineStr">
        <is>
          <t xml:space="preserve">GRINDWELL</t>
        </is>
      </c>
      <c r="B1511" t="inlineStr">
        <is>
          <t xml:space="preserve">GRINDWELL NORTON LTD.</t>
        </is>
      </c>
      <c r="C1511" t="inlineStr">
        <is>
          <t xml:space="preserve">INE536A01023</t>
        </is>
      </c>
    </row>
    <row r="1512">
      <c r="A1512" t="inlineStr">
        <is>
          <t xml:space="preserve">GRMOVER</t>
        </is>
      </c>
      <c r="B1512" t="inlineStr">
        <is>
          <t xml:space="preserve">GRM OVERSEAS LTD.</t>
        </is>
      </c>
      <c r="C1512" t="inlineStr">
        <is>
          <t xml:space="preserve">INE192H01020</t>
        </is>
      </c>
    </row>
    <row r="1513">
      <c r="A1513" t="inlineStr">
        <is>
          <t xml:space="preserve">GROARC</t>
        </is>
      </c>
      <c r="B1513" t="inlineStr">
        <is>
          <t xml:space="preserve">GROARC INDUSTRIES INDIA LIMITE</t>
        </is>
      </c>
      <c r="C1513" t="inlineStr">
        <is>
          <t xml:space="preserve">INE042B01012</t>
        </is>
      </c>
    </row>
    <row r="1514">
      <c r="A1514" t="inlineStr">
        <is>
          <t xml:space="preserve">GROVY</t>
        </is>
      </c>
      <c r="B1514" t="inlineStr">
        <is>
          <t xml:space="preserve">Grovy India Limited</t>
        </is>
      </c>
      <c r="C1514" t="inlineStr">
        <is>
          <t xml:space="preserve">INE343C01012</t>
        </is>
      </c>
    </row>
    <row r="1515">
      <c r="A1515" t="inlineStr">
        <is>
          <t xml:space="preserve">GROWINGTON</t>
        </is>
      </c>
      <c r="B1515" t="inlineStr">
        <is>
          <t xml:space="preserve">GROWINGTON VENTURES INDIA LIMI</t>
        </is>
      </c>
      <c r="C1515" t="inlineStr">
        <is>
          <t xml:space="preserve">INE451S01027</t>
        </is>
      </c>
    </row>
    <row r="1516">
      <c r="A1516" t="inlineStr">
        <is>
          <t xml:space="preserve">GRPLTD</t>
        </is>
      </c>
      <c r="B1516" t="inlineStr">
        <is>
          <t xml:space="preserve">GRP LTD.</t>
        </is>
      </c>
      <c r="C1516" t="inlineStr">
        <is>
          <t xml:space="preserve">INE137I01015</t>
        </is>
      </c>
    </row>
    <row r="1517">
      <c r="A1517" t="inlineStr">
        <is>
          <t xml:space="preserve">GSBFIN</t>
        </is>
      </c>
      <c r="B1517" t="inlineStr">
        <is>
          <t xml:space="preserve">GSB FINANCE LTD.</t>
        </is>
      </c>
      <c r="C1517" t="inlineStr">
        <is>
          <t xml:space="preserve">INE777C01011</t>
        </is>
      </c>
    </row>
    <row r="1518">
      <c r="A1518" t="inlineStr">
        <is>
          <t xml:space="preserve">GSLSEC</t>
        </is>
      </c>
      <c r="B1518" t="inlineStr">
        <is>
          <t xml:space="preserve">GSL SECURITIES LTD.</t>
        </is>
      </c>
      <c r="C1518" t="inlineStr">
        <is>
          <t xml:space="preserve">INE721D01017</t>
        </is>
      </c>
    </row>
    <row r="1519">
      <c r="A1519" t="inlineStr">
        <is>
          <t xml:space="preserve">GSPCROP</t>
        </is>
      </c>
      <c r="B1519" t="inlineStr">
        <is>
          <t xml:space="preserve">GSP CROP SCIENCE LIMITED</t>
        </is>
      </c>
      <c r="C1519" t="inlineStr">
        <is>
          <t xml:space="preserve">INE713R01022</t>
        </is>
      </c>
    </row>
    <row r="1520">
      <c r="A1520" t="inlineStr">
        <is>
          <t xml:space="preserve">GSS</t>
        </is>
      </c>
      <c r="B1520" t="inlineStr">
        <is>
          <t xml:space="preserve">GSS INFOTECH LTD.</t>
        </is>
      </c>
      <c r="C1520" t="inlineStr">
        <is>
          <t xml:space="preserve">INE871H01011</t>
        </is>
      </c>
    </row>
    <row r="1521">
      <c r="A1521" t="inlineStr">
        <is>
          <t xml:space="preserve">GTLINFRA</t>
        </is>
      </c>
      <c r="B1521" t="inlineStr">
        <is>
          <t xml:space="preserve">GTL INFRASTRUCTURE LTD.</t>
        </is>
      </c>
      <c r="C1521" t="inlineStr">
        <is>
          <t xml:space="preserve">INE221H01019</t>
        </is>
      </c>
    </row>
    <row r="1522">
      <c r="A1522" t="inlineStr">
        <is>
          <t xml:space="preserve">GTL</t>
        </is>
      </c>
      <c r="B1522" t="inlineStr">
        <is>
          <t xml:space="preserve">GTL LTD.</t>
        </is>
      </c>
      <c r="C1522" t="inlineStr">
        <is>
          <t xml:space="preserve">INE043A01012</t>
        </is>
      </c>
    </row>
    <row r="1523">
      <c r="A1523" t="inlineStr">
        <is>
          <t xml:space="preserve">GTNTEX</t>
        </is>
      </c>
      <c r="B1523" t="inlineStr">
        <is>
          <t xml:space="preserve">GTN TEXTILES LTD.</t>
        </is>
      </c>
      <c r="C1523" t="inlineStr">
        <is>
          <t xml:space="preserve">INE302H01017</t>
        </is>
      </c>
    </row>
    <row r="1524">
      <c r="A1524" t="inlineStr">
        <is>
          <t xml:space="preserve">GTPL</t>
        </is>
      </c>
      <c r="B1524" t="inlineStr">
        <is>
          <t xml:space="preserve">GTPL Hathway Limited</t>
        </is>
      </c>
      <c r="C1524" t="inlineStr">
        <is>
          <t xml:space="preserve">INE869I01013</t>
        </is>
      </c>
    </row>
    <row r="1525">
      <c r="A1525" t="inlineStr">
        <is>
          <t xml:space="preserve">GTTDATA</t>
        </is>
      </c>
      <c r="B1525" t="inlineStr">
        <is>
          <t xml:space="preserve">GTT DATA SOLUTIONS LIMITED</t>
        </is>
      </c>
      <c r="C1525" t="inlineStr">
        <is>
          <t xml:space="preserve">INE959B01017</t>
        </is>
      </c>
    </row>
    <row r="1526">
      <c r="A1526" t="inlineStr">
        <is>
          <t xml:space="preserve">GTV</t>
        </is>
      </c>
      <c r="B1526" t="inlineStr">
        <is>
          <t xml:space="preserve">GTV Engineering Limited</t>
        </is>
      </c>
      <c r="C1526" t="inlineStr">
        <is>
          <t xml:space="preserve">INE910R01024</t>
        </is>
      </c>
    </row>
    <row r="1527">
      <c r="A1527" t="inlineStr">
        <is>
          <t xml:space="preserve">GUFICBIO</t>
        </is>
      </c>
      <c r="B1527" t="inlineStr">
        <is>
          <t xml:space="preserve">GUFIC BIOSCIENCES LTD.</t>
        </is>
      </c>
      <c r="C1527" t="inlineStr">
        <is>
          <t xml:space="preserve">INE742B01025</t>
        </is>
      </c>
    </row>
    <row r="1528">
      <c r="A1528" t="inlineStr">
        <is>
          <t xml:space="preserve">GUJALKALI</t>
        </is>
      </c>
      <c r="B1528" t="inlineStr">
        <is>
          <t xml:space="preserve">GUJARAT ALKALIES &amp; CHEMICALS L</t>
        </is>
      </c>
      <c r="C1528" t="inlineStr">
        <is>
          <t xml:space="preserve">INE186A01019</t>
        </is>
      </c>
    </row>
    <row r="1529">
      <c r="A1529" t="inlineStr">
        <is>
          <t xml:space="preserve">GAEL</t>
        </is>
      </c>
      <c r="B1529" t="inlineStr">
        <is>
          <t xml:space="preserve">GUJARAT AMBUJA EXPORTS LTD.</t>
        </is>
      </c>
      <c r="C1529" t="inlineStr">
        <is>
          <t xml:space="preserve">INE036B01030</t>
        </is>
      </c>
    </row>
    <row r="1530">
      <c r="A1530" t="inlineStr">
        <is>
          <t xml:space="preserve">GUJAPOLLO</t>
        </is>
      </c>
      <c r="B1530" t="inlineStr">
        <is>
          <t xml:space="preserve">GUJARAT APOLLO INDUSTRIES LTD.</t>
        </is>
      </c>
      <c r="C1530" t="inlineStr">
        <is>
          <t xml:space="preserve">INE826C01016</t>
        </is>
      </c>
    </row>
    <row r="1531">
      <c r="A1531" t="inlineStr">
        <is>
          <t xml:space="preserve">GUJCOTEX</t>
        </is>
      </c>
      <c r="B1531" t="inlineStr">
        <is>
          <t xml:space="preserve">GUJARAT COTEX LTD.</t>
        </is>
      </c>
      <c r="C1531" t="inlineStr">
        <is>
          <t xml:space="preserve">INE004C01028</t>
        </is>
      </c>
    </row>
    <row r="1532">
      <c r="A1532" t="inlineStr">
        <is>
          <t xml:space="preserve">GUJCRAFT</t>
        </is>
      </c>
      <c r="B1532" t="inlineStr">
        <is>
          <t xml:space="preserve">GUJARAT CRAFT INDUSTRIES LTD.</t>
        </is>
      </c>
      <c r="C1532" t="inlineStr">
        <is>
          <t xml:space="preserve">INE372D01019</t>
        </is>
      </c>
    </row>
    <row r="1533">
      <c r="A1533" t="inlineStr">
        <is>
          <t xml:space="preserve">GUJCRED</t>
        </is>
      </c>
      <c r="B1533" t="inlineStr">
        <is>
          <t xml:space="preserve">GUJARAT CREDIT CORPORATION LTD</t>
        </is>
      </c>
      <c r="C1533" t="inlineStr">
        <is>
          <t xml:space="preserve">INE034B01019</t>
        </is>
      </c>
    </row>
    <row r="1534">
      <c r="A1534" t="inlineStr">
        <is>
          <t xml:space="preserve">GUJENERGY</t>
        </is>
      </c>
      <c r="B1534" t="inlineStr">
        <is>
          <t xml:space="preserve">Gujarat Energy Limited</t>
        </is>
      </c>
      <c r="C1534" t="inlineStr">
        <is>
          <t xml:space="preserve">INE844O01030</t>
        </is>
      </c>
    </row>
    <row r="1535">
      <c r="A1535" t="inlineStr">
        <is>
          <t xml:space="preserve">FLUOROCHEM</t>
        </is>
      </c>
      <c r="B1535" t="inlineStr">
        <is>
          <t xml:space="preserve">Gujarat Fluorochemicals Limite</t>
        </is>
      </c>
      <c r="C1535" t="inlineStr">
        <is>
          <t xml:space="preserve">INE09N301011</t>
        </is>
      </c>
    </row>
    <row r="1536">
      <c r="A1536" t="inlineStr">
        <is>
          <t xml:space="preserve">GUJHOTE</t>
        </is>
      </c>
      <c r="B1536" t="inlineStr">
        <is>
          <t xml:space="preserve">GUJARAT HOTELS LTD.</t>
        </is>
      </c>
      <c r="C1536" t="inlineStr">
        <is>
          <t xml:space="preserve">INE621C01011</t>
        </is>
      </c>
    </row>
    <row r="1537">
      <c r="A1537" t="inlineStr">
        <is>
          <t xml:space="preserve">GIPCL</t>
        </is>
      </c>
      <c r="B1537" t="inlineStr">
        <is>
          <t xml:space="preserve">GUJARAT INDUSTRIES POWER CO.LT</t>
        </is>
      </c>
      <c r="C1537" t="inlineStr">
        <is>
          <t xml:space="preserve">INE162A01010</t>
        </is>
      </c>
    </row>
    <row r="1538">
      <c r="A1538" t="inlineStr">
        <is>
          <t xml:space="preserve">GUJINJEC</t>
        </is>
      </c>
      <c r="B1538" t="inlineStr">
        <is>
          <t xml:space="preserve">GUJARAT INJECT (KERALA) LTD.</t>
        </is>
      </c>
      <c r="C1538" t="inlineStr">
        <is>
          <t xml:space="preserve">INE659F01022</t>
        </is>
      </c>
    </row>
    <row r="1539">
      <c r="A1539" t="inlineStr">
        <is>
          <t xml:space="preserve">GUJINTRX</t>
        </is>
      </c>
      <c r="B1539" t="inlineStr">
        <is>
          <t xml:space="preserve">GUJARAT INTRUX LTD.</t>
        </is>
      </c>
      <c r="C1539" t="inlineStr">
        <is>
          <t xml:space="preserve">INE877E01015</t>
        </is>
      </c>
    </row>
    <row r="1540">
      <c r="A1540" t="inlineStr">
        <is>
          <t xml:space="preserve">GUJINV</t>
        </is>
      </c>
      <c r="B1540" t="inlineStr">
        <is>
          <t xml:space="preserve">GUJARAT INVESTA LTD.</t>
        </is>
      </c>
      <c r="C1540" t="inlineStr">
        <is>
          <t xml:space="preserve">INE373D01017</t>
        </is>
      </c>
    </row>
    <row r="1541">
      <c r="A1541" t="inlineStr">
        <is>
          <t xml:space="preserve">GKSL</t>
        </is>
      </c>
      <c r="B1541" t="inlineStr">
        <is>
          <t xml:space="preserve">GUJARAT KIDNEY AND SUPER SPECI</t>
        </is>
      </c>
      <c r="C1541" t="inlineStr">
        <is>
          <t xml:space="preserve">INE0V0W01025</t>
        </is>
      </c>
    </row>
    <row r="1542">
      <c r="A1542" t="inlineStr">
        <is>
          <t xml:space="preserve">GMDCLTD</t>
        </is>
      </c>
      <c r="B1542" t="inlineStr">
        <is>
          <t xml:space="preserve">GUJARAT MINERAL DEVELOPMENT CO</t>
        </is>
      </c>
      <c r="C1542" t="inlineStr">
        <is>
          <t xml:space="preserve">INE131A01031</t>
        </is>
      </c>
    </row>
    <row r="1543">
      <c r="A1543" t="inlineStr">
        <is>
          <t xml:space="preserve">GNFC</t>
        </is>
      </c>
      <c r="B1543" t="inlineStr">
        <is>
          <t xml:space="preserve">GUJARAT NARMADA VALLEY FERTILI</t>
        </is>
      </c>
      <c r="C1543" t="inlineStr">
        <is>
          <t xml:space="preserve">INE113A01013</t>
        </is>
      </c>
    </row>
    <row r="1544">
      <c r="A1544" t="inlineStr">
        <is>
          <t xml:space="preserve">GNRL</t>
        </is>
      </c>
      <c r="B1544" t="inlineStr">
        <is>
          <t xml:space="preserve">GUJARAT NATURAL RESOURCES LIMI</t>
        </is>
      </c>
      <c r="C1544" t="inlineStr">
        <is>
          <t xml:space="preserve">INE207H01018</t>
        </is>
      </c>
    </row>
    <row r="1545">
      <c r="A1545" t="inlineStr">
        <is>
          <t xml:space="preserve">GUJPETR</t>
        </is>
      </c>
      <c r="B1545" t="inlineStr">
        <is>
          <t xml:space="preserve">GUJARAT PETROSYNTHESE LTD.</t>
        </is>
      </c>
      <c r="C1545" t="inlineStr">
        <is>
          <t xml:space="preserve">INE636P01011</t>
        </is>
      </c>
    </row>
    <row r="1546">
      <c r="A1546" t="inlineStr">
        <is>
          <t xml:space="preserve">GPPL</t>
        </is>
      </c>
      <c r="B1546" t="inlineStr">
        <is>
          <t xml:space="preserve">GUJARAT PIPAVAV PORT LTD.</t>
        </is>
      </c>
      <c r="C1546" t="inlineStr">
        <is>
          <t xml:space="preserve">INE517F01014</t>
        </is>
      </c>
    </row>
    <row r="1547">
      <c r="A1547" t="inlineStr">
        <is>
          <t xml:space="preserve">GUJARATPOLY</t>
        </is>
      </c>
      <c r="B1547" t="inlineStr">
        <is>
          <t xml:space="preserve">Gujarat Poly Electronics Limit</t>
        </is>
      </c>
      <c r="C1547" t="inlineStr">
        <is>
          <t xml:space="preserve">INE541F01022</t>
        </is>
      </c>
    </row>
    <row r="1548">
      <c r="A1548" t="inlineStr">
        <is>
          <t xml:space="preserve">GUJRAFFIA</t>
        </is>
      </c>
      <c r="B1548" t="inlineStr">
        <is>
          <t xml:space="preserve">GUJARAT RAFFIA INDUSTRIES LTD.</t>
        </is>
      </c>
      <c r="C1548" t="inlineStr">
        <is>
          <t xml:space="preserve">INE610B01024</t>
        </is>
      </c>
    </row>
    <row r="1549">
      <c r="A1549" t="inlineStr">
        <is>
          <t xml:space="preserve">GSFC</t>
        </is>
      </c>
      <c r="B1549" t="inlineStr">
        <is>
          <t xml:space="preserve">GUJARAT STATE FERTILIZERS &amp; CH</t>
        </is>
      </c>
      <c r="C1549" t="inlineStr">
        <is>
          <t xml:space="preserve">INE026A01025</t>
        </is>
      </c>
    </row>
    <row r="1550">
      <c r="A1550" t="inlineStr">
        <is>
          <t xml:space="preserve">GUJSTATFIN</t>
        </is>
      </c>
      <c r="B1550" t="inlineStr">
        <is>
          <t xml:space="preserve">GUJARAT STATE FINANCIAL CORPOR</t>
        </is>
      </c>
      <c r="C1550" t="inlineStr">
        <is>
          <t xml:space="preserve">INE944A01011</t>
        </is>
      </c>
    </row>
    <row r="1551">
      <c r="A1551" t="inlineStr">
        <is>
          <t xml:space="preserve">GUJTERC</t>
        </is>
      </c>
      <c r="B1551" t="inlineStr">
        <is>
          <t xml:space="preserve">GUJARAT TERCE LABORATORIES LTD</t>
        </is>
      </c>
      <c r="C1551" t="inlineStr">
        <is>
          <t xml:space="preserve">INE499G01013</t>
        </is>
      </c>
    </row>
    <row r="1552">
      <c r="A1552" t="inlineStr">
        <is>
          <t xml:space="preserve">GUJTHEM</t>
        </is>
      </c>
      <c r="B1552" t="inlineStr">
        <is>
          <t xml:space="preserve">GUJARAT THEMIS BIOSYN LTD.</t>
        </is>
      </c>
      <c r="C1552" t="inlineStr">
        <is>
          <t xml:space="preserve">INE942C01045</t>
        </is>
      </c>
    </row>
    <row r="1553">
      <c r="A1553" t="inlineStr">
        <is>
          <t xml:space="preserve">GUJTLRM</t>
        </is>
      </c>
      <c r="B1553" t="inlineStr">
        <is>
          <t xml:space="preserve">GUJARAT TOOLROOM LTD.</t>
        </is>
      </c>
      <c r="C1553" t="inlineStr">
        <is>
          <t xml:space="preserve">INE145J01032</t>
        </is>
      </c>
    </row>
    <row r="1554">
      <c r="A1554" t="inlineStr">
        <is>
          <t xml:space="preserve">GUJWIND</t>
        </is>
      </c>
      <c r="B1554" t="inlineStr">
        <is>
          <t xml:space="preserve">Gujarat Winding Systems Limite</t>
        </is>
      </c>
      <c r="C1554" t="inlineStr">
        <is>
          <t xml:space="preserve">INE173V01013</t>
        </is>
      </c>
    </row>
    <row r="1555">
      <c r="A1555" t="inlineStr">
        <is>
          <t xml:space="preserve">GUJJUBHAI</t>
        </is>
      </c>
      <c r="B1555" t="inlineStr">
        <is>
          <t xml:space="preserve">GUJJUBHAI INDUSTRIES LIMITED</t>
        </is>
      </c>
      <c r="C1555" t="inlineStr">
        <is>
          <t xml:space="preserve">INE311N01016</t>
        </is>
      </c>
    </row>
    <row r="1556">
      <c r="A1556" t="inlineStr">
        <is>
          <t xml:space="preserve">GULFOILLUB</t>
        </is>
      </c>
      <c r="B1556" t="inlineStr">
        <is>
          <t xml:space="preserve">GULF OIL LUBRICANTS INDIA LTD</t>
        </is>
      </c>
      <c r="C1556" t="inlineStr">
        <is>
          <t xml:space="preserve">INE635Q01029</t>
        </is>
      </c>
    </row>
    <row r="1557">
      <c r="A1557" t="inlineStr">
        <is>
          <t xml:space="preserve">GULPOLY</t>
        </is>
      </c>
      <c r="B1557" t="inlineStr">
        <is>
          <t xml:space="preserve">GULSHAN POLYOLS LTD.</t>
        </is>
      </c>
      <c r="C1557" t="inlineStr">
        <is>
          <t xml:space="preserve">INE255D01024</t>
        </is>
      </c>
    </row>
    <row r="1558">
      <c r="A1558" t="inlineStr">
        <is>
          <t xml:space="preserve">GKL</t>
        </is>
      </c>
      <c r="B1558" t="inlineStr">
        <is>
          <t xml:space="preserve">GURU KRUPA GEMS AND JEWELLERY</t>
        </is>
      </c>
      <c r="C1558" t="inlineStr">
        <is>
          <t xml:space="preserve">INE986W01016</t>
        </is>
      </c>
    </row>
    <row r="1559">
      <c r="A1559" t="inlineStr">
        <is>
          <t xml:space="preserve">GVKPIL</t>
        </is>
      </c>
      <c r="B1559" t="inlineStr">
        <is>
          <t xml:space="preserve">GVK POWER &amp; INFRASTRUCTURE LTD</t>
        </is>
      </c>
      <c r="C1559" t="inlineStr">
        <is>
          <t xml:space="preserve">INE251H01024</t>
        </is>
      </c>
    </row>
    <row r="1560">
      <c r="A1560" t="inlineStr">
        <is>
          <t xml:space="preserve">GYANDEV</t>
        </is>
      </c>
      <c r="B1560" t="inlineStr">
        <is>
          <t xml:space="preserve">GYAN DEVELOPERS &amp; BUILDERS LTD</t>
        </is>
      </c>
      <c r="C1560" t="inlineStr">
        <is>
          <t xml:space="preserve">INE487G01018</t>
        </is>
      </c>
    </row>
    <row r="1561">
      <c r="A1561" t="inlineStr">
        <is>
          <t xml:space="preserve">GYFTR</t>
        </is>
      </c>
      <c r="B1561" t="inlineStr">
        <is>
          <t xml:space="preserve">GYFTR LIMITED</t>
        </is>
      </c>
      <c r="C1561" t="inlineStr">
        <is>
          <t xml:space="preserve">INE724A01017</t>
        </is>
      </c>
    </row>
    <row r="1562">
      <c r="A1562" t="inlineStr">
        <is>
          <t xml:space="preserve">HGINFRA</t>
        </is>
      </c>
      <c r="B1562" t="inlineStr">
        <is>
          <t xml:space="preserve">H.G. Infra Engineering Limited</t>
        </is>
      </c>
      <c r="C1562" t="inlineStr">
        <is>
          <t xml:space="preserve">INE926X01010</t>
        </is>
      </c>
    </row>
    <row r="1563">
      <c r="A1563" t="inlineStr">
        <is>
          <t xml:space="preserve">HPCOTTON</t>
        </is>
      </c>
      <c r="B1563" t="inlineStr">
        <is>
          <t xml:space="preserve">H.P.COTTON TEXTILE MILLS LTD.</t>
        </is>
      </c>
      <c r="C1563" t="inlineStr">
        <is>
          <t xml:space="preserve">INE950C01014</t>
        </is>
      </c>
    </row>
    <row r="1564">
      <c r="A1564" t="inlineStr">
        <is>
          <t xml:space="preserve">HOTLSILV</t>
        </is>
      </c>
      <c r="B1564" t="inlineStr">
        <is>
          <t xml:space="preserve">H.S.INDIA LTD.</t>
        </is>
      </c>
      <c r="C1564" t="inlineStr">
        <is>
          <t xml:space="preserve">INE731B01010</t>
        </is>
      </c>
    </row>
    <row r="1565">
      <c r="A1565" t="inlineStr">
        <is>
          <t xml:space="preserve">HALDER</t>
        </is>
      </c>
      <c r="B1565" t="inlineStr">
        <is>
          <t xml:space="preserve">Halder Venture Limited</t>
        </is>
      </c>
      <c r="C1565" t="inlineStr">
        <is>
          <t xml:space="preserve">INE115S01010</t>
        </is>
      </c>
    </row>
    <row r="1566">
      <c r="A1566" t="inlineStr">
        <is>
          <t xml:space="preserve">HALDYNGL</t>
        </is>
      </c>
      <c r="B1566" t="inlineStr">
        <is>
          <t xml:space="preserve">HALDYN GLASS LTD</t>
        </is>
      </c>
      <c r="C1566" t="inlineStr">
        <is>
          <t xml:space="preserve">INE506D01020</t>
        </is>
      </c>
    </row>
    <row r="1567">
      <c r="A1567" t="inlineStr">
        <is>
          <t xml:space="preserve">HALEOSLABS</t>
        </is>
      </c>
      <c r="B1567" t="inlineStr">
        <is>
          <t xml:space="preserve">HALEOS LABS LIMITED</t>
        </is>
      </c>
      <c r="C1567" t="inlineStr">
        <is>
          <t xml:space="preserve">INE320X01016</t>
        </is>
      </c>
    </row>
    <row r="1568">
      <c r="A1568" t="inlineStr">
        <is>
          <t xml:space="preserve">HAMPTON</t>
        </is>
      </c>
      <c r="B1568" t="inlineStr">
        <is>
          <t xml:space="preserve">HAMPTON SKY REALTY LIMITED</t>
        </is>
      </c>
      <c r="C1568" t="inlineStr">
        <is>
          <t xml:space="preserve">INE299D01022</t>
        </is>
      </c>
    </row>
    <row r="1569">
      <c r="A1569" t="inlineStr">
        <is>
          <t xml:space="preserve">HGM</t>
        </is>
      </c>
      <c r="B1569" t="inlineStr">
        <is>
          <t xml:space="preserve">HANDSON GLOBAL MANAGEMENT (HGM</t>
        </is>
      </c>
      <c r="C1569" t="inlineStr">
        <is>
          <t xml:space="preserve">INE596H01014</t>
        </is>
      </c>
    </row>
    <row r="1570">
      <c r="A1570" t="inlineStr">
        <is>
          <t xml:space="preserve">HANNAH</t>
        </is>
      </c>
      <c r="B1570" t="inlineStr">
        <is>
          <t xml:space="preserve">Hannah Joseph Hospital Limited</t>
        </is>
      </c>
      <c r="C1570" t="inlineStr">
        <is>
          <t xml:space="preserve">INE0JVH01012</t>
        </is>
      </c>
    </row>
    <row r="1571">
      <c r="A1571" t="inlineStr">
        <is>
          <t xml:space="preserve">HAPPSTMNDS</t>
        </is>
      </c>
      <c r="B1571" t="inlineStr">
        <is>
          <t xml:space="preserve">Happiest Minds Technologies Li</t>
        </is>
      </c>
      <c r="C1571" t="inlineStr">
        <is>
          <t xml:space="preserve">INE419U01012</t>
        </is>
      </c>
    </row>
    <row r="1572">
      <c r="A1572" t="inlineStr">
        <is>
          <t xml:space="preserve">HAPPYFORGE</t>
        </is>
      </c>
      <c r="B1572" t="inlineStr">
        <is>
          <t xml:space="preserve">Happy Forgings Limited</t>
        </is>
      </c>
      <c r="C1572" t="inlineStr">
        <is>
          <t xml:space="preserve">INE330T01021</t>
        </is>
      </c>
    </row>
    <row r="1573">
      <c r="A1573" t="inlineStr">
        <is>
          <t xml:space="preserve">HARDCAS</t>
        </is>
      </c>
      <c r="B1573" t="inlineStr">
        <is>
          <t xml:space="preserve">HARDCASTLE &amp; WAUD MFG.CO.LTD.</t>
        </is>
      </c>
      <c r="C1573" t="inlineStr">
        <is>
          <t xml:space="preserve">INE722D01015</t>
        </is>
      </c>
    </row>
    <row r="1574">
      <c r="A1574" t="inlineStr">
        <is>
          <t xml:space="preserve">HARDWYN</t>
        </is>
      </c>
      <c r="B1574" t="inlineStr">
        <is>
          <t xml:space="preserve">HARDWYN INDIA LIMITED</t>
        </is>
      </c>
      <c r="C1574" t="inlineStr">
        <is>
          <t xml:space="preserve">INE626Z01029</t>
        </is>
      </c>
    </row>
    <row r="1575">
      <c r="A1575" t="inlineStr">
        <is>
          <t xml:space="preserve">HARIAAPL</t>
        </is>
      </c>
      <c r="B1575" t="inlineStr">
        <is>
          <t xml:space="preserve">HARIA APPARELS LTD</t>
        </is>
      </c>
      <c r="C1575" t="inlineStr">
        <is>
          <t xml:space="preserve">INE493N01012</t>
        </is>
      </c>
    </row>
    <row r="1576">
      <c r="A1576" t="inlineStr">
        <is>
          <t xml:space="preserve">HARIAEXPO</t>
        </is>
      </c>
      <c r="B1576" t="inlineStr">
        <is>
          <t xml:space="preserve">HARIA EXPORTS LTD.</t>
        </is>
      </c>
      <c r="C1576" t="inlineStr">
        <is>
          <t xml:space="preserve">INE772B01014</t>
        </is>
      </c>
    </row>
    <row r="1577">
      <c r="A1577" t="inlineStr">
        <is>
          <t xml:space="preserve">HARIKANTA</t>
        </is>
      </c>
      <c r="B1577" t="inlineStr">
        <is>
          <t xml:space="preserve">HARIKANTA OVERSEAS LIMITED</t>
        </is>
      </c>
      <c r="C1577" t="inlineStr">
        <is>
          <t xml:space="preserve">INE1UYW01010</t>
        </is>
      </c>
    </row>
    <row r="1578">
      <c r="A1578" t="inlineStr">
        <is>
          <t xml:space="preserve">HARIOMPIPE</t>
        </is>
      </c>
      <c r="B1578" t="inlineStr">
        <is>
          <t xml:space="preserve">Hariom Pipe Industries Limited</t>
        </is>
      </c>
      <c r="C1578" t="inlineStr">
        <is>
          <t xml:space="preserve">INE00EV01017</t>
        </is>
      </c>
    </row>
    <row r="1579">
      <c r="A1579" t="inlineStr">
        <is>
          <t xml:space="preserve">HARISH</t>
        </is>
      </c>
      <c r="B1579" t="inlineStr">
        <is>
          <t xml:space="preserve">Harish Textile Engineers Limit</t>
        </is>
      </c>
      <c r="C1579" t="inlineStr">
        <is>
          <t xml:space="preserve">INE01K301012</t>
        </is>
      </c>
    </row>
    <row r="1580">
      <c r="A1580" t="inlineStr">
        <is>
          <t xml:space="preserve">HRYNSHP</t>
        </is>
      </c>
      <c r="B1580" t="inlineStr">
        <is>
          <t xml:space="preserve">HARIYANA SHIP BREAKERS LTD.</t>
        </is>
      </c>
      <c r="C1580" t="inlineStr">
        <is>
          <t xml:space="preserve">INE400G01011</t>
        </is>
      </c>
    </row>
    <row r="1581">
      <c r="A1581" t="inlineStr">
        <is>
          <t xml:space="preserve">HARRMALAYA</t>
        </is>
      </c>
      <c r="B1581" t="inlineStr">
        <is>
          <t xml:space="preserve">HARRISONS MALAYALAM LTD.</t>
        </is>
      </c>
      <c r="C1581" t="inlineStr">
        <is>
          <t xml:space="preserve">INE544A01019</t>
        </is>
      </c>
    </row>
    <row r="1582">
      <c r="A1582" t="inlineStr">
        <is>
          <t xml:space="preserve">HARSHA</t>
        </is>
      </c>
      <c r="B1582" t="inlineStr">
        <is>
          <t xml:space="preserve">Harsha Engineers International</t>
        </is>
      </c>
      <c r="C1582" t="inlineStr">
        <is>
          <t xml:space="preserve">INE0JUS01029</t>
        </is>
      </c>
    </row>
    <row r="1583">
      <c r="A1583" t="inlineStr">
        <is>
          <t xml:space="preserve">HARSHDEEP</t>
        </is>
      </c>
      <c r="B1583" t="inlineStr">
        <is>
          <t xml:space="preserve">HARSHDEEP HORTICO LIMITED</t>
        </is>
      </c>
      <c r="C1583" t="inlineStr">
        <is>
          <t xml:space="preserve">INE0OLZ01015</t>
        </is>
      </c>
    </row>
    <row r="1584">
      <c r="A1584" t="inlineStr">
        <is>
          <t xml:space="preserve">HARSHILAGR</t>
        </is>
      </c>
      <c r="B1584" t="inlineStr">
        <is>
          <t xml:space="preserve">HARSHIL AGROTECH LIMITED</t>
        </is>
      </c>
      <c r="C1584" t="inlineStr">
        <is>
          <t xml:space="preserve">INE098E01026</t>
        </is>
      </c>
    </row>
    <row r="1585">
      <c r="A1585" t="inlineStr">
        <is>
          <t xml:space="preserve">HARYNACAP</t>
        </is>
      </c>
      <c r="B1585" t="inlineStr">
        <is>
          <t xml:space="preserve">HARYANA CAPFIN LTD.</t>
        </is>
      </c>
      <c r="C1585" t="inlineStr">
        <is>
          <t xml:space="preserve">INE928H01019</t>
        </is>
      </c>
    </row>
    <row r="1586">
      <c r="A1586" t="inlineStr">
        <is>
          <t xml:space="preserve">HARLETH</t>
        </is>
      </c>
      <c r="B1586" t="inlineStr">
        <is>
          <t xml:space="preserve">HARYANA LEATHER CHEMICALS LTD.</t>
        </is>
      </c>
      <c r="C1586" t="inlineStr">
        <is>
          <t xml:space="preserve">INE681F01018</t>
        </is>
      </c>
    </row>
    <row r="1587">
      <c r="A1587" t="inlineStr">
        <is>
          <t xml:space="preserve">HATHWAYB</t>
        </is>
      </c>
      <c r="B1587" t="inlineStr">
        <is>
          <t xml:space="preserve">HATHWAY BHAWANI CABLETEL &amp; DAT</t>
        </is>
      </c>
      <c r="C1587" t="inlineStr">
        <is>
          <t xml:space="preserve">INE525B01016</t>
        </is>
      </c>
    </row>
    <row r="1588">
      <c r="A1588" t="inlineStr">
        <is>
          <t xml:space="preserve">HATHWAY</t>
        </is>
      </c>
      <c r="B1588" t="inlineStr">
        <is>
          <t xml:space="preserve">HATHWAY CABLE &amp; DATACOM LTD</t>
        </is>
      </c>
      <c r="C1588" t="inlineStr">
        <is>
          <t xml:space="preserve">INE982F01036</t>
        </is>
      </c>
    </row>
    <row r="1589">
      <c r="A1589" t="inlineStr">
        <is>
          <t xml:space="preserve">HATSUN</t>
        </is>
      </c>
      <c r="B1589" t="inlineStr">
        <is>
          <t xml:space="preserve">HATSUN AGRO PRODUCT LTD.</t>
        </is>
      </c>
      <c r="C1589" t="inlineStr">
        <is>
          <t xml:space="preserve">INE473B01035</t>
        </is>
      </c>
    </row>
    <row r="1590">
      <c r="A1590" t="inlineStr">
        <is>
          <t xml:space="preserve">HAVELLS</t>
        </is>
      </c>
      <c r="B1590" t="inlineStr">
        <is>
          <t xml:space="preserve">HAVELLS INDIA LTD.</t>
        </is>
      </c>
      <c r="C1590" t="inlineStr">
        <is>
          <t xml:space="preserve">INE176B01034</t>
        </is>
      </c>
    </row>
    <row r="1591">
      <c r="A1591" t="inlineStr">
        <is>
          <t xml:space="preserve">HAWAENG</t>
        </is>
      </c>
      <c r="B1591" t="inlineStr">
        <is>
          <t xml:space="preserve">Hawa Engineers ltd.</t>
        </is>
      </c>
      <c r="C1591" t="inlineStr">
        <is>
          <t xml:space="preserve">INE230I01018</t>
        </is>
      </c>
    </row>
    <row r="1592">
      <c r="A1592" t="inlineStr">
        <is>
          <t xml:space="preserve">HAWKINCOOK</t>
        </is>
      </c>
      <c r="B1592" t="inlineStr">
        <is>
          <t xml:space="preserve">HAWKINS COOKERS LTD.</t>
        </is>
      </c>
      <c r="C1592" t="inlineStr">
        <is>
          <t xml:space="preserve">INE979B01015</t>
        </is>
      </c>
    </row>
    <row r="1593">
      <c r="A1593" t="inlineStr">
        <is>
          <t xml:space="preserve">HAZOOR</t>
        </is>
      </c>
      <c r="B1593" t="inlineStr">
        <is>
          <t xml:space="preserve">HAZOOR MULTI PROJECTS LTD.</t>
        </is>
      </c>
      <c r="C1593" t="inlineStr">
        <is>
          <t xml:space="preserve">INE550F01049</t>
        </is>
      </c>
    </row>
    <row r="1594">
      <c r="A1594" t="inlineStr">
        <is>
          <t xml:space="preserve">HBESD</t>
        </is>
      </c>
      <c r="B1594" t="inlineStr">
        <is>
          <t xml:space="preserve">HB ESTATE DEVELOPERS LTD.</t>
        </is>
      </c>
      <c r="C1594" t="inlineStr">
        <is>
          <t xml:space="preserve">INE640B01021</t>
        </is>
      </c>
    </row>
    <row r="1595">
      <c r="A1595" t="inlineStr">
        <is>
          <t xml:space="preserve">HBLEAS</t>
        </is>
      </c>
      <c r="B1595" t="inlineStr">
        <is>
          <t xml:space="preserve">HB LEASING &amp; FINANCE CO.LTD.</t>
        </is>
      </c>
      <c r="C1595" t="inlineStr">
        <is>
          <t xml:space="preserve">INE549B01016</t>
        </is>
      </c>
    </row>
    <row r="1596">
      <c r="A1596" t="inlineStr">
        <is>
          <t xml:space="preserve">HBPOR</t>
        </is>
      </c>
      <c r="B1596" t="inlineStr">
        <is>
          <t xml:space="preserve">HB PORTFOLIO LTD.</t>
        </is>
      </c>
      <c r="C1596" t="inlineStr">
        <is>
          <t xml:space="preserve">INE638B01025</t>
        </is>
      </c>
    </row>
    <row r="1597">
      <c r="A1597" t="inlineStr">
        <is>
          <t xml:space="preserve">HBSL</t>
        </is>
      </c>
      <c r="B1597" t="inlineStr">
        <is>
          <t xml:space="preserve">HB STOCKHOLDINGS LTD.</t>
        </is>
      </c>
      <c r="C1597" t="inlineStr">
        <is>
          <t xml:space="preserve">INE550B01022</t>
        </is>
      </c>
    </row>
    <row r="1598">
      <c r="A1598" t="inlineStr">
        <is>
          <t xml:space="preserve">HBGHOTELS</t>
        </is>
      </c>
      <c r="B1598" t="inlineStr">
        <is>
          <t xml:space="preserve">HBG HOTELS LIMITED</t>
        </is>
      </c>
      <c r="C1598" t="inlineStr">
        <is>
          <t xml:space="preserve">INE977M01024</t>
        </is>
      </c>
    </row>
    <row r="1599">
      <c r="A1599" t="inlineStr">
        <is>
          <t xml:space="preserve">HBLENGINE</t>
        </is>
      </c>
      <c r="B1599" t="inlineStr">
        <is>
          <t xml:space="preserve">HBL ENGINEERING LIMITED</t>
        </is>
      </c>
      <c r="C1599" t="inlineStr">
        <is>
          <t xml:space="preserve">INE292B01021</t>
        </is>
      </c>
    </row>
    <row r="1600">
      <c r="A1600" t="inlineStr">
        <is>
          <t xml:space="preserve">HCKKVENTURE</t>
        </is>
      </c>
      <c r="B1600" t="inlineStr">
        <is>
          <t xml:space="preserve">HCKK Ventures Limited</t>
        </is>
      </c>
      <c r="C1600" t="inlineStr">
        <is>
          <t xml:space="preserve">INE345Q01017</t>
        </is>
      </c>
    </row>
    <row r="1601">
      <c r="A1601" t="inlineStr">
        <is>
          <t xml:space="preserve">HCL-INSYS</t>
        </is>
      </c>
      <c r="B1601" t="inlineStr">
        <is>
          <t xml:space="preserve">HCL INFOSYSTEMS LTD.</t>
        </is>
      </c>
      <c r="C1601" t="inlineStr">
        <is>
          <t xml:space="preserve">INE236A01020</t>
        </is>
      </c>
    </row>
    <row r="1602">
      <c r="A1602" t="inlineStr">
        <is>
          <t xml:space="preserve">HCLTECH</t>
        </is>
      </c>
      <c r="B1602" t="inlineStr">
        <is>
          <t xml:space="preserve">HCL TECHNOLOGIES LTD.</t>
        </is>
      </c>
      <c r="C1602" t="inlineStr">
        <is>
          <t xml:space="preserve">INE860A01027</t>
        </is>
      </c>
    </row>
    <row r="1603">
      <c r="A1603" t="inlineStr">
        <is>
          <t xml:space="preserve">HPBL</t>
        </is>
      </c>
      <c r="B1603" t="inlineStr">
        <is>
          <t xml:space="preserve">HCP PLASTENE BULKPACK LIMITED</t>
        </is>
      </c>
      <c r="C1603" t="inlineStr">
        <is>
          <t xml:space="preserve">INE136C01044</t>
        </is>
      </c>
    </row>
    <row r="1604">
      <c r="A1604" t="inlineStr">
        <is>
          <t xml:space="preserve">HDBFS</t>
        </is>
      </c>
      <c r="B1604" t="inlineStr">
        <is>
          <t xml:space="preserve">HDB FINANCIAL SERVICES LIMITED</t>
        </is>
      </c>
      <c r="C1604" t="inlineStr">
        <is>
          <t xml:space="preserve">INE756I01012</t>
        </is>
      </c>
    </row>
    <row r="1605">
      <c r="A1605" t="inlineStr">
        <is>
          <t xml:space="preserve">HDFCAMC</t>
        </is>
      </c>
      <c r="B1605" t="inlineStr">
        <is>
          <t xml:space="preserve">HDFC Asset Management Company</t>
        </is>
      </c>
      <c r="C1605" t="inlineStr">
        <is>
          <t xml:space="preserve">INE127D01025</t>
        </is>
      </c>
    </row>
    <row r="1606">
      <c r="A1606" t="inlineStr">
        <is>
          <t xml:space="preserve">HDFCBANK</t>
        </is>
      </c>
      <c r="B1606" t="inlineStr">
        <is>
          <t xml:space="preserve">HDFC BANK LTD.</t>
        </is>
      </c>
      <c r="C1606" t="inlineStr">
        <is>
          <t xml:space="preserve">INE040A01034</t>
        </is>
      </c>
    </row>
    <row r="1607">
      <c r="A1607" t="inlineStr">
        <is>
          <t xml:space="preserve">HDFCLIFE</t>
        </is>
      </c>
      <c r="B1607" t="inlineStr">
        <is>
          <t xml:space="preserve">HDFC LIFE INSURANCE COMPANY LI</t>
        </is>
      </c>
      <c r="C1607" t="inlineStr">
        <is>
          <t xml:space="preserve">INE795G01014</t>
        </is>
      </c>
    </row>
    <row r="1608">
      <c r="A1608" t="inlineStr">
        <is>
          <t xml:space="preserve">797HDFCB33</t>
        </is>
      </c>
      <c r="B1608" t="inlineStr">
        <is>
          <t xml:space="preserve">HDFCB-7.97%-17-2-33-PVT</t>
        </is>
      </c>
      <c r="C1608" t="inlineStr">
        <is>
          <t xml:space="preserve">INE040A08914</t>
        </is>
      </c>
    </row>
    <row r="1609">
      <c r="A1609" t="inlineStr">
        <is>
          <t xml:space="preserve">HEADSUP</t>
        </is>
      </c>
      <c r="B1609" t="inlineStr">
        <is>
          <t xml:space="preserve">Heads UP Ventures Limited</t>
        </is>
      </c>
      <c r="C1609" t="inlineStr">
        <is>
          <t xml:space="preserve">INE759V01019</t>
        </is>
      </c>
    </row>
    <row r="1610">
      <c r="A1610" t="inlineStr">
        <is>
          <t xml:space="preserve">HEALTHX</t>
        </is>
      </c>
      <c r="B1610" t="inlineStr">
        <is>
          <t xml:space="preserve">HEALTH X PLATFORM LIMITED</t>
        </is>
      </c>
      <c r="C1610" t="inlineStr">
        <is>
          <t xml:space="preserve">INE019J01013</t>
        </is>
      </c>
    </row>
    <row r="1611">
      <c r="A1611" t="inlineStr">
        <is>
          <t xml:space="preserve">HCG</t>
        </is>
      </c>
      <c r="B1611" t="inlineStr">
        <is>
          <t xml:space="preserve">HealthCare Global Enterprises</t>
        </is>
      </c>
      <c r="C1611" t="inlineStr">
        <is>
          <t xml:space="preserve">INE075I01017</t>
        </is>
      </c>
    </row>
    <row r="1612">
      <c r="A1612" t="inlineStr">
        <is>
          <t xml:space="preserve">HEALTHYLIFE</t>
        </is>
      </c>
      <c r="B1612" t="inlineStr">
        <is>
          <t xml:space="preserve">HEALTHY LIFE AGRITEC LIMITED</t>
        </is>
      </c>
      <c r="C1612" t="inlineStr">
        <is>
          <t xml:space="preserve">INE0L3501015</t>
        </is>
      </c>
    </row>
    <row r="1613">
      <c r="A1613" t="inlineStr">
        <is>
          <t xml:space="preserve">HEERAISP</t>
        </is>
      </c>
      <c r="B1613" t="inlineStr">
        <is>
          <t xml:space="preserve">HEERA ISPAT LTD.</t>
        </is>
      </c>
      <c r="C1613" t="inlineStr">
        <is>
          <t xml:space="preserve">INE025D01013</t>
        </is>
      </c>
    </row>
    <row r="1614">
      <c r="A1614" t="inlineStr">
        <is>
          <t xml:space="preserve">HEG</t>
        </is>
      </c>
      <c r="B1614" t="inlineStr">
        <is>
          <t xml:space="preserve">HEG LTD.</t>
        </is>
      </c>
      <c r="C1614" t="inlineStr">
        <is>
          <t xml:space="preserve">INE545A01024</t>
        </is>
      </c>
    </row>
    <row r="1615">
      <c r="A1615" t="inlineStr">
        <is>
          <t xml:space="preserve">HEIDELBERG</t>
        </is>
      </c>
      <c r="B1615" t="inlineStr">
        <is>
          <t xml:space="preserve">HEIDELBERGCEMENT INDIA LTD.</t>
        </is>
      </c>
      <c r="C1615" t="inlineStr">
        <is>
          <t xml:space="preserve">INE578A01017</t>
        </is>
      </c>
    </row>
    <row r="1616">
      <c r="A1616" t="inlineStr">
        <is>
          <t xml:space="preserve">HELLOJI</t>
        </is>
      </c>
      <c r="B1616" t="inlineStr">
        <is>
          <t xml:space="preserve">HELLOJI HOLIDAYS LIMITED</t>
        </is>
      </c>
      <c r="C1616" t="inlineStr">
        <is>
          <t xml:space="preserve">INE1FJE01010</t>
        </is>
      </c>
    </row>
    <row r="1617">
      <c r="A1617" t="inlineStr">
        <is>
          <t xml:space="preserve">HELPAGE</t>
        </is>
      </c>
      <c r="B1617" t="inlineStr">
        <is>
          <t xml:space="preserve">Helpage Finlease Ltd.</t>
        </is>
      </c>
      <c r="C1617" t="inlineStr">
        <is>
          <t xml:space="preserve">INE738P01015</t>
        </is>
      </c>
    </row>
    <row r="1618">
      <c r="A1618" t="inlineStr">
        <is>
          <t xml:space="preserve">HEMANG</t>
        </is>
      </c>
      <c r="B1618" t="inlineStr">
        <is>
          <t xml:space="preserve">HEMANG RESOURCES LIMITED</t>
        </is>
      </c>
      <c r="C1618" t="inlineStr">
        <is>
          <t xml:space="preserve">INE930A01010</t>
        </is>
      </c>
    </row>
    <row r="1619">
      <c r="A1619" t="inlineStr">
        <is>
          <t xml:space="preserve">HSIL</t>
        </is>
      </c>
      <c r="B1619" t="inlineStr">
        <is>
          <t xml:space="preserve">Hemant Surgical Industries Lim</t>
        </is>
      </c>
      <c r="C1619" t="inlineStr">
        <is>
          <t xml:space="preserve">INE0GYI01028</t>
        </is>
      </c>
    </row>
    <row r="1620">
      <c r="A1620" t="inlineStr">
        <is>
          <t xml:space="preserve">HEMIPROP</t>
        </is>
      </c>
      <c r="B1620" t="inlineStr">
        <is>
          <t xml:space="preserve">Hemisphere Properties India Li</t>
        </is>
      </c>
      <c r="C1620" t="inlineStr">
        <is>
          <t xml:space="preserve">INE0AJG01018</t>
        </is>
      </c>
    </row>
    <row r="1621">
      <c r="A1621" t="inlineStr">
        <is>
          <t xml:space="preserve">HEMORGANIC</t>
        </is>
      </c>
      <c r="B1621" t="inlineStr">
        <is>
          <t xml:space="preserve">HEMO ORGANIC LIMITED</t>
        </is>
      </c>
      <c r="C1621" t="inlineStr">
        <is>
          <t xml:space="preserve">INE422G01015</t>
        </is>
      </c>
    </row>
    <row r="1622">
      <c r="A1622" t="inlineStr">
        <is>
          <t xml:space="preserve">HERANBA</t>
        </is>
      </c>
      <c r="B1622" t="inlineStr">
        <is>
          <t xml:space="preserve">Heranba Industries Limited</t>
        </is>
      </c>
      <c r="C1622" t="inlineStr">
        <is>
          <t xml:space="preserve">INE694N01015</t>
        </is>
      </c>
    </row>
    <row r="1623">
      <c r="A1623" t="inlineStr">
        <is>
          <t xml:space="preserve">HERCULES</t>
        </is>
      </c>
      <c r="B1623" t="inlineStr">
        <is>
          <t xml:space="preserve">Hercules Investments Limited</t>
        </is>
      </c>
      <c r="C1623" t="inlineStr">
        <is>
          <t xml:space="preserve">INE688E01024</t>
        </is>
      </c>
    </row>
    <row r="1624">
      <c r="A1624" t="inlineStr">
        <is>
          <t xml:space="preserve">HERITGFOOD</t>
        </is>
      </c>
      <c r="B1624" t="inlineStr">
        <is>
          <t xml:space="preserve">HERITAGE FOODS LIMITED</t>
        </is>
      </c>
      <c r="C1624" t="inlineStr">
        <is>
          <t xml:space="preserve">INE978A01027</t>
        </is>
      </c>
    </row>
    <row r="1625">
      <c r="A1625" t="inlineStr">
        <is>
          <t xml:space="preserve">HEROMOTOCO</t>
        </is>
      </c>
      <c r="B1625" t="inlineStr">
        <is>
          <t xml:space="preserve">HERO MOTOCORP LTD.</t>
        </is>
      </c>
      <c r="C1625" t="inlineStr">
        <is>
          <t xml:space="preserve">INE158A01026</t>
        </is>
      </c>
    </row>
    <row r="1626">
      <c r="A1626" t="inlineStr">
        <is>
          <t xml:space="preserve">HESTERBIO</t>
        </is>
      </c>
      <c r="B1626" t="inlineStr">
        <is>
          <t xml:space="preserve">HESTER BIOSCIENCES LTD.</t>
        </is>
      </c>
      <c r="C1626" t="inlineStr">
        <is>
          <t xml:space="preserve">INE782E01017</t>
        </is>
      </c>
    </row>
    <row r="1627">
      <c r="A1627" t="inlineStr">
        <is>
          <t xml:space="preserve">HEXATRADEX</t>
        </is>
      </c>
      <c r="B1627" t="inlineStr">
        <is>
          <t xml:space="preserve">HEXA TRADEX LTD.</t>
        </is>
      </c>
      <c r="C1627" t="inlineStr">
        <is>
          <t xml:space="preserve">INE750M01017</t>
        </is>
      </c>
    </row>
    <row r="1628">
      <c r="A1628" t="inlineStr">
        <is>
          <t xml:space="preserve">HEXAGON</t>
        </is>
      </c>
      <c r="B1628" t="inlineStr">
        <is>
          <t xml:space="preserve">Hexagon Nutrition Limited</t>
        </is>
      </c>
      <c r="C1628" t="inlineStr">
        <is>
          <t xml:space="preserve">INE0JUI01012</t>
        </is>
      </c>
    </row>
    <row r="1629">
      <c r="A1629" t="inlineStr">
        <is>
          <t xml:space="preserve">HEXT</t>
        </is>
      </c>
      <c r="B1629" t="inlineStr">
        <is>
          <t xml:space="preserve">Hexaware Technologies Limited</t>
        </is>
      </c>
      <c r="C1629" t="inlineStr">
        <is>
          <t xml:space="preserve">INE093A01041</t>
        </is>
      </c>
    </row>
    <row r="1630">
      <c r="A1630" t="inlineStr">
        <is>
          <t xml:space="preserve">HFCL</t>
        </is>
      </c>
      <c r="B1630" t="inlineStr">
        <is>
          <t xml:space="preserve">HFCL LIMITED</t>
        </is>
      </c>
      <c r="C1630" t="inlineStr">
        <is>
          <t xml:space="preserve">INE548A01028</t>
        </is>
      </c>
    </row>
    <row r="1631">
      <c r="A1631" t="inlineStr">
        <is>
          <t xml:space="preserve">1050HFL30A</t>
        </is>
      </c>
      <c r="B1631" t="inlineStr">
        <is>
          <t xml:space="preserve">HFL-10.50%-25-3-30-PVT</t>
        </is>
      </c>
      <c r="C1631" t="inlineStr">
        <is>
          <t xml:space="preserve">INE01ZK08687</t>
        </is>
      </c>
    </row>
    <row r="1632">
      <c r="A1632" t="inlineStr">
        <is>
          <t xml:space="preserve">HITECH</t>
        </is>
      </c>
      <c r="B1632" t="inlineStr">
        <is>
          <t xml:space="preserve">HI-TECH PIPES LIMITED</t>
        </is>
      </c>
      <c r="C1632" t="inlineStr">
        <is>
          <t xml:space="preserve">INE106T01025</t>
        </is>
      </c>
    </row>
    <row r="1633">
      <c r="A1633" t="inlineStr">
        <is>
          <t xml:space="preserve">HIGHENE</t>
        </is>
      </c>
      <c r="B1633" t="inlineStr">
        <is>
          <t xml:space="preserve">HIGH ENERGY BATTERIES (INDIA)</t>
        </is>
      </c>
      <c r="C1633" t="inlineStr">
        <is>
          <t xml:space="preserve">INE783E01023</t>
        </is>
      </c>
    </row>
    <row r="1634">
      <c r="A1634" t="inlineStr">
        <is>
          <t xml:space="preserve">HIGHNESS</t>
        </is>
      </c>
      <c r="B1634" t="inlineStr">
        <is>
          <t xml:space="preserve">Highness Microelectronics Limi</t>
        </is>
      </c>
      <c r="C1634" t="inlineStr">
        <is>
          <t xml:space="preserve">INE1KI801019</t>
        </is>
      </c>
    </row>
    <row r="1635">
      <c r="A1635" t="inlineStr">
        <is>
          <t xml:space="preserve">HILINFRA</t>
        </is>
      </c>
      <c r="B1635" t="inlineStr">
        <is>
          <t xml:space="preserve">Highway Infrastructure Limited</t>
        </is>
      </c>
      <c r="C1635" t="inlineStr">
        <is>
          <t xml:space="preserve">INE00RL01028</t>
        </is>
      </c>
    </row>
    <row r="1636">
      <c r="A1636" t="inlineStr">
        <is>
          <t xml:space="preserve">HIKAL</t>
        </is>
      </c>
      <c r="B1636" t="inlineStr">
        <is>
          <t xml:space="preserve">HIKAL LTD.</t>
        </is>
      </c>
      <c r="C1636" t="inlineStr">
        <is>
          <t xml:space="preserve">INE475B01022</t>
        </is>
      </c>
    </row>
    <row r="1637">
      <c r="A1637" t="inlineStr">
        <is>
          <t xml:space="preserve">HILIKS</t>
        </is>
      </c>
      <c r="B1637" t="inlineStr">
        <is>
          <t xml:space="preserve">HILIKS TECHNOLOGIES LIMITED</t>
        </is>
      </c>
      <c r="C1637" t="inlineStr">
        <is>
          <t xml:space="preserve">INE966Q01010</t>
        </is>
      </c>
    </row>
    <row r="1638">
      <c r="A1638" t="inlineStr">
        <is>
          <t xml:space="preserve">HILLTONE</t>
        </is>
      </c>
      <c r="B1638" t="inlineStr">
        <is>
          <t xml:space="preserve">Hilltone Software and Gases Lt</t>
        </is>
      </c>
      <c r="C1638" t="inlineStr">
        <is>
          <t xml:space="preserve">INE168C01013</t>
        </is>
      </c>
    </row>
    <row r="1639">
      <c r="A1639" t="inlineStr">
        <is>
          <t xml:space="preserve">HILTON</t>
        </is>
      </c>
      <c r="B1639" t="inlineStr">
        <is>
          <t xml:space="preserve">HILTON METAL FORGING LTD.</t>
        </is>
      </c>
      <c r="C1639" t="inlineStr">
        <is>
          <t xml:space="preserve">INE788H01017</t>
        </is>
      </c>
    </row>
    <row r="1640">
      <c r="A1640" t="inlineStr">
        <is>
          <t xml:space="preserve">HIMTEK</t>
        </is>
      </c>
      <c r="B1640" t="inlineStr">
        <is>
          <t xml:space="preserve">HIM TEKNOFORGE LIMITED</t>
        </is>
      </c>
      <c r="C1640" t="inlineStr">
        <is>
          <t xml:space="preserve">INE705G01021</t>
        </is>
      </c>
    </row>
    <row r="1641">
      <c r="A1641" t="inlineStr">
        <is>
          <t xml:space="preserve">HSCL</t>
        </is>
      </c>
      <c r="B1641" t="inlineStr">
        <is>
          <t xml:space="preserve">Himadri Speciality Chemical Lt</t>
        </is>
      </c>
      <c r="C1641" t="inlineStr">
        <is>
          <t xml:space="preserve">INE019C01026</t>
        </is>
      </c>
    </row>
    <row r="1642">
      <c r="A1642" t="inlineStr">
        <is>
          <t xml:space="preserve">HFIL</t>
        </is>
      </c>
      <c r="B1642" t="inlineStr">
        <is>
          <t xml:space="preserve">HIMALAYA FOOD INTERNATIONAL LI</t>
        </is>
      </c>
      <c r="C1642" t="inlineStr">
        <is>
          <t xml:space="preserve">INE552B01010</t>
        </is>
      </c>
    </row>
    <row r="1643">
      <c r="A1643" t="inlineStr">
        <is>
          <t xml:space="preserve">HIMATSEIDE</t>
        </is>
      </c>
      <c r="B1643" t="inlineStr">
        <is>
          <t xml:space="preserve">HIMATSINGKA SEIDE LTD.</t>
        </is>
      </c>
      <c r="C1643" t="inlineStr">
        <is>
          <t xml:space="preserve">INE049A01027</t>
        </is>
      </c>
    </row>
    <row r="1644">
      <c r="A1644" t="inlineStr">
        <is>
          <t xml:space="preserve">HINDALUMI</t>
        </is>
      </c>
      <c r="B1644" t="inlineStr">
        <is>
          <t xml:space="preserve">HIND ALUMINIUM INDUSTRIES LTD.</t>
        </is>
      </c>
      <c r="C1644" t="inlineStr">
        <is>
          <t xml:space="preserve">INE227B01019</t>
        </is>
      </c>
    </row>
    <row r="1645">
      <c r="A1645" t="inlineStr">
        <is>
          <t xml:space="preserve">HIRECT</t>
        </is>
      </c>
      <c r="B1645" t="inlineStr">
        <is>
          <t xml:space="preserve">HIND RECTIFIERS LTD.</t>
        </is>
      </c>
      <c r="C1645" t="inlineStr">
        <is>
          <t xml:space="preserve">INE835D01023</t>
        </is>
      </c>
    </row>
    <row r="1646">
      <c r="A1646" t="inlineStr">
        <is>
          <t xml:space="preserve">HINDALCO</t>
        </is>
      </c>
      <c r="B1646" t="inlineStr">
        <is>
          <t xml:space="preserve">HINDALCO INDUSTRIES LTD.</t>
        </is>
      </c>
      <c r="C1646" t="inlineStr">
        <is>
          <t xml:space="preserve">INE038A01020</t>
        </is>
      </c>
    </row>
    <row r="1647">
      <c r="A1647" t="inlineStr">
        <is>
          <t xml:space="preserve">HINDMILL</t>
        </is>
      </c>
      <c r="B1647" t="inlineStr">
        <is>
          <t xml:space="preserve">HINDOOSTAN MILLS LTD.</t>
        </is>
      </c>
      <c r="C1647" t="inlineStr">
        <is>
          <t xml:space="preserve">INE832D01020</t>
        </is>
      </c>
    </row>
    <row r="1648">
      <c r="A1648" t="inlineStr">
        <is>
          <t xml:space="preserve">HPIL</t>
        </is>
      </c>
      <c r="B1648" t="inlineStr">
        <is>
          <t xml:space="preserve">HINDPRAKASH INDUSTRIES LIMITED</t>
        </is>
      </c>
      <c r="C1648" t="inlineStr">
        <is>
          <t xml:space="preserve">INE05X901010</t>
        </is>
      </c>
    </row>
    <row r="1649">
      <c r="A1649" t="inlineStr">
        <is>
          <t xml:space="preserve">HGS</t>
        </is>
      </c>
      <c r="B1649" t="inlineStr">
        <is>
          <t xml:space="preserve">HINDUJA GLOBAL SOLUTIONS LTD.</t>
        </is>
      </c>
      <c r="C1649" t="inlineStr">
        <is>
          <t xml:space="preserve">INE170I01016</t>
        </is>
      </c>
    </row>
    <row r="1650">
      <c r="A1650" t="inlineStr">
        <is>
          <t xml:space="preserve">HINDADH</t>
        </is>
      </c>
      <c r="B1650" t="inlineStr">
        <is>
          <t xml:space="preserve">HINDUSTAN ADHESIVES LTD.</t>
        </is>
      </c>
      <c r="C1650" t="inlineStr">
        <is>
          <t xml:space="preserve">INE074C01013</t>
        </is>
      </c>
    </row>
    <row r="1651">
      <c r="A1651" t="inlineStr">
        <is>
          <t xml:space="preserve">HAL</t>
        </is>
      </c>
      <c r="B1651" t="inlineStr">
        <is>
          <t xml:space="preserve">Hindustan Aeronautics Limited</t>
        </is>
      </c>
      <c r="C1651" t="inlineStr">
        <is>
          <t xml:space="preserve">INE066F01020</t>
        </is>
      </c>
    </row>
    <row r="1652">
      <c r="A1652" t="inlineStr">
        <is>
          <t xml:space="preserve">HINDUST</t>
        </is>
      </c>
      <c r="B1652" t="inlineStr">
        <is>
          <t xml:space="preserve">HINDUSTAN AGRIGENETICS LTD.</t>
        </is>
      </c>
      <c r="C1652" t="inlineStr">
        <is>
          <t xml:space="preserve">INE092301014</t>
        </is>
      </c>
    </row>
    <row r="1653">
      <c r="A1653" t="inlineStr">
        <is>
          <t xml:space="preserve">HINDAPL</t>
        </is>
      </c>
      <c r="B1653" t="inlineStr">
        <is>
          <t xml:space="preserve">HINDUSTAN APPLIANCES LTD.</t>
        </is>
      </c>
      <c r="C1653" t="inlineStr">
        <is>
          <t xml:space="preserve">INE02XD01011</t>
        </is>
      </c>
    </row>
    <row r="1654">
      <c r="A1654" t="inlineStr">
        <is>
          <t xml:space="preserve">HINDBIO</t>
        </is>
      </c>
      <c r="B1654" t="inlineStr">
        <is>
          <t xml:space="preserve">HINDUSTAN BIO SCIENCES LTD.</t>
        </is>
      </c>
      <c r="C1654" t="inlineStr">
        <is>
          <t xml:space="preserve">INE597C01021</t>
        </is>
      </c>
    </row>
    <row r="1655">
      <c r="A1655" t="inlineStr">
        <is>
          <t xml:space="preserve">HINDCOMPOS</t>
        </is>
      </c>
      <c r="B1655" t="inlineStr">
        <is>
          <t xml:space="preserve">HINDUSTAN COMPOSITES LTD.</t>
        </is>
      </c>
      <c r="C1655" t="inlineStr">
        <is>
          <t xml:space="preserve">INE310C01029</t>
        </is>
      </c>
    </row>
    <row r="1656">
      <c r="A1656" t="inlineStr">
        <is>
          <t xml:space="preserve">HCC</t>
        </is>
      </c>
      <c r="B1656" t="inlineStr">
        <is>
          <t xml:space="preserve">HINDUSTAN CONSTRUCTION CO.LTD.</t>
        </is>
      </c>
      <c r="C1656" t="inlineStr">
        <is>
          <t xml:space="preserve">INE549A01026</t>
        </is>
      </c>
    </row>
    <row r="1657">
      <c r="A1657" t="inlineStr">
        <is>
          <t xml:space="preserve">HINDCOPPER</t>
        </is>
      </c>
      <c r="B1657" t="inlineStr">
        <is>
          <t xml:space="preserve">HINDUSTAN COPPER LTD.</t>
        </is>
      </c>
      <c r="C1657" t="inlineStr">
        <is>
          <t xml:space="preserve">INE531E01026</t>
        </is>
      </c>
    </row>
    <row r="1658">
      <c r="A1658" t="inlineStr">
        <is>
          <t xml:space="preserve">HNDFDS</t>
        </is>
      </c>
      <c r="B1658" t="inlineStr">
        <is>
          <t xml:space="preserve">HINDUSTAN FOODS LTD.</t>
        </is>
      </c>
      <c r="C1658" t="inlineStr">
        <is>
          <t xml:space="preserve">INE254N01026</t>
        </is>
      </c>
    </row>
    <row r="1659">
      <c r="A1659" t="inlineStr">
        <is>
          <t xml:space="preserve">HINDHARD</t>
        </is>
      </c>
      <c r="B1659" t="inlineStr">
        <is>
          <t xml:space="preserve">HINDUSTAN HARDY LIMITED</t>
        </is>
      </c>
      <c r="C1659" t="inlineStr">
        <is>
          <t xml:space="preserve">INE724D01011</t>
        </is>
      </c>
    </row>
    <row r="1660">
      <c r="A1660" t="inlineStr">
        <is>
          <t xml:space="preserve">HMVL</t>
        </is>
      </c>
      <c r="B1660" t="inlineStr">
        <is>
          <t xml:space="preserve">HINDUSTAN MEDIA VENTURES LTD.</t>
        </is>
      </c>
      <c r="C1660" t="inlineStr">
        <is>
          <t xml:space="preserve">INE871K01015</t>
        </is>
      </c>
    </row>
    <row r="1661">
      <c r="A1661" t="inlineStr">
        <is>
          <t xml:space="preserve">HINDMOTORS</t>
        </is>
      </c>
      <c r="B1661" t="inlineStr">
        <is>
          <t xml:space="preserve">HINDUSTAN MOTORS LTD.</t>
        </is>
      </c>
      <c r="C1661" t="inlineStr">
        <is>
          <t xml:space="preserve">INE253A01025</t>
        </is>
      </c>
    </row>
    <row r="1662">
      <c r="A1662" t="inlineStr">
        <is>
          <t xml:space="preserve">HINDOILEXP</t>
        </is>
      </c>
      <c r="B1662" t="inlineStr">
        <is>
          <t xml:space="preserve">HINDUSTAN OIL EXPLORATION CO.L</t>
        </is>
      </c>
      <c r="C1662" t="inlineStr">
        <is>
          <t xml:space="preserve">INE345A01011</t>
        </is>
      </c>
    </row>
    <row r="1663">
      <c r="A1663" t="inlineStr">
        <is>
          <t xml:space="preserve">HOCL</t>
        </is>
      </c>
      <c r="B1663" t="inlineStr">
        <is>
          <t xml:space="preserve">HINDUSTAN ORGANIC CHEMICALS LT</t>
        </is>
      </c>
      <c r="C1663" t="inlineStr">
        <is>
          <t xml:space="preserve">INE048A01011</t>
        </is>
      </c>
    </row>
    <row r="1664">
      <c r="A1664" t="inlineStr">
        <is>
          <t xml:space="preserve">HINDPETRO</t>
        </is>
      </c>
      <c r="B1664" t="inlineStr">
        <is>
          <t xml:space="preserve">HINDUSTAN PETROLEUM CORPORATIO</t>
        </is>
      </c>
      <c r="C1664" t="inlineStr">
        <is>
          <t xml:space="preserve">INE094A01015</t>
        </is>
      </c>
    </row>
    <row r="1665">
      <c r="A1665" t="inlineStr">
        <is>
          <t xml:space="preserve">HINDTIN</t>
        </is>
      </c>
      <c r="B1665" t="inlineStr">
        <is>
          <t xml:space="preserve">HINDUSTAN TIN WORKS LTD.</t>
        </is>
      </c>
      <c r="C1665" t="inlineStr">
        <is>
          <t xml:space="preserve">INE428D01019</t>
        </is>
      </c>
    </row>
    <row r="1666">
      <c r="A1666" t="inlineStr">
        <is>
          <t xml:space="preserve">HINDUNILVR</t>
        </is>
      </c>
      <c r="B1666" t="inlineStr">
        <is>
          <t xml:space="preserve">HINDUSTAN UNILEVER LTD.</t>
        </is>
      </c>
      <c r="C1666" t="inlineStr">
        <is>
          <t xml:space="preserve">INE030A01027</t>
        </is>
      </c>
    </row>
    <row r="1667">
      <c r="A1667" t="inlineStr">
        <is>
          <t xml:space="preserve">HINDZINC</t>
        </is>
      </c>
      <c r="B1667" t="inlineStr">
        <is>
          <t xml:space="preserve">HINDUSTAN ZINC LTD.</t>
        </is>
      </c>
      <c r="C1667" t="inlineStr">
        <is>
          <t xml:space="preserve">INE267A01025</t>
        </is>
      </c>
    </row>
    <row r="1668">
      <c r="A1668" t="inlineStr">
        <is>
          <t xml:space="preserve">HINDWAREAP</t>
        </is>
      </c>
      <c r="B1668" t="inlineStr">
        <is>
          <t xml:space="preserve">Hindware Home Innovation Limit</t>
        </is>
      </c>
      <c r="C1668" t="inlineStr">
        <is>
          <t xml:space="preserve">INE05AN01011</t>
        </is>
      </c>
    </row>
    <row r="1669">
      <c r="A1669" t="inlineStr">
        <is>
          <t xml:space="preserve">HIPOLIN</t>
        </is>
      </c>
      <c r="B1669" t="inlineStr">
        <is>
          <t xml:space="preserve">HIPOLIN LTD.</t>
        </is>
      </c>
      <c r="C1669" t="inlineStr">
        <is>
          <t xml:space="preserve">INE963A01011</t>
        </is>
      </c>
    </row>
    <row r="1670">
      <c r="A1670" t="inlineStr">
        <is>
          <t xml:space="preserve">HISARMETAL</t>
        </is>
      </c>
      <c r="B1670" t="inlineStr">
        <is>
          <t xml:space="preserve">HISAR METAL INDUSTRIES LTD.</t>
        </is>
      </c>
      <c r="C1670" t="inlineStr">
        <is>
          <t xml:space="preserve">INE598C01011</t>
        </is>
      </c>
    </row>
    <row r="1671">
      <c r="A1671" t="inlineStr">
        <is>
          <t xml:space="preserve">HITKITGLO</t>
        </is>
      </c>
      <c r="B1671" t="inlineStr">
        <is>
          <t xml:space="preserve">HIT KIT GLOBAL SOLUTIONS LTD.</t>
        </is>
      </c>
      <c r="C1671" t="inlineStr">
        <is>
          <t xml:space="preserve">INE309B01023</t>
        </is>
      </c>
    </row>
    <row r="1672">
      <c r="A1672" t="inlineStr">
        <is>
          <t xml:space="preserve">POWERINDIA</t>
        </is>
      </c>
      <c r="B1672" t="inlineStr">
        <is>
          <t xml:space="preserve">HITACHI ENERGY INDIA LIMITED</t>
        </is>
      </c>
      <c r="C1672" t="inlineStr">
        <is>
          <t xml:space="preserve">INE07Y701011</t>
        </is>
      </c>
    </row>
    <row r="1673">
      <c r="A1673" t="inlineStr">
        <is>
          <t xml:space="preserve">HITECHCORP</t>
        </is>
      </c>
      <c r="B1673" t="inlineStr">
        <is>
          <t xml:space="preserve">Hitech Corporation Limited</t>
        </is>
      </c>
      <c r="C1673" t="inlineStr">
        <is>
          <t xml:space="preserve">INE120D01012</t>
        </is>
      </c>
    </row>
    <row r="1674">
      <c r="A1674" t="inlineStr">
        <is>
          <t xml:space="preserve">HITTCO</t>
        </is>
      </c>
      <c r="B1674" t="inlineStr">
        <is>
          <t xml:space="preserve">HITTCO TOOLS LTD.</t>
        </is>
      </c>
      <c r="C1674" t="inlineStr">
        <is>
          <t xml:space="preserve">INE863C01019</t>
        </is>
      </c>
    </row>
    <row r="1675">
      <c r="A1675" t="inlineStr">
        <is>
          <t xml:space="preserve">HLEGLAS</t>
        </is>
      </c>
      <c r="B1675" t="inlineStr">
        <is>
          <t xml:space="preserve">HLE GLASCOAT LIMITED</t>
        </is>
      </c>
      <c r="C1675" t="inlineStr">
        <is>
          <t xml:space="preserve">INE461D01028</t>
        </is>
      </c>
    </row>
    <row r="1676">
      <c r="A1676" t="inlineStr">
        <is>
          <t xml:space="preserve">925HLFL31</t>
        </is>
      </c>
      <c r="B1676" t="inlineStr">
        <is>
          <t xml:space="preserve">HLFL-9.25%-9-7-31-PVT</t>
        </is>
      </c>
      <c r="C1676" t="inlineStr">
        <is>
          <t xml:space="preserve">INE146O08399</t>
        </is>
      </c>
    </row>
    <row r="1677">
      <c r="A1677" t="inlineStr">
        <is>
          <t xml:space="preserve">HLVLTD</t>
        </is>
      </c>
      <c r="B1677" t="inlineStr">
        <is>
          <t xml:space="preserve">HLV LIMITED</t>
        </is>
      </c>
      <c r="C1677" t="inlineStr">
        <is>
          <t xml:space="preserve">INE102A01024</t>
        </is>
      </c>
    </row>
    <row r="1678">
      <c r="A1678" t="inlineStr">
        <is>
          <t xml:space="preserve">HMAAGRO</t>
        </is>
      </c>
      <c r="B1678" t="inlineStr">
        <is>
          <t xml:space="preserve">HMA Agro Industries Limited</t>
        </is>
      </c>
      <c r="C1678" t="inlineStr">
        <is>
          <t xml:space="preserve">INE0ECP01024</t>
        </is>
      </c>
    </row>
    <row r="1679">
      <c r="A1679" t="inlineStr">
        <is>
          <t xml:space="preserve">HMT</t>
        </is>
      </c>
      <c r="B1679" t="inlineStr">
        <is>
          <t xml:space="preserve">HMT LTD.</t>
        </is>
      </c>
      <c r="C1679" t="inlineStr">
        <is>
          <t xml:space="preserve">INE262A01018</t>
        </is>
      </c>
    </row>
    <row r="1680">
      <c r="A1680" t="inlineStr">
        <is>
          <t xml:space="preserve">HOMEFIRST</t>
        </is>
      </c>
      <c r="B1680" t="inlineStr">
        <is>
          <t xml:space="preserve">Home First Finance Company Ind</t>
        </is>
      </c>
      <c r="C1680" t="inlineStr">
        <is>
          <t xml:space="preserve">INE481N01025</t>
        </is>
      </c>
    </row>
    <row r="1681">
      <c r="A1681" t="inlineStr">
        <is>
          <t xml:space="preserve">HOM</t>
        </is>
      </c>
      <c r="B1681" t="inlineStr">
        <is>
          <t xml:space="preserve">HOMRE LIMITED</t>
        </is>
      </c>
      <c r="C1681" t="inlineStr">
        <is>
          <t xml:space="preserve">INE982C01033</t>
        </is>
      </c>
    </row>
    <row r="1682">
      <c r="A1682" t="inlineStr">
        <is>
          <t xml:space="preserve">HONASA</t>
        </is>
      </c>
      <c r="B1682" t="inlineStr">
        <is>
          <t xml:space="preserve">Honasa Consumer Limited</t>
        </is>
      </c>
      <c r="C1682" t="inlineStr">
        <is>
          <t xml:space="preserve">INE0J5401028</t>
        </is>
      </c>
    </row>
    <row r="1683">
      <c r="A1683" t="inlineStr">
        <is>
          <t xml:space="preserve">HONDAPOWER</t>
        </is>
      </c>
      <c r="B1683" t="inlineStr">
        <is>
          <t xml:space="preserve">HONDA INDIA POWER PRODUCTS LIM</t>
        </is>
      </c>
      <c r="C1683" t="inlineStr">
        <is>
          <t xml:space="preserve">INE634A01018</t>
        </is>
      </c>
    </row>
    <row r="1684">
      <c r="A1684" t="inlineStr">
        <is>
          <t xml:space="preserve">HONAUT</t>
        </is>
      </c>
      <c r="B1684" t="inlineStr">
        <is>
          <t xml:space="preserve">HONEYWELL AUTOMATION INDIA LTD</t>
        </is>
      </c>
      <c r="C1684" t="inlineStr">
        <is>
          <t xml:space="preserve">INE671A01010</t>
        </is>
      </c>
    </row>
    <row r="1685">
      <c r="A1685" t="inlineStr">
        <is>
          <t xml:space="preserve">HORIZON</t>
        </is>
      </c>
      <c r="B1685" t="inlineStr">
        <is>
          <t xml:space="preserve">HORIZON RECLAIM (INDIA) LIMITE</t>
        </is>
      </c>
      <c r="C1685" t="inlineStr">
        <is>
          <t xml:space="preserve">INE1SEO01013</t>
        </is>
      </c>
    </row>
    <row r="1686">
      <c r="A1686" t="inlineStr">
        <is>
          <t xml:space="preserve">HUDCO</t>
        </is>
      </c>
      <c r="B1686" t="inlineStr">
        <is>
          <t xml:space="preserve">Housing &amp;Urban Development Cor</t>
        </is>
      </c>
      <c r="C1686" t="inlineStr">
        <is>
          <t xml:space="preserve">INE031A01017</t>
        </is>
      </c>
    </row>
    <row r="1687">
      <c r="A1687" t="inlineStr">
        <is>
          <t xml:space="preserve">HDIL</t>
        </is>
      </c>
      <c r="B1687" t="inlineStr">
        <is>
          <t xml:space="preserve">HOUSING DEVELOPMENT &amp; INFRASTR</t>
        </is>
      </c>
      <c r="C1687" t="inlineStr">
        <is>
          <t xml:space="preserve">INE191I01012</t>
        </is>
      </c>
    </row>
    <row r="1688">
      <c r="A1688" t="inlineStr">
        <is>
          <t xml:space="preserve">HOWARHO</t>
        </is>
      </c>
      <c r="B1688" t="inlineStr">
        <is>
          <t xml:space="preserve">HOWARD HOTELS LTD.</t>
        </is>
      </c>
      <c r="C1688" t="inlineStr">
        <is>
          <t xml:space="preserve">INE931B01016</t>
        </is>
      </c>
    </row>
    <row r="1689">
      <c r="A1689" t="inlineStr">
        <is>
          <t xml:space="preserve">HPAL</t>
        </is>
      </c>
      <c r="B1689" t="inlineStr">
        <is>
          <t xml:space="preserve">HP Adhesives Limited</t>
        </is>
      </c>
      <c r="C1689" t="inlineStr">
        <is>
          <t xml:space="preserve">INE0GSL01024</t>
        </is>
      </c>
    </row>
    <row r="1690">
      <c r="A1690" t="inlineStr">
        <is>
          <t xml:space="preserve">HPL</t>
        </is>
      </c>
      <c r="B1690" t="inlineStr">
        <is>
          <t xml:space="preserve">HPL Electric &amp; Power Limited</t>
        </is>
      </c>
      <c r="C1690" t="inlineStr">
        <is>
          <t xml:space="preserve">INE495S01016</t>
        </is>
      </c>
    </row>
    <row r="1691">
      <c r="A1691" t="inlineStr">
        <is>
          <t xml:space="preserve">HRS</t>
        </is>
      </c>
      <c r="B1691" t="inlineStr">
        <is>
          <t xml:space="preserve">HRS ALUGLAZE LIMITED</t>
        </is>
      </c>
      <c r="C1691" t="inlineStr">
        <is>
          <t xml:space="preserve">INE1E1V01017</t>
        </is>
      </c>
    </row>
    <row r="1692">
      <c r="A1692" t="inlineStr">
        <is>
          <t xml:space="preserve">HTMEDIA</t>
        </is>
      </c>
      <c r="B1692" t="inlineStr">
        <is>
          <t xml:space="preserve">HT MEDIA LIMITED</t>
        </is>
      </c>
      <c r="C1692" t="inlineStr">
        <is>
          <t xml:space="preserve">INE501G01024</t>
        </is>
      </c>
    </row>
    <row r="1693">
      <c r="A1693" t="inlineStr">
        <is>
          <t xml:space="preserve">HUBTOWN</t>
        </is>
      </c>
      <c r="B1693" t="inlineStr">
        <is>
          <t xml:space="preserve">HUBTOWN LTD.</t>
        </is>
      </c>
      <c r="C1693" t="inlineStr">
        <is>
          <t xml:space="preserve">INE703H01016</t>
        </is>
      </c>
    </row>
    <row r="1694">
      <c r="A1694" t="inlineStr">
        <is>
          <t xml:space="preserve">739HUDCO31</t>
        </is>
      </c>
      <c r="B1694" t="inlineStr">
        <is>
          <t xml:space="preserve">HUDCO-7.39%-15-3-31-TAXFREENCD</t>
        </is>
      </c>
      <c r="C1694" t="inlineStr">
        <is>
          <t xml:space="preserve">INE031A07AR8</t>
        </is>
      </c>
    </row>
    <row r="1695">
      <c r="A1695" t="inlineStr">
        <is>
          <t xml:space="preserve">769HUDCO31</t>
        </is>
      </c>
      <c r="B1695" t="inlineStr">
        <is>
          <t xml:space="preserve">HUDCO-7.69%-15-3-31-TAXFREENCD</t>
        </is>
      </c>
      <c r="C1695" t="inlineStr">
        <is>
          <t xml:space="preserve">INE031A07AT4</t>
        </is>
      </c>
    </row>
    <row r="1696">
      <c r="A1696" t="inlineStr">
        <is>
          <t xml:space="preserve">HUHTAMAKI</t>
        </is>
      </c>
      <c r="B1696" t="inlineStr">
        <is>
          <t xml:space="preserve">HUHTAMAKI INDIA LIMITED</t>
        </is>
      </c>
      <c r="C1696" t="inlineStr">
        <is>
          <t xml:space="preserve">INE275B01026</t>
        </is>
      </c>
    </row>
    <row r="1697">
      <c r="A1697" t="inlineStr">
        <is>
          <t xml:space="preserve">HBEL</t>
        </is>
      </c>
      <c r="B1697" t="inlineStr">
        <is>
          <t xml:space="preserve">Humming Bird Education Limited</t>
        </is>
      </c>
      <c r="C1697" t="inlineStr">
        <is>
          <t xml:space="preserve">INE02PC01027</t>
        </is>
      </c>
    </row>
    <row r="1698">
      <c r="A1698" t="inlineStr">
        <is>
          <t xml:space="preserve">HYBRIDFIN</t>
        </is>
      </c>
      <c r="B1698" t="inlineStr">
        <is>
          <t xml:space="preserve">HYBRID FINANCIAL SERVICES LIMI</t>
        </is>
      </c>
      <c r="C1698" t="inlineStr">
        <is>
          <t xml:space="preserve">INE965B01022</t>
        </is>
      </c>
    </row>
    <row r="1699">
      <c r="A1699" t="inlineStr">
        <is>
          <t xml:space="preserve">HYPERSOFT</t>
        </is>
      </c>
      <c r="B1699" t="inlineStr">
        <is>
          <t xml:space="preserve">HYPERSOFT TECHNOLOGIES LIMITED</t>
        </is>
      </c>
      <c r="C1699" t="inlineStr">
        <is>
          <t xml:space="preserve">INE039D01014</t>
        </is>
      </c>
    </row>
    <row r="1700">
      <c r="A1700" t="inlineStr">
        <is>
          <t xml:space="preserve">HYUNDAI</t>
        </is>
      </c>
      <c r="B1700" t="inlineStr">
        <is>
          <t xml:space="preserve">HYUNDAI MOTOR INDIA LIMITED</t>
        </is>
      </c>
      <c r="C1700" t="inlineStr">
        <is>
          <t xml:space="preserve">INE0V6F01027</t>
        </is>
      </c>
    </row>
    <row r="1701">
      <c r="A1701" t="inlineStr">
        <is>
          <t xml:space="preserve">IGPL</t>
        </is>
      </c>
      <c r="B1701" t="inlineStr">
        <is>
          <t xml:space="preserve">I G PETROCHEMICALS LTD.</t>
        </is>
      </c>
      <c r="C1701" t="inlineStr">
        <is>
          <t xml:space="preserve">INE204A01010</t>
        </is>
      </c>
    </row>
    <row r="1702">
      <c r="A1702" t="inlineStr">
        <is>
          <t xml:space="preserve">IBINFO</t>
        </is>
      </c>
      <c r="B1702" t="inlineStr">
        <is>
          <t xml:space="preserve">IB INFOTECH ENTERPRISES LTD.</t>
        </is>
      </c>
      <c r="C1702" t="inlineStr">
        <is>
          <t xml:space="preserve">INE678B01039</t>
        </is>
      </c>
    </row>
    <row r="1703">
      <c r="A1703" t="inlineStr">
        <is>
          <t xml:space="preserve">ICDSLTD</t>
        </is>
      </c>
      <c r="B1703" t="inlineStr">
        <is>
          <t xml:space="preserve">ICDS LTD.</t>
        </is>
      </c>
      <c r="C1703" t="inlineStr">
        <is>
          <t xml:space="preserve">INE613B01010</t>
        </is>
      </c>
    </row>
    <row r="1704">
      <c r="A1704" t="inlineStr">
        <is>
          <t xml:space="preserve">1030ICFL27</t>
        </is>
      </c>
      <c r="B1704" t="inlineStr">
        <is>
          <t xml:space="preserve">ICFL-10.30%-25-9-27-NCD</t>
        </is>
      </c>
      <c r="C1704" t="inlineStr">
        <is>
          <t xml:space="preserve">INE896L07991</t>
        </is>
      </c>
    </row>
    <row r="1705">
      <c r="A1705" t="inlineStr">
        <is>
          <t xml:space="preserve">1050ICFL26</t>
        </is>
      </c>
      <c r="B1705" t="inlineStr">
        <is>
          <t xml:space="preserve">ICFL-10.50%-25-9-26-NCD</t>
        </is>
      </c>
      <c r="C1705" t="inlineStr">
        <is>
          <t xml:space="preserve">INE896L07983</t>
        </is>
      </c>
    </row>
    <row r="1706">
      <c r="A1706" t="inlineStr">
        <is>
          <t xml:space="preserve">995ICFL26C</t>
        </is>
      </c>
      <c r="B1706" t="inlineStr">
        <is>
          <t xml:space="preserve">ICFL-9.95%-28-11-26-PVT</t>
        </is>
      </c>
      <c r="C1706" t="inlineStr">
        <is>
          <t xml:space="preserve">INE896L07975</t>
        </is>
      </c>
    </row>
    <row r="1707">
      <c r="A1707" t="inlineStr">
        <is>
          <t xml:space="preserve">ICICIBANK</t>
        </is>
      </c>
      <c r="B1707" t="inlineStr">
        <is>
          <t xml:space="preserve">ICICI BANK LTD.</t>
        </is>
      </c>
      <c r="C1707" t="inlineStr">
        <is>
          <t xml:space="preserve">INE090A01021</t>
        </is>
      </c>
    </row>
    <row r="1708">
      <c r="A1708" t="inlineStr">
        <is>
          <t xml:space="preserve">ICICIGI</t>
        </is>
      </c>
      <c r="B1708" t="inlineStr">
        <is>
          <t xml:space="preserve">ICICI Lombard General Insuranc</t>
        </is>
      </c>
      <c r="C1708" t="inlineStr">
        <is>
          <t xml:space="preserve">INE765G01017</t>
        </is>
      </c>
    </row>
    <row r="1709">
      <c r="A1709" t="inlineStr">
        <is>
          <t xml:space="preserve">ICICIAMC</t>
        </is>
      </c>
      <c r="B1709" t="inlineStr">
        <is>
          <t xml:space="preserve">ICICI Prudential Asset Managem</t>
        </is>
      </c>
      <c r="C1709" t="inlineStr">
        <is>
          <t xml:space="preserve">INE346A01027</t>
        </is>
      </c>
    </row>
    <row r="1710">
      <c r="A1710" t="inlineStr">
        <is>
          <t xml:space="preserve">ICICIPRULI</t>
        </is>
      </c>
      <c r="B1710" t="inlineStr">
        <is>
          <t xml:space="preserve">ICICI Prudential Life Insuranc</t>
        </is>
      </c>
      <c r="C1710" t="inlineStr">
        <is>
          <t xml:space="preserve">INE726G01019</t>
        </is>
      </c>
    </row>
    <row r="1711">
      <c r="A1711" t="inlineStr">
        <is>
          <t xml:space="preserve">ICL021225</t>
        </is>
      </c>
      <c r="B1711" t="inlineStr">
        <is>
          <t xml:space="preserve">ICLFL-02-10-31-NCD</t>
        </is>
      </c>
      <c r="C1711" t="inlineStr">
        <is>
          <t xml:space="preserve">INE01CYA7138</t>
        </is>
      </c>
    </row>
    <row r="1712">
      <c r="A1712" t="inlineStr">
        <is>
          <t xml:space="preserve">10ICLFL27</t>
        </is>
      </c>
      <c r="B1712" t="inlineStr">
        <is>
          <t xml:space="preserve">ICLFL-10%-23-03-27-NCD</t>
        </is>
      </c>
      <c r="C1712" t="inlineStr">
        <is>
          <t xml:space="preserve">INE01CYA7245</t>
        </is>
      </c>
    </row>
    <row r="1713">
      <c r="A1713" t="inlineStr">
        <is>
          <t xml:space="preserve">10ICLFL027</t>
        </is>
      </c>
      <c r="B1713" t="inlineStr">
        <is>
          <t xml:space="preserve">ICLFL-10%-28-05-27-NCD</t>
        </is>
      </c>
      <c r="C1713" t="inlineStr">
        <is>
          <t xml:space="preserve">INE01CYA7369</t>
        </is>
      </c>
    </row>
    <row r="1714">
      <c r="A1714" t="inlineStr">
        <is>
          <t xml:space="preserve">115ICLFL31</t>
        </is>
      </c>
      <c r="B1714" t="inlineStr">
        <is>
          <t xml:space="preserve">ICLFL-11.50%-28-04-31-NCD</t>
        </is>
      </c>
      <c r="C1714" t="inlineStr">
        <is>
          <t xml:space="preserve">INE01CYA7385</t>
        </is>
      </c>
    </row>
    <row r="1715">
      <c r="A1715" t="inlineStr">
        <is>
          <t xml:space="preserve">ICL230226</t>
        </is>
      </c>
      <c r="B1715" t="inlineStr">
        <is>
          <t xml:space="preserve">ICLFL-23-02-32-NCD</t>
        </is>
      </c>
      <c r="C1715" t="inlineStr">
        <is>
          <t xml:space="preserve">INE01CYA7237</t>
        </is>
      </c>
    </row>
    <row r="1716">
      <c r="A1716" t="inlineStr">
        <is>
          <t xml:space="preserve">ICLFL23226</t>
        </is>
      </c>
      <c r="B1716" t="inlineStr">
        <is>
          <t xml:space="preserve">ICLFL-ZC-23-03-27-NCD</t>
        </is>
      </c>
      <c r="C1716" t="inlineStr">
        <is>
          <t xml:space="preserve">INE01CYA7286</t>
        </is>
      </c>
    </row>
    <row r="1717">
      <c r="A1717" t="inlineStr">
        <is>
          <t xml:space="preserve">ICODEX</t>
        </is>
      </c>
      <c r="B1717" t="inlineStr">
        <is>
          <t xml:space="preserve">ICODEX PUBLISHING SOLUTIONS LI</t>
        </is>
      </c>
      <c r="C1717" t="inlineStr">
        <is>
          <t xml:space="preserve">INE111601014</t>
        </is>
      </c>
    </row>
    <row r="1718">
      <c r="A1718" t="inlineStr">
        <is>
          <t xml:space="preserve">ICONIKSPEV</t>
        </is>
      </c>
      <c r="B1718" t="inlineStr">
        <is>
          <t xml:space="preserve">ICONIK SPORTS AND EVENTS LIMIT</t>
        </is>
      </c>
      <c r="C1718" t="inlineStr">
        <is>
          <t xml:space="preserve">INE088P01015</t>
        </is>
      </c>
    </row>
    <row r="1719">
      <c r="A1719" t="inlineStr">
        <is>
          <t xml:space="preserve">ICRA</t>
        </is>
      </c>
      <c r="B1719" t="inlineStr">
        <is>
          <t xml:space="preserve">ICRA LTD.</t>
        </is>
      </c>
      <c r="C1719" t="inlineStr">
        <is>
          <t xml:space="preserve">INE725G01011</t>
        </is>
      </c>
    </row>
    <row r="1720">
      <c r="A1720" t="inlineStr">
        <is>
          <t xml:space="preserve">IDBI</t>
        </is>
      </c>
      <c r="B1720" t="inlineStr">
        <is>
          <t xml:space="preserve">IDBI BANK LTD.</t>
        </is>
      </c>
      <c r="C1720" t="inlineStr">
        <is>
          <t xml:space="preserve">INE008A01015</t>
        </is>
      </c>
    </row>
    <row r="1721">
      <c r="A1721" t="inlineStr">
        <is>
          <t xml:space="preserve">IDEAFORGE</t>
        </is>
      </c>
      <c r="B1721" t="inlineStr">
        <is>
          <t xml:space="preserve">IDEAFORGE TECHNOLOGY LIMITED</t>
        </is>
      </c>
      <c r="C1721" t="inlineStr">
        <is>
          <t xml:space="preserve">INE349Y01013</t>
        </is>
      </c>
    </row>
    <row r="1722">
      <c r="A1722" t="inlineStr">
        <is>
          <t xml:space="preserve">IDENTIXWEB</t>
        </is>
      </c>
      <c r="B1722" t="inlineStr">
        <is>
          <t xml:space="preserve">Identixweb Limited</t>
        </is>
      </c>
      <c r="C1722" t="inlineStr">
        <is>
          <t xml:space="preserve">INE0PA401012</t>
        </is>
      </c>
    </row>
    <row r="1723">
      <c r="A1723" t="inlineStr">
        <is>
          <t xml:space="preserve">IDFCFIRSTB</t>
        </is>
      </c>
      <c r="B1723" t="inlineStr">
        <is>
          <t xml:space="preserve">IDFC FIRST BANK LIMITED</t>
        </is>
      </c>
      <c r="C1723" t="inlineStr">
        <is>
          <t xml:space="preserve">INE092T01019</t>
        </is>
      </c>
    </row>
    <row r="1724">
      <c r="A1724" t="inlineStr">
        <is>
          <t xml:space="preserve">IECEDU</t>
        </is>
      </c>
      <c r="B1724" t="inlineStr">
        <is>
          <t xml:space="preserve">IEC EDUCATION LTD.</t>
        </is>
      </c>
      <c r="C1724" t="inlineStr">
        <is>
          <t xml:space="preserve">INE172B01017</t>
        </is>
      </c>
    </row>
    <row r="1725">
      <c r="A1725" t="inlineStr">
        <is>
          <t xml:space="preserve">INDXTRA</t>
        </is>
      </c>
      <c r="B1725" t="inlineStr">
        <is>
          <t xml:space="preserve">IEL LIMITED</t>
        </is>
      </c>
      <c r="C1725" t="inlineStr">
        <is>
          <t xml:space="preserve">INE056E01024</t>
        </is>
      </c>
    </row>
    <row r="1726">
      <c r="A1726" t="inlineStr">
        <is>
          <t xml:space="preserve">IFBAGRO</t>
        </is>
      </c>
      <c r="B1726" t="inlineStr">
        <is>
          <t xml:space="preserve">IFB AGRO INDUSTRIES LTD.</t>
        </is>
      </c>
      <c r="C1726" t="inlineStr">
        <is>
          <t xml:space="preserve">INE076C01018</t>
        </is>
      </c>
    </row>
    <row r="1727">
      <c r="A1727" t="inlineStr">
        <is>
          <t xml:space="preserve">IFBIND</t>
        </is>
      </c>
      <c r="B1727" t="inlineStr">
        <is>
          <t xml:space="preserve">IFB INDUSTRIES LTD.</t>
        </is>
      </c>
      <c r="C1727" t="inlineStr">
        <is>
          <t xml:space="preserve">INE559A01017</t>
        </is>
      </c>
    </row>
    <row r="1728">
      <c r="A1728" t="inlineStr">
        <is>
          <t xml:space="preserve">IFCI</t>
        </is>
      </c>
      <c r="B1728" t="inlineStr">
        <is>
          <t xml:space="preserve">IFCI LTD.</t>
        </is>
      </c>
      <c r="C1728" t="inlineStr">
        <is>
          <t xml:space="preserve">INE039A01010</t>
        </is>
      </c>
    </row>
    <row r="1729">
      <c r="A1729" t="inlineStr">
        <is>
          <t xml:space="preserve">872IFCI27</t>
        </is>
      </c>
      <c r="B1729" t="inlineStr">
        <is>
          <t xml:space="preserve">IFCI-8.72%-V-31-3-27-C-PVT</t>
        </is>
      </c>
      <c r="C1729" t="inlineStr">
        <is>
          <t xml:space="preserve">INE039A09OW8</t>
        </is>
      </c>
    </row>
    <row r="1730">
      <c r="A1730" t="inlineStr">
        <is>
          <t xml:space="preserve">872IFCI27D</t>
        </is>
      </c>
      <c r="B1730" t="inlineStr">
        <is>
          <t xml:space="preserve">IFCI-8.72%V-31-3-27-D-PVT</t>
        </is>
      </c>
      <c r="C1730" t="inlineStr">
        <is>
          <t xml:space="preserve">INE039A09OX6</t>
        </is>
      </c>
    </row>
    <row r="1731">
      <c r="A1731" t="inlineStr">
        <is>
          <t xml:space="preserve">916IFCI27</t>
        </is>
      </c>
      <c r="B1731" t="inlineStr">
        <is>
          <t xml:space="preserve">IFCI-9.16%-IV-15-2-27-C-PVT</t>
        </is>
      </c>
      <c r="C1731" t="inlineStr">
        <is>
          <t xml:space="preserve">INE039A09OG1</t>
        </is>
      </c>
    </row>
    <row r="1732">
      <c r="A1732" t="inlineStr">
        <is>
          <t xml:space="preserve">1075IFC26A</t>
        </is>
      </c>
      <c r="B1732" t="inlineStr">
        <is>
          <t xml:space="preserve">IFCI-D-10.75%-01-08-26-PVT</t>
        </is>
      </c>
      <c r="C1732" t="inlineStr">
        <is>
          <t xml:space="preserve">INE039A09NL3</t>
        </is>
      </c>
    </row>
    <row r="1733">
      <c r="A1733" t="inlineStr">
        <is>
          <t xml:space="preserve">875IFCI26A</t>
        </is>
      </c>
      <c r="B1733" t="inlineStr">
        <is>
          <t xml:space="preserve">IFCI-III-8.75%-12-12-26-C-PVT</t>
        </is>
      </c>
      <c r="C1733" t="inlineStr">
        <is>
          <t xml:space="preserve">INE039A09NZ3</t>
        </is>
      </c>
    </row>
    <row r="1734">
      <c r="A1734" t="inlineStr">
        <is>
          <t xml:space="preserve">1075IFCI26</t>
        </is>
      </c>
      <c r="B1734" t="inlineStr">
        <is>
          <t xml:space="preserve">IFCI-SR-I-10.75%-1-8-26-PVT</t>
        </is>
      </c>
      <c r="C1734" t="inlineStr">
        <is>
          <t xml:space="preserve">INE039A09NM1</t>
        </is>
      </c>
    </row>
    <row r="1735">
      <c r="A1735" t="inlineStr">
        <is>
          <t xml:space="preserve">IFGLEXPOR</t>
        </is>
      </c>
      <c r="B1735" t="inlineStr">
        <is>
          <t xml:space="preserve">IFGL Refractories Limited</t>
        </is>
      </c>
      <c r="C1735" t="inlineStr">
        <is>
          <t xml:space="preserve">INE133Y01011</t>
        </is>
      </c>
    </row>
    <row r="1736">
      <c r="A1736" t="inlineStr">
        <is>
          <t xml:space="preserve">IFL</t>
        </is>
      </c>
      <c r="B1736" t="inlineStr">
        <is>
          <t xml:space="preserve">IFL ENTERPRISES LIMITED</t>
        </is>
      </c>
      <c r="C1736" t="inlineStr">
        <is>
          <t xml:space="preserve">INE714U01024</t>
        </is>
      </c>
    </row>
    <row r="1737">
      <c r="A1737" t="inlineStr">
        <is>
          <t xml:space="preserve">10IIFL29</t>
        </is>
      </c>
      <c r="B1737" t="inlineStr">
        <is>
          <t xml:space="preserve">IFL-10%-7-2-29-NCD</t>
        </is>
      </c>
      <c r="C1737" t="inlineStr">
        <is>
          <t xml:space="preserve">INE866I08279</t>
        </is>
      </c>
    </row>
    <row r="1738">
      <c r="A1738" t="inlineStr">
        <is>
          <t xml:space="preserve">865IFL28</t>
        </is>
      </c>
      <c r="B1738" t="inlineStr">
        <is>
          <t xml:space="preserve">IFL-8.65%-18-6-28-NCD</t>
        </is>
      </c>
      <c r="C1738" t="inlineStr">
        <is>
          <t xml:space="preserve">INE530B07385</t>
        </is>
      </c>
    </row>
    <row r="1739">
      <c r="A1739" t="inlineStr">
        <is>
          <t xml:space="preserve">96IIFL28A</t>
        </is>
      </c>
      <c r="B1739" t="inlineStr">
        <is>
          <t xml:space="preserve">IFL-9.6%-24-6-28-NCD</t>
        </is>
      </c>
      <c r="C1739" t="inlineStr">
        <is>
          <t xml:space="preserve">INE530B08102</t>
        </is>
      </c>
    </row>
    <row r="1740">
      <c r="A1740" t="inlineStr">
        <is>
          <t xml:space="preserve">IGARASHI</t>
        </is>
      </c>
      <c r="B1740" t="inlineStr">
        <is>
          <t xml:space="preserve">IGARASHI MOTORS INDIA LTD.</t>
        </is>
      </c>
      <c r="C1740" t="inlineStr">
        <is>
          <t xml:space="preserve">INE188B01013</t>
        </is>
      </c>
    </row>
    <row r="1741">
      <c r="A1741" t="inlineStr">
        <is>
          <t xml:space="preserve">IGCIL</t>
        </is>
      </c>
      <c r="B1741" t="inlineStr">
        <is>
          <t xml:space="preserve">IGC Industries Limited</t>
        </is>
      </c>
      <c r="C1741" t="inlineStr">
        <is>
          <t xml:space="preserve">INE099S01016</t>
        </is>
      </c>
    </row>
    <row r="1742">
      <c r="A1742" t="inlineStr">
        <is>
          <t xml:space="preserve">10IIFL28</t>
        </is>
      </c>
      <c r="B1742" t="inlineStr">
        <is>
          <t xml:space="preserve">IHFL-10%-3-11-28-NCD</t>
        </is>
      </c>
      <c r="C1742" t="inlineStr">
        <is>
          <t xml:space="preserve">INE477L08147</t>
        </is>
      </c>
    </row>
    <row r="1743">
      <c r="A1743" t="inlineStr">
        <is>
          <t xml:space="preserve">843IHFL29</t>
        </is>
      </c>
      <c r="B1743" t="inlineStr">
        <is>
          <t xml:space="preserve">IHFL-8.43%-3-1-29-NCD</t>
        </is>
      </c>
      <c r="C1743" t="inlineStr">
        <is>
          <t xml:space="preserve">INE477L07AQ2</t>
        </is>
      </c>
    </row>
    <row r="1744">
      <c r="A1744" t="inlineStr">
        <is>
          <t xml:space="preserve">96IIFL28</t>
        </is>
      </c>
      <c r="B1744" t="inlineStr">
        <is>
          <t xml:space="preserve">IHFL-9.60%-3-11-28-NCD</t>
        </is>
      </c>
      <c r="C1744" t="inlineStr">
        <is>
          <t xml:space="preserve">INE477L08154</t>
        </is>
      </c>
    </row>
    <row r="1745">
      <c r="A1745" t="inlineStr">
        <is>
          <t xml:space="preserve">IIFLCAPS</t>
        </is>
      </c>
      <c r="B1745" t="inlineStr">
        <is>
          <t xml:space="preserve">IIFL CAPITAL SERVICES LIMITED</t>
        </is>
      </c>
      <c r="C1745" t="inlineStr">
        <is>
          <t xml:space="preserve">INE489L01022</t>
        </is>
      </c>
    </row>
    <row r="1746">
      <c r="A1746" t="inlineStr">
        <is>
          <t xml:space="preserve">IIFL</t>
        </is>
      </c>
      <c r="B1746" t="inlineStr">
        <is>
          <t xml:space="preserve">IIFL FINANCE LIMITED</t>
        </is>
      </c>
      <c r="C1746" t="inlineStr">
        <is>
          <t xml:space="preserve">INE530B01024</t>
        </is>
      </c>
    </row>
    <row r="1747">
      <c r="A1747" t="inlineStr">
        <is>
          <t xml:space="preserve">842IIFL26</t>
        </is>
      </c>
      <c r="B1747" t="inlineStr">
        <is>
          <t xml:space="preserve">IIFL-8.42%-14-10-26-NCD</t>
        </is>
      </c>
      <c r="C1747" t="inlineStr">
        <is>
          <t xml:space="preserve">INE530B07161</t>
        </is>
      </c>
    </row>
    <row r="1748">
      <c r="A1748" t="inlineStr">
        <is>
          <t xml:space="preserve">975IIFL28</t>
        </is>
      </c>
      <c r="B1748" t="inlineStr">
        <is>
          <t xml:space="preserve">IIFL-9.75%-21-4-28-NCD</t>
        </is>
      </c>
      <c r="C1748" t="inlineStr">
        <is>
          <t xml:space="preserve">INE530B07476</t>
        </is>
      </c>
    </row>
    <row r="1749">
      <c r="A1749" t="inlineStr">
        <is>
          <t xml:space="preserve">IIRM</t>
        </is>
      </c>
      <c r="B1749" t="inlineStr">
        <is>
          <t xml:space="preserve">IIRM HOLDINGS INDIA LIMITED</t>
        </is>
      </c>
      <c r="C1749" t="inlineStr">
        <is>
          <t xml:space="preserve">INE670C01026</t>
        </is>
      </c>
    </row>
    <row r="1750">
      <c r="A1750" t="inlineStr">
        <is>
          <t xml:space="preserve">IITLPROJ</t>
        </is>
      </c>
      <c r="B1750" t="inlineStr">
        <is>
          <t xml:space="preserve">IITL PROJECTS LIMITED</t>
        </is>
      </c>
      <c r="C1750" t="inlineStr">
        <is>
          <t xml:space="preserve">INE786E01018</t>
        </is>
      </c>
    </row>
    <row r="1751">
      <c r="A1751" t="inlineStr">
        <is>
          <t xml:space="preserve">IKIO</t>
        </is>
      </c>
      <c r="B1751" t="inlineStr">
        <is>
          <t xml:space="preserve">IKIO Technologies Limited</t>
        </is>
      </c>
      <c r="C1751" t="inlineStr">
        <is>
          <t xml:space="preserve">INE0LOJ01019</t>
        </is>
      </c>
    </row>
    <row r="1752">
      <c r="A1752" t="inlineStr">
        <is>
          <t xml:space="preserve">IKOMA</t>
        </is>
      </c>
      <c r="B1752" t="inlineStr">
        <is>
          <t xml:space="preserve">IKOMA TECHNOLOGIES LIMITED</t>
        </is>
      </c>
      <c r="C1752" t="inlineStr">
        <is>
          <t xml:space="preserve">INE164D01010</t>
        </is>
      </c>
    </row>
    <row r="1753">
      <c r="A1753" t="inlineStr">
        <is>
          <t xml:space="preserve">IL&amp;FSENGG</t>
        </is>
      </c>
      <c r="B1753" t="inlineStr">
        <is>
          <t xml:space="preserve">IL&amp;FS ENGINEERING AND CONSTRUC</t>
        </is>
      </c>
      <c r="C1753" t="inlineStr">
        <is>
          <t xml:space="preserve">INE369I01014</t>
        </is>
      </c>
    </row>
    <row r="1754">
      <c r="A1754" t="inlineStr">
        <is>
          <t xml:space="preserve">IVC</t>
        </is>
      </c>
      <c r="B1754" t="inlineStr">
        <is>
          <t xml:space="preserve">IL&amp;FS INVESTMENT MANAGERS LTD.</t>
        </is>
      </c>
      <c r="C1754" t="inlineStr">
        <is>
          <t xml:space="preserve">INE050B01023</t>
        </is>
      </c>
    </row>
    <row r="1755">
      <c r="A1755" t="inlineStr">
        <is>
          <t xml:space="preserve">IL&amp;FSTRANS</t>
        </is>
      </c>
      <c r="B1755" t="inlineStr">
        <is>
          <t xml:space="preserve">IL&amp;FS TRANSPORTATION NETWORKS</t>
        </is>
      </c>
      <c r="C1755" t="inlineStr">
        <is>
          <t xml:space="preserve">INE975G01012</t>
        </is>
      </c>
    </row>
    <row r="1756">
      <c r="A1756" t="inlineStr">
        <is>
          <t xml:space="preserve">IMAGICAA</t>
        </is>
      </c>
      <c r="B1756" t="inlineStr">
        <is>
          <t xml:space="preserve">IMAGICAAWORLD ENTERTAINMENT LI</t>
        </is>
      </c>
      <c r="C1756" t="inlineStr">
        <is>
          <t xml:space="preserve">INE172N01012</t>
        </is>
      </c>
    </row>
    <row r="1757">
      <c r="A1757" t="inlineStr">
        <is>
          <t xml:space="preserve">IMEC</t>
        </is>
      </c>
      <c r="B1757" t="inlineStr">
        <is>
          <t xml:space="preserve">IMEC SERVICES LIMITED</t>
        </is>
      </c>
      <c r="C1757" t="inlineStr">
        <is>
          <t xml:space="preserve">INE611C01020</t>
        </is>
      </c>
    </row>
    <row r="1758">
      <c r="A1758" t="inlineStr">
        <is>
          <t xml:space="preserve">10IML28</t>
        </is>
      </c>
      <c r="B1758" t="inlineStr">
        <is>
          <t xml:space="preserve">IML-10%-17-04-28-PVT</t>
        </is>
      </c>
      <c r="C1758" t="inlineStr">
        <is>
          <t xml:space="preserve">INE0BUS07CK0</t>
        </is>
      </c>
    </row>
    <row r="1759">
      <c r="A1759" t="inlineStr">
        <is>
          <t xml:space="preserve">1025IML28</t>
        </is>
      </c>
      <c r="B1759" t="inlineStr">
        <is>
          <t xml:space="preserve">IML-10.25%-30-10-28-NCD</t>
        </is>
      </c>
      <c r="C1759" t="inlineStr">
        <is>
          <t xml:space="preserve">INE0BUS07CD5</t>
        </is>
      </c>
    </row>
    <row r="1760">
      <c r="A1760" t="inlineStr">
        <is>
          <t xml:space="preserve">1050IML29</t>
        </is>
      </c>
      <c r="B1760" t="inlineStr">
        <is>
          <t xml:space="preserve">IML-10.50%-17-4-29-PVT</t>
        </is>
      </c>
      <c r="C1760" t="inlineStr">
        <is>
          <t xml:space="preserve">INE0BUS07CL8</t>
        </is>
      </c>
    </row>
    <row r="1761">
      <c r="A1761" t="inlineStr">
        <is>
          <t xml:space="preserve">11IML026</t>
        </is>
      </c>
      <c r="B1761" t="inlineStr">
        <is>
          <t xml:space="preserve">IML-11%-18-8-26-PVT</t>
        </is>
      </c>
      <c r="C1761" t="inlineStr">
        <is>
          <t xml:space="preserve">INE0BUS07BN6</t>
        </is>
      </c>
    </row>
    <row r="1762">
      <c r="A1762" t="inlineStr">
        <is>
          <t xml:space="preserve">1125IML26B</t>
        </is>
      </c>
      <c r="B1762" t="inlineStr">
        <is>
          <t xml:space="preserve">IML-11.25%-13-11-26-PVT</t>
        </is>
      </c>
      <c r="C1762" t="inlineStr">
        <is>
          <t xml:space="preserve">INE0BUS07BR7</t>
        </is>
      </c>
    </row>
    <row r="1763">
      <c r="A1763" t="inlineStr">
        <is>
          <t xml:space="preserve">1125IML30</t>
        </is>
      </c>
      <c r="B1763" t="inlineStr">
        <is>
          <t xml:space="preserve">IML-11.25%-30-10-30-NCD</t>
        </is>
      </c>
      <c r="C1763" t="inlineStr">
        <is>
          <t xml:space="preserve">INE0BUS07CC7</t>
        </is>
      </c>
    </row>
    <row r="1764">
      <c r="A1764" t="inlineStr">
        <is>
          <t xml:space="preserve">1150IML29</t>
        </is>
      </c>
      <c r="B1764" t="inlineStr">
        <is>
          <t xml:space="preserve">IML-11.50%-15-2-29-NCD</t>
        </is>
      </c>
      <c r="C1764" t="inlineStr">
        <is>
          <t xml:space="preserve">INE0BUS07AT5</t>
        </is>
      </c>
    </row>
    <row r="1765">
      <c r="A1765" t="inlineStr">
        <is>
          <t xml:space="preserve">1175IML31</t>
        </is>
      </c>
      <c r="B1765" t="inlineStr">
        <is>
          <t xml:space="preserve">IML-11.75%-23-1-31-PVT</t>
        </is>
      </c>
      <c r="C1765" t="inlineStr">
        <is>
          <t xml:space="preserve">INE0BUS07CI4</t>
        </is>
      </c>
    </row>
    <row r="1766">
      <c r="A1766" t="inlineStr">
        <is>
          <t xml:space="preserve">12IML26</t>
        </is>
      </c>
      <c r="B1766" t="inlineStr">
        <is>
          <t xml:space="preserve">IML-12%-24-11-26-NCD</t>
        </is>
      </c>
      <c r="C1766" t="inlineStr">
        <is>
          <t xml:space="preserve">INE0BUS08013</t>
        </is>
      </c>
    </row>
    <row r="1767">
      <c r="A1767" t="inlineStr">
        <is>
          <t xml:space="preserve">12IML29</t>
        </is>
      </c>
      <c r="B1767" t="inlineStr">
        <is>
          <t xml:space="preserve">IML-12%-7-11-29-NCD</t>
        </is>
      </c>
      <c r="C1767" t="inlineStr">
        <is>
          <t xml:space="preserve">INE0BUS07BE5</t>
        </is>
      </c>
    </row>
    <row r="1768">
      <c r="A1768" t="inlineStr">
        <is>
          <t xml:space="preserve">1225IML32</t>
        </is>
      </c>
      <c r="B1768" t="inlineStr">
        <is>
          <t xml:space="preserve">IML-12.25%-9-6-32-PVT</t>
        </is>
      </c>
      <c r="C1768" t="inlineStr">
        <is>
          <t xml:space="preserve">INE0BUS08047</t>
        </is>
      </c>
    </row>
    <row r="1769">
      <c r="A1769" t="inlineStr">
        <is>
          <t xml:space="preserve">IML29</t>
        </is>
      </c>
      <c r="B1769" t="inlineStr">
        <is>
          <t xml:space="preserve">IML-23-6-29-NCD</t>
        </is>
      </c>
      <c r="C1769" t="inlineStr">
        <is>
          <t xml:space="preserve">INE0BUS07965</t>
        </is>
      </c>
    </row>
    <row r="1770">
      <c r="A1770" t="inlineStr">
        <is>
          <t xml:space="preserve">IML28</t>
        </is>
      </c>
      <c r="B1770" t="inlineStr">
        <is>
          <t xml:space="preserve">IML-23-7-28-NCD</t>
        </is>
      </c>
      <c r="C1770" t="inlineStr">
        <is>
          <t xml:space="preserve">INE0BUS07957</t>
        </is>
      </c>
    </row>
    <row r="1771">
      <c r="A1771" t="inlineStr">
        <is>
          <t xml:space="preserve">IML301025D</t>
        </is>
      </c>
      <c r="B1771" t="inlineStr">
        <is>
          <t xml:space="preserve">IML-30-10-31-NCD</t>
        </is>
      </c>
      <c r="C1771" t="inlineStr">
        <is>
          <t xml:space="preserve">INE0BUS07CA1</t>
        </is>
      </c>
    </row>
    <row r="1772">
      <c r="A1772" t="inlineStr">
        <is>
          <t xml:space="preserve">IML301025</t>
        </is>
      </c>
      <c r="B1772" t="inlineStr">
        <is>
          <t xml:space="preserve">IML-31-10-26-NCD</t>
        </is>
      </c>
      <c r="C1772" t="inlineStr">
        <is>
          <t xml:space="preserve">INE0BUS07CF0</t>
        </is>
      </c>
    </row>
    <row r="1773">
      <c r="A1773" t="inlineStr">
        <is>
          <t xml:space="preserve">INANI</t>
        </is>
      </c>
      <c r="B1773" t="inlineStr">
        <is>
          <t xml:space="preserve">INANI MARBLES &amp; INDUSTRIES LTD</t>
        </is>
      </c>
      <c r="C1773" t="inlineStr">
        <is>
          <t xml:space="preserve">INE635D01027</t>
        </is>
      </c>
    </row>
    <row r="1774">
      <c r="A1774" t="inlineStr">
        <is>
          <t xml:space="preserve">INANISEC</t>
        </is>
      </c>
      <c r="B1774" t="inlineStr">
        <is>
          <t xml:space="preserve">INANI SECURITIES LTD.</t>
        </is>
      </c>
      <c r="C1774" t="inlineStr">
        <is>
          <t xml:space="preserve">INE224C01014</t>
        </is>
      </c>
    </row>
    <row r="1775">
      <c r="A1775" t="inlineStr">
        <is>
          <t xml:space="preserve">INCAP</t>
        </is>
      </c>
      <c r="B1775" t="inlineStr">
        <is>
          <t xml:space="preserve">INCAP LTD.</t>
        </is>
      </c>
      <c r="C1775" t="inlineStr">
        <is>
          <t xml:space="preserve">INE437C01012</t>
        </is>
      </c>
    </row>
    <row r="1776">
      <c r="A1776" t="inlineStr">
        <is>
          <t xml:space="preserve">INCON</t>
        </is>
      </c>
      <c r="B1776" t="inlineStr">
        <is>
          <t xml:space="preserve">INCON ENGINEERS LTD.</t>
        </is>
      </c>
      <c r="C1776" t="inlineStr">
        <is>
          <t xml:space="preserve">INE507D01010</t>
        </is>
      </c>
    </row>
    <row r="1777">
      <c r="A1777" t="inlineStr">
        <is>
          <t xml:space="preserve">INDBNK</t>
        </is>
      </c>
      <c r="B1777" t="inlineStr">
        <is>
          <t xml:space="preserve">IND BANK HOUSING LTD.</t>
        </is>
      </c>
      <c r="C1777" t="inlineStr">
        <is>
          <t xml:space="preserve">INE969D01012</t>
        </is>
      </c>
    </row>
    <row r="1778">
      <c r="A1778" t="inlineStr">
        <is>
          <t xml:space="preserve">INDRENEW</t>
        </is>
      </c>
      <c r="B1778" t="inlineStr">
        <is>
          <t xml:space="preserve">IND Renewable Energy Ltd</t>
        </is>
      </c>
      <c r="C1778" t="inlineStr">
        <is>
          <t xml:space="preserve">INE138O01029</t>
        </is>
      </c>
    </row>
    <row r="1779">
      <c r="A1779" t="inlineStr">
        <is>
          <t xml:space="preserve">INDSWFTLAB</t>
        </is>
      </c>
      <c r="B1779" t="inlineStr">
        <is>
          <t xml:space="preserve">IND-SWIFT LABORATORIES LTD.</t>
        </is>
      </c>
      <c r="C1779" t="inlineStr">
        <is>
          <t xml:space="preserve">INE915B01019</t>
        </is>
      </c>
    </row>
    <row r="1780">
      <c r="A1780" t="inlineStr">
        <is>
          <t xml:space="preserve">INDAG</t>
        </is>
      </c>
      <c r="B1780" t="inlineStr">
        <is>
          <t xml:space="preserve">INDAG RUBBER LTD.</t>
        </is>
      </c>
      <c r="C1780" t="inlineStr">
        <is>
          <t xml:space="preserve">INE802D01023</t>
        </is>
      </c>
    </row>
    <row r="1781">
      <c r="A1781" t="inlineStr">
        <is>
          <t xml:space="preserve">INDBANK</t>
        </is>
      </c>
      <c r="B1781" t="inlineStr">
        <is>
          <t xml:space="preserve">INDBANK MERCHANT BANKING SERVI</t>
        </is>
      </c>
      <c r="C1781" t="inlineStr">
        <is>
          <t xml:space="preserve">INE841B01017</t>
        </is>
      </c>
    </row>
    <row r="1782">
      <c r="A1782" t="inlineStr">
        <is>
          <t xml:space="preserve">BAJAJINDEF</t>
        </is>
      </c>
      <c r="B1782" t="inlineStr">
        <is>
          <t xml:space="preserve">Indef Manufacturing Limited</t>
        </is>
      </c>
      <c r="C1782" t="inlineStr">
        <is>
          <t xml:space="preserve">INE0O9T01021</t>
        </is>
      </c>
    </row>
    <row r="1783">
      <c r="A1783" t="inlineStr">
        <is>
          <t xml:space="preserve">INDGN</t>
        </is>
      </c>
      <c r="B1783" t="inlineStr">
        <is>
          <t xml:space="preserve">Indegene Limited</t>
        </is>
      </c>
      <c r="C1783" t="inlineStr">
        <is>
          <t xml:space="preserve">INE065X01017</t>
        </is>
      </c>
    </row>
    <row r="1784">
      <c r="A1784" t="inlineStr">
        <is>
          <t xml:space="preserve">INDERGR</t>
        </is>
      </c>
      <c r="B1784" t="inlineStr">
        <is>
          <t xml:space="preserve">INDERGIRI FINANCE LTD.</t>
        </is>
      </c>
      <c r="C1784" t="inlineStr">
        <is>
          <t xml:space="preserve">INE628F01019</t>
        </is>
      </c>
    </row>
    <row r="1785">
      <c r="A1785" t="inlineStr">
        <is>
          <t xml:space="preserve">INDCEMCAP</t>
        </is>
      </c>
      <c r="B1785" t="inlineStr">
        <is>
          <t xml:space="preserve">INDIA CEMENTS CAPITAL LTD.</t>
        </is>
      </c>
      <c r="C1785" t="inlineStr">
        <is>
          <t xml:space="preserve">INE429D01017</t>
        </is>
      </c>
    </row>
    <row r="1786">
      <c r="A1786" t="inlineStr">
        <is>
          <t xml:space="preserve">INDIACEM</t>
        </is>
      </c>
      <c r="B1786" t="inlineStr">
        <is>
          <t xml:space="preserve">INDIA CEMENTS LTD.</t>
        </is>
      </c>
      <c r="C1786" t="inlineStr">
        <is>
          <t xml:space="preserve">INE383A01012</t>
        </is>
      </c>
    </row>
    <row r="1787">
      <c r="A1787" t="inlineStr">
        <is>
          <t xml:space="preserve">IFINSEC</t>
        </is>
      </c>
      <c r="B1787" t="inlineStr">
        <is>
          <t xml:space="preserve">INDIA FINSEC LTD.</t>
        </is>
      </c>
      <c r="C1787" t="inlineStr">
        <is>
          <t xml:space="preserve">INE474O01010</t>
        </is>
      </c>
    </row>
    <row r="1788">
      <c r="A1788" t="inlineStr">
        <is>
          <t xml:space="preserve">INDGELA</t>
        </is>
      </c>
      <c r="B1788" t="inlineStr">
        <is>
          <t xml:space="preserve">INDIA GELATINE &amp; CHEMICALS LTD</t>
        </is>
      </c>
      <c r="C1788" t="inlineStr">
        <is>
          <t xml:space="preserve">INE342D01012</t>
        </is>
      </c>
    </row>
    <row r="1789">
      <c r="A1789" t="inlineStr">
        <is>
          <t xml:space="preserve">INDIAGLYCO</t>
        </is>
      </c>
      <c r="B1789" t="inlineStr">
        <is>
          <t xml:space="preserve">INDIA GLYCOLS LTD.</t>
        </is>
      </c>
      <c r="C1789" t="inlineStr">
        <is>
          <t xml:space="preserve">INE560A01023</t>
        </is>
      </c>
    </row>
    <row r="1790">
      <c r="A1790" t="inlineStr">
        <is>
          <t xml:space="preserve">INDIAHOME</t>
        </is>
      </c>
      <c r="B1790" t="inlineStr">
        <is>
          <t xml:space="preserve">INDIA HOME LOAN LTD.</t>
        </is>
      </c>
      <c r="C1790" t="inlineStr">
        <is>
          <t xml:space="preserve">INE274E01015</t>
        </is>
      </c>
    </row>
    <row r="1791">
      <c r="A1791" t="inlineStr">
        <is>
          <t xml:space="preserve">INDIAHOMES</t>
        </is>
      </c>
      <c r="B1791" t="inlineStr">
        <is>
          <t xml:space="preserve">India Homes Limited</t>
        </is>
      </c>
      <c r="C1791" t="inlineStr">
        <is>
          <t xml:space="preserve">INE072A01029</t>
        </is>
      </c>
    </row>
    <row r="1792">
      <c r="A1792" t="inlineStr">
        <is>
          <t xml:space="preserve">INDLEASE</t>
        </is>
      </c>
      <c r="B1792" t="inlineStr">
        <is>
          <t xml:space="preserve">INDIA LEASE DEVELOPMENT LTD.</t>
        </is>
      </c>
      <c r="C1792" t="inlineStr">
        <is>
          <t xml:space="preserve">INE333C01013</t>
        </is>
      </c>
    </row>
    <row r="1793">
      <c r="A1793" t="inlineStr">
        <is>
          <t xml:space="preserve">IMPAL</t>
        </is>
      </c>
      <c r="B1793" t="inlineStr">
        <is>
          <t xml:space="preserve">INDIA MOTOR PARTS &amp; ACCESSORIE</t>
        </is>
      </c>
      <c r="C1793" t="inlineStr">
        <is>
          <t xml:space="preserve">INE547E01014</t>
        </is>
      </c>
    </row>
    <row r="1794">
      <c r="A1794" t="inlineStr">
        <is>
          <t xml:space="preserve">INDNIPPON</t>
        </is>
      </c>
      <c r="B1794" t="inlineStr">
        <is>
          <t xml:space="preserve">INDIA NIPPON ELECTRICALS LTD.</t>
        </is>
      </c>
      <c r="C1794" t="inlineStr">
        <is>
          <t xml:space="preserve">INE092B01025</t>
        </is>
      </c>
    </row>
    <row r="1795">
      <c r="A1795" t="inlineStr">
        <is>
          <t xml:space="preserve">IPL</t>
        </is>
      </c>
      <c r="B1795" t="inlineStr">
        <is>
          <t xml:space="preserve">India Pesticides Limited</t>
        </is>
      </c>
      <c r="C1795" t="inlineStr">
        <is>
          <t xml:space="preserve">INE0D6701023</t>
        </is>
      </c>
    </row>
    <row r="1796">
      <c r="A1796" t="inlineStr">
        <is>
          <t xml:space="preserve">INDIASHLTR</t>
        </is>
      </c>
      <c r="B1796" t="inlineStr">
        <is>
          <t xml:space="preserve">India Shelter Finance Corporat</t>
        </is>
      </c>
      <c r="C1796" t="inlineStr">
        <is>
          <t xml:space="preserve">INE922K01024</t>
        </is>
      </c>
    </row>
    <row r="1797">
      <c r="A1797" t="inlineStr">
        <is>
          <t xml:space="preserve">ITDC</t>
        </is>
      </c>
      <c r="B1797" t="inlineStr">
        <is>
          <t xml:space="preserve">INDIA TOURISM DEVELOPMENT CORP</t>
        </is>
      </c>
      <c r="C1797" t="inlineStr">
        <is>
          <t xml:space="preserve">INE353K01014</t>
        </is>
      </c>
    </row>
    <row r="1798">
      <c r="A1798" t="inlineStr">
        <is>
          <t xml:space="preserve">IBULLSLTD</t>
        </is>
      </c>
      <c r="B1798" t="inlineStr">
        <is>
          <t xml:space="preserve">Indiabulls Limited</t>
        </is>
      </c>
      <c r="C1798" t="inlineStr">
        <is>
          <t xml:space="preserve">INE126M01010</t>
        </is>
      </c>
    </row>
    <row r="1799">
      <c r="A1799" t="inlineStr">
        <is>
          <t xml:space="preserve">INDIAMART</t>
        </is>
      </c>
      <c r="B1799" t="inlineStr">
        <is>
          <t xml:space="preserve">IndiaMART InterMESH Limited</t>
        </is>
      </c>
      <c r="C1799" t="inlineStr">
        <is>
          <t xml:space="preserve">INE933S01016</t>
        </is>
      </c>
    </row>
    <row r="1800">
      <c r="A1800" t="inlineStr">
        <is>
          <t xml:space="preserve">INDIANACRY</t>
        </is>
      </c>
      <c r="B1800" t="inlineStr">
        <is>
          <t xml:space="preserve">INDIAN ACRYLICS LTD.</t>
        </is>
      </c>
      <c r="C1800" t="inlineStr">
        <is>
          <t xml:space="preserve">INE862B01013</t>
        </is>
      </c>
    </row>
    <row r="1801">
      <c r="A1801" t="inlineStr">
        <is>
          <t xml:space="preserve">INDIANB</t>
        </is>
      </c>
      <c r="B1801" t="inlineStr">
        <is>
          <t xml:space="preserve">INDIAN BANK</t>
        </is>
      </c>
      <c r="C1801" t="inlineStr">
        <is>
          <t xml:space="preserve">INE562A01011</t>
        </is>
      </c>
    </row>
    <row r="1802">
      <c r="A1802" t="inlineStr">
        <is>
          <t xml:space="preserve">INDIANCARD</t>
        </is>
      </c>
      <c r="B1802" t="inlineStr">
        <is>
          <t xml:space="preserve">INDIAN CARD CLOTHING CO.LTD.</t>
        </is>
      </c>
      <c r="C1802" t="inlineStr">
        <is>
          <t xml:space="preserve">INE061A01014</t>
        </is>
      </c>
    </row>
    <row r="1803">
      <c r="A1803" t="inlineStr">
        <is>
          <t xml:space="preserve">IEX</t>
        </is>
      </c>
      <c r="B1803" t="inlineStr">
        <is>
          <t xml:space="preserve">Indian Energy Exchange Limited</t>
        </is>
      </c>
      <c r="C1803" t="inlineStr">
        <is>
          <t xml:space="preserve">INE022Q01020</t>
        </is>
      </c>
    </row>
    <row r="1804">
      <c r="A1804" t="inlineStr">
        <is>
          <t xml:space="preserve">INDIANHUME</t>
        </is>
      </c>
      <c r="B1804" t="inlineStr">
        <is>
          <t xml:space="preserve">INDIAN HUME PIPE CO.LTD.</t>
        </is>
      </c>
      <c r="C1804" t="inlineStr">
        <is>
          <t xml:space="preserve">INE323C01030</t>
        </is>
      </c>
    </row>
    <row r="1805">
      <c r="A1805" t="inlineStr">
        <is>
          <t xml:space="preserve">INDINFO</t>
        </is>
      </c>
      <c r="B1805" t="inlineStr">
        <is>
          <t xml:space="preserve">INDIAN INFOTECH &amp; SOFTWARE LTD</t>
        </is>
      </c>
      <c r="C1805" t="inlineStr">
        <is>
          <t xml:space="preserve">INE300B01022</t>
        </is>
      </c>
    </row>
    <row r="1806">
      <c r="A1806" t="inlineStr">
        <is>
          <t xml:space="preserve">INLCM</t>
        </is>
      </c>
      <c r="B1806" t="inlineStr">
        <is>
          <t xml:space="preserve">INDIAN LINK CHAIN MANUFACTURES</t>
        </is>
      </c>
      <c r="C1806" t="inlineStr">
        <is>
          <t xml:space="preserve">INE359D01024</t>
        </is>
      </c>
    </row>
    <row r="1807">
      <c r="A1807" t="inlineStr">
        <is>
          <t xml:space="preserve">IMFA</t>
        </is>
      </c>
      <c r="B1807" t="inlineStr">
        <is>
          <t xml:space="preserve">INDIAN METALS &amp; FERRO ALLOYS L</t>
        </is>
      </c>
      <c r="C1807" t="inlineStr">
        <is>
          <t xml:space="preserve">INE919H01018</t>
        </is>
      </c>
    </row>
    <row r="1808">
      <c r="A1808" t="inlineStr">
        <is>
          <t xml:space="preserve">IOC</t>
        </is>
      </c>
      <c r="B1808" t="inlineStr">
        <is>
          <t xml:space="preserve">INDIAN OIL CORPORATION LTD.</t>
        </is>
      </c>
      <c r="C1808" t="inlineStr">
        <is>
          <t xml:space="preserve">INE242A01010</t>
        </is>
      </c>
    </row>
    <row r="1809">
      <c r="A1809" t="inlineStr">
        <is>
          <t xml:space="preserve">IOB</t>
        </is>
      </c>
      <c r="B1809" t="inlineStr">
        <is>
          <t xml:space="preserve">INDIAN OVERSEAS BANK</t>
        </is>
      </c>
      <c r="C1809" t="inlineStr">
        <is>
          <t xml:space="preserve">INE565A01014</t>
        </is>
      </c>
    </row>
    <row r="1810">
      <c r="A1810" t="inlineStr">
        <is>
          <t xml:space="preserve">IRCTC</t>
        </is>
      </c>
      <c r="B1810" t="inlineStr">
        <is>
          <t xml:space="preserve">Indian Railway Catering and To</t>
        </is>
      </c>
      <c r="C1810" t="inlineStr">
        <is>
          <t xml:space="preserve">INE335Y01020</t>
        </is>
      </c>
    </row>
    <row r="1811">
      <c r="A1811" t="inlineStr">
        <is>
          <t xml:space="preserve">IRFC</t>
        </is>
      </c>
      <c r="B1811" t="inlineStr">
        <is>
          <t xml:space="preserve">Indian Railway Finance Corpora</t>
        </is>
      </c>
      <c r="C1811" t="inlineStr">
        <is>
          <t xml:space="preserve">INE053F01010</t>
        </is>
      </c>
    </row>
    <row r="1812">
      <c r="A1812" t="inlineStr">
        <is>
          <t xml:space="preserve">IREDA</t>
        </is>
      </c>
      <c r="B1812" t="inlineStr">
        <is>
          <t xml:space="preserve">Indian Renewable Energy Develo</t>
        </is>
      </c>
      <c r="C1812" t="inlineStr">
        <is>
          <t xml:space="preserve">INE202E01016</t>
        </is>
      </c>
    </row>
    <row r="1813">
      <c r="A1813" t="inlineStr">
        <is>
          <t xml:space="preserve">INDSUCR</t>
        </is>
      </c>
      <c r="B1813" t="inlineStr">
        <is>
          <t xml:space="preserve">INDIAN SUCROSE LTD.</t>
        </is>
      </c>
      <c r="C1813" t="inlineStr">
        <is>
          <t xml:space="preserve">INE557C01017</t>
        </is>
      </c>
    </row>
    <row r="1814">
      <c r="A1814" t="inlineStr">
        <is>
          <t xml:space="preserve">INDTERRAIN</t>
        </is>
      </c>
      <c r="B1814" t="inlineStr">
        <is>
          <t xml:space="preserve">INDIAN TERRAIN FASHIONS LTD.</t>
        </is>
      </c>
      <c r="C1814" t="inlineStr">
        <is>
          <t xml:space="preserve">INE611L01021</t>
        </is>
      </c>
    </row>
    <row r="1815">
      <c r="A1815" t="inlineStr">
        <is>
          <t xml:space="preserve">INDTONER</t>
        </is>
      </c>
      <c r="B1815" t="inlineStr">
        <is>
          <t xml:space="preserve">INDIAN TONERS &amp; DEVELOPERS LTD</t>
        </is>
      </c>
      <c r="C1815" t="inlineStr">
        <is>
          <t xml:space="preserve">INE826B01018</t>
        </is>
      </c>
    </row>
    <row r="1816">
      <c r="A1816" t="inlineStr">
        <is>
          <t xml:space="preserve">INDIANVSH</t>
        </is>
      </c>
      <c r="B1816" t="inlineStr">
        <is>
          <t xml:space="preserve">INDIANIVESH LTD.</t>
        </is>
      </c>
      <c r="C1816" t="inlineStr">
        <is>
          <t xml:space="preserve">INE131H01028</t>
        </is>
      </c>
    </row>
    <row r="1817">
      <c r="A1817" t="inlineStr">
        <is>
          <t xml:space="preserve">INDIGOPNTS</t>
        </is>
      </c>
      <c r="B1817" t="inlineStr">
        <is>
          <t xml:space="preserve">Indigo Paints Limited</t>
        </is>
      </c>
      <c r="C1817" t="inlineStr">
        <is>
          <t xml:space="preserve">INE09VQ01012</t>
        </is>
      </c>
    </row>
    <row r="1818">
      <c r="A1818" t="inlineStr">
        <is>
          <t xml:space="preserve">INDIGRID</t>
        </is>
      </c>
      <c r="B1818" t="inlineStr">
        <is>
          <t xml:space="preserve">IndiGrid Infrastructure Trust</t>
        </is>
      </c>
      <c r="C1818" t="inlineStr">
        <is>
          <t xml:space="preserve">INE219X23014</t>
        </is>
      </c>
    </row>
    <row r="1819">
      <c r="A1819" t="inlineStr">
        <is>
          <t xml:space="preserve">INDIQUBE</t>
        </is>
      </c>
      <c r="B1819" t="inlineStr">
        <is>
          <t xml:space="preserve">INDIQUBE SPACES LIMITED</t>
        </is>
      </c>
      <c r="C1819" t="inlineStr">
        <is>
          <t xml:space="preserve">INE06ST01018</t>
        </is>
      </c>
    </row>
    <row r="1820">
      <c r="A1820" t="inlineStr">
        <is>
          <t xml:space="preserve">INDOAMIN</t>
        </is>
      </c>
      <c r="B1820" t="inlineStr">
        <is>
          <t xml:space="preserve">INDO AMINES LTD.</t>
        </is>
      </c>
      <c r="C1820" t="inlineStr">
        <is>
          <t xml:space="preserve">INE760F01028</t>
        </is>
      </c>
    </row>
    <row r="1821">
      <c r="A1821" t="inlineStr">
        <is>
          <t xml:space="preserve">INDOBORAX</t>
        </is>
      </c>
      <c r="B1821" t="inlineStr">
        <is>
          <t xml:space="preserve">INDO BORAX &amp; CHEMICALS LTD.</t>
        </is>
      </c>
      <c r="C1821" t="inlineStr">
        <is>
          <t xml:space="preserve">INE803D01021</t>
        </is>
      </c>
    </row>
    <row r="1822">
      <c r="A1822" t="inlineStr">
        <is>
          <t xml:space="preserve">ICL</t>
        </is>
      </c>
      <c r="B1822" t="inlineStr">
        <is>
          <t xml:space="preserve">Indo Cotspin Limited</t>
        </is>
      </c>
      <c r="C1822" t="inlineStr">
        <is>
          <t xml:space="preserve">INE407P01017</t>
        </is>
      </c>
    </row>
    <row r="1823">
      <c r="A1823" t="inlineStr">
        <is>
          <t xml:space="preserve">ICIL</t>
        </is>
      </c>
      <c r="B1823" t="inlineStr">
        <is>
          <t xml:space="preserve">INDO COUNT INDUSTRIES LTD.</t>
        </is>
      </c>
      <c r="C1823" t="inlineStr">
        <is>
          <t xml:space="preserve">INE483B01026</t>
        </is>
      </c>
    </row>
    <row r="1824">
      <c r="A1824" t="inlineStr">
        <is>
          <t xml:space="preserve">INDOCRED</t>
        </is>
      </c>
      <c r="B1824" t="inlineStr">
        <is>
          <t xml:space="preserve">INDO CREDIT CAPITAL LTD.</t>
        </is>
      </c>
      <c r="C1824" t="inlineStr">
        <is>
          <t xml:space="preserve">INE147D01015</t>
        </is>
      </c>
    </row>
    <row r="1825">
      <c r="A1825" t="inlineStr">
        <is>
          <t xml:space="preserve">INDOEURO</t>
        </is>
      </c>
      <c r="B1825" t="inlineStr">
        <is>
          <t xml:space="preserve">INDO EURO INDCHEM LTD.</t>
        </is>
      </c>
      <c r="C1825" t="inlineStr">
        <is>
          <t xml:space="preserve">INE319N01019</t>
        </is>
      </c>
    </row>
    <row r="1826">
      <c r="A1826" t="inlineStr">
        <is>
          <t xml:space="preserve">INDOFARM</t>
        </is>
      </c>
      <c r="B1826" t="inlineStr">
        <is>
          <t xml:space="preserve">INDO FARM EQUIPMENT LIMITED</t>
        </is>
      </c>
      <c r="C1826" t="inlineStr">
        <is>
          <t xml:space="preserve">INE622H01018</t>
        </is>
      </c>
    </row>
    <row r="1827">
      <c r="A1827" t="inlineStr">
        <is>
          <t xml:space="preserve">INDORAMA</t>
        </is>
      </c>
      <c r="B1827" t="inlineStr">
        <is>
          <t xml:space="preserve">INDO RAMA SYNTHETICS (INDIA) L</t>
        </is>
      </c>
      <c r="C1827" t="inlineStr">
        <is>
          <t xml:space="preserve">INE156A01020</t>
        </is>
      </c>
    </row>
    <row r="1828">
      <c r="A1828" t="inlineStr">
        <is>
          <t xml:space="preserve">INDOSMC</t>
        </is>
      </c>
      <c r="B1828" t="inlineStr">
        <is>
          <t xml:space="preserve">INDO SMC Limited</t>
        </is>
      </c>
      <c r="C1828" t="inlineStr">
        <is>
          <t xml:space="preserve">INE0WKY01013</t>
        </is>
      </c>
    </row>
    <row r="1829">
      <c r="A1829" t="inlineStr">
        <is>
          <t xml:space="preserve">INDOTECH</t>
        </is>
      </c>
      <c r="B1829" t="inlineStr">
        <is>
          <t xml:space="preserve">INDO TECH TRANSFORMERS LTD.</t>
        </is>
      </c>
      <c r="C1829" t="inlineStr">
        <is>
          <t xml:space="preserve">INE332H01014</t>
        </is>
      </c>
    </row>
    <row r="1830">
      <c r="A1830" t="inlineStr">
        <is>
          <t xml:space="preserve">INDOTHAI</t>
        </is>
      </c>
      <c r="B1830" t="inlineStr">
        <is>
          <t xml:space="preserve">INDO THAI SECURITIES LTD.</t>
        </is>
      </c>
      <c r="C1830" t="inlineStr">
        <is>
          <t xml:space="preserve">INE337M01021</t>
        </is>
      </c>
    </row>
    <row r="1831">
      <c r="A1831" t="inlineStr">
        <is>
          <t xml:space="preserve">INDOUS</t>
        </is>
      </c>
      <c r="B1831" t="inlineStr">
        <is>
          <t xml:space="preserve">Indo US Bio-Tech Limited</t>
        </is>
      </c>
      <c r="C1831" t="inlineStr">
        <is>
          <t xml:space="preserve">INE250Z01010</t>
        </is>
      </c>
    </row>
    <row r="1832">
      <c r="A1832" t="inlineStr">
        <is>
          <t xml:space="preserve">INDOCITY</t>
        </is>
      </c>
      <c r="B1832" t="inlineStr">
        <is>
          <t xml:space="preserve">INDO-CITY INFOTECH LTD.</t>
        </is>
      </c>
      <c r="C1832" t="inlineStr">
        <is>
          <t xml:space="preserve">INE456B01014</t>
        </is>
      </c>
    </row>
    <row r="1833">
      <c r="A1833" t="inlineStr">
        <is>
          <t xml:space="preserve">NIPPOBATRY</t>
        </is>
      </c>
      <c r="B1833" t="inlineStr">
        <is>
          <t xml:space="preserve">INDO-NATIONAL LTD.</t>
        </is>
      </c>
      <c r="C1833" t="inlineStr">
        <is>
          <t xml:space="preserve">INE567A01028</t>
        </is>
      </c>
    </row>
    <row r="1834">
      <c r="A1834" t="inlineStr">
        <is>
          <t xml:space="preserve">INDOBELL</t>
        </is>
      </c>
      <c r="B1834" t="inlineStr">
        <is>
          <t xml:space="preserve">Indobell Insulations Limited</t>
        </is>
      </c>
      <c r="C1834" t="inlineStr">
        <is>
          <t xml:space="preserve">INE0FK501019</t>
        </is>
      </c>
    </row>
    <row r="1835">
      <c r="A1835" t="inlineStr">
        <is>
          <t xml:space="preserve">INDOCO</t>
        </is>
      </c>
      <c r="B1835" t="inlineStr">
        <is>
          <t xml:space="preserve">INDOCO REMEDIES LTD.</t>
        </is>
      </c>
      <c r="C1835" t="inlineStr">
        <is>
          <t xml:space="preserve">INE873D01024</t>
        </is>
      </c>
    </row>
    <row r="1836">
      <c r="A1836" t="inlineStr">
        <is>
          <t xml:space="preserve">IGCL</t>
        </is>
      </c>
      <c r="B1836" t="inlineStr">
        <is>
          <t xml:space="preserve">Indogulf Cropsciences Limited</t>
        </is>
      </c>
      <c r="C1836" t="inlineStr">
        <is>
          <t xml:space="preserve">INE05J901018</t>
        </is>
      </c>
    </row>
    <row r="1837">
      <c r="A1837" t="inlineStr">
        <is>
          <t xml:space="preserve">INDOKEM</t>
        </is>
      </c>
      <c r="B1837" t="inlineStr">
        <is>
          <t xml:space="preserve">INDOKEM LTD.</t>
        </is>
      </c>
      <c r="C1837" t="inlineStr">
        <is>
          <t xml:space="preserve">INE716F01012</t>
        </is>
      </c>
    </row>
    <row r="1838">
      <c r="A1838" t="inlineStr">
        <is>
          <t xml:space="preserve">WAAREEINDO</t>
        </is>
      </c>
      <c r="B1838" t="inlineStr">
        <is>
          <t xml:space="preserve">INDOSOLAR LTD.</t>
        </is>
      </c>
      <c r="C1838" t="inlineStr">
        <is>
          <t xml:space="preserve">INE866K01023</t>
        </is>
      </c>
    </row>
    <row r="1839">
      <c r="A1839" t="inlineStr">
        <is>
          <t xml:space="preserve">INDOSTAR</t>
        </is>
      </c>
      <c r="B1839" t="inlineStr">
        <is>
          <t xml:space="preserve">IndoStar Capital Finance Limit</t>
        </is>
      </c>
      <c r="C1839" t="inlineStr">
        <is>
          <t xml:space="preserve">INE896L01010</t>
        </is>
      </c>
    </row>
    <row r="1840">
      <c r="A1840" t="inlineStr">
        <is>
          <t xml:space="preserve">INDOWIND</t>
        </is>
      </c>
      <c r="B1840" t="inlineStr">
        <is>
          <t xml:space="preserve">INDOWIND ENERGY LTD.</t>
        </is>
      </c>
      <c r="C1840" t="inlineStr">
        <is>
          <t xml:space="preserve">INE227G01018</t>
        </is>
      </c>
    </row>
    <row r="1841">
      <c r="A1841" t="inlineStr">
        <is>
          <t xml:space="preserve">IGL</t>
        </is>
      </c>
      <c r="B1841" t="inlineStr">
        <is>
          <t xml:space="preserve">INDRAPRASTHA GAS LTD.</t>
        </is>
      </c>
      <c r="C1841" t="inlineStr">
        <is>
          <t xml:space="preserve">INE203G01027</t>
        </is>
      </c>
    </row>
    <row r="1842">
      <c r="A1842" t="inlineStr">
        <is>
          <t xml:space="preserve">INDRAMEDCO</t>
        </is>
      </c>
      <c r="B1842" t="inlineStr">
        <is>
          <t xml:space="preserve">INDRAPRASTHA MEDICAL CORP.LTD.</t>
        </is>
      </c>
      <c r="C1842" t="inlineStr">
        <is>
          <t xml:space="preserve">INE681B01017</t>
        </is>
      </c>
    </row>
    <row r="1843">
      <c r="A1843" t="inlineStr">
        <is>
          <t xml:space="preserve">INDRANIB</t>
        </is>
      </c>
      <c r="B1843" t="inlineStr">
        <is>
          <t xml:space="preserve">INDRAYANI BIOTECH LTD.</t>
        </is>
      </c>
      <c r="C1843" t="inlineStr">
        <is>
          <t xml:space="preserve">INE007C01021</t>
        </is>
      </c>
    </row>
    <row r="1844">
      <c r="A1844" t="inlineStr">
        <is>
          <t xml:space="preserve">INDSILHYD</t>
        </is>
      </c>
      <c r="B1844" t="inlineStr">
        <is>
          <t xml:space="preserve">INDSIL HYDRO POWER AND MANGANE</t>
        </is>
      </c>
      <c r="C1844" t="inlineStr">
        <is>
          <t xml:space="preserve">INE867D01018</t>
        </is>
      </c>
    </row>
    <row r="1845">
      <c r="A1845" t="inlineStr">
        <is>
          <t xml:space="preserve">INDCTST</t>
        </is>
      </c>
      <c r="B1845" t="inlineStr">
        <is>
          <t xml:space="preserve">INDUCTO STEEL LTD.</t>
        </is>
      </c>
      <c r="C1845" t="inlineStr">
        <is>
          <t xml:space="preserve">INE146H01018</t>
        </is>
      </c>
    </row>
    <row r="1846">
      <c r="A1846" t="inlineStr">
        <is>
          <t xml:space="preserve">INDUSFINL</t>
        </is>
      </c>
      <c r="B1846" t="inlineStr">
        <is>
          <t xml:space="preserve">Indus Finance Limited</t>
        </is>
      </c>
      <c r="C1846" t="inlineStr">
        <is>
          <t xml:space="preserve">INE935D01013</t>
        </is>
      </c>
    </row>
    <row r="1847">
      <c r="A1847" t="inlineStr">
        <is>
          <t xml:space="preserve">INDUSINVIT</t>
        </is>
      </c>
      <c r="B1847" t="inlineStr">
        <is>
          <t xml:space="preserve">Indus Infra Trust</t>
        </is>
      </c>
      <c r="C1847" t="inlineStr">
        <is>
          <t xml:space="preserve">INE0NHL23019</t>
        </is>
      </c>
    </row>
    <row r="1848">
      <c r="A1848" t="inlineStr">
        <is>
          <t xml:space="preserve">INDUSTOWER</t>
        </is>
      </c>
      <c r="B1848" t="inlineStr">
        <is>
          <t xml:space="preserve">INDUS TOWERS LIMITED</t>
        </is>
      </c>
      <c r="C1848" t="inlineStr">
        <is>
          <t xml:space="preserve">INE121J01017</t>
        </is>
      </c>
    </row>
    <row r="1849">
      <c r="A1849" t="inlineStr">
        <is>
          <t xml:space="preserve">INDUSINDBK</t>
        </is>
      </c>
      <c r="B1849" t="inlineStr">
        <is>
          <t xml:space="preserve">INDUSIND BANK LTD.</t>
        </is>
      </c>
      <c r="C1849" t="inlineStr">
        <is>
          <t xml:space="preserve">INE095A01012</t>
        </is>
      </c>
    </row>
    <row r="1850">
      <c r="A1850" t="inlineStr">
        <is>
          <t xml:space="preserve">INDPRUD</t>
        </is>
      </c>
      <c r="B1850" t="inlineStr">
        <is>
          <t xml:space="preserve">INDUSTRIAL &amp; PRUDENTIAL INVEST</t>
        </is>
      </c>
      <c r="C1850" t="inlineStr">
        <is>
          <t xml:space="preserve">INE620D01011</t>
        </is>
      </c>
    </row>
    <row r="1851">
      <c r="A1851" t="inlineStr">
        <is>
          <t xml:space="preserve">IITL</t>
        </is>
      </c>
      <c r="B1851" t="inlineStr">
        <is>
          <t xml:space="preserve">INDUSTRIAL INVESTMENT TRUST LT</t>
        </is>
      </c>
      <c r="C1851" t="inlineStr">
        <is>
          <t xml:space="preserve">INE886A01014</t>
        </is>
      </c>
    </row>
    <row r="1852">
      <c r="A1852" t="inlineStr">
        <is>
          <t xml:space="preserve">INFINITY</t>
        </is>
      </c>
      <c r="B1852" t="inlineStr">
        <is>
          <t xml:space="preserve">Infinity Infoway Limited</t>
        </is>
      </c>
      <c r="C1852" t="inlineStr">
        <is>
          <t xml:space="preserve">INE16XA01017</t>
        </is>
      </c>
    </row>
    <row r="1853">
      <c r="A1853" t="inlineStr">
        <is>
          <t xml:space="preserve">INFLAME</t>
        </is>
      </c>
      <c r="B1853" t="inlineStr">
        <is>
          <t xml:space="preserve">Inflame Appliances Limited</t>
        </is>
      </c>
      <c r="C1853" t="inlineStr">
        <is>
          <t xml:space="preserve">INE464Z01017</t>
        </is>
      </c>
    </row>
    <row r="1854">
      <c r="A1854" t="inlineStr">
        <is>
          <t xml:space="preserve">NAUKRI</t>
        </is>
      </c>
      <c r="B1854" t="inlineStr">
        <is>
          <t xml:space="preserve">INFO EDGE (INDIA) LTD.</t>
        </is>
      </c>
      <c r="C1854" t="inlineStr">
        <is>
          <t xml:space="preserve">INE663F01032</t>
        </is>
      </c>
    </row>
    <row r="1855">
      <c r="A1855" t="inlineStr">
        <is>
          <t xml:space="preserve">INFOBEAN</t>
        </is>
      </c>
      <c r="B1855" t="inlineStr">
        <is>
          <t xml:space="preserve">InfoBeans Technologies Limited</t>
        </is>
      </c>
      <c r="C1855" t="inlineStr">
        <is>
          <t xml:space="preserve">INE344S01016</t>
        </is>
      </c>
    </row>
    <row r="1856">
      <c r="A1856" t="inlineStr">
        <is>
          <t xml:space="preserve">INFONATIVE</t>
        </is>
      </c>
      <c r="B1856" t="inlineStr">
        <is>
          <t xml:space="preserve">INFONATIVE SOLUTIONS LIMITED</t>
        </is>
      </c>
      <c r="C1856" t="inlineStr">
        <is>
          <t xml:space="preserve">INE12IB01015</t>
        </is>
      </c>
    </row>
    <row r="1857">
      <c r="A1857" t="inlineStr">
        <is>
          <t xml:space="preserve">INFORTEC</t>
        </is>
      </c>
      <c r="B1857" t="inlineStr">
        <is>
          <t xml:space="preserve">INFORMED TECHNOLOGIES INDIA LT</t>
        </is>
      </c>
      <c r="C1857" t="inlineStr">
        <is>
          <t xml:space="preserve">INE123E01014</t>
        </is>
      </c>
    </row>
    <row r="1858">
      <c r="A1858" t="inlineStr">
        <is>
          <t xml:space="preserve">INFY</t>
        </is>
      </c>
      <c r="B1858" t="inlineStr">
        <is>
          <t xml:space="preserve">INFOSYS LTD.</t>
        </is>
      </c>
      <c r="C1858" t="inlineStr">
        <is>
          <t xml:space="preserve">INE009A01021</t>
        </is>
      </c>
    </row>
    <row r="1859">
      <c r="A1859" t="inlineStr">
        <is>
          <t xml:space="preserve">INFRONICS</t>
        </is>
      </c>
      <c r="B1859" t="inlineStr">
        <is>
          <t xml:space="preserve">INFRONICS SYSTEMS LTD</t>
        </is>
      </c>
      <c r="C1859" t="inlineStr">
        <is>
          <t xml:space="preserve">INE463B01036</t>
        </is>
      </c>
    </row>
    <row r="1860">
      <c r="A1860" t="inlineStr">
        <is>
          <t xml:space="preserve">INGERRAND</t>
        </is>
      </c>
      <c r="B1860" t="inlineStr">
        <is>
          <t xml:space="preserve">INGERSOLL-RAND (INDIA) LTD.</t>
        </is>
      </c>
      <c r="C1860" t="inlineStr">
        <is>
          <t xml:space="preserve">INE177A01018</t>
        </is>
      </c>
    </row>
    <row r="1861">
      <c r="A1861" t="inlineStr">
        <is>
          <t xml:space="preserve">INLANPR</t>
        </is>
      </c>
      <c r="B1861" t="inlineStr">
        <is>
          <t xml:space="preserve">INLAND PRINTERS LTD.</t>
        </is>
      </c>
      <c r="C1861" t="inlineStr">
        <is>
          <t xml:space="preserve">INE055O01033</t>
        </is>
      </c>
    </row>
    <row r="1862">
      <c r="A1862" t="inlineStr">
        <is>
          <t xml:space="preserve">INNOVACAP</t>
        </is>
      </c>
      <c r="B1862" t="inlineStr">
        <is>
          <t xml:space="preserve">INNOVA CAPTAB LIMITED</t>
        </is>
      </c>
      <c r="C1862" t="inlineStr">
        <is>
          <t xml:space="preserve">INE0DUT01020</t>
        </is>
      </c>
    </row>
    <row r="1863">
      <c r="A1863" t="inlineStr">
        <is>
          <t xml:space="preserve">INNOVTEC</t>
        </is>
      </c>
      <c r="B1863" t="inlineStr">
        <is>
          <t xml:space="preserve">INNOVATIVE TECH PACK LTD.</t>
        </is>
      </c>
      <c r="C1863" t="inlineStr">
        <is>
          <t xml:space="preserve">INE965C01038</t>
        </is>
      </c>
    </row>
    <row r="1864">
      <c r="A1864" t="inlineStr">
        <is>
          <t xml:space="preserve">INNOVATORS</t>
        </is>
      </c>
      <c r="B1864" t="inlineStr">
        <is>
          <t xml:space="preserve">Innovators Facade Systems Limi</t>
        </is>
      </c>
      <c r="C1864" t="inlineStr">
        <is>
          <t xml:space="preserve">INE870Z01015</t>
        </is>
      </c>
    </row>
    <row r="1865">
      <c r="A1865" t="inlineStr">
        <is>
          <t xml:space="preserve">INNOVISION</t>
        </is>
      </c>
      <c r="B1865" t="inlineStr">
        <is>
          <t xml:space="preserve">Innovision Limited</t>
        </is>
      </c>
      <c r="C1865" t="inlineStr">
        <is>
          <t xml:space="preserve">INE0ADB01012</t>
        </is>
      </c>
    </row>
    <row r="1866">
      <c r="A1866" t="inlineStr">
        <is>
          <t xml:space="preserve">INOXGREEN</t>
        </is>
      </c>
      <c r="B1866" t="inlineStr">
        <is>
          <t xml:space="preserve">INOX GREEN ENERGY SERVICES LIM</t>
        </is>
      </c>
      <c r="C1866" t="inlineStr">
        <is>
          <t xml:space="preserve">INE510W01014</t>
        </is>
      </c>
    </row>
    <row r="1867">
      <c r="A1867" t="inlineStr">
        <is>
          <t xml:space="preserve">INOXINDIA</t>
        </is>
      </c>
      <c r="B1867" t="inlineStr">
        <is>
          <t xml:space="preserve">INOX India Limited</t>
        </is>
      </c>
      <c r="C1867" t="inlineStr">
        <is>
          <t xml:space="preserve">INE616N01034</t>
        </is>
      </c>
    </row>
    <row r="1868">
      <c r="A1868" t="inlineStr">
        <is>
          <t xml:space="preserve">INOXWIND</t>
        </is>
      </c>
      <c r="B1868" t="inlineStr">
        <is>
          <t xml:space="preserve">Inox Wind Limited</t>
        </is>
      </c>
      <c r="C1868" t="inlineStr">
        <is>
          <t xml:space="preserve">INE066P01011</t>
        </is>
      </c>
    </row>
    <row r="1869">
      <c r="A1869" t="inlineStr">
        <is>
          <t xml:space="preserve">INSECTICID</t>
        </is>
      </c>
      <c r="B1869" t="inlineStr">
        <is>
          <t xml:space="preserve">INSECTICIDES (INDIA) LTD.</t>
        </is>
      </c>
      <c r="C1869" t="inlineStr">
        <is>
          <t xml:space="preserve">INE070I01018</t>
        </is>
      </c>
    </row>
    <row r="1870">
      <c r="A1870" t="inlineStr">
        <is>
          <t xml:space="preserve">INA</t>
        </is>
      </c>
      <c r="B1870" t="inlineStr">
        <is>
          <t xml:space="preserve">INSOLATION ENERGY LIMITED</t>
        </is>
      </c>
      <c r="C1870" t="inlineStr">
        <is>
          <t xml:space="preserve">INE0LGX01024</t>
        </is>
      </c>
    </row>
    <row r="1871">
      <c r="A1871" t="inlineStr">
        <is>
          <t xml:space="preserve">INSPIRISYS</t>
        </is>
      </c>
      <c r="B1871" t="inlineStr">
        <is>
          <t xml:space="preserve">Inspirisys Solutions Limited</t>
        </is>
      </c>
      <c r="C1871" t="inlineStr">
        <is>
          <t xml:space="preserve">INE020G01017</t>
        </is>
      </c>
    </row>
    <row r="1872">
      <c r="A1872" t="inlineStr">
        <is>
          <t xml:space="preserve">INTECCAP</t>
        </is>
      </c>
      <c r="B1872" t="inlineStr">
        <is>
          <t xml:space="preserve">INTEC CAPITAL LTD.</t>
        </is>
      </c>
      <c r="C1872" t="inlineStr">
        <is>
          <t xml:space="preserve">INE017E01018</t>
        </is>
      </c>
    </row>
    <row r="1873">
      <c r="A1873" t="inlineStr">
        <is>
          <t xml:space="preserve">INTEGRAEN</t>
        </is>
      </c>
      <c r="B1873" t="inlineStr">
        <is>
          <t xml:space="preserve">INTEGRA ENGINEERING INDIA LTD.</t>
        </is>
      </c>
      <c r="C1873" t="inlineStr">
        <is>
          <t xml:space="preserve">INE984B01023</t>
        </is>
      </c>
    </row>
    <row r="1874">
      <c r="A1874" t="inlineStr">
        <is>
          <t xml:space="preserve">ESSENTIA</t>
        </is>
      </c>
      <c r="B1874" t="inlineStr">
        <is>
          <t xml:space="preserve">Integra Essentia Limited</t>
        </is>
      </c>
      <c r="C1874" t="inlineStr">
        <is>
          <t xml:space="preserve">INE418N01035</t>
        </is>
      </c>
    </row>
    <row r="1875">
      <c r="A1875" t="inlineStr">
        <is>
          <t xml:space="preserve">ICSL</t>
        </is>
      </c>
      <c r="B1875" t="inlineStr">
        <is>
          <t xml:space="preserve">Integrated Capital Services Lt</t>
        </is>
      </c>
      <c r="C1875" t="inlineStr">
        <is>
          <t xml:space="preserve">INE682B01023</t>
        </is>
      </c>
    </row>
    <row r="1876">
      <c r="A1876" t="inlineStr">
        <is>
          <t xml:space="preserve">INTEGHIT</t>
        </is>
      </c>
      <c r="B1876" t="inlineStr">
        <is>
          <t xml:space="preserve">INTEGRATED HITECH LTD.</t>
        </is>
      </c>
      <c r="C1876" t="inlineStr">
        <is>
          <t xml:space="preserve">INE934A01012</t>
        </is>
      </c>
    </row>
    <row r="1877">
      <c r="A1877" t="inlineStr">
        <is>
          <t xml:space="preserve">INTEGFD</t>
        </is>
      </c>
      <c r="B1877" t="inlineStr">
        <is>
          <t xml:space="preserve">INTEGRATED PROTEINS LTD.</t>
        </is>
      </c>
      <c r="C1877" t="inlineStr">
        <is>
          <t xml:space="preserve">INE177M01013</t>
        </is>
      </c>
    </row>
    <row r="1878">
      <c r="A1878" t="inlineStr">
        <is>
          <t xml:space="preserve">INTELLECT</t>
        </is>
      </c>
      <c r="B1878" t="inlineStr">
        <is>
          <t xml:space="preserve">INTELLECT DESIGN ARENA LIMITED</t>
        </is>
      </c>
      <c r="C1878" t="inlineStr">
        <is>
          <t xml:space="preserve">INE306R01017</t>
        </is>
      </c>
    </row>
    <row r="1879">
      <c r="A1879" t="inlineStr">
        <is>
          <t xml:space="preserve">INTENTECH</t>
        </is>
      </c>
      <c r="B1879" t="inlineStr">
        <is>
          <t xml:space="preserve">INTENSE TECHNOLOGIES LTD.</t>
        </is>
      </c>
      <c r="C1879" t="inlineStr">
        <is>
          <t xml:space="preserve">INE781A01025</t>
        </is>
      </c>
    </row>
    <row r="1880">
      <c r="A1880" t="inlineStr">
        <is>
          <t xml:space="preserve">INTRGLB</t>
        </is>
      </c>
      <c r="B1880" t="inlineStr">
        <is>
          <t xml:space="preserve">INTER GLOBE FINANCE LTD.</t>
        </is>
      </c>
      <c r="C1880" t="inlineStr">
        <is>
          <t xml:space="preserve">INE661M01016</t>
        </is>
      </c>
    </row>
    <row r="1881">
      <c r="A1881" t="inlineStr">
        <is>
          <t xml:space="preserve">INTSTOIL</t>
        </is>
      </c>
      <c r="B1881" t="inlineStr">
        <is>
          <t xml:space="preserve">INTER STATE OIL CARRIER LTD.</t>
        </is>
      </c>
      <c r="C1881" t="inlineStr">
        <is>
          <t xml:space="preserve">INE003B01014</t>
        </is>
      </c>
    </row>
    <row r="1882">
      <c r="A1882" t="inlineStr">
        <is>
          <t xml:space="preserve">IFINSER</t>
        </is>
      </c>
      <c r="B1882" t="inlineStr">
        <is>
          <t xml:space="preserve">INTERACTIVE FINANCIAL SERVICES</t>
        </is>
      </c>
      <c r="C1882" t="inlineStr">
        <is>
          <t xml:space="preserve">INE064T01018</t>
        </is>
      </c>
    </row>
    <row r="1883">
      <c r="A1883" t="inlineStr">
        <is>
          <t xml:space="preserve">INTERARCH</t>
        </is>
      </c>
      <c r="B1883" t="inlineStr">
        <is>
          <t xml:space="preserve">Interarch Building Solutions L</t>
        </is>
      </c>
      <c r="C1883" t="inlineStr">
        <is>
          <t xml:space="preserve">INE00M901018</t>
        </is>
      </c>
    </row>
    <row r="1884">
      <c r="A1884" t="inlineStr">
        <is>
          <t xml:space="preserve">INDIGO</t>
        </is>
      </c>
      <c r="B1884" t="inlineStr">
        <is>
          <t xml:space="preserve">InterGlobe Aviation Limited</t>
        </is>
      </c>
      <c r="C1884" t="inlineStr">
        <is>
          <t xml:space="preserve">INE646L01027</t>
        </is>
      </c>
    </row>
    <row r="1885">
      <c r="A1885" t="inlineStr">
        <is>
          <t xml:space="preserve">INTLCOMBQ</t>
        </is>
      </c>
      <c r="B1885" t="inlineStr">
        <is>
          <t xml:space="preserve">INTERNATIONAL COMBUSTION (INDI</t>
        </is>
      </c>
      <c r="C1885" t="inlineStr">
        <is>
          <t xml:space="preserve">INE403C01014</t>
        </is>
      </c>
    </row>
    <row r="1886">
      <c r="A1886" t="inlineStr">
        <is>
          <t xml:space="preserve">INTLCONV</t>
        </is>
      </c>
      <c r="B1886" t="inlineStr">
        <is>
          <t xml:space="preserve">INTERNATIONAL CONVEYORS LTD.</t>
        </is>
      </c>
      <c r="C1886" t="inlineStr">
        <is>
          <t xml:space="preserve">INE575C01027</t>
        </is>
      </c>
    </row>
    <row r="1887">
      <c r="A1887" t="inlineStr">
        <is>
          <t xml:space="preserve">IGIL</t>
        </is>
      </c>
      <c r="B1887" t="inlineStr">
        <is>
          <t xml:space="preserve">International Gemological Inst</t>
        </is>
      </c>
      <c r="C1887" t="inlineStr">
        <is>
          <t xml:space="preserve">INE0Q9301021</t>
        </is>
      </c>
    </row>
    <row r="1888">
      <c r="A1888" t="inlineStr">
        <is>
          <t xml:space="preserve">ITHL</t>
        </is>
      </c>
      <c r="B1888" t="inlineStr">
        <is>
          <t xml:space="preserve">INTERNATIONAL TRAVEL HOUSE LTD</t>
        </is>
      </c>
      <c r="C1888" t="inlineStr">
        <is>
          <t xml:space="preserve">INE262B01016</t>
        </is>
      </c>
    </row>
    <row r="1889">
      <c r="A1889" t="inlineStr">
        <is>
          <t xml:space="preserve">ISFT</t>
        </is>
      </c>
      <c r="B1889" t="inlineStr">
        <is>
          <t xml:space="preserve">INTRASOFT TECHNOLOGIES LTD.</t>
        </is>
      </c>
      <c r="C1889" t="inlineStr">
        <is>
          <t xml:space="preserve">INE566K01011</t>
        </is>
      </c>
    </row>
    <row r="1890">
      <c r="A1890" t="inlineStr">
        <is>
          <t xml:space="preserve">INVENTURE</t>
        </is>
      </c>
      <c r="B1890" t="inlineStr">
        <is>
          <t xml:space="preserve">INVENTURE GROWTH &amp; SECURITIES</t>
        </is>
      </c>
      <c r="C1890" t="inlineStr">
        <is>
          <t xml:space="preserve">INE878H01024</t>
        </is>
      </c>
    </row>
    <row r="1891">
      <c r="A1891" t="inlineStr">
        <is>
          <t xml:space="preserve">IKS</t>
        </is>
      </c>
      <c r="B1891" t="inlineStr">
        <is>
          <t xml:space="preserve">INVENTURUS KNOWLEDGE SOLUTIONS</t>
        </is>
      </c>
      <c r="C1891" t="inlineStr">
        <is>
          <t xml:space="preserve">INE115Q01022</t>
        </is>
      </c>
    </row>
    <row r="1892">
      <c r="A1892" t="inlineStr">
        <is>
          <t xml:space="preserve">INVPRECQ</t>
        </is>
      </c>
      <c r="B1892" t="inlineStr">
        <is>
          <t xml:space="preserve">INVESTMENT &amp; PRECISION CASTING</t>
        </is>
      </c>
      <c r="C1892" t="inlineStr">
        <is>
          <t xml:space="preserve">INE155E01016</t>
        </is>
      </c>
    </row>
    <row r="1893">
      <c r="A1893" t="inlineStr">
        <is>
          <t xml:space="preserve">INVIGO</t>
        </is>
      </c>
      <c r="B1893" t="inlineStr">
        <is>
          <t xml:space="preserve">Invigorated Business Consultin</t>
        </is>
      </c>
      <c r="C1893" t="inlineStr">
        <is>
          <t xml:space="preserve">INE359A01012</t>
        </is>
      </c>
    </row>
    <row r="1894">
      <c r="A1894" t="inlineStr">
        <is>
          <t xml:space="preserve">IOLCP</t>
        </is>
      </c>
      <c r="B1894" t="inlineStr">
        <is>
          <t xml:space="preserve">IOL CHEMICALS &amp; PHARMACEUTICAL</t>
        </is>
      </c>
      <c r="C1894" t="inlineStr">
        <is>
          <t xml:space="preserve">INE485C01029</t>
        </is>
      </c>
    </row>
    <row r="1895">
      <c r="A1895" t="inlineStr">
        <is>
          <t xml:space="preserve">IONEXCHANG</t>
        </is>
      </c>
      <c r="B1895" t="inlineStr">
        <is>
          <t xml:space="preserve">ION EXCHANGE (INDIA) LTD.</t>
        </is>
      </c>
      <c r="C1895" t="inlineStr">
        <is>
          <t xml:space="preserve">INE570A01022</t>
        </is>
      </c>
    </row>
    <row r="1896">
      <c r="A1896" t="inlineStr">
        <is>
          <t xml:space="preserve">IPRINGLTD</t>
        </is>
      </c>
      <c r="B1896" t="inlineStr">
        <is>
          <t xml:space="preserve">IP RINGS LTD.</t>
        </is>
      </c>
      <c r="C1896" t="inlineStr">
        <is>
          <t xml:space="preserve">INE558A01019</t>
        </is>
      </c>
    </row>
    <row r="1897">
      <c r="A1897" t="inlineStr">
        <is>
          <t xml:space="preserve">IPCALAB</t>
        </is>
      </c>
      <c r="B1897" t="inlineStr">
        <is>
          <t xml:space="preserve">IPCA LABORATORIES LTD.</t>
        </is>
      </c>
      <c r="C1897" t="inlineStr">
        <is>
          <t xml:space="preserve">INE571A01038</t>
        </is>
      </c>
    </row>
    <row r="1898">
      <c r="A1898" t="inlineStr">
        <is>
          <t xml:space="preserve">IRB</t>
        </is>
      </c>
      <c r="B1898" t="inlineStr">
        <is>
          <t xml:space="preserve">IRB INFRASTRUCTURE DEVELOPERS</t>
        </is>
      </c>
      <c r="C1898" t="inlineStr">
        <is>
          <t xml:space="preserve">INE821I01022</t>
        </is>
      </c>
    </row>
    <row r="1899">
      <c r="A1899" t="inlineStr">
        <is>
          <t xml:space="preserve">IRBINVIT</t>
        </is>
      </c>
      <c r="B1899" t="inlineStr">
        <is>
          <t xml:space="preserve">IRB InvIT Fund</t>
        </is>
      </c>
      <c r="C1899" t="inlineStr">
        <is>
          <t xml:space="preserve">INE183W23014</t>
        </is>
      </c>
    </row>
    <row r="1900">
      <c r="A1900" t="inlineStr">
        <is>
          <t xml:space="preserve">IRCON</t>
        </is>
      </c>
      <c r="B1900" t="inlineStr">
        <is>
          <t xml:space="preserve">IRCON International Ltd</t>
        </is>
      </c>
      <c r="C1900" t="inlineStr">
        <is>
          <t xml:space="preserve">INE962Y01021</t>
        </is>
      </c>
    </row>
    <row r="1901">
      <c r="A1901" t="inlineStr">
        <is>
          <t xml:space="preserve">880IREDA29</t>
        </is>
      </c>
      <c r="B1901" t="inlineStr">
        <is>
          <t xml:space="preserve">IREDA-8.80%-13-03-29-BOND</t>
        </is>
      </c>
      <c r="C1901" t="inlineStr">
        <is>
          <t xml:space="preserve">INE202E07138</t>
        </is>
      </c>
    </row>
    <row r="1902">
      <c r="A1902" t="inlineStr">
        <is>
          <t xml:space="preserve">880IREDA34</t>
        </is>
      </c>
      <c r="B1902" t="inlineStr">
        <is>
          <t xml:space="preserve">IREDA-8.80%-13-03-34-BOND</t>
        </is>
      </c>
      <c r="C1902" t="inlineStr">
        <is>
          <t xml:space="preserve">INE202E07153</t>
        </is>
      </c>
    </row>
    <row r="1903">
      <c r="A1903" t="inlineStr">
        <is>
          <t xml:space="preserve">865IRFC29</t>
        </is>
      </c>
      <c r="B1903" t="inlineStr">
        <is>
          <t xml:space="preserve">IRFC-8.65%-18-2-29-NCD</t>
        </is>
      </c>
      <c r="C1903" t="inlineStr">
        <is>
          <t xml:space="preserve">INE053F07686</t>
        </is>
      </c>
    </row>
    <row r="1904">
      <c r="A1904" t="inlineStr">
        <is>
          <t xml:space="preserve">IRIS</t>
        </is>
      </c>
      <c r="B1904" t="inlineStr">
        <is>
          <t xml:space="preserve">IRIS RegTech Solutions Limited</t>
        </is>
      </c>
      <c r="C1904" t="inlineStr">
        <is>
          <t xml:space="preserve">INE864K01010</t>
        </is>
      </c>
    </row>
    <row r="1905">
      <c r="A1905" t="inlineStr">
        <is>
          <t xml:space="preserve">IRMENERGY</t>
        </is>
      </c>
      <c r="B1905" t="inlineStr">
        <is>
          <t xml:space="preserve">IRM ENERGY LIMITED</t>
        </is>
      </c>
      <c r="C1905" t="inlineStr">
        <is>
          <t xml:space="preserve">INE07U701015</t>
        </is>
      </c>
    </row>
    <row r="1906">
      <c r="A1906" t="inlineStr">
        <is>
          <t xml:space="preserve">IRONWOOD</t>
        </is>
      </c>
      <c r="B1906" t="inlineStr">
        <is>
          <t xml:space="preserve">IRONWOOD EDUCATION LIMITED</t>
        </is>
      </c>
      <c r="C1906" t="inlineStr">
        <is>
          <t xml:space="preserve">INE791H01011</t>
        </is>
      </c>
    </row>
    <row r="1907">
      <c r="A1907" t="inlineStr">
        <is>
          <t xml:space="preserve">ISERA</t>
        </is>
      </c>
      <c r="B1907" t="inlineStr">
        <is>
          <t xml:space="preserve">iSERA LIFESCIENCES LIMITED</t>
        </is>
      </c>
      <c r="C1907" t="inlineStr">
        <is>
          <t xml:space="preserve">INE899M01020</t>
        </is>
      </c>
    </row>
    <row r="1908">
      <c r="A1908" t="inlineStr">
        <is>
          <t xml:space="preserve">ISFL</t>
        </is>
      </c>
      <c r="B1908" t="inlineStr">
        <is>
          <t xml:space="preserve">ISF LIMITED</t>
        </is>
      </c>
      <c r="C1908" t="inlineStr">
        <is>
          <t xml:space="preserve">INE973B01026</t>
        </is>
      </c>
    </row>
    <row r="1909">
      <c r="A1909" t="inlineStr">
        <is>
          <t xml:space="preserve">ISGEC</t>
        </is>
      </c>
      <c r="B1909" t="inlineStr">
        <is>
          <t xml:space="preserve">ISGEC HEAVY ENGINEERING LTD.</t>
        </is>
      </c>
      <c r="C1909" t="inlineStr">
        <is>
          <t xml:space="preserve">INE858B01029</t>
        </is>
      </c>
    </row>
    <row r="1910">
      <c r="A1910" t="inlineStr">
        <is>
          <t xml:space="preserve">IISL</t>
        </is>
      </c>
      <c r="B1910" t="inlineStr">
        <is>
          <t xml:space="preserve">ISHAAN INFRASTRUCTURE AND SHEL</t>
        </is>
      </c>
      <c r="C1910" t="inlineStr">
        <is>
          <t xml:space="preserve">INE818R01011</t>
        </is>
      </c>
    </row>
    <row r="1911">
      <c r="A1911" t="inlineStr">
        <is>
          <t xml:space="preserve">ISHANCH</t>
        </is>
      </c>
      <c r="B1911" t="inlineStr">
        <is>
          <t xml:space="preserve">Ishan Dyes and Chemicals Limit</t>
        </is>
      </c>
      <c r="C1911" t="inlineStr">
        <is>
          <t xml:space="preserve">INE561M01018</t>
        </is>
      </c>
    </row>
    <row r="1912">
      <c r="A1912" t="inlineStr">
        <is>
          <t xml:space="preserve">ISHITADR</t>
        </is>
      </c>
      <c r="B1912" t="inlineStr">
        <is>
          <t xml:space="preserve">ISHITA DRUGS &amp; INDUSTRIES LTD.</t>
        </is>
      </c>
      <c r="C1912" t="inlineStr">
        <is>
          <t xml:space="preserve">INE806D01016</t>
        </is>
      </c>
    </row>
    <row r="1913">
      <c r="A1913" t="inlineStr">
        <is>
          <t xml:space="preserve">ISTLTD</t>
        </is>
      </c>
      <c r="B1913" t="inlineStr">
        <is>
          <t xml:space="preserve">IST LTD.</t>
        </is>
      </c>
      <c r="C1913" t="inlineStr">
        <is>
          <t xml:space="preserve">INE684B01029</t>
        </is>
      </c>
    </row>
    <row r="1914">
      <c r="A1914" t="inlineStr">
        <is>
          <t xml:space="preserve">ISTRNETWK</t>
        </is>
      </c>
      <c r="B1914" t="inlineStr">
        <is>
          <t xml:space="preserve">ISTREET NETWORK LIMITED</t>
        </is>
      </c>
      <c r="C1914" t="inlineStr">
        <is>
          <t xml:space="preserve">INE532B01020</t>
        </is>
      </c>
    </row>
    <row r="1915">
      <c r="A1915" t="inlineStr">
        <is>
          <t xml:space="preserve">ITCHOTELS</t>
        </is>
      </c>
      <c r="B1915" t="inlineStr">
        <is>
          <t xml:space="preserve">ITC Hotels Limited</t>
        </is>
      </c>
      <c r="C1915" t="inlineStr">
        <is>
          <t xml:space="preserve">INE379A01028</t>
        </is>
      </c>
    </row>
    <row r="1916">
      <c r="A1916" t="inlineStr">
        <is>
          <t xml:space="preserve">ITC</t>
        </is>
      </c>
      <c r="B1916" t="inlineStr">
        <is>
          <t xml:space="preserve">ITC LTD.</t>
        </is>
      </c>
      <c r="C1916" t="inlineStr">
        <is>
          <t xml:space="preserve">INE154A01025</t>
        </is>
      </c>
    </row>
    <row r="1917">
      <c r="A1917" t="inlineStr">
        <is>
          <t xml:space="preserve">ITCONS</t>
        </is>
      </c>
      <c r="B1917" t="inlineStr">
        <is>
          <t xml:space="preserve">ITCONS E-Solutions Limited</t>
        </is>
      </c>
      <c r="C1917" t="inlineStr">
        <is>
          <t xml:space="preserve">INE0O6A01019</t>
        </is>
      </c>
    </row>
    <row r="1918">
      <c r="A1918" t="inlineStr">
        <is>
          <t xml:space="preserve">ITI</t>
        </is>
      </c>
      <c r="B1918" t="inlineStr">
        <is>
          <t xml:space="preserve">ITI LTD.</t>
        </is>
      </c>
      <c r="C1918" t="inlineStr">
        <is>
          <t xml:space="preserve">INE248A01017</t>
        </is>
      </c>
    </row>
    <row r="1919">
      <c r="A1919" t="inlineStr">
        <is>
          <t xml:space="preserve">ITL</t>
        </is>
      </c>
      <c r="B1919" t="inlineStr">
        <is>
          <t xml:space="preserve">ITL INDUSTRIES LTD.</t>
        </is>
      </c>
      <c r="C1919" t="inlineStr">
        <is>
          <t xml:space="preserve">INE478D01014</t>
        </is>
      </c>
    </row>
    <row r="1920">
      <c r="A1920" t="inlineStr">
        <is>
          <t xml:space="preserve">IVALUE</t>
        </is>
      </c>
      <c r="B1920" t="inlineStr">
        <is>
          <t xml:space="preserve">IVALUE INFOSOLUTIONS LIMITED</t>
        </is>
      </c>
      <c r="C1920" t="inlineStr">
        <is>
          <t xml:space="preserve">INE056801025</t>
        </is>
      </c>
    </row>
    <row r="1921">
      <c r="A1921" t="inlineStr">
        <is>
          <t xml:space="preserve">IVP</t>
        </is>
      </c>
      <c r="B1921" t="inlineStr">
        <is>
          <t xml:space="preserve">IVP LTD.</t>
        </is>
      </c>
      <c r="C1921" t="inlineStr">
        <is>
          <t xml:space="preserve">INE043C01018</t>
        </is>
      </c>
    </row>
    <row r="1922">
      <c r="A1922" t="inlineStr">
        <is>
          <t xml:space="preserve">IZMO</t>
        </is>
      </c>
      <c r="B1922" t="inlineStr">
        <is>
          <t xml:space="preserve">IZMO Limited</t>
        </is>
      </c>
      <c r="C1922" t="inlineStr">
        <is>
          <t xml:space="preserve">INE848A01014</t>
        </is>
      </c>
    </row>
    <row r="1923">
      <c r="A1923" t="inlineStr">
        <is>
          <t xml:space="preserve">JBCHEPHARM</t>
        </is>
      </c>
      <c r="B1923" t="inlineStr">
        <is>
          <t xml:space="preserve">J.B.CHEMICALS &amp; PHARMACEUTICAL</t>
        </is>
      </c>
      <c r="C1923" t="inlineStr">
        <is>
          <t xml:space="preserve">INE572A01036</t>
        </is>
      </c>
    </row>
    <row r="1924">
      <c r="A1924" t="inlineStr">
        <is>
          <t xml:space="preserve">JGCHEM</t>
        </is>
      </c>
      <c r="B1924" t="inlineStr">
        <is>
          <t xml:space="preserve">J.G.Chemicals Limited</t>
        </is>
      </c>
      <c r="C1924" t="inlineStr">
        <is>
          <t xml:space="preserve">INE0MB501011</t>
        </is>
      </c>
    </row>
    <row r="1925">
      <c r="A1925" t="inlineStr">
        <is>
          <t xml:space="preserve">JJFINCOR</t>
        </is>
      </c>
      <c r="B1925" t="inlineStr">
        <is>
          <t xml:space="preserve">J.J.FINANCE CORPORATION LTD.</t>
        </is>
      </c>
      <c r="C1925" t="inlineStr">
        <is>
          <t xml:space="preserve">INE584C01011</t>
        </is>
      </c>
    </row>
    <row r="1926">
      <c r="A1926" t="inlineStr">
        <is>
          <t xml:space="preserve">JKCEMENT</t>
        </is>
      </c>
      <c r="B1926" t="inlineStr">
        <is>
          <t xml:space="preserve">J.K.CEMENT LTD.</t>
        </is>
      </c>
      <c r="C1926" t="inlineStr">
        <is>
          <t xml:space="preserve">INE823G01014</t>
        </is>
      </c>
    </row>
    <row r="1927">
      <c r="A1927" t="inlineStr">
        <is>
          <t xml:space="preserve">JKIL</t>
        </is>
      </c>
      <c r="B1927" t="inlineStr">
        <is>
          <t xml:space="preserve">J.KUMAR INFRAPROJECTS LTD.</t>
        </is>
      </c>
      <c r="C1927" t="inlineStr">
        <is>
          <t xml:space="preserve">INE576I01022</t>
        </is>
      </c>
    </row>
    <row r="1928">
      <c r="A1928" t="inlineStr">
        <is>
          <t xml:space="preserve">JACKSON</t>
        </is>
      </c>
      <c r="B1928" t="inlineStr">
        <is>
          <t xml:space="preserve">JACKSON INVESTMENTS LTD</t>
        </is>
      </c>
      <c r="C1928" t="inlineStr">
        <is>
          <t xml:space="preserve">INE508N01025</t>
        </is>
      </c>
    </row>
    <row r="1929">
      <c r="A1929" t="inlineStr">
        <is>
          <t xml:space="preserve">JAGANLAM</t>
        </is>
      </c>
      <c r="B1929" t="inlineStr">
        <is>
          <t xml:space="preserve">JAGAN LAMPS LTD.</t>
        </is>
      </c>
      <c r="C1929" t="inlineStr">
        <is>
          <t xml:space="preserve">INE144C01014</t>
        </is>
      </c>
    </row>
    <row r="1930">
      <c r="A1930" t="inlineStr">
        <is>
          <t xml:space="preserve">JAGAJITIND</t>
        </is>
      </c>
      <c r="B1930" t="inlineStr">
        <is>
          <t xml:space="preserve">JAGATJIT INDUSTRIES LTD.</t>
        </is>
      </c>
      <c r="C1930" t="inlineStr">
        <is>
          <t xml:space="preserve">INE574A01016</t>
        </is>
      </c>
    </row>
    <row r="1931">
      <c r="A1931" t="inlineStr">
        <is>
          <t xml:space="preserve">JAGJANANI</t>
        </is>
      </c>
      <c r="B1931" t="inlineStr">
        <is>
          <t xml:space="preserve">JAGJANANI TEXTILES LTD.</t>
        </is>
      </c>
      <c r="C1931" t="inlineStr">
        <is>
          <t xml:space="preserve">INE702H01018</t>
        </is>
      </c>
    </row>
    <row r="1932">
      <c r="A1932" t="inlineStr">
        <is>
          <t xml:space="preserve">JAGRAN</t>
        </is>
      </c>
      <c r="B1932" t="inlineStr">
        <is>
          <t xml:space="preserve">JAGRAN PRAKASHAN LTD.</t>
        </is>
      </c>
      <c r="C1932" t="inlineStr">
        <is>
          <t xml:space="preserve">INE199G01027</t>
        </is>
      </c>
    </row>
    <row r="1933">
      <c r="A1933" t="inlineStr">
        <is>
          <t xml:space="preserve">JAGSNPHARM</t>
        </is>
      </c>
      <c r="B1933" t="inlineStr">
        <is>
          <t xml:space="preserve">JAGSONPAL PHARMACEUTICALS LTD.</t>
        </is>
      </c>
      <c r="C1933" t="inlineStr">
        <is>
          <t xml:space="preserve">INE048B01035</t>
        </is>
      </c>
    </row>
    <row r="1934">
      <c r="A1934" t="inlineStr">
        <is>
          <t xml:space="preserve">JAGSONSER</t>
        </is>
      </c>
      <c r="B1934" t="inlineStr">
        <is>
          <t xml:space="preserve">JAGSONPAL SERVICES LIMITED</t>
        </is>
      </c>
      <c r="C1934" t="inlineStr">
        <is>
          <t xml:space="preserve">INE582C01015</t>
        </is>
      </c>
    </row>
    <row r="1935">
      <c r="A1935" t="inlineStr">
        <is>
          <t xml:space="preserve">JAIBALAJI</t>
        </is>
      </c>
      <c r="B1935" t="inlineStr">
        <is>
          <t xml:space="preserve">JAI BALAJI INDUSTRIES LTD.</t>
        </is>
      </c>
      <c r="C1935" t="inlineStr">
        <is>
          <t xml:space="preserve">INE091G01026</t>
        </is>
      </c>
    </row>
    <row r="1936">
      <c r="A1936" t="inlineStr">
        <is>
          <t xml:space="preserve">JAICORPLTD</t>
        </is>
      </c>
      <c r="B1936" t="inlineStr">
        <is>
          <t xml:space="preserve">JAI CORP LTD.</t>
        </is>
      </c>
      <c r="C1936" t="inlineStr">
        <is>
          <t xml:space="preserve">INE070D01027</t>
        </is>
      </c>
    </row>
    <row r="1937">
      <c r="A1937" t="inlineStr">
        <is>
          <t xml:space="preserve">JAIMATAG</t>
        </is>
      </c>
      <c r="B1937" t="inlineStr">
        <is>
          <t xml:space="preserve">JAI MATA GLASS LTD.</t>
        </is>
      </c>
      <c r="C1937" t="inlineStr">
        <is>
          <t xml:space="preserve">INE250C01027</t>
        </is>
      </c>
    </row>
    <row r="1938">
      <c r="A1938" t="inlineStr">
        <is>
          <t xml:space="preserve">JISLJALEQS</t>
        </is>
      </c>
      <c r="B1938" t="inlineStr">
        <is>
          <t xml:space="preserve">JAIN IRRIGATION SYSTEMS LTD.</t>
        </is>
      </c>
      <c r="C1938" t="inlineStr">
        <is>
          <t xml:space="preserve">INE175A01038</t>
        </is>
      </c>
    </row>
    <row r="1939">
      <c r="A1939" t="inlineStr">
        <is>
          <t xml:space="preserve">JAINREC</t>
        </is>
      </c>
      <c r="B1939" t="inlineStr">
        <is>
          <t xml:space="preserve">Jain Resource Recycling Limite</t>
        </is>
      </c>
      <c r="C1939" t="inlineStr">
        <is>
          <t xml:space="preserve">INE0YD401026</t>
        </is>
      </c>
    </row>
    <row r="1940">
      <c r="A1940" t="inlineStr">
        <is>
          <t xml:space="preserve">JAINCO</t>
        </is>
      </c>
      <c r="B1940" t="inlineStr">
        <is>
          <t xml:space="preserve">JAINCO PROJECTS (INDIA) LTD.</t>
        </is>
      </c>
      <c r="C1940" t="inlineStr">
        <is>
          <t xml:space="preserve">INE966C01010</t>
        </is>
      </c>
    </row>
    <row r="1941">
      <c r="A1941" t="inlineStr">
        <is>
          <t xml:space="preserve">JAINEX</t>
        </is>
      </c>
      <c r="B1941" t="inlineStr">
        <is>
          <t xml:space="preserve">JAINEX AAMCOL LTD.</t>
        </is>
      </c>
      <c r="C1941" t="inlineStr">
        <is>
          <t xml:space="preserve">INE280F01019</t>
        </is>
      </c>
    </row>
    <row r="1942">
      <c r="A1942" t="inlineStr">
        <is>
          <t xml:space="preserve">JAIPAN</t>
        </is>
      </c>
      <c r="B1942" t="inlineStr">
        <is>
          <t xml:space="preserve">JAIPAN INDUSTRIES LTD.</t>
        </is>
      </c>
      <c r="C1942" t="inlineStr">
        <is>
          <t xml:space="preserve">INE058D01030</t>
        </is>
      </c>
    </row>
    <row r="1943">
      <c r="A1943" t="inlineStr">
        <is>
          <t xml:space="preserve">JPPOWER</t>
        </is>
      </c>
      <c r="B1943" t="inlineStr">
        <is>
          <t xml:space="preserve">JAIPRAKASH POWER VENTURES LIMI</t>
        </is>
      </c>
      <c r="C1943" t="inlineStr">
        <is>
          <t xml:space="preserve">INE351F01018</t>
        </is>
      </c>
    </row>
    <row r="1944">
      <c r="A1944" t="inlineStr">
        <is>
          <t xml:space="preserve">JAMESWARREN</t>
        </is>
      </c>
      <c r="B1944" t="inlineStr">
        <is>
          <t xml:space="preserve">JAMES WARREN TEA LTD</t>
        </is>
      </c>
      <c r="C1944" t="inlineStr">
        <is>
          <t xml:space="preserve">INE718P01017</t>
        </is>
      </c>
    </row>
    <row r="1945">
      <c r="A1945" t="inlineStr">
        <is>
          <t xml:space="preserve">J&amp;KBANK</t>
        </is>
      </c>
      <c r="B1945" t="inlineStr">
        <is>
          <t xml:space="preserve">JAMMU &amp; KASHMIR BANK LTD.</t>
        </is>
      </c>
      <c r="C1945" t="inlineStr">
        <is>
          <t xml:space="preserve">INE168A01041</t>
        </is>
      </c>
    </row>
    <row r="1946">
      <c r="A1946" t="inlineStr">
        <is>
          <t xml:space="preserve">JAMNAAUTO</t>
        </is>
      </c>
      <c r="B1946" t="inlineStr">
        <is>
          <t xml:space="preserve">JAMNA AUTO INDUSTRIES LTD.</t>
        </is>
      </c>
      <c r="C1946" t="inlineStr">
        <is>
          <t xml:space="preserve">INE039C01032</t>
        </is>
      </c>
    </row>
    <row r="1947">
      <c r="A1947" t="inlineStr">
        <is>
          <t xml:space="preserve">JAMSHRI</t>
        </is>
      </c>
      <c r="B1947" t="inlineStr">
        <is>
          <t xml:space="preserve">JAMSHRI REALTY LIMITED</t>
        </is>
      </c>
      <c r="C1947" t="inlineStr">
        <is>
          <t xml:space="preserve">INE462D01034</t>
        </is>
      </c>
    </row>
    <row r="1948">
      <c r="A1948" t="inlineStr">
        <is>
          <t xml:space="preserve">JSFB</t>
        </is>
      </c>
      <c r="B1948" t="inlineStr">
        <is>
          <t xml:space="preserve">JANA SMALL FINANCE BANK LIMITE</t>
        </is>
      </c>
      <c r="C1948" t="inlineStr">
        <is>
          <t xml:space="preserve">INE953L01027</t>
        </is>
      </c>
    </row>
    <row r="1949">
      <c r="A1949" t="inlineStr">
        <is>
          <t xml:space="preserve">JARO</t>
        </is>
      </c>
      <c r="B1949" t="inlineStr">
        <is>
          <t xml:space="preserve">Jaro Institute of Technology M</t>
        </is>
      </c>
      <c r="C1949" t="inlineStr">
        <is>
          <t xml:space="preserve">INE00YJ01010</t>
        </is>
      </c>
    </row>
    <row r="1950">
      <c r="A1950" t="inlineStr">
        <is>
          <t xml:space="preserve">JGTL</t>
        </is>
      </c>
      <c r="B1950" t="inlineStr">
        <is>
          <t xml:space="preserve">JASCH GAUGING TECHNOLOGIES LIM</t>
        </is>
      </c>
      <c r="C1950" t="inlineStr">
        <is>
          <t xml:space="preserve">INE0QXV01014</t>
        </is>
      </c>
    </row>
    <row r="1951">
      <c r="A1951" t="inlineStr">
        <is>
          <t xml:space="preserve">JASCH</t>
        </is>
      </c>
      <c r="B1951" t="inlineStr">
        <is>
          <t xml:space="preserve">JASCH INDUSTRIES LTD.</t>
        </is>
      </c>
      <c r="C1951" t="inlineStr">
        <is>
          <t xml:space="preserve">INE711C01028</t>
        </is>
      </c>
    </row>
    <row r="1952">
      <c r="A1952" t="inlineStr">
        <is>
          <t xml:space="preserve">JASH</t>
        </is>
      </c>
      <c r="B1952" t="inlineStr">
        <is>
          <t xml:space="preserve">JASH ENGINEERING LIMITED</t>
        </is>
      </c>
      <c r="C1952" t="inlineStr">
        <is>
          <t xml:space="preserve">INE039O01029</t>
        </is>
      </c>
    </row>
    <row r="1953">
      <c r="A1953" t="inlineStr">
        <is>
          <t xml:space="preserve">JATTAINDUS</t>
        </is>
      </c>
      <c r="B1953" t="inlineStr">
        <is>
          <t xml:space="preserve">JATTASHANKAR INDUSTIES LTD.</t>
        </is>
      </c>
      <c r="C1953" t="inlineStr">
        <is>
          <t xml:space="preserve">INE722N01014</t>
        </is>
      </c>
    </row>
    <row r="1954">
      <c r="A1954" t="inlineStr">
        <is>
          <t xml:space="preserve">JAUSPOL</t>
        </is>
      </c>
      <c r="B1954" t="inlineStr">
        <is>
          <t xml:space="preserve">JAUSS POLYMERS LTD.</t>
        </is>
      </c>
      <c r="C1954" t="inlineStr">
        <is>
          <t xml:space="preserve">INE593O01017</t>
        </is>
      </c>
    </row>
    <row r="1955">
      <c r="A1955" t="inlineStr">
        <is>
          <t xml:space="preserve">CITYSQUARE</t>
        </is>
      </c>
      <c r="B1955" t="inlineStr">
        <is>
          <t xml:space="preserve">JAY AMBE SUPERMARKETS LIMITED</t>
        </is>
      </c>
      <c r="C1955" t="inlineStr">
        <is>
          <t xml:space="preserve">INE1DRH01011</t>
        </is>
      </c>
    </row>
    <row r="1956">
      <c r="A1956" t="inlineStr">
        <is>
          <t xml:space="preserve">JAYBARMARU</t>
        </is>
      </c>
      <c r="B1956" t="inlineStr">
        <is>
          <t xml:space="preserve">JAY BHARAT MARUTI LTD.</t>
        </is>
      </c>
      <c r="C1956" t="inlineStr">
        <is>
          <t xml:space="preserve">INE571B01036</t>
        </is>
      </c>
    </row>
    <row r="1957">
      <c r="A1957" t="inlineStr">
        <is>
          <t xml:space="preserve">JAYKAILASH</t>
        </is>
      </c>
      <c r="B1957" t="inlineStr">
        <is>
          <t xml:space="preserve">Jay Kailash Namkeen Limited</t>
        </is>
      </c>
      <c r="C1957" t="inlineStr">
        <is>
          <t xml:space="preserve">INE0MSS01019</t>
        </is>
      </c>
    </row>
    <row r="1958">
      <c r="A1958" t="inlineStr">
        <is>
          <t xml:space="preserve">JAYSREETEA</t>
        </is>
      </c>
      <c r="B1958" t="inlineStr">
        <is>
          <t xml:space="preserve">JAY SHREE TEA &amp; INDUSTRIES LTD</t>
        </is>
      </c>
      <c r="C1958" t="inlineStr">
        <is>
          <t xml:space="preserve">INE364A01020</t>
        </is>
      </c>
    </row>
    <row r="1959">
      <c r="A1959" t="inlineStr">
        <is>
          <t xml:space="preserve">JAYUSH</t>
        </is>
      </c>
      <c r="B1959" t="inlineStr">
        <is>
          <t xml:space="preserve">JAY USHIN LTD.</t>
        </is>
      </c>
      <c r="C1959" t="inlineStr">
        <is>
          <t xml:space="preserve">INE289D01015</t>
        </is>
      </c>
    </row>
    <row r="1960">
      <c r="A1960" t="inlineStr">
        <is>
          <t xml:space="preserve">JAYBHCR</t>
        </is>
      </c>
      <c r="B1960" t="inlineStr">
        <is>
          <t xml:space="preserve">JAYABHARAT CREDIT LTD.</t>
        </is>
      </c>
      <c r="C1960" t="inlineStr">
        <is>
          <t xml:space="preserve">INE998D01011</t>
        </is>
      </c>
    </row>
    <row r="1961">
      <c r="A1961" t="inlineStr">
        <is>
          <t xml:space="preserve">JAYAGROGN</t>
        </is>
      </c>
      <c r="B1961" t="inlineStr">
        <is>
          <t xml:space="preserve">JAYANT AGRO-ORGANICS LTD.</t>
        </is>
      </c>
      <c r="C1961" t="inlineStr">
        <is>
          <t xml:space="preserve">INE785A01026</t>
        </is>
      </c>
    </row>
    <row r="1962">
      <c r="A1962" t="inlineStr">
        <is>
          <t xml:space="preserve">JAYANT</t>
        </is>
      </c>
      <c r="B1962" t="inlineStr">
        <is>
          <t xml:space="preserve">JAYANT INFRATECH LIMITED</t>
        </is>
      </c>
      <c r="C1962" t="inlineStr">
        <is>
          <t xml:space="preserve">INE0KR801019</t>
        </is>
      </c>
    </row>
    <row r="1963">
      <c r="A1963" t="inlineStr">
        <is>
          <t xml:space="preserve">JAYNECOIND</t>
        </is>
      </c>
      <c r="B1963" t="inlineStr">
        <is>
          <t xml:space="preserve">JAYASWAL NECO INDUSTRIES LTD.</t>
        </is>
      </c>
      <c r="C1963" t="inlineStr">
        <is>
          <t xml:space="preserve">INE854B01010</t>
        </is>
      </c>
    </row>
    <row r="1964">
      <c r="A1964" t="inlineStr">
        <is>
          <t xml:space="preserve">JAYATMA</t>
        </is>
      </c>
      <c r="B1964" t="inlineStr">
        <is>
          <t xml:space="preserve">JAYATMA ENTERPRISES LIMITED</t>
        </is>
      </c>
      <c r="C1964" t="inlineStr">
        <is>
          <t xml:space="preserve">INE246D01015</t>
        </is>
      </c>
    </row>
    <row r="1965">
      <c r="A1965" t="inlineStr">
        <is>
          <t xml:space="preserve">JAYIND</t>
        </is>
      </c>
      <c r="B1965" t="inlineStr">
        <is>
          <t xml:space="preserve">JAYATMA INDUSTRIES LIMITED</t>
        </is>
      </c>
      <c r="C1965" t="inlineStr">
        <is>
          <t xml:space="preserve">INE250D01017</t>
        </is>
      </c>
    </row>
    <row r="1966">
      <c r="A1966" t="inlineStr">
        <is>
          <t xml:space="preserve">JAYKAY</t>
        </is>
      </c>
      <c r="B1966" t="inlineStr">
        <is>
          <t xml:space="preserve">Jaykay Enterprises Limited</t>
        </is>
      </c>
      <c r="C1966" t="inlineStr">
        <is>
          <t xml:space="preserve">INE903A01025</t>
        </is>
      </c>
    </row>
    <row r="1967">
      <c r="A1967" t="inlineStr">
        <is>
          <t xml:space="preserve">JAYCH</t>
        </is>
      </c>
      <c r="B1967" t="inlineStr">
        <is>
          <t xml:space="preserve">JAYSHREE CHEMICALS LTD.</t>
        </is>
      </c>
      <c r="C1967" t="inlineStr">
        <is>
          <t xml:space="preserve">INE693E01016</t>
        </is>
      </c>
    </row>
    <row r="1968">
      <c r="A1968" t="inlineStr">
        <is>
          <t xml:space="preserve">JAYSYNTH</t>
        </is>
      </c>
      <c r="B1968" t="inlineStr">
        <is>
          <t xml:space="preserve">JAYSYNTH ORGOCHEM LIMITED</t>
        </is>
      </c>
      <c r="C1968" t="inlineStr">
        <is>
          <t xml:space="preserve">INE263B01022</t>
        </is>
      </c>
    </row>
    <row r="1969">
      <c r="A1969" t="inlineStr">
        <is>
          <t xml:space="preserve">JBMA</t>
        </is>
      </c>
      <c r="B1969" t="inlineStr">
        <is>
          <t xml:space="preserve">JBM AUTO LTD.</t>
        </is>
      </c>
      <c r="C1969" t="inlineStr">
        <is>
          <t xml:space="preserve">INE927D01051</t>
        </is>
      </c>
    </row>
    <row r="1970">
      <c r="A1970" t="inlineStr">
        <is>
          <t xml:space="preserve">JDCABLES</t>
        </is>
      </c>
      <c r="B1970" t="inlineStr">
        <is>
          <t xml:space="preserve">JD CABLES LIMITED</t>
        </is>
      </c>
      <c r="C1970" t="inlineStr">
        <is>
          <t xml:space="preserve">INE14VP01014</t>
        </is>
      </c>
    </row>
    <row r="1971">
      <c r="A1971" t="inlineStr">
        <is>
          <t xml:space="preserve">JSLL</t>
        </is>
      </c>
      <c r="B1971" t="inlineStr">
        <is>
          <t xml:space="preserve">Jeena Sikho Lifecare Limited</t>
        </is>
      </c>
      <c r="C1971" t="inlineStr">
        <is>
          <t xml:space="preserve">INE0J5801029</t>
        </is>
      </c>
    </row>
    <row r="1972">
      <c r="A1972" t="inlineStr">
        <is>
          <t xml:space="preserve">JSTL</t>
        </is>
      </c>
      <c r="B1972" t="inlineStr">
        <is>
          <t xml:space="preserve">Jeevan Scientific Technology L</t>
        </is>
      </c>
      <c r="C1972" t="inlineStr">
        <is>
          <t xml:space="preserve">INE237B01018</t>
        </is>
      </c>
    </row>
    <row r="1973">
      <c r="A1973" t="inlineStr">
        <is>
          <t xml:space="preserve">JENBURPH</t>
        </is>
      </c>
      <c r="B1973" t="inlineStr">
        <is>
          <t xml:space="preserve">JENBURKT PHARMACEUTICALS LTD.</t>
        </is>
      </c>
      <c r="C1973" t="inlineStr">
        <is>
          <t xml:space="preserve">INE354A01013</t>
        </is>
      </c>
    </row>
    <row r="1974">
      <c r="A1974" t="inlineStr">
        <is>
          <t xml:space="preserve">JETFREIGHT</t>
        </is>
      </c>
      <c r="B1974" t="inlineStr">
        <is>
          <t xml:space="preserve">Jet Freight Logistics Limited</t>
        </is>
      </c>
      <c r="C1974" t="inlineStr">
        <is>
          <t xml:space="preserve">INE982V01025</t>
        </is>
      </c>
    </row>
    <row r="1975">
      <c r="A1975" t="inlineStr">
        <is>
          <t xml:space="preserve">JETKINGQ</t>
        </is>
      </c>
      <c r="B1975" t="inlineStr">
        <is>
          <t xml:space="preserve">JETKING INFOTRAIN LTD.</t>
        </is>
      </c>
      <c r="C1975" t="inlineStr">
        <is>
          <t xml:space="preserve">INE919C01019</t>
        </is>
      </c>
    </row>
    <row r="1976">
      <c r="A1976" t="inlineStr">
        <is>
          <t xml:space="preserve">JFL</t>
        </is>
      </c>
      <c r="B1976" t="inlineStr">
        <is>
          <t xml:space="preserve">Jhandewalas Foods Limited</t>
        </is>
      </c>
      <c r="C1976" t="inlineStr">
        <is>
          <t xml:space="preserve">INE841Y01019</t>
        </is>
      </c>
    </row>
    <row r="1977">
      <c r="A1977" t="inlineStr">
        <is>
          <t xml:space="preserve">JHACC</t>
        </is>
      </c>
      <c r="B1977" t="inlineStr">
        <is>
          <t xml:space="preserve">JHAVERI CREDITS &amp; CAPITAL LTD.</t>
        </is>
      </c>
      <c r="C1977" t="inlineStr">
        <is>
          <t xml:space="preserve">INE865D01012</t>
        </is>
      </c>
    </row>
    <row r="1978">
      <c r="A1978" t="inlineStr">
        <is>
          <t xml:space="preserve">JHS</t>
        </is>
      </c>
      <c r="B1978" t="inlineStr">
        <is>
          <t xml:space="preserve">JHS SVENDGAARD LABORATORIES LT</t>
        </is>
      </c>
      <c r="C1978" t="inlineStr">
        <is>
          <t xml:space="preserve">INE544H01014</t>
        </is>
      </c>
    </row>
    <row r="1979">
      <c r="A1979" t="inlineStr">
        <is>
          <t xml:space="preserve">RETAIL</t>
        </is>
      </c>
      <c r="B1979" t="inlineStr">
        <is>
          <t xml:space="preserve">JHS SVENDGAARD RETAIL VENTURES</t>
        </is>
      </c>
      <c r="C1979" t="inlineStr">
        <is>
          <t xml:space="preserve">INE03DD01011</t>
        </is>
      </c>
    </row>
    <row r="1980">
      <c r="A1980" t="inlineStr">
        <is>
          <t xml:space="preserve">JINDCAP</t>
        </is>
      </c>
      <c r="B1980" t="inlineStr">
        <is>
          <t xml:space="preserve">JINDAL CAPITAL LTD.</t>
        </is>
      </c>
      <c r="C1980" t="inlineStr">
        <is>
          <t xml:space="preserve">INE356F01017</t>
        </is>
      </c>
    </row>
    <row r="1981">
      <c r="A1981" t="inlineStr">
        <is>
          <t xml:space="preserve">JINDRILL</t>
        </is>
      </c>
      <c r="B1981" t="inlineStr">
        <is>
          <t xml:space="preserve">JINDAL DRILLING &amp; INDUSTRIES L</t>
        </is>
      </c>
      <c r="C1981" t="inlineStr">
        <is>
          <t xml:space="preserve">INE742C01031</t>
        </is>
      </c>
    </row>
    <row r="1982">
      <c r="A1982" t="inlineStr">
        <is>
          <t xml:space="preserve">JINDHOT</t>
        </is>
      </c>
      <c r="B1982" t="inlineStr">
        <is>
          <t xml:space="preserve">JINDAL HOTELS LTD.</t>
        </is>
      </c>
      <c r="C1982" t="inlineStr">
        <is>
          <t xml:space="preserve">INE726D01016</t>
        </is>
      </c>
    </row>
    <row r="1983">
      <c r="A1983" t="inlineStr">
        <is>
          <t xml:space="preserve">JLL</t>
        </is>
      </c>
      <c r="B1983" t="inlineStr">
        <is>
          <t xml:space="preserve">JINDAL LEASEFIN LIMITED</t>
        </is>
      </c>
      <c r="C1983" t="inlineStr">
        <is>
          <t xml:space="preserve">INE919T01013</t>
        </is>
      </c>
    </row>
    <row r="1984">
      <c r="A1984" t="inlineStr">
        <is>
          <t xml:space="preserve">JINDALPHOT</t>
        </is>
      </c>
      <c r="B1984" t="inlineStr">
        <is>
          <t xml:space="preserve">JINDAL PHOTO LTD.</t>
        </is>
      </c>
      <c r="C1984" t="inlineStr">
        <is>
          <t xml:space="preserve">INE796G01012</t>
        </is>
      </c>
    </row>
    <row r="1985">
      <c r="A1985" t="inlineStr">
        <is>
          <t xml:space="preserve">JINDALPOLY</t>
        </is>
      </c>
      <c r="B1985" t="inlineStr">
        <is>
          <t xml:space="preserve">JINDAL POLY FILMS LIMITED</t>
        </is>
      </c>
      <c r="C1985" t="inlineStr">
        <is>
          <t xml:space="preserve">INE197D01010</t>
        </is>
      </c>
    </row>
    <row r="1986">
      <c r="A1986" t="inlineStr">
        <is>
          <t xml:space="preserve">JPOLYINVST</t>
        </is>
      </c>
      <c r="B1986" t="inlineStr">
        <is>
          <t xml:space="preserve">JINDAL POLY INVESTMENT AND FIN</t>
        </is>
      </c>
      <c r="C1986" t="inlineStr">
        <is>
          <t xml:space="preserve">INE147P01019</t>
        </is>
      </c>
    </row>
    <row r="1987">
      <c r="A1987" t="inlineStr">
        <is>
          <t xml:space="preserve">JINDALSAW</t>
        </is>
      </c>
      <c r="B1987" t="inlineStr">
        <is>
          <t xml:space="preserve">JINDAL SAW LTD.</t>
        </is>
      </c>
      <c r="C1987" t="inlineStr">
        <is>
          <t xml:space="preserve">INE324A01032</t>
        </is>
      </c>
    </row>
    <row r="1988">
      <c r="A1988" t="inlineStr">
        <is>
          <t xml:space="preserve">JSL</t>
        </is>
      </c>
      <c r="B1988" t="inlineStr">
        <is>
          <t xml:space="preserve">JINDAL STAINLESS LTD.</t>
        </is>
      </c>
      <c r="C1988" t="inlineStr">
        <is>
          <t xml:space="preserve">INE220G01021</t>
        </is>
      </c>
    </row>
    <row r="1989">
      <c r="A1989" t="inlineStr">
        <is>
          <t xml:space="preserve">JINDALSTEL</t>
        </is>
      </c>
      <c r="B1989" t="inlineStr">
        <is>
          <t xml:space="preserve">JINDAL STEEL LIMITED</t>
        </is>
      </c>
      <c r="C1989" t="inlineStr">
        <is>
          <t xml:space="preserve">INE749A01030</t>
        </is>
      </c>
    </row>
    <row r="1990">
      <c r="A1990" t="inlineStr">
        <is>
          <t xml:space="preserve">JINDWORLD</t>
        </is>
      </c>
      <c r="B1990" t="inlineStr">
        <is>
          <t xml:space="preserve">JINDAL WORLDWIDE LTD.</t>
        </is>
      </c>
      <c r="C1990" t="inlineStr">
        <is>
          <t xml:space="preserve">INE247D01039</t>
        </is>
      </c>
    </row>
    <row r="1991">
      <c r="A1991" t="inlineStr">
        <is>
          <t xml:space="preserve">JKIPL</t>
        </is>
      </c>
      <c r="B1991" t="inlineStr">
        <is>
          <t xml:space="preserve">Jinkushal Industries Limited</t>
        </is>
      </c>
      <c r="C1991" t="inlineStr">
        <is>
          <t xml:space="preserve">INE1FF001016</t>
        </is>
      </c>
    </row>
    <row r="1992">
      <c r="A1992" t="inlineStr">
        <is>
          <t xml:space="preserve">JIOFIN</t>
        </is>
      </c>
      <c r="B1992" t="inlineStr">
        <is>
          <t xml:space="preserve">Jio Financial Services Limited</t>
        </is>
      </c>
      <c r="C1992" t="inlineStr">
        <is>
          <t xml:space="preserve">INE758E01017</t>
        </is>
      </c>
    </row>
    <row r="1993">
      <c r="A1993" t="inlineStr">
        <is>
          <t xml:space="preserve">JITFINFRA</t>
        </is>
      </c>
      <c r="B1993" t="inlineStr">
        <is>
          <t xml:space="preserve">JITF INFRALOGISTICS LIMITED</t>
        </is>
      </c>
      <c r="C1993" t="inlineStr">
        <is>
          <t xml:space="preserve">INE863T01013</t>
        </is>
      </c>
    </row>
    <row r="1994">
      <c r="A1994" t="inlineStr">
        <is>
          <t xml:space="preserve">JIVIAL</t>
        </is>
      </c>
      <c r="B1994" t="inlineStr">
        <is>
          <t xml:space="preserve">Jivial Industries Limited</t>
        </is>
      </c>
      <c r="C1994" t="inlineStr">
        <is>
          <t xml:space="preserve">INE0V3T01017</t>
        </is>
      </c>
    </row>
    <row r="1995">
      <c r="A1995" t="inlineStr">
        <is>
          <t xml:space="preserve">JKAGRI</t>
        </is>
      </c>
      <c r="B1995" t="inlineStr">
        <is>
          <t xml:space="preserve">JK AGRI GENETICS LTD</t>
        </is>
      </c>
      <c r="C1995" t="inlineStr">
        <is>
          <t xml:space="preserve">INE690O01011</t>
        </is>
      </c>
    </row>
    <row r="1996">
      <c r="A1996" t="inlineStr">
        <is>
          <t xml:space="preserve">JKLAKSHMI</t>
        </is>
      </c>
      <c r="B1996" t="inlineStr">
        <is>
          <t xml:space="preserve">JK LAKSHMI CEMENT LTD.</t>
        </is>
      </c>
      <c r="C1996" t="inlineStr">
        <is>
          <t xml:space="preserve">INE786A01032</t>
        </is>
      </c>
    </row>
    <row r="1997">
      <c r="A1997" t="inlineStr">
        <is>
          <t xml:space="preserve">JKPAPER</t>
        </is>
      </c>
      <c r="B1997" t="inlineStr">
        <is>
          <t xml:space="preserve">JK PAPER LTD.</t>
        </is>
      </c>
      <c r="C1997" t="inlineStr">
        <is>
          <t xml:space="preserve">INE789E01012</t>
        </is>
      </c>
    </row>
    <row r="1998">
      <c r="A1998" t="inlineStr">
        <is>
          <t xml:space="preserve">JKTYRE</t>
        </is>
      </c>
      <c r="B1998" t="inlineStr">
        <is>
          <t xml:space="preserve">JK TYRE &amp; INDUSTRIES LTD.</t>
        </is>
      </c>
      <c r="C1998" t="inlineStr">
        <is>
          <t xml:space="preserve">INE573A01042</t>
        </is>
      </c>
    </row>
    <row r="1999">
      <c r="A1999" t="inlineStr">
        <is>
          <t xml:space="preserve">JSHL</t>
        </is>
      </c>
      <c r="B1999" t="inlineStr">
        <is>
          <t xml:space="preserve">JLA Infraville Shoppers Limite</t>
        </is>
      </c>
      <c r="C1999" t="inlineStr">
        <is>
          <t xml:space="preserve">INE401Q01018</t>
        </is>
      </c>
    </row>
    <row r="2000">
      <c r="A2000" t="inlineStr">
        <is>
          <t xml:space="preserve">JMFINANCIL</t>
        </is>
      </c>
      <c r="B2000" t="inlineStr">
        <is>
          <t xml:space="preserve">JM FINANCIAL LTD.</t>
        </is>
      </c>
      <c r="C2000" t="inlineStr">
        <is>
          <t xml:space="preserve">INE780C01023</t>
        </is>
      </c>
    </row>
    <row r="2001">
      <c r="A2001" t="inlineStr">
        <is>
          <t xml:space="preserve">JMDVL</t>
        </is>
      </c>
      <c r="B2001" t="inlineStr">
        <is>
          <t xml:space="preserve">JMD Ventures Limited</t>
        </is>
      </c>
      <c r="C2001" t="inlineStr">
        <is>
          <t xml:space="preserve">INE047E01031</t>
        </is>
      </c>
    </row>
    <row r="2002">
      <c r="A2002" t="inlineStr">
        <is>
          <t xml:space="preserve">975JMFCS28</t>
        </is>
      </c>
      <c r="B2002" t="inlineStr">
        <is>
          <t xml:space="preserve">JMFCSL-9.75%-7-6-28-NCD</t>
        </is>
      </c>
      <c r="C2002" t="inlineStr">
        <is>
          <t xml:space="preserve">INE651J07622</t>
        </is>
      </c>
    </row>
    <row r="2003">
      <c r="A2003" t="inlineStr">
        <is>
          <t xml:space="preserve">791JMFPL26</t>
        </is>
      </c>
      <c r="B2003" t="inlineStr">
        <is>
          <t xml:space="preserve">JMFPL-7.91%-7-10-26-NCD</t>
        </is>
      </c>
      <c r="C2003" t="inlineStr">
        <is>
          <t xml:space="preserve">INE523H07BP1</t>
        </is>
      </c>
    </row>
    <row r="2004">
      <c r="A2004" t="inlineStr">
        <is>
          <t xml:space="preserve">JMJFIN</t>
        </is>
      </c>
      <c r="B2004" t="inlineStr">
        <is>
          <t xml:space="preserve">JMJ Fintech Limited</t>
        </is>
      </c>
      <c r="C2004" t="inlineStr">
        <is>
          <t xml:space="preserve">INE242Q01016</t>
        </is>
      </c>
    </row>
    <row r="2005">
      <c r="A2005" t="inlineStr">
        <is>
          <t xml:space="preserve">JNKINDIA</t>
        </is>
      </c>
      <c r="B2005" t="inlineStr">
        <is>
          <t xml:space="preserve">JNK India Limited</t>
        </is>
      </c>
      <c r="C2005" t="inlineStr">
        <is>
          <t xml:space="preserve">INE0OAF01028</t>
        </is>
      </c>
    </row>
    <row r="2006">
      <c r="A2006" t="inlineStr">
        <is>
          <t xml:space="preserve">COCKERILL</t>
        </is>
      </c>
      <c r="B2006" t="inlineStr">
        <is>
          <t xml:space="preserve">JOHN COCKERILL INDIA LIMITED</t>
        </is>
      </c>
      <c r="C2006" t="inlineStr">
        <is>
          <t xml:space="preserve">INE515A01019</t>
        </is>
      </c>
    </row>
    <row r="2007">
      <c r="A2007" t="inlineStr">
        <is>
          <t xml:space="preserve">JOHNPHARMA</t>
        </is>
      </c>
      <c r="B2007" t="inlineStr">
        <is>
          <t xml:space="preserve">JOHNSON PHARMACARE LIMITED</t>
        </is>
      </c>
      <c r="C2007" t="inlineStr">
        <is>
          <t xml:space="preserve">INE560F01022</t>
        </is>
      </c>
    </row>
    <row r="2008">
      <c r="A2008" t="inlineStr">
        <is>
          <t xml:space="preserve">JOINDRE</t>
        </is>
      </c>
      <c r="B2008" t="inlineStr">
        <is>
          <t xml:space="preserve">JOINDRE CAPITAL SERVICES LTD.</t>
        </is>
      </c>
      <c r="C2008" t="inlineStr">
        <is>
          <t xml:space="preserve">INE024B01010</t>
        </is>
      </c>
    </row>
    <row r="2009">
      <c r="A2009" t="inlineStr">
        <is>
          <t xml:space="preserve">JOJO</t>
        </is>
      </c>
      <c r="B2009" t="inlineStr">
        <is>
          <t xml:space="preserve">JOJO LIMITED</t>
        </is>
      </c>
      <c r="C2009" t="inlineStr">
        <is>
          <t xml:space="preserve">INE312M01016</t>
        </is>
      </c>
    </row>
    <row r="2010">
      <c r="A2010" t="inlineStr">
        <is>
          <t xml:space="preserve">JOLYPLS</t>
        </is>
      </c>
      <c r="B2010" t="inlineStr">
        <is>
          <t xml:space="preserve">JOLLY PLASTIC INDUSTRIES LTD.</t>
        </is>
      </c>
      <c r="C2010" t="inlineStr">
        <is>
          <t xml:space="preserve">INE289M01016</t>
        </is>
      </c>
    </row>
    <row r="2011">
      <c r="A2011" t="inlineStr">
        <is>
          <t xml:space="preserve">JONJUA</t>
        </is>
      </c>
      <c r="B2011" t="inlineStr">
        <is>
          <t xml:space="preserve">Jonjua Overseas Limited</t>
        </is>
      </c>
      <c r="C2011" t="inlineStr">
        <is>
          <t xml:space="preserve">INE793Z01027</t>
        </is>
      </c>
    </row>
    <row r="2012">
      <c r="A2012" t="inlineStr">
        <is>
          <t xml:space="preserve">JOSTS</t>
        </is>
      </c>
      <c r="B2012" t="inlineStr">
        <is>
          <t xml:space="preserve">JOSTS ENGINEERING CO.LTD.</t>
        </is>
      </c>
      <c r="C2012" t="inlineStr">
        <is>
          <t xml:space="preserve">INE636D01041</t>
        </is>
      </c>
    </row>
    <row r="2013">
      <c r="A2013" t="inlineStr">
        <is>
          <t xml:space="preserve">JSLINDL</t>
        </is>
      </c>
      <c r="B2013" t="inlineStr">
        <is>
          <t xml:space="preserve">JSL INDUSTRIES LTD.</t>
        </is>
      </c>
      <c r="C2013" t="inlineStr">
        <is>
          <t xml:space="preserve">INE581L01018</t>
        </is>
      </c>
    </row>
    <row r="2014">
      <c r="A2014" t="inlineStr">
        <is>
          <t xml:space="preserve">JSWCEMENT</t>
        </is>
      </c>
      <c r="B2014" t="inlineStr">
        <is>
          <t xml:space="preserve">JSW CEMENT LIMITED</t>
        </is>
      </c>
      <c r="C2014" t="inlineStr">
        <is>
          <t xml:space="preserve">INE718I01012</t>
        </is>
      </c>
    </row>
    <row r="2015">
      <c r="A2015" t="inlineStr">
        <is>
          <t xml:space="preserve">JSWDULUX</t>
        </is>
      </c>
      <c r="B2015" t="inlineStr">
        <is>
          <t xml:space="preserve">JSW Dulux Limited</t>
        </is>
      </c>
      <c r="C2015" t="inlineStr">
        <is>
          <t xml:space="preserve">INE133A01011</t>
        </is>
      </c>
    </row>
    <row r="2016">
      <c r="A2016" t="inlineStr">
        <is>
          <t xml:space="preserve">JSWENERGY</t>
        </is>
      </c>
      <c r="B2016" t="inlineStr">
        <is>
          <t xml:space="preserve">JSW ENERGY LTD</t>
        </is>
      </c>
      <c r="C2016" t="inlineStr">
        <is>
          <t xml:space="preserve">INE121E01018</t>
        </is>
      </c>
    </row>
    <row r="2017">
      <c r="A2017" t="inlineStr">
        <is>
          <t xml:space="preserve">JSWHL</t>
        </is>
      </c>
      <c r="B2017" t="inlineStr">
        <is>
          <t xml:space="preserve">JSW HOLDINGS LIMITED</t>
        </is>
      </c>
      <c r="C2017" t="inlineStr">
        <is>
          <t xml:space="preserve">INE824G01012</t>
        </is>
      </c>
    </row>
    <row r="2018">
      <c r="A2018" t="inlineStr">
        <is>
          <t xml:space="preserve">JSWINFRA</t>
        </is>
      </c>
      <c r="B2018" t="inlineStr">
        <is>
          <t xml:space="preserve">JSW Infrastructure Limited</t>
        </is>
      </c>
      <c r="C2018" t="inlineStr">
        <is>
          <t xml:space="preserve">INE880J01026</t>
        </is>
      </c>
    </row>
    <row r="2019">
      <c r="A2019" t="inlineStr">
        <is>
          <t xml:space="preserve">JSWSTEEL</t>
        </is>
      </c>
      <c r="B2019" t="inlineStr">
        <is>
          <t xml:space="preserve">JSW STEEL LTD.</t>
        </is>
      </c>
      <c r="C2019" t="inlineStr">
        <is>
          <t xml:space="preserve">INE019A01038</t>
        </is>
      </c>
    </row>
    <row r="2020">
      <c r="A2020" t="inlineStr">
        <is>
          <t xml:space="preserve">JTEKTINDIA</t>
        </is>
      </c>
      <c r="B2020" t="inlineStr">
        <is>
          <t xml:space="preserve">JTEKT India Ltd</t>
        </is>
      </c>
      <c r="C2020" t="inlineStr">
        <is>
          <t xml:space="preserve">INE643A01035</t>
        </is>
      </c>
    </row>
    <row r="2021">
      <c r="A2021" t="inlineStr">
        <is>
          <t xml:space="preserve">JTLIND</t>
        </is>
      </c>
      <c r="B2021" t="inlineStr">
        <is>
          <t xml:space="preserve">JTL INDUSTRIES LIMITED</t>
        </is>
      </c>
      <c r="C2021" t="inlineStr">
        <is>
          <t xml:space="preserve">INE391J01032</t>
        </is>
      </c>
    </row>
    <row r="2022">
      <c r="A2022" t="inlineStr">
        <is>
          <t xml:space="preserve">JUBLCPL</t>
        </is>
      </c>
      <c r="B2022" t="inlineStr">
        <is>
          <t xml:space="preserve">Jubilant Agri and Consumer Pro</t>
        </is>
      </c>
      <c r="C2022" t="inlineStr">
        <is>
          <t xml:space="preserve">INE03CC01015</t>
        </is>
      </c>
    </row>
    <row r="2023">
      <c r="A2023" t="inlineStr">
        <is>
          <t xml:space="preserve">JUBLFOOD</t>
        </is>
      </c>
      <c r="B2023" t="inlineStr">
        <is>
          <t xml:space="preserve">JUBILANT FOODWORKS LTD</t>
        </is>
      </c>
      <c r="C2023" t="inlineStr">
        <is>
          <t xml:space="preserve">INE797F01020</t>
        </is>
      </c>
    </row>
    <row r="2024">
      <c r="A2024" t="inlineStr">
        <is>
          <t xml:space="preserve">JUBLINGREA</t>
        </is>
      </c>
      <c r="B2024" t="inlineStr">
        <is>
          <t xml:space="preserve">Jubilant Ingrevia Limited</t>
        </is>
      </c>
      <c r="C2024" t="inlineStr">
        <is>
          <t xml:space="preserve">INE0BY001018</t>
        </is>
      </c>
    </row>
    <row r="2025">
      <c r="A2025" t="inlineStr">
        <is>
          <t xml:space="preserve">JUBLPHARMA</t>
        </is>
      </c>
      <c r="B2025" t="inlineStr">
        <is>
          <t xml:space="preserve">JUBILANT PHARMOVA LIMITED</t>
        </is>
      </c>
      <c r="C2025" t="inlineStr">
        <is>
          <t xml:space="preserve">INE700A01033</t>
        </is>
      </c>
    </row>
    <row r="2026">
      <c r="A2026" t="inlineStr">
        <is>
          <t xml:space="preserve">JULIEN</t>
        </is>
      </c>
      <c r="B2026" t="inlineStr">
        <is>
          <t xml:space="preserve">JULIEN AGRO INFRATECH LIMITED</t>
        </is>
      </c>
      <c r="C2026" t="inlineStr">
        <is>
          <t xml:space="preserve">INE890N01027</t>
        </is>
      </c>
    </row>
    <row r="2027">
      <c r="A2027" t="inlineStr">
        <is>
          <t xml:space="preserve">JUMBO</t>
        </is>
      </c>
      <c r="B2027" t="inlineStr">
        <is>
          <t xml:space="preserve">JUMBO BAG LTD.</t>
        </is>
      </c>
      <c r="C2027" t="inlineStr">
        <is>
          <t xml:space="preserve">INE699D01015</t>
        </is>
      </c>
    </row>
    <row r="2028">
      <c r="A2028" t="inlineStr">
        <is>
          <t xml:space="preserve">JUNGLECAMP</t>
        </is>
      </c>
      <c r="B2028" t="inlineStr">
        <is>
          <t xml:space="preserve">JUNGLE CAMPS INDIA LIMITED</t>
        </is>
      </c>
      <c r="C2028" t="inlineStr">
        <is>
          <t xml:space="preserve">INE0WCH01015</t>
        </is>
      </c>
    </row>
    <row r="2029">
      <c r="A2029" t="inlineStr">
        <is>
          <t xml:space="preserve">JUNIPER</t>
        </is>
      </c>
      <c r="B2029" t="inlineStr">
        <is>
          <t xml:space="preserve">Juniper Hotels Limited</t>
        </is>
      </c>
      <c r="C2029" t="inlineStr">
        <is>
          <t xml:space="preserve">INE696F01016</t>
        </is>
      </c>
    </row>
    <row r="2030">
      <c r="A2030" t="inlineStr">
        <is>
          <t xml:space="preserve">JUPITERIN</t>
        </is>
      </c>
      <c r="B2030" t="inlineStr">
        <is>
          <t xml:space="preserve">JUPITER INFOMEDIA LTD.</t>
        </is>
      </c>
      <c r="C2030" t="inlineStr">
        <is>
          <t xml:space="preserve">INE524N01014</t>
        </is>
      </c>
    </row>
    <row r="2031">
      <c r="A2031" t="inlineStr">
        <is>
          <t xml:space="preserve">JLHL</t>
        </is>
      </c>
      <c r="B2031" t="inlineStr">
        <is>
          <t xml:space="preserve">Jupiter Life Line Hospitals Li</t>
        </is>
      </c>
      <c r="C2031" t="inlineStr">
        <is>
          <t xml:space="preserve">INE682M01012</t>
        </is>
      </c>
    </row>
    <row r="2032">
      <c r="A2032" t="inlineStr">
        <is>
          <t xml:space="preserve">JWL</t>
        </is>
      </c>
      <c r="B2032" t="inlineStr">
        <is>
          <t xml:space="preserve">JUPITER WAGONS LIMITED</t>
        </is>
      </c>
      <c r="C2032" t="inlineStr">
        <is>
          <t xml:space="preserve">INE209L01016</t>
        </is>
      </c>
    </row>
    <row r="2033">
      <c r="A2033" t="inlineStr">
        <is>
          <t xml:space="preserve">JUSTDIAL</t>
        </is>
      </c>
      <c r="B2033" t="inlineStr">
        <is>
          <t xml:space="preserve">JUST DIAL LTD.</t>
        </is>
      </c>
      <c r="C2033" t="inlineStr">
        <is>
          <t xml:space="preserve">INE599M01018</t>
        </is>
      </c>
    </row>
    <row r="2034">
      <c r="A2034" t="inlineStr">
        <is>
          <t xml:space="preserve">JUSTO</t>
        </is>
      </c>
      <c r="B2034" t="inlineStr">
        <is>
          <t xml:space="preserve">Justo Realfintech Limited</t>
        </is>
      </c>
      <c r="C2034" t="inlineStr">
        <is>
          <t xml:space="preserve">INE0W5Q01017</t>
        </is>
      </c>
    </row>
    <row r="2035">
      <c r="A2035" t="inlineStr">
        <is>
          <t xml:space="preserve">JYOTHYLAB</t>
        </is>
      </c>
      <c r="B2035" t="inlineStr">
        <is>
          <t xml:space="preserve">JYOTHY LABS LIMITED</t>
        </is>
      </c>
      <c r="C2035" t="inlineStr">
        <is>
          <t xml:space="preserve">INE668F01031</t>
        </is>
      </c>
    </row>
    <row r="2036">
      <c r="A2036" t="inlineStr">
        <is>
          <t xml:space="preserve">JYOTICNC</t>
        </is>
      </c>
      <c r="B2036" t="inlineStr">
        <is>
          <t xml:space="preserve">Jyoti CNC Automation Limited</t>
        </is>
      </c>
      <c r="C2036" t="inlineStr">
        <is>
          <t xml:space="preserve">INE980O01024</t>
        </is>
      </c>
    </row>
    <row r="2037">
      <c r="A2037" t="inlineStr">
        <is>
          <t xml:space="preserve">JYOTI</t>
        </is>
      </c>
      <c r="B2037" t="inlineStr">
        <is>
          <t xml:space="preserve">JYOTI LTD.</t>
        </is>
      </c>
      <c r="C2037" t="inlineStr">
        <is>
          <t xml:space="preserve">INE511D01012</t>
        </is>
      </c>
    </row>
    <row r="2038">
      <c r="A2038" t="inlineStr">
        <is>
          <t xml:space="preserve">JYOTIRES</t>
        </is>
      </c>
      <c r="B2038" t="inlineStr">
        <is>
          <t xml:space="preserve">JYOTI RESINS &amp; ADHESIVES LTD.</t>
        </is>
      </c>
      <c r="C2038" t="inlineStr">
        <is>
          <t xml:space="preserve">INE577D01013</t>
        </is>
      </c>
    </row>
    <row r="2039">
      <c r="A2039" t="inlineStr">
        <is>
          <t xml:space="preserve">JYOTISTRUC</t>
        </is>
      </c>
      <c r="B2039" t="inlineStr">
        <is>
          <t xml:space="preserve">JYOTI STRUCTURES LTD.</t>
        </is>
      </c>
      <c r="C2039" t="inlineStr">
        <is>
          <t xml:space="preserve">INE197A01024</t>
        </is>
      </c>
    </row>
    <row r="2040">
      <c r="A2040" t="inlineStr">
        <is>
          <t xml:space="preserve">KKSILK</t>
        </is>
      </c>
      <c r="B2040" t="inlineStr">
        <is>
          <t xml:space="preserve">K K SILK MILLS LIMITED</t>
        </is>
      </c>
      <c r="C2040" t="inlineStr">
        <is>
          <t xml:space="preserve">INE0EOJ01014</t>
        </is>
      </c>
    </row>
    <row r="2041">
      <c r="A2041" t="inlineStr">
        <is>
          <t xml:space="preserve">KRRAIL</t>
        </is>
      </c>
      <c r="B2041" t="inlineStr">
        <is>
          <t xml:space="preserve">K&amp;R RAIL ENGINEERING LIMITED</t>
        </is>
      </c>
      <c r="C2041" t="inlineStr">
        <is>
          <t xml:space="preserve">INE078T01026</t>
        </is>
      </c>
    </row>
    <row r="2042">
      <c r="A2042" t="inlineStr">
        <is>
          <t xml:space="preserve">KVTOYS</t>
        </is>
      </c>
      <c r="B2042" t="inlineStr">
        <is>
          <t xml:space="preserve">K. V. TOYS INDIA LIMITED</t>
        </is>
      </c>
      <c r="C2042" t="inlineStr">
        <is>
          <t xml:space="preserve">INE1IE301018</t>
        </is>
      </c>
    </row>
    <row r="2043">
      <c r="A2043" t="inlineStr">
        <is>
          <t xml:space="preserve">KCP</t>
        </is>
      </c>
      <c r="B2043" t="inlineStr">
        <is>
          <t xml:space="preserve">K.C.P.LTD.</t>
        </is>
      </c>
      <c r="C2043" t="inlineStr">
        <is>
          <t xml:space="preserve">INE805C01028</t>
        </is>
      </c>
    </row>
    <row r="2044">
      <c r="A2044" t="inlineStr">
        <is>
          <t xml:space="preserve">KMSUGAR</t>
        </is>
      </c>
      <c r="B2044" t="inlineStr">
        <is>
          <t xml:space="preserve">K.M.SUGAR MILLS LTD.</t>
        </is>
      </c>
      <c r="C2044" t="inlineStr">
        <is>
          <t xml:space="preserve">INE157H01023</t>
        </is>
      </c>
    </row>
    <row r="2045">
      <c r="A2045" t="inlineStr">
        <is>
          <t xml:space="preserve">KPEL</t>
        </is>
      </c>
      <c r="B2045" t="inlineStr">
        <is>
          <t xml:space="preserve">K.P. Energy Limited</t>
        </is>
      </c>
      <c r="C2045" t="inlineStr">
        <is>
          <t xml:space="preserve">INE127T01021</t>
        </is>
      </c>
    </row>
    <row r="2046">
      <c r="A2046" t="inlineStr">
        <is>
          <t xml:space="preserve">KPRMILL</t>
        </is>
      </c>
      <c r="B2046" t="inlineStr">
        <is>
          <t xml:space="preserve">K.P.R.MILL LIMITED</t>
        </is>
      </c>
      <c r="C2046" t="inlineStr">
        <is>
          <t xml:space="preserve">INE930H01031</t>
        </is>
      </c>
    </row>
    <row r="2047">
      <c r="A2047" t="inlineStr">
        <is>
          <t xml:space="preserve">KZLFIN</t>
        </is>
      </c>
      <c r="B2047" t="inlineStr">
        <is>
          <t xml:space="preserve">K.Z.LEASING &amp; FINANCE LTD.</t>
        </is>
      </c>
      <c r="C2047" t="inlineStr">
        <is>
          <t xml:space="preserve">INE006C01015</t>
        </is>
      </c>
    </row>
    <row r="2048">
      <c r="A2048" t="inlineStr">
        <is>
          <t xml:space="preserve">KAARYAFSL</t>
        </is>
      </c>
      <c r="B2048" t="inlineStr">
        <is>
          <t xml:space="preserve">Kaarya Facilities and Services</t>
        </is>
      </c>
      <c r="C2048" t="inlineStr">
        <is>
          <t xml:space="preserve">INE282Y01016</t>
        </is>
      </c>
    </row>
    <row r="2049">
      <c r="A2049" t="inlineStr">
        <is>
          <t xml:space="preserve">KABRADG</t>
        </is>
      </c>
      <c r="B2049" t="inlineStr">
        <is>
          <t xml:space="preserve">KABRA DRUGS LTD.</t>
        </is>
      </c>
      <c r="C2049" t="inlineStr">
        <is>
          <t xml:space="preserve">INE323K01017</t>
        </is>
      </c>
    </row>
    <row r="2050">
      <c r="A2050" t="inlineStr">
        <is>
          <t xml:space="preserve">KABRAEXTRU</t>
        </is>
      </c>
      <c r="B2050" t="inlineStr">
        <is>
          <t xml:space="preserve">KABRA EXTRUSIONTECHNIK LTD.</t>
        </is>
      </c>
      <c r="C2050" t="inlineStr">
        <is>
          <t xml:space="preserve">INE900B01029</t>
        </is>
      </c>
    </row>
    <row r="2051">
      <c r="A2051" t="inlineStr">
        <is>
          <t xml:space="preserve">KABSON</t>
        </is>
      </c>
      <c r="B2051" t="inlineStr">
        <is>
          <t xml:space="preserve">KABSONS INDUSTRIES LTD.</t>
        </is>
      </c>
      <c r="C2051" t="inlineStr">
        <is>
          <t xml:space="preserve">INE645C01010</t>
        </is>
      </c>
    </row>
    <row r="2052">
      <c r="A2052" t="inlineStr">
        <is>
          <t xml:space="preserve">KACHCHH</t>
        </is>
      </c>
      <c r="B2052" t="inlineStr">
        <is>
          <t xml:space="preserve">KACHCHH MINERALS LTD.</t>
        </is>
      </c>
      <c r="C2052" t="inlineStr">
        <is>
          <t xml:space="preserve">INE059E01010</t>
        </is>
      </c>
    </row>
    <row r="2053">
      <c r="A2053" t="inlineStr">
        <is>
          <t xml:space="preserve">KAFL161225</t>
        </is>
      </c>
      <c r="B2053" t="inlineStr">
        <is>
          <t xml:space="preserve">KAFL-16-4-27-NCD</t>
        </is>
      </c>
      <c r="C2053" t="inlineStr">
        <is>
          <t xml:space="preserve">INE01I507AZ5</t>
        </is>
      </c>
    </row>
    <row r="2054">
      <c r="A2054" t="inlineStr">
        <is>
          <t xml:space="preserve">KAHAN</t>
        </is>
      </c>
      <c r="B2054" t="inlineStr">
        <is>
          <t xml:space="preserve">Kahan Packaging Limited</t>
        </is>
      </c>
      <c r="C2054" t="inlineStr">
        <is>
          <t xml:space="preserve">INE04T901017</t>
        </is>
      </c>
    </row>
    <row r="2055">
      <c r="A2055" t="inlineStr">
        <is>
          <t xml:space="preserve">VOLKAI</t>
        </is>
      </c>
      <c r="B2055" t="inlineStr">
        <is>
          <t xml:space="preserve">Kairosoft AI Solutions Limited</t>
        </is>
      </c>
      <c r="C2055" t="inlineStr">
        <is>
          <t xml:space="preserve">INE820M01018</t>
        </is>
      </c>
    </row>
    <row r="2056">
      <c r="A2056" t="inlineStr">
        <is>
          <t xml:space="preserve">KACL</t>
        </is>
      </c>
      <c r="B2056" t="inlineStr">
        <is>
          <t xml:space="preserve">KAISER CORPORATION LIMITED</t>
        </is>
      </c>
      <c r="C2056" t="inlineStr">
        <is>
          <t xml:space="preserve">INE229G01022</t>
        </is>
      </c>
    </row>
    <row r="2057">
      <c r="A2057" t="inlineStr">
        <is>
          <t xml:space="preserve">KAIZENAGRO</t>
        </is>
      </c>
      <c r="B2057" t="inlineStr">
        <is>
          <t xml:space="preserve">KAIZEN AGRO INFRABUILD LIMITED</t>
        </is>
      </c>
      <c r="C2057" t="inlineStr">
        <is>
          <t xml:space="preserve">INE891N01017</t>
        </is>
      </c>
    </row>
    <row r="2058">
      <c r="A2058" t="inlineStr">
        <is>
          <t xml:space="preserve">KAJARIACER</t>
        </is>
      </c>
      <c r="B2058" t="inlineStr">
        <is>
          <t xml:space="preserve">KAJARIA CERAMICS LTD.</t>
        </is>
      </c>
      <c r="C2058" t="inlineStr">
        <is>
          <t xml:space="preserve">INE217B01036</t>
        </is>
      </c>
    </row>
    <row r="2059">
      <c r="A2059" t="inlineStr">
        <is>
          <t xml:space="preserve">KAKA</t>
        </is>
      </c>
      <c r="B2059" t="inlineStr">
        <is>
          <t xml:space="preserve">Kaka Industries Limited</t>
        </is>
      </c>
      <c r="C2059" t="inlineStr">
        <is>
          <t xml:space="preserve">INE0P3N01018</t>
        </is>
      </c>
    </row>
    <row r="2060">
      <c r="A2060" t="inlineStr">
        <is>
          <t xml:space="preserve">KAKATCEM</t>
        </is>
      </c>
      <c r="B2060" t="inlineStr">
        <is>
          <t xml:space="preserve">KAKATIYA CEMENT SUGAR &amp; INDUST</t>
        </is>
      </c>
      <c r="C2060" t="inlineStr">
        <is>
          <t xml:space="preserve">INE437B01014</t>
        </is>
      </c>
    </row>
    <row r="2061">
      <c r="A2061" t="inlineStr">
        <is>
          <t xml:space="preserve">KAKTEX</t>
        </is>
      </c>
      <c r="B2061" t="inlineStr">
        <is>
          <t xml:space="preserve">KAKATIYA TEXTILES LTD.</t>
        </is>
      </c>
      <c r="C2061" t="inlineStr">
        <is>
          <t xml:space="preserve">INE092E01011</t>
        </is>
      </c>
    </row>
    <row r="2062">
      <c r="A2062" t="inlineStr">
        <is>
          <t xml:space="preserve">KALIND</t>
        </is>
      </c>
      <c r="B2062" t="inlineStr">
        <is>
          <t xml:space="preserve">Kalind Limited</t>
        </is>
      </c>
      <c r="C2062" t="inlineStr">
        <is>
          <t xml:space="preserve">INE377D01018</t>
        </is>
      </c>
    </row>
    <row r="2063">
      <c r="A2063" t="inlineStr">
        <is>
          <t xml:space="preserve">KALLAM</t>
        </is>
      </c>
      <c r="B2063" t="inlineStr">
        <is>
          <t xml:space="preserve">KALLAM TEXTILES LTD</t>
        </is>
      </c>
      <c r="C2063" t="inlineStr">
        <is>
          <t xml:space="preserve">INE629F01025</t>
        </is>
      </c>
    </row>
    <row r="2064">
      <c r="A2064" t="inlineStr">
        <is>
          <t xml:space="preserve">KALPACOMME</t>
        </is>
      </c>
      <c r="B2064" t="inlineStr">
        <is>
          <t xml:space="preserve">Kalpa Commercial Limited</t>
        </is>
      </c>
      <c r="C2064" t="inlineStr">
        <is>
          <t xml:space="preserve">INE059Q01014</t>
        </is>
      </c>
    </row>
    <row r="2065">
      <c r="A2065" t="inlineStr">
        <is>
          <t xml:space="preserve">KALPATARU</t>
        </is>
      </c>
      <c r="B2065" t="inlineStr">
        <is>
          <t xml:space="preserve">Kalpataru Limited</t>
        </is>
      </c>
      <c r="C2065" t="inlineStr">
        <is>
          <t xml:space="preserve">INE227J01012</t>
        </is>
      </c>
    </row>
    <row r="2066">
      <c r="A2066" t="inlineStr">
        <is>
          <t xml:space="preserve">KPIL</t>
        </is>
      </c>
      <c r="B2066" t="inlineStr">
        <is>
          <t xml:space="preserve">KALPATARU PROJECTS INTERNATION</t>
        </is>
      </c>
      <c r="C2066" t="inlineStr">
        <is>
          <t xml:space="preserve">INE220B01022</t>
        </is>
      </c>
    </row>
    <row r="2067">
      <c r="A2067" t="inlineStr">
        <is>
          <t xml:space="preserve">KALYANCAP</t>
        </is>
      </c>
      <c r="B2067" t="inlineStr">
        <is>
          <t xml:space="preserve">Kalyan Capitals Limited</t>
        </is>
      </c>
      <c r="C2067" t="inlineStr">
        <is>
          <t xml:space="preserve">INE149Q01021</t>
        </is>
      </c>
    </row>
    <row r="2068">
      <c r="A2068" t="inlineStr">
        <is>
          <t xml:space="preserve">KALYANKJIL</t>
        </is>
      </c>
      <c r="B2068" t="inlineStr">
        <is>
          <t xml:space="preserve">Kalyan Jewellers India Limited</t>
        </is>
      </c>
      <c r="C2068" t="inlineStr">
        <is>
          <t xml:space="preserve">INE303R01014</t>
        </is>
      </c>
    </row>
    <row r="2069">
      <c r="A2069" t="inlineStr">
        <is>
          <t xml:space="preserve">KALYANI</t>
        </is>
      </c>
      <c r="B2069" t="inlineStr">
        <is>
          <t xml:space="preserve">Kalyani Cast-Tech Limited</t>
        </is>
      </c>
      <c r="C2069" t="inlineStr">
        <is>
          <t xml:space="preserve">INE0N6U01018</t>
        </is>
      </c>
    </row>
    <row r="2070">
      <c r="A2070" t="inlineStr">
        <is>
          <t xml:space="preserve">KALYANIFRG</t>
        </is>
      </c>
      <c r="B2070" t="inlineStr">
        <is>
          <t xml:space="preserve">KALYANI FORGE LTD.</t>
        </is>
      </c>
      <c r="C2070" t="inlineStr">
        <is>
          <t xml:space="preserve">INE314G01014</t>
        </is>
      </c>
    </row>
    <row r="2071">
      <c r="A2071" t="inlineStr">
        <is>
          <t xml:space="preserve">KICL</t>
        </is>
      </c>
      <c r="B2071" t="inlineStr">
        <is>
          <t xml:space="preserve">KALYANI INVESTMENT COMPANY LTD</t>
        </is>
      </c>
      <c r="C2071" t="inlineStr">
        <is>
          <t xml:space="preserve">INE029L01018</t>
        </is>
      </c>
    </row>
    <row r="2072">
      <c r="A2072" t="inlineStr">
        <is>
          <t xml:space="preserve">KSL</t>
        </is>
      </c>
      <c r="B2072" t="inlineStr">
        <is>
          <t xml:space="preserve">KALYANI STEELS LTD.</t>
        </is>
      </c>
      <c r="C2072" t="inlineStr">
        <is>
          <t xml:space="preserve">INE907A01026</t>
        </is>
      </c>
    </row>
    <row r="2073">
      <c r="A2073" t="inlineStr">
        <is>
          <t xml:space="preserve">KAMAHOLD</t>
        </is>
      </c>
      <c r="B2073" t="inlineStr">
        <is>
          <t xml:space="preserve">KAMA HOLDINGS LIMITED</t>
        </is>
      </c>
      <c r="C2073" t="inlineStr">
        <is>
          <t xml:space="preserve">INE411F01010</t>
        </is>
      </c>
    </row>
    <row r="2074">
      <c r="A2074" t="inlineStr">
        <is>
          <t xml:space="preserve">KAMADGIRI</t>
        </is>
      </c>
      <c r="B2074" t="inlineStr">
        <is>
          <t xml:space="preserve">KAMADGIRI FASHION LTD.</t>
        </is>
      </c>
      <c r="C2074" t="inlineStr">
        <is>
          <t xml:space="preserve">INE535C01013</t>
        </is>
      </c>
    </row>
    <row r="2075">
      <c r="A2075" t="inlineStr">
        <is>
          <t xml:space="preserve">KAMANWALA</t>
        </is>
      </c>
      <c r="B2075" t="inlineStr">
        <is>
          <t xml:space="preserve">KAMANWALA HOUSING CONSTRUCTION</t>
        </is>
      </c>
      <c r="C2075" t="inlineStr">
        <is>
          <t xml:space="preserve">INE344D01018</t>
        </is>
      </c>
    </row>
    <row r="2076">
      <c r="A2076" t="inlineStr">
        <is>
          <t xml:space="preserve">KAMATHOTEL</t>
        </is>
      </c>
      <c r="B2076" t="inlineStr">
        <is>
          <t xml:space="preserve">KAMAT HOTELS (INDIA) LTD.</t>
        </is>
      </c>
      <c r="C2076" t="inlineStr">
        <is>
          <t xml:space="preserve">INE967C01018</t>
        </is>
      </c>
    </row>
    <row r="2077">
      <c r="A2077" t="inlineStr">
        <is>
          <t xml:space="preserve">KAMDHENU</t>
        </is>
      </c>
      <c r="B2077" t="inlineStr">
        <is>
          <t xml:space="preserve">Kamdhenu Limited</t>
        </is>
      </c>
      <c r="C2077" t="inlineStr">
        <is>
          <t xml:space="preserve">INE390H01020</t>
        </is>
      </c>
    </row>
    <row r="2078">
      <c r="A2078" t="inlineStr">
        <is>
          <t xml:space="preserve">KAMOPAINTS</t>
        </is>
      </c>
      <c r="B2078" t="inlineStr">
        <is>
          <t xml:space="preserve">Kamdhenu Ventures Limited</t>
        </is>
      </c>
      <c r="C2078" t="inlineStr">
        <is>
          <t xml:space="preserve">INE0BTI01037</t>
        </is>
      </c>
    </row>
    <row r="2079">
      <c r="A2079" t="inlineStr">
        <is>
          <t xml:space="preserve">KANANIIND</t>
        </is>
      </c>
      <c r="B2079" t="inlineStr">
        <is>
          <t xml:space="preserve">KANANI INDUSTRIES LTD.</t>
        </is>
      </c>
      <c r="C2079" t="inlineStr">
        <is>
          <t xml:space="preserve">INE879E01037</t>
        </is>
      </c>
    </row>
    <row r="2080">
      <c r="A2080" t="inlineStr">
        <is>
          <t xml:space="preserve">KANCHI</t>
        </is>
      </c>
      <c r="B2080" t="inlineStr">
        <is>
          <t xml:space="preserve">Kanchi Karpooram Ltd.</t>
        </is>
      </c>
      <c r="C2080" t="inlineStr">
        <is>
          <t xml:space="preserve">INE081G01019</t>
        </is>
      </c>
    </row>
    <row r="2081">
      <c r="A2081" t="inlineStr">
        <is>
          <t xml:space="preserve">KANCOTEA</t>
        </is>
      </c>
      <c r="B2081" t="inlineStr">
        <is>
          <t xml:space="preserve">KANCO TEA &amp; INDUSTRIES LIMITED</t>
        </is>
      </c>
      <c r="C2081" t="inlineStr">
        <is>
          <t xml:space="preserve">INE398L01017</t>
        </is>
      </c>
    </row>
    <row r="2082">
      <c r="A2082" t="inlineStr">
        <is>
          <t xml:space="preserve">KANSHST</t>
        </is>
      </c>
      <c r="B2082" t="inlineStr">
        <is>
          <t xml:space="preserve">KANISHK STEEL INDUSTRIES LTD.</t>
        </is>
      </c>
      <c r="C2082" t="inlineStr">
        <is>
          <t xml:space="preserve">INE791E01018</t>
        </is>
      </c>
    </row>
    <row r="2083">
      <c r="A2083" t="inlineStr">
        <is>
          <t xml:space="preserve">KANORICHEM</t>
        </is>
      </c>
      <c r="B2083" t="inlineStr">
        <is>
          <t xml:space="preserve">KANORIA CHEMICALS &amp; INDUSTRIES</t>
        </is>
      </c>
      <c r="C2083" t="inlineStr">
        <is>
          <t xml:space="preserve">INE138C01024</t>
        </is>
      </c>
    </row>
    <row r="2084">
      <c r="A2084" t="inlineStr">
        <is>
          <t xml:space="preserve">KEIL</t>
        </is>
      </c>
      <c r="B2084" t="inlineStr">
        <is>
          <t xml:space="preserve">KANORIA ENERGY &amp; INFRASTRUCTUR</t>
        </is>
      </c>
      <c r="C2084" t="inlineStr">
        <is>
          <t xml:space="preserve">INE534E01020</t>
        </is>
      </c>
    </row>
    <row r="2085">
      <c r="A2085" t="inlineStr">
        <is>
          <t xml:space="preserve">KANPRPLA</t>
        </is>
      </c>
      <c r="B2085" t="inlineStr">
        <is>
          <t xml:space="preserve">KANPUR PLASTIPACK LTD.</t>
        </is>
      </c>
      <c r="C2085" t="inlineStr">
        <is>
          <t xml:space="preserve">INE694E01014</t>
        </is>
      </c>
    </row>
    <row r="2086">
      <c r="A2086" t="inlineStr">
        <is>
          <t xml:space="preserve">KANSAINER</t>
        </is>
      </c>
      <c r="B2086" t="inlineStr">
        <is>
          <t xml:space="preserve">KANSAI NEROLAC PAINTS LTD.</t>
        </is>
      </c>
      <c r="C2086" t="inlineStr">
        <is>
          <t xml:space="preserve">INE531A01024</t>
        </is>
      </c>
    </row>
    <row r="2087">
      <c r="A2087" t="inlineStr">
        <is>
          <t xml:space="preserve">KANUNGO</t>
        </is>
      </c>
      <c r="B2087" t="inlineStr">
        <is>
          <t xml:space="preserve">KANUNGO FINANCIERS LIMITED</t>
        </is>
      </c>
      <c r="C2087" t="inlineStr">
        <is>
          <t xml:space="preserve">INE453S01015</t>
        </is>
      </c>
    </row>
    <row r="2088">
      <c r="A2088" t="inlineStr">
        <is>
          <t xml:space="preserve">KAPILRAJ</t>
        </is>
      </c>
      <c r="B2088" t="inlineStr">
        <is>
          <t xml:space="preserve">Kapil Raj Finance Ltd.</t>
        </is>
      </c>
      <c r="C2088" t="inlineStr">
        <is>
          <t xml:space="preserve">INE332Q01023</t>
        </is>
      </c>
    </row>
    <row r="2089">
      <c r="A2089" t="inlineStr">
        <is>
          <t xml:space="preserve">KARANWO</t>
        </is>
      </c>
      <c r="B2089" t="inlineStr">
        <is>
          <t xml:space="preserve">KARAN WOO-SIN LTD.</t>
        </is>
      </c>
      <c r="C2089" t="inlineStr">
        <is>
          <t xml:space="preserve">INE327D01013</t>
        </is>
      </c>
    </row>
    <row r="2090">
      <c r="A2090" t="inlineStr">
        <is>
          <t xml:space="preserve">KARBON</t>
        </is>
      </c>
      <c r="B2090" t="inlineStr">
        <is>
          <t xml:space="preserve">Karbonsteel Engineering Limite</t>
        </is>
      </c>
      <c r="C2090" t="inlineStr">
        <is>
          <t xml:space="preserve">INE0V8A01016</t>
        </is>
      </c>
    </row>
    <row r="2091">
      <c r="A2091" t="inlineStr">
        <is>
          <t xml:space="preserve">KARMAENG</t>
        </is>
      </c>
      <c r="B2091" t="inlineStr">
        <is>
          <t xml:space="preserve">KARMA ENERGY LTD.</t>
        </is>
      </c>
      <c r="C2091" t="inlineStr">
        <is>
          <t xml:space="preserve">INE725L01011</t>
        </is>
      </c>
    </row>
    <row r="2092">
      <c r="A2092" t="inlineStr">
        <is>
          <t xml:space="preserve">KTKBANK</t>
        </is>
      </c>
      <c r="B2092" t="inlineStr">
        <is>
          <t xml:space="preserve">KARNATAKA BANK LTD.</t>
        </is>
      </c>
      <c r="C2092" t="inlineStr">
        <is>
          <t xml:space="preserve">INE614B01018</t>
        </is>
      </c>
    </row>
    <row r="2093">
      <c r="A2093" t="inlineStr">
        <is>
          <t xml:space="preserve">KARNAVATI</t>
        </is>
      </c>
      <c r="B2093" t="inlineStr">
        <is>
          <t xml:space="preserve">Karnavati Finance Limited</t>
        </is>
      </c>
      <c r="C2093" t="inlineStr">
        <is>
          <t xml:space="preserve">INE554R01020</t>
        </is>
      </c>
    </row>
    <row r="2094">
      <c r="A2094" t="inlineStr">
        <is>
          <t xml:space="preserve">KARNAWATI</t>
        </is>
      </c>
      <c r="B2094" t="inlineStr">
        <is>
          <t xml:space="preserve">Karnawati Innovation Limited</t>
        </is>
      </c>
      <c r="C2094" t="inlineStr">
        <is>
          <t xml:space="preserve">INE214D01021</t>
        </is>
      </c>
    </row>
    <row r="2095">
      <c r="A2095" t="inlineStr">
        <is>
          <t xml:space="preserve">KARURVYSYA</t>
        </is>
      </c>
      <c r="B2095" t="inlineStr">
        <is>
          <t xml:space="preserve">KARUR VYSYA BANK LTD.</t>
        </is>
      </c>
      <c r="C2095" t="inlineStr">
        <is>
          <t xml:space="preserve">INE036D01028</t>
        </is>
      </c>
    </row>
    <row r="2096">
      <c r="A2096" t="inlineStr">
        <is>
          <t xml:space="preserve">KASTURI</t>
        </is>
      </c>
      <c r="B2096" t="inlineStr">
        <is>
          <t xml:space="preserve">KASTURI METAL COMPOSITE LIMITE</t>
        </is>
      </c>
      <c r="C2096" t="inlineStr">
        <is>
          <t xml:space="preserve">INE0T1301023</t>
        </is>
      </c>
    </row>
    <row r="2097">
      <c r="A2097" t="inlineStr">
        <is>
          <t xml:space="preserve">KATRSPG</t>
        </is>
      </c>
      <c r="B2097" t="inlineStr">
        <is>
          <t xml:space="preserve">KATARE SPINNING MILLS LTD.</t>
        </is>
      </c>
      <c r="C2097" t="inlineStr">
        <is>
          <t xml:space="preserve">INE498G01015</t>
        </is>
      </c>
    </row>
    <row r="2098">
      <c r="A2098" t="inlineStr">
        <is>
          <t xml:space="preserve">KATIPATANG</t>
        </is>
      </c>
      <c r="B2098" t="inlineStr">
        <is>
          <t xml:space="preserve">KATI PATANG LIFESTYLE LIMITED</t>
        </is>
      </c>
      <c r="C2098" t="inlineStr">
        <is>
          <t xml:space="preserve">INE237C01016</t>
        </is>
      </c>
    </row>
    <row r="2099">
      <c r="A2099" t="inlineStr">
        <is>
          <t xml:space="preserve">KAUSHALYA</t>
        </is>
      </c>
      <c r="B2099" t="inlineStr">
        <is>
          <t xml:space="preserve">KAUSHALYA INFRASTRUCTURE DEVEL</t>
        </is>
      </c>
      <c r="C2099" t="inlineStr">
        <is>
          <t xml:space="preserve">INE234I01028</t>
        </is>
      </c>
    </row>
    <row r="2100">
      <c r="A2100" t="inlineStr">
        <is>
          <t xml:space="preserve">KSCL</t>
        </is>
      </c>
      <c r="B2100" t="inlineStr">
        <is>
          <t xml:space="preserve">KAVERI SEED COMPANY LTD.</t>
        </is>
      </c>
      <c r="C2100" t="inlineStr">
        <is>
          <t xml:space="preserve">INE455I01029</t>
        </is>
      </c>
    </row>
    <row r="2101">
      <c r="A2101" t="inlineStr">
        <is>
          <t xml:space="preserve">KAVDEFENCE</t>
        </is>
      </c>
      <c r="B2101" t="inlineStr">
        <is>
          <t xml:space="preserve">Kavveri Defence &amp;amp; Wireless</t>
        </is>
      </c>
      <c r="C2101" t="inlineStr">
        <is>
          <t xml:space="preserve">INE641C01019</t>
        </is>
      </c>
    </row>
    <row r="2102">
      <c r="A2102" t="inlineStr">
        <is>
          <t xml:space="preserve">KAYPOWR</t>
        </is>
      </c>
      <c r="B2102" t="inlineStr">
        <is>
          <t xml:space="preserve">KAY POWER AND PAPER LTD.</t>
        </is>
      </c>
      <c r="C2102" t="inlineStr">
        <is>
          <t xml:space="preserve">INE961B01013</t>
        </is>
      </c>
    </row>
    <row r="2103">
      <c r="A2103" t="inlineStr">
        <is>
          <t xml:space="preserve">KAYA</t>
        </is>
      </c>
      <c r="B2103" t="inlineStr">
        <is>
          <t xml:space="preserve">Kaya Limited</t>
        </is>
      </c>
      <c r="C2103" t="inlineStr">
        <is>
          <t xml:space="preserve">INE587G01015</t>
        </is>
      </c>
    </row>
    <row r="2104">
      <c r="A2104" t="inlineStr">
        <is>
          <t xml:space="preserve">KAYCEEI</t>
        </is>
      </c>
      <c r="B2104" t="inlineStr">
        <is>
          <t xml:space="preserve">KAYCEE INDUSTRIES LTD.</t>
        </is>
      </c>
      <c r="C2104" t="inlineStr">
        <is>
          <t xml:space="preserve">INE813G01023</t>
        </is>
      </c>
    </row>
    <row r="2105">
      <c r="A2105" t="inlineStr">
        <is>
          <t xml:space="preserve">KAYNES</t>
        </is>
      </c>
      <c r="B2105" t="inlineStr">
        <is>
          <t xml:space="preserve">KAYNES TECHNOLOGY INDIA LIMITE</t>
        </is>
      </c>
      <c r="C2105" t="inlineStr">
        <is>
          <t xml:space="preserve">INE918Z01012</t>
        </is>
      </c>
    </row>
    <row r="2106">
      <c r="A2106" t="inlineStr">
        <is>
          <t xml:space="preserve">KBSINDIA</t>
        </is>
      </c>
      <c r="B2106" t="inlineStr">
        <is>
          <t xml:space="preserve">KBS INDIA LIMITED</t>
        </is>
      </c>
      <c r="C2106" t="inlineStr">
        <is>
          <t xml:space="preserve">INE883D01023</t>
        </is>
      </c>
    </row>
    <row r="2107">
      <c r="A2107" t="inlineStr">
        <is>
          <t xml:space="preserve">KCDGROUP</t>
        </is>
      </c>
      <c r="B2107" t="inlineStr">
        <is>
          <t xml:space="preserve">KCD INDUSTRIES INDIA LIMITED</t>
        </is>
      </c>
      <c r="C2107" t="inlineStr">
        <is>
          <t xml:space="preserve">INE185U01035</t>
        </is>
      </c>
    </row>
    <row r="2108">
      <c r="A2108" t="inlineStr">
        <is>
          <t xml:space="preserve">KCLINFRA</t>
        </is>
      </c>
      <c r="B2108" t="inlineStr">
        <is>
          <t xml:space="preserve">KCL Infra Projects Limited</t>
        </is>
      </c>
      <c r="C2108" t="inlineStr">
        <is>
          <t xml:space="preserve">INE469F01026</t>
        </is>
      </c>
    </row>
    <row r="2109">
      <c r="A2109" t="inlineStr">
        <is>
          <t xml:space="preserve">KCPSUGIND</t>
        </is>
      </c>
      <c r="B2109" t="inlineStr">
        <is>
          <t xml:space="preserve">KCP SUGAR &amp; INDUSTRIES CORPORA</t>
        </is>
      </c>
      <c r="C2109" t="inlineStr">
        <is>
          <t xml:space="preserve">INE790B01024</t>
        </is>
      </c>
    </row>
    <row r="2110">
      <c r="A2110" t="inlineStr">
        <is>
          <t xml:space="preserve">KDDL</t>
        </is>
      </c>
      <c r="B2110" t="inlineStr">
        <is>
          <t xml:space="preserve">KDDL LTD.</t>
        </is>
      </c>
      <c r="C2110" t="inlineStr">
        <is>
          <t xml:space="preserve">INE291D01011</t>
        </is>
      </c>
    </row>
    <row r="2111">
      <c r="A2111" t="inlineStr">
        <is>
          <t xml:space="preserve">KEC</t>
        </is>
      </c>
      <c r="B2111" t="inlineStr">
        <is>
          <t xml:space="preserve">KEC INTERNATIONAL LTD.</t>
        </is>
      </c>
      <c r="C2111" t="inlineStr">
        <is>
          <t xml:space="preserve">INE389H01022</t>
        </is>
      </c>
    </row>
    <row r="2112">
      <c r="A2112" t="inlineStr">
        <is>
          <t xml:space="preserve">KEERTHI</t>
        </is>
      </c>
      <c r="B2112" t="inlineStr">
        <is>
          <t xml:space="preserve">KEERTHI INDUSTRIES LTD.</t>
        </is>
      </c>
      <c r="C2112" t="inlineStr">
        <is>
          <t xml:space="preserve">INE145L01012</t>
        </is>
      </c>
    </row>
    <row r="2113">
      <c r="A2113" t="inlineStr">
        <is>
          <t xml:space="preserve">KEI</t>
        </is>
      </c>
      <c r="B2113" t="inlineStr">
        <is>
          <t xml:space="preserve">KEI INDUSTRIES LTD.</t>
        </is>
      </c>
      <c r="C2113" t="inlineStr">
        <is>
          <t xml:space="preserve">INE878B01027</t>
        </is>
      </c>
    </row>
    <row r="2114">
      <c r="A2114" t="inlineStr">
        <is>
          <t xml:space="preserve">KELLTONTEC</t>
        </is>
      </c>
      <c r="B2114" t="inlineStr">
        <is>
          <t xml:space="preserve">KELLTON TECH SOLUTIONS LTD.</t>
        </is>
      </c>
      <c r="C2114" t="inlineStr">
        <is>
          <t xml:space="preserve">INE164B01030</t>
        </is>
      </c>
    </row>
    <row r="2115">
      <c r="A2115" t="inlineStr">
        <is>
          <t xml:space="preserve">KELENRG</t>
        </is>
      </c>
      <c r="B2115" t="inlineStr">
        <is>
          <t xml:space="preserve">KELTECH ENERGIES LTD.</t>
        </is>
      </c>
      <c r="C2115" t="inlineStr">
        <is>
          <t xml:space="preserve">INE881E01017</t>
        </is>
      </c>
    </row>
    <row r="2116">
      <c r="A2116" t="inlineStr">
        <is>
          <t xml:space="preserve">KEMISTAR</t>
        </is>
      </c>
      <c r="B2116" t="inlineStr">
        <is>
          <t xml:space="preserve">KEMISTAR CORPORATION LIMITED</t>
        </is>
      </c>
      <c r="C2116" t="inlineStr">
        <is>
          <t xml:space="preserve">INE971L01029</t>
        </is>
      </c>
    </row>
    <row r="2117">
      <c r="A2117" t="inlineStr">
        <is>
          <t xml:space="preserve">KENNAMET</t>
        </is>
      </c>
      <c r="B2117" t="inlineStr">
        <is>
          <t xml:space="preserve">KENNAMETAL INDIA LTD.</t>
        </is>
      </c>
      <c r="C2117" t="inlineStr">
        <is>
          <t xml:space="preserve">INE717A01029</t>
        </is>
      </c>
    </row>
    <row r="2118">
      <c r="A2118" t="inlineStr">
        <is>
          <t xml:space="preserve">KENRIK</t>
        </is>
      </c>
      <c r="B2118" t="inlineStr">
        <is>
          <t xml:space="preserve">Kenrik Industries Limited</t>
        </is>
      </c>
      <c r="C2118" t="inlineStr">
        <is>
          <t xml:space="preserve">INE0AOG01018</t>
        </is>
      </c>
    </row>
    <row r="2119">
      <c r="A2119" t="inlineStr">
        <is>
          <t xml:space="preserve">KENVI</t>
        </is>
      </c>
      <c r="B2119" t="inlineStr">
        <is>
          <t xml:space="preserve">Kenvi Jewels Limited</t>
        </is>
      </c>
      <c r="C2119" t="inlineStr">
        <is>
          <t xml:space="preserve">INE923Y01023</t>
        </is>
      </c>
    </row>
    <row r="2120">
      <c r="A2120" t="inlineStr">
        <is>
          <t xml:space="preserve">KERALAYUR</t>
        </is>
      </c>
      <c r="B2120" t="inlineStr">
        <is>
          <t xml:space="preserve">KERALA AYURVEDA LTD.</t>
        </is>
      </c>
      <c r="C2120" t="inlineStr">
        <is>
          <t xml:space="preserve">INE817B01025</t>
        </is>
      </c>
    </row>
    <row r="2121">
      <c r="A2121" t="inlineStr">
        <is>
          <t xml:space="preserve">KERNEX</t>
        </is>
      </c>
      <c r="B2121" t="inlineStr">
        <is>
          <t xml:space="preserve">KERNEX MICROSYSTEMS (INDIA) LT</t>
        </is>
      </c>
      <c r="C2121" t="inlineStr">
        <is>
          <t xml:space="preserve">INE202H01019</t>
        </is>
      </c>
    </row>
    <row r="2122">
      <c r="A2122" t="inlineStr">
        <is>
          <t xml:space="preserve">KESARENT</t>
        </is>
      </c>
      <c r="B2122" t="inlineStr">
        <is>
          <t xml:space="preserve">KESAR ENTERPRISES LTD.</t>
        </is>
      </c>
      <c r="C2122" t="inlineStr">
        <is>
          <t xml:space="preserve">INE133B01027</t>
        </is>
      </c>
    </row>
    <row r="2123">
      <c r="A2123" t="inlineStr">
        <is>
          <t xml:space="preserve">KESAR</t>
        </is>
      </c>
      <c r="B2123" t="inlineStr">
        <is>
          <t xml:space="preserve">KESAR INDIA LIMITED</t>
        </is>
      </c>
      <c r="C2123" t="inlineStr">
        <is>
          <t xml:space="preserve">INE0L1C01019</t>
        </is>
      </c>
    </row>
    <row r="2124">
      <c r="A2124" t="inlineStr">
        <is>
          <t xml:space="preserve">KESARPE</t>
        </is>
      </c>
      <c r="B2124" t="inlineStr">
        <is>
          <t xml:space="preserve">KESAR PETROPRODUCTS LTD.</t>
        </is>
      </c>
      <c r="C2124" t="inlineStr">
        <is>
          <t xml:space="preserve">INE133C01033</t>
        </is>
      </c>
    </row>
    <row r="2125">
      <c r="A2125" t="inlineStr">
        <is>
          <t xml:space="preserve">KTIL</t>
        </is>
      </c>
      <c r="B2125" t="inlineStr">
        <is>
          <t xml:space="preserve">KESAR TERMINALS &amp; INFRASTRUCTU</t>
        </is>
      </c>
      <c r="C2125" t="inlineStr">
        <is>
          <t xml:space="preserve">INE096L01025</t>
        </is>
      </c>
    </row>
    <row r="2126">
      <c r="A2126" t="inlineStr">
        <is>
          <t xml:space="preserve">KESORAMIND</t>
        </is>
      </c>
      <c r="B2126" t="inlineStr">
        <is>
          <t xml:space="preserve">KESORAM INDUSTRIES LTD.</t>
        </is>
      </c>
      <c r="C2126" t="inlineStr">
        <is>
          <t xml:space="preserve">INE087A01019</t>
        </is>
      </c>
    </row>
    <row r="2127">
      <c r="A2127" t="inlineStr">
        <is>
          <t xml:space="preserve">KKCL</t>
        </is>
      </c>
      <c r="B2127" t="inlineStr">
        <is>
          <t xml:space="preserve">KEWAL KIRAN CLOTHING LTD.</t>
        </is>
      </c>
      <c r="C2127" t="inlineStr">
        <is>
          <t xml:space="preserve">INE401H01017</t>
        </is>
      </c>
    </row>
    <row r="2128">
      <c r="A2128" t="inlineStr">
        <is>
          <t xml:space="preserve">KEYCORP</t>
        </is>
      </c>
      <c r="B2128" t="inlineStr">
        <is>
          <t xml:space="preserve">KEY CORP LTD.</t>
        </is>
      </c>
      <c r="C2128" t="inlineStr">
        <is>
          <t xml:space="preserve">INE130F01016</t>
        </is>
      </c>
    </row>
    <row r="2129">
      <c r="A2129" t="inlineStr">
        <is>
          <t xml:space="preserve">KEYFINSERV</t>
        </is>
      </c>
      <c r="B2129" t="inlineStr">
        <is>
          <t xml:space="preserve">KEYNOTE FINANCIAL SERVICES LIM</t>
        </is>
      </c>
      <c r="C2129" t="inlineStr">
        <is>
          <t xml:space="preserve">INE681C01015</t>
        </is>
      </c>
    </row>
    <row r="2130">
      <c r="A2130" t="inlineStr">
        <is>
          <t xml:space="preserve">RUSTOMJEE</t>
        </is>
      </c>
      <c r="B2130" t="inlineStr">
        <is>
          <t xml:space="preserve">Keystone Realtors Limited</t>
        </is>
      </c>
      <c r="C2130" t="inlineStr">
        <is>
          <t xml:space="preserve">INE263M01029</t>
        </is>
      </c>
    </row>
    <row r="2131">
      <c r="A2131" t="inlineStr">
        <is>
          <t xml:space="preserve">KFINTECH</t>
        </is>
      </c>
      <c r="B2131" t="inlineStr">
        <is>
          <t xml:space="preserve">KFin Technologies Limited</t>
        </is>
      </c>
      <c r="C2131" t="inlineStr">
        <is>
          <t xml:space="preserve">INE138Y01010</t>
        </is>
      </c>
    </row>
    <row r="2132">
      <c r="A2132" t="inlineStr">
        <is>
          <t xml:space="preserve">KFL101125D</t>
        </is>
      </c>
      <c r="B2132" t="inlineStr">
        <is>
          <t xml:space="preserve">KFL-09-11-32-NCD</t>
        </is>
      </c>
      <c r="C2132" t="inlineStr">
        <is>
          <t xml:space="preserve">INE403Q07GH3</t>
        </is>
      </c>
    </row>
    <row r="2133">
      <c r="A2133" t="inlineStr">
        <is>
          <t xml:space="preserve">10KFL2031</t>
        </is>
      </c>
      <c r="B2133" t="inlineStr">
        <is>
          <t xml:space="preserve">KFL-10%-19-2-31-NCD</t>
        </is>
      </c>
      <c r="C2133" t="inlineStr">
        <is>
          <t xml:space="preserve">INE403Q07GS0</t>
        </is>
      </c>
    </row>
    <row r="2134">
      <c r="A2134" t="inlineStr">
        <is>
          <t xml:space="preserve">10KFL2027A</t>
        </is>
      </c>
      <c r="B2134" t="inlineStr">
        <is>
          <t xml:space="preserve">KFL-10%-30-11-27-PVT</t>
        </is>
      </c>
      <c r="C2134" t="inlineStr">
        <is>
          <t xml:space="preserve">INE403Q07GE0</t>
        </is>
      </c>
    </row>
    <row r="2135">
      <c r="A2135" t="inlineStr">
        <is>
          <t xml:space="preserve">10KFL26</t>
        </is>
      </c>
      <c r="B2135" t="inlineStr">
        <is>
          <t xml:space="preserve">KFL-10%-31-12-26-PVT</t>
        </is>
      </c>
      <c r="C2135" t="inlineStr">
        <is>
          <t xml:space="preserve">INE403Q07FE2</t>
        </is>
      </c>
    </row>
    <row r="2136">
      <c r="A2136" t="inlineStr">
        <is>
          <t xml:space="preserve">10KFL2027</t>
        </is>
      </c>
      <c r="B2136" t="inlineStr">
        <is>
          <t xml:space="preserve">KFL-10%-31-12-27-PVT</t>
        </is>
      </c>
      <c r="C2136" t="inlineStr">
        <is>
          <t xml:space="preserve">INE403Q07FQ6</t>
        </is>
      </c>
    </row>
    <row r="2137">
      <c r="A2137" t="inlineStr">
        <is>
          <t xml:space="preserve">KFL121224E</t>
        </is>
      </c>
      <c r="B2137" t="inlineStr">
        <is>
          <t xml:space="preserve">KFL-11-12-28-NCD</t>
        </is>
      </c>
      <c r="C2137" t="inlineStr">
        <is>
          <t xml:space="preserve">INE403Q07FB8</t>
        </is>
      </c>
    </row>
    <row r="2138">
      <c r="A2138" t="inlineStr">
        <is>
          <t xml:space="preserve">111KFL27</t>
        </is>
      </c>
      <c r="B2138" t="inlineStr">
        <is>
          <t xml:space="preserve">KFL-11.10%-19-8-27-PVT</t>
        </is>
      </c>
      <c r="C2138" t="inlineStr">
        <is>
          <t xml:space="preserve">INE0NES07261</t>
        </is>
      </c>
    </row>
    <row r="2139">
      <c r="A2139" t="inlineStr">
        <is>
          <t xml:space="preserve">12KFL28</t>
        </is>
      </c>
      <c r="B2139" t="inlineStr">
        <is>
          <t xml:space="preserve">KFL-12%-10-5-28-KFL</t>
        </is>
      </c>
      <c r="C2139" t="inlineStr">
        <is>
          <t xml:space="preserve">INE0NES07303</t>
        </is>
      </c>
    </row>
    <row r="2140">
      <c r="A2140" t="inlineStr">
        <is>
          <t xml:space="preserve">12KFL27</t>
        </is>
      </c>
      <c r="B2140" t="inlineStr">
        <is>
          <t xml:space="preserve">KFL-12%-22-09-27-PVT</t>
        </is>
      </c>
      <c r="C2140" t="inlineStr">
        <is>
          <t xml:space="preserve">INE0NES07329</t>
        </is>
      </c>
    </row>
    <row r="2141">
      <c r="A2141" t="inlineStr">
        <is>
          <t xml:space="preserve">12KFL2028</t>
        </is>
      </c>
      <c r="B2141" t="inlineStr">
        <is>
          <t xml:space="preserve">KFL-12%-4-9-28-PVT</t>
        </is>
      </c>
      <c r="C2141" t="inlineStr">
        <is>
          <t xml:space="preserve">INE0NES07345</t>
        </is>
      </c>
    </row>
    <row r="2142">
      <c r="A2142" t="inlineStr">
        <is>
          <t xml:space="preserve">KFL20226</t>
        </is>
      </c>
      <c r="B2142" t="inlineStr">
        <is>
          <t xml:space="preserve">KFL-19-5-27-NCD</t>
        </is>
      </c>
      <c r="C2142" t="inlineStr">
        <is>
          <t xml:space="preserve">INE403Q07GP6</t>
        </is>
      </c>
    </row>
    <row r="2143">
      <c r="A2143" t="inlineStr">
        <is>
          <t xml:space="preserve">KFL240725</t>
        </is>
      </c>
      <c r="B2143" t="inlineStr">
        <is>
          <t xml:space="preserve">KFL-23-1-27-NCD</t>
        </is>
      </c>
      <c r="C2143" t="inlineStr">
        <is>
          <t xml:space="preserve">INE403Q07FT0</t>
        </is>
      </c>
    </row>
    <row r="2144">
      <c r="A2144" t="inlineStr">
        <is>
          <t xml:space="preserve">9KFL2029</t>
        </is>
      </c>
      <c r="B2144" t="inlineStr">
        <is>
          <t xml:space="preserve">KFL-9%-19-2-29-NCD</t>
        </is>
      </c>
      <c r="C2144" t="inlineStr">
        <is>
          <t xml:space="preserve">INE403Q07GU6</t>
        </is>
      </c>
    </row>
    <row r="2145">
      <c r="A2145" t="inlineStr">
        <is>
          <t xml:space="preserve">925KFL29</t>
        </is>
      </c>
      <c r="B2145" t="inlineStr">
        <is>
          <t xml:space="preserve">KFL-9.25%-27-05-29-NCD</t>
        </is>
      </c>
      <c r="C2145" t="inlineStr">
        <is>
          <t xml:space="preserve">INE403Q07HB4</t>
        </is>
      </c>
    </row>
    <row r="2146">
      <c r="A2146" t="inlineStr">
        <is>
          <t xml:space="preserve">975KFL2029</t>
        </is>
      </c>
      <c r="B2146" t="inlineStr">
        <is>
          <t xml:space="preserve">KFL-9.75%-19-8-29-NCD</t>
        </is>
      </c>
      <c r="C2146" t="inlineStr">
        <is>
          <t xml:space="preserve">INE403Q07GV4</t>
        </is>
      </c>
    </row>
    <row r="2147">
      <c r="A2147" t="inlineStr">
        <is>
          <t xml:space="preserve">KGDENIM</t>
        </is>
      </c>
      <c r="B2147" t="inlineStr">
        <is>
          <t xml:space="preserve">KG DENIM LTD.</t>
        </is>
      </c>
      <c r="C2147" t="inlineStr">
        <is>
          <t xml:space="preserve">INE104A01012</t>
        </is>
      </c>
    </row>
    <row r="2148">
      <c r="A2148" t="inlineStr">
        <is>
          <t xml:space="preserve">KHADIM</t>
        </is>
      </c>
      <c r="B2148" t="inlineStr">
        <is>
          <t xml:space="preserve">Khadim India Limited</t>
        </is>
      </c>
      <c r="C2148" t="inlineStr">
        <is>
          <t xml:space="preserve">INE834I01025</t>
        </is>
      </c>
    </row>
    <row r="2149">
      <c r="A2149" t="inlineStr">
        <is>
          <t xml:space="preserve">KHAICHEM</t>
        </is>
      </c>
      <c r="B2149" t="inlineStr">
        <is>
          <t xml:space="preserve">KHAITAN CHEMICALS &amp; FERTILIZER</t>
        </is>
      </c>
      <c r="C2149" t="inlineStr">
        <is>
          <t xml:space="preserve">INE745B01028</t>
        </is>
      </c>
    </row>
    <row r="2150">
      <c r="A2150" t="inlineStr">
        <is>
          <t xml:space="preserve">ZKHANDEN</t>
        </is>
      </c>
      <c r="B2150" t="inlineStr">
        <is>
          <t xml:space="preserve">KHANDELWAL EXTRACTION LTD.</t>
        </is>
      </c>
      <c r="C2150" t="inlineStr">
        <is>
          <t xml:space="preserve">INE687W01010</t>
        </is>
      </c>
    </row>
    <row r="2151">
      <c r="A2151" t="inlineStr">
        <is>
          <t xml:space="preserve">KHANDSE</t>
        </is>
      </c>
      <c r="B2151" t="inlineStr">
        <is>
          <t xml:space="preserve">KHANDWALA SECURITIES LTD.</t>
        </is>
      </c>
      <c r="C2151" t="inlineStr">
        <is>
          <t xml:space="preserve">INE060B01014</t>
        </is>
      </c>
    </row>
    <row r="2152">
      <c r="A2152" t="inlineStr">
        <is>
          <t xml:space="preserve">KHAZANCHI</t>
        </is>
      </c>
      <c r="B2152" t="inlineStr">
        <is>
          <t xml:space="preserve">Khazanchi Jewellers Limited</t>
        </is>
      </c>
      <c r="C2152" t="inlineStr">
        <is>
          <t xml:space="preserve">INE0OWC01011</t>
        </is>
      </c>
    </row>
    <row r="2153">
      <c r="A2153" t="inlineStr">
        <is>
          <t xml:space="preserve">KHOOBSURAT</t>
        </is>
      </c>
      <c r="B2153" t="inlineStr">
        <is>
          <t xml:space="preserve">KHOOBSURAT LTD</t>
        </is>
      </c>
      <c r="C2153" t="inlineStr">
        <is>
          <t xml:space="preserve">INE731G01027</t>
        </is>
      </c>
    </row>
    <row r="2154">
      <c r="A2154" t="inlineStr">
        <is>
          <t xml:space="preserve">KHYATI</t>
        </is>
      </c>
      <c r="B2154" t="inlineStr">
        <is>
          <t xml:space="preserve">KHYATI MULTIMEDIA-ENTERTAINMEN</t>
        </is>
      </c>
      <c r="C2154" t="inlineStr">
        <is>
          <t xml:space="preserve">INE593B01030</t>
        </is>
      </c>
    </row>
    <row r="2155">
      <c r="A2155" t="inlineStr">
        <is>
          <t xml:space="preserve">KIAASA</t>
        </is>
      </c>
      <c r="B2155" t="inlineStr">
        <is>
          <t xml:space="preserve">KIAASA RETAIL LIMITED</t>
        </is>
      </c>
      <c r="C2155" t="inlineStr">
        <is>
          <t xml:space="preserve">INE1C3F01018</t>
        </is>
      </c>
    </row>
    <row r="2156">
      <c r="A2156" t="inlineStr">
        <is>
          <t xml:space="preserve">KAJARIR</t>
        </is>
      </c>
      <c r="B2156" t="inlineStr">
        <is>
          <t xml:space="preserve">KIC METALIKS LTD.</t>
        </is>
      </c>
      <c r="C2156" t="inlineStr">
        <is>
          <t xml:space="preserve">INE434C01027</t>
        </is>
      </c>
    </row>
    <row r="2157">
      <c r="A2157" t="inlineStr">
        <is>
          <t xml:space="preserve">KIDUJA</t>
        </is>
      </c>
      <c r="B2157" t="inlineStr">
        <is>
          <t xml:space="preserve">KIDUJA INDIA LTD.</t>
        </is>
      </c>
      <c r="C2157" t="inlineStr">
        <is>
          <t xml:space="preserve">INE845A01028</t>
        </is>
      </c>
    </row>
    <row r="2158">
      <c r="A2158" t="inlineStr">
        <is>
          <t xml:space="preserve">KIFS</t>
        </is>
      </c>
      <c r="B2158" t="inlineStr">
        <is>
          <t xml:space="preserve">KIFS FINANCIAL SERVICES LTD.</t>
        </is>
      </c>
      <c r="C2158" t="inlineStr">
        <is>
          <t xml:space="preserve">INE902D01013</t>
        </is>
      </c>
    </row>
    <row r="2159">
      <c r="A2159" t="inlineStr">
        <is>
          <t xml:space="preserve">930KIIFB32</t>
        </is>
      </c>
      <c r="B2159" t="inlineStr">
        <is>
          <t xml:space="preserve">KIIFB-9.30%-21-01-32-PVT</t>
        </is>
      </c>
      <c r="C2159" t="inlineStr">
        <is>
          <t xml:space="preserve">INE658F08565</t>
        </is>
      </c>
    </row>
    <row r="2160">
      <c r="A2160" t="inlineStr">
        <is>
          <t xml:space="preserve">930KIIFB34</t>
        </is>
      </c>
      <c r="B2160" t="inlineStr">
        <is>
          <t xml:space="preserve">KIIFB-9.30%-21-01-34-PVT</t>
        </is>
      </c>
      <c r="C2160" t="inlineStr">
        <is>
          <t xml:space="preserve">INE658F08532</t>
        </is>
      </c>
    </row>
    <row r="2161">
      <c r="A2161" t="inlineStr">
        <is>
          <t xml:space="preserve">KLBRENG-B</t>
        </is>
      </c>
      <c r="B2161" t="inlineStr">
        <is>
          <t xml:space="preserve">KILBURN ENGINEERING LTD.</t>
        </is>
      </c>
      <c r="C2161" t="inlineStr">
        <is>
          <t xml:space="preserve">INE338F01015</t>
        </is>
      </c>
    </row>
    <row r="2162">
      <c r="A2162" t="inlineStr">
        <is>
          <t xml:space="preserve">KILITCH</t>
        </is>
      </c>
      <c r="B2162" t="inlineStr">
        <is>
          <t xml:space="preserve">KILITCH DRUGS (INDIA) LTD.</t>
        </is>
      </c>
      <c r="C2162" t="inlineStr">
        <is>
          <t xml:space="preserve">INE729D01010</t>
        </is>
      </c>
    </row>
    <row r="2163">
      <c r="A2163" t="inlineStr">
        <is>
          <t xml:space="preserve">KIMIABL</t>
        </is>
      </c>
      <c r="B2163" t="inlineStr">
        <is>
          <t xml:space="preserve">KIMIA BIOSCIENCES LIMITED</t>
        </is>
      </c>
      <c r="C2163" t="inlineStr">
        <is>
          <t xml:space="preserve">INE285U01025</t>
        </is>
      </c>
    </row>
    <row r="2164">
      <c r="A2164" t="inlineStr">
        <is>
          <t xml:space="preserve">KINETICENG</t>
        </is>
      </c>
      <c r="B2164" t="inlineStr">
        <is>
          <t xml:space="preserve">KINETIC ENGINEERING LTD.</t>
        </is>
      </c>
      <c r="C2164" t="inlineStr">
        <is>
          <t xml:space="preserve">INE266B01017</t>
        </is>
      </c>
    </row>
    <row r="2165">
      <c r="A2165" t="inlineStr">
        <is>
          <t xml:space="preserve">KINETRU</t>
        </is>
      </c>
      <c r="B2165" t="inlineStr">
        <is>
          <t xml:space="preserve">KINETIC TRUST LTD.</t>
        </is>
      </c>
      <c r="C2165" t="inlineStr">
        <is>
          <t xml:space="preserve">INE674M01019</t>
        </is>
      </c>
    </row>
    <row r="2166">
      <c r="A2166" t="inlineStr">
        <is>
          <t xml:space="preserve">KINGFA</t>
        </is>
      </c>
      <c r="B2166" t="inlineStr">
        <is>
          <t xml:space="preserve">Kingfa Science &amp; Technology (I</t>
        </is>
      </c>
      <c r="C2166" t="inlineStr">
        <is>
          <t xml:space="preserve">INE473D01015</t>
        </is>
      </c>
    </row>
    <row r="2167">
      <c r="A2167" t="inlineStr">
        <is>
          <t xml:space="preserve">KINGSINFR</t>
        </is>
      </c>
      <c r="B2167" t="inlineStr">
        <is>
          <t xml:space="preserve">KINGS INFRA VENTURES LIMITED</t>
        </is>
      </c>
      <c r="C2167" t="inlineStr">
        <is>
          <t xml:space="preserve">INE050N01010</t>
        </is>
      </c>
    </row>
    <row r="2168">
      <c r="A2168" t="inlineStr">
        <is>
          <t xml:space="preserve">KIOCL</t>
        </is>
      </c>
      <c r="B2168" t="inlineStr">
        <is>
          <t xml:space="preserve">KIOCL Limited</t>
        </is>
      </c>
      <c r="C2168" t="inlineStr">
        <is>
          <t xml:space="preserve">INE880L01014</t>
        </is>
      </c>
    </row>
    <row r="2169">
      <c r="A2169" t="inlineStr">
        <is>
          <t xml:space="preserve">KIRANSY-B</t>
        </is>
      </c>
      <c r="B2169" t="inlineStr">
        <is>
          <t xml:space="preserve">KIRAN SYNTEX LTD.</t>
        </is>
      </c>
      <c r="C2169" t="inlineStr">
        <is>
          <t xml:space="preserve">INE293D01017</t>
        </is>
      </c>
    </row>
    <row r="2170">
      <c r="A2170" t="inlineStr">
        <is>
          <t xml:space="preserve">KIRANVYPAR</t>
        </is>
      </c>
      <c r="B2170" t="inlineStr">
        <is>
          <t xml:space="preserve">KIRAN VYAPAR LTD</t>
        </is>
      </c>
      <c r="C2170" t="inlineStr">
        <is>
          <t xml:space="preserve">INE555P01013</t>
        </is>
      </c>
    </row>
    <row r="2171">
      <c r="A2171" t="inlineStr">
        <is>
          <t xml:space="preserve">KIRIINDUS</t>
        </is>
      </c>
      <c r="B2171" t="inlineStr">
        <is>
          <t xml:space="preserve">KIRI INDUSTRIES LTD.</t>
        </is>
      </c>
      <c r="C2171" t="inlineStr">
        <is>
          <t xml:space="preserve">INE415I01015</t>
        </is>
      </c>
    </row>
    <row r="2172">
      <c r="A2172" t="inlineStr">
        <is>
          <t xml:space="preserve">KIRLOSBROS</t>
        </is>
      </c>
      <c r="B2172" t="inlineStr">
        <is>
          <t xml:space="preserve">KIRLOSKAR BROTHERS LTD.</t>
        </is>
      </c>
      <c r="C2172" t="inlineStr">
        <is>
          <t xml:space="preserve">INE732A01036</t>
        </is>
      </c>
    </row>
    <row r="2173">
      <c r="A2173" t="inlineStr">
        <is>
          <t xml:space="preserve">KECL</t>
        </is>
      </c>
      <c r="B2173" t="inlineStr">
        <is>
          <t xml:space="preserve">KIRLOSKAR ELECTRIC COMPANY LTD</t>
        </is>
      </c>
      <c r="C2173" t="inlineStr">
        <is>
          <t xml:space="preserve">INE134B01017</t>
        </is>
      </c>
    </row>
    <row r="2174">
      <c r="A2174" t="inlineStr">
        <is>
          <t xml:space="preserve">KIRLFER</t>
        </is>
      </c>
      <c r="B2174" t="inlineStr">
        <is>
          <t xml:space="preserve">KIRLOSKAR FERROUS INDUSTRIES L</t>
        </is>
      </c>
      <c r="C2174" t="inlineStr">
        <is>
          <t xml:space="preserve">INE884B01025</t>
        </is>
      </c>
    </row>
    <row r="2175">
      <c r="A2175" t="inlineStr">
        <is>
          <t xml:space="preserve">KIRLOSIND</t>
        </is>
      </c>
      <c r="B2175" t="inlineStr">
        <is>
          <t xml:space="preserve">KIRLOSKAR INDUSTRIES LTD</t>
        </is>
      </c>
      <c r="C2175" t="inlineStr">
        <is>
          <t xml:space="preserve">INE250A01039</t>
        </is>
      </c>
    </row>
    <row r="2176">
      <c r="A2176" t="inlineStr">
        <is>
          <t xml:space="preserve">KIRLOSENG</t>
        </is>
      </c>
      <c r="B2176" t="inlineStr">
        <is>
          <t xml:space="preserve">KIRLOSKAR OIL ENGINES LTD.</t>
        </is>
      </c>
      <c r="C2176" t="inlineStr">
        <is>
          <t xml:space="preserve">INE146L01010</t>
        </is>
      </c>
    </row>
    <row r="2177">
      <c r="A2177" t="inlineStr">
        <is>
          <t xml:space="preserve">KIRLPNU</t>
        </is>
      </c>
      <c r="B2177" t="inlineStr">
        <is>
          <t xml:space="preserve">KIRLOSKAR PNEUMATIC CO.LTD.</t>
        </is>
      </c>
      <c r="C2177" t="inlineStr">
        <is>
          <t xml:space="preserve">INE811A01020</t>
        </is>
      </c>
    </row>
    <row r="2178">
      <c r="A2178" t="inlineStr">
        <is>
          <t xml:space="preserve">KISAAN</t>
        </is>
      </c>
      <c r="B2178" t="inlineStr">
        <is>
          <t xml:space="preserve">KISAAN PARIVAR INDUSTRIES LIMI</t>
        </is>
      </c>
      <c r="C2178" t="inlineStr">
        <is>
          <t xml:space="preserve">INE102C01020</t>
        </is>
      </c>
    </row>
    <row r="2179">
      <c r="A2179" t="inlineStr">
        <is>
          <t xml:space="preserve">KISAN</t>
        </is>
      </c>
      <c r="B2179" t="inlineStr">
        <is>
          <t xml:space="preserve">KISAN MOULDINGS LTD.</t>
        </is>
      </c>
      <c r="C2179" t="inlineStr">
        <is>
          <t xml:space="preserve">INE017C01012</t>
        </is>
      </c>
    </row>
    <row r="2180">
      <c r="A2180" t="inlineStr">
        <is>
          <t xml:space="preserve">KITEX</t>
        </is>
      </c>
      <c r="B2180" t="inlineStr">
        <is>
          <t xml:space="preserve">KITEX GARMENTS LTD.</t>
        </is>
      </c>
      <c r="C2180" t="inlineStr">
        <is>
          <t xml:space="preserve">INE602G01020</t>
        </is>
      </c>
    </row>
    <row r="2181">
      <c r="A2181" t="inlineStr">
        <is>
          <t xml:space="preserve">KIZI</t>
        </is>
      </c>
      <c r="B2181" t="inlineStr">
        <is>
          <t xml:space="preserve">Kizi Apparels Limited</t>
        </is>
      </c>
      <c r="C2181" t="inlineStr">
        <is>
          <t xml:space="preserve">INE0RMR01013</t>
        </is>
      </c>
    </row>
    <row r="2182">
      <c r="A2182" t="inlineStr">
        <is>
          <t xml:space="preserve">KJMCFIN</t>
        </is>
      </c>
      <c r="B2182" t="inlineStr">
        <is>
          <t xml:space="preserve">KJMC FINANCIAL SERVICES LTD.</t>
        </is>
      </c>
      <c r="C2182" t="inlineStr">
        <is>
          <t xml:space="preserve">INE533C01018</t>
        </is>
      </c>
    </row>
    <row r="2183">
      <c r="A2183" t="inlineStr">
        <is>
          <t xml:space="preserve">KKALPANAIND</t>
        </is>
      </c>
      <c r="B2183" t="inlineStr">
        <is>
          <t xml:space="preserve">KKALPANA INDUSTRIES (INDIA) LT</t>
        </is>
      </c>
      <c r="C2183" t="inlineStr">
        <is>
          <t xml:space="preserve">INE301C01028</t>
        </is>
      </c>
    </row>
    <row r="2184">
      <c r="A2184" t="inlineStr">
        <is>
          <t xml:space="preserve">KKPLASTICK</t>
        </is>
      </c>
      <c r="B2184" t="inlineStr">
        <is>
          <t xml:space="preserve">Kkalpana Plastick Limited</t>
        </is>
      </c>
      <c r="C2184" t="inlineStr">
        <is>
          <t xml:space="preserve">INE465K01016</t>
        </is>
      </c>
    </row>
    <row r="2185">
      <c r="A2185" t="inlineStr">
        <is>
          <t xml:space="preserve">KMCSHIL</t>
        </is>
      </c>
      <c r="B2185" t="inlineStr">
        <is>
          <t xml:space="preserve">KMC SPECIALITY HOSPITALS (INDI</t>
        </is>
      </c>
      <c r="C2185" t="inlineStr">
        <is>
          <t xml:space="preserve">INE879K01018</t>
        </is>
      </c>
    </row>
    <row r="2186">
      <c r="A2186" t="inlineStr">
        <is>
          <t xml:space="preserve">KMFBLDR</t>
        </is>
      </c>
      <c r="B2186" t="inlineStr">
        <is>
          <t xml:space="preserve">KMF BUILDERS &amp; DEVELOPERS LTD.</t>
        </is>
      </c>
      <c r="C2186" t="inlineStr">
        <is>
          <t xml:space="preserve">INE580H01026</t>
        </is>
      </c>
    </row>
    <row r="2187">
      <c r="A2187" t="inlineStr">
        <is>
          <t xml:space="preserve">KNACK</t>
        </is>
      </c>
      <c r="B2187" t="inlineStr">
        <is>
          <t xml:space="preserve">KNACK PACKAGING LIMITED</t>
        </is>
      </c>
      <c r="C2187" t="inlineStr">
        <is>
          <t xml:space="preserve">INE17QZ01016</t>
        </is>
      </c>
    </row>
    <row r="2188">
      <c r="A2188" t="inlineStr">
        <is>
          <t xml:space="preserve">KMEW</t>
        </is>
      </c>
      <c r="B2188" t="inlineStr">
        <is>
          <t xml:space="preserve">Knowledge Marine &amp; Engineering</t>
        </is>
      </c>
      <c r="C2188" t="inlineStr">
        <is>
          <t xml:space="preserve">INE0CJD01029</t>
        </is>
      </c>
    </row>
    <row r="2189">
      <c r="A2189" t="inlineStr">
        <is>
          <t xml:space="preserve">KRT</t>
        </is>
      </c>
      <c r="B2189" t="inlineStr">
        <is>
          <t xml:space="preserve">KNOWLEDGE REALTY TRUST</t>
        </is>
      </c>
      <c r="C2189" t="inlineStr">
        <is>
          <t xml:space="preserve">INE1JAR25012</t>
        </is>
      </c>
    </row>
    <row r="2190">
      <c r="A2190" t="inlineStr">
        <is>
          <t xml:space="preserve">KNRCON</t>
        </is>
      </c>
      <c r="B2190" t="inlineStr">
        <is>
          <t xml:space="preserve">KNR CONSTRUCTIONS LTD.</t>
        </is>
      </c>
      <c r="C2190" t="inlineStr">
        <is>
          <t xml:space="preserve">INE634I01029</t>
        </is>
      </c>
    </row>
    <row r="2191">
      <c r="A2191" t="inlineStr">
        <is>
          <t xml:space="preserve">KOBO</t>
        </is>
      </c>
      <c r="B2191" t="inlineStr">
        <is>
          <t xml:space="preserve">KOBO BIOTECH LIMITED</t>
        </is>
      </c>
      <c r="C2191" t="inlineStr">
        <is>
          <t xml:space="preserve">INE881A01015</t>
        </is>
      </c>
    </row>
    <row r="2192">
      <c r="A2192" t="inlineStr">
        <is>
          <t xml:space="preserve">KOHINOOR</t>
        </is>
      </c>
      <c r="B2192" t="inlineStr">
        <is>
          <t xml:space="preserve">KOHINOOR FOODS LTD.</t>
        </is>
      </c>
      <c r="C2192" t="inlineStr">
        <is>
          <t xml:space="preserve">INE080B01012</t>
        </is>
      </c>
    </row>
    <row r="2193">
      <c r="A2193" t="inlineStr">
        <is>
          <t xml:space="preserve">KOKUYOCMLN</t>
        </is>
      </c>
      <c r="B2193" t="inlineStr">
        <is>
          <t xml:space="preserve">KOKUYO CAMLIN LTD.</t>
        </is>
      </c>
      <c r="C2193" t="inlineStr">
        <is>
          <t xml:space="preserve">INE760A01029</t>
        </is>
      </c>
    </row>
    <row r="2194">
      <c r="A2194" t="inlineStr">
        <is>
          <t xml:space="preserve">KOLTEPATIL</t>
        </is>
      </c>
      <c r="B2194" t="inlineStr">
        <is>
          <t xml:space="preserve">KOLTE-PATIL DEVELOPERS LTD.</t>
        </is>
      </c>
      <c r="C2194" t="inlineStr">
        <is>
          <t xml:space="preserve">INE094I01018</t>
        </is>
      </c>
    </row>
    <row r="2195">
      <c r="A2195" t="inlineStr">
        <is>
          <t xml:space="preserve">KONNDOR</t>
        </is>
      </c>
      <c r="B2195" t="inlineStr">
        <is>
          <t xml:space="preserve">KONNDOR INDUSTRIES LIMITED</t>
        </is>
      </c>
      <c r="C2195" t="inlineStr">
        <is>
          <t xml:space="preserve">INE971A01014</t>
        </is>
      </c>
    </row>
    <row r="2196">
      <c r="A2196" t="inlineStr">
        <is>
          <t xml:space="preserve">KOPRAN</t>
        </is>
      </c>
      <c r="B2196" t="inlineStr">
        <is>
          <t xml:space="preserve">KOPRAN LTD.</t>
        </is>
      </c>
      <c r="C2196" t="inlineStr">
        <is>
          <t xml:space="preserve">INE082A01010</t>
        </is>
      </c>
    </row>
    <row r="2197">
      <c r="A2197" t="inlineStr">
        <is>
          <t xml:space="preserve">KFL20226C</t>
        </is>
      </c>
      <c r="B2197" t="inlineStr">
        <is>
          <t xml:space="preserve">Kosamattam Finance Limited</t>
        </is>
      </c>
      <c r="C2197" t="inlineStr">
        <is>
          <t xml:space="preserve">INE403Q07GQ4</t>
        </is>
      </c>
    </row>
    <row r="2198">
      <c r="A2198" t="inlineStr">
        <is>
          <t xml:space="preserve">KOTAKBANK</t>
        </is>
      </c>
      <c r="B2198" t="inlineStr">
        <is>
          <t xml:space="preserve">KOTAK MAHINDRA BANK LTD.</t>
        </is>
      </c>
      <c r="C2198" t="inlineStr">
        <is>
          <t xml:space="preserve">INE237A01036</t>
        </is>
      </c>
    </row>
    <row r="2199">
      <c r="A2199" t="inlineStr">
        <is>
          <t xml:space="preserve">KFBL</t>
        </is>
      </c>
      <c r="B2199" t="inlineStr">
        <is>
          <t xml:space="preserve">KOTHARI FERMENTATION &amp; BIOCHEM</t>
        </is>
      </c>
      <c r="C2199" t="inlineStr">
        <is>
          <t xml:space="preserve">INE991B01010</t>
        </is>
      </c>
    </row>
    <row r="2200">
      <c r="A2200" t="inlineStr">
        <is>
          <t xml:space="preserve">KOTIC</t>
        </is>
      </c>
      <c r="B2200" t="inlineStr">
        <is>
          <t xml:space="preserve">KOTHARI INDUSTRIAL CORPORATION</t>
        </is>
      </c>
      <c r="C2200" t="inlineStr">
        <is>
          <t xml:space="preserve">INE972A01020</t>
        </is>
      </c>
    </row>
    <row r="2201">
      <c r="A2201" t="inlineStr">
        <is>
          <t xml:space="preserve">KOTHARIPRO</t>
        </is>
      </c>
      <c r="B2201" t="inlineStr">
        <is>
          <t xml:space="preserve">KOTHARI PRODUCTS LTD.</t>
        </is>
      </c>
      <c r="C2201" t="inlineStr">
        <is>
          <t xml:space="preserve">INE823A01017</t>
        </is>
      </c>
    </row>
    <row r="2202">
      <c r="A2202" t="inlineStr">
        <is>
          <t xml:space="preserve">KOTYARK</t>
        </is>
      </c>
      <c r="B2202" t="inlineStr">
        <is>
          <t xml:space="preserve">Kotyark Industries Limited</t>
        </is>
      </c>
      <c r="C2202" t="inlineStr">
        <is>
          <t xml:space="preserve">INE0J0B01017</t>
        </is>
      </c>
    </row>
    <row r="2203">
      <c r="A2203" t="inlineStr">
        <is>
          <t xml:space="preserve">KOVAI</t>
        </is>
      </c>
      <c r="B2203" t="inlineStr">
        <is>
          <t xml:space="preserve">KOVAI MEDICAL CENTER &amp; HOSPITA</t>
        </is>
      </c>
      <c r="C2203" t="inlineStr">
        <is>
          <t xml:space="preserve">INE177F01017</t>
        </is>
      </c>
    </row>
    <row r="2204">
      <c r="A2204" t="inlineStr">
        <is>
          <t xml:space="preserve">KLRFM</t>
        </is>
      </c>
      <c r="B2204" t="inlineStr">
        <is>
          <t xml:space="preserve">KOVILPATTI LAKSHMI ROLLER FLOU</t>
        </is>
      </c>
      <c r="C2204" t="inlineStr">
        <is>
          <t xml:space="preserve">INE014E01015</t>
        </is>
      </c>
    </row>
    <row r="2205">
      <c r="A2205" t="inlineStr">
        <is>
          <t xml:space="preserve">KPGEL</t>
        </is>
      </c>
      <c r="B2205" t="inlineStr">
        <is>
          <t xml:space="preserve">KP GREEN ENGINEERING LIMITED</t>
        </is>
      </c>
      <c r="C2205" t="inlineStr">
        <is>
          <t xml:space="preserve">INE0QVH01025</t>
        </is>
      </c>
    </row>
    <row r="2206">
      <c r="A2206" t="inlineStr">
        <is>
          <t xml:space="preserve">KPIGREEN</t>
        </is>
      </c>
      <c r="B2206" t="inlineStr">
        <is>
          <t xml:space="preserve">KPI Green Energy Limited</t>
        </is>
      </c>
      <c r="C2206" t="inlineStr">
        <is>
          <t xml:space="preserve">INE542W01025</t>
        </is>
      </c>
    </row>
    <row r="2207">
      <c r="A2207" t="inlineStr">
        <is>
          <t xml:space="preserve">KPITTECH</t>
        </is>
      </c>
      <c r="B2207" t="inlineStr">
        <is>
          <t xml:space="preserve">KPIT Technologies Ltd</t>
        </is>
      </c>
      <c r="C2207" t="inlineStr">
        <is>
          <t xml:space="preserve">INE04I401011</t>
        </is>
      </c>
    </row>
    <row r="2208">
      <c r="A2208" t="inlineStr">
        <is>
          <t xml:space="preserve">KPT</t>
        </is>
      </c>
      <c r="B2208" t="inlineStr">
        <is>
          <t xml:space="preserve">KPT INDUSTRIES LIMITED</t>
        </is>
      </c>
      <c r="C2208" t="inlineStr">
        <is>
          <t xml:space="preserve">INE731D01024</t>
        </is>
      </c>
    </row>
    <row r="2209">
      <c r="A2209" t="inlineStr">
        <is>
          <t xml:space="preserve">KRANTI</t>
        </is>
      </c>
      <c r="B2209" t="inlineStr">
        <is>
          <t xml:space="preserve">Kranti Industries Limited</t>
        </is>
      </c>
      <c r="C2209" t="inlineStr">
        <is>
          <t xml:space="preserve">INE911T01010</t>
        </is>
      </c>
    </row>
    <row r="2210">
      <c r="A2210" t="inlineStr">
        <is>
          <t xml:space="preserve">KRATIKAL</t>
        </is>
      </c>
      <c r="B2210" t="inlineStr">
        <is>
          <t xml:space="preserve">KRATIKAL TECH LIMITED</t>
        </is>
      </c>
      <c r="C2210" t="inlineStr">
        <is>
          <t xml:space="preserve">INE1L0M01019</t>
        </is>
      </c>
    </row>
    <row r="2211">
      <c r="A2211" t="inlineStr">
        <is>
          <t xml:space="preserve">KRBL</t>
        </is>
      </c>
      <c r="B2211" t="inlineStr">
        <is>
          <t xml:space="preserve">KRBL LTD.</t>
        </is>
      </c>
      <c r="C2211" t="inlineStr">
        <is>
          <t xml:space="preserve">INE001B01026</t>
        </is>
      </c>
    </row>
    <row r="2212">
      <c r="A2212" t="inlineStr">
        <is>
          <t xml:space="preserve">KREBSBIO</t>
        </is>
      </c>
      <c r="B2212" t="inlineStr">
        <is>
          <t xml:space="preserve">KREBS BIOCHEMICALS &amp; INDUSTRIE</t>
        </is>
      </c>
      <c r="C2212" t="inlineStr">
        <is>
          <t xml:space="preserve">INE268B01013</t>
        </is>
      </c>
    </row>
    <row r="2213">
      <c r="A2213" t="inlineStr">
        <is>
          <t xml:space="preserve">KREONFIN</t>
        </is>
      </c>
      <c r="B2213" t="inlineStr">
        <is>
          <t xml:space="preserve">KREON FINNANCIAL SERVICES LTD.</t>
        </is>
      </c>
      <c r="C2213" t="inlineStr">
        <is>
          <t xml:space="preserve">INE302C01018</t>
        </is>
      </c>
    </row>
    <row r="2214">
      <c r="A2214" t="inlineStr">
        <is>
          <t xml:space="preserve">KRETTOSYS</t>
        </is>
      </c>
      <c r="B2214" t="inlineStr">
        <is>
          <t xml:space="preserve">KRETTO SYSCON LIMITED</t>
        </is>
      </c>
      <c r="C2214" t="inlineStr">
        <is>
          <t xml:space="preserve">INE128R01023</t>
        </is>
      </c>
    </row>
    <row r="2215">
      <c r="A2215" t="inlineStr">
        <is>
          <t xml:space="preserve">1140KRFL27</t>
        </is>
      </c>
      <c r="B2215" t="inlineStr">
        <is>
          <t xml:space="preserve">KRFL-11.40%-24-10-27-PVT</t>
        </is>
      </c>
      <c r="C2215" t="inlineStr">
        <is>
          <t xml:space="preserve">INE0NES07287</t>
        </is>
      </c>
    </row>
    <row r="2216">
      <c r="A2216" t="inlineStr">
        <is>
          <t xml:space="preserve">KRIDHANINF</t>
        </is>
      </c>
      <c r="B2216" t="inlineStr">
        <is>
          <t xml:space="preserve">KRIDHAN INFRA LIMITED</t>
        </is>
      </c>
      <c r="C2216" t="inlineStr">
        <is>
          <t xml:space="preserve">INE524L01026</t>
        </is>
      </c>
    </row>
    <row r="2217">
      <c r="A2217" t="inlineStr">
        <is>
          <t xml:space="preserve">KVFORGE</t>
        </is>
      </c>
      <c r="B2217" t="inlineStr">
        <is>
          <t xml:space="preserve">KRISHANVEER FORGE LIMITED</t>
        </is>
      </c>
      <c r="C2217" t="inlineStr">
        <is>
          <t xml:space="preserve">INE013J01016</t>
        </is>
      </c>
    </row>
    <row r="2218">
      <c r="A2218" t="inlineStr">
        <is>
          <t xml:space="preserve">KRISHIVAL</t>
        </is>
      </c>
      <c r="B2218" t="inlineStr">
        <is>
          <t xml:space="preserve">KRISHIVAL FOODS LIMITED</t>
        </is>
      </c>
      <c r="C2218" t="inlineStr">
        <is>
          <t xml:space="preserve">INE0GGO01015</t>
        </is>
      </c>
    </row>
    <row r="2219">
      <c r="A2219" t="inlineStr">
        <is>
          <t xml:space="preserve">KRIFILIND</t>
        </is>
      </c>
      <c r="B2219" t="inlineStr">
        <is>
          <t xml:space="preserve">KRISHNA FILAMENT INDUSTRIES LI</t>
        </is>
      </c>
      <c r="C2219" t="inlineStr">
        <is>
          <t xml:space="preserve">INE073A01019</t>
        </is>
      </c>
    </row>
    <row r="2220">
      <c r="A2220" t="inlineStr">
        <is>
          <t xml:space="preserve">KIMS</t>
        </is>
      </c>
      <c r="B2220" t="inlineStr">
        <is>
          <t xml:space="preserve">Krishna Institute of Medical S</t>
        </is>
      </c>
      <c r="C2220" t="inlineStr">
        <is>
          <t xml:space="preserve">INE967H01025</t>
        </is>
      </c>
    </row>
    <row r="2221">
      <c r="A2221" t="inlineStr">
        <is>
          <t xml:space="preserve">KRISHNA</t>
        </is>
      </c>
      <c r="B2221" t="inlineStr">
        <is>
          <t xml:space="preserve">KRISHNA VENTURES LIMITED</t>
        </is>
      </c>
      <c r="C2221" t="inlineStr">
        <is>
          <t xml:space="preserve">INE537L01010</t>
        </is>
      </c>
    </row>
    <row r="2222">
      <c r="A2222" t="inlineStr">
        <is>
          <t xml:space="preserve">KRITI</t>
        </is>
      </c>
      <c r="B2222" t="inlineStr">
        <is>
          <t xml:space="preserve">KRITI INDUSTRIES (INDIA) LTD.</t>
        </is>
      </c>
      <c r="C2222" t="inlineStr">
        <is>
          <t xml:space="preserve">INE479D01038</t>
        </is>
      </c>
    </row>
    <row r="2223">
      <c r="A2223" t="inlineStr">
        <is>
          <t xml:space="preserve">KRITINUT</t>
        </is>
      </c>
      <c r="B2223" t="inlineStr">
        <is>
          <t xml:space="preserve">KRITI NUTRIENTS LTD</t>
        </is>
      </c>
      <c r="C2223" t="inlineStr">
        <is>
          <t xml:space="preserve">INE798K01010</t>
        </is>
      </c>
    </row>
    <row r="2224">
      <c r="A2224" t="inlineStr">
        <is>
          <t xml:space="preserve">KRN</t>
        </is>
      </c>
      <c r="B2224" t="inlineStr">
        <is>
          <t xml:space="preserve">KRN HEAT EXCHANGER AND REFRIGE</t>
        </is>
      </c>
      <c r="C2224" t="inlineStr">
        <is>
          <t xml:space="preserve">INE0Q3J01015</t>
        </is>
      </c>
    </row>
    <row r="2225">
      <c r="A2225" t="inlineStr">
        <is>
          <t xml:space="preserve">KRONOX</t>
        </is>
      </c>
      <c r="B2225" t="inlineStr">
        <is>
          <t xml:space="preserve">KRONOX LAB SCIENCES LIMITED</t>
        </is>
      </c>
      <c r="C2225" t="inlineStr">
        <is>
          <t xml:space="preserve">INE0ATZ01017</t>
        </is>
      </c>
    </row>
    <row r="2226">
      <c r="A2226" t="inlineStr">
        <is>
          <t xml:space="preserve">KROSS</t>
        </is>
      </c>
      <c r="B2226" t="inlineStr">
        <is>
          <t xml:space="preserve">Kross Limited</t>
        </is>
      </c>
      <c r="C2226" t="inlineStr">
        <is>
          <t xml:space="preserve">INE0O6601022</t>
        </is>
      </c>
    </row>
    <row r="2227">
      <c r="A2227" t="inlineStr">
        <is>
          <t xml:space="preserve">KRSNAA</t>
        </is>
      </c>
      <c r="B2227" t="inlineStr">
        <is>
          <t xml:space="preserve">Krsnaa Diagnostics Limited</t>
        </is>
      </c>
      <c r="C2227" t="inlineStr">
        <is>
          <t xml:space="preserve">INE08LI01020</t>
        </is>
      </c>
    </row>
    <row r="2228">
      <c r="A2228" t="inlineStr">
        <is>
          <t xml:space="preserve">KRYPTONQ</t>
        </is>
      </c>
      <c r="B2228" t="inlineStr">
        <is>
          <t xml:space="preserve">KRYPTON INDUSTRIES LTD.</t>
        </is>
      </c>
      <c r="C2228" t="inlineStr">
        <is>
          <t xml:space="preserve">INE951B01014</t>
        </is>
      </c>
    </row>
    <row r="2229">
      <c r="A2229" t="inlineStr">
        <is>
          <t xml:space="preserve">KRYSTAL</t>
        </is>
      </c>
      <c r="B2229" t="inlineStr">
        <is>
          <t xml:space="preserve">KRYSTAL INTEGRATED SERVICES LI</t>
        </is>
      </c>
      <c r="C2229" t="inlineStr">
        <is>
          <t xml:space="preserve">INE0QN801017</t>
        </is>
      </c>
    </row>
    <row r="2230">
      <c r="A2230" t="inlineStr">
        <is>
          <t xml:space="preserve">KSSMART</t>
        </is>
      </c>
      <c r="B2230" t="inlineStr">
        <is>
          <t xml:space="preserve">KS Smart Technologies Limited</t>
        </is>
      </c>
      <c r="C2230" t="inlineStr">
        <is>
          <t xml:space="preserve">INE737E01011</t>
        </is>
      </c>
    </row>
    <row r="2231">
      <c r="A2231" t="inlineStr">
        <is>
          <t xml:space="preserve">KSB</t>
        </is>
      </c>
      <c r="B2231" t="inlineStr">
        <is>
          <t xml:space="preserve">KSB LIMITED</t>
        </is>
      </c>
      <c r="C2231" t="inlineStr">
        <is>
          <t xml:space="preserve">INE999A01023</t>
        </is>
      </c>
    </row>
    <row r="2232">
      <c r="A2232" t="inlineStr">
        <is>
          <t xml:space="preserve">KSE</t>
        </is>
      </c>
      <c r="B2232" t="inlineStr">
        <is>
          <t xml:space="preserve">KSE LTD.</t>
        </is>
      </c>
      <c r="C2232" t="inlineStr">
        <is>
          <t xml:space="preserve">INE953E01022</t>
        </is>
      </c>
    </row>
    <row r="2233">
      <c r="A2233" t="inlineStr">
        <is>
          <t xml:space="preserve">KSHINTL</t>
        </is>
      </c>
      <c r="B2233" t="inlineStr">
        <is>
          <t xml:space="preserve">KSH INTERNATIONAL LIMITED</t>
        </is>
      </c>
      <c r="C2233" t="inlineStr">
        <is>
          <t xml:space="preserve">INE987S01020</t>
        </is>
      </c>
    </row>
    <row r="2234">
      <c r="A2234" t="inlineStr">
        <is>
          <t xml:space="preserve">1065KSL26</t>
        </is>
      </c>
      <c r="B2234" t="inlineStr">
        <is>
          <t xml:space="preserve">KSL-10-.65%-06-11-26-PVT</t>
        </is>
      </c>
      <c r="C2234" t="inlineStr">
        <is>
          <t xml:space="preserve">INE07HK07809</t>
        </is>
      </c>
    </row>
    <row r="2235">
      <c r="A2235" t="inlineStr">
        <is>
          <t xml:space="preserve">1040KSL27</t>
        </is>
      </c>
      <c r="B2235" t="inlineStr">
        <is>
          <t xml:space="preserve">KSL-10.40%-25-1-27-PVT</t>
        </is>
      </c>
      <c r="C2235" t="inlineStr">
        <is>
          <t xml:space="preserve">INE07HK07817</t>
        </is>
      </c>
    </row>
    <row r="2236">
      <c r="A2236" t="inlineStr">
        <is>
          <t xml:space="preserve">1045KSL27</t>
        </is>
      </c>
      <c r="B2236" t="inlineStr">
        <is>
          <t xml:space="preserve">KSL-10.45%-16-03-27-PVT</t>
        </is>
      </c>
      <c r="C2236" t="inlineStr">
        <is>
          <t xml:space="preserve">INE07HK07841</t>
        </is>
      </c>
    </row>
    <row r="2237">
      <c r="A2237" t="inlineStr">
        <is>
          <t xml:space="preserve">1050KSL27</t>
        </is>
      </c>
      <c r="B2237" t="inlineStr">
        <is>
          <t xml:space="preserve">KSL-10.50%-2-12-27-PVT</t>
        </is>
      </c>
      <c r="C2237" t="inlineStr">
        <is>
          <t xml:space="preserve">INE07HK07866</t>
        </is>
      </c>
    </row>
    <row r="2238">
      <c r="A2238" t="inlineStr">
        <is>
          <t xml:space="preserve">1065KSL27</t>
        </is>
      </c>
      <c r="B2238" t="inlineStr">
        <is>
          <t xml:space="preserve">KSL-10.65%-12-08-27-PVT</t>
        </is>
      </c>
      <c r="C2238" t="inlineStr">
        <is>
          <t xml:space="preserve">INE07HK07825</t>
        </is>
      </c>
    </row>
    <row r="2239">
      <c r="A2239" t="inlineStr">
        <is>
          <t xml:space="preserve">KSOLVES</t>
        </is>
      </c>
      <c r="B2239" t="inlineStr">
        <is>
          <t xml:space="preserve">Ksolves India Limited</t>
        </is>
      </c>
      <c r="C2239" t="inlineStr">
        <is>
          <t xml:space="preserve">INE0D6I01023</t>
        </is>
      </c>
    </row>
    <row r="2240">
      <c r="A2240" t="inlineStr">
        <is>
          <t xml:space="preserve">KSR</t>
        </is>
      </c>
      <c r="B2240" t="inlineStr">
        <is>
          <t xml:space="preserve">KSR Footwear Limited</t>
        </is>
      </c>
      <c r="C2240" t="inlineStr">
        <is>
          <t xml:space="preserve">INE1SPP01016</t>
        </is>
      </c>
    </row>
    <row r="2241">
      <c r="A2241" t="inlineStr">
        <is>
          <t xml:space="preserve">KUANTUM</t>
        </is>
      </c>
      <c r="B2241" t="inlineStr">
        <is>
          <t xml:space="preserve">KUANTUM PAPERS LTD.</t>
        </is>
      </c>
      <c r="C2241" t="inlineStr">
        <is>
          <t xml:space="preserve">INE529I01021</t>
        </is>
      </c>
    </row>
    <row r="2242">
      <c r="A2242" t="inlineStr">
        <is>
          <t xml:space="preserve">KUBERJI</t>
        </is>
      </c>
      <c r="B2242" t="inlineStr">
        <is>
          <t xml:space="preserve">Kuber Udyog Limited</t>
        </is>
      </c>
      <c r="C2242" t="inlineStr">
        <is>
          <t xml:space="preserve">INE594R01018</t>
        </is>
      </c>
    </row>
    <row r="2243">
      <c r="A2243" t="inlineStr">
        <is>
          <t xml:space="preserve">KUMPFIN</t>
        </is>
      </c>
      <c r="B2243" t="inlineStr">
        <is>
          <t xml:space="preserve">KUMBHAT FINANCIAL SERVICES LTD</t>
        </is>
      </c>
      <c r="C2243" t="inlineStr">
        <is>
          <t xml:space="preserve">INE795E01019</t>
        </is>
      </c>
    </row>
    <row r="2244">
      <c r="A2244" t="inlineStr">
        <is>
          <t xml:space="preserve">KUNSTOFF</t>
        </is>
      </c>
      <c r="B2244" t="inlineStr">
        <is>
          <t xml:space="preserve">KUNSTSTOFFE INDUSTRIES LTD.</t>
        </is>
      </c>
      <c r="C2244" t="inlineStr">
        <is>
          <t xml:space="preserve">INE638D01021</t>
        </is>
      </c>
    </row>
    <row r="2245">
      <c r="A2245" t="inlineStr">
        <is>
          <t xml:space="preserve">KUSHIND</t>
        </is>
      </c>
      <c r="B2245" t="inlineStr">
        <is>
          <t xml:space="preserve">Kush Industries Limited</t>
        </is>
      </c>
      <c r="C2245" t="inlineStr">
        <is>
          <t xml:space="preserve">INE979D01011</t>
        </is>
      </c>
    </row>
    <row r="2246">
      <c r="A2246" t="inlineStr">
        <is>
          <t xml:space="preserve">KUWERIN</t>
        </is>
      </c>
      <c r="B2246" t="inlineStr">
        <is>
          <t xml:space="preserve">KUWER INDUSTRIES LTD.</t>
        </is>
      </c>
      <c r="C2246" t="inlineStr">
        <is>
          <t xml:space="preserve">INE430F01010</t>
        </is>
      </c>
    </row>
    <row r="2247">
      <c r="A2247" t="inlineStr">
        <is>
          <t xml:space="preserve">KVSCASTING</t>
        </is>
      </c>
      <c r="B2247" t="inlineStr">
        <is>
          <t xml:space="preserve">KVS Castings Limited</t>
        </is>
      </c>
      <c r="C2247" t="inlineStr">
        <is>
          <t xml:space="preserve">INE163701019</t>
        </is>
      </c>
    </row>
    <row r="2248">
      <c r="A2248" t="inlineStr">
        <is>
          <t xml:space="preserve">KPL</t>
        </is>
      </c>
      <c r="B2248" t="inlineStr">
        <is>
          <t xml:space="preserve">Kwality Pharmaceuticals Limite</t>
        </is>
      </c>
      <c r="C2248" t="inlineStr">
        <is>
          <t xml:space="preserve">INE552U01010</t>
        </is>
      </c>
    </row>
    <row r="2249">
      <c r="A2249" t="inlineStr">
        <is>
          <t xml:space="preserve">KWIL</t>
        </is>
      </c>
      <c r="B2249" t="inlineStr">
        <is>
          <t xml:space="preserve">Kwality Walls (India) Limited</t>
        </is>
      </c>
      <c r="C2249" t="inlineStr">
        <is>
          <t xml:space="preserve">INE2KCE01013</t>
        </is>
      </c>
    </row>
    <row r="2250">
      <c r="A2250" t="inlineStr">
        <is>
          <t xml:space="preserve">LTF</t>
        </is>
      </c>
      <c r="B2250" t="inlineStr">
        <is>
          <t xml:space="preserve">L&amp;T Finance Limited</t>
        </is>
      </c>
      <c r="C2250" t="inlineStr">
        <is>
          <t xml:space="preserve">INE498L01015</t>
        </is>
      </c>
    </row>
    <row r="2251">
      <c r="A2251" t="inlineStr">
        <is>
          <t xml:space="preserve">LTTS</t>
        </is>
      </c>
      <c r="B2251" t="inlineStr">
        <is>
          <t xml:space="preserve">L&amp;T Technology Services Limite</t>
        </is>
      </c>
      <c r="C2251" t="inlineStr">
        <is>
          <t xml:space="preserve">INE010V01017</t>
        </is>
      </c>
    </row>
    <row r="2252">
      <c r="A2252" t="inlineStr">
        <is>
          <t xml:space="preserve">LTELEVATOR</t>
        </is>
      </c>
      <c r="B2252" t="inlineStr">
        <is>
          <t xml:space="preserve">L. T. ELEVATOR LIMITED</t>
        </is>
      </c>
      <c r="C2252" t="inlineStr">
        <is>
          <t xml:space="preserve">INE0TJ801010</t>
        </is>
      </c>
    </row>
    <row r="2253">
      <c r="A2253" t="inlineStr">
        <is>
          <t xml:space="preserve">LGBBROSLTD</t>
        </is>
      </c>
      <c r="B2253" t="inlineStr">
        <is>
          <t xml:space="preserve">L.G.BALAKRISHNAN &amp; BROS.LTD.</t>
        </is>
      </c>
      <c r="C2253" t="inlineStr">
        <is>
          <t xml:space="preserve">INE337A01034</t>
        </is>
      </c>
    </row>
    <row r="2254">
      <c r="A2254" t="inlineStr">
        <is>
          <t xml:space="preserve">LAOPALA</t>
        </is>
      </c>
      <c r="B2254" t="inlineStr">
        <is>
          <t xml:space="preserve">LA OPALA RG LTD.</t>
        </is>
      </c>
      <c r="C2254" t="inlineStr">
        <is>
          <t xml:space="preserve">INE059D01020</t>
        </is>
      </c>
    </row>
    <row r="2255">
      <c r="A2255" t="inlineStr">
        <is>
          <t xml:space="preserve">LATIMMETAL</t>
        </is>
      </c>
      <c r="B2255" t="inlineStr">
        <is>
          <t xml:space="preserve">La Tim Metal &amp; Industries Limi</t>
        </is>
      </c>
      <c r="C2255" t="inlineStr">
        <is>
          <t xml:space="preserve">INE501N01020</t>
        </is>
      </c>
    </row>
    <row r="2256">
      <c r="A2256" t="inlineStr">
        <is>
          <t xml:space="preserve">LACTOSE</t>
        </is>
      </c>
      <c r="B2256" t="inlineStr">
        <is>
          <t xml:space="preserve">LACTOSE (INDIA) LTD.</t>
        </is>
      </c>
      <c r="C2256" t="inlineStr">
        <is>
          <t xml:space="preserve">INE058I01013</t>
        </is>
      </c>
    </row>
    <row r="2257">
      <c r="A2257" t="inlineStr">
        <is>
          <t xml:space="preserve">LAHL</t>
        </is>
      </c>
      <c r="B2257" t="inlineStr">
        <is>
          <t xml:space="preserve">Ladam Affortable Housing Limit</t>
        </is>
      </c>
      <c r="C2257" t="inlineStr">
        <is>
          <t xml:space="preserve">INE213U01019</t>
        </is>
      </c>
    </row>
    <row r="2258">
      <c r="A2258" t="inlineStr">
        <is>
          <t xml:space="preserve">LADDERUP</t>
        </is>
      </c>
      <c r="B2258" t="inlineStr">
        <is>
          <t xml:space="preserve">LADDERUP FINANCE LTD.</t>
        </is>
      </c>
      <c r="C2258" t="inlineStr">
        <is>
          <t xml:space="preserve">INE519D01015</t>
        </is>
      </c>
    </row>
    <row r="2259">
      <c r="A2259" t="inlineStr">
        <is>
          <t xml:space="preserve">LADDU</t>
        </is>
      </c>
      <c r="B2259" t="inlineStr">
        <is>
          <t xml:space="preserve">LADDU GOPAL ONLINE SERVICES LI</t>
        </is>
      </c>
      <c r="C2259" t="inlineStr">
        <is>
          <t xml:space="preserve">INE546I01025</t>
        </is>
      </c>
    </row>
    <row r="2260">
      <c r="A2260" t="inlineStr">
        <is>
          <t xml:space="preserve">LAFFANSQ</t>
        </is>
      </c>
      <c r="B2260" t="inlineStr">
        <is>
          <t xml:space="preserve">LAFFANS PETROCHEMICALS LTD.</t>
        </is>
      </c>
      <c r="C2260" t="inlineStr">
        <is>
          <t xml:space="preserve">INE919B01011</t>
        </is>
      </c>
    </row>
    <row r="2261">
      <c r="A2261" t="inlineStr">
        <is>
          <t xml:space="preserve">LAKESHORE</t>
        </is>
      </c>
      <c r="B2261" t="inlineStr">
        <is>
          <t xml:space="preserve">LAKE SHORE REALTY LIMITED</t>
        </is>
      </c>
      <c r="C2261" t="inlineStr">
        <is>
          <t xml:space="preserve">INE734D01010</t>
        </is>
      </c>
    </row>
    <row r="2262">
      <c r="A2262" t="inlineStr">
        <is>
          <t xml:space="preserve">LAKHOTIA</t>
        </is>
      </c>
      <c r="B2262" t="inlineStr">
        <is>
          <t xml:space="preserve">LAKHOTIA POLYESTERS (INDIA) LT</t>
        </is>
      </c>
      <c r="C2262" t="inlineStr">
        <is>
          <t xml:space="preserve">INE191O01010</t>
        </is>
      </c>
    </row>
    <row r="2263">
      <c r="A2263" t="inlineStr">
        <is>
          <t xml:space="preserve">LAKSELEC</t>
        </is>
      </c>
      <c r="B2263" t="inlineStr">
        <is>
          <t xml:space="preserve">LAKSHMI ELECTRICAL CONTROL SYS</t>
        </is>
      </c>
      <c r="C2263" t="inlineStr">
        <is>
          <t xml:space="preserve">INE284C01018</t>
        </is>
      </c>
    </row>
    <row r="2264">
      <c r="A2264" t="inlineStr">
        <is>
          <t xml:space="preserve">LAKSHMIEW</t>
        </is>
      </c>
      <c r="B2264" t="inlineStr">
        <is>
          <t xml:space="preserve">LAKSHMI ENGINEERING AND WAREHO</t>
        </is>
      </c>
      <c r="C2264" t="inlineStr">
        <is>
          <t xml:space="preserve">INE718M01022</t>
        </is>
      </c>
    </row>
    <row r="2265">
      <c r="A2265" t="inlineStr">
        <is>
          <t xml:space="preserve">LAKSHMIMIL</t>
        </is>
      </c>
      <c r="B2265" t="inlineStr">
        <is>
          <t xml:space="preserve">LAKSHMI MILLS COMPANY LTD.</t>
        </is>
      </c>
      <c r="C2265" t="inlineStr">
        <is>
          <t xml:space="preserve">INE938C01019</t>
        </is>
      </c>
    </row>
    <row r="2266">
      <c r="A2266" t="inlineStr">
        <is>
          <t xml:space="preserve">LAKPRE</t>
        </is>
      </c>
      <c r="B2266" t="inlineStr">
        <is>
          <t xml:space="preserve">LAKSHMI PRECISION SCREWS LTD.</t>
        </is>
      </c>
      <c r="C2266" t="inlineStr">
        <is>
          <t xml:space="preserve">INE651C01018</t>
        </is>
      </c>
    </row>
    <row r="2267">
      <c r="A2267" t="inlineStr">
        <is>
          <t xml:space="preserve">LAMBODHARA</t>
        </is>
      </c>
      <c r="B2267" t="inlineStr">
        <is>
          <t xml:space="preserve">LAMBODHARA TEXTILES LTD.</t>
        </is>
      </c>
      <c r="C2267" t="inlineStr">
        <is>
          <t xml:space="preserve">INE112F01022</t>
        </is>
      </c>
    </row>
    <row r="2268">
      <c r="A2268" t="inlineStr">
        <is>
          <t xml:space="preserve">LANCER</t>
        </is>
      </c>
      <c r="B2268" t="inlineStr">
        <is>
          <t xml:space="preserve">Lancer Container Lines Limited</t>
        </is>
      </c>
      <c r="C2268" t="inlineStr">
        <is>
          <t xml:space="preserve">INE359U01028</t>
        </is>
      </c>
    </row>
    <row r="2269">
      <c r="A2269" t="inlineStr">
        <is>
          <t xml:space="preserve">LANCORHOL</t>
        </is>
      </c>
      <c r="B2269" t="inlineStr">
        <is>
          <t xml:space="preserve">LANCOR HOLDINGS LTD.</t>
        </is>
      </c>
      <c r="C2269" t="inlineStr">
        <is>
          <t xml:space="preserve">INE572G01025</t>
        </is>
      </c>
    </row>
    <row r="2270">
      <c r="A2270" t="inlineStr">
        <is>
          <t xml:space="preserve">LANDMARC</t>
        </is>
      </c>
      <c r="B2270" t="inlineStr">
        <is>
          <t xml:space="preserve">LANDMARC LEISURE CORPORATION L</t>
        </is>
      </c>
      <c r="C2270" t="inlineStr">
        <is>
          <t xml:space="preserve">INE394C01023</t>
        </is>
      </c>
    </row>
    <row r="2271">
      <c r="A2271" t="inlineStr">
        <is>
          <t xml:space="preserve">LANDMARK</t>
        </is>
      </c>
      <c r="B2271" t="inlineStr">
        <is>
          <t xml:space="preserve">LANDMARK CARS LIMITED</t>
        </is>
      </c>
      <c r="C2271" t="inlineStr">
        <is>
          <t xml:space="preserve">INE559R01029</t>
        </is>
      </c>
    </row>
    <row r="2272">
      <c r="A2272" t="inlineStr">
        <is>
          <t xml:space="preserve">LGLL</t>
        </is>
      </c>
      <c r="B2272" t="inlineStr">
        <is>
          <t xml:space="preserve">LANDMARK GLOBAL LEARNING LIMIT</t>
        </is>
      </c>
      <c r="C2272" t="inlineStr">
        <is>
          <t xml:space="preserve">INE12QA01010</t>
        </is>
      </c>
    </row>
    <row r="2273">
      <c r="A2273" t="inlineStr">
        <is>
          <t xml:space="preserve">LPDC</t>
        </is>
      </c>
      <c r="B2273" t="inlineStr">
        <is>
          <t xml:space="preserve">LANDMARK PROPERTY DEVELOPMENT</t>
        </is>
      </c>
      <c r="C2273" t="inlineStr">
        <is>
          <t xml:space="preserve">INE197J01017</t>
        </is>
      </c>
    </row>
    <row r="2274">
      <c r="A2274" t="inlineStr">
        <is>
          <t xml:space="preserve">LANDSMILL</t>
        </is>
      </c>
      <c r="B2274" t="inlineStr">
        <is>
          <t xml:space="preserve">Landsmill Green Limited</t>
        </is>
      </c>
      <c r="C2274" t="inlineStr">
        <is>
          <t xml:space="preserve">INE688J01023</t>
        </is>
      </c>
    </row>
    <row r="2275">
      <c r="A2275" t="inlineStr">
        <is>
          <t xml:space="preserve">LT</t>
        </is>
      </c>
      <c r="B2275" t="inlineStr">
        <is>
          <t xml:space="preserve">LARSEN &amp; TOUBRO LTD.</t>
        </is>
      </c>
      <c r="C2275" t="inlineStr">
        <is>
          <t xml:space="preserve">INE018A01030</t>
        </is>
      </c>
    </row>
    <row r="2276">
      <c r="A2276" t="inlineStr">
        <is>
          <t xml:space="preserve">LASA</t>
        </is>
      </c>
      <c r="B2276" t="inlineStr">
        <is>
          <t xml:space="preserve">Lasa Supergenerics Limited</t>
        </is>
      </c>
      <c r="C2276" t="inlineStr">
        <is>
          <t xml:space="preserve">INE670X01014</t>
        </is>
      </c>
    </row>
    <row r="2277">
      <c r="A2277" t="inlineStr">
        <is>
          <t xml:space="preserve">LASTMILE</t>
        </is>
      </c>
      <c r="B2277" t="inlineStr">
        <is>
          <t xml:space="preserve">LAST MILE ENTERPRISES LIMITED</t>
        </is>
      </c>
      <c r="C2277" t="inlineStr">
        <is>
          <t xml:space="preserve">INE404B01022</t>
        </is>
      </c>
    </row>
    <row r="2278">
      <c r="A2278" t="inlineStr">
        <is>
          <t xml:space="preserve">LATENTVIEW</t>
        </is>
      </c>
      <c r="B2278" t="inlineStr">
        <is>
          <t xml:space="preserve">Latent View Analytics Limited</t>
        </is>
      </c>
      <c r="C2278" t="inlineStr">
        <is>
          <t xml:space="preserve">INE0I7C01011</t>
        </is>
      </c>
    </row>
    <row r="2279">
      <c r="A2279" t="inlineStr">
        <is>
          <t xml:space="preserve">LAURUSLABS</t>
        </is>
      </c>
      <c r="B2279" t="inlineStr">
        <is>
          <t xml:space="preserve">Laurus Labs Limited</t>
        </is>
      </c>
      <c r="C2279" t="inlineStr">
        <is>
          <t xml:space="preserve">INE947Q01028</t>
        </is>
      </c>
    </row>
    <row r="2280">
      <c r="A2280" t="inlineStr">
        <is>
          <t xml:space="preserve">LAXMIDENTL</t>
        </is>
      </c>
      <c r="B2280" t="inlineStr">
        <is>
          <t xml:space="preserve">Laxmi Dental Limited</t>
        </is>
      </c>
      <c r="C2280" t="inlineStr">
        <is>
          <t xml:space="preserve">INE0WO601020</t>
        </is>
      </c>
    </row>
    <row r="2281">
      <c r="A2281" t="inlineStr">
        <is>
          <t xml:space="preserve">LAXMIINDIA</t>
        </is>
      </c>
      <c r="B2281" t="inlineStr">
        <is>
          <t xml:space="preserve">LAXMI INDIA FINANCE LIMITED</t>
        </is>
      </c>
      <c r="C2281" t="inlineStr">
        <is>
          <t xml:space="preserve">INE06WU01026</t>
        </is>
      </c>
    </row>
    <row r="2282">
      <c r="A2282" t="inlineStr">
        <is>
          <t xml:space="preserve">LXCHEM</t>
        </is>
      </c>
      <c r="B2282" t="inlineStr">
        <is>
          <t xml:space="preserve">Laxmi Organic Industries Limit</t>
        </is>
      </c>
      <c r="C2282" t="inlineStr">
        <is>
          <t xml:space="preserve">INE576O01020</t>
        </is>
      </c>
    </row>
    <row r="2283">
      <c r="A2283" t="inlineStr">
        <is>
          <t xml:space="preserve">LCCINFOTEC</t>
        </is>
      </c>
      <c r="B2283" t="inlineStr">
        <is>
          <t xml:space="preserve">LCC INFOTECH LTD.</t>
        </is>
      </c>
      <c r="C2283" t="inlineStr">
        <is>
          <t xml:space="preserve">INE938A01021</t>
        </is>
      </c>
    </row>
    <row r="2284">
      <c r="A2284" t="inlineStr">
        <is>
          <t xml:space="preserve">LELAVOIR</t>
        </is>
      </c>
      <c r="B2284" t="inlineStr">
        <is>
          <t xml:space="preserve">LE LAVOIR LIMITED</t>
        </is>
      </c>
      <c r="C2284" t="inlineStr">
        <is>
          <t xml:space="preserve">INE204S01012</t>
        </is>
      </c>
    </row>
    <row r="2285">
      <c r="A2285" t="inlineStr">
        <is>
          <t xml:space="preserve">IXIGO</t>
        </is>
      </c>
      <c r="B2285" t="inlineStr">
        <is>
          <t xml:space="preserve">Le Travenues Technology Limite</t>
        </is>
      </c>
      <c r="C2285" t="inlineStr">
        <is>
          <t xml:space="preserve">INE0HV901016</t>
        </is>
      </c>
    </row>
    <row r="2286">
      <c r="A2286" t="inlineStr">
        <is>
          <t xml:space="preserve">LLFICL</t>
        </is>
      </c>
      <c r="B2286" t="inlineStr">
        <is>
          <t xml:space="preserve">LEADING LEASING FINANCE AND IN</t>
        </is>
      </c>
      <c r="C2286" t="inlineStr">
        <is>
          <t xml:space="preserve">INE715Q01029</t>
        </is>
      </c>
    </row>
    <row r="2287">
      <c r="A2287" t="inlineStr">
        <is>
          <t xml:space="preserve">LESL</t>
        </is>
      </c>
      <c r="B2287" t="inlineStr">
        <is>
          <t xml:space="preserve">LEAPFROG ENGINEERING SERVICES</t>
        </is>
      </c>
      <c r="C2287" t="inlineStr">
        <is>
          <t xml:space="preserve">INE0X6O01027</t>
        </is>
      </c>
    </row>
    <row r="2288">
      <c r="A2288" t="inlineStr">
        <is>
          <t xml:space="preserve">LEENEE</t>
        </is>
      </c>
      <c r="B2288" t="inlineStr">
        <is>
          <t xml:space="preserve">LEE &amp; NEE SOFTWARES (EXPORTS)</t>
        </is>
      </c>
      <c r="C2288" t="inlineStr">
        <is>
          <t xml:space="preserve">INE791B01014</t>
        </is>
      </c>
    </row>
    <row r="2289">
      <c r="A2289" t="inlineStr">
        <is>
          <t xml:space="preserve">THELEELA</t>
        </is>
      </c>
      <c r="B2289" t="inlineStr">
        <is>
          <t xml:space="preserve">Leela Palaces Hotels &amp; Resorts</t>
        </is>
      </c>
      <c r="C2289" t="inlineStr">
        <is>
          <t xml:space="preserve">INE0AQ201015</t>
        </is>
      </c>
    </row>
    <row r="2290">
      <c r="A2290" t="inlineStr">
        <is>
          <t xml:space="preserve">LEHAR</t>
        </is>
      </c>
      <c r="B2290" t="inlineStr">
        <is>
          <t xml:space="preserve">LEHAR FOOTWEARS LIMITED</t>
        </is>
      </c>
      <c r="C2290" t="inlineStr">
        <is>
          <t xml:space="preserve">INE976H01018</t>
        </is>
      </c>
    </row>
    <row r="2291">
      <c r="A2291" t="inlineStr">
        <is>
          <t xml:space="preserve">LEMONTREE</t>
        </is>
      </c>
      <c r="B2291" t="inlineStr">
        <is>
          <t xml:space="preserve">Lemon Tree Hotels Limited</t>
        </is>
      </c>
      <c r="C2291" t="inlineStr">
        <is>
          <t xml:space="preserve">INE970X01018</t>
        </is>
      </c>
    </row>
    <row r="2292">
      <c r="A2292" t="inlineStr">
        <is>
          <t xml:space="preserve">LENSKART</t>
        </is>
      </c>
      <c r="B2292" t="inlineStr">
        <is>
          <t xml:space="preserve">Lenskart Solutions Limited</t>
        </is>
      </c>
      <c r="C2292" t="inlineStr">
        <is>
          <t xml:space="preserve">INE956O01016</t>
        </is>
      </c>
    </row>
    <row r="2293">
      <c r="A2293" t="inlineStr">
        <is>
          <t xml:space="preserve">LESHAIND</t>
        </is>
      </c>
      <c r="B2293" t="inlineStr">
        <is>
          <t xml:space="preserve">LESHA INDUSTRIES LTD.</t>
        </is>
      </c>
      <c r="C2293" t="inlineStr">
        <is>
          <t xml:space="preserve">INE050L01048</t>
        </is>
      </c>
    </row>
    <row r="2294">
      <c r="A2294" t="inlineStr">
        <is>
          <t xml:space="preserve">LEXGLOBAL</t>
        </is>
      </c>
      <c r="B2294" t="inlineStr">
        <is>
          <t xml:space="preserve">LEXORA GLOBAL LIMITED</t>
        </is>
      </c>
      <c r="C2294" t="inlineStr">
        <is>
          <t xml:space="preserve">INE745A01012</t>
        </is>
      </c>
    </row>
    <row r="2295">
      <c r="A2295" t="inlineStr">
        <is>
          <t xml:space="preserve">LEXORAA</t>
        </is>
      </c>
      <c r="B2295" t="inlineStr">
        <is>
          <t xml:space="preserve">LEXORAA INDUSTRIES LIMITED</t>
        </is>
      </c>
      <c r="C2295" t="inlineStr">
        <is>
          <t xml:space="preserve">INE185D01015</t>
        </is>
      </c>
    </row>
    <row r="2296">
      <c r="A2296" t="inlineStr">
        <is>
          <t xml:space="preserve">LGEINDIA</t>
        </is>
      </c>
      <c r="B2296" t="inlineStr">
        <is>
          <t xml:space="preserve">LG Electronics India Limited</t>
        </is>
      </c>
      <c r="C2296" t="inlineStr">
        <is>
          <t xml:space="preserve">INE324D01010</t>
        </is>
      </c>
    </row>
    <row r="2297">
      <c r="A2297" t="inlineStr">
        <is>
          <t xml:space="preserve">LGBFORGE</t>
        </is>
      </c>
      <c r="B2297" t="inlineStr">
        <is>
          <t xml:space="preserve">LGB FORGE LTD.</t>
        </is>
      </c>
      <c r="C2297" t="inlineStr">
        <is>
          <t xml:space="preserve">INE201J01017</t>
        </is>
      </c>
    </row>
    <row r="2298">
      <c r="A2298" t="inlineStr">
        <is>
          <t xml:space="preserve">LIBERTSHOE</t>
        </is>
      </c>
      <c r="B2298" t="inlineStr">
        <is>
          <t xml:space="preserve">LIBERTY SHOES LTD.</t>
        </is>
      </c>
      <c r="C2298" t="inlineStr">
        <is>
          <t xml:space="preserve">INE557B01019</t>
        </is>
      </c>
    </row>
    <row r="2299">
      <c r="A2299" t="inlineStr">
        <is>
          <t xml:space="preserve">LIBORDFIN</t>
        </is>
      </c>
      <c r="B2299" t="inlineStr">
        <is>
          <t xml:space="preserve">LIBORD FINANCE LTD</t>
        </is>
      </c>
      <c r="C2299" t="inlineStr">
        <is>
          <t xml:space="preserve">INE212B01011</t>
        </is>
      </c>
    </row>
    <row r="2300">
      <c r="A2300" t="inlineStr">
        <is>
          <t xml:space="preserve">LICHSGFIN</t>
        </is>
      </c>
      <c r="B2300" t="inlineStr">
        <is>
          <t xml:space="preserve">LIC HOUSING FINANCE LTD.</t>
        </is>
      </c>
      <c r="C2300" t="inlineStr">
        <is>
          <t xml:space="preserve">INE115A01026</t>
        </is>
      </c>
    </row>
    <row r="2301">
      <c r="A2301" t="inlineStr">
        <is>
          <t xml:space="preserve">LICI</t>
        </is>
      </c>
      <c r="B2301" t="inlineStr">
        <is>
          <t xml:space="preserve">LIFE INSURANCE CORPORATION OF</t>
        </is>
      </c>
      <c r="C2301" t="inlineStr">
        <is>
          <t xml:space="preserve">INE0J1Y01017</t>
        </is>
      </c>
    </row>
    <row r="2302">
      <c r="A2302" t="inlineStr">
        <is>
          <t xml:space="preserve">LIKHITHA</t>
        </is>
      </c>
      <c r="B2302" t="inlineStr">
        <is>
          <t xml:space="preserve">Likhitha Infrastructure Limite</t>
        </is>
      </c>
      <c r="C2302" t="inlineStr">
        <is>
          <t xml:space="preserve">INE060901027</t>
        </is>
      </c>
    </row>
    <row r="2303">
      <c r="A2303" t="inlineStr">
        <is>
          <t xml:space="preserve">LIMECHM</t>
        </is>
      </c>
      <c r="B2303" t="inlineStr">
        <is>
          <t xml:space="preserve">LIME CHEMICALS LTD.</t>
        </is>
      </c>
      <c r="C2303" t="inlineStr">
        <is>
          <t xml:space="preserve">INE891G01011</t>
        </is>
      </c>
    </row>
    <row r="2304">
      <c r="A2304" t="inlineStr">
        <is>
          <t xml:space="preserve">LINC</t>
        </is>
      </c>
      <c r="B2304" t="inlineStr">
        <is>
          <t xml:space="preserve">LINC LIMITED</t>
        </is>
      </c>
      <c r="C2304" t="inlineStr">
        <is>
          <t xml:space="preserve">INE802B01027</t>
        </is>
      </c>
    </row>
    <row r="2305">
      <c r="A2305" t="inlineStr">
        <is>
          <t xml:space="preserve">LINCOLN</t>
        </is>
      </c>
      <c r="B2305" t="inlineStr">
        <is>
          <t xml:space="preserve">LINCOLN PHARMACEUTICALS LTD.</t>
        </is>
      </c>
      <c r="C2305" t="inlineStr">
        <is>
          <t xml:space="preserve">INE405C01035</t>
        </is>
      </c>
    </row>
    <row r="2306">
      <c r="A2306" t="inlineStr">
        <is>
          <t xml:space="preserve">LINDEINDIA</t>
        </is>
      </c>
      <c r="B2306" t="inlineStr">
        <is>
          <t xml:space="preserve">Linde India Limited</t>
        </is>
      </c>
      <c r="C2306" t="inlineStr">
        <is>
          <t xml:space="preserve">INE473A01011</t>
        </is>
      </c>
    </row>
    <row r="2307">
      <c r="A2307" t="inlineStr">
        <is>
          <t xml:space="preserve">LINKPH</t>
        </is>
      </c>
      <c r="B2307" t="inlineStr">
        <is>
          <t xml:space="preserve">LINK PHARMA CHEM LTD.</t>
        </is>
      </c>
      <c r="C2307" t="inlineStr">
        <is>
          <t xml:space="preserve">INE302F01011</t>
        </is>
      </c>
    </row>
    <row r="2308">
      <c r="A2308" t="inlineStr">
        <is>
          <t xml:space="preserve">LIOTECH</t>
        </is>
      </c>
      <c r="B2308" t="inlineStr">
        <is>
          <t xml:space="preserve">LIOTECH INDUSTRIES LIMITED</t>
        </is>
      </c>
      <c r="C2308" t="inlineStr">
        <is>
          <t xml:space="preserve">INE0TKX01011</t>
        </is>
      </c>
    </row>
    <row r="2309">
      <c r="A2309" t="inlineStr">
        <is>
          <t xml:space="preserve">LIPPISYS</t>
        </is>
      </c>
      <c r="B2309" t="inlineStr">
        <is>
          <t xml:space="preserve">LIPPI SYSTEMS LTD.</t>
        </is>
      </c>
      <c r="C2309" t="inlineStr">
        <is>
          <t xml:space="preserve">INE845B01018</t>
        </is>
      </c>
    </row>
    <row r="2310">
      <c r="A2310" t="inlineStr">
        <is>
          <t xml:space="preserve">LKPSEC</t>
        </is>
      </c>
      <c r="B2310" t="inlineStr">
        <is>
          <t xml:space="preserve">LKP Securities Limited</t>
        </is>
      </c>
      <c r="C2310" t="inlineStr">
        <is>
          <t xml:space="preserve">INE341H01023</t>
        </is>
      </c>
    </row>
    <row r="2311">
      <c r="A2311" t="inlineStr">
        <is>
          <t xml:space="preserve">13LLDL29</t>
        </is>
      </c>
      <c r="B2311" t="inlineStr">
        <is>
          <t xml:space="preserve">LLDL-13%-30-1-29-PVT</t>
        </is>
      </c>
      <c r="C2311" t="inlineStr">
        <is>
          <t xml:space="preserve">INE0JZO07040</t>
        </is>
      </c>
    </row>
    <row r="2312">
      <c r="A2312" t="inlineStr">
        <is>
          <t xml:space="preserve">1350LLD29</t>
        </is>
      </c>
      <c r="B2312" t="inlineStr">
        <is>
          <t xml:space="preserve">LLDL-13.50%-30-01-29-PVT</t>
        </is>
      </c>
      <c r="C2312" t="inlineStr">
        <is>
          <t xml:space="preserve">INE0JZO07032</t>
        </is>
      </c>
    </row>
    <row r="2313">
      <c r="A2313" t="inlineStr">
        <is>
          <t xml:space="preserve">LLOYDSENGG</t>
        </is>
      </c>
      <c r="B2313" t="inlineStr">
        <is>
          <t xml:space="preserve">LLOYDS ENGINEERING WORKS LIMIT</t>
        </is>
      </c>
      <c r="C2313" t="inlineStr">
        <is>
          <t xml:space="preserve">INE093R01011</t>
        </is>
      </c>
    </row>
    <row r="2314">
      <c r="A2314" t="inlineStr">
        <is>
          <t xml:space="preserve">LLOYDSENT</t>
        </is>
      </c>
      <c r="B2314" t="inlineStr">
        <is>
          <t xml:space="preserve">LLOYDS ENTERPRISES LIMITED</t>
        </is>
      </c>
      <c r="C2314" t="inlineStr">
        <is>
          <t xml:space="preserve">INE080I01025</t>
        </is>
      </c>
    </row>
    <row r="2315">
      <c r="A2315" t="inlineStr">
        <is>
          <t xml:space="preserve">LLOYDSME</t>
        </is>
      </c>
      <c r="B2315" t="inlineStr">
        <is>
          <t xml:space="preserve">LLOYDS METALS AND ENERGY LTD.</t>
        </is>
      </c>
      <c r="C2315" t="inlineStr">
        <is>
          <t xml:space="preserve">INE281B01032</t>
        </is>
      </c>
    </row>
    <row r="2316">
      <c r="A2316" t="inlineStr">
        <is>
          <t xml:space="preserve">LMW</t>
        </is>
      </c>
      <c r="B2316" t="inlineStr">
        <is>
          <t xml:space="preserve">LMW Limited</t>
        </is>
      </c>
      <c r="C2316" t="inlineStr">
        <is>
          <t xml:space="preserve">INE269B01029</t>
        </is>
      </c>
    </row>
    <row r="2317">
      <c r="A2317" t="inlineStr">
        <is>
          <t xml:space="preserve">LODHA</t>
        </is>
      </c>
      <c r="B2317" t="inlineStr">
        <is>
          <t xml:space="preserve">Lodha Developers Limited</t>
        </is>
      </c>
      <c r="C2317" t="inlineStr">
        <is>
          <t xml:space="preserve">INE670K01029</t>
        </is>
      </c>
    </row>
    <row r="2318">
      <c r="A2318" t="inlineStr">
        <is>
          <t xml:space="preserve">LOGICA</t>
        </is>
      </c>
      <c r="B2318" t="inlineStr">
        <is>
          <t xml:space="preserve">LOGICA INFOWAY LIMITED</t>
        </is>
      </c>
      <c r="C2318" t="inlineStr">
        <is>
          <t xml:space="preserve">INE0BSU01018</t>
        </is>
      </c>
    </row>
    <row r="2319">
      <c r="A2319" t="inlineStr">
        <is>
          <t xml:space="preserve">LOKESHMACH</t>
        </is>
      </c>
      <c r="B2319" t="inlineStr">
        <is>
          <t xml:space="preserve">LOKESH MACHINES LTD.</t>
        </is>
      </c>
      <c r="C2319" t="inlineStr">
        <is>
          <t xml:space="preserve">INE397H01017</t>
        </is>
      </c>
    </row>
    <row r="2320">
      <c r="A2320" t="inlineStr">
        <is>
          <t xml:space="preserve">LONGSPUR</t>
        </is>
      </c>
      <c r="B2320" t="inlineStr">
        <is>
          <t xml:space="preserve">Longspur International Venture</t>
        </is>
      </c>
      <c r="C2320" t="inlineStr">
        <is>
          <t xml:space="preserve">INE180M01033</t>
        </is>
      </c>
    </row>
    <row r="2321">
      <c r="A2321" t="inlineStr">
        <is>
          <t xml:space="preserve">LOOKS</t>
        </is>
      </c>
      <c r="B2321" t="inlineStr">
        <is>
          <t xml:space="preserve">LOOKS HEALTH SERVICES LIMITED</t>
        </is>
      </c>
      <c r="C2321" t="inlineStr">
        <is>
          <t xml:space="preserve">INE204N01013</t>
        </is>
      </c>
    </row>
    <row r="2322">
      <c r="A2322" t="inlineStr">
        <is>
          <t xml:space="preserve">LORDSCHLO</t>
        </is>
      </c>
      <c r="B2322" t="inlineStr">
        <is>
          <t xml:space="preserve">LORDS CHLORO ALKALI LTD.</t>
        </is>
      </c>
      <c r="C2322" t="inlineStr">
        <is>
          <t xml:space="preserve">INE846D01012</t>
        </is>
      </c>
    </row>
    <row r="2323">
      <c r="A2323" t="inlineStr">
        <is>
          <t xml:space="preserve">LORDSHOTL</t>
        </is>
      </c>
      <c r="B2323" t="inlineStr">
        <is>
          <t xml:space="preserve">LORDS ISHWAR HOTELS LIMITED</t>
        </is>
      </c>
      <c r="C2323" t="inlineStr">
        <is>
          <t xml:space="preserve">INE689J01013</t>
        </is>
      </c>
    </row>
    <row r="2324">
      <c r="A2324" t="inlineStr">
        <is>
          <t xml:space="preserve">LORDSMARK</t>
        </is>
      </c>
      <c r="B2324" t="inlineStr">
        <is>
          <t xml:space="preserve">Lords Mark Industries Limited</t>
        </is>
      </c>
      <c r="C2324" t="inlineStr">
        <is>
          <t xml:space="preserve">INE567L01025</t>
        </is>
      </c>
    </row>
    <row r="2325">
      <c r="A2325" t="inlineStr">
        <is>
          <t xml:space="preserve">LAL</t>
        </is>
      </c>
      <c r="B2325" t="inlineStr">
        <is>
          <t xml:space="preserve">LORENZINI APPARELS LIMITED</t>
        </is>
      </c>
      <c r="C2325" t="inlineStr">
        <is>
          <t xml:space="preserve">INE740X01023</t>
        </is>
      </c>
    </row>
    <row r="2326">
      <c r="A2326" t="inlineStr">
        <is>
          <t xml:space="preserve">LOTUSCHO</t>
        </is>
      </c>
      <c r="B2326" t="inlineStr">
        <is>
          <t xml:space="preserve">LOTUS CHOCOLATE CO.LTD.</t>
        </is>
      </c>
      <c r="C2326" t="inlineStr">
        <is>
          <t xml:space="preserve">INE026D01011</t>
        </is>
      </c>
    </row>
    <row r="2327">
      <c r="A2327" t="inlineStr">
        <is>
          <t xml:space="preserve">LOTUSEYE</t>
        </is>
      </c>
      <c r="B2327" t="inlineStr">
        <is>
          <t xml:space="preserve">Lotus Eye Hospital And Institu</t>
        </is>
      </c>
      <c r="C2327" t="inlineStr">
        <is>
          <t xml:space="preserve">INE947I01017</t>
        </is>
      </c>
    </row>
    <row r="2328">
      <c r="A2328" t="inlineStr">
        <is>
          <t xml:space="preserve">LOVABLE</t>
        </is>
      </c>
      <c r="B2328" t="inlineStr">
        <is>
          <t xml:space="preserve">LOVABLE LINGERIE LTD.</t>
        </is>
      </c>
      <c r="C2328" t="inlineStr">
        <is>
          <t xml:space="preserve">INE597L01014</t>
        </is>
      </c>
    </row>
    <row r="2329">
      <c r="A2329" t="inlineStr">
        <is>
          <t xml:space="preserve">LOYAL</t>
        </is>
      </c>
      <c r="B2329" t="inlineStr">
        <is>
          <t xml:space="preserve">Loyal Equipments Limited</t>
        </is>
      </c>
      <c r="C2329" t="inlineStr">
        <is>
          <t xml:space="preserve">INE876S01017</t>
        </is>
      </c>
    </row>
    <row r="2330">
      <c r="A2330" t="inlineStr">
        <is>
          <t xml:space="preserve">LTFOODS</t>
        </is>
      </c>
      <c r="B2330" t="inlineStr">
        <is>
          <t xml:space="preserve">LT FOODS LTD.</t>
        </is>
      </c>
      <c r="C2330" t="inlineStr">
        <is>
          <t xml:space="preserve">INE818H01020</t>
        </is>
      </c>
    </row>
    <row r="2331">
      <c r="A2331" t="inlineStr">
        <is>
          <t xml:space="preserve">898LTF29</t>
        </is>
      </c>
      <c r="B2331" t="inlineStr">
        <is>
          <t xml:space="preserve">LTF-8.98%-13-3-29-NCD</t>
        </is>
      </c>
      <c r="C2331" t="inlineStr">
        <is>
          <t xml:space="preserve">INE027E07998</t>
        </is>
      </c>
    </row>
    <row r="2332">
      <c r="A2332" t="inlineStr">
        <is>
          <t xml:space="preserve">LTM</t>
        </is>
      </c>
      <c r="B2332" t="inlineStr">
        <is>
          <t xml:space="preserve">LTM LIMITED</t>
        </is>
      </c>
      <c r="C2332" t="inlineStr">
        <is>
          <t xml:space="preserve">INE214T01019</t>
        </is>
      </c>
    </row>
    <row r="2333">
      <c r="A2333" t="inlineStr">
        <is>
          <t xml:space="preserve">LUDLOWJUT</t>
        </is>
      </c>
      <c r="B2333" t="inlineStr">
        <is>
          <t xml:space="preserve">LUDLOW JUTE &amp; SPECIALITIES LTD</t>
        </is>
      </c>
      <c r="C2333" t="inlineStr">
        <is>
          <t xml:space="preserve">INE983C01015</t>
        </is>
      </c>
    </row>
    <row r="2334">
      <c r="A2334" t="inlineStr">
        <is>
          <t xml:space="preserve">LUMAXTECH</t>
        </is>
      </c>
      <c r="B2334" t="inlineStr">
        <is>
          <t xml:space="preserve">LUMAX AUTO TECHNOLOGIES LTD.</t>
        </is>
      </c>
      <c r="C2334" t="inlineStr">
        <is>
          <t xml:space="preserve">INE872H01027</t>
        </is>
      </c>
    </row>
    <row r="2335">
      <c r="A2335" t="inlineStr">
        <is>
          <t xml:space="preserve">LUMAXIND</t>
        </is>
      </c>
      <c r="B2335" t="inlineStr">
        <is>
          <t xml:space="preserve">LUMAX INDUSTRIES LTD.</t>
        </is>
      </c>
      <c r="C2335" t="inlineStr">
        <is>
          <t xml:space="preserve">INE162B01018</t>
        </is>
      </c>
    </row>
    <row r="2336">
      <c r="A2336" t="inlineStr">
        <is>
          <t xml:space="preserve">LUPIN</t>
        </is>
      </c>
      <c r="B2336" t="inlineStr">
        <is>
          <t xml:space="preserve">LUPIN LTD.</t>
        </is>
      </c>
      <c r="C2336" t="inlineStr">
        <is>
          <t xml:space="preserve">INE326A01037</t>
        </is>
      </c>
    </row>
    <row r="2337">
      <c r="A2337" t="inlineStr">
        <is>
          <t xml:space="preserve">LUXIND</t>
        </is>
      </c>
      <c r="B2337" t="inlineStr">
        <is>
          <t xml:space="preserve">LUX Industries Limited</t>
        </is>
      </c>
      <c r="C2337" t="inlineStr">
        <is>
          <t xml:space="preserve">INE150G01020</t>
        </is>
      </c>
    </row>
    <row r="2338">
      <c r="A2338" t="inlineStr">
        <is>
          <t xml:space="preserve">LWSKNIT</t>
        </is>
      </c>
      <c r="B2338" t="inlineStr">
        <is>
          <t xml:space="preserve">LWS KNITWEAR LTD.</t>
        </is>
      </c>
      <c r="C2338" t="inlineStr">
        <is>
          <t xml:space="preserve">INE281M01013</t>
        </is>
      </c>
    </row>
    <row r="2339">
      <c r="A2339" t="inlineStr">
        <is>
          <t xml:space="preserve">LYKALABS</t>
        </is>
      </c>
      <c r="B2339" t="inlineStr">
        <is>
          <t xml:space="preserve">LYKA LABS LTD.</t>
        </is>
      </c>
      <c r="C2339" t="inlineStr">
        <is>
          <t xml:space="preserve">INE933A01014</t>
        </is>
      </c>
    </row>
    <row r="2340">
      <c r="A2340" t="inlineStr">
        <is>
          <t xml:space="preserve">LYKISLTD</t>
        </is>
      </c>
      <c r="B2340" t="inlineStr">
        <is>
          <t xml:space="preserve">LYKIS LIMITED</t>
        </is>
      </c>
      <c r="C2340" t="inlineStr">
        <is>
          <t xml:space="preserve">INE624M01014</t>
        </is>
      </c>
    </row>
    <row r="2341">
      <c r="A2341" t="inlineStr">
        <is>
          <t xml:space="preserve">LYONSCO</t>
        </is>
      </c>
      <c r="B2341" t="inlineStr">
        <is>
          <t xml:space="preserve">LYONS CORPORATE MARKET LTD.</t>
        </is>
      </c>
      <c r="C2341" t="inlineStr">
        <is>
          <t xml:space="preserve">INE100F01019</t>
        </is>
      </c>
    </row>
    <row r="2342">
      <c r="A2342" t="inlineStr">
        <is>
          <t xml:space="preserve">MBEL</t>
        </is>
      </c>
      <c r="B2342" t="inlineStr">
        <is>
          <t xml:space="preserve">M &amp; B ENGINEERING LIMITED</t>
        </is>
      </c>
      <c r="C2342" t="inlineStr">
        <is>
          <t xml:space="preserve">INE08N601015</t>
        </is>
      </c>
    </row>
    <row r="2343">
      <c r="A2343" t="inlineStr">
        <is>
          <t xml:space="preserve">MPKSTEELS</t>
        </is>
      </c>
      <c r="B2343" t="inlineStr">
        <is>
          <t xml:space="preserve">M P K STEELS (I) LIMITED</t>
        </is>
      </c>
      <c r="C2343" t="inlineStr">
        <is>
          <t xml:space="preserve">INE1PJP01015</t>
        </is>
      </c>
    </row>
    <row r="2344">
      <c r="A2344" t="inlineStr">
        <is>
          <t xml:space="preserve">MKEXIM</t>
        </is>
      </c>
      <c r="B2344" t="inlineStr">
        <is>
          <t xml:space="preserve">M. K. Exim (India) Ltd.</t>
        </is>
      </c>
      <c r="C2344" t="inlineStr">
        <is>
          <t xml:space="preserve">INE227F01010</t>
        </is>
      </c>
    </row>
    <row r="2345">
      <c r="A2345" t="inlineStr">
        <is>
          <t xml:space="preserve">MKPL</t>
        </is>
      </c>
      <c r="B2345" t="inlineStr">
        <is>
          <t xml:space="preserve">M.K.Proteins Limited</t>
        </is>
      </c>
      <c r="C2345" t="inlineStr">
        <is>
          <t xml:space="preserve">INE964W01021</t>
        </is>
      </c>
    </row>
    <row r="2346">
      <c r="A2346" t="inlineStr">
        <is>
          <t xml:space="preserve">MMFL</t>
        </is>
      </c>
      <c r="B2346" t="inlineStr">
        <is>
          <t xml:space="preserve">M.M.FORGINGS LTD.</t>
        </is>
      </c>
      <c r="C2346" t="inlineStr">
        <is>
          <t xml:space="preserve">INE227C01017</t>
        </is>
      </c>
    </row>
    <row r="2347">
      <c r="A2347" t="inlineStr">
        <is>
          <t xml:space="preserve">MPAGI</t>
        </is>
      </c>
      <c r="B2347" t="inlineStr">
        <is>
          <t xml:space="preserve">M.P.AGRO INDUSTRIES LTD.</t>
        </is>
      </c>
      <c r="C2347" t="inlineStr">
        <is>
          <t xml:space="preserve">INE468C01017</t>
        </is>
      </c>
    </row>
    <row r="2348">
      <c r="A2348" t="inlineStr">
        <is>
          <t xml:space="preserve">MANIVENI</t>
        </is>
      </c>
      <c r="B2348" t="inlineStr">
        <is>
          <t xml:space="preserve">M.R.MANIVENI FOODS LIMITED</t>
        </is>
      </c>
      <c r="C2348" t="inlineStr">
        <is>
          <t xml:space="preserve">INE0YD301010</t>
        </is>
      </c>
    </row>
    <row r="2349">
      <c r="A2349" t="inlineStr">
        <is>
          <t xml:space="preserve">MAANALU</t>
        </is>
      </c>
      <c r="B2349" t="inlineStr">
        <is>
          <t xml:space="preserve">MAAN ALUMINIUM LTD.</t>
        </is>
      </c>
      <c r="C2349" t="inlineStr">
        <is>
          <t xml:space="preserve">INE215I01027</t>
        </is>
      </c>
    </row>
    <row r="2350">
      <c r="A2350" t="inlineStr">
        <is>
          <t xml:space="preserve">MCCHRLS-B</t>
        </is>
      </c>
      <c r="B2350" t="inlineStr">
        <is>
          <t xml:space="preserve">MAC CHARLES (INDIA) LTD.</t>
        </is>
      </c>
      <c r="C2350" t="inlineStr">
        <is>
          <t xml:space="preserve">INE435D01014</t>
        </is>
      </c>
    </row>
    <row r="2351">
      <c r="A2351" t="inlineStr">
        <is>
          <t xml:space="preserve">ROBU</t>
        </is>
      </c>
      <c r="B2351" t="inlineStr">
        <is>
          <t xml:space="preserve">Macfos Limited</t>
        </is>
      </c>
      <c r="C2351" t="inlineStr">
        <is>
          <t xml:space="preserve">INE0OLH01013</t>
        </is>
      </c>
    </row>
    <row r="2352">
      <c r="A2352" t="inlineStr">
        <is>
          <t xml:space="preserve">MACHLTD</t>
        </is>
      </c>
      <c r="B2352" t="inlineStr">
        <is>
          <t xml:space="preserve">MACH TRAVEL SOLUTIONS LIMITED</t>
        </is>
      </c>
      <c r="C2352" t="inlineStr">
        <is>
          <t xml:space="preserve">INE0UYT01018</t>
        </is>
      </c>
    </row>
    <row r="2353">
      <c r="A2353" t="inlineStr">
        <is>
          <t xml:space="preserve">MACIND</t>
        </is>
      </c>
      <c r="B2353" t="inlineStr">
        <is>
          <t xml:space="preserve">Machhar Industries Limited</t>
        </is>
      </c>
      <c r="C2353" t="inlineStr">
        <is>
          <t xml:space="preserve">INE01BT01015</t>
        </is>
      </c>
    </row>
    <row r="2354">
      <c r="A2354" t="inlineStr">
        <is>
          <t xml:space="preserve">MACPLASQ</t>
        </is>
      </c>
      <c r="B2354" t="inlineStr">
        <is>
          <t xml:space="preserve">MACHINO PLASTICS LTD.</t>
        </is>
      </c>
      <c r="C2354" t="inlineStr">
        <is>
          <t xml:space="preserve">INE082B01018</t>
        </is>
      </c>
    </row>
    <row r="2355">
      <c r="A2355" t="inlineStr">
        <is>
          <t xml:space="preserve">MADALA</t>
        </is>
      </c>
      <c r="B2355" t="inlineStr">
        <is>
          <t xml:space="preserve">MADALA HOLDINGS LIMITED</t>
        </is>
      </c>
      <c r="C2355" t="inlineStr">
        <is>
          <t xml:space="preserve">INE002B01016</t>
        </is>
      </c>
    </row>
    <row r="2356">
      <c r="A2356" t="inlineStr">
        <is>
          <t xml:space="preserve">MADHAVIPL</t>
        </is>
      </c>
      <c r="B2356" t="inlineStr">
        <is>
          <t xml:space="preserve">Madhav Infra Projects Limited</t>
        </is>
      </c>
      <c r="C2356" t="inlineStr">
        <is>
          <t xml:space="preserve">INE631R01026</t>
        </is>
      </c>
    </row>
    <row r="2357">
      <c r="A2357" t="inlineStr">
        <is>
          <t xml:space="preserve">MADHUDIN</t>
        </is>
      </c>
      <c r="B2357" t="inlineStr">
        <is>
          <t xml:space="preserve">MADHUSUDAN INDUSTRIES LTD.</t>
        </is>
      </c>
      <c r="C2357" t="inlineStr">
        <is>
          <t xml:space="preserve">INE469C01023</t>
        </is>
      </c>
    </row>
    <row r="2358">
      <c r="A2358" t="inlineStr">
        <is>
          <t xml:space="preserve">MADRASFERT</t>
        </is>
      </c>
      <c r="B2358" t="inlineStr">
        <is>
          <t xml:space="preserve">Madras Fertilizer Limited</t>
        </is>
      </c>
      <c r="C2358" t="inlineStr">
        <is>
          <t xml:space="preserve">INE414A01015</t>
        </is>
      </c>
    </row>
    <row r="2359">
      <c r="A2359" t="inlineStr">
        <is>
          <t xml:space="preserve">METSL</t>
        </is>
      </c>
      <c r="B2359" t="inlineStr">
        <is>
          <t xml:space="preserve">MAESTROS ELECTRONICS &amp; TELECOM</t>
        </is>
      </c>
      <c r="C2359" t="inlineStr">
        <is>
          <t xml:space="preserve">INE318N01011</t>
        </is>
      </c>
    </row>
    <row r="2360">
      <c r="A2360" t="inlineStr">
        <is>
          <t xml:space="preserve">MAFATIND</t>
        </is>
      </c>
      <c r="B2360" t="inlineStr">
        <is>
          <t xml:space="preserve">MAFATLAL INDUSTRIES LTD.</t>
        </is>
      </c>
      <c r="C2360" t="inlineStr">
        <is>
          <t xml:space="preserve">INE270B01035</t>
        </is>
      </c>
    </row>
    <row r="2361">
      <c r="A2361" t="inlineStr">
        <is>
          <t xml:space="preserve">MAGADSUGAR</t>
        </is>
      </c>
      <c r="B2361" t="inlineStr">
        <is>
          <t xml:space="preserve">Magadh Sugar &amp; Energy Limited</t>
        </is>
      </c>
      <c r="C2361" t="inlineStr">
        <is>
          <t xml:space="preserve">INE347W01011</t>
        </is>
      </c>
    </row>
    <row r="2362">
      <c r="A2362" t="inlineStr">
        <is>
          <t xml:space="preserve">MCLOUD</t>
        </is>
      </c>
      <c r="B2362" t="inlineStr">
        <is>
          <t xml:space="preserve">MAGELLANIC CLOUD LIMITED</t>
        </is>
      </c>
      <c r="C2362" t="inlineStr">
        <is>
          <t xml:space="preserve">INE613C01026</t>
        </is>
      </c>
    </row>
    <row r="2363">
      <c r="A2363" t="inlineStr">
        <is>
          <t xml:space="preserve">MAGENTA</t>
        </is>
      </c>
      <c r="B2363" t="inlineStr">
        <is>
          <t xml:space="preserve">Magenta Lifecare Limited</t>
        </is>
      </c>
      <c r="C2363" t="inlineStr">
        <is>
          <t xml:space="preserve">INE0QZ901011</t>
        </is>
      </c>
    </row>
    <row r="2364">
      <c r="A2364" t="inlineStr">
        <is>
          <t xml:space="preserve">MAGNAELQ</t>
        </is>
      </c>
      <c r="B2364" t="inlineStr">
        <is>
          <t xml:space="preserve">MAGNA ELECTRO CASTINGS LTD.</t>
        </is>
      </c>
      <c r="C2364" t="inlineStr">
        <is>
          <t xml:space="preserve">INE437D01010</t>
        </is>
      </c>
    </row>
    <row r="2365">
      <c r="A2365" t="inlineStr">
        <is>
          <t xml:space="preserve">MAGNUM</t>
        </is>
      </c>
      <c r="B2365" t="inlineStr">
        <is>
          <t xml:space="preserve">MAGNUM VENTURES LTD.</t>
        </is>
      </c>
      <c r="C2365" t="inlineStr">
        <is>
          <t xml:space="preserve">INE387I01016</t>
        </is>
      </c>
    </row>
    <row r="2366">
      <c r="A2366" t="inlineStr">
        <is>
          <t xml:space="preserve">MAGNUS</t>
        </is>
      </c>
      <c r="B2366" t="inlineStr">
        <is>
          <t xml:space="preserve">MAGNUS STEEL AND INFRA LIMITED</t>
        </is>
      </c>
      <c r="C2366" t="inlineStr">
        <is>
          <t xml:space="preserve">INE898E01011</t>
        </is>
      </c>
    </row>
    <row r="2367">
      <c r="A2367" t="inlineStr">
        <is>
          <t xml:space="preserve">MAHAPEXLTD</t>
        </is>
      </c>
      <c r="B2367" t="inlineStr">
        <is>
          <t xml:space="preserve">MAHA RASHTRA APEX CORPORATION</t>
        </is>
      </c>
      <c r="C2367" t="inlineStr">
        <is>
          <t xml:space="preserve">INE843B01013</t>
        </is>
      </c>
    </row>
    <row r="2368">
      <c r="A2368" t="inlineStr">
        <is>
          <t xml:space="preserve">MFML</t>
        </is>
      </c>
      <c r="B2368" t="inlineStr">
        <is>
          <t xml:space="preserve">Mahalaxmi Fabric Mills Limited</t>
        </is>
      </c>
      <c r="C2368" t="inlineStr">
        <is>
          <t xml:space="preserve">INE0US801024</t>
        </is>
      </c>
    </row>
    <row r="2369">
      <c r="A2369" t="inlineStr">
        <is>
          <t xml:space="preserve">MHLXMIRU</t>
        </is>
      </c>
      <c r="B2369" t="inlineStr">
        <is>
          <t xml:space="preserve">MAHALAXMI RUBTECH LTD.</t>
        </is>
      </c>
      <c r="C2369" t="inlineStr">
        <is>
          <t xml:space="preserve">INE112D01035</t>
        </is>
      </c>
    </row>
    <row r="2370">
      <c r="A2370" t="inlineStr">
        <is>
          <t xml:space="preserve">MAHALXSE</t>
        </is>
      </c>
      <c r="B2370" t="inlineStr">
        <is>
          <t xml:space="preserve">MAHALAXMI SEAMLESS LTD.</t>
        </is>
      </c>
      <c r="C2370" t="inlineStr">
        <is>
          <t xml:space="preserve">INE257F01017</t>
        </is>
      </c>
    </row>
    <row r="2371">
      <c r="A2371" t="inlineStr">
        <is>
          <t xml:space="preserve">MAHALIFE</t>
        </is>
      </c>
      <c r="B2371" t="inlineStr">
        <is>
          <t xml:space="preserve">MAHAMAYA LIFESCIENCES LIMITED</t>
        </is>
      </c>
      <c r="C2371" t="inlineStr">
        <is>
          <t xml:space="preserve">INE0U9D01019</t>
        </is>
      </c>
    </row>
    <row r="2372">
      <c r="A2372" t="inlineStr">
        <is>
          <t xml:space="preserve">MAHASTEEL</t>
        </is>
      </c>
      <c r="B2372" t="inlineStr">
        <is>
          <t xml:space="preserve">MAHAMAYA STEEL INDUSTRIES LTD.</t>
        </is>
      </c>
      <c r="C2372" t="inlineStr">
        <is>
          <t xml:space="preserve">INE451L01014</t>
        </is>
      </c>
    </row>
    <row r="2373">
      <c r="A2373" t="inlineStr">
        <is>
          <t xml:space="preserve">MGL</t>
        </is>
      </c>
      <c r="B2373" t="inlineStr">
        <is>
          <t xml:space="preserve">Mahanagar Gas Limited</t>
        </is>
      </c>
      <c r="C2373" t="inlineStr">
        <is>
          <t xml:space="preserve">INE002S01010</t>
        </is>
      </c>
    </row>
    <row r="2374">
      <c r="A2374" t="inlineStr">
        <is>
          <t xml:space="preserve">MTNL</t>
        </is>
      </c>
      <c r="B2374" t="inlineStr">
        <is>
          <t xml:space="preserve">MAHANAGAR TELEPHONE NIGAM LTD.</t>
        </is>
      </c>
      <c r="C2374" t="inlineStr">
        <is>
          <t xml:space="preserve">INE153A01019</t>
        </is>
      </c>
    </row>
    <row r="2375">
      <c r="A2375" t="inlineStr">
        <is>
          <t xml:space="preserve">MAHACORP</t>
        </is>
      </c>
      <c r="B2375" t="inlineStr">
        <is>
          <t xml:space="preserve">MAHARASHTRA CORPORATION LTD.</t>
        </is>
      </c>
      <c r="C2375" t="inlineStr">
        <is>
          <t xml:space="preserve">INE272E01027</t>
        </is>
      </c>
    </row>
    <row r="2376">
      <c r="A2376" t="inlineStr">
        <is>
          <t xml:space="preserve">MAHSCOOTER</t>
        </is>
      </c>
      <c r="B2376" t="inlineStr">
        <is>
          <t xml:space="preserve">MAHARASHTRA SCOOTERS LTD.</t>
        </is>
      </c>
      <c r="C2376" t="inlineStr">
        <is>
          <t xml:space="preserve">INE288A01013</t>
        </is>
      </c>
    </row>
    <row r="2377">
      <c r="A2377" t="inlineStr">
        <is>
          <t xml:space="preserve">MAHSEAMLES</t>
        </is>
      </c>
      <c r="B2377" t="inlineStr">
        <is>
          <t xml:space="preserve">MAHARASHTRA SEAMLESS LTD.</t>
        </is>
      </c>
      <c r="C2377" t="inlineStr">
        <is>
          <t xml:space="preserve">INE271B01025</t>
        </is>
      </c>
    </row>
    <row r="2378">
      <c r="A2378" t="inlineStr">
        <is>
          <t xml:space="preserve">MHSGRMS</t>
        </is>
      </c>
      <c r="B2378" t="inlineStr">
        <is>
          <t xml:space="preserve">MAHASAGAR TRAVELS LTD.</t>
        </is>
      </c>
      <c r="C2378" t="inlineStr">
        <is>
          <t xml:space="preserve">INE007G01014</t>
        </is>
      </c>
    </row>
    <row r="2379">
      <c r="A2379" t="inlineStr">
        <is>
          <t xml:space="preserve">MAHAVEER</t>
        </is>
      </c>
      <c r="B2379" t="inlineStr">
        <is>
          <t xml:space="preserve">Mahaveer Infoway Limited</t>
        </is>
      </c>
      <c r="C2379" t="inlineStr">
        <is>
          <t xml:space="preserve">INE019D01016</t>
        </is>
      </c>
    </row>
    <row r="2380">
      <c r="A2380" t="inlineStr">
        <is>
          <t xml:space="preserve">M&amp;MFIN</t>
        </is>
      </c>
      <c r="B2380" t="inlineStr">
        <is>
          <t xml:space="preserve">MAHINDRA &amp; MAHINDRA FINANCIAL</t>
        </is>
      </c>
      <c r="C2380" t="inlineStr">
        <is>
          <t xml:space="preserve">INE774D01024</t>
        </is>
      </c>
    </row>
    <row r="2381">
      <c r="A2381" t="inlineStr">
        <is>
          <t xml:space="preserve">M&amp;M</t>
        </is>
      </c>
      <c r="B2381" t="inlineStr">
        <is>
          <t xml:space="preserve">MAHINDRA &amp; MAHINDRA LTD.</t>
        </is>
      </c>
      <c r="C2381" t="inlineStr">
        <is>
          <t xml:space="preserve">INE101A01026</t>
        </is>
      </c>
    </row>
    <row r="2382">
      <c r="A2382" t="inlineStr">
        <is>
          <t xml:space="preserve">MAHEPC</t>
        </is>
      </c>
      <c r="B2382" t="inlineStr">
        <is>
          <t xml:space="preserve">MAHINDRA EPC IRRIGATION LIMITE</t>
        </is>
      </c>
      <c r="C2382" t="inlineStr">
        <is>
          <t xml:space="preserve">INE215D01010</t>
        </is>
      </c>
    </row>
    <row r="2383">
      <c r="A2383" t="inlineStr">
        <is>
          <t xml:space="preserve">MHRIL</t>
        </is>
      </c>
      <c r="B2383" t="inlineStr">
        <is>
          <t xml:space="preserve">MAHINDRA HOLIDAYS &amp; RESORTS IN</t>
        </is>
      </c>
      <c r="C2383" t="inlineStr">
        <is>
          <t xml:space="preserve">INE998I01010</t>
        </is>
      </c>
    </row>
    <row r="2384">
      <c r="A2384" t="inlineStr">
        <is>
          <t xml:space="preserve">MAHLIFE</t>
        </is>
      </c>
      <c r="B2384" t="inlineStr">
        <is>
          <t xml:space="preserve">MAHINDRA LIFESPACE DEVELOPERS</t>
        </is>
      </c>
      <c r="C2384" t="inlineStr">
        <is>
          <t xml:space="preserve">INE813A01018</t>
        </is>
      </c>
    </row>
    <row r="2385">
      <c r="A2385" t="inlineStr">
        <is>
          <t xml:space="preserve">MAHLOG</t>
        </is>
      </c>
      <c r="B2385" t="inlineStr">
        <is>
          <t xml:space="preserve">Mahindra Logistics Limited</t>
        </is>
      </c>
      <c r="C2385" t="inlineStr">
        <is>
          <t xml:space="preserve">INE766P01016</t>
        </is>
      </c>
    </row>
    <row r="2386">
      <c r="A2386" t="inlineStr">
        <is>
          <t xml:space="preserve">MAIDEN</t>
        </is>
      </c>
      <c r="B2386" t="inlineStr">
        <is>
          <t xml:space="preserve">Maiden Forgings Limited</t>
        </is>
      </c>
      <c r="C2386" t="inlineStr">
        <is>
          <t xml:space="preserve">INE0O1T01010</t>
        </is>
      </c>
    </row>
    <row r="2387">
      <c r="A2387" t="inlineStr">
        <is>
          <t xml:space="preserve">MAITHANALL</t>
        </is>
      </c>
      <c r="B2387" t="inlineStr">
        <is>
          <t xml:space="preserve">MAITHAN ALLOYS LTD.</t>
        </is>
      </c>
      <c r="C2387" t="inlineStr">
        <is>
          <t xml:space="preserve">INE683C01011</t>
        </is>
      </c>
    </row>
    <row r="2388">
      <c r="A2388" t="inlineStr">
        <is>
          <t xml:space="preserve">MAITRI</t>
        </is>
      </c>
      <c r="B2388" t="inlineStr">
        <is>
          <t xml:space="preserve">Maitri Enterprises Limited</t>
        </is>
      </c>
      <c r="C2388" t="inlineStr">
        <is>
          <t xml:space="preserve">INE501L01024</t>
        </is>
      </c>
    </row>
    <row r="2389">
      <c r="A2389" t="inlineStr">
        <is>
          <t xml:space="preserve">MAJESAUT</t>
        </is>
      </c>
      <c r="B2389" t="inlineStr">
        <is>
          <t xml:space="preserve">MAJESTIC AUTO LTD.</t>
        </is>
      </c>
      <c r="C2389" t="inlineStr">
        <is>
          <t xml:space="preserve">INE201B01022</t>
        </is>
      </c>
    </row>
    <row r="2390">
      <c r="A2390" t="inlineStr">
        <is>
          <t xml:space="preserve">MAKERSL</t>
        </is>
      </c>
      <c r="B2390" t="inlineStr">
        <is>
          <t xml:space="preserve">MAKERS LABORATORIES LTD.</t>
        </is>
      </c>
      <c r="C2390" t="inlineStr">
        <is>
          <t xml:space="preserve">INE987A01010</t>
        </is>
      </c>
    </row>
    <row r="2391">
      <c r="A2391" t="inlineStr">
        <is>
          <t xml:space="preserve">MALLCOM</t>
        </is>
      </c>
      <c r="B2391" t="inlineStr">
        <is>
          <t xml:space="preserve">MALLCOM (INDIA) LTD.</t>
        </is>
      </c>
      <c r="C2391" t="inlineStr">
        <is>
          <t xml:space="preserve">INE389C01015</t>
        </is>
      </c>
    </row>
    <row r="2392">
      <c r="A2392" t="inlineStr">
        <is>
          <t xml:space="preserve">MALUPAPER</t>
        </is>
      </c>
      <c r="B2392" t="inlineStr">
        <is>
          <t xml:space="preserve">MALU PAPER MILLS LTD.</t>
        </is>
      </c>
      <c r="C2392" t="inlineStr">
        <is>
          <t xml:space="preserve">INE383H01017</t>
        </is>
      </c>
    </row>
    <row r="2393">
      <c r="A2393" t="inlineStr">
        <is>
          <t xml:space="preserve">MAMATA</t>
        </is>
      </c>
      <c r="B2393" t="inlineStr">
        <is>
          <t xml:space="preserve">MAMATA MACHINERY LIMITED</t>
        </is>
      </c>
      <c r="C2393" t="inlineStr">
        <is>
          <t xml:space="preserve">INE0TO701015</t>
        </is>
      </c>
    </row>
    <row r="2394">
      <c r="A2394" t="inlineStr">
        <is>
          <t xml:space="preserve">MANINDS</t>
        </is>
      </c>
      <c r="B2394" t="inlineStr">
        <is>
          <t xml:space="preserve">MAN INDUSTRIES (INDIA) LTD.</t>
        </is>
      </c>
      <c r="C2394" t="inlineStr">
        <is>
          <t xml:space="preserve">INE993A01026</t>
        </is>
      </c>
    </row>
    <row r="2395">
      <c r="A2395" t="inlineStr">
        <is>
          <t xml:space="preserve">MANINFRA</t>
        </is>
      </c>
      <c r="B2395" t="inlineStr">
        <is>
          <t xml:space="preserve">MAN INFRACONSTRUCTION LTD.</t>
        </is>
      </c>
      <c r="C2395" t="inlineStr">
        <is>
          <t xml:space="preserve">INE949H01023</t>
        </is>
      </c>
    </row>
    <row r="2396">
      <c r="A2396" t="inlineStr">
        <is>
          <t xml:space="preserve">MANAKALUCO</t>
        </is>
      </c>
      <c r="B2396" t="inlineStr">
        <is>
          <t xml:space="preserve">Manaksia Aluminium Company Ltd</t>
        </is>
      </c>
      <c r="C2396" t="inlineStr">
        <is>
          <t xml:space="preserve">INE859Q01017</t>
        </is>
      </c>
    </row>
    <row r="2397">
      <c r="A2397" t="inlineStr">
        <is>
          <t xml:space="preserve">MANAKCOAT</t>
        </is>
      </c>
      <c r="B2397" t="inlineStr">
        <is>
          <t xml:space="preserve">Manaksia Coated Metals &amp; Indus</t>
        </is>
      </c>
      <c r="C2397" t="inlineStr">
        <is>
          <t xml:space="preserve">INE830Q01018</t>
        </is>
      </c>
    </row>
    <row r="2398">
      <c r="A2398" t="inlineStr">
        <is>
          <t xml:space="preserve">MANAKSIA</t>
        </is>
      </c>
      <c r="B2398" t="inlineStr">
        <is>
          <t xml:space="preserve">MANAKSIA LTD.</t>
        </is>
      </c>
      <c r="C2398" t="inlineStr">
        <is>
          <t xml:space="preserve">INE015D01022</t>
        </is>
      </c>
    </row>
    <row r="2399">
      <c r="A2399" t="inlineStr">
        <is>
          <t xml:space="preserve">MANAKSTEEL</t>
        </is>
      </c>
      <c r="B2399" t="inlineStr">
        <is>
          <t xml:space="preserve">Manaksia Steels Limited</t>
        </is>
      </c>
      <c r="C2399" t="inlineStr">
        <is>
          <t xml:space="preserve">INE824Q01011</t>
        </is>
      </c>
    </row>
    <row r="2400">
      <c r="A2400" t="inlineStr">
        <is>
          <t xml:space="preserve">MANALIPETC</t>
        </is>
      </c>
      <c r="B2400" t="inlineStr">
        <is>
          <t xml:space="preserve">MANALI PETROCHEMICAL LTD.</t>
        </is>
      </c>
      <c r="C2400" t="inlineStr">
        <is>
          <t xml:space="preserve">INE201A01024</t>
        </is>
      </c>
    </row>
    <row r="2401">
      <c r="A2401" t="inlineStr">
        <is>
          <t xml:space="preserve">MANAPPURAM</t>
        </is>
      </c>
      <c r="B2401" t="inlineStr">
        <is>
          <t xml:space="preserve">Manappuram Finance Ltd</t>
        </is>
      </c>
      <c r="C2401" t="inlineStr">
        <is>
          <t xml:space="preserve">INE522D01027</t>
        </is>
      </c>
    </row>
    <row r="2402">
      <c r="A2402" t="inlineStr">
        <is>
          <t xml:space="preserve">MANBA</t>
        </is>
      </c>
      <c r="B2402" t="inlineStr">
        <is>
          <t xml:space="preserve">Manba Finance Limited</t>
        </is>
      </c>
      <c r="C2402" t="inlineStr">
        <is>
          <t xml:space="preserve">INE939X01013</t>
        </is>
      </c>
    </row>
    <row r="2403">
      <c r="A2403" t="inlineStr">
        <is>
          <t xml:space="preserve">MANBRO</t>
        </is>
      </c>
      <c r="B2403" t="inlineStr">
        <is>
          <t xml:space="preserve">Manbro Industries Limited</t>
        </is>
      </c>
      <c r="C2403" t="inlineStr">
        <is>
          <t xml:space="preserve">INE348N01042</t>
        </is>
      </c>
    </row>
    <row r="2404">
      <c r="A2404" t="inlineStr">
        <is>
          <t xml:space="preserve">MANCREDIT</t>
        </is>
      </c>
      <c r="B2404" t="inlineStr">
        <is>
          <t xml:space="preserve">MANGAL CREDIT AND FINCORP LTD.</t>
        </is>
      </c>
      <c r="C2404" t="inlineStr">
        <is>
          <t xml:space="preserve">INE545L01039</t>
        </is>
      </c>
    </row>
    <row r="2405">
      <c r="A2405" t="inlineStr">
        <is>
          <t xml:space="preserve">MEIL</t>
        </is>
      </c>
      <c r="B2405" t="inlineStr">
        <is>
          <t xml:space="preserve">MANGAL ELECTRICAL INDUSTRIES L</t>
        </is>
      </c>
      <c r="C2405" t="inlineStr">
        <is>
          <t xml:space="preserve">INE0PKD01011</t>
        </is>
      </c>
    </row>
    <row r="2406">
      <c r="A2406" t="inlineStr">
        <is>
          <t xml:space="preserve">MANGLMCEM</t>
        </is>
      </c>
      <c r="B2406" t="inlineStr">
        <is>
          <t xml:space="preserve">MANGALAM CEMENT LTD.</t>
        </is>
      </c>
      <c r="C2406" t="inlineStr">
        <is>
          <t xml:space="preserve">INE347A01017</t>
        </is>
      </c>
    </row>
    <row r="2407">
      <c r="A2407" t="inlineStr">
        <is>
          <t xml:space="preserve">MANGALAM</t>
        </is>
      </c>
      <c r="B2407" t="inlineStr">
        <is>
          <t xml:space="preserve">MANGALAM DRUGS &amp; ORGANICS LTD.</t>
        </is>
      </c>
      <c r="C2407" t="inlineStr">
        <is>
          <t xml:space="preserve">INE584F01014</t>
        </is>
      </c>
    </row>
    <row r="2408">
      <c r="A2408" t="inlineStr">
        <is>
          <t xml:space="preserve">MGEL</t>
        </is>
      </c>
      <c r="B2408" t="inlineStr">
        <is>
          <t xml:space="preserve">MANGALAM GLOBAL ENTERPRISE LIM</t>
        </is>
      </c>
      <c r="C2408" t="inlineStr">
        <is>
          <t xml:space="preserve">INE0APB01032</t>
        </is>
      </c>
    </row>
    <row r="2409">
      <c r="A2409" t="inlineStr">
        <is>
          <t xml:space="preserve">MANGIND</t>
        </is>
      </c>
      <c r="B2409" t="inlineStr">
        <is>
          <t xml:space="preserve">MANGALAM INDUSTRIAL FINANCE LT</t>
        </is>
      </c>
      <c r="C2409" t="inlineStr">
        <is>
          <t xml:space="preserve">INE717C01025</t>
        </is>
      </c>
    </row>
    <row r="2410">
      <c r="A2410" t="inlineStr">
        <is>
          <t xml:space="preserve">MANORG</t>
        </is>
      </c>
      <c r="B2410" t="inlineStr">
        <is>
          <t xml:space="preserve">MANGALAM ORGANICS LIMITED</t>
        </is>
      </c>
      <c r="C2410" t="inlineStr">
        <is>
          <t xml:space="preserve">INE370D01013</t>
        </is>
      </c>
    </row>
    <row r="2411">
      <c r="A2411" t="inlineStr">
        <is>
          <t xml:space="preserve">MSL</t>
        </is>
      </c>
      <c r="B2411" t="inlineStr">
        <is>
          <t xml:space="preserve">Mangalam Seeds Limited</t>
        </is>
      </c>
      <c r="C2411" t="inlineStr">
        <is>
          <t xml:space="preserve">INE829S01016</t>
        </is>
      </c>
    </row>
    <row r="2412">
      <c r="A2412" t="inlineStr">
        <is>
          <t xml:space="preserve">MWL</t>
        </is>
      </c>
      <c r="B2412" t="inlineStr">
        <is>
          <t xml:space="preserve">Mangalam Worldwide Limited</t>
        </is>
      </c>
      <c r="C2412" t="inlineStr">
        <is>
          <t xml:space="preserve">INE0JYY01029</t>
        </is>
      </c>
    </row>
    <row r="2413">
      <c r="A2413" t="inlineStr">
        <is>
          <t xml:space="preserve">MRPL</t>
        </is>
      </c>
      <c r="B2413" t="inlineStr">
        <is>
          <t xml:space="preserve">MANGALORE REFINERY &amp; PETROCHEM</t>
        </is>
      </c>
      <c r="C2413" t="inlineStr">
        <is>
          <t xml:space="preserve">INE103A01014</t>
        </is>
      </c>
    </row>
    <row r="2414">
      <c r="A2414" t="inlineStr">
        <is>
          <t xml:space="preserve">MANKIND</t>
        </is>
      </c>
      <c r="B2414" t="inlineStr">
        <is>
          <t xml:space="preserve">Mankind Pharma Limited</t>
        </is>
      </c>
      <c r="C2414" t="inlineStr">
        <is>
          <t xml:space="preserve">INE634S01028</t>
        </is>
      </c>
    </row>
    <row r="2415">
      <c r="A2415" t="inlineStr">
        <is>
          <t xml:space="preserve">MCPL</t>
        </is>
      </c>
      <c r="B2415" t="inlineStr">
        <is>
          <t xml:space="preserve">Manoj Ceramic Limited</t>
        </is>
      </c>
      <c r="C2415" t="inlineStr">
        <is>
          <t xml:space="preserve">INE0A6N01026</t>
        </is>
      </c>
    </row>
    <row r="2416">
      <c r="A2416" t="inlineStr">
        <is>
          <t xml:space="preserve">MANOJJEWEL</t>
        </is>
      </c>
      <c r="B2416" t="inlineStr">
        <is>
          <t xml:space="preserve">Manoj Jewellers Limited</t>
        </is>
      </c>
      <c r="C2416" t="inlineStr">
        <is>
          <t xml:space="preserve">INE0MV001018</t>
        </is>
      </c>
    </row>
    <row r="2417">
      <c r="A2417" t="inlineStr">
        <is>
          <t xml:space="preserve">MVGJL</t>
        </is>
      </c>
      <c r="B2417" t="inlineStr">
        <is>
          <t xml:space="preserve">MANOJ VAIBHAV GEMS 'N' JEWELLE</t>
        </is>
      </c>
      <c r="C2417" t="inlineStr">
        <is>
          <t xml:space="preserve">INE0KNT01012</t>
        </is>
      </c>
    </row>
    <row r="2418">
      <c r="A2418" t="inlineStr">
        <is>
          <t xml:space="preserve">MANOMAY</t>
        </is>
      </c>
      <c r="B2418" t="inlineStr">
        <is>
          <t xml:space="preserve">Manomay Tex India Limited</t>
        </is>
      </c>
      <c r="C2418" t="inlineStr">
        <is>
          <t xml:space="preserve">INE784W01015</t>
        </is>
      </c>
    </row>
    <row r="2419">
      <c r="A2419" t="inlineStr">
        <is>
          <t xml:space="preserve">MANORAMA</t>
        </is>
      </c>
      <c r="B2419" t="inlineStr">
        <is>
          <t xml:space="preserve">Manorama Industries Limited</t>
        </is>
      </c>
      <c r="C2419" t="inlineStr">
        <is>
          <t xml:space="preserve">INE00VM01036</t>
        </is>
      </c>
    </row>
    <row r="2420">
      <c r="A2420" t="inlineStr">
        <is>
          <t xml:space="preserve">MANSIFIN</t>
        </is>
      </c>
      <c r="B2420" t="inlineStr">
        <is>
          <t xml:space="preserve">MANSI FINANCE (CHENNAI) LTD.</t>
        </is>
      </c>
      <c r="C2420" t="inlineStr">
        <is>
          <t xml:space="preserve">INE094E01017</t>
        </is>
      </c>
    </row>
    <row r="2421">
      <c r="A2421" t="inlineStr">
        <is>
          <t xml:space="preserve">MANTRA</t>
        </is>
      </c>
      <c r="B2421" t="inlineStr">
        <is>
          <t xml:space="preserve">Mantra Capital Limited</t>
        </is>
      </c>
      <c r="C2421" t="inlineStr">
        <is>
          <t xml:space="preserve">INE304E01010</t>
        </is>
      </c>
    </row>
    <row r="2422">
      <c r="A2422" t="inlineStr">
        <is>
          <t xml:space="preserve">MANUGRAPH</t>
        </is>
      </c>
      <c r="B2422" t="inlineStr">
        <is>
          <t xml:space="preserve">MANUGRAPH INDIA LTD.</t>
        </is>
      </c>
      <c r="C2422" t="inlineStr">
        <is>
          <t xml:space="preserve">INE867A01022</t>
        </is>
      </c>
    </row>
    <row r="2423">
      <c r="A2423" t="inlineStr">
        <is>
          <t xml:space="preserve">MAPROIN</t>
        </is>
      </c>
      <c r="B2423" t="inlineStr">
        <is>
          <t xml:space="preserve">MAPRO INDUSTRIES LTD.</t>
        </is>
      </c>
      <c r="C2423" t="inlineStr">
        <is>
          <t xml:space="preserve">INE848M01019</t>
        </is>
      </c>
    </row>
    <row r="2424">
      <c r="A2424" t="inlineStr">
        <is>
          <t xml:space="preserve">MARALOVER</t>
        </is>
      </c>
      <c r="B2424" t="inlineStr">
        <is>
          <t xml:space="preserve">MARAL OVERSEAS LTD.</t>
        </is>
      </c>
      <c r="C2424" t="inlineStr">
        <is>
          <t xml:space="preserve">INE882A01013</t>
        </is>
      </c>
    </row>
    <row r="2425">
      <c r="A2425" t="inlineStr">
        <is>
          <t xml:space="preserve">MARATHON</t>
        </is>
      </c>
      <c r="B2425" t="inlineStr">
        <is>
          <t xml:space="preserve">MARATHON NEXTGEN REALTY LTD.</t>
        </is>
      </c>
      <c r="C2425" t="inlineStr">
        <is>
          <t xml:space="preserve">INE182D01020</t>
        </is>
      </c>
    </row>
    <row r="2426">
      <c r="A2426" t="inlineStr">
        <is>
          <t xml:space="preserve">MARBLE</t>
        </is>
      </c>
      <c r="B2426" t="inlineStr">
        <is>
          <t xml:space="preserve">MARBLE CITY INDIA LIMITED</t>
        </is>
      </c>
      <c r="C2426" t="inlineStr">
        <is>
          <t xml:space="preserve">INE807H01023</t>
        </is>
      </c>
    </row>
    <row r="2427">
      <c r="A2427" t="inlineStr">
        <is>
          <t xml:space="preserve">MSCTC</t>
        </is>
      </c>
      <c r="B2427" t="inlineStr">
        <is>
          <t xml:space="preserve">MARDIA SAMYOUNG CAPILLARY TUBE</t>
        </is>
      </c>
      <c r="C2427" t="inlineStr">
        <is>
          <t xml:space="preserve">INE277E01026</t>
        </is>
      </c>
    </row>
    <row r="2428">
      <c r="A2428" t="inlineStr">
        <is>
          <t xml:space="preserve">MTPL</t>
        </is>
      </c>
      <c r="B2428" t="inlineStr">
        <is>
          <t xml:space="preserve">MARG TECHNO PROJECTS LIMITED (MTPL)</t>
        </is>
      </c>
      <c r="C2428" t="inlineStr">
        <is>
          <t xml:space="preserve">INE245H01018</t>
        </is>
      </c>
    </row>
    <row r="2429">
      <c r="A2429" t="inlineStr">
        <is>
          <t xml:space="preserve">MTPL-RE</t>
        </is>
      </c>
      <c r="B2429" t="inlineStr">
        <is>
          <t xml:space="preserve">MARG TECHNO PROJECTS LIMITED (MTPL-RE)</t>
        </is>
      </c>
      <c r="C2429" t="inlineStr">
        <is>
          <t xml:space="preserve">INE245H20018</t>
        </is>
      </c>
    </row>
    <row r="2430">
      <c r="A2430" t="inlineStr">
        <is>
          <t xml:space="preserve">MARGOFIN</t>
        </is>
      </c>
      <c r="B2430" t="inlineStr">
        <is>
          <t xml:space="preserve">MARGO FINANCE LIMITED</t>
        </is>
      </c>
      <c r="C2430" t="inlineStr">
        <is>
          <t xml:space="preserve">INE680B01019</t>
        </is>
      </c>
    </row>
    <row r="2431">
      <c r="A2431" t="inlineStr">
        <is>
          <t xml:space="preserve">MARICO</t>
        </is>
      </c>
      <c r="B2431" t="inlineStr">
        <is>
          <t xml:space="preserve">MARICO LTD.</t>
        </is>
      </c>
      <c r="C2431" t="inlineStr">
        <is>
          <t xml:space="preserve">INE196A01026</t>
        </is>
      </c>
    </row>
    <row r="2432">
      <c r="A2432" t="inlineStr">
        <is>
          <t xml:space="preserve">MARIS</t>
        </is>
      </c>
      <c r="B2432" t="inlineStr">
        <is>
          <t xml:space="preserve">MARIS SPINNERS LTD.</t>
        </is>
      </c>
      <c r="C2432" t="inlineStr">
        <is>
          <t xml:space="preserve">INE866D01010</t>
        </is>
      </c>
    </row>
    <row r="2433">
      <c r="A2433" t="inlineStr">
        <is>
          <t xml:space="preserve">MKTCREAT</t>
        </is>
      </c>
      <c r="B2433" t="inlineStr">
        <is>
          <t xml:space="preserve">MARKET CREATORS LTD.</t>
        </is>
      </c>
      <c r="C2433" t="inlineStr">
        <is>
          <t xml:space="preserve">INE944C01017</t>
        </is>
      </c>
    </row>
    <row r="2434">
      <c r="A2434" t="inlineStr">
        <is>
          <t xml:space="preserve">MARKOLINES</t>
        </is>
      </c>
      <c r="B2434" t="inlineStr">
        <is>
          <t xml:space="preserve">Markolines Pavement Technologi</t>
        </is>
      </c>
      <c r="C2434" t="inlineStr">
        <is>
          <t xml:space="preserve">INE0FW001016</t>
        </is>
      </c>
    </row>
    <row r="2435">
      <c r="A2435" t="inlineStr">
        <is>
          <t xml:space="preserve">MARKSANS</t>
        </is>
      </c>
      <c r="B2435" t="inlineStr">
        <is>
          <t xml:space="preserve">MARKSANS PHARMA LTD.</t>
        </is>
      </c>
      <c r="C2435" t="inlineStr">
        <is>
          <t xml:space="preserve">INE750C01026</t>
        </is>
      </c>
    </row>
    <row r="2436">
      <c r="A2436" t="inlineStr">
        <is>
          <t xml:space="preserve">MARSONS</t>
        </is>
      </c>
      <c r="B2436" t="inlineStr">
        <is>
          <t xml:space="preserve">MARSONS LIMITED</t>
        </is>
      </c>
      <c r="C2436" t="inlineStr">
        <is>
          <t xml:space="preserve">INE415B01044</t>
        </is>
      </c>
    </row>
    <row r="2437">
      <c r="A2437" t="inlineStr">
        <is>
          <t xml:space="preserve">MARBU</t>
        </is>
      </c>
      <c r="B2437" t="inlineStr">
        <is>
          <t xml:space="preserve">MARTIN BURN LTD.</t>
        </is>
      </c>
      <c r="C2437" t="inlineStr">
        <is>
          <t xml:space="preserve">INE199D01016</t>
        </is>
      </c>
    </row>
    <row r="2438">
      <c r="A2438" t="inlineStr">
        <is>
          <t xml:space="preserve">MGIL</t>
        </is>
      </c>
      <c r="B2438" t="inlineStr">
        <is>
          <t xml:space="preserve">MARUTI GLOBAL INDUSTRIES LIMIT</t>
        </is>
      </c>
      <c r="C2438" t="inlineStr">
        <is>
          <t xml:space="preserve">INE368C01019</t>
        </is>
      </c>
    </row>
    <row r="2439">
      <c r="A2439" t="inlineStr">
        <is>
          <t xml:space="preserve">MAINFRA</t>
        </is>
      </c>
      <c r="B2439" t="inlineStr">
        <is>
          <t xml:space="preserve">MARUTI INFRASTRUCTURE LTD.</t>
        </is>
      </c>
      <c r="C2439" t="inlineStr">
        <is>
          <t xml:space="preserve">INE392G01028</t>
        </is>
      </c>
    </row>
    <row r="2440">
      <c r="A2440" t="inlineStr">
        <is>
          <t xml:space="preserve">SPITZE</t>
        </is>
      </c>
      <c r="B2440" t="inlineStr">
        <is>
          <t xml:space="preserve">Maruti Interior Products Limit</t>
        </is>
      </c>
      <c r="C2440" t="inlineStr">
        <is>
          <t xml:space="preserve">INE0JSJ01014</t>
        </is>
      </c>
    </row>
    <row r="2441">
      <c r="A2441" t="inlineStr">
        <is>
          <t xml:space="preserve">MARUTI</t>
        </is>
      </c>
      <c r="B2441" t="inlineStr">
        <is>
          <t xml:space="preserve">MARUTI SUZUKI INDIA LTD.</t>
        </is>
      </c>
      <c r="C2441" t="inlineStr">
        <is>
          <t xml:space="preserve">INE585B01010</t>
        </is>
      </c>
    </row>
    <row r="2442">
      <c r="A2442" t="inlineStr">
        <is>
          <t xml:space="preserve">MASFIN</t>
        </is>
      </c>
      <c r="B2442" t="inlineStr">
        <is>
          <t xml:space="preserve">MAS Financial Services Limited</t>
        </is>
      </c>
      <c r="C2442" t="inlineStr">
        <is>
          <t xml:space="preserve">INE348L01012</t>
        </is>
      </c>
    </row>
    <row r="2443">
      <c r="A2443" t="inlineStr">
        <is>
          <t xml:space="preserve">MASTEK</t>
        </is>
      </c>
      <c r="B2443" t="inlineStr">
        <is>
          <t xml:space="preserve">MASTEK LTD.</t>
        </is>
      </c>
      <c r="C2443" t="inlineStr">
        <is>
          <t xml:space="preserve">INE759A01021</t>
        </is>
      </c>
    </row>
    <row r="2444">
      <c r="A2444" t="inlineStr">
        <is>
          <t xml:space="preserve">MASTERTR</t>
        </is>
      </c>
      <c r="B2444" t="inlineStr">
        <is>
          <t xml:space="preserve">MASTER TRUST LTD.</t>
        </is>
      </c>
      <c r="C2444" t="inlineStr">
        <is>
          <t xml:space="preserve">INE677D01037</t>
        </is>
      </c>
    </row>
    <row r="2445">
      <c r="A2445" t="inlineStr">
        <is>
          <t xml:space="preserve">MATRIMONY</t>
        </is>
      </c>
      <c r="B2445" t="inlineStr">
        <is>
          <t xml:space="preserve">Matrimony.com Limited</t>
        </is>
      </c>
      <c r="C2445" t="inlineStr">
        <is>
          <t xml:space="preserve">INE866R01028</t>
        </is>
      </c>
    </row>
    <row r="2446">
      <c r="A2446" t="inlineStr">
        <is>
          <t xml:space="preserve">MUL</t>
        </is>
      </c>
      <c r="B2446" t="inlineStr">
        <is>
          <t xml:space="preserve">MAURIA UDYOG LIMITED</t>
        </is>
      </c>
      <c r="C2446" t="inlineStr">
        <is>
          <t xml:space="preserve">INE150D01027</t>
        </is>
      </c>
    </row>
    <row r="2447">
      <c r="A2447" t="inlineStr">
        <is>
          <t xml:space="preserve">MAWANASUG</t>
        </is>
      </c>
      <c r="B2447" t="inlineStr">
        <is>
          <t xml:space="preserve">MAWANA SUGARS LTD.</t>
        </is>
      </c>
      <c r="C2447" t="inlineStr">
        <is>
          <t xml:space="preserve">INE636A01039</t>
        </is>
      </c>
    </row>
    <row r="2448">
      <c r="A2448" t="inlineStr">
        <is>
          <t xml:space="preserve">MAXESTATES</t>
        </is>
      </c>
      <c r="B2448" t="inlineStr">
        <is>
          <t xml:space="preserve">Max Estates Limited</t>
        </is>
      </c>
      <c r="C2448" t="inlineStr">
        <is>
          <t xml:space="preserve">INE03EI01018</t>
        </is>
      </c>
    </row>
    <row r="2449">
      <c r="A2449" t="inlineStr">
        <is>
          <t xml:space="preserve">MFSL</t>
        </is>
      </c>
      <c r="B2449" t="inlineStr">
        <is>
          <t xml:space="preserve">Max Financial Services Limited</t>
        </is>
      </c>
      <c r="C2449" t="inlineStr">
        <is>
          <t xml:space="preserve">INE180A01020</t>
        </is>
      </c>
    </row>
    <row r="2450">
      <c r="A2450" t="inlineStr">
        <is>
          <t xml:space="preserve">MAXHEALTH</t>
        </is>
      </c>
      <c r="B2450" t="inlineStr">
        <is>
          <t xml:space="preserve">Max Healthcare Institute Limit</t>
        </is>
      </c>
      <c r="C2450" t="inlineStr">
        <is>
          <t xml:space="preserve">INE027H01010</t>
        </is>
      </c>
    </row>
    <row r="2451">
      <c r="A2451" t="inlineStr">
        <is>
          <t xml:space="preserve">MAXHEIGHTS</t>
        </is>
      </c>
      <c r="B2451" t="inlineStr">
        <is>
          <t xml:space="preserve">Max heights Infrastucture Ltd</t>
        </is>
      </c>
      <c r="C2451" t="inlineStr">
        <is>
          <t xml:space="preserve">INE393F01010</t>
        </is>
      </c>
    </row>
    <row r="2452">
      <c r="A2452" t="inlineStr">
        <is>
          <t xml:space="preserve">MAXIND</t>
        </is>
      </c>
      <c r="B2452" t="inlineStr">
        <is>
          <t xml:space="preserve">Max India Limited</t>
        </is>
      </c>
      <c r="C2452" t="inlineStr">
        <is>
          <t xml:space="preserve">INE0CG601016</t>
        </is>
      </c>
    </row>
    <row r="2453">
      <c r="A2453" t="inlineStr">
        <is>
          <t xml:space="preserve">MAXGROW</t>
        </is>
      </c>
      <c r="B2453" t="inlineStr">
        <is>
          <t xml:space="preserve">MAXGROW INDIA LIMITED</t>
        </is>
      </c>
      <c r="C2453" t="inlineStr">
        <is>
          <t xml:space="preserve">INE485D01043</t>
        </is>
      </c>
    </row>
    <row r="2454">
      <c r="A2454" t="inlineStr">
        <is>
          <t xml:space="preserve">MAXIMUS</t>
        </is>
      </c>
      <c r="B2454" t="inlineStr">
        <is>
          <t xml:space="preserve">Maximus International Limited</t>
        </is>
      </c>
      <c r="C2454" t="inlineStr">
        <is>
          <t xml:space="preserve">INE544W01021</t>
        </is>
      </c>
    </row>
    <row r="2455">
      <c r="A2455" t="inlineStr">
        <is>
          <t xml:space="preserve">MCFL</t>
        </is>
      </c>
      <c r="B2455" t="inlineStr">
        <is>
          <t xml:space="preserve">Mayank Cattle Food Limited</t>
        </is>
      </c>
      <c r="C2455" t="inlineStr">
        <is>
          <t xml:space="preserve">INE0R5Z01015</t>
        </is>
      </c>
    </row>
    <row r="2456">
      <c r="A2456" t="inlineStr">
        <is>
          <t xml:space="preserve">MAYURFL</t>
        </is>
      </c>
      <c r="B2456" t="inlineStr">
        <is>
          <t xml:space="preserve">MAYUR FLOORINGS LTD.</t>
        </is>
      </c>
      <c r="C2456" t="inlineStr">
        <is>
          <t xml:space="preserve">INE262W01012</t>
        </is>
      </c>
    </row>
    <row r="2457">
      <c r="A2457" t="inlineStr">
        <is>
          <t xml:space="preserve">MAYUR</t>
        </is>
      </c>
      <c r="B2457" t="inlineStr">
        <is>
          <t xml:space="preserve">MAYUR LEATHER PRODUCTS LTD.</t>
        </is>
      </c>
      <c r="C2457" t="inlineStr">
        <is>
          <t xml:space="preserve">INE799E01011</t>
        </is>
      </c>
    </row>
    <row r="2458">
      <c r="A2458" t="inlineStr">
        <is>
          <t xml:space="preserve">MAYURUNIQ</t>
        </is>
      </c>
      <c r="B2458" t="inlineStr">
        <is>
          <t xml:space="preserve">MAYUR UNIQUOTERS LTD.</t>
        </is>
      </c>
      <c r="C2458" t="inlineStr">
        <is>
          <t xml:space="preserve">INE040D01038</t>
        </is>
      </c>
    </row>
    <row r="2459">
      <c r="A2459" t="inlineStr">
        <is>
          <t xml:space="preserve">MAZDOCK</t>
        </is>
      </c>
      <c r="B2459" t="inlineStr">
        <is>
          <t xml:space="preserve">Mazagon Dock Shipbuilders Limi</t>
        </is>
      </c>
      <c r="C2459" t="inlineStr">
        <is>
          <t xml:space="preserve">INE249Z01020</t>
        </is>
      </c>
    </row>
    <row r="2460">
      <c r="A2460" t="inlineStr">
        <is>
          <t xml:space="preserve">MAZDA</t>
        </is>
      </c>
      <c r="B2460" t="inlineStr">
        <is>
          <t xml:space="preserve">MAZDA LTD.</t>
        </is>
      </c>
      <c r="C2460" t="inlineStr">
        <is>
          <t xml:space="preserve">INE885E01042</t>
        </is>
      </c>
    </row>
    <row r="2461">
      <c r="A2461" t="inlineStr">
        <is>
          <t xml:space="preserve">1025MBFL27</t>
        </is>
      </c>
      <c r="B2461" t="inlineStr">
        <is>
          <t xml:space="preserve">MBFL-10.25%-16-10-27-PVT</t>
        </is>
      </c>
      <c r="C2461" t="inlineStr">
        <is>
          <t xml:space="preserve">INE296Q07142</t>
        </is>
      </c>
    </row>
    <row r="2462">
      <c r="A2462" t="inlineStr">
        <is>
          <t xml:space="preserve">1130MBFL27</t>
        </is>
      </c>
      <c r="B2462" t="inlineStr">
        <is>
          <t xml:space="preserve">MBFL-11.30%-5-6-27-PVT</t>
        </is>
      </c>
      <c r="C2462" t="inlineStr">
        <is>
          <t xml:space="preserve">INE939X07200</t>
        </is>
      </c>
    </row>
    <row r="2463">
      <c r="A2463" t="inlineStr">
        <is>
          <t xml:space="preserve">MBLINFRA</t>
        </is>
      </c>
      <c r="B2463" t="inlineStr">
        <is>
          <t xml:space="preserve">MBL Infrastructure Ltd</t>
        </is>
      </c>
      <c r="C2463" t="inlineStr">
        <is>
          <t xml:space="preserve">INE912H01013</t>
        </is>
      </c>
    </row>
    <row r="2464">
      <c r="A2464" t="inlineStr">
        <is>
          <t xml:space="preserve">0MCIBPL27</t>
        </is>
      </c>
      <c r="B2464" t="inlineStr">
        <is>
          <t xml:space="preserve">MCIBPL-ZC-05-08-27-PVT</t>
        </is>
      </c>
      <c r="C2464" t="inlineStr">
        <is>
          <t xml:space="preserve">INE0K0Y08011</t>
        </is>
      </c>
    </row>
    <row r="2465">
      <c r="A2465" t="inlineStr">
        <is>
          <t xml:space="preserve">0MCIBPL280M</t>
        </is>
      </c>
      <c r="B2465" t="inlineStr">
        <is>
          <t xml:space="preserve">MCIBPL-ZC-28-06-28-PVT</t>
        </is>
      </c>
      <c r="C2465" t="inlineStr">
        <is>
          <t xml:space="preserve">INE0K0Y08052</t>
        </is>
      </c>
    </row>
    <row r="2466">
      <c r="A2466" t="inlineStr">
        <is>
          <t xml:space="preserve">MCLEODRUSS</t>
        </is>
      </c>
      <c r="B2466" t="inlineStr">
        <is>
          <t xml:space="preserve">MCLEOD RUSSEL INDIA LTD.</t>
        </is>
      </c>
      <c r="C2466" t="inlineStr">
        <is>
          <t xml:space="preserve">INE942G01012</t>
        </is>
      </c>
    </row>
    <row r="2467">
      <c r="A2467" t="inlineStr">
        <is>
          <t xml:space="preserve">10MCSL27A</t>
        </is>
      </c>
      <c r="B2467" t="inlineStr">
        <is>
          <t xml:space="preserve">MCSL-10%-16-5-27-PVT</t>
        </is>
      </c>
      <c r="C2467" t="inlineStr">
        <is>
          <t xml:space="preserve">INE296G07150</t>
        </is>
      </c>
    </row>
    <row r="2468">
      <c r="A2468" t="inlineStr">
        <is>
          <t xml:space="preserve">10MCSL27</t>
        </is>
      </c>
      <c r="B2468" t="inlineStr">
        <is>
          <t xml:space="preserve">MCSL-10%-19-3-27-PVT</t>
        </is>
      </c>
      <c r="C2468" t="inlineStr">
        <is>
          <t xml:space="preserve">INE296G07143</t>
        </is>
      </c>
    </row>
    <row r="2469">
      <c r="A2469" t="inlineStr">
        <is>
          <t xml:space="preserve">10MCSL2027</t>
        </is>
      </c>
      <c r="B2469" t="inlineStr">
        <is>
          <t xml:space="preserve">MCSL-10%-29-07-27-PVT</t>
        </is>
      </c>
      <c r="C2469" t="inlineStr">
        <is>
          <t xml:space="preserve">INE296G07309</t>
        </is>
      </c>
    </row>
    <row r="2470">
      <c r="A2470" t="inlineStr">
        <is>
          <t xml:space="preserve">MEDIASSIST</t>
        </is>
      </c>
      <c r="B2470" t="inlineStr">
        <is>
          <t xml:space="preserve">Medi Assist Healthcare Service</t>
        </is>
      </c>
      <c r="C2470" t="inlineStr">
        <is>
          <t xml:space="preserve">INE456Z01021</t>
        </is>
      </c>
    </row>
    <row r="2471">
      <c r="A2471" t="inlineStr">
        <is>
          <t xml:space="preserve">MEDICAPQ</t>
        </is>
      </c>
      <c r="B2471" t="inlineStr">
        <is>
          <t xml:space="preserve">MEDI-CAPS LTD.</t>
        </is>
      </c>
      <c r="C2471" t="inlineStr">
        <is>
          <t xml:space="preserve">INE442D01010</t>
        </is>
      </c>
    </row>
    <row r="2472">
      <c r="A2472" t="inlineStr">
        <is>
          <t xml:space="preserve">MMWL</t>
        </is>
      </c>
      <c r="B2472" t="inlineStr">
        <is>
          <t xml:space="preserve">MEDIA MATRIX WORLDWIDE LTD.</t>
        </is>
      </c>
      <c r="C2472" t="inlineStr">
        <is>
          <t xml:space="preserve">INE200D01020</t>
        </is>
      </c>
    </row>
    <row r="2473">
      <c r="A2473" t="inlineStr">
        <is>
          <t xml:space="preserve">MEDIAONE</t>
        </is>
      </c>
      <c r="B2473" t="inlineStr">
        <is>
          <t xml:space="preserve">MEDIAONE GLOBAL ENTERTAINMENT</t>
        </is>
      </c>
      <c r="C2473" t="inlineStr">
        <is>
          <t xml:space="preserve">INE828I01019</t>
        </is>
      </c>
    </row>
    <row r="2474">
      <c r="A2474" t="inlineStr">
        <is>
          <t xml:space="preserve">MEDICAMEQ</t>
        </is>
      </c>
      <c r="B2474" t="inlineStr">
        <is>
          <t xml:space="preserve">MEDICAMEN BIOTECH LTD.</t>
        </is>
      </c>
      <c r="C2474" t="inlineStr">
        <is>
          <t xml:space="preserve">INE646B01010</t>
        </is>
      </c>
    </row>
    <row r="2475">
      <c r="A2475" t="inlineStr">
        <is>
          <t xml:space="preserve">MIL</t>
        </is>
      </c>
      <c r="B2475" t="inlineStr">
        <is>
          <t xml:space="preserve">Medico Intercontinental Limite</t>
        </is>
      </c>
      <c r="C2475" t="inlineStr">
        <is>
          <t xml:space="preserve">INE858Q01019</t>
        </is>
      </c>
    </row>
    <row r="2476">
      <c r="A2476" t="inlineStr">
        <is>
          <t xml:space="preserve">MEDICO</t>
        </is>
      </c>
      <c r="B2476" t="inlineStr">
        <is>
          <t xml:space="preserve">MEDICO REMEDIES LIMITED</t>
        </is>
      </c>
      <c r="C2476" t="inlineStr">
        <is>
          <t xml:space="preserve">INE630Y01024</t>
        </is>
      </c>
    </row>
    <row r="2477">
      <c r="A2477" t="inlineStr">
        <is>
          <t xml:space="preserve">MEDPLUS</t>
        </is>
      </c>
      <c r="B2477" t="inlineStr">
        <is>
          <t xml:space="preserve">Medplus Health Services Limite</t>
        </is>
      </c>
      <c r="C2477" t="inlineStr">
        <is>
          <t xml:space="preserve">INE804L01022</t>
        </is>
      </c>
    </row>
    <row r="2478">
      <c r="A2478" t="inlineStr">
        <is>
          <t xml:space="preserve">MEERA</t>
        </is>
      </c>
      <c r="B2478" t="inlineStr">
        <is>
          <t xml:space="preserve">Meera Industries Limited</t>
        </is>
      </c>
      <c r="C2478" t="inlineStr">
        <is>
          <t xml:space="preserve">INE343X01026</t>
        </is>
      </c>
    </row>
    <row r="2479">
      <c r="A2479" t="inlineStr">
        <is>
          <t xml:space="preserve">MEESHO</t>
        </is>
      </c>
      <c r="B2479" t="inlineStr">
        <is>
          <t xml:space="preserve">Meesho Limited</t>
        </is>
      </c>
      <c r="C2479" t="inlineStr">
        <is>
          <t xml:space="preserve">INE0VDM01015</t>
        </is>
      </c>
    </row>
    <row r="2480">
      <c r="A2480" t="inlineStr">
        <is>
          <t xml:space="preserve">MEFCOMCAP</t>
        </is>
      </c>
      <c r="B2480" t="inlineStr">
        <is>
          <t xml:space="preserve">MEFCOM CAPITAL MARKETS LTD.</t>
        </is>
      </c>
      <c r="C2480" t="inlineStr">
        <is>
          <t xml:space="preserve">INE186C01023</t>
        </is>
      </c>
    </row>
    <row r="2481">
      <c r="A2481" t="inlineStr">
        <is>
          <t xml:space="preserve">MEGACOR</t>
        </is>
      </c>
      <c r="B2481" t="inlineStr">
        <is>
          <t xml:space="preserve">MEGA CORPORATION LTD.</t>
        </is>
      </c>
      <c r="C2481" t="inlineStr">
        <is>
          <t xml:space="preserve">INE804B01023</t>
        </is>
      </c>
    </row>
    <row r="2482">
      <c r="A2482" t="inlineStr">
        <is>
          <t xml:space="preserve">MNIL</t>
        </is>
      </c>
      <c r="B2482" t="inlineStr">
        <is>
          <t xml:space="preserve">Mega Nirman &amp; Industries Limit</t>
        </is>
      </c>
      <c r="C2482" t="inlineStr">
        <is>
          <t xml:space="preserve">INE216Q01010</t>
        </is>
      </c>
    </row>
    <row r="2483">
      <c r="A2483" t="inlineStr">
        <is>
          <t xml:space="preserve">MEGAMONT</t>
        </is>
      </c>
      <c r="B2483" t="inlineStr">
        <is>
          <t xml:space="preserve">MEGAMONT LIMITED</t>
        </is>
      </c>
      <c r="C2483" t="inlineStr">
        <is>
          <t xml:space="preserve">INE317D01014</t>
        </is>
      </c>
    </row>
    <row r="2484">
      <c r="A2484" t="inlineStr">
        <is>
          <t xml:space="preserve">MEGASTAR</t>
        </is>
      </c>
      <c r="B2484" t="inlineStr">
        <is>
          <t xml:space="preserve">Megastar Foods Limited</t>
        </is>
      </c>
      <c r="C2484" t="inlineStr">
        <is>
          <t xml:space="preserve">INE00EM01016</t>
        </is>
      </c>
    </row>
    <row r="2485">
      <c r="A2485" t="inlineStr">
        <is>
          <t xml:space="preserve">MOL</t>
        </is>
      </c>
      <c r="B2485" t="inlineStr">
        <is>
          <t xml:space="preserve">Meghmani Organics Limited</t>
        </is>
      </c>
      <c r="C2485" t="inlineStr">
        <is>
          <t xml:space="preserve">INE0CT101020</t>
        </is>
      </c>
    </row>
    <row r="2486">
      <c r="A2486" t="inlineStr">
        <is>
          <t xml:space="preserve">MIIL</t>
        </is>
      </c>
      <c r="B2486" t="inlineStr">
        <is>
          <t xml:space="preserve">Meghna Infracon Infrastructure</t>
        </is>
      </c>
      <c r="C2486" t="inlineStr">
        <is>
          <t xml:space="preserve">INE898Q01015</t>
        </is>
      </c>
    </row>
    <row r="2487">
      <c r="A2487" t="inlineStr">
        <is>
          <t xml:space="preserve">MEGRISOFT</t>
        </is>
      </c>
      <c r="B2487" t="inlineStr">
        <is>
          <t xml:space="preserve">Megri Soft Limited</t>
        </is>
      </c>
      <c r="C2487" t="inlineStr">
        <is>
          <t xml:space="preserve">INE756R01013</t>
        </is>
      </c>
    </row>
    <row r="2488">
      <c r="A2488" t="inlineStr">
        <is>
          <t xml:space="preserve">MEHAI</t>
        </is>
      </c>
      <c r="B2488" t="inlineStr">
        <is>
          <t xml:space="preserve">Mehai Technology  Limited</t>
        </is>
      </c>
      <c r="C2488" t="inlineStr">
        <is>
          <t xml:space="preserve">INE062Y01020</t>
        </is>
      </c>
    </row>
    <row r="2489">
      <c r="A2489" t="inlineStr">
        <is>
          <t xml:space="preserve">MEHIF</t>
        </is>
      </c>
      <c r="B2489" t="inlineStr">
        <is>
          <t xml:space="preserve">MEHTA INTEGRATED FINANCE LTD.</t>
        </is>
      </c>
      <c r="C2489" t="inlineStr">
        <is>
          <t xml:space="preserve">INE240B01012</t>
        </is>
      </c>
    </row>
    <row r="2490">
      <c r="A2490" t="inlineStr">
        <is>
          <t xml:space="preserve">MTL</t>
        </is>
      </c>
      <c r="B2490" t="inlineStr">
        <is>
          <t xml:space="preserve">MEHUL TELECOM LIMITED</t>
        </is>
      </c>
      <c r="C2490" t="inlineStr">
        <is>
          <t xml:space="preserve">INE1K0V01011</t>
        </is>
      </c>
    </row>
    <row r="2491">
      <c r="A2491" t="inlineStr">
        <is>
          <t xml:space="preserve">MENAMANI</t>
        </is>
      </c>
      <c r="B2491" t="inlineStr">
        <is>
          <t xml:space="preserve">MENA MANI INDUSTRIES LIMITED</t>
        </is>
      </c>
      <c r="C2491" t="inlineStr">
        <is>
          <t xml:space="preserve">INE148B01033</t>
        </is>
      </c>
    </row>
    <row r="2492">
      <c r="A2492" t="inlineStr">
        <is>
          <t xml:space="preserve">MENONBE</t>
        </is>
      </c>
      <c r="B2492" t="inlineStr">
        <is>
          <t xml:space="preserve">MENON BEARINGS LTD.</t>
        </is>
      </c>
      <c r="C2492" t="inlineStr">
        <is>
          <t xml:space="preserve">INE071D01033</t>
        </is>
      </c>
    </row>
    <row r="2493">
      <c r="A2493" t="inlineStr">
        <is>
          <t xml:space="preserve">MENNPIS</t>
        </is>
      </c>
      <c r="B2493" t="inlineStr">
        <is>
          <t xml:space="preserve">MENON PISTONS LTD.</t>
        </is>
      </c>
      <c r="C2493" t="inlineStr">
        <is>
          <t xml:space="preserve">INE650G01029</t>
        </is>
      </c>
    </row>
    <row r="2494">
      <c r="A2494" t="inlineStr">
        <is>
          <t xml:space="preserve">MEP</t>
        </is>
      </c>
      <c r="B2494" t="inlineStr">
        <is>
          <t xml:space="preserve">MEP Infrastructure Developers</t>
        </is>
      </c>
      <c r="C2494" t="inlineStr">
        <is>
          <t xml:space="preserve">INE776I01010</t>
        </is>
      </c>
    </row>
    <row r="2495">
      <c r="A2495" t="inlineStr">
        <is>
          <t xml:space="preserve">MERCANTILE</t>
        </is>
      </c>
      <c r="B2495" t="inlineStr">
        <is>
          <t xml:space="preserve">Mercantile Ventures Limited</t>
        </is>
      </c>
      <c r="C2495" t="inlineStr">
        <is>
          <t xml:space="preserve">INE689O01013</t>
        </is>
      </c>
    </row>
    <row r="2496">
      <c r="A2496" t="inlineStr">
        <is>
          <t xml:space="preserve">MERCURYEV</t>
        </is>
      </c>
      <c r="B2496" t="inlineStr">
        <is>
          <t xml:space="preserve">MERCURY EV-TECH LIMITED</t>
        </is>
      </c>
      <c r="C2496" t="inlineStr">
        <is>
          <t xml:space="preserve">INE763M01028</t>
        </is>
      </c>
    </row>
    <row r="2497">
      <c r="A2497" t="inlineStr">
        <is>
          <t xml:space="preserve">MERCURYLAB</t>
        </is>
      </c>
      <c r="B2497" t="inlineStr">
        <is>
          <t xml:space="preserve">Mercury Laboratories Limited</t>
        </is>
      </c>
      <c r="C2497" t="inlineStr">
        <is>
          <t xml:space="preserve">INE947G01011</t>
        </is>
      </c>
    </row>
    <row r="2498">
      <c r="A2498" t="inlineStr">
        <is>
          <t xml:space="preserve">MERCTRD</t>
        </is>
      </c>
      <c r="B2498" t="inlineStr">
        <is>
          <t xml:space="preserve">MERCURY TRADE LINKS LTD.</t>
        </is>
      </c>
      <c r="C2498" t="inlineStr">
        <is>
          <t xml:space="preserve">INE319T01016</t>
        </is>
      </c>
    </row>
    <row r="2499">
      <c r="A2499" t="inlineStr">
        <is>
          <t xml:space="preserve">MRTX</t>
        </is>
      </c>
      <c r="B2499" t="inlineStr">
        <is>
          <t xml:space="preserve">Merritronix Limited</t>
        </is>
      </c>
      <c r="C2499" t="inlineStr">
        <is>
          <t xml:space="preserve">INE1RQS01010</t>
        </is>
      </c>
    </row>
    <row r="2500">
      <c r="A2500" t="inlineStr">
        <is>
          <t xml:space="preserve">METAINFO</t>
        </is>
      </c>
      <c r="B2500" t="inlineStr">
        <is>
          <t xml:space="preserve">META INFOTECH LIMITED</t>
        </is>
      </c>
      <c r="C2500" t="inlineStr">
        <is>
          <t xml:space="preserve">INE162901016</t>
        </is>
      </c>
    </row>
    <row r="2501">
      <c r="A2501" t="inlineStr">
        <is>
          <t xml:space="preserve">METALCO</t>
        </is>
      </c>
      <c r="B2501" t="inlineStr">
        <is>
          <t xml:space="preserve">METAL COATINGS (INDIA) LTD.</t>
        </is>
      </c>
      <c r="C2501" t="inlineStr">
        <is>
          <t xml:space="preserve">INE161E01014</t>
        </is>
      </c>
    </row>
    <row r="2502">
      <c r="A2502" t="inlineStr">
        <is>
          <t xml:space="preserve">METHODHUB</t>
        </is>
      </c>
      <c r="B2502" t="inlineStr">
        <is>
          <t xml:space="preserve">Methodhub Software Limited</t>
        </is>
      </c>
      <c r="C2502" t="inlineStr">
        <is>
          <t xml:space="preserve">INE0QZR01017</t>
        </is>
      </c>
    </row>
    <row r="2503">
      <c r="A2503" t="inlineStr">
        <is>
          <t xml:space="preserve">METROBRAND</t>
        </is>
      </c>
      <c r="B2503" t="inlineStr">
        <is>
          <t xml:space="preserve">Metro Brands Limited</t>
        </is>
      </c>
      <c r="C2503" t="inlineStr">
        <is>
          <t xml:space="preserve">INE317I01021</t>
        </is>
      </c>
    </row>
    <row r="2504">
      <c r="A2504" t="inlineStr">
        <is>
          <t xml:space="preserve">METROGLOBL</t>
        </is>
      </c>
      <c r="B2504" t="inlineStr">
        <is>
          <t xml:space="preserve">METROGLOBAL LIMITED</t>
        </is>
      </c>
      <c r="C2504" t="inlineStr">
        <is>
          <t xml:space="preserve">INE085D01033</t>
        </is>
      </c>
    </row>
    <row r="2505">
      <c r="A2505" t="inlineStr">
        <is>
          <t xml:space="preserve">METROPOLIS</t>
        </is>
      </c>
      <c r="B2505" t="inlineStr">
        <is>
          <t xml:space="preserve">Metropolis Healthcare Limited</t>
        </is>
      </c>
      <c r="C2505" t="inlineStr">
        <is>
          <t xml:space="preserve">INE112L01020</t>
        </is>
      </c>
    </row>
    <row r="2506">
      <c r="A2506" t="inlineStr">
        <is>
          <t xml:space="preserve">MAL</t>
        </is>
      </c>
      <c r="B2506" t="inlineStr">
        <is>
          <t xml:space="preserve">Meyer Apparel Limited</t>
        </is>
      </c>
      <c r="C2506" t="inlineStr">
        <is>
          <t xml:space="preserve">INE100C01024</t>
        </is>
      </c>
    </row>
    <row r="2507">
      <c r="A2507" t="inlineStr">
        <is>
          <t xml:space="preserve">MFCL16924C</t>
        </is>
      </c>
      <c r="B2507" t="inlineStr">
        <is>
          <t xml:space="preserve">MFCL-16-5-32-NCD</t>
        </is>
      </c>
      <c r="C2507" t="inlineStr">
        <is>
          <t xml:space="preserve">INE549K07EJ7</t>
        </is>
      </c>
    </row>
    <row r="2508">
      <c r="A2508" t="inlineStr">
        <is>
          <t xml:space="preserve">MFCL16725</t>
        </is>
      </c>
      <c r="B2508" t="inlineStr">
        <is>
          <t xml:space="preserve">MFCL-16-7-27-NCD</t>
        </is>
      </c>
      <c r="C2508" t="inlineStr">
        <is>
          <t xml:space="preserve">INE549K07GY1</t>
        </is>
      </c>
    </row>
    <row r="2509">
      <c r="A2509" t="inlineStr">
        <is>
          <t xml:space="preserve">MFCL16725A</t>
        </is>
      </c>
      <c r="B2509" t="inlineStr">
        <is>
          <t xml:space="preserve">MFCL-16-7-28-NCD</t>
        </is>
      </c>
      <c r="C2509" t="inlineStr">
        <is>
          <t xml:space="preserve">INE549K07GR5</t>
        </is>
      </c>
    </row>
    <row r="2510">
      <c r="A2510" t="inlineStr">
        <is>
          <t xml:space="preserve">MFCL160924</t>
        </is>
      </c>
      <c r="B2510" t="inlineStr">
        <is>
          <t xml:space="preserve">MFCL-16-9-26-NCD</t>
        </is>
      </c>
      <c r="C2510" t="inlineStr">
        <is>
          <t xml:space="preserve">INE549K07EL3</t>
        </is>
      </c>
    </row>
    <row r="2511">
      <c r="A2511" t="inlineStr">
        <is>
          <t xml:space="preserve">885MFCL27</t>
        </is>
      </c>
      <c r="B2511" t="inlineStr">
        <is>
          <t xml:space="preserve">MFCL-8.85%-16-7-27-NCD</t>
        </is>
      </c>
      <c r="C2511" t="inlineStr">
        <is>
          <t xml:space="preserve">INE549K07GW5</t>
        </is>
      </c>
    </row>
    <row r="2512">
      <c r="A2512" t="inlineStr">
        <is>
          <t xml:space="preserve">9MFCL26</t>
        </is>
      </c>
      <c r="B2512" t="inlineStr">
        <is>
          <t xml:space="preserve">MFCL-9%-16-9-26-NCD</t>
        </is>
      </c>
      <c r="C2512" t="inlineStr">
        <is>
          <t xml:space="preserve">INE549K07DZ5</t>
        </is>
      </c>
    </row>
    <row r="2513">
      <c r="A2513" t="inlineStr">
        <is>
          <t xml:space="preserve">9MFCL2026</t>
        </is>
      </c>
      <c r="B2513" t="inlineStr">
        <is>
          <t xml:space="preserve">MFCL-9%-30-10-26-NCD</t>
        </is>
      </c>
      <c r="C2513" t="inlineStr">
        <is>
          <t xml:space="preserve">INE549K07EU4</t>
        </is>
      </c>
    </row>
    <row r="2514">
      <c r="A2514" t="inlineStr">
        <is>
          <t xml:space="preserve">965MFCL30</t>
        </is>
      </c>
      <c r="B2514" t="inlineStr">
        <is>
          <t xml:space="preserve">MFCL-9.65%-16-9-30-NCD</t>
        </is>
      </c>
      <c r="C2514" t="inlineStr">
        <is>
          <t xml:space="preserve">INE549K07EI9</t>
        </is>
      </c>
    </row>
    <row r="2515">
      <c r="A2515" t="inlineStr">
        <is>
          <t xml:space="preserve">980MFCL31</t>
        </is>
      </c>
      <c r="B2515" t="inlineStr">
        <is>
          <t xml:space="preserve">MFCL-9.80%-16-7-31-NCD</t>
        </is>
      </c>
      <c r="C2515" t="inlineStr">
        <is>
          <t xml:space="preserve">INE549K07GQ7</t>
        </is>
      </c>
    </row>
    <row r="2516">
      <c r="A2516" t="inlineStr">
        <is>
          <t xml:space="preserve">MFLINDIA</t>
        </is>
      </c>
      <c r="B2516" t="inlineStr">
        <is>
          <t xml:space="preserve">MFL INDIA LTD.</t>
        </is>
      </c>
      <c r="C2516" t="inlineStr">
        <is>
          <t xml:space="preserve">INE244C01020</t>
        </is>
      </c>
    </row>
    <row r="2517">
      <c r="A2517" t="inlineStr">
        <is>
          <t xml:space="preserve">10MFL31</t>
        </is>
      </c>
      <c r="B2517" t="inlineStr">
        <is>
          <t xml:space="preserve">MFL-10%-19-5-31-NCD</t>
        </is>
      </c>
      <c r="C2517" t="inlineStr">
        <is>
          <t xml:space="preserve">INE549K07GH6</t>
        </is>
      </c>
    </row>
    <row r="2518">
      <c r="A2518" t="inlineStr">
        <is>
          <t xml:space="preserve">1005MFL29B</t>
        </is>
      </c>
      <c r="B2518" t="inlineStr">
        <is>
          <t xml:space="preserve">MFL-10.05%-31-12-29-PVT</t>
        </is>
      </c>
      <c r="C2518" t="inlineStr">
        <is>
          <t xml:space="preserve">INE549K08475</t>
        </is>
      </c>
    </row>
    <row r="2519">
      <c r="A2519" t="inlineStr">
        <is>
          <t xml:space="preserve">1005MFL29</t>
        </is>
      </c>
      <c r="B2519" t="inlineStr">
        <is>
          <t xml:space="preserve">MFL-10.05%-31-5-29-PVT</t>
        </is>
      </c>
      <c r="C2519" t="inlineStr">
        <is>
          <t xml:space="preserve">INE549K08426</t>
        </is>
      </c>
    </row>
    <row r="2520">
      <c r="A2520" t="inlineStr">
        <is>
          <t xml:space="preserve">1026MFL31</t>
        </is>
      </c>
      <c r="B2520" t="inlineStr">
        <is>
          <t xml:space="preserve">MFL-10.26%-18-7-31-PVT</t>
        </is>
      </c>
      <c r="C2520" t="inlineStr">
        <is>
          <t xml:space="preserve">INE549K08574</t>
        </is>
      </c>
    </row>
    <row r="2521">
      <c r="A2521" t="inlineStr">
        <is>
          <t xml:space="preserve">1040MFL33</t>
        </is>
      </c>
      <c r="B2521" t="inlineStr">
        <is>
          <t xml:space="preserve">MFL-10.40%-22-8-33-PVT</t>
        </is>
      </c>
      <c r="C2521" t="inlineStr">
        <is>
          <t xml:space="preserve">INE549K08541</t>
        </is>
      </c>
    </row>
    <row r="2522">
      <c r="A2522" t="inlineStr">
        <is>
          <t xml:space="preserve">1045MFL32</t>
        </is>
      </c>
      <c r="B2522" t="inlineStr">
        <is>
          <t xml:space="preserve">MFL-10.45%-24-12-32-PVT</t>
        </is>
      </c>
      <c r="C2522" t="inlineStr">
        <is>
          <t xml:space="preserve">INE549K08509</t>
        </is>
      </c>
    </row>
    <row r="2523">
      <c r="A2523" t="inlineStr">
        <is>
          <t xml:space="preserve">1125MFL27</t>
        </is>
      </c>
      <c r="B2523" t="inlineStr">
        <is>
          <t xml:space="preserve">MFL-11.25%-9-2-27-PVT</t>
        </is>
      </c>
      <c r="C2523" t="inlineStr">
        <is>
          <t xml:space="preserve">INE939X07192</t>
        </is>
      </c>
    </row>
    <row r="2524">
      <c r="A2524" t="inlineStr">
        <is>
          <t xml:space="preserve">MFL120226</t>
        </is>
      </c>
      <c r="B2524" t="inlineStr">
        <is>
          <t xml:space="preserve">MFL-12-2-28-NCD</t>
        </is>
      </c>
      <c r="C2524" t="inlineStr">
        <is>
          <t xml:space="preserve">INE549K07HP7</t>
        </is>
      </c>
    </row>
    <row r="2525">
      <c r="A2525" t="inlineStr">
        <is>
          <t xml:space="preserve">MFL120226A</t>
        </is>
      </c>
      <c r="B2525" t="inlineStr">
        <is>
          <t xml:space="preserve">MFL-12-2-29-NCD</t>
        </is>
      </c>
      <c r="C2525" t="inlineStr">
        <is>
          <t xml:space="preserve">INE549K07HO0</t>
        </is>
      </c>
    </row>
    <row r="2526">
      <c r="A2526" t="inlineStr">
        <is>
          <t xml:space="preserve">MFL120226C</t>
        </is>
      </c>
      <c r="B2526" t="inlineStr">
        <is>
          <t xml:space="preserve">MFL-12-2-32-NCD</t>
        </is>
      </c>
      <c r="C2526" t="inlineStr">
        <is>
          <t xml:space="preserve">INE549K07HM4</t>
        </is>
      </c>
    </row>
    <row r="2527">
      <c r="A2527" t="inlineStr">
        <is>
          <t xml:space="preserve">MFL12526B</t>
        </is>
      </c>
      <c r="B2527" t="inlineStr">
        <is>
          <t xml:space="preserve">MFL-12-5-32-NCD</t>
        </is>
      </c>
      <c r="C2527" t="inlineStr">
        <is>
          <t xml:space="preserve">INE549K07ID1</t>
        </is>
      </c>
    </row>
    <row r="2528">
      <c r="A2528" t="inlineStr">
        <is>
          <t xml:space="preserve">MFL26F</t>
        </is>
      </c>
      <c r="B2528" t="inlineStr">
        <is>
          <t xml:space="preserve">MFL-20-9-26-NCD</t>
        </is>
      </c>
      <c r="C2528" t="inlineStr">
        <is>
          <t xml:space="preserve">INE549K07CJ1</t>
        </is>
      </c>
    </row>
    <row r="2529">
      <c r="A2529" t="inlineStr">
        <is>
          <t xml:space="preserve">MFL070726</t>
        </is>
      </c>
      <c r="B2529" t="inlineStr">
        <is>
          <t xml:space="preserve">MFL-7-7-28-NCD</t>
        </is>
      </c>
      <c r="C2529" t="inlineStr">
        <is>
          <t xml:space="preserve">INE549K07IX9</t>
        </is>
      </c>
    </row>
    <row r="2530">
      <c r="A2530" t="inlineStr">
        <is>
          <t xml:space="preserve">MFL70726A</t>
        </is>
      </c>
      <c r="B2530" t="inlineStr">
        <is>
          <t xml:space="preserve">MFL-7-7-31-NCD</t>
        </is>
      </c>
      <c r="C2530" t="inlineStr">
        <is>
          <t xml:space="preserve">INE549K07IY7</t>
        </is>
      </c>
    </row>
    <row r="2531">
      <c r="A2531" t="inlineStr">
        <is>
          <t xml:space="preserve">MFL70726B</t>
        </is>
      </c>
      <c r="B2531" t="inlineStr">
        <is>
          <t xml:space="preserve">MFL-7-7-32-NCD</t>
        </is>
      </c>
      <c r="C2531" t="inlineStr">
        <is>
          <t xml:space="preserve">INE549K07IQ3</t>
        </is>
      </c>
    </row>
    <row r="2532">
      <c r="A2532" t="inlineStr">
        <is>
          <t xml:space="preserve">825MFL29</t>
        </is>
      </c>
      <c r="B2532" t="inlineStr">
        <is>
          <t xml:space="preserve">MFL-8.25%-25-1-29-NCD</t>
        </is>
      </c>
      <c r="C2532" t="inlineStr">
        <is>
          <t xml:space="preserve">INE414G07IT2</t>
        </is>
      </c>
    </row>
    <row r="2533">
      <c r="A2533" t="inlineStr">
        <is>
          <t xml:space="preserve">851MFL2028</t>
        </is>
      </c>
      <c r="B2533" t="inlineStr">
        <is>
          <t xml:space="preserve">MFL-8.51%-7-7-28-NCD</t>
        </is>
      </c>
      <c r="C2533" t="inlineStr">
        <is>
          <t xml:space="preserve">INE549K07IP5</t>
        </is>
      </c>
    </row>
    <row r="2534">
      <c r="A2534" t="inlineStr">
        <is>
          <t xml:space="preserve">852MFL29A</t>
        </is>
      </c>
      <c r="B2534" t="inlineStr">
        <is>
          <t xml:space="preserve">MFL-8.52%-25-3-29-NCD</t>
        </is>
      </c>
      <c r="C2534" t="inlineStr">
        <is>
          <t xml:space="preserve">INE549K07HS1</t>
        </is>
      </c>
    </row>
    <row r="2535">
      <c r="A2535" t="inlineStr">
        <is>
          <t xml:space="preserve">865MFL29</t>
        </is>
      </c>
      <c r="B2535" t="inlineStr">
        <is>
          <t xml:space="preserve">MFL-8.65%-12-5-29-NCD</t>
        </is>
      </c>
      <c r="C2535" t="inlineStr">
        <is>
          <t xml:space="preserve">INE549K07IF6</t>
        </is>
      </c>
    </row>
    <row r="2536">
      <c r="A2536" t="inlineStr">
        <is>
          <t xml:space="preserve">865MFL2029</t>
        </is>
      </c>
      <c r="B2536" t="inlineStr">
        <is>
          <t xml:space="preserve">MFL-8.65%-7-7-29-NCD</t>
        </is>
      </c>
      <c r="C2536" t="inlineStr">
        <is>
          <t xml:space="preserve">INE549K07JA5</t>
        </is>
      </c>
    </row>
    <row r="2537">
      <c r="A2537" t="inlineStr">
        <is>
          <t xml:space="preserve">87MFL28</t>
        </is>
      </c>
      <c r="B2537" t="inlineStr">
        <is>
          <t xml:space="preserve">MFL-8.7%-12-2-28-NCD</t>
        </is>
      </c>
      <c r="C2537" t="inlineStr">
        <is>
          <t xml:space="preserve">INE549K07HL6</t>
        </is>
      </c>
    </row>
    <row r="2538">
      <c r="A2538" t="inlineStr">
        <is>
          <t xml:space="preserve">879MFL2031</t>
        </is>
      </c>
      <c r="B2538" t="inlineStr">
        <is>
          <t xml:space="preserve">MFL-8.79%-7-7-31-NCD</t>
        </is>
      </c>
      <c r="C2538" t="inlineStr">
        <is>
          <t xml:space="preserve">INE549K07IR1</t>
        </is>
      </c>
    </row>
    <row r="2539">
      <c r="A2539" t="inlineStr">
        <is>
          <t xml:space="preserve">885MFL2028</t>
        </is>
      </c>
      <c r="B2539" t="inlineStr">
        <is>
          <t xml:space="preserve">MFL-8.85%-7-7-28-NCD</t>
        </is>
      </c>
      <c r="C2539" t="inlineStr">
        <is>
          <t xml:space="preserve">INE549K07IT7</t>
        </is>
      </c>
    </row>
    <row r="2540">
      <c r="A2540" t="inlineStr">
        <is>
          <t xml:space="preserve">888MFL2032</t>
        </is>
      </c>
      <c r="B2540" t="inlineStr">
        <is>
          <t xml:space="preserve">MFL-8.88%-7-7-32-NCD</t>
        </is>
      </c>
      <c r="C2540" t="inlineStr">
        <is>
          <t xml:space="preserve">INE549K07IS9</t>
        </is>
      </c>
    </row>
    <row r="2541">
      <c r="A2541" t="inlineStr">
        <is>
          <t xml:space="preserve">9MFL30</t>
        </is>
      </c>
      <c r="B2541" t="inlineStr">
        <is>
          <t xml:space="preserve">MFL-9%-2-2-30-NCD</t>
        </is>
      </c>
      <c r="C2541" t="inlineStr">
        <is>
          <t xml:space="preserve">INE549K07BD6</t>
        </is>
      </c>
    </row>
    <row r="2542">
      <c r="A2542" t="inlineStr">
        <is>
          <t xml:space="preserve">9MFL31A</t>
        </is>
      </c>
      <c r="B2542" t="inlineStr">
        <is>
          <t xml:space="preserve">MFL-9%-25-3-31-NCD</t>
        </is>
      </c>
      <c r="C2542" t="inlineStr">
        <is>
          <t xml:space="preserve">INE549K07HY9</t>
        </is>
      </c>
    </row>
    <row r="2543">
      <c r="A2543" t="inlineStr">
        <is>
          <t xml:space="preserve">9MFL2029</t>
        </is>
      </c>
      <c r="B2543" t="inlineStr">
        <is>
          <t xml:space="preserve">MFL-9%-7-7-29-NCD</t>
        </is>
      </c>
      <c r="C2543" t="inlineStr">
        <is>
          <t xml:space="preserve">INE549K07IU5</t>
        </is>
      </c>
    </row>
    <row r="2544">
      <c r="A2544" t="inlineStr">
        <is>
          <t xml:space="preserve">91MFL32</t>
        </is>
      </c>
      <c r="B2544" t="inlineStr">
        <is>
          <t xml:space="preserve">MFL-9.1%-12-2-32-NCD</t>
        </is>
      </c>
      <c r="C2544" t="inlineStr">
        <is>
          <t xml:space="preserve">INE549K07HI2</t>
        </is>
      </c>
    </row>
    <row r="2545">
      <c r="A2545" t="inlineStr">
        <is>
          <t xml:space="preserve">915MFL2031</t>
        </is>
      </c>
      <c r="B2545" t="inlineStr">
        <is>
          <t xml:space="preserve">MFL-9.15%-7-7-31-NCD</t>
        </is>
      </c>
      <c r="C2545" t="inlineStr">
        <is>
          <t xml:space="preserve">INE549K07IV3</t>
        </is>
      </c>
    </row>
    <row r="2546">
      <c r="A2546" t="inlineStr">
        <is>
          <t xml:space="preserve">925MFL32</t>
        </is>
      </c>
      <c r="B2546" t="inlineStr">
        <is>
          <t xml:space="preserve">MFL-9.25%-12-5-32-NCD</t>
        </is>
      </c>
      <c r="C2546" t="inlineStr">
        <is>
          <t xml:space="preserve">INE549K07IL4</t>
        </is>
      </c>
    </row>
    <row r="2547">
      <c r="A2547" t="inlineStr">
        <is>
          <t xml:space="preserve">925MFL2032</t>
        </is>
      </c>
      <c r="B2547" t="inlineStr">
        <is>
          <t xml:space="preserve">MFL-9.25%-7-7-32-NCD</t>
        </is>
      </c>
      <c r="C2547" t="inlineStr">
        <is>
          <t xml:space="preserve">INE549K07IW1</t>
        </is>
      </c>
    </row>
    <row r="2548">
      <c r="A2548" t="inlineStr">
        <is>
          <t xml:space="preserve">94MFL27B</t>
        </is>
      </c>
      <c r="B2548" t="inlineStr">
        <is>
          <t xml:space="preserve">MFL-9.4%-19-5-27-NCD</t>
        </is>
      </c>
      <c r="C2548" t="inlineStr">
        <is>
          <t xml:space="preserve">INE549K07GC7</t>
        </is>
      </c>
    </row>
    <row r="2549">
      <c r="A2549" t="inlineStr">
        <is>
          <t xml:space="preserve">944MFL28A</t>
        </is>
      </c>
      <c r="B2549" t="inlineStr">
        <is>
          <t xml:space="preserve">MFL-9.44%-20-9-28-NCD</t>
        </is>
      </c>
      <c r="C2549" t="inlineStr">
        <is>
          <t xml:space="preserve">INE549K07CL7</t>
        </is>
      </c>
    </row>
    <row r="2550">
      <c r="A2550" t="inlineStr">
        <is>
          <t xml:space="preserve">955MFL31</t>
        </is>
      </c>
      <c r="B2550" t="inlineStr">
        <is>
          <t xml:space="preserve">MFL-9.55%-19-5-31-NCD</t>
        </is>
      </c>
      <c r="C2550" t="inlineStr">
        <is>
          <t xml:space="preserve">INE549K07GD5</t>
        </is>
      </c>
    </row>
    <row r="2551">
      <c r="A2551" t="inlineStr">
        <is>
          <t xml:space="preserve">975MFL29</t>
        </is>
      </c>
      <c r="B2551" t="inlineStr">
        <is>
          <t xml:space="preserve">MFL-9.75%-29-1-29-NCD</t>
        </is>
      </c>
      <c r="C2551" t="inlineStr">
        <is>
          <t xml:space="preserve">INE549K08293</t>
        </is>
      </c>
    </row>
    <row r="2552">
      <c r="A2552" t="inlineStr">
        <is>
          <t xml:space="preserve">99MFL30</t>
        </is>
      </c>
      <c r="B2552" t="inlineStr">
        <is>
          <t xml:space="preserve">MFL-9.9%-17-5-30-NCD</t>
        </is>
      </c>
      <c r="C2552" t="inlineStr">
        <is>
          <t xml:space="preserve">INE549K07GF0</t>
        </is>
      </c>
    </row>
    <row r="2553">
      <c r="A2553" t="inlineStr">
        <is>
          <t xml:space="preserve">MFLVI31F</t>
        </is>
      </c>
      <c r="B2553" t="inlineStr">
        <is>
          <t xml:space="preserve">MFL-VI-20-4-31-NCD</t>
        </is>
      </c>
      <c r="C2553" t="inlineStr">
        <is>
          <t xml:space="preserve">INE414G07FV4</t>
        </is>
      </c>
    </row>
    <row r="2554">
      <c r="A2554" t="inlineStr">
        <is>
          <t xml:space="preserve">MFL10125C</t>
        </is>
      </c>
      <c r="B2554" t="inlineStr">
        <is>
          <t xml:space="preserve">MFLIII-10-9-32-NCD</t>
        </is>
      </c>
      <c r="C2554" t="inlineStr">
        <is>
          <t xml:space="preserve">INE549K07FI6</t>
        </is>
      </c>
    </row>
    <row r="2555">
      <c r="A2555" t="inlineStr">
        <is>
          <t xml:space="preserve">9MFLIV27</t>
        </is>
      </c>
      <c r="B2555" t="inlineStr">
        <is>
          <t xml:space="preserve">MFLIV-9%-24-2-27-NCD</t>
        </is>
      </c>
      <c r="C2555" t="inlineStr">
        <is>
          <t xml:space="preserve">INE549K07FM8</t>
        </is>
      </c>
    </row>
    <row r="2556">
      <c r="A2556" t="inlineStr">
        <is>
          <t xml:space="preserve">775MFLTD26</t>
        </is>
      </c>
      <c r="B2556" t="inlineStr">
        <is>
          <t xml:space="preserve">MFLTD-7.75%-4-10-26-NCD</t>
        </is>
      </c>
      <c r="C2556" t="inlineStr">
        <is>
          <t xml:space="preserve">INE414G07IK1</t>
        </is>
      </c>
    </row>
    <row r="2557">
      <c r="A2557" t="inlineStr">
        <is>
          <t xml:space="preserve">775MFLTD28</t>
        </is>
      </c>
      <c r="B2557" t="inlineStr">
        <is>
          <t xml:space="preserve">MFLTD-7.75%-4-10-28-NCD</t>
        </is>
      </c>
      <c r="C2557" t="inlineStr">
        <is>
          <t xml:space="preserve">INE414G07IL9</t>
        </is>
      </c>
    </row>
    <row r="2558">
      <c r="A2558" t="inlineStr">
        <is>
          <t xml:space="preserve">MFSINTRCRP</t>
        </is>
      </c>
      <c r="B2558" t="inlineStr">
        <is>
          <t xml:space="preserve">MFS INTERCORP LTD.</t>
        </is>
      </c>
      <c r="C2558" t="inlineStr">
        <is>
          <t xml:space="preserve">INE614F01019</t>
        </is>
      </c>
    </row>
    <row r="2559">
      <c r="A2559" t="inlineStr">
        <is>
          <t xml:space="preserve">89MFSL27</t>
        </is>
      </c>
      <c r="B2559" t="inlineStr">
        <is>
          <t xml:space="preserve">MFSL-8.9%-28-11-27-PVT</t>
        </is>
      </c>
      <c r="C2559" t="inlineStr">
        <is>
          <t xml:space="preserve">INE348L07340</t>
        </is>
      </c>
    </row>
    <row r="2560">
      <c r="A2560" t="inlineStr">
        <is>
          <t xml:space="preserve">1440MFSP27</t>
        </is>
      </c>
      <c r="B2560" t="inlineStr">
        <is>
          <t xml:space="preserve">MFSP-14.40%-1-10-27-PVT</t>
        </is>
      </c>
      <c r="C2560" t="inlineStr">
        <is>
          <t xml:space="preserve">INE0I5X07042</t>
        </is>
      </c>
    </row>
    <row r="2561">
      <c r="A2561" t="inlineStr">
        <is>
          <t xml:space="preserve">11MGFLD27</t>
        </is>
      </c>
      <c r="B2561" t="inlineStr">
        <is>
          <t xml:space="preserve">MGFLD-11%-29-8-27-PVT</t>
        </is>
      </c>
      <c r="C2561" t="inlineStr">
        <is>
          <t xml:space="preserve">INE08KJ07175</t>
        </is>
      </c>
    </row>
    <row r="2562">
      <c r="A2562" t="inlineStr">
        <is>
          <t xml:space="preserve">MHFLZC26</t>
        </is>
      </c>
      <c r="B2562" t="inlineStr">
        <is>
          <t xml:space="preserve">MHFL-ZC-7-9-26-NCD</t>
        </is>
      </c>
      <c r="C2562" t="inlineStr">
        <is>
          <t xml:space="preserve">INE360T07082</t>
        </is>
      </c>
    </row>
    <row r="2563">
      <c r="A2563" t="inlineStr">
        <is>
          <t xml:space="preserve">MICEL</t>
        </is>
      </c>
      <c r="B2563" t="inlineStr">
        <is>
          <t xml:space="preserve">MIC ELECTRONICS LTD.</t>
        </is>
      </c>
      <c r="C2563" t="inlineStr">
        <is>
          <t xml:space="preserve">INE287C01037</t>
        </is>
      </c>
    </row>
    <row r="2564">
      <c r="A2564" t="inlineStr">
        <is>
          <t xml:space="preserve">MIDEASTP</t>
        </is>
      </c>
      <c r="B2564" t="inlineStr">
        <is>
          <t xml:space="preserve">MID EAST PORTFOLIO MANAGEMENT</t>
        </is>
      </c>
      <c r="C2564" t="inlineStr">
        <is>
          <t xml:space="preserve">INE033E01015</t>
        </is>
      </c>
    </row>
    <row r="2565">
      <c r="A2565" t="inlineStr">
        <is>
          <t xml:space="preserve">MIDINDIA</t>
        </is>
      </c>
      <c r="B2565" t="inlineStr">
        <is>
          <t xml:space="preserve">MID INDIA INDUSTRIES LTD.</t>
        </is>
      </c>
      <c r="C2565" t="inlineStr">
        <is>
          <t xml:space="preserve">INE401C01018</t>
        </is>
      </c>
    </row>
    <row r="2566">
      <c r="A2566" t="inlineStr">
        <is>
          <t xml:space="preserve">REMAGNET</t>
        </is>
      </c>
      <c r="B2566" t="inlineStr">
        <is>
          <t xml:space="preserve">MIDWEST ENERGY LIMITED</t>
        </is>
      </c>
      <c r="C2566" t="inlineStr">
        <is>
          <t xml:space="preserve">INE519N01014</t>
        </is>
      </c>
    </row>
    <row r="2567">
      <c r="A2567" t="inlineStr">
        <is>
          <t xml:space="preserve">MIDWESTLTD</t>
        </is>
      </c>
      <c r="B2567" t="inlineStr">
        <is>
          <t xml:space="preserve">Midwest Limited</t>
        </is>
      </c>
      <c r="C2567" t="inlineStr">
        <is>
          <t xml:space="preserve">INE0XAD01024</t>
        </is>
      </c>
    </row>
    <row r="2568">
      <c r="A2568" t="inlineStr">
        <is>
          <t xml:space="preserve">MIHIKA</t>
        </is>
      </c>
      <c r="B2568" t="inlineStr">
        <is>
          <t xml:space="preserve">Mihika Industries Ltd.</t>
        </is>
      </c>
      <c r="C2568" t="inlineStr">
        <is>
          <t xml:space="preserve">INE779Q01017</t>
        </is>
      </c>
    </row>
    <row r="2569">
      <c r="A2569" t="inlineStr">
        <is>
          <t xml:space="preserve">MILESTONE</t>
        </is>
      </c>
      <c r="B2569" t="inlineStr">
        <is>
          <t xml:space="preserve">MILESTONE GLOBAL LTD.</t>
        </is>
      </c>
      <c r="C2569" t="inlineStr">
        <is>
          <t xml:space="preserve">INE151H01018</t>
        </is>
      </c>
    </row>
    <row r="2570">
      <c r="A2570" t="inlineStr">
        <is>
          <t xml:space="preserve">ZMILGFIN</t>
        </is>
      </c>
      <c r="B2570" t="inlineStr">
        <is>
          <t xml:space="preserve">MILGREY FINANCE &amp; INVESTMENT L</t>
        </is>
      </c>
      <c r="C2570" t="inlineStr">
        <is>
          <t xml:space="preserve">INE679T01013</t>
        </is>
      </c>
    </row>
    <row r="2571">
      <c r="A2571" t="inlineStr">
        <is>
          <t xml:space="preserve">MLKFOOD</t>
        </is>
      </c>
      <c r="B2571" t="inlineStr">
        <is>
          <t xml:space="preserve">MILKFOOD LTD.</t>
        </is>
      </c>
      <c r="C2571" t="inlineStr">
        <is>
          <t xml:space="preserve">INE588G01021</t>
        </is>
      </c>
    </row>
    <row r="2572">
      <c r="A2572" t="inlineStr">
        <is>
          <t xml:space="preserve">MILLENNIUM</t>
        </is>
      </c>
      <c r="B2572" t="inlineStr">
        <is>
          <t xml:space="preserve">Millennium Online Solutions (I</t>
        </is>
      </c>
      <c r="C2572" t="inlineStr">
        <is>
          <t xml:space="preserve">INE570N01025</t>
        </is>
      </c>
    </row>
    <row r="2573">
      <c r="A2573" t="inlineStr">
        <is>
          <t xml:space="preserve">MINALIND</t>
        </is>
      </c>
      <c r="B2573" t="inlineStr">
        <is>
          <t xml:space="preserve">MINAL INDUSTRIES LIMITED</t>
        </is>
      </c>
      <c r="C2573" t="inlineStr">
        <is>
          <t xml:space="preserve">INE097E01028</t>
        </is>
      </c>
    </row>
    <row r="2574">
      <c r="A2574" t="inlineStr">
        <is>
          <t xml:space="preserve">MINAXI</t>
        </is>
      </c>
      <c r="B2574" t="inlineStr">
        <is>
          <t xml:space="preserve">MINAXI TEXTILES LTD.</t>
        </is>
      </c>
      <c r="C2574" t="inlineStr">
        <is>
          <t xml:space="preserve">INE952C01028</t>
        </is>
      </c>
    </row>
    <row r="2575">
      <c r="A2575" t="inlineStr">
        <is>
          <t xml:space="preserve">MINDACORP</t>
        </is>
      </c>
      <c r="B2575" t="inlineStr">
        <is>
          <t xml:space="preserve">Minda Corporation Limited</t>
        </is>
      </c>
      <c r="C2575" t="inlineStr">
        <is>
          <t xml:space="preserve">INE842C01021</t>
        </is>
      </c>
    </row>
    <row r="2576">
      <c r="A2576" t="inlineStr">
        <is>
          <t xml:space="preserve">MINDSPACE</t>
        </is>
      </c>
      <c r="B2576" t="inlineStr">
        <is>
          <t xml:space="preserve">Mindspace Business Parks REIT</t>
        </is>
      </c>
      <c r="C2576" t="inlineStr">
        <is>
          <t xml:space="preserve">INE0CCU25019</t>
        </is>
      </c>
    </row>
    <row r="2577">
      <c r="A2577" t="inlineStr">
        <is>
          <t xml:space="preserve">MINDTECK</t>
        </is>
      </c>
      <c r="B2577" t="inlineStr">
        <is>
          <t xml:space="preserve">MINDTECK (INDIA) LTD.</t>
        </is>
      </c>
      <c r="C2577" t="inlineStr">
        <is>
          <t xml:space="preserve">INE110B01017</t>
        </is>
      </c>
    </row>
    <row r="2578">
      <c r="A2578" t="inlineStr">
        <is>
          <t xml:space="preserve">MINID</t>
        </is>
      </c>
      <c r="B2578" t="inlineStr">
        <is>
          <t xml:space="preserve">MINI DIAMONDS (INDIA) LTD.</t>
        </is>
      </c>
      <c r="C2578" t="inlineStr">
        <is>
          <t xml:space="preserve">INE281E01028</t>
        </is>
      </c>
    </row>
    <row r="2579">
      <c r="A2579" t="inlineStr">
        <is>
          <t xml:space="preserve">MINOLTAF</t>
        </is>
      </c>
      <c r="B2579" t="inlineStr">
        <is>
          <t xml:space="preserve">MINOLTA FINANCE LTD.</t>
        </is>
      </c>
      <c r="C2579" t="inlineStr">
        <is>
          <t xml:space="preserve">INE514C01026</t>
        </is>
      </c>
    </row>
    <row r="2580">
      <c r="A2580" t="inlineStr">
        <is>
          <t xml:space="preserve">MIRZAINT</t>
        </is>
      </c>
      <c r="B2580" t="inlineStr">
        <is>
          <t xml:space="preserve">MIRZA INTERNATIONAL LTD.</t>
        </is>
      </c>
      <c r="C2580" t="inlineStr">
        <is>
          <t xml:space="preserve">INE771A01026</t>
        </is>
      </c>
    </row>
    <row r="2581">
      <c r="A2581" t="inlineStr">
        <is>
          <t xml:space="preserve">MISHKA</t>
        </is>
      </c>
      <c r="B2581" t="inlineStr">
        <is>
          <t xml:space="preserve">Mishka Exim Limited</t>
        </is>
      </c>
      <c r="C2581" t="inlineStr">
        <is>
          <t xml:space="preserve">INE540S01019</t>
        </is>
      </c>
    </row>
    <row r="2582">
      <c r="A2582" t="inlineStr">
        <is>
          <t xml:space="preserve">MIDHANI</t>
        </is>
      </c>
      <c r="B2582" t="inlineStr">
        <is>
          <t xml:space="preserve">Mishra Dhatu Nigam Limited</t>
        </is>
      </c>
      <c r="C2582" t="inlineStr">
        <is>
          <t xml:space="preserve">INE099Z01011</t>
        </is>
      </c>
    </row>
    <row r="2583">
      <c r="A2583" t="inlineStr">
        <is>
          <t xml:space="preserve">MISHTANN</t>
        </is>
      </c>
      <c r="B2583" t="inlineStr">
        <is>
          <t xml:space="preserve">Mishtann Foods Limited</t>
        </is>
      </c>
      <c r="C2583" t="inlineStr">
        <is>
          <t xml:space="preserve">INE094S01041</t>
        </is>
      </c>
    </row>
    <row r="2584">
      <c r="A2584" t="inlineStr">
        <is>
          <t xml:space="preserve">MITSHI</t>
        </is>
      </c>
      <c r="B2584" t="inlineStr">
        <is>
          <t xml:space="preserve">Mitshi India Limited</t>
        </is>
      </c>
      <c r="C2584" t="inlineStr">
        <is>
          <t xml:space="preserve">INE844D01017</t>
        </is>
      </c>
    </row>
    <row r="2585">
      <c r="A2585" t="inlineStr">
        <is>
          <t xml:space="preserve">MITSU</t>
        </is>
      </c>
      <c r="B2585" t="inlineStr">
        <is>
          <t xml:space="preserve">Mitsu Chem Plast Limited</t>
        </is>
      </c>
      <c r="C2585" t="inlineStr">
        <is>
          <t xml:space="preserve">INE317V01016</t>
        </is>
      </c>
    </row>
    <row r="2586">
      <c r="A2586" t="inlineStr">
        <is>
          <t xml:space="preserve">MITTALSTL</t>
        </is>
      </c>
      <c r="B2586" t="inlineStr">
        <is>
          <t xml:space="preserve">Mittal Sections Limited</t>
        </is>
      </c>
      <c r="C2586" t="inlineStr">
        <is>
          <t xml:space="preserve">INE833Q01012</t>
        </is>
      </c>
    </row>
    <row r="2587">
      <c r="A2587" t="inlineStr">
        <is>
          <t xml:space="preserve">MIZVEN</t>
        </is>
      </c>
      <c r="B2587" t="inlineStr">
        <is>
          <t xml:space="preserve">MIZZEN VENTURES LIMITED</t>
        </is>
      </c>
      <c r="C2587" t="inlineStr">
        <is>
          <t xml:space="preserve">INE681K01026</t>
        </is>
      </c>
    </row>
    <row r="2588">
      <c r="A2588" t="inlineStr">
        <is>
          <t xml:space="preserve">MKPMOB</t>
        </is>
      </c>
      <c r="B2588" t="inlineStr">
        <is>
          <t xml:space="preserve">MKP Mobility Limited</t>
        </is>
      </c>
      <c r="C2588" t="inlineStr">
        <is>
          <t xml:space="preserve">INE676G01024</t>
        </is>
      </c>
    </row>
    <row r="2589">
      <c r="A2589" t="inlineStr">
        <is>
          <t xml:space="preserve">MKVENTURES</t>
        </is>
      </c>
      <c r="B2589" t="inlineStr">
        <is>
          <t xml:space="preserve">MKVENTURES CAPITAL LIMITED</t>
        </is>
      </c>
      <c r="C2589" t="inlineStr">
        <is>
          <t xml:space="preserve">INE874A01010</t>
        </is>
      </c>
    </row>
    <row r="2590">
      <c r="A2590" t="inlineStr">
        <is>
          <t xml:space="preserve">MMRUBBR-B</t>
        </is>
      </c>
      <c r="B2590" t="inlineStr">
        <is>
          <t xml:space="preserve">MM RUBBER COMPANY LTD.</t>
        </is>
      </c>
      <c r="C2590" t="inlineStr">
        <is>
          <t xml:space="preserve">INE159E01026</t>
        </is>
      </c>
    </row>
    <row r="2591">
      <c r="A2591" t="inlineStr">
        <is>
          <t xml:space="preserve">805MMFSL32</t>
        </is>
      </c>
      <c r="B2591" t="inlineStr">
        <is>
          <t xml:space="preserve">MMFSL-8.05%-24-07-32-NCD</t>
        </is>
      </c>
      <c r="C2591" t="inlineStr">
        <is>
          <t xml:space="preserve">INE774D08MM1</t>
        </is>
      </c>
    </row>
    <row r="2592">
      <c r="A2592" t="inlineStr">
        <is>
          <t xml:space="preserve">93MMFSL27</t>
        </is>
      </c>
      <c r="B2592" t="inlineStr">
        <is>
          <t xml:space="preserve">MMFSL-9.3%-18-1-27-NCD</t>
        </is>
      </c>
      <c r="C2592" t="inlineStr">
        <is>
          <t xml:space="preserve">INE774D07SW9</t>
        </is>
      </c>
    </row>
    <row r="2593">
      <c r="A2593" t="inlineStr">
        <is>
          <t xml:space="preserve">1025MML28</t>
        </is>
      </c>
      <c r="B2593" t="inlineStr">
        <is>
          <t xml:space="preserve">MML-10.25%-30-7-28-NCD</t>
        </is>
      </c>
      <c r="C2593" t="inlineStr">
        <is>
          <t xml:space="preserve">INE05F407DJ5</t>
        </is>
      </c>
    </row>
    <row r="2594">
      <c r="A2594" t="inlineStr">
        <is>
          <t xml:space="preserve">1050MML30</t>
        </is>
      </c>
      <c r="B2594" t="inlineStr">
        <is>
          <t xml:space="preserve">MML-10.50%-12-5-30-NCD</t>
        </is>
      </c>
      <c r="C2594" t="inlineStr">
        <is>
          <t xml:space="preserve">INE101Q07BG6</t>
        </is>
      </c>
    </row>
    <row r="2595">
      <c r="A2595" t="inlineStr">
        <is>
          <t xml:space="preserve">1075MML027</t>
        </is>
      </c>
      <c r="B2595" t="inlineStr">
        <is>
          <t xml:space="preserve">MML-10.75%-27-5-27-PVT</t>
        </is>
      </c>
      <c r="C2595" t="inlineStr">
        <is>
          <t xml:space="preserve">INE884Q07764</t>
        </is>
      </c>
    </row>
    <row r="2596">
      <c r="A2596" t="inlineStr">
        <is>
          <t xml:space="preserve">1150MML29</t>
        </is>
      </c>
      <c r="B2596" t="inlineStr">
        <is>
          <t xml:space="preserve">MML-11.50%-11-9-29-NCD</t>
        </is>
      </c>
      <c r="C2596" t="inlineStr">
        <is>
          <t xml:space="preserve">INE05F407CO7</t>
        </is>
      </c>
    </row>
    <row r="2597">
      <c r="A2597" t="inlineStr">
        <is>
          <t xml:space="preserve">1170MML27</t>
        </is>
      </c>
      <c r="B2597" t="inlineStr">
        <is>
          <t xml:space="preserve">MML-11.70%-30-06-27-PVT</t>
        </is>
      </c>
      <c r="C2597" t="inlineStr">
        <is>
          <t xml:space="preserve">INE884Q07822</t>
        </is>
      </c>
    </row>
    <row r="2598">
      <c r="A2598" t="inlineStr">
        <is>
          <t xml:space="preserve">MML120626A</t>
        </is>
      </c>
      <c r="B2598" t="inlineStr">
        <is>
          <t xml:space="preserve">MML-12-6-28-NCD</t>
        </is>
      </c>
      <c r="C2598" t="inlineStr">
        <is>
          <t xml:space="preserve">INE05F407DZ1</t>
        </is>
      </c>
    </row>
    <row r="2599">
      <c r="A2599" t="inlineStr">
        <is>
          <t xml:space="preserve">MML191225D</t>
        </is>
      </c>
      <c r="B2599" t="inlineStr">
        <is>
          <t xml:space="preserve">MML-19-3-32-NCD</t>
        </is>
      </c>
      <c r="C2599" t="inlineStr">
        <is>
          <t xml:space="preserve">INE05F407DU2</t>
        </is>
      </c>
    </row>
    <row r="2600">
      <c r="A2600" t="inlineStr">
        <is>
          <t xml:space="preserve">MML21425A</t>
        </is>
      </c>
      <c r="B2600" t="inlineStr">
        <is>
          <t xml:space="preserve">MML-20-05-31-NCD</t>
        </is>
      </c>
      <c r="C2600" t="inlineStr">
        <is>
          <t xml:space="preserve">INE05F407DE6</t>
        </is>
      </c>
    </row>
    <row r="2601">
      <c r="A2601" t="inlineStr">
        <is>
          <t xml:space="preserve">MML191225</t>
        </is>
      </c>
      <c r="B2601" t="inlineStr">
        <is>
          <t xml:space="preserve">MML-23-1-27-NCD</t>
        </is>
      </c>
      <c r="C2601" t="inlineStr">
        <is>
          <t xml:space="preserve">INE05F407DM9</t>
        </is>
      </c>
    </row>
    <row r="2602">
      <c r="A2602" t="inlineStr">
        <is>
          <t xml:space="preserve">MML31725B</t>
        </is>
      </c>
      <c r="B2602" t="inlineStr">
        <is>
          <t xml:space="preserve">MML-29-10-31-NCD</t>
        </is>
      </c>
      <c r="C2602" t="inlineStr">
        <is>
          <t xml:space="preserve">INE05F407DL1</t>
        </is>
      </c>
    </row>
    <row r="2603">
      <c r="A2603" t="inlineStr">
        <is>
          <t xml:space="preserve">925MML27</t>
        </is>
      </c>
      <c r="B2603" t="inlineStr">
        <is>
          <t xml:space="preserve">MML-9.25%-29-8-27-NCD</t>
        </is>
      </c>
      <c r="C2603" t="inlineStr">
        <is>
          <t xml:space="preserve">INE101Q07BL6</t>
        </is>
      </c>
    </row>
    <row r="2604">
      <c r="A2604" t="inlineStr">
        <is>
          <t xml:space="preserve">930MMCL28</t>
        </is>
      </c>
      <c r="B2604" t="inlineStr">
        <is>
          <t xml:space="preserve">MML-9.30%-17-06-28-PVT</t>
        </is>
      </c>
      <c r="C2604" t="inlineStr">
        <is>
          <t xml:space="preserve">INE101Q07BX1</t>
        </is>
      </c>
    </row>
    <row r="2605">
      <c r="A2605" t="inlineStr">
        <is>
          <t xml:space="preserve">930MML2028</t>
        </is>
      </c>
      <c r="B2605" t="inlineStr">
        <is>
          <t xml:space="preserve">MML-9.30%-20-11-28-PVT</t>
        </is>
      </c>
      <c r="C2605" t="inlineStr">
        <is>
          <t xml:space="preserve">INE101Q07CA7</t>
        </is>
      </c>
    </row>
    <row r="2606">
      <c r="A2606" t="inlineStr">
        <is>
          <t xml:space="preserve">930MML28</t>
        </is>
      </c>
      <c r="B2606" t="inlineStr">
        <is>
          <t xml:space="preserve">MML-9.30%-27-1-28-PVT</t>
        </is>
      </c>
      <c r="C2606" t="inlineStr">
        <is>
          <t xml:space="preserve">INE101Q07BS1</t>
        </is>
      </c>
    </row>
    <row r="2607">
      <c r="A2607" t="inlineStr">
        <is>
          <t xml:space="preserve">965MMCL28</t>
        </is>
      </c>
      <c r="B2607" t="inlineStr">
        <is>
          <t xml:space="preserve">MML-9.65%-18-09-28-PVT</t>
        </is>
      </c>
      <c r="C2607" t="inlineStr">
        <is>
          <t xml:space="preserve">INE101Q07BW3</t>
        </is>
      </c>
    </row>
    <row r="2608">
      <c r="A2608" t="inlineStr">
        <is>
          <t xml:space="preserve">965MML28</t>
        </is>
      </c>
      <c r="B2608" t="inlineStr">
        <is>
          <t xml:space="preserve">MML-9.65%-25-8-28-PVT</t>
        </is>
      </c>
      <c r="C2608" t="inlineStr">
        <is>
          <t xml:space="preserve">INE101Q07BZ6</t>
        </is>
      </c>
    </row>
    <row r="2609">
      <c r="A2609" t="inlineStr">
        <is>
          <t xml:space="preserve">975MML27A</t>
        </is>
      </c>
      <c r="B2609" t="inlineStr">
        <is>
          <t xml:space="preserve">MML-9.75%-12-6-27-PVT</t>
        </is>
      </c>
      <c r="C2609" t="inlineStr">
        <is>
          <t xml:space="preserve">INE101Q07BH4</t>
        </is>
      </c>
    </row>
    <row r="2610">
      <c r="A2610" t="inlineStr">
        <is>
          <t xml:space="preserve">975MMLD28</t>
        </is>
      </c>
      <c r="B2610" t="inlineStr">
        <is>
          <t xml:space="preserve">MML-9.75%-27-10-28-PVT</t>
        </is>
      </c>
      <c r="C2610" t="inlineStr">
        <is>
          <t xml:space="preserve">INE101Q07BR3</t>
        </is>
      </c>
    </row>
    <row r="2611">
      <c r="A2611" t="inlineStr">
        <is>
          <t xml:space="preserve">98MML27A</t>
        </is>
      </c>
      <c r="B2611" t="inlineStr">
        <is>
          <t xml:space="preserve">MML-9.8%-4-11-27-PVT</t>
        </is>
      </c>
      <c r="C2611" t="inlineStr">
        <is>
          <t xml:space="preserve">INE046W07305</t>
        </is>
      </c>
    </row>
    <row r="2612">
      <c r="A2612" t="inlineStr">
        <is>
          <t xml:space="preserve">985MML27</t>
        </is>
      </c>
      <c r="B2612" t="inlineStr">
        <is>
          <t xml:space="preserve">MML-9.85%-16-12-27-PVT</t>
        </is>
      </c>
      <c r="C2612" t="inlineStr">
        <is>
          <t xml:space="preserve">INE046W07347</t>
        </is>
      </c>
    </row>
    <row r="2613">
      <c r="A2613" t="inlineStr">
        <is>
          <t xml:space="preserve">99MML27</t>
        </is>
      </c>
      <c r="B2613" t="inlineStr">
        <is>
          <t xml:space="preserve">MML-9.9%-4-11-27-PVT</t>
        </is>
      </c>
      <c r="C2613" t="inlineStr">
        <is>
          <t xml:space="preserve">INE046W07313</t>
        </is>
      </c>
    </row>
    <row r="2614">
      <c r="A2614" t="inlineStr">
        <is>
          <t xml:space="preserve">MMTC</t>
        </is>
      </c>
      <c r="B2614" t="inlineStr">
        <is>
          <t xml:space="preserve">MMTC LTD.</t>
        </is>
      </c>
      <c r="C2614" t="inlineStr">
        <is>
          <t xml:space="preserve">INE123F01029</t>
        </is>
      </c>
    </row>
    <row r="2615">
      <c r="A2615" t="inlineStr">
        <is>
          <t xml:space="preserve">MOBAVENUE</t>
        </is>
      </c>
      <c r="B2615" t="inlineStr">
        <is>
          <t xml:space="preserve">Mobavenue AI Tech Limited</t>
        </is>
      </c>
      <c r="C2615" t="inlineStr">
        <is>
          <t xml:space="preserve">INE622Q01027</t>
        </is>
      </c>
    </row>
    <row r="2616">
      <c r="A2616" t="inlineStr">
        <is>
          <t xml:space="preserve">MODWOOL</t>
        </is>
      </c>
      <c r="B2616" t="inlineStr">
        <is>
          <t xml:space="preserve">MODELLA WOOLLENS LTD.</t>
        </is>
      </c>
      <c r="C2616" t="inlineStr">
        <is>
          <t xml:space="preserve">INE380D01012</t>
        </is>
      </c>
    </row>
    <row r="2617">
      <c r="A2617" t="inlineStr">
        <is>
          <t xml:space="preserve">MODAIRY</t>
        </is>
      </c>
      <c r="B2617" t="inlineStr">
        <is>
          <t xml:space="preserve">MODERN DAIRIES LTD.</t>
        </is>
      </c>
      <c r="C2617" t="inlineStr">
        <is>
          <t xml:space="preserve">INE617B01011</t>
        </is>
      </c>
    </row>
    <row r="2618">
      <c r="A2618" t="inlineStr">
        <is>
          <t xml:space="preserve">MDRC</t>
        </is>
      </c>
      <c r="B2618" t="inlineStr">
        <is>
          <t xml:space="preserve">MODERN DIAGNOSTIC &amp; RESEARCH C</t>
        </is>
      </c>
      <c r="C2618" t="inlineStr">
        <is>
          <t xml:space="preserve">INE1HK501016</t>
        </is>
      </c>
    </row>
    <row r="2619">
      <c r="A2619" t="inlineStr">
        <is>
          <t xml:space="preserve">MEAPL</t>
        </is>
      </c>
      <c r="B2619" t="inlineStr">
        <is>
          <t xml:space="preserve">MODERN ENGINEERING AND PROJECT</t>
        </is>
      </c>
      <c r="C2619" t="inlineStr">
        <is>
          <t xml:space="preserve">INE250S01015</t>
        </is>
      </c>
    </row>
    <row r="2620">
      <c r="A2620" t="inlineStr">
        <is>
          <t xml:space="preserve">MODINSU</t>
        </is>
      </c>
      <c r="B2620" t="inlineStr">
        <is>
          <t xml:space="preserve">MODERN INSULATORS LTD.</t>
        </is>
      </c>
      <c r="C2620" t="inlineStr">
        <is>
          <t xml:space="preserve">INE219W01012</t>
        </is>
      </c>
    </row>
    <row r="2621">
      <c r="A2621" t="inlineStr">
        <is>
          <t xml:space="preserve">MODMA</t>
        </is>
      </c>
      <c r="B2621" t="inlineStr">
        <is>
          <t xml:space="preserve">MODERN MALLEABLES LTD.</t>
        </is>
      </c>
      <c r="C2621" t="inlineStr">
        <is>
          <t xml:space="preserve">INE834C01028</t>
        </is>
      </c>
    </row>
    <row r="2622">
      <c r="A2622" t="inlineStr">
        <is>
          <t xml:space="preserve">MODRNSH</t>
        </is>
      </c>
      <c r="B2622" t="inlineStr">
        <is>
          <t xml:space="preserve">MODERN SHARES &amp; STOCKBROKERS L</t>
        </is>
      </c>
      <c r="C2622" t="inlineStr">
        <is>
          <t xml:space="preserve">INE370A01019</t>
        </is>
      </c>
    </row>
    <row r="2623">
      <c r="A2623" t="inlineStr">
        <is>
          <t xml:space="preserve">MDRNSTL</t>
        </is>
      </c>
      <c r="B2623" t="inlineStr">
        <is>
          <t xml:space="preserve">MODERN STEELS LTD.</t>
        </is>
      </c>
      <c r="C2623" t="inlineStr">
        <is>
          <t xml:space="preserve">INE001F01019</t>
        </is>
      </c>
    </row>
    <row r="2624">
      <c r="A2624" t="inlineStr">
        <is>
          <t xml:space="preserve">MODINATUR</t>
        </is>
      </c>
      <c r="B2624" t="inlineStr">
        <is>
          <t xml:space="preserve">MODI NATURALS LIMITED</t>
        </is>
      </c>
      <c r="C2624" t="inlineStr">
        <is>
          <t xml:space="preserve">INE537F01012</t>
        </is>
      </c>
    </row>
    <row r="2625">
      <c r="A2625" t="inlineStr">
        <is>
          <t xml:space="preserve">MODIRUBBER</t>
        </is>
      </c>
      <c r="B2625" t="inlineStr">
        <is>
          <t xml:space="preserve">MODI RUBBER LTD.</t>
        </is>
      </c>
      <c r="C2625" t="inlineStr">
        <is>
          <t xml:space="preserve">INE832A01018</t>
        </is>
      </c>
    </row>
    <row r="2626">
      <c r="A2626" t="inlineStr">
        <is>
          <t xml:space="preserve">MODIS</t>
        </is>
      </c>
      <c r="B2626" t="inlineStr">
        <is>
          <t xml:space="preserve">MODI'S NAVNIRMAN LIMITED</t>
        </is>
      </c>
      <c r="C2626" t="inlineStr">
        <is>
          <t xml:space="preserve">INE0L0L01012</t>
        </is>
      </c>
    </row>
    <row r="2627">
      <c r="A2627" t="inlineStr">
        <is>
          <t xml:space="preserve">MODIPON</t>
        </is>
      </c>
      <c r="B2627" t="inlineStr">
        <is>
          <t xml:space="preserve">MODIPON LTD.</t>
        </is>
      </c>
      <c r="C2627" t="inlineStr">
        <is>
          <t xml:space="preserve">INE170C01019</t>
        </is>
      </c>
    </row>
    <row r="2628">
      <c r="A2628" t="inlineStr">
        <is>
          <t xml:space="preserve">MODISONLTD</t>
        </is>
      </c>
      <c r="B2628" t="inlineStr">
        <is>
          <t xml:space="preserve">MODISON LIMITED</t>
        </is>
      </c>
      <c r="C2628" t="inlineStr">
        <is>
          <t xml:space="preserve">INE737D01021</t>
        </is>
      </c>
    </row>
    <row r="2629">
      <c r="A2629" t="inlineStr">
        <is>
          <t xml:space="preserve">MODULEX</t>
        </is>
      </c>
      <c r="B2629" t="inlineStr">
        <is>
          <t xml:space="preserve">MODULEX CONSTRUCTION TECHNOLOG</t>
        </is>
      </c>
      <c r="C2629" t="inlineStr">
        <is>
          <t xml:space="preserve">INE064R01012</t>
        </is>
      </c>
    </row>
    <row r="2630">
      <c r="A2630" t="inlineStr">
        <is>
          <t xml:space="preserve">93MOFSL34</t>
        </is>
      </c>
      <c r="B2630" t="inlineStr">
        <is>
          <t xml:space="preserve">MOFSL-9.3%-9-5-34-NCD</t>
        </is>
      </c>
      <c r="C2630" t="inlineStr">
        <is>
          <t xml:space="preserve">INE338I07115</t>
        </is>
      </c>
    </row>
    <row r="2631">
      <c r="A2631" t="inlineStr">
        <is>
          <t xml:space="preserve">MOHITIND</t>
        </is>
      </c>
      <c r="B2631" t="inlineStr">
        <is>
          <t xml:space="preserve">MOHIT INDUSTRIES LTD.</t>
        </is>
      </c>
      <c r="C2631" t="inlineStr">
        <is>
          <t xml:space="preserve">INE954E01012</t>
        </is>
      </c>
    </row>
    <row r="2632">
      <c r="A2632" t="inlineStr">
        <is>
          <t xml:space="preserve">MOHITPPR</t>
        </is>
      </c>
      <c r="B2632" t="inlineStr">
        <is>
          <t xml:space="preserve">MOHIT PAPER MILLS LTD.</t>
        </is>
      </c>
      <c r="C2632" t="inlineStr">
        <is>
          <t xml:space="preserve">INE388C01017</t>
        </is>
      </c>
    </row>
    <row r="2633">
      <c r="A2633" t="inlineStr">
        <is>
          <t xml:space="preserve">MOHITE</t>
        </is>
      </c>
      <c r="B2633" t="inlineStr">
        <is>
          <t xml:space="preserve">MOHITE INDUSTRIES LIMITED</t>
        </is>
      </c>
      <c r="C2633" t="inlineStr">
        <is>
          <t xml:space="preserve">INE154B01023</t>
        </is>
      </c>
    </row>
    <row r="2634">
      <c r="A2634" t="inlineStr">
        <is>
          <t xml:space="preserve">MOIL</t>
        </is>
      </c>
      <c r="B2634" t="inlineStr">
        <is>
          <t xml:space="preserve">MOIL LTD.</t>
        </is>
      </c>
      <c r="C2634" t="inlineStr">
        <is>
          <t xml:space="preserve">INE490G01020</t>
        </is>
      </c>
    </row>
    <row r="2635">
      <c r="A2635" t="inlineStr">
        <is>
          <t xml:space="preserve">MOLDTKPAC</t>
        </is>
      </c>
      <c r="B2635" t="inlineStr">
        <is>
          <t xml:space="preserve">MOLD-TEK PACKAGING LIMITED</t>
        </is>
      </c>
      <c r="C2635" t="inlineStr">
        <is>
          <t xml:space="preserve">INE893J01029</t>
        </is>
      </c>
    </row>
    <row r="2636">
      <c r="A2636" t="inlineStr">
        <is>
          <t xml:space="preserve">MOLDTECH</t>
        </is>
      </c>
      <c r="B2636" t="inlineStr">
        <is>
          <t xml:space="preserve">MOLD-TEK TECHNOLOGIES LTD.</t>
        </is>
      </c>
      <c r="C2636" t="inlineStr">
        <is>
          <t xml:space="preserve">INE835B01035</t>
        </is>
      </c>
    </row>
    <row r="2637">
      <c r="A2637" t="inlineStr">
        <is>
          <t xml:space="preserve">MONARCH</t>
        </is>
      </c>
      <c r="B2637" t="inlineStr">
        <is>
          <t xml:space="preserve">Monarch Networth Capital Limit</t>
        </is>
      </c>
      <c r="C2637" t="inlineStr">
        <is>
          <t xml:space="preserve">INE903D01011</t>
        </is>
      </c>
    </row>
    <row r="2638">
      <c r="A2638" t="inlineStr">
        <is>
          <t xml:space="preserve">MSECL</t>
        </is>
      </c>
      <c r="B2638" t="inlineStr">
        <is>
          <t xml:space="preserve">Monarch Surveyors and Engineer</t>
        </is>
      </c>
      <c r="C2638" t="inlineStr">
        <is>
          <t xml:space="preserve">INE0V0L01028</t>
        </is>
      </c>
    </row>
    <row r="2639">
      <c r="A2639" t="inlineStr">
        <is>
          <t xml:space="preserve">MMLF</t>
        </is>
      </c>
      <c r="B2639" t="inlineStr">
        <is>
          <t xml:space="preserve">MONEY MASTERS LEASING &amp; FINANC</t>
        </is>
      </c>
      <c r="C2639" t="inlineStr">
        <is>
          <t xml:space="preserve">INE340O01021</t>
        </is>
      </c>
    </row>
    <row r="2640">
      <c r="A2640" t="inlineStr">
        <is>
          <t xml:space="preserve">MONEYBOXX</t>
        </is>
      </c>
      <c r="B2640" t="inlineStr">
        <is>
          <t xml:space="preserve">MONEYBOXX FINANCE LIMITED</t>
        </is>
      </c>
      <c r="C2640" t="inlineStr">
        <is>
          <t xml:space="preserve">INE296Q01012</t>
        </is>
      </c>
    </row>
    <row r="2641">
      <c r="A2641" t="inlineStr">
        <is>
          <t xml:space="preserve">MONIKA</t>
        </is>
      </c>
      <c r="B2641" t="inlineStr">
        <is>
          <t xml:space="preserve">MONIKA ALCOBEV LIMITED</t>
        </is>
      </c>
      <c r="C2641" t="inlineStr">
        <is>
          <t xml:space="preserve">INE0LCG01010</t>
        </is>
      </c>
    </row>
    <row r="2642">
      <c r="A2642" t="inlineStr">
        <is>
          <t xml:space="preserve">MONOT</t>
        </is>
      </c>
      <c r="B2642" t="inlineStr">
        <is>
          <t xml:space="preserve">MONOTYPE INDIA LTD.</t>
        </is>
      </c>
      <c r="C2642" t="inlineStr">
        <is>
          <t xml:space="preserve">INE811D01024</t>
        </is>
      </c>
    </row>
    <row r="2643">
      <c r="A2643" t="inlineStr">
        <is>
          <t xml:space="preserve">MONTECARLO</t>
        </is>
      </c>
      <c r="B2643" t="inlineStr">
        <is>
          <t xml:space="preserve">Monte Carlo Fashions Limited</t>
        </is>
      </c>
      <c r="C2643" t="inlineStr">
        <is>
          <t xml:space="preserve">INE950M01013</t>
        </is>
      </c>
    </row>
    <row r="2644">
      <c r="A2644" t="inlineStr">
        <is>
          <t xml:space="preserve">MONGIPA</t>
        </is>
      </c>
      <c r="B2644" t="inlineStr">
        <is>
          <t xml:space="preserve">MOONGIPA CAPITAL FINANCE LTD.</t>
        </is>
      </c>
      <c r="C2644" t="inlineStr">
        <is>
          <t xml:space="preserve">INE153K01018</t>
        </is>
      </c>
    </row>
    <row r="2645">
      <c r="A2645" t="inlineStr">
        <is>
          <t xml:space="preserve">MORARJEE</t>
        </is>
      </c>
      <c r="B2645" t="inlineStr">
        <is>
          <t xml:space="preserve">MORARJEE TEXTILES LTD.</t>
        </is>
      </c>
      <c r="C2645" t="inlineStr">
        <is>
          <t xml:space="preserve">INE161G01027</t>
        </is>
      </c>
    </row>
    <row r="2646">
      <c r="A2646" t="inlineStr">
        <is>
          <t xml:space="preserve">MORARKFI</t>
        </is>
      </c>
      <c r="B2646" t="inlineStr">
        <is>
          <t xml:space="preserve">MORARKA FINANCE LTD.</t>
        </is>
      </c>
      <c r="C2646" t="inlineStr">
        <is>
          <t xml:space="preserve">INE367A01015</t>
        </is>
      </c>
    </row>
    <row r="2647">
      <c r="A2647" t="inlineStr">
        <is>
          <t xml:space="preserve">MOREPENLAB</t>
        </is>
      </c>
      <c r="B2647" t="inlineStr">
        <is>
          <t xml:space="preserve">MOREPEN LABORATORIES LTD.</t>
        </is>
      </c>
      <c r="C2647" t="inlineStr">
        <is>
          <t xml:space="preserve">INE083A01026</t>
        </is>
      </c>
    </row>
    <row r="2648">
      <c r="A2648" t="inlineStr">
        <is>
          <t xml:space="preserve">MORGAN</t>
        </is>
      </c>
      <c r="B2648" t="inlineStr">
        <is>
          <t xml:space="preserve">MORGAN VENTURES LTD.</t>
        </is>
      </c>
      <c r="C2648" t="inlineStr">
        <is>
          <t xml:space="preserve">INE902C01015</t>
        </is>
      </c>
    </row>
    <row r="2649">
      <c r="A2649" t="inlineStr">
        <is>
          <t xml:space="preserve">MOSCHIP</t>
        </is>
      </c>
      <c r="B2649" t="inlineStr">
        <is>
          <t xml:space="preserve">MOSCHIP TECHNOLOGIES LIMITED</t>
        </is>
      </c>
      <c r="C2649" t="inlineStr">
        <is>
          <t xml:space="preserve">INE935B01025</t>
        </is>
      </c>
    </row>
    <row r="2650">
      <c r="A2650" t="inlineStr">
        <is>
          <t xml:space="preserve">MSUMI</t>
        </is>
      </c>
      <c r="B2650" t="inlineStr">
        <is>
          <t xml:space="preserve">Motherson Sumi Wiring India Li</t>
        </is>
      </c>
      <c r="C2650" t="inlineStr">
        <is>
          <t xml:space="preserve">INE0FS801015</t>
        </is>
      </c>
    </row>
    <row r="2651">
      <c r="A2651" t="inlineStr">
        <is>
          <t xml:space="preserve">MOTILALOFS</t>
        </is>
      </c>
      <c r="B2651" t="inlineStr">
        <is>
          <t xml:space="preserve">MOTILAL OSWAL FINANCIAL SERVIC</t>
        </is>
      </c>
      <c r="C2651" t="inlineStr">
        <is>
          <t xml:space="preserve">INE338I01027</t>
        </is>
      </c>
    </row>
    <row r="2652">
      <c r="A2652" t="inlineStr">
        <is>
          <t xml:space="preserve">MOTISONS</t>
        </is>
      </c>
      <c r="B2652" t="inlineStr">
        <is>
          <t xml:space="preserve">Motisons Jewellers Limited</t>
        </is>
      </c>
      <c r="C2652" t="inlineStr">
        <is>
          <t xml:space="preserve">INE0FRK01020</t>
        </is>
      </c>
    </row>
    <row r="2653">
      <c r="A2653" t="inlineStr">
        <is>
          <t xml:space="preserve">MOTOGENFIN</t>
        </is>
      </c>
      <c r="B2653" t="inlineStr">
        <is>
          <t xml:space="preserve">MOTOR &amp; GENERAL FINANCE LTD.</t>
        </is>
      </c>
      <c r="C2653" t="inlineStr">
        <is>
          <t xml:space="preserve">INE861B01023</t>
        </is>
      </c>
    </row>
    <row r="2654">
      <c r="A2654" t="inlineStr">
        <is>
          <t xml:space="preserve">MPDL</t>
        </is>
      </c>
      <c r="B2654" t="inlineStr">
        <is>
          <t xml:space="preserve">MPDL LIMITED</t>
        </is>
      </c>
      <c r="C2654" t="inlineStr">
        <is>
          <t xml:space="preserve">INE493H01014</t>
        </is>
      </c>
    </row>
    <row r="2655">
      <c r="A2655" t="inlineStr">
        <is>
          <t xml:space="preserve">MPHASIS</t>
        </is>
      </c>
      <c r="B2655" t="inlineStr">
        <is>
          <t xml:space="preserve">MPHASIS LTD.</t>
        </is>
      </c>
      <c r="C2655" t="inlineStr">
        <is>
          <t xml:space="preserve">INE356A01018</t>
        </is>
      </c>
    </row>
    <row r="2656">
      <c r="A2656" t="inlineStr">
        <is>
          <t xml:space="preserve">MPILCORPL</t>
        </is>
      </c>
      <c r="B2656" t="inlineStr">
        <is>
          <t xml:space="preserve">MPIL CORPORATION LTD.</t>
        </is>
      </c>
      <c r="C2656" t="inlineStr">
        <is>
          <t xml:space="preserve">INE844C01027</t>
        </is>
      </c>
    </row>
    <row r="2657">
      <c r="A2657" t="inlineStr">
        <is>
          <t xml:space="preserve">MPL</t>
        </is>
      </c>
      <c r="B2657" t="inlineStr">
        <is>
          <t xml:space="preserve">MPL PLASTICS LTD.</t>
        </is>
      </c>
      <c r="C2657" t="inlineStr">
        <is>
          <t xml:space="preserve">INE343A01016</t>
        </is>
      </c>
    </row>
    <row r="2658">
      <c r="A2658" t="inlineStr">
        <is>
          <t xml:space="preserve">MPSLTD</t>
        </is>
      </c>
      <c r="B2658" t="inlineStr">
        <is>
          <t xml:space="preserve">MPS LTD.</t>
        </is>
      </c>
      <c r="C2658" t="inlineStr">
        <is>
          <t xml:space="preserve">INE943D01017</t>
        </is>
      </c>
    </row>
    <row r="2659">
      <c r="A2659" t="inlineStr">
        <is>
          <t xml:space="preserve">MRCAGRO</t>
        </is>
      </c>
      <c r="B2659" t="inlineStr">
        <is>
          <t xml:space="preserve">MRC AGROTECH LIMITED</t>
        </is>
      </c>
      <c r="C2659" t="inlineStr">
        <is>
          <t xml:space="preserve">INE333Y01017</t>
        </is>
      </c>
    </row>
    <row r="2660">
      <c r="A2660" t="inlineStr">
        <is>
          <t xml:space="preserve">MRF</t>
        </is>
      </c>
      <c r="B2660" t="inlineStr">
        <is>
          <t xml:space="preserve">MRF LTD.</t>
        </is>
      </c>
      <c r="C2660" t="inlineStr">
        <is>
          <t xml:space="preserve">INE883A01011</t>
        </is>
      </c>
    </row>
    <row r="2661">
      <c r="A2661" t="inlineStr">
        <is>
          <t xml:space="preserve">MRP</t>
        </is>
      </c>
      <c r="B2661" t="inlineStr">
        <is>
          <t xml:space="preserve">MRP Agro Limited</t>
        </is>
      </c>
      <c r="C2661" t="inlineStr">
        <is>
          <t xml:space="preserve">INE0D7801012</t>
        </is>
      </c>
    </row>
    <row r="2662">
      <c r="A2662" t="inlineStr">
        <is>
          <t xml:space="preserve">BECTORFOOD</t>
        </is>
      </c>
      <c r="B2662" t="inlineStr">
        <is>
          <t xml:space="preserve">Mrs. Bectors Food Specialities</t>
        </is>
      </c>
      <c r="C2662" t="inlineStr">
        <is>
          <t xml:space="preserve">INE495P01020</t>
        </is>
      </c>
    </row>
    <row r="2663">
      <c r="A2663" t="inlineStr">
        <is>
          <t xml:space="preserve">MRUTR</t>
        </is>
      </c>
      <c r="B2663" t="inlineStr">
        <is>
          <t xml:space="preserve">MRUGESH TRADING LTD.</t>
        </is>
      </c>
      <c r="C2663" t="inlineStr">
        <is>
          <t xml:space="preserve">INE738D01029</t>
        </is>
      </c>
    </row>
    <row r="2664">
      <c r="A2664" t="inlineStr">
        <is>
          <t xml:space="preserve">MSAFE</t>
        </is>
      </c>
      <c r="B2664" t="inlineStr">
        <is>
          <t xml:space="preserve">Msafe Equipments Limited</t>
        </is>
      </c>
      <c r="C2664" t="inlineStr">
        <is>
          <t xml:space="preserve">INE2B5L01011</t>
        </is>
      </c>
    </row>
    <row r="2665">
      <c r="A2665" t="inlineStr">
        <is>
          <t xml:space="preserve">0MSAFL28</t>
        </is>
      </c>
      <c r="B2665" t="inlineStr">
        <is>
          <t xml:space="preserve">MSAFL-ZC-6-2-28-PVT</t>
        </is>
      </c>
      <c r="C2665" t="inlineStr">
        <is>
          <t xml:space="preserve">INE138I08117</t>
        </is>
      </c>
    </row>
    <row r="2666">
      <c r="A2666" t="inlineStr">
        <is>
          <t xml:space="preserve">0MSFL27</t>
        </is>
      </c>
      <c r="B2666" t="inlineStr">
        <is>
          <t xml:space="preserve">MSFL-0%-9-9-27-PVT</t>
        </is>
      </c>
      <c r="C2666" t="inlineStr">
        <is>
          <t xml:space="preserve">INE138I08109</t>
        </is>
      </c>
    </row>
    <row r="2667">
      <c r="A2667" t="inlineStr">
        <is>
          <t xml:space="preserve">MSLGLOBAL</t>
        </is>
      </c>
      <c r="B2667" t="inlineStr">
        <is>
          <t xml:space="preserve">MSL GLOBAL LIMITED</t>
        </is>
      </c>
      <c r="C2667" t="inlineStr">
        <is>
          <t xml:space="preserve">INE856D01011</t>
        </is>
      </c>
    </row>
    <row r="2668">
      <c r="A2668" t="inlineStr">
        <is>
          <t xml:space="preserve">MSPL</t>
        </is>
      </c>
      <c r="B2668" t="inlineStr">
        <is>
          <t xml:space="preserve">MSP STEEL &amp; POWER LTD.</t>
        </is>
      </c>
      <c r="C2668" t="inlineStr">
        <is>
          <t xml:space="preserve">INE752G01015</t>
        </is>
      </c>
    </row>
    <row r="2669">
      <c r="A2669" t="inlineStr">
        <is>
          <t xml:space="preserve">MSTCLTD</t>
        </is>
      </c>
      <c r="B2669" t="inlineStr">
        <is>
          <t xml:space="preserve">MSTC Limited</t>
        </is>
      </c>
      <c r="C2669" t="inlineStr">
        <is>
          <t xml:space="preserve">INE255X01014</t>
        </is>
      </c>
    </row>
    <row r="2670">
      <c r="A2670" t="inlineStr">
        <is>
          <t xml:space="preserve">MTEDUCARE</t>
        </is>
      </c>
      <c r="B2670" t="inlineStr">
        <is>
          <t xml:space="preserve">MT EDUCARE LTD.</t>
        </is>
      </c>
      <c r="C2670" t="inlineStr">
        <is>
          <t xml:space="preserve">INE472M01018</t>
        </is>
      </c>
    </row>
    <row r="2671">
      <c r="A2671" t="inlineStr">
        <is>
          <t xml:space="preserve">MTARTECH</t>
        </is>
      </c>
      <c r="B2671" t="inlineStr">
        <is>
          <t xml:space="preserve">MTAR Technologies Limited</t>
        </is>
      </c>
      <c r="C2671" t="inlineStr">
        <is>
          <t xml:space="preserve">INE864I01014</t>
        </is>
      </c>
    </row>
    <row r="2672">
      <c r="A2672" t="inlineStr">
        <is>
          <t xml:space="preserve">MUFIN</t>
        </is>
      </c>
      <c r="B2672" t="inlineStr">
        <is>
          <t xml:space="preserve">MUFIN GREEN FINANCE LIMITED</t>
        </is>
      </c>
      <c r="C2672" t="inlineStr">
        <is>
          <t xml:space="preserve">INE08KJ01020</t>
        </is>
      </c>
    </row>
    <row r="2673">
      <c r="A2673" t="inlineStr">
        <is>
          <t xml:space="preserve">MUKANDLTD</t>
        </is>
      </c>
      <c r="B2673" t="inlineStr">
        <is>
          <t xml:space="preserve">MUKAND LTD.</t>
        </is>
      </c>
      <c r="C2673" t="inlineStr">
        <is>
          <t xml:space="preserve">INE304A01026</t>
        </is>
      </c>
    </row>
    <row r="2674">
      <c r="A2674" t="inlineStr">
        <is>
          <t xml:space="preserve">MUKATPIP</t>
        </is>
      </c>
      <c r="B2674" t="inlineStr">
        <is>
          <t xml:space="preserve">MUKAT PIPES LTD.</t>
        </is>
      </c>
      <c r="C2674" t="inlineStr">
        <is>
          <t xml:space="preserve">INE862C01029</t>
        </is>
      </c>
    </row>
    <row r="2675">
      <c r="A2675" t="inlineStr">
        <is>
          <t xml:space="preserve">MUKESHB</t>
        </is>
      </c>
      <c r="B2675" t="inlineStr">
        <is>
          <t xml:space="preserve">MUKESH BABU FINANCIAL SERVICES</t>
        </is>
      </c>
      <c r="C2675" t="inlineStr">
        <is>
          <t xml:space="preserve">INE596B01017</t>
        </is>
      </c>
    </row>
    <row r="2676">
      <c r="A2676" t="inlineStr">
        <is>
          <t xml:space="preserve">MUKKA</t>
        </is>
      </c>
      <c r="B2676" t="inlineStr">
        <is>
          <t xml:space="preserve">Mukka Proteins Limited</t>
        </is>
      </c>
      <c r="C2676" t="inlineStr">
        <is>
          <t xml:space="preserve">INE0CG401037</t>
        </is>
      </c>
    </row>
    <row r="2677">
      <c r="A2677" t="inlineStr">
        <is>
          <t xml:space="preserve">MUKTA</t>
        </is>
      </c>
      <c r="B2677" t="inlineStr">
        <is>
          <t xml:space="preserve">Mukta Agriculture Limited</t>
        </is>
      </c>
      <c r="C2677" t="inlineStr">
        <is>
          <t xml:space="preserve">INE160O01031</t>
        </is>
      </c>
    </row>
    <row r="2678">
      <c r="A2678" t="inlineStr">
        <is>
          <t xml:space="preserve">MULLER</t>
        </is>
      </c>
      <c r="B2678" t="inlineStr">
        <is>
          <t xml:space="preserve">MULLER &amp; PHIPPS (INDIA) LTD.</t>
        </is>
      </c>
      <c r="C2678" t="inlineStr">
        <is>
          <t xml:space="preserve">INE003F01015</t>
        </is>
      </c>
    </row>
    <row r="2679">
      <c r="A2679" t="inlineStr">
        <is>
          <t xml:space="preserve">MCX</t>
        </is>
      </c>
      <c r="B2679" t="inlineStr">
        <is>
          <t xml:space="preserve">MULTI COMMODITY EXCHANGE OF IN</t>
        </is>
      </c>
      <c r="C2679" t="inlineStr">
        <is>
          <t xml:space="preserve">INE745G01043</t>
        </is>
      </c>
    </row>
    <row r="2680">
      <c r="A2680" t="inlineStr">
        <is>
          <t xml:space="preserve">MULTIBASE</t>
        </is>
      </c>
      <c r="B2680" t="inlineStr">
        <is>
          <t xml:space="preserve">MULTIBASE INDIA LTD.</t>
        </is>
      </c>
      <c r="C2680" t="inlineStr">
        <is>
          <t xml:space="preserve">INE678F01014</t>
        </is>
      </c>
    </row>
    <row r="2681">
      <c r="A2681" t="inlineStr">
        <is>
          <t xml:space="preserve">ZMULTIPU</t>
        </is>
      </c>
      <c r="B2681" t="inlineStr">
        <is>
          <t xml:space="preserve">MULTIPURPOSE TRADING &amp; AGENCIE</t>
        </is>
      </c>
      <c r="C2681" t="inlineStr">
        <is>
          <t xml:space="preserve">INE017P01014</t>
        </is>
      </c>
    </row>
    <row r="2682">
      <c r="A2682" t="inlineStr">
        <is>
          <t xml:space="preserve">MUNJALAU</t>
        </is>
      </c>
      <c r="B2682" t="inlineStr">
        <is>
          <t xml:space="preserve">MUNJAL AUTO INDUSTRIES LTD.</t>
        </is>
      </c>
      <c r="C2682" t="inlineStr">
        <is>
          <t xml:space="preserve">INE672B01032</t>
        </is>
      </c>
    </row>
    <row r="2683">
      <c r="A2683" t="inlineStr">
        <is>
          <t xml:space="preserve">MUNJALSHOW</t>
        </is>
      </c>
      <c r="B2683" t="inlineStr">
        <is>
          <t xml:space="preserve">MUNJAL SHOWA LTD.</t>
        </is>
      </c>
      <c r="C2683" t="inlineStr">
        <is>
          <t xml:space="preserve">INE577A01027</t>
        </is>
      </c>
    </row>
    <row r="2684">
      <c r="A2684" t="inlineStr">
        <is>
          <t xml:space="preserve">MCLTD</t>
        </is>
      </c>
      <c r="B2684" t="inlineStr">
        <is>
          <t xml:space="preserve">MUNOTH COMMUNICATION LIMITED</t>
        </is>
      </c>
      <c r="C2684" t="inlineStr">
        <is>
          <t xml:space="preserve">INE410E01015</t>
        </is>
      </c>
    </row>
    <row r="2685">
      <c r="A2685" t="inlineStr">
        <is>
          <t xml:space="preserve">MUNOTHFI</t>
        </is>
      </c>
      <c r="B2685" t="inlineStr">
        <is>
          <t xml:space="preserve">MUNOTH FINANCIAL SERVICES LTD.</t>
        </is>
      </c>
      <c r="C2685" t="inlineStr">
        <is>
          <t xml:space="preserve">INE348D01019</t>
        </is>
      </c>
    </row>
    <row r="2686">
      <c r="A2686" t="inlineStr">
        <is>
          <t xml:space="preserve">MURUDCERA</t>
        </is>
      </c>
      <c r="B2686" t="inlineStr">
        <is>
          <t xml:space="preserve">MURUDESHWAR CERAMICS LTD.</t>
        </is>
      </c>
      <c r="C2686" t="inlineStr">
        <is>
          <t xml:space="preserve">INE692B01014</t>
        </is>
      </c>
    </row>
    <row r="2687">
      <c r="A2687" t="inlineStr">
        <is>
          <t xml:space="preserve">RADIOCITY</t>
        </is>
      </c>
      <c r="B2687" t="inlineStr">
        <is>
          <t xml:space="preserve">Music Broadcast Limited</t>
        </is>
      </c>
      <c r="C2687" t="inlineStr">
        <is>
          <t xml:space="preserve">INE919I01024</t>
        </is>
      </c>
    </row>
    <row r="2688">
      <c r="A2688" t="inlineStr">
        <is>
          <t xml:space="preserve">MUTHOOTCAP</t>
        </is>
      </c>
      <c r="B2688" t="inlineStr">
        <is>
          <t xml:space="preserve">MUTHOOT CAPITAL SERVICES LTD.</t>
        </is>
      </c>
      <c r="C2688" t="inlineStr">
        <is>
          <t xml:space="preserve">INE296G01013</t>
        </is>
      </c>
    </row>
    <row r="2689">
      <c r="A2689" t="inlineStr">
        <is>
          <t xml:space="preserve">MUTHOOTFIN</t>
        </is>
      </c>
      <c r="B2689" t="inlineStr">
        <is>
          <t xml:space="preserve">MUTHOOT FINANCE LTD.</t>
        </is>
      </c>
      <c r="C2689" t="inlineStr">
        <is>
          <t xml:space="preserve">INE414G01012</t>
        </is>
      </c>
    </row>
    <row r="2690">
      <c r="A2690" t="inlineStr">
        <is>
          <t xml:space="preserve">MUTHOOTMF</t>
        </is>
      </c>
      <c r="B2690" t="inlineStr">
        <is>
          <t xml:space="preserve">Muthoot Microfin Limited</t>
        </is>
      </c>
      <c r="C2690" t="inlineStr">
        <is>
          <t xml:space="preserve">INE046W01019</t>
        </is>
      </c>
    </row>
    <row r="2691">
      <c r="A2691" t="inlineStr">
        <is>
          <t xml:space="preserve">MYMONEY</t>
        </is>
      </c>
      <c r="B2691" t="inlineStr">
        <is>
          <t xml:space="preserve">My Money Securities Ltd.</t>
        </is>
      </c>
      <c r="C2691" t="inlineStr">
        <is>
          <t xml:space="preserve">INE232L01018</t>
        </is>
      </c>
    </row>
    <row r="2692">
      <c r="A2692" t="inlineStr">
        <is>
          <t xml:space="preserve">MYSORPETRO</t>
        </is>
      </c>
      <c r="B2692" t="inlineStr">
        <is>
          <t xml:space="preserve">MYSORE PETRO CHEMICALS LTD.</t>
        </is>
      </c>
      <c r="C2692" t="inlineStr">
        <is>
          <t xml:space="preserve">INE741A01011</t>
        </is>
      </c>
    </row>
    <row r="2693">
      <c r="A2693" t="inlineStr">
        <is>
          <t xml:space="preserve">MYSTICELE</t>
        </is>
      </c>
      <c r="B2693" t="inlineStr">
        <is>
          <t xml:space="preserve">Mystic Electronics Limited</t>
        </is>
      </c>
      <c r="C2693" t="inlineStr">
        <is>
          <t xml:space="preserve">INE159O01033</t>
        </is>
      </c>
    </row>
    <row r="2694">
      <c r="A2694" t="inlineStr">
        <is>
          <t xml:space="preserve">NGIND</t>
        </is>
      </c>
      <c r="B2694" t="inlineStr">
        <is>
          <t xml:space="preserve">N.G.INDUSTRIES LTD.</t>
        </is>
      </c>
      <c r="C2694" t="inlineStr">
        <is>
          <t xml:space="preserve">INE825C01018</t>
        </is>
      </c>
    </row>
    <row r="2695">
      <c r="A2695" t="inlineStr">
        <is>
          <t xml:space="preserve">NRAIL</t>
        </is>
      </c>
      <c r="B2695" t="inlineStr">
        <is>
          <t xml:space="preserve">N.R.AGARWAL INDUSTRIES LTD.</t>
        </is>
      </c>
      <c r="C2695" t="inlineStr">
        <is>
          <t xml:space="preserve">INE740D01017</t>
        </is>
      </c>
    </row>
    <row r="2696">
      <c r="A2696" t="inlineStr">
        <is>
          <t xml:space="preserve">NBL</t>
        </is>
      </c>
      <c r="B2696" t="inlineStr">
        <is>
          <t xml:space="preserve">Naapbooks Limited</t>
        </is>
      </c>
      <c r="C2696" t="inlineStr">
        <is>
          <t xml:space="preserve">INE0GOA01018</t>
        </is>
      </c>
    </row>
    <row r="2697">
      <c r="A2697" t="inlineStr">
        <is>
          <t xml:space="preserve">NACDAC</t>
        </is>
      </c>
      <c r="B2697" t="inlineStr">
        <is>
          <t xml:space="preserve">NACDAC Infrastructure Limited</t>
        </is>
      </c>
      <c r="C2697" t="inlineStr">
        <is>
          <t xml:space="preserve">INE0LB101011</t>
        </is>
      </c>
    </row>
    <row r="2698">
      <c r="A2698" t="inlineStr">
        <is>
          <t xml:space="preserve">NACLIND</t>
        </is>
      </c>
      <c r="B2698" t="inlineStr">
        <is>
          <t xml:space="preserve">NACL Industries Limited</t>
        </is>
      </c>
      <c r="C2698" t="inlineStr">
        <is>
          <t xml:space="preserve">INE295D01020</t>
        </is>
      </c>
    </row>
    <row r="2699">
      <c r="A2699" t="inlineStr">
        <is>
          <t xml:space="preserve">NAGTECH</t>
        </is>
      </c>
      <c r="B2699" t="inlineStr">
        <is>
          <t xml:space="preserve">NAGARJUNA AGRI TECH LTD.</t>
        </is>
      </c>
      <c r="C2699" t="inlineStr">
        <is>
          <t xml:space="preserve">INE793H01017</t>
        </is>
      </c>
    </row>
    <row r="2700">
      <c r="A2700" t="inlineStr">
        <is>
          <t xml:space="preserve">NAGPI</t>
        </is>
      </c>
      <c r="B2700" t="inlineStr">
        <is>
          <t xml:space="preserve">NAGPUR POWER &amp; INDUSTRIES LTD.</t>
        </is>
      </c>
      <c r="C2700" t="inlineStr">
        <is>
          <t xml:space="preserve">INE099E01016</t>
        </is>
      </c>
    </row>
    <row r="2701">
      <c r="A2701" t="inlineStr">
        <is>
          <t xml:space="preserve">NAGREEKCAP</t>
        </is>
      </c>
      <c r="B2701" t="inlineStr">
        <is>
          <t xml:space="preserve">NAGREEKA CAPITAL &amp; INFRASTRUCT</t>
        </is>
      </c>
      <c r="C2701" t="inlineStr">
        <is>
          <t xml:space="preserve">INE245I01016</t>
        </is>
      </c>
    </row>
    <row r="2702">
      <c r="A2702" t="inlineStr">
        <is>
          <t xml:space="preserve">NAGREEKEXP</t>
        </is>
      </c>
      <c r="B2702" t="inlineStr">
        <is>
          <t xml:space="preserve">NAGREEKA EXPORTS LTD.</t>
        </is>
      </c>
      <c r="C2702" t="inlineStr">
        <is>
          <t xml:space="preserve">INE123B01028</t>
        </is>
      </c>
    </row>
    <row r="2703">
      <c r="A2703" t="inlineStr">
        <is>
          <t xml:space="preserve">NAHARCAP</t>
        </is>
      </c>
      <c r="B2703" t="inlineStr">
        <is>
          <t xml:space="preserve">NAHAR CAPITAL &amp; FINANCIAL SERV</t>
        </is>
      </c>
      <c r="C2703" t="inlineStr">
        <is>
          <t xml:space="preserve">INE049I01012</t>
        </is>
      </c>
    </row>
    <row r="2704">
      <c r="A2704" t="inlineStr">
        <is>
          <t xml:space="preserve">NAHARINDUS</t>
        </is>
      </c>
      <c r="B2704" t="inlineStr">
        <is>
          <t xml:space="preserve">NAHAR INDUSTRIAL ENTERPRISES L</t>
        </is>
      </c>
      <c r="C2704" t="inlineStr">
        <is>
          <t xml:space="preserve">INE289A01011</t>
        </is>
      </c>
    </row>
    <row r="2705">
      <c r="A2705" t="inlineStr">
        <is>
          <t xml:space="preserve">NAHARPOLY</t>
        </is>
      </c>
      <c r="B2705" t="inlineStr">
        <is>
          <t xml:space="preserve">NAHAR POLYFILMS LTD.</t>
        </is>
      </c>
      <c r="C2705" t="inlineStr">
        <is>
          <t xml:space="preserve">INE308A01027</t>
        </is>
      </c>
    </row>
    <row r="2706">
      <c r="A2706" t="inlineStr">
        <is>
          <t xml:space="preserve">NAHARSPING</t>
        </is>
      </c>
      <c r="B2706" t="inlineStr">
        <is>
          <t xml:space="preserve">NAHAR SPINNING MILLS LTD.</t>
        </is>
      </c>
      <c r="C2706" t="inlineStr">
        <is>
          <t xml:space="preserve">INE290A01027</t>
        </is>
      </c>
    </row>
    <row r="2707">
      <c r="A2707" t="inlineStr">
        <is>
          <t xml:space="preserve">NGIL</t>
        </is>
      </c>
      <c r="B2707" t="inlineStr">
        <is>
          <t xml:space="preserve">NAKODA GROUP OF INDUSTRIES LIM</t>
        </is>
      </c>
      <c r="C2707" t="inlineStr">
        <is>
          <t xml:space="preserve">INE236Y01012</t>
        </is>
      </c>
    </row>
    <row r="2708">
      <c r="A2708" t="inlineStr">
        <is>
          <t xml:space="preserve">NAKSH</t>
        </is>
      </c>
      <c r="B2708" t="inlineStr">
        <is>
          <t xml:space="preserve">Naksh Precious Metals Limited</t>
        </is>
      </c>
      <c r="C2708" t="inlineStr">
        <is>
          <t xml:space="preserve">INE256S01012</t>
        </is>
      </c>
    </row>
    <row r="2709">
      <c r="A2709" t="inlineStr">
        <is>
          <t xml:space="preserve">NLFL</t>
        </is>
      </c>
      <c r="B2709" t="inlineStr">
        <is>
          <t xml:space="preserve">NALIN LEASE FINANCE LTD.</t>
        </is>
      </c>
      <c r="C2709" t="inlineStr">
        <is>
          <t xml:space="preserve">INE606C01012</t>
        </is>
      </c>
    </row>
    <row r="2710">
      <c r="A2710" t="inlineStr">
        <is>
          <t xml:space="preserve">NSIL</t>
        </is>
      </c>
      <c r="B2710" t="inlineStr">
        <is>
          <t xml:space="preserve">NALWA SONS INVESTMENTS LTD.</t>
        </is>
      </c>
      <c r="C2710" t="inlineStr">
        <is>
          <t xml:space="preserve">INE023A01030</t>
        </is>
      </c>
    </row>
    <row r="2711">
      <c r="A2711" t="inlineStr">
        <is>
          <t xml:space="preserve">NVENTURES</t>
        </is>
      </c>
      <c r="B2711" t="inlineStr">
        <is>
          <t xml:space="preserve">Nanavati Ventures Limited</t>
        </is>
      </c>
      <c r="C2711" t="inlineStr">
        <is>
          <t xml:space="preserve">INE0E5R01017</t>
        </is>
      </c>
    </row>
    <row r="2712">
      <c r="A2712" t="inlineStr">
        <is>
          <t xml:space="preserve">NDL</t>
        </is>
      </c>
      <c r="B2712" t="inlineStr">
        <is>
          <t xml:space="preserve">NANDAN DENIM LIMITED</t>
        </is>
      </c>
      <c r="C2712" t="inlineStr">
        <is>
          <t xml:space="preserve">INE875G01048</t>
        </is>
      </c>
    </row>
    <row r="2713">
      <c r="A2713" t="inlineStr">
        <is>
          <t xml:space="preserve">NANTA</t>
        </is>
      </c>
      <c r="B2713" t="inlineStr">
        <is>
          <t xml:space="preserve">NANTA TECH LIMITED</t>
        </is>
      </c>
      <c r="C2713" t="inlineStr">
        <is>
          <t xml:space="preserve">INE0YJA01011</t>
        </is>
      </c>
    </row>
    <row r="2714">
      <c r="A2714" t="inlineStr">
        <is>
          <t xml:space="preserve">NAPEROL</t>
        </is>
      </c>
      <c r="B2714" t="inlineStr">
        <is>
          <t xml:space="preserve">Naperol Investments Limited</t>
        </is>
      </c>
      <c r="C2714" t="inlineStr">
        <is>
          <t xml:space="preserve">INE585A01020</t>
        </is>
      </c>
    </row>
    <row r="2715">
      <c r="A2715" t="inlineStr">
        <is>
          <t xml:space="preserve">NH</t>
        </is>
      </c>
      <c r="B2715" t="inlineStr">
        <is>
          <t xml:space="preserve">Narayana Hrudayalaya Limited</t>
        </is>
      </c>
      <c r="C2715" t="inlineStr">
        <is>
          <t xml:space="preserve">INE410P01011</t>
        </is>
      </c>
    </row>
    <row r="2716">
      <c r="A2716" t="inlineStr">
        <is>
          <t xml:space="preserve">NARPROP</t>
        </is>
      </c>
      <c r="B2716" t="inlineStr">
        <is>
          <t xml:space="preserve">NARENDRA PROPERTIES LTD.</t>
        </is>
      </c>
      <c r="C2716" t="inlineStr">
        <is>
          <t xml:space="preserve">INE603F01012</t>
        </is>
      </c>
    </row>
    <row r="2717">
      <c r="A2717" t="inlineStr">
        <is>
          <t xml:space="preserve">NARMADA</t>
        </is>
      </c>
      <c r="B2717" t="inlineStr">
        <is>
          <t xml:space="preserve">Narmada Agrobase Limited</t>
        </is>
      </c>
      <c r="C2717" t="inlineStr">
        <is>
          <t xml:space="preserve">INE117Z01011</t>
        </is>
      </c>
    </row>
    <row r="2718">
      <c r="A2718" t="inlineStr">
        <is>
          <t xml:space="preserve">SHAWGELTIN</t>
        </is>
      </c>
      <c r="B2718" t="inlineStr">
        <is>
          <t xml:space="preserve">NARMADA GELATINES LTD.</t>
        </is>
      </c>
      <c r="C2718" t="inlineStr">
        <is>
          <t xml:space="preserve">INE869A01010</t>
        </is>
      </c>
    </row>
    <row r="2719">
      <c r="A2719" t="inlineStr">
        <is>
          <t xml:space="preserve">NARMP</t>
        </is>
      </c>
      <c r="B2719" t="inlineStr">
        <is>
          <t xml:space="preserve">NARMADA MACPLAST DRIP IRRIGATI</t>
        </is>
      </c>
      <c r="C2719" t="inlineStr">
        <is>
          <t xml:space="preserve">INE060D01028</t>
        </is>
      </c>
    </row>
    <row r="2720">
      <c r="A2720" t="inlineStr">
        <is>
          <t xml:space="preserve">NARMADESH</t>
        </is>
      </c>
      <c r="B2720" t="inlineStr">
        <is>
          <t xml:space="preserve">Narmadesh Brass Industries Lim</t>
        </is>
      </c>
      <c r="C2720" t="inlineStr">
        <is>
          <t xml:space="preserve">INE0S1B01014</t>
        </is>
      </c>
    </row>
    <row r="2721">
      <c r="A2721" t="inlineStr">
        <is>
          <t xml:space="preserve">NATCOPHARM</t>
        </is>
      </c>
      <c r="B2721" t="inlineStr">
        <is>
          <t xml:space="preserve">NATCO PHARMA LTD.</t>
        </is>
      </c>
      <c r="C2721" t="inlineStr">
        <is>
          <t xml:space="preserve">INE987B01026</t>
        </is>
      </c>
    </row>
    <row r="2722">
      <c r="A2722" t="inlineStr">
        <is>
          <t xml:space="preserve">NATHBIOGEN</t>
        </is>
      </c>
      <c r="B2722" t="inlineStr">
        <is>
          <t xml:space="preserve">NATH BIO-GENES (INDIA) LTD</t>
        </is>
      </c>
      <c r="C2722" t="inlineStr">
        <is>
          <t xml:space="preserve">INE448G01010</t>
        </is>
      </c>
    </row>
    <row r="2723">
      <c r="A2723" t="inlineStr">
        <is>
          <t xml:space="preserve">NATHIND</t>
        </is>
      </c>
      <c r="B2723" t="inlineStr">
        <is>
          <t xml:space="preserve">NATH INDUSTRIES LIMITED</t>
        </is>
      </c>
      <c r="C2723" t="inlineStr">
        <is>
          <t xml:space="preserve">INE777A01023</t>
        </is>
      </c>
    </row>
    <row r="2724">
      <c r="A2724" t="inlineStr">
        <is>
          <t xml:space="preserve">NATIONALUM</t>
        </is>
      </c>
      <c r="B2724" t="inlineStr">
        <is>
          <t xml:space="preserve">NATIONAL ALUMINIUM CO.LTD.</t>
        </is>
      </c>
      <c r="C2724" t="inlineStr">
        <is>
          <t xml:space="preserve">INE139A01034</t>
        </is>
      </c>
    </row>
    <row r="2725">
      <c r="A2725" t="inlineStr">
        <is>
          <t xml:space="preserve">NFL</t>
        </is>
      </c>
      <c r="B2725" t="inlineStr">
        <is>
          <t xml:space="preserve">NATIONAL FERTILIZERS LTD.</t>
        </is>
      </c>
      <c r="C2725" t="inlineStr">
        <is>
          <t xml:space="preserve">INE870D01012</t>
        </is>
      </c>
    </row>
    <row r="2726">
      <c r="A2726" t="inlineStr">
        <is>
          <t xml:space="preserve">NATFIT</t>
        </is>
      </c>
      <c r="B2726" t="inlineStr">
        <is>
          <t xml:space="preserve">NATIONAL FITTINGS LIMITED</t>
        </is>
      </c>
      <c r="C2726" t="inlineStr">
        <is>
          <t xml:space="preserve">INE643C01015</t>
        </is>
      </c>
    </row>
    <row r="2727">
      <c r="A2727" t="inlineStr">
        <is>
          <t xml:space="preserve">NATGENI</t>
        </is>
      </c>
      <c r="B2727" t="inlineStr">
        <is>
          <t xml:space="preserve">NATIONAL GENERAL INDUSTRIES LT</t>
        </is>
      </c>
      <c r="C2727" t="inlineStr">
        <is>
          <t xml:space="preserve">INE654H01011</t>
        </is>
      </c>
    </row>
    <row r="2728">
      <c r="A2728" t="inlineStr">
        <is>
          <t xml:space="preserve">NOL</t>
        </is>
      </c>
      <c r="B2728" t="inlineStr">
        <is>
          <t xml:space="preserve">NATIONAL OXYGEN LTD.</t>
        </is>
      </c>
      <c r="C2728" t="inlineStr">
        <is>
          <t xml:space="preserve">INE296D01010</t>
        </is>
      </c>
    </row>
    <row r="2729">
      <c r="A2729" t="inlineStr">
        <is>
          <t xml:space="preserve">NPL</t>
        </is>
      </c>
      <c r="B2729" t="inlineStr">
        <is>
          <t xml:space="preserve">National Peroxide Limited</t>
        </is>
      </c>
      <c r="C2729" t="inlineStr">
        <is>
          <t xml:space="preserve">INE0PO601011</t>
        </is>
      </c>
    </row>
    <row r="2730">
      <c r="A2730" t="inlineStr">
        <is>
          <t xml:space="preserve">NATPLAS</t>
        </is>
      </c>
      <c r="B2730" t="inlineStr">
        <is>
          <t xml:space="preserve">NATIONAL PLASTIC INDUSTRIES LT</t>
        </is>
      </c>
      <c r="C2730" t="inlineStr">
        <is>
          <t xml:space="preserve">INE233D01013</t>
        </is>
      </c>
    </row>
    <row r="2731">
      <c r="A2731" t="inlineStr">
        <is>
          <t xml:space="preserve">NATPLASTI</t>
        </is>
      </c>
      <c r="B2731" t="inlineStr">
        <is>
          <t xml:space="preserve">NATIONAL PLASTIC TECHNOLOGIES</t>
        </is>
      </c>
      <c r="C2731" t="inlineStr">
        <is>
          <t xml:space="preserve">INE896D01017</t>
        </is>
      </c>
    </row>
    <row r="2732">
      <c r="A2732" t="inlineStr">
        <is>
          <t xml:space="preserve">NATPLY</t>
        </is>
      </c>
      <c r="B2732" t="inlineStr">
        <is>
          <t xml:space="preserve">NATIONAL PLYWOOD INDUSTRIES LT</t>
        </is>
      </c>
      <c r="C2732" t="inlineStr">
        <is>
          <t xml:space="preserve">INE497C01016</t>
        </is>
      </c>
    </row>
    <row r="2733">
      <c r="A2733" t="inlineStr">
        <is>
          <t xml:space="preserve">NSDL</t>
        </is>
      </c>
      <c r="B2733" t="inlineStr">
        <is>
          <t xml:space="preserve">National Securities Depository</t>
        </is>
      </c>
      <c r="C2733" t="inlineStr">
        <is>
          <t xml:space="preserve">INE301O01023</t>
        </is>
      </c>
    </row>
    <row r="2734">
      <c r="A2734" t="inlineStr">
        <is>
          <t xml:space="preserve">NATIONSTD</t>
        </is>
      </c>
      <c r="B2734" t="inlineStr">
        <is>
          <t xml:space="preserve">NATIONAL STANDARD (INDIA) LTD.</t>
        </is>
      </c>
      <c r="C2734" t="inlineStr">
        <is>
          <t xml:space="preserve">INE166R01015</t>
        </is>
      </c>
    </row>
    <row r="2735">
      <c r="A2735" t="inlineStr">
        <is>
          <t xml:space="preserve">NATHUEC</t>
        </is>
      </c>
      <c r="B2735" t="inlineStr">
        <is>
          <t xml:space="preserve">NATURA HUE CHEM LTD.</t>
        </is>
      </c>
      <c r="C2735" t="inlineStr">
        <is>
          <t xml:space="preserve">INE487B01019</t>
        </is>
      </c>
    </row>
    <row r="2736">
      <c r="A2736" t="inlineStr">
        <is>
          <t xml:space="preserve">NATURAL</t>
        </is>
      </c>
      <c r="B2736" t="inlineStr">
        <is>
          <t xml:space="preserve">Natural Biocon (India) Limited</t>
        </is>
      </c>
      <c r="C2736" t="inlineStr">
        <is>
          <t xml:space="preserve">INE06MM01016</t>
        </is>
      </c>
    </row>
    <row r="2737">
      <c r="A2737" t="inlineStr">
        <is>
          <t xml:space="preserve">NATCAPSUQ</t>
        </is>
      </c>
      <c r="B2737" t="inlineStr">
        <is>
          <t xml:space="preserve">NATURAL CAPSULES LTD.</t>
        </is>
      </c>
      <c r="C2737" t="inlineStr">
        <is>
          <t xml:space="preserve">INE936B01015</t>
        </is>
      </c>
    </row>
    <row r="2738">
      <c r="A2738" t="inlineStr">
        <is>
          <t xml:space="preserve">NAPL</t>
        </is>
      </c>
      <c r="B2738" t="inlineStr">
        <is>
          <t xml:space="preserve">Naturite Agro Products Limited</t>
        </is>
      </c>
      <c r="C2738" t="inlineStr">
        <is>
          <t xml:space="preserve">INE223R01014</t>
        </is>
      </c>
    </row>
    <row r="2739">
      <c r="A2739" t="inlineStr">
        <is>
          <t xml:space="preserve">NAVA</t>
        </is>
      </c>
      <c r="B2739" t="inlineStr">
        <is>
          <t xml:space="preserve">NAVA LIMITED</t>
        </is>
      </c>
      <c r="C2739" t="inlineStr">
        <is>
          <t xml:space="preserve">INE725A01030</t>
        </is>
      </c>
    </row>
    <row r="2740">
      <c r="A2740" t="inlineStr">
        <is>
          <t xml:space="preserve">NAVINFLUOR</t>
        </is>
      </c>
      <c r="B2740" t="inlineStr">
        <is>
          <t xml:space="preserve">NAVIN FLUORINE INTERNATIONAL L</t>
        </is>
      </c>
      <c r="C2740" t="inlineStr">
        <is>
          <t xml:space="preserve">INE048G01026</t>
        </is>
      </c>
    </row>
    <row r="2741">
      <c r="A2741" t="inlineStr">
        <is>
          <t xml:space="preserve">NAVKARCORP</t>
        </is>
      </c>
      <c r="B2741" t="inlineStr">
        <is>
          <t xml:space="preserve">Navkar Corporation Limited</t>
        </is>
      </c>
      <c r="C2741" t="inlineStr">
        <is>
          <t xml:space="preserve">INE278M01019</t>
        </is>
      </c>
    </row>
    <row r="2742">
      <c r="A2742" t="inlineStr">
        <is>
          <t xml:space="preserve">NAVKARURB</t>
        </is>
      </c>
      <c r="B2742" t="inlineStr">
        <is>
          <t xml:space="preserve">NAVKAR URBANSTRUCTURE LIMITED</t>
        </is>
      </c>
      <c r="C2742" t="inlineStr">
        <is>
          <t xml:space="preserve">INE268H01044</t>
        </is>
      </c>
    </row>
    <row r="2743">
      <c r="A2743" t="inlineStr">
        <is>
          <t xml:space="preserve">NAVNETEDUL</t>
        </is>
      </c>
      <c r="B2743" t="inlineStr">
        <is>
          <t xml:space="preserve">NAVNEET EDUCATION LIMITED</t>
        </is>
      </c>
      <c r="C2743" t="inlineStr">
        <is>
          <t xml:space="preserve">INE060A01024</t>
        </is>
      </c>
    </row>
    <row r="2744">
      <c r="A2744" t="inlineStr">
        <is>
          <t xml:space="preserve">NAZARA</t>
        </is>
      </c>
      <c r="B2744" t="inlineStr">
        <is>
          <t xml:space="preserve">Nazara Technologies Limited</t>
        </is>
      </c>
      <c r="C2744" t="inlineStr">
        <is>
          <t xml:space="preserve">INE418L01047</t>
        </is>
      </c>
    </row>
    <row r="2745">
      <c r="A2745" t="inlineStr">
        <is>
          <t xml:space="preserve">NBFOOT</t>
        </is>
      </c>
      <c r="B2745" t="inlineStr">
        <is>
          <t xml:space="preserve">NB FOOTWEAR LTD.</t>
        </is>
      </c>
      <c r="C2745" t="inlineStr">
        <is>
          <t xml:space="preserve">INE006F01018</t>
        </is>
      </c>
    </row>
    <row r="2746">
      <c r="A2746" t="inlineStr">
        <is>
          <t xml:space="preserve">NBCC</t>
        </is>
      </c>
      <c r="B2746" t="inlineStr">
        <is>
          <t xml:space="preserve">NBCC (India) Limited</t>
        </is>
      </c>
      <c r="C2746" t="inlineStr">
        <is>
          <t xml:space="preserve">INE095N01031</t>
        </is>
      </c>
    </row>
    <row r="2747">
      <c r="A2747" t="inlineStr">
        <is>
          <t xml:space="preserve">1025NBSP27</t>
        </is>
      </c>
      <c r="B2747" t="inlineStr">
        <is>
          <t xml:space="preserve">NBSPL-10.25%-30-01-27-PVT</t>
        </is>
      </c>
      <c r="C2747" t="inlineStr">
        <is>
          <t xml:space="preserve">INE681R08125</t>
        </is>
      </c>
    </row>
    <row r="2748">
      <c r="A2748" t="inlineStr">
        <is>
          <t xml:space="preserve">NCC</t>
        </is>
      </c>
      <c r="B2748" t="inlineStr">
        <is>
          <t xml:space="preserve">NCC LIMITED</t>
        </is>
      </c>
      <c r="C2748" t="inlineStr">
        <is>
          <t xml:space="preserve">INE868B01028</t>
        </is>
      </c>
    </row>
    <row r="2749">
      <c r="A2749" t="inlineStr">
        <is>
          <t xml:space="preserve">NCLIND</t>
        </is>
      </c>
      <c r="B2749" t="inlineStr">
        <is>
          <t xml:space="preserve">NCL INDUSTRIES LTD.</t>
        </is>
      </c>
      <c r="C2749" t="inlineStr">
        <is>
          <t xml:space="preserve">INE732C01016</t>
        </is>
      </c>
    </row>
    <row r="2750">
      <c r="A2750" t="inlineStr">
        <is>
          <t xml:space="preserve">NCLRESE</t>
        </is>
      </c>
      <c r="B2750" t="inlineStr">
        <is>
          <t xml:space="preserve">NCL RESEARCH &amp; FINANCIAL SERVI</t>
        </is>
      </c>
      <c r="C2750" t="inlineStr">
        <is>
          <t xml:space="preserve">INE132F01038</t>
        </is>
      </c>
    </row>
    <row r="2751">
      <c r="A2751" t="inlineStr">
        <is>
          <t xml:space="preserve">1050NCL28</t>
        </is>
      </c>
      <c r="B2751" t="inlineStr">
        <is>
          <t xml:space="preserve">NCL-10.50%-12-2-28-PVT</t>
        </is>
      </c>
      <c r="C2751" t="inlineStr">
        <is>
          <t xml:space="preserve">INE136S07013</t>
        </is>
      </c>
    </row>
    <row r="2752">
      <c r="A2752" t="inlineStr">
        <is>
          <t xml:space="preserve">NDASEC</t>
        </is>
      </c>
      <c r="B2752" t="inlineStr">
        <is>
          <t xml:space="preserve">NDA SECURITIES LTD.</t>
        </is>
      </c>
      <c r="C2752" t="inlineStr">
        <is>
          <t xml:space="preserve">INE026C01013</t>
        </is>
      </c>
    </row>
    <row r="2753">
      <c r="A2753" t="inlineStr">
        <is>
          <t xml:space="preserve">NDLVENTURE</t>
        </is>
      </c>
      <c r="B2753" t="inlineStr">
        <is>
          <t xml:space="preserve">NDL Ventures Limited</t>
        </is>
      </c>
      <c r="C2753" t="inlineStr">
        <is>
          <t xml:space="preserve">INE353A01023</t>
        </is>
      </c>
    </row>
    <row r="2754">
      <c r="A2754" t="inlineStr">
        <is>
          <t xml:space="preserve">NDRAUTO</t>
        </is>
      </c>
      <c r="B2754" t="inlineStr">
        <is>
          <t xml:space="preserve">NDR Auto Components Limited</t>
        </is>
      </c>
      <c r="C2754" t="inlineStr">
        <is>
          <t xml:space="preserve">INE07OG01012</t>
        </is>
      </c>
    </row>
    <row r="2755">
      <c r="A2755" t="inlineStr">
        <is>
          <t xml:space="preserve">NECLIFE</t>
        </is>
      </c>
      <c r="B2755" t="inlineStr">
        <is>
          <t xml:space="preserve">NECTAR LIFESCIENCES LTD.</t>
        </is>
      </c>
      <c r="C2755" t="inlineStr">
        <is>
          <t xml:space="preserve">INE023H01027</t>
        </is>
      </c>
    </row>
    <row r="2756">
      <c r="A2756" t="inlineStr">
        <is>
          <t xml:space="preserve">NEAGI</t>
        </is>
      </c>
      <c r="B2756" t="inlineStr">
        <is>
          <t xml:space="preserve">NEELAMALAI AGRO INDUSTRIES LTD</t>
        </is>
      </c>
      <c r="C2756" t="inlineStr">
        <is>
          <t xml:space="preserve">INE605D01012</t>
        </is>
      </c>
    </row>
    <row r="2757">
      <c r="A2757" t="inlineStr">
        <is>
          <t xml:space="preserve">NEELKAN</t>
        </is>
      </c>
      <c r="B2757" t="inlineStr">
        <is>
          <t xml:space="preserve">NEELKANTH ROCKMINERALS LTD.</t>
        </is>
      </c>
      <c r="C2757" t="inlineStr">
        <is>
          <t xml:space="preserve">INE741D01015</t>
        </is>
      </c>
    </row>
    <row r="2758">
      <c r="A2758" t="inlineStr">
        <is>
          <t xml:space="preserve">NEETUYOSHI</t>
        </is>
      </c>
      <c r="B2758" t="inlineStr">
        <is>
          <t xml:space="preserve">Neetu Yoshi Limited</t>
        </is>
      </c>
      <c r="C2758" t="inlineStr">
        <is>
          <t xml:space="preserve">INE0UZO01024</t>
        </is>
      </c>
    </row>
    <row r="2759">
      <c r="A2759" t="inlineStr">
        <is>
          <t xml:space="preserve">NEIL</t>
        </is>
      </c>
      <c r="B2759" t="inlineStr">
        <is>
          <t xml:space="preserve">Neil Industries Ltd.</t>
        </is>
      </c>
      <c r="C2759" t="inlineStr">
        <is>
          <t xml:space="preserve">INE396C01010</t>
        </is>
      </c>
    </row>
    <row r="2760">
      <c r="A2760" t="inlineStr">
        <is>
          <t xml:space="preserve">NELCAST</t>
        </is>
      </c>
      <c r="B2760" t="inlineStr">
        <is>
          <t xml:space="preserve">NELCAST LTD.</t>
        </is>
      </c>
      <c r="C2760" t="inlineStr">
        <is>
          <t xml:space="preserve">INE189I01024</t>
        </is>
      </c>
    </row>
    <row r="2761">
      <c r="A2761" t="inlineStr">
        <is>
          <t xml:space="preserve">NELCO</t>
        </is>
      </c>
      <c r="B2761" t="inlineStr">
        <is>
          <t xml:space="preserve">NELCO LTD.</t>
        </is>
      </c>
      <c r="C2761" t="inlineStr">
        <is>
          <t xml:space="preserve">INE045B01015</t>
        </is>
      </c>
    </row>
    <row r="2762">
      <c r="A2762" t="inlineStr">
        <is>
          <t xml:space="preserve">NEOINFRA</t>
        </is>
      </c>
      <c r="B2762" t="inlineStr">
        <is>
          <t xml:space="preserve">NEO INFRACON LTD.</t>
        </is>
      </c>
      <c r="C2762" t="inlineStr">
        <is>
          <t xml:space="preserve">INE216I01017</t>
        </is>
      </c>
    </row>
    <row r="2763">
      <c r="A2763" t="inlineStr">
        <is>
          <t xml:space="preserve">NEOGEN</t>
        </is>
      </c>
      <c r="B2763" t="inlineStr">
        <is>
          <t xml:space="preserve">Neogen Chemicals Limited</t>
        </is>
      </c>
      <c r="C2763" t="inlineStr">
        <is>
          <t xml:space="preserve">INE136S01016</t>
        </is>
      </c>
    </row>
    <row r="2764">
      <c r="A2764" t="inlineStr">
        <is>
          <t xml:space="preserve">NPFL</t>
        </is>
      </c>
      <c r="B2764" t="inlineStr">
        <is>
          <t xml:space="preserve">NEOPOLITAN PIZZA AND FOODS LIM</t>
        </is>
      </c>
      <c r="C2764" t="inlineStr">
        <is>
          <t xml:space="preserve">INE471R01019</t>
        </is>
      </c>
    </row>
    <row r="2765">
      <c r="A2765" t="inlineStr">
        <is>
          <t xml:space="preserve">NEPHROPLUS</t>
        </is>
      </c>
      <c r="B2765" t="inlineStr">
        <is>
          <t xml:space="preserve">Nephrocare Health Services Lim</t>
        </is>
      </c>
      <c r="C2765" t="inlineStr">
        <is>
          <t xml:space="preserve">INE428V01029</t>
        </is>
      </c>
    </row>
    <row r="2766">
      <c r="A2766" t="inlineStr">
        <is>
          <t xml:space="preserve">NEPLOG</t>
        </is>
      </c>
      <c r="B2766" t="inlineStr">
        <is>
          <t xml:space="preserve">NEPTUNE LOGITEK LIMITED</t>
        </is>
      </c>
      <c r="C2766" t="inlineStr">
        <is>
          <t xml:space="preserve">INE1NQ501012</t>
        </is>
      </c>
    </row>
    <row r="2767">
      <c r="A2767" t="inlineStr">
        <is>
          <t xml:space="preserve">NESCO</t>
        </is>
      </c>
      <c r="B2767" t="inlineStr">
        <is>
          <t xml:space="preserve">NESCO LTD.</t>
        </is>
      </c>
      <c r="C2767" t="inlineStr">
        <is>
          <t xml:space="preserve">INE317F01035</t>
        </is>
      </c>
    </row>
    <row r="2768">
      <c r="A2768" t="inlineStr">
        <is>
          <t xml:space="preserve">NESTLEIND</t>
        </is>
      </c>
      <c r="B2768" t="inlineStr">
        <is>
          <t xml:space="preserve">NESTLE INDIA LTD.</t>
        </is>
      </c>
      <c r="C2768" t="inlineStr">
        <is>
          <t xml:space="preserve">INE239A01024</t>
        </is>
      </c>
    </row>
    <row r="2769">
      <c r="A2769" t="inlineStr">
        <is>
          <t xml:space="preserve">NETLINK</t>
        </is>
      </c>
      <c r="B2769" t="inlineStr">
        <is>
          <t xml:space="preserve">NETLINK SOLUTIONS (INDIA) LTD.</t>
        </is>
      </c>
      <c r="C2769" t="inlineStr">
        <is>
          <t xml:space="preserve">INE040F01033</t>
        </is>
      </c>
    </row>
    <row r="2770">
      <c r="A2770" t="inlineStr">
        <is>
          <t xml:space="preserve">NETTLINX</t>
        </is>
      </c>
      <c r="B2770" t="inlineStr">
        <is>
          <t xml:space="preserve">NETTLINX LTD.</t>
        </is>
      </c>
      <c r="C2770" t="inlineStr">
        <is>
          <t xml:space="preserve">INE027D01019</t>
        </is>
      </c>
    </row>
    <row r="2771">
      <c r="A2771" t="inlineStr">
        <is>
          <t xml:space="preserve">NETWEB</t>
        </is>
      </c>
      <c r="B2771" t="inlineStr">
        <is>
          <t xml:space="preserve">NETWEB TECHNOLOGIES INDIA LIMI</t>
        </is>
      </c>
      <c r="C2771" t="inlineStr">
        <is>
          <t xml:space="preserve">INE0NT901020</t>
        </is>
      </c>
    </row>
    <row r="2772">
      <c r="A2772" t="inlineStr">
        <is>
          <t xml:space="preserve">NPST</t>
        </is>
      </c>
      <c r="B2772" t="inlineStr">
        <is>
          <t xml:space="preserve">Network People Services Techno</t>
        </is>
      </c>
      <c r="C2772" t="inlineStr">
        <is>
          <t xml:space="preserve">INE0FFK01017</t>
        </is>
      </c>
    </row>
    <row r="2773">
      <c r="A2773" t="inlineStr">
        <is>
          <t xml:space="preserve">NETWORK18</t>
        </is>
      </c>
      <c r="B2773" t="inlineStr">
        <is>
          <t xml:space="preserve">NETWORK18 MEDIA &amp; INVESTMENTS</t>
        </is>
      </c>
      <c r="C2773" t="inlineStr">
        <is>
          <t xml:space="preserve">INE870H01013</t>
        </is>
      </c>
    </row>
    <row r="2774">
      <c r="A2774" t="inlineStr">
        <is>
          <t xml:space="preserve">NEUEON</t>
        </is>
      </c>
      <c r="B2774" t="inlineStr">
        <is>
          <t xml:space="preserve">Neueon Corporation Limited</t>
        </is>
      </c>
      <c r="C2774" t="inlineStr">
        <is>
          <t xml:space="preserve">INE333I01044</t>
        </is>
      </c>
    </row>
    <row r="2775">
      <c r="A2775" t="inlineStr">
        <is>
          <t xml:space="preserve">NEULANDLAB</t>
        </is>
      </c>
      <c r="B2775" t="inlineStr">
        <is>
          <t xml:space="preserve">NEULAND LABORATORIES LTD.</t>
        </is>
      </c>
      <c r="C2775" t="inlineStr">
        <is>
          <t xml:space="preserve">INE794A01010</t>
        </is>
      </c>
    </row>
    <row r="2776">
      <c r="A2776" t="inlineStr">
        <is>
          <t xml:space="preserve">NDTV</t>
        </is>
      </c>
      <c r="B2776" t="inlineStr">
        <is>
          <t xml:space="preserve">NEW DELHI TELEVISION LTD.</t>
        </is>
      </c>
      <c r="C2776" t="inlineStr">
        <is>
          <t xml:space="preserve">INE155G01029</t>
        </is>
      </c>
    </row>
    <row r="2777">
      <c r="A2777" t="inlineStr">
        <is>
          <t xml:space="preserve">NEWLIGHT</t>
        </is>
      </c>
      <c r="B2777" t="inlineStr">
        <is>
          <t xml:space="preserve">NEW LIGHT INDUSTRIES LIMITED</t>
        </is>
      </c>
      <c r="C2777" t="inlineStr">
        <is>
          <t xml:space="preserve">INE835U01027</t>
        </is>
      </c>
    </row>
    <row r="2778">
      <c r="A2778" t="inlineStr">
        <is>
          <t xml:space="preserve">SWANAGRO</t>
        </is>
      </c>
      <c r="B2778" t="inlineStr">
        <is>
          <t xml:space="preserve">New Swan Multitech Limited</t>
        </is>
      </c>
      <c r="C2778" t="inlineStr">
        <is>
          <t xml:space="preserve">INE0GEN01012</t>
        </is>
      </c>
    </row>
    <row r="2779">
      <c r="A2779" t="inlineStr">
        <is>
          <t xml:space="preserve">NEWGEN</t>
        </is>
      </c>
      <c r="B2779" t="inlineStr">
        <is>
          <t xml:space="preserve">Newgen Software Technologies L</t>
        </is>
      </c>
      <c r="C2779" t="inlineStr">
        <is>
          <t xml:space="preserve">INE619B01017</t>
        </is>
      </c>
    </row>
    <row r="2780">
      <c r="A2780" t="inlineStr">
        <is>
          <t xml:space="preserve">NEWINFRA</t>
        </is>
      </c>
      <c r="B2780" t="inlineStr">
        <is>
          <t xml:space="preserve">NEWTIME INFRASTRUCTURE LIMITED</t>
        </is>
      </c>
      <c r="C2780" t="inlineStr">
        <is>
          <t xml:space="preserve">INE997D01021</t>
        </is>
      </c>
    </row>
    <row r="2781">
      <c r="A2781" t="inlineStr">
        <is>
          <t xml:space="preserve">NEWTRAC</t>
        </is>
      </c>
      <c r="B2781" t="inlineStr">
        <is>
          <t xml:space="preserve">NEWTRAC FOODS &amp; BEVERAGES LIMI</t>
        </is>
      </c>
      <c r="C2781" t="inlineStr">
        <is>
          <t xml:space="preserve">INE229N01010</t>
        </is>
      </c>
    </row>
    <row r="2782">
      <c r="A2782" t="inlineStr">
        <is>
          <t xml:space="preserve">NEXOME</t>
        </is>
      </c>
      <c r="B2782" t="inlineStr">
        <is>
          <t xml:space="preserve">NEXOME CAPITAL MARKETS LIMITED</t>
        </is>
      </c>
      <c r="C2782" t="inlineStr">
        <is>
          <t xml:space="preserve">INE641A01013</t>
        </is>
      </c>
    </row>
    <row r="2783">
      <c r="A2783" t="inlineStr">
        <is>
          <t xml:space="preserve">NEXTMEDIA</t>
        </is>
      </c>
      <c r="B2783" t="inlineStr">
        <is>
          <t xml:space="preserve">NEXT MEDIAWORKS LTD.</t>
        </is>
      </c>
      <c r="C2783" t="inlineStr">
        <is>
          <t xml:space="preserve">INE747B01016</t>
        </is>
      </c>
    </row>
    <row r="2784">
      <c r="A2784" t="inlineStr">
        <is>
          <t xml:space="preserve">NXST</t>
        </is>
      </c>
      <c r="B2784" t="inlineStr">
        <is>
          <t xml:space="preserve">Nexus Select Trust</t>
        </is>
      </c>
      <c r="C2784" t="inlineStr">
        <is>
          <t xml:space="preserve">INE0NDH25011</t>
        </is>
      </c>
    </row>
    <row r="2785">
      <c r="A2785" t="inlineStr">
        <is>
          <t xml:space="preserve">NEXUSSURGL</t>
        </is>
      </c>
      <c r="B2785" t="inlineStr">
        <is>
          <t xml:space="preserve">NEXUS SURGICAL AND MEDICARE LI</t>
        </is>
      </c>
      <c r="C2785" t="inlineStr">
        <is>
          <t xml:space="preserve">INE370Q01015</t>
        </is>
      </c>
    </row>
    <row r="2786">
      <c r="A2786" t="inlineStr">
        <is>
          <t xml:space="preserve">NEXXUS</t>
        </is>
      </c>
      <c r="B2786" t="inlineStr">
        <is>
          <t xml:space="preserve">Nexxus Petro Industries Limite</t>
        </is>
      </c>
      <c r="C2786" t="inlineStr">
        <is>
          <t xml:space="preserve">INE0QUL01011</t>
        </is>
      </c>
    </row>
    <row r="2787">
      <c r="A2787" t="inlineStr">
        <is>
          <t xml:space="preserve">10NFL27</t>
        </is>
      </c>
      <c r="B2787" t="inlineStr">
        <is>
          <t xml:space="preserve">NFL-10%-25-03-27-PVT</t>
        </is>
      </c>
      <c r="C2787" t="inlineStr">
        <is>
          <t xml:space="preserve">INE342T07619</t>
        </is>
      </c>
    </row>
    <row r="2788">
      <c r="A2788" t="inlineStr">
        <is>
          <t xml:space="preserve">1030NFL27</t>
        </is>
      </c>
      <c r="B2788" t="inlineStr">
        <is>
          <t xml:space="preserve">NFL-10.30%-30-09-27-PVT</t>
        </is>
      </c>
      <c r="C2788" t="inlineStr">
        <is>
          <t xml:space="preserve">INE342T07635</t>
        </is>
      </c>
    </row>
    <row r="2789">
      <c r="A2789" t="inlineStr">
        <is>
          <t xml:space="preserve">1030NFL028</t>
        </is>
      </c>
      <c r="B2789" t="inlineStr">
        <is>
          <t xml:space="preserve">NFL-10.30%-31-3-28-PVT</t>
        </is>
      </c>
      <c r="C2789" t="inlineStr">
        <is>
          <t xml:space="preserve">INE342T07718</t>
        </is>
      </c>
    </row>
    <row r="2790">
      <c r="A2790" t="inlineStr">
        <is>
          <t xml:space="preserve">1040NFL26A</t>
        </is>
      </c>
      <c r="B2790" t="inlineStr">
        <is>
          <t xml:space="preserve">NFL-10.40%-13-11-26-PVT</t>
        </is>
      </c>
      <c r="C2790" t="inlineStr">
        <is>
          <t xml:space="preserve">INE342T07510</t>
        </is>
      </c>
    </row>
    <row r="2791">
      <c r="A2791" t="inlineStr">
        <is>
          <t xml:space="preserve">1060NFL27</t>
        </is>
      </c>
      <c r="B2791" t="inlineStr">
        <is>
          <t xml:space="preserve">NFL-10.60%-21-5-27-PVT</t>
        </is>
      </c>
      <c r="C2791" t="inlineStr">
        <is>
          <t xml:space="preserve">INE342T07569</t>
        </is>
      </c>
    </row>
    <row r="2792">
      <c r="A2792" t="inlineStr">
        <is>
          <t xml:space="preserve">1065NFL27</t>
        </is>
      </c>
      <c r="B2792" t="inlineStr">
        <is>
          <t xml:space="preserve">NFL-10.65%-13-3-27-NCD</t>
        </is>
      </c>
      <c r="C2792" t="inlineStr">
        <is>
          <t xml:space="preserve">INE342T07460</t>
        </is>
      </c>
    </row>
    <row r="2793">
      <c r="A2793" t="inlineStr">
        <is>
          <t xml:space="preserve">1075NFL28</t>
        </is>
      </c>
      <c r="B2793" t="inlineStr">
        <is>
          <t xml:space="preserve">NFL-10.75%-19-8-28-PVT</t>
        </is>
      </c>
      <c r="C2793" t="inlineStr">
        <is>
          <t xml:space="preserve">INE342T07601</t>
        </is>
      </c>
    </row>
    <row r="2794">
      <c r="A2794" t="inlineStr">
        <is>
          <t xml:space="preserve">1075NFL27</t>
        </is>
      </c>
      <c r="B2794" t="inlineStr">
        <is>
          <t xml:space="preserve">NFL-10.75%-31-12-27-PVT</t>
        </is>
      </c>
      <c r="C2794" t="inlineStr">
        <is>
          <t xml:space="preserve">INE342T07544</t>
        </is>
      </c>
    </row>
    <row r="2795">
      <c r="A2795" t="inlineStr">
        <is>
          <t xml:space="preserve">1075NFL28A</t>
        </is>
      </c>
      <c r="B2795" t="inlineStr">
        <is>
          <t xml:space="preserve">NFL-10.75%-31-12-28-PVT</t>
        </is>
      </c>
      <c r="C2795" t="inlineStr">
        <is>
          <t xml:space="preserve">INE342T07668</t>
        </is>
      </c>
    </row>
    <row r="2796">
      <c r="A2796" t="inlineStr">
        <is>
          <t xml:space="preserve">1075NFL29</t>
        </is>
      </c>
      <c r="B2796" t="inlineStr">
        <is>
          <t xml:space="preserve">NFL-10.75%-31-8-29-PVT</t>
        </is>
      </c>
      <c r="C2796" t="inlineStr">
        <is>
          <t xml:space="preserve">INE342T07726</t>
        </is>
      </c>
    </row>
    <row r="2797">
      <c r="A2797" t="inlineStr">
        <is>
          <t xml:space="preserve">1119NFL27</t>
        </is>
      </c>
      <c r="B2797" t="inlineStr">
        <is>
          <t xml:space="preserve">NFL-11.19%-13-3-27-NCD</t>
        </is>
      </c>
      <c r="C2797" t="inlineStr">
        <is>
          <t xml:space="preserve">INE342T07445</t>
        </is>
      </c>
    </row>
    <row r="2798">
      <c r="A2798" t="inlineStr">
        <is>
          <t xml:space="preserve">NGLFINE</t>
        </is>
      </c>
      <c r="B2798" t="inlineStr">
        <is>
          <t xml:space="preserve">NGL FINE-CHEM LTD.</t>
        </is>
      </c>
      <c r="C2798" t="inlineStr">
        <is>
          <t xml:space="preserve">INE887E01022</t>
        </is>
      </c>
    </row>
    <row r="2799">
      <c r="A2799" t="inlineStr">
        <is>
          <t xml:space="preserve">728NHAI30</t>
        </is>
      </c>
      <c r="B2799" t="inlineStr">
        <is>
          <t xml:space="preserve">NHAI-7.28%-18-9-30-PVT</t>
        </is>
      </c>
      <c r="C2799" t="inlineStr">
        <is>
          <t xml:space="preserve">INE906B07EF6</t>
        </is>
      </c>
    </row>
    <row r="2800">
      <c r="A2800" t="inlineStr">
        <is>
          <t xml:space="preserve">NHCFOODS</t>
        </is>
      </c>
      <c r="B2800" t="inlineStr">
        <is>
          <t xml:space="preserve">NHC FOODS LTD.</t>
        </is>
      </c>
      <c r="C2800" t="inlineStr">
        <is>
          <t xml:space="preserve">INE141C01036</t>
        </is>
      </c>
    </row>
    <row r="2801">
      <c r="A2801" t="inlineStr">
        <is>
          <t xml:space="preserve">NHFL10925A</t>
        </is>
      </c>
      <c r="B2801" t="inlineStr">
        <is>
          <t xml:space="preserve">NHFL-10-09-30-NCD</t>
        </is>
      </c>
      <c r="C2801" t="inlineStr">
        <is>
          <t xml:space="preserve">INE530L07BH5</t>
        </is>
      </c>
    </row>
    <row r="2802">
      <c r="A2802" t="inlineStr">
        <is>
          <t xml:space="preserve">1003NIDO29</t>
        </is>
      </c>
      <c r="B2802" t="inlineStr">
        <is>
          <t xml:space="preserve">NHFL-10.03%-1-3-29-NCD</t>
        </is>
      </c>
      <c r="C2802" t="inlineStr">
        <is>
          <t xml:space="preserve">INE530L07665</t>
        </is>
      </c>
    </row>
    <row r="2803">
      <c r="A2803" t="inlineStr">
        <is>
          <t xml:space="preserve">1026NHFL34</t>
        </is>
      </c>
      <c r="B2803" t="inlineStr">
        <is>
          <t xml:space="preserve">NHFL-10.26%-3-7-34-NCD</t>
        </is>
      </c>
      <c r="C2803" t="inlineStr">
        <is>
          <t xml:space="preserve">INE530L07780</t>
        </is>
      </c>
    </row>
    <row r="2804">
      <c r="A2804" t="inlineStr">
        <is>
          <t xml:space="preserve">1050NHFL35</t>
        </is>
      </c>
      <c r="B2804" t="inlineStr">
        <is>
          <t xml:space="preserve">NHFL-10.50%-10-09-35-NCD</t>
        </is>
      </c>
      <c r="C2804" t="inlineStr">
        <is>
          <t xml:space="preserve">INE530L07AZ9</t>
        </is>
      </c>
    </row>
    <row r="2805">
      <c r="A2805" t="inlineStr">
        <is>
          <t xml:space="preserve">1050NHF30</t>
        </is>
      </c>
      <c r="B2805" t="inlineStr">
        <is>
          <t xml:space="preserve">NHFL-10.50%-3-4-30-NCD</t>
        </is>
      </c>
      <c r="C2805" t="inlineStr">
        <is>
          <t xml:space="preserve">INE530L07AN5</t>
        </is>
      </c>
    </row>
    <row r="2806">
      <c r="A2806" t="inlineStr">
        <is>
          <t xml:space="preserve">9NHFL27</t>
        </is>
      </c>
      <c r="B2806" t="inlineStr">
        <is>
          <t xml:space="preserve">NHFL-9%-10-09-27-NCD</t>
        </is>
      </c>
      <c r="C2806" t="inlineStr">
        <is>
          <t xml:space="preserve">INE530L07BB8</t>
        </is>
      </c>
    </row>
    <row r="2807">
      <c r="A2807" t="inlineStr">
        <is>
          <t xml:space="preserve">958NHFL27A</t>
        </is>
      </c>
      <c r="B2807" t="inlineStr">
        <is>
          <t xml:space="preserve">NHFL-9.58%-8-10-27-NCD</t>
        </is>
      </c>
      <c r="C2807" t="inlineStr">
        <is>
          <t xml:space="preserve">INE530L07855</t>
        </is>
      </c>
    </row>
    <row r="2808">
      <c r="A2808" t="inlineStr">
        <is>
          <t xml:space="preserve">79NHIT40</t>
        </is>
      </c>
      <c r="B2808" t="inlineStr">
        <is>
          <t xml:space="preserve">NHIT-25-10-40-INVIT</t>
        </is>
      </c>
      <c r="C2808" t="inlineStr">
        <is>
          <t xml:space="preserve">INE0H7R07025</t>
        </is>
      </c>
    </row>
    <row r="2809">
      <c r="A2809" t="inlineStr">
        <is>
          <t xml:space="preserve">NHPC</t>
        </is>
      </c>
      <c r="B2809" t="inlineStr">
        <is>
          <t xml:space="preserve">NHPC LTD.</t>
        </is>
      </c>
      <c r="C2809" t="inlineStr">
        <is>
          <t xml:space="preserve">INE848E01016</t>
        </is>
      </c>
    </row>
    <row r="2810">
      <c r="A2810" t="inlineStr">
        <is>
          <t xml:space="preserve">NIBE</t>
        </is>
      </c>
      <c r="B2810" t="inlineStr">
        <is>
          <t xml:space="preserve">NIBE LIMITED</t>
        </is>
      </c>
      <c r="C2810" t="inlineStr">
        <is>
          <t xml:space="preserve">INE149O01018</t>
        </is>
      </c>
    </row>
    <row r="2811">
      <c r="A2811" t="inlineStr">
        <is>
          <t xml:space="preserve">NICCOPAR</t>
        </is>
      </c>
      <c r="B2811" t="inlineStr">
        <is>
          <t xml:space="preserve">NICCO PARKS &amp; RESORTS LTD.</t>
        </is>
      </c>
      <c r="C2811" t="inlineStr">
        <is>
          <t xml:space="preserve">INE653C01022</t>
        </is>
      </c>
    </row>
    <row r="2812">
      <c r="A2812" t="inlineStr">
        <is>
          <t xml:space="preserve">NIDHGRN</t>
        </is>
      </c>
      <c r="B2812" t="inlineStr">
        <is>
          <t xml:space="preserve">NIDHI GRANITES LTD.</t>
        </is>
      </c>
      <c r="C2812" t="inlineStr">
        <is>
          <t xml:space="preserve">INE276H01013</t>
        </is>
      </c>
    </row>
    <row r="2813">
      <c r="A2813" t="inlineStr">
        <is>
          <t xml:space="preserve">915NIDO27</t>
        </is>
      </c>
      <c r="B2813" t="inlineStr">
        <is>
          <t xml:space="preserve">NIDO-9.15%-29-4-27-NCD</t>
        </is>
      </c>
      <c r="C2813" t="inlineStr">
        <is>
          <t xml:space="preserve">INE530L07475</t>
        </is>
      </c>
    </row>
    <row r="2814">
      <c r="A2814" t="inlineStr">
        <is>
          <t xml:space="preserve">970NIDO32</t>
        </is>
      </c>
      <c r="B2814" t="inlineStr">
        <is>
          <t xml:space="preserve">NIDO-9.70%-29-4-32-NCD</t>
        </is>
      </c>
      <c r="C2814" t="inlineStr">
        <is>
          <t xml:space="preserve">INE530L07517</t>
        </is>
      </c>
    </row>
    <row r="2815">
      <c r="A2815" t="inlineStr">
        <is>
          <t xml:space="preserve">NIHARINF</t>
        </is>
      </c>
      <c r="B2815" t="inlineStr">
        <is>
          <t xml:space="preserve">NIHAR INFO GLOBAL LTD.</t>
        </is>
      </c>
      <c r="C2815" t="inlineStr">
        <is>
          <t xml:space="preserve">INE876E01033</t>
        </is>
      </c>
    </row>
    <row r="2816">
      <c r="A2816" t="inlineStr">
        <is>
          <t xml:space="preserve">NIITMTS</t>
        </is>
      </c>
      <c r="B2816" t="inlineStr">
        <is>
          <t xml:space="preserve">NIIT Learning Systems Limited</t>
        </is>
      </c>
      <c r="C2816" t="inlineStr">
        <is>
          <t xml:space="preserve">INE342G01023</t>
        </is>
      </c>
    </row>
    <row r="2817">
      <c r="A2817" t="inlineStr">
        <is>
          <t xml:space="preserve">NIITLTD</t>
        </is>
      </c>
      <c r="B2817" t="inlineStr">
        <is>
          <t xml:space="preserve">NIIT LTD.</t>
        </is>
      </c>
      <c r="C2817" t="inlineStr">
        <is>
          <t xml:space="preserve">INE161A01038</t>
        </is>
      </c>
    </row>
    <row r="2818">
      <c r="A2818" t="inlineStr">
        <is>
          <t xml:space="preserve">NIKHILAD</t>
        </is>
      </c>
      <c r="B2818" t="inlineStr">
        <is>
          <t xml:space="preserve">NIKHIL ADHESIVES LTD.</t>
        </is>
      </c>
      <c r="C2818" t="inlineStr">
        <is>
          <t xml:space="preserve">INE926C01022</t>
        </is>
      </c>
    </row>
    <row r="2819">
      <c r="A2819" t="inlineStr">
        <is>
          <t xml:space="preserve">NIKKIGL</t>
        </is>
      </c>
      <c r="B2819" t="inlineStr">
        <is>
          <t xml:space="preserve">NIKKI GLOBAL FINANCE LTD.</t>
        </is>
      </c>
      <c r="C2819" t="inlineStr">
        <is>
          <t xml:space="preserve">INE526C01012</t>
        </is>
      </c>
    </row>
    <row r="2820">
      <c r="A2820" t="inlineStr">
        <is>
          <t xml:space="preserve">NILAINFRA</t>
        </is>
      </c>
      <c r="B2820" t="inlineStr">
        <is>
          <t xml:space="preserve">NILA INFRASTRUCTURES LTD.</t>
        </is>
      </c>
      <c r="C2820" t="inlineStr">
        <is>
          <t xml:space="preserve">INE937C01029</t>
        </is>
      </c>
    </row>
    <row r="2821">
      <c r="A2821" t="inlineStr">
        <is>
          <t xml:space="preserve">NILASPACES</t>
        </is>
      </c>
      <c r="B2821" t="inlineStr">
        <is>
          <t xml:space="preserve">Nila Spaces Ltd</t>
        </is>
      </c>
      <c r="C2821" t="inlineStr">
        <is>
          <t xml:space="preserve">INE00S901012</t>
        </is>
      </c>
    </row>
    <row r="2822">
      <c r="A2822" t="inlineStr">
        <is>
          <t xml:space="preserve">NCML</t>
        </is>
      </c>
      <c r="B2822" t="inlineStr">
        <is>
          <t xml:space="preserve">NILACHAL CARBO METALICKS LIMIT</t>
        </is>
      </c>
      <c r="C2822" t="inlineStr">
        <is>
          <t xml:space="preserve">INE346R01013</t>
        </is>
      </c>
    </row>
    <row r="2823">
      <c r="A2823" t="inlineStr">
        <is>
          <t xml:space="preserve">NILACHAL</t>
        </is>
      </c>
      <c r="B2823" t="inlineStr">
        <is>
          <t xml:space="preserve">NILACHAL REFRACTORIES LTD.</t>
        </is>
      </c>
      <c r="C2823" t="inlineStr">
        <is>
          <t xml:space="preserve">INE416N01013</t>
        </is>
      </c>
    </row>
    <row r="2824">
      <c r="A2824" t="inlineStr">
        <is>
          <t xml:space="preserve">NILE</t>
        </is>
      </c>
      <c r="B2824" t="inlineStr">
        <is>
          <t xml:space="preserve">NILE LTD.</t>
        </is>
      </c>
      <c r="C2824" t="inlineStr">
        <is>
          <t xml:space="preserve">INE445D01013</t>
        </is>
      </c>
    </row>
    <row r="2825">
      <c r="A2825" t="inlineStr">
        <is>
          <t xml:space="preserve">NILKAMAL</t>
        </is>
      </c>
      <c r="B2825" t="inlineStr">
        <is>
          <t xml:space="preserve">NILKAMAL LTD.</t>
        </is>
      </c>
      <c r="C2825" t="inlineStr">
        <is>
          <t xml:space="preserve">INE310A01015</t>
        </is>
      </c>
    </row>
    <row r="2826">
      <c r="A2826" t="inlineStr">
        <is>
          <t xml:space="preserve">NIMBSPROJ</t>
        </is>
      </c>
      <c r="B2826" t="inlineStr">
        <is>
          <t xml:space="preserve">NIMBUS PROJECTS LTD.</t>
        </is>
      </c>
      <c r="C2826" t="inlineStr">
        <is>
          <t xml:space="preserve">INE875B01015</t>
        </is>
      </c>
    </row>
    <row r="2827">
      <c r="A2827" t="inlineStr">
        <is>
          <t xml:space="preserve">NINSYS</t>
        </is>
      </c>
      <c r="B2827" t="inlineStr">
        <is>
          <t xml:space="preserve">NINtec Systems Limited</t>
        </is>
      </c>
      <c r="C2827" t="inlineStr">
        <is>
          <t xml:space="preserve">INE395U01014</t>
        </is>
      </c>
    </row>
    <row r="2828">
      <c r="A2828" t="inlineStr">
        <is>
          <t xml:space="preserve">NAM-INDIA</t>
        </is>
      </c>
      <c r="B2828" t="inlineStr">
        <is>
          <t xml:space="preserve">NIPPON LIFE INDIA ASSET MANAGE</t>
        </is>
      </c>
      <c r="C2828" t="inlineStr">
        <is>
          <t xml:space="preserve">INE298J01013</t>
        </is>
      </c>
    </row>
    <row r="2829">
      <c r="A2829" t="inlineStr">
        <is>
          <t xml:space="preserve">NIRAJ</t>
        </is>
      </c>
      <c r="B2829" t="inlineStr">
        <is>
          <t xml:space="preserve">NIRAJ CEMENT STRUCTURALS LTD.</t>
        </is>
      </c>
      <c r="C2829" t="inlineStr">
        <is>
          <t xml:space="preserve">INE368I01016</t>
        </is>
      </c>
    </row>
    <row r="2830">
      <c r="A2830" t="inlineStr">
        <is>
          <t xml:space="preserve">NIRAVCOM</t>
        </is>
      </c>
      <c r="B2830" t="inlineStr">
        <is>
          <t xml:space="preserve">NIRAV COMMERCIALS LTD.</t>
        </is>
      </c>
      <c r="C2830" t="inlineStr">
        <is>
          <t xml:space="preserve">INE242B01018</t>
        </is>
      </c>
    </row>
    <row r="2831">
      <c r="A2831" t="inlineStr">
        <is>
          <t xml:space="preserve">NIRLON</t>
        </is>
      </c>
      <c r="B2831" t="inlineStr">
        <is>
          <t xml:space="preserve">NIRLON LTD.</t>
        </is>
      </c>
      <c r="C2831" t="inlineStr">
        <is>
          <t xml:space="preserve">INE910A01012</t>
        </is>
      </c>
    </row>
    <row r="2832">
      <c r="A2832" t="inlineStr">
        <is>
          <t xml:space="preserve">NISUS</t>
        </is>
      </c>
      <c r="B2832" t="inlineStr">
        <is>
          <t xml:space="preserve">NISUS FINANCE SERVICES CO LIMI</t>
        </is>
      </c>
      <c r="C2832" t="inlineStr">
        <is>
          <t xml:space="preserve">INE0DQN01013</t>
        </is>
      </c>
    </row>
    <row r="2833">
      <c r="A2833" t="inlineStr">
        <is>
          <t xml:space="preserve">NITCO</t>
        </is>
      </c>
      <c r="B2833" t="inlineStr">
        <is>
          <t xml:space="preserve">NITCO LTD.</t>
        </is>
      </c>
      <c r="C2833" t="inlineStr">
        <is>
          <t xml:space="preserve">INE858F01012</t>
        </is>
      </c>
    </row>
    <row r="2834">
      <c r="A2834" t="inlineStr">
        <is>
          <t xml:space="preserve">NITINCAST</t>
        </is>
      </c>
      <c r="B2834" t="inlineStr">
        <is>
          <t xml:space="preserve">Nitin Castings Limited</t>
        </is>
      </c>
      <c r="C2834" t="inlineStr">
        <is>
          <t xml:space="preserve">INE861H01020</t>
        </is>
      </c>
    </row>
    <row r="2835">
      <c r="A2835" t="inlineStr">
        <is>
          <t xml:space="preserve">NITINSPIN</t>
        </is>
      </c>
      <c r="B2835" t="inlineStr">
        <is>
          <t xml:space="preserve">NITIN SPINNERS LTD.</t>
        </is>
      </c>
      <c r="C2835" t="inlineStr">
        <is>
          <t xml:space="preserve">INE229H01012</t>
        </is>
      </c>
    </row>
    <row r="2836">
      <c r="A2836" t="inlineStr">
        <is>
          <t xml:space="preserve">NITTAGELA</t>
        </is>
      </c>
      <c r="B2836" t="inlineStr">
        <is>
          <t xml:space="preserve">NITTA GELATIN INDIA LTD.</t>
        </is>
      </c>
      <c r="C2836" t="inlineStr">
        <is>
          <t xml:space="preserve">INE265B01019</t>
        </is>
      </c>
    </row>
    <row r="2837">
      <c r="A2837" t="inlineStr">
        <is>
          <t xml:space="preserve">NIVABUPA</t>
        </is>
      </c>
      <c r="B2837" t="inlineStr">
        <is>
          <t xml:space="preserve">NIVA BUPA HEALTH INSURANCE COM</t>
        </is>
      </c>
      <c r="C2837" t="inlineStr">
        <is>
          <t xml:space="preserve">INE995S01015</t>
        </is>
      </c>
    </row>
    <row r="2838">
      <c r="A2838" t="inlineStr">
        <is>
          <t xml:space="preserve">NIVAKA</t>
        </is>
      </c>
      <c r="B2838" t="inlineStr">
        <is>
          <t xml:space="preserve">NIVAKA FASHIONS LIMITED</t>
        </is>
      </c>
      <c r="C2838" t="inlineStr">
        <is>
          <t xml:space="preserve">INE139E01028</t>
        </is>
      </c>
    </row>
    <row r="2839">
      <c r="A2839" t="inlineStr">
        <is>
          <t xml:space="preserve">NIYOGIN</t>
        </is>
      </c>
      <c r="B2839" t="inlineStr">
        <is>
          <t xml:space="preserve">Niyogin Fintech Limited</t>
        </is>
      </c>
      <c r="C2839" t="inlineStr">
        <is>
          <t xml:space="preserve">INE480D01010</t>
        </is>
      </c>
    </row>
    <row r="2840">
      <c r="A2840" t="inlineStr">
        <is>
          <t xml:space="preserve">NLCINDIA</t>
        </is>
      </c>
      <c r="B2840" t="inlineStr">
        <is>
          <t xml:space="preserve">NLC India Limited</t>
        </is>
      </c>
      <c r="C2840" t="inlineStr">
        <is>
          <t xml:space="preserve">INE589A01014</t>
        </is>
      </c>
    </row>
    <row r="2841">
      <c r="A2841" t="inlineStr">
        <is>
          <t xml:space="preserve">NMDC</t>
        </is>
      </c>
      <c r="B2841" t="inlineStr">
        <is>
          <t xml:space="preserve">NMDC LTD.</t>
        </is>
      </c>
      <c r="C2841" t="inlineStr">
        <is>
          <t xml:space="preserve">INE584A01023</t>
        </is>
      </c>
    </row>
    <row r="2842">
      <c r="A2842" t="inlineStr">
        <is>
          <t xml:space="preserve">NSLNISP</t>
        </is>
      </c>
      <c r="B2842" t="inlineStr">
        <is>
          <t xml:space="preserve">NMDC Steel Limited</t>
        </is>
      </c>
      <c r="C2842" t="inlineStr">
        <is>
          <t xml:space="preserve">INE0NNS01018</t>
        </is>
      </c>
    </row>
    <row r="2843">
      <c r="A2843" t="inlineStr">
        <is>
          <t xml:space="preserve">NMSGLOBAL</t>
        </is>
      </c>
      <c r="B2843" t="inlineStr">
        <is>
          <t xml:space="preserve">NMS GLOBAL LIMITED</t>
        </is>
      </c>
      <c r="C2843" t="inlineStr">
        <is>
          <t xml:space="preserve">INE169F01014</t>
        </is>
      </c>
    </row>
    <row r="2844">
      <c r="A2844" t="inlineStr">
        <is>
          <t xml:space="preserve">NOBPOL</t>
        </is>
      </c>
      <c r="B2844" t="inlineStr">
        <is>
          <t xml:space="preserve">NOBLE POLYMERS LIMITED</t>
        </is>
      </c>
      <c r="C2844" t="inlineStr">
        <is>
          <t xml:space="preserve">INE203Q01026</t>
        </is>
      </c>
    </row>
    <row r="2845">
      <c r="A2845" t="inlineStr">
        <is>
          <t xml:space="preserve">NOCIL</t>
        </is>
      </c>
      <c r="B2845" t="inlineStr">
        <is>
          <t xml:space="preserve">NOCIL LTD.</t>
        </is>
      </c>
      <c r="C2845" t="inlineStr">
        <is>
          <t xml:space="preserve">INE163A01018</t>
        </is>
      </c>
    </row>
    <row r="2846">
      <c r="A2846" t="inlineStr">
        <is>
          <t xml:space="preserve">NOIDATOLL</t>
        </is>
      </c>
      <c r="B2846" t="inlineStr">
        <is>
          <t xml:space="preserve">NOIDA TOLL BRIDGE COMPANY LTD.</t>
        </is>
      </c>
      <c r="C2846" t="inlineStr">
        <is>
          <t xml:space="preserve">INE781B01015</t>
        </is>
      </c>
    </row>
    <row r="2847">
      <c r="A2847" t="inlineStr">
        <is>
          <t xml:space="preserve">NORBTEAEXP</t>
        </is>
      </c>
      <c r="B2847" t="inlineStr">
        <is>
          <t xml:space="preserve">NORBEN TEA &amp; EXPORTS LTD.</t>
        </is>
      </c>
      <c r="C2847" t="inlineStr">
        <is>
          <t xml:space="preserve">INE369C01017</t>
        </is>
      </c>
    </row>
    <row r="2848">
      <c r="A2848" t="inlineStr">
        <is>
          <t xml:space="preserve">NORRIS</t>
        </is>
      </c>
      <c r="B2848" t="inlineStr">
        <is>
          <t xml:space="preserve">NORRIS MEDICINES LTD.</t>
        </is>
      </c>
      <c r="C2848" t="inlineStr">
        <is>
          <t xml:space="preserve">INE744C01029</t>
        </is>
      </c>
    </row>
    <row r="2849">
      <c r="A2849" t="inlineStr">
        <is>
          <t xml:space="preserve">NECCLTD</t>
        </is>
      </c>
      <c r="B2849" t="inlineStr">
        <is>
          <t xml:space="preserve">NORTH EASTERN CARRYING CORPORA</t>
        </is>
      </c>
      <c r="C2849" t="inlineStr">
        <is>
          <t xml:space="preserve">INE553C01016</t>
        </is>
      </c>
    </row>
    <row r="2850">
      <c r="A2850" t="inlineStr">
        <is>
          <t xml:space="preserve">NORTHARC</t>
        </is>
      </c>
      <c r="B2850" t="inlineStr">
        <is>
          <t xml:space="preserve">Northern Arc Capital Ltd.</t>
        </is>
      </c>
      <c r="C2850" t="inlineStr">
        <is>
          <t xml:space="preserve">INE850M01015</t>
        </is>
      </c>
    </row>
    <row r="2851">
      <c r="A2851" t="inlineStr">
        <is>
          <t xml:space="preserve">NSL</t>
        </is>
      </c>
      <c r="B2851" t="inlineStr">
        <is>
          <t xml:space="preserve">Northern Spirits Limited</t>
        </is>
      </c>
      <c r="C2851" t="inlineStr">
        <is>
          <t xml:space="preserve">INE01BL01012</t>
        </is>
      </c>
    </row>
    <row r="2852">
      <c r="A2852" t="inlineStr">
        <is>
          <t xml:space="preserve">NOUVEAU</t>
        </is>
      </c>
      <c r="B2852" t="inlineStr">
        <is>
          <t xml:space="preserve">NOUVEAU GLOBAL VENTURES LTD.</t>
        </is>
      </c>
      <c r="C2852" t="inlineStr">
        <is>
          <t xml:space="preserve">INE317B01042</t>
        </is>
      </c>
    </row>
    <row r="2853">
      <c r="A2853" t="inlineStr">
        <is>
          <t xml:space="preserve">NOVAAGRI</t>
        </is>
      </c>
      <c r="B2853" t="inlineStr">
        <is>
          <t xml:space="preserve">Nova Agritech Limited</t>
        </is>
      </c>
      <c r="C2853" t="inlineStr">
        <is>
          <t xml:space="preserve">INE02H701025</t>
        </is>
      </c>
    </row>
    <row r="2854">
      <c r="A2854" t="inlineStr">
        <is>
          <t xml:space="preserve">NOVIS</t>
        </is>
      </c>
      <c r="B2854" t="inlineStr">
        <is>
          <t xml:space="preserve">NOVA IRON &amp; STEEL LTD.</t>
        </is>
      </c>
      <c r="C2854" t="inlineStr">
        <is>
          <t xml:space="preserve">INE608C01026</t>
        </is>
      </c>
    </row>
    <row r="2855">
      <c r="A2855" t="inlineStr">
        <is>
          <t xml:space="preserve">NOVARTIND</t>
        </is>
      </c>
      <c r="B2855" t="inlineStr">
        <is>
          <t xml:space="preserve">NOVARTIS INDIA LTD.</t>
        </is>
      </c>
      <c r="C2855" t="inlineStr">
        <is>
          <t xml:space="preserve">INE234A01025</t>
        </is>
      </c>
    </row>
    <row r="2856">
      <c r="A2856" t="inlineStr">
        <is>
          <t xml:space="preserve">NOVELIX</t>
        </is>
      </c>
      <c r="B2856" t="inlineStr">
        <is>
          <t xml:space="preserve">NOVELIX PHARMACEUTICALS LIMITE</t>
        </is>
      </c>
      <c r="C2856" t="inlineStr">
        <is>
          <t xml:space="preserve">INE314I01036</t>
        </is>
      </c>
    </row>
    <row r="2857">
      <c r="A2857" t="inlineStr">
        <is>
          <t xml:space="preserve">NOVUS</t>
        </is>
      </c>
      <c r="B2857" t="inlineStr">
        <is>
          <t xml:space="preserve">Novus Loyalty Limited</t>
        </is>
      </c>
      <c r="C2857" t="inlineStr">
        <is>
          <t xml:space="preserve">INE1TFS01019</t>
        </is>
      </c>
    </row>
    <row r="2858">
      <c r="A2858" t="inlineStr">
        <is>
          <t xml:space="preserve">NPRFIN</t>
        </is>
      </c>
      <c r="B2858" t="inlineStr">
        <is>
          <t xml:space="preserve">NPR FINANCE LTD.</t>
        </is>
      </c>
      <c r="C2858" t="inlineStr">
        <is>
          <t xml:space="preserve">INE446D01011</t>
        </is>
      </c>
    </row>
    <row r="2859">
      <c r="A2859" t="inlineStr">
        <is>
          <t xml:space="preserve">NRBBEARING</t>
        </is>
      </c>
      <c r="B2859" t="inlineStr">
        <is>
          <t xml:space="preserve">NRB BEARINGS LTD.</t>
        </is>
      </c>
      <c r="C2859" t="inlineStr">
        <is>
          <t xml:space="preserve">INE349A01021</t>
        </is>
      </c>
    </row>
    <row r="2860">
      <c r="A2860" t="inlineStr">
        <is>
          <t xml:space="preserve">NIBL</t>
        </is>
      </c>
      <c r="B2860" t="inlineStr">
        <is>
          <t xml:space="preserve">NRB INDUSTRIAL BEARINGS LTD.</t>
        </is>
      </c>
      <c r="C2860" t="inlineStr">
        <is>
          <t xml:space="preserve">INE047O01014</t>
        </is>
      </c>
    </row>
    <row r="2861">
      <c r="A2861" t="inlineStr">
        <is>
          <t xml:space="preserve">NTCIND</t>
        </is>
      </c>
      <c r="B2861" t="inlineStr">
        <is>
          <t xml:space="preserve">NTC INDUSTRIES LTD.</t>
        </is>
      </c>
      <c r="C2861" t="inlineStr">
        <is>
          <t xml:space="preserve">INE920C01017</t>
        </is>
      </c>
    </row>
    <row r="2862">
      <c r="A2862" t="inlineStr">
        <is>
          <t xml:space="preserve">NTPCGREEN</t>
        </is>
      </c>
      <c r="B2862" t="inlineStr">
        <is>
          <t xml:space="preserve">NTPC GREEN ENERGY LIMITED</t>
        </is>
      </c>
      <c r="C2862" t="inlineStr">
        <is>
          <t xml:space="preserve">INE0ONG01011</t>
        </is>
      </c>
    </row>
    <row r="2863">
      <c r="A2863" t="inlineStr">
        <is>
          <t xml:space="preserve">NTPC</t>
        </is>
      </c>
      <c r="B2863" t="inlineStr">
        <is>
          <t xml:space="preserve">NTPC LTD.</t>
        </is>
      </c>
      <c r="C2863" t="inlineStr">
        <is>
          <t xml:space="preserve">INE733E01010</t>
        </is>
      </c>
    </row>
    <row r="2864">
      <c r="A2864" t="inlineStr">
        <is>
          <t xml:space="preserve">NUCLEUS</t>
        </is>
      </c>
      <c r="B2864" t="inlineStr">
        <is>
          <t xml:space="preserve">NUCLEUS SOFTWARE EXPORTS LTD.</t>
        </is>
      </c>
      <c r="C2864" t="inlineStr">
        <is>
          <t xml:space="preserve">INE096B01018</t>
        </is>
      </c>
    </row>
    <row r="2865">
      <c r="A2865" t="inlineStr">
        <is>
          <t xml:space="preserve">NURECA</t>
        </is>
      </c>
      <c r="B2865" t="inlineStr">
        <is>
          <t xml:space="preserve">Nureca Limited</t>
        </is>
      </c>
      <c r="C2865" t="inlineStr">
        <is>
          <t xml:space="preserve">INE0DSF01015</t>
        </is>
      </c>
    </row>
    <row r="2866">
      <c r="A2866" t="inlineStr">
        <is>
          <t xml:space="preserve">NWIL</t>
        </is>
      </c>
      <c r="B2866" t="inlineStr">
        <is>
          <t xml:space="preserve">NURTURE WELL INDUSTRIES LIMITE</t>
        </is>
      </c>
      <c r="C2866" t="inlineStr">
        <is>
          <t xml:space="preserve">INE882B01037</t>
        </is>
      </c>
    </row>
    <row r="2867">
      <c r="A2867" t="inlineStr">
        <is>
          <t xml:space="preserve">NUVAMA</t>
        </is>
      </c>
      <c r="B2867" t="inlineStr">
        <is>
          <t xml:space="preserve">Nuvama Wealth Management Limit</t>
        </is>
      </c>
      <c r="C2867" t="inlineStr">
        <is>
          <t xml:space="preserve">INE531F01023</t>
        </is>
      </c>
    </row>
    <row r="2868">
      <c r="A2868" t="inlineStr">
        <is>
          <t xml:space="preserve">NUVOCO</t>
        </is>
      </c>
      <c r="B2868" t="inlineStr">
        <is>
          <t xml:space="preserve">Nuvoco Vistas Corporation Limi</t>
        </is>
      </c>
      <c r="C2868" t="inlineStr">
        <is>
          <t xml:space="preserve">INE118D01016</t>
        </is>
      </c>
    </row>
    <row r="2869">
      <c r="A2869" t="inlineStr">
        <is>
          <t xml:space="preserve">955NWIL27</t>
        </is>
      </c>
      <c r="B2869" t="inlineStr">
        <is>
          <t xml:space="preserve">NWIL-9.55%-15-7-27-NCD</t>
        </is>
      </c>
      <c r="C2869" t="inlineStr">
        <is>
          <t xml:space="preserve">INE523L07751</t>
        </is>
      </c>
    </row>
    <row r="2870">
      <c r="A2870" t="inlineStr">
        <is>
          <t xml:space="preserve">NYSSACORP</t>
        </is>
      </c>
      <c r="B2870" t="inlineStr">
        <is>
          <t xml:space="preserve">NYSSA CORPORATION LIMITED</t>
        </is>
      </c>
      <c r="C2870" t="inlineStr">
        <is>
          <t xml:space="preserve">INE812K01027</t>
        </is>
      </c>
    </row>
    <row r="2871">
      <c r="A2871" t="inlineStr">
        <is>
          <t xml:space="preserve">OASISEC</t>
        </is>
      </c>
      <c r="B2871" t="inlineStr">
        <is>
          <t xml:space="preserve">OASIS SECURITIES LTD.</t>
        </is>
      </c>
      <c r="C2871" t="inlineStr">
        <is>
          <t xml:space="preserve">INE876A01023</t>
        </is>
      </c>
    </row>
    <row r="2872">
      <c r="A2872" t="inlineStr">
        <is>
          <t xml:space="preserve">OBEROIRLTY</t>
        </is>
      </c>
      <c r="B2872" t="inlineStr">
        <is>
          <t xml:space="preserve">OBEROI REALTY LTD.</t>
        </is>
      </c>
      <c r="C2872" t="inlineStr">
        <is>
          <t xml:space="preserve">INE093I01010</t>
        </is>
      </c>
    </row>
    <row r="2873">
      <c r="A2873" t="inlineStr">
        <is>
          <t xml:space="preserve">OONE</t>
        </is>
      </c>
      <c r="B2873" t="inlineStr">
        <is>
          <t xml:space="preserve">OBJECTONE INFORMATION SYSTEMS</t>
        </is>
      </c>
      <c r="C2873" t="inlineStr">
        <is>
          <t xml:space="preserve">INE860E01011</t>
        </is>
      </c>
    </row>
    <row r="2874">
      <c r="A2874" t="inlineStr">
        <is>
          <t xml:space="preserve">OCCLLTD</t>
        </is>
      </c>
      <c r="B2874" t="inlineStr">
        <is>
          <t xml:space="preserve">OCCL Limited</t>
        </is>
      </c>
      <c r="C2874" t="inlineStr">
        <is>
          <t xml:space="preserve">INE0PK601023</t>
        </is>
      </c>
    </row>
    <row r="2875">
      <c r="A2875" t="inlineStr">
        <is>
          <t xml:space="preserve">OCEANIC</t>
        </is>
      </c>
      <c r="B2875" t="inlineStr">
        <is>
          <t xml:space="preserve">Oceanic Foods Limited</t>
        </is>
      </c>
      <c r="C2875" t="inlineStr">
        <is>
          <t xml:space="preserve">INE711V01010</t>
        </is>
      </c>
    </row>
    <row r="2876">
      <c r="A2876" t="inlineStr">
        <is>
          <t xml:space="preserve">OCTAL</t>
        </is>
      </c>
      <c r="B2876" t="inlineStr">
        <is>
          <t xml:space="preserve">Octal Credit Capital Ltd.</t>
        </is>
      </c>
      <c r="C2876" t="inlineStr">
        <is>
          <t xml:space="preserve">INE513C01010</t>
        </is>
      </c>
    </row>
    <row r="2877">
      <c r="A2877" t="inlineStr">
        <is>
          <t xml:space="preserve">ODIGMA</t>
        </is>
      </c>
      <c r="B2877" t="inlineStr">
        <is>
          <t xml:space="preserve">Odigma Consultancy Solutions L</t>
        </is>
      </c>
      <c r="C2877" t="inlineStr">
        <is>
          <t xml:space="preserve">INE054301028</t>
        </is>
      </c>
    </row>
    <row r="2878">
      <c r="A2878" t="inlineStr">
        <is>
          <t xml:space="preserve">ODYCORP</t>
        </is>
      </c>
      <c r="B2878" t="inlineStr">
        <is>
          <t xml:space="preserve">ODYSSEY CORPORATION LTD.</t>
        </is>
      </c>
      <c r="C2878" t="inlineStr">
        <is>
          <t xml:space="preserve">INE839E01023</t>
        </is>
      </c>
    </row>
    <row r="2879">
      <c r="A2879" t="inlineStr">
        <is>
          <t xml:space="preserve">ODYSSEY</t>
        </is>
      </c>
      <c r="B2879" t="inlineStr">
        <is>
          <t xml:space="preserve">ODYSSEY TECHNOLOGIES LTD.</t>
        </is>
      </c>
      <c r="C2879" t="inlineStr">
        <is>
          <t xml:space="preserve">INE213B01019</t>
        </is>
      </c>
    </row>
    <row r="2880">
      <c r="A2880" t="inlineStr">
        <is>
          <t xml:space="preserve">ONGC</t>
        </is>
      </c>
      <c r="B2880" t="inlineStr">
        <is>
          <t xml:space="preserve">OIL AND NATURAL GAS CORPORATIO</t>
        </is>
      </c>
      <c r="C2880" t="inlineStr">
        <is>
          <t xml:space="preserve">INE213A01029</t>
        </is>
      </c>
    </row>
    <row r="2881">
      <c r="A2881" t="inlineStr">
        <is>
          <t xml:space="preserve">OILCOUNTUB</t>
        </is>
      </c>
      <c r="B2881" t="inlineStr">
        <is>
          <t xml:space="preserve">OIL COUNTRY TUBULAR LTD.</t>
        </is>
      </c>
      <c r="C2881" t="inlineStr">
        <is>
          <t xml:space="preserve">INE591A01010</t>
        </is>
      </c>
    </row>
    <row r="2882">
      <c r="A2882" t="inlineStr">
        <is>
          <t xml:space="preserve">OIL</t>
        </is>
      </c>
      <c r="B2882" t="inlineStr">
        <is>
          <t xml:space="preserve">OIL INDIA LTD.</t>
        </is>
      </c>
      <c r="C2882" t="inlineStr">
        <is>
          <t xml:space="preserve">INE274J01014</t>
        </is>
      </c>
    </row>
    <row r="2883">
      <c r="A2883" t="inlineStr">
        <is>
          <t xml:space="preserve">OKPLA</t>
        </is>
      </c>
      <c r="B2883" t="inlineStr">
        <is>
          <t xml:space="preserve">OK PLAY INDIA LTD.</t>
        </is>
      </c>
      <c r="C2883" t="inlineStr">
        <is>
          <t xml:space="preserve">INE870B01024</t>
        </is>
      </c>
    </row>
    <row r="2884">
      <c r="A2884" t="inlineStr">
        <is>
          <t xml:space="preserve">OLAELEC</t>
        </is>
      </c>
      <c r="B2884" t="inlineStr">
        <is>
          <t xml:space="preserve">Ola Electric Mobility Limited</t>
        </is>
      </c>
      <c r="C2884" t="inlineStr">
        <is>
          <t xml:space="preserve">INE0LXG01040</t>
        </is>
      </c>
    </row>
    <row r="2885">
      <c r="A2885" t="inlineStr">
        <is>
          <t xml:space="preserve">OLECTRA</t>
        </is>
      </c>
      <c r="B2885" t="inlineStr">
        <is>
          <t xml:space="preserve">OLECTRA GREENTECH LIMITED</t>
        </is>
      </c>
      <c r="C2885" t="inlineStr">
        <is>
          <t xml:space="preserve">INE260D01016</t>
        </is>
      </c>
    </row>
    <row r="2886">
      <c r="A2886" t="inlineStr">
        <is>
          <t xml:space="preserve">OLYMPTX</t>
        </is>
      </c>
      <c r="B2886" t="inlineStr">
        <is>
          <t xml:space="preserve">OLYMPIA INDUSTRIES LTD.</t>
        </is>
      </c>
      <c r="C2886" t="inlineStr">
        <is>
          <t xml:space="preserve">INE482O01021</t>
        </is>
      </c>
    </row>
    <row r="2887">
      <c r="A2887" t="inlineStr">
        <is>
          <t xml:space="preserve">OLPCL</t>
        </is>
      </c>
      <c r="B2887" t="inlineStr">
        <is>
          <t xml:space="preserve">OLYMPIC CARDS LTD.</t>
        </is>
      </c>
      <c r="C2887" t="inlineStr">
        <is>
          <t xml:space="preserve">INE550L01013</t>
        </is>
      </c>
    </row>
    <row r="2888">
      <c r="A2888" t="inlineStr">
        <is>
          <t xml:space="preserve">OMFREIGHT</t>
        </is>
      </c>
      <c r="B2888" t="inlineStr">
        <is>
          <t xml:space="preserve">Om Freight Forwarders Limited</t>
        </is>
      </c>
      <c r="C2888" t="inlineStr">
        <is>
          <t xml:space="preserve">INE1BZC01019</t>
        </is>
      </c>
    </row>
    <row r="2889">
      <c r="A2889" t="inlineStr">
        <is>
          <t xml:space="preserve">OMINFRAL</t>
        </is>
      </c>
      <c r="B2889" t="inlineStr">
        <is>
          <t xml:space="preserve">OM INFRA LIMITED</t>
        </is>
      </c>
      <c r="C2889" t="inlineStr">
        <is>
          <t xml:space="preserve">INE239D01028</t>
        </is>
      </c>
    </row>
    <row r="2890">
      <c r="A2890" t="inlineStr">
        <is>
          <t xml:space="preserve">OML</t>
        </is>
      </c>
      <c r="B2890" t="inlineStr">
        <is>
          <t xml:space="preserve">OM METALLOGIC LIMITED</t>
        </is>
      </c>
      <c r="C2890" t="inlineStr">
        <is>
          <t xml:space="preserve">INE0R8Q01018</t>
        </is>
      </c>
    </row>
    <row r="2891">
      <c r="A2891" t="inlineStr">
        <is>
          <t xml:space="preserve">OMPOWER</t>
        </is>
      </c>
      <c r="B2891" t="inlineStr">
        <is>
          <t xml:space="preserve">OM POWER TRANSMISSION LIMITED</t>
        </is>
      </c>
      <c r="C2891" t="inlineStr">
        <is>
          <t xml:space="preserve">INE25E901019</t>
        </is>
      </c>
    </row>
    <row r="2892">
      <c r="A2892" t="inlineStr">
        <is>
          <t xml:space="preserve">OMAXAUTO</t>
        </is>
      </c>
      <c r="B2892" t="inlineStr">
        <is>
          <t xml:space="preserve">OMAX AUTOS LTD.</t>
        </is>
      </c>
      <c r="C2892" t="inlineStr">
        <is>
          <t xml:space="preserve">INE090B01011</t>
        </is>
      </c>
    </row>
    <row r="2893">
      <c r="A2893" t="inlineStr">
        <is>
          <t xml:space="preserve">OMAXE</t>
        </is>
      </c>
      <c r="B2893" t="inlineStr">
        <is>
          <t xml:space="preserve">OMAXE LTD.</t>
        </is>
      </c>
      <c r="C2893" t="inlineStr">
        <is>
          <t xml:space="preserve">INE800H01010</t>
        </is>
      </c>
    </row>
    <row r="2894">
      <c r="A2894" t="inlineStr">
        <is>
          <t xml:space="preserve">OMEAG</t>
        </is>
      </c>
      <c r="B2894" t="inlineStr">
        <is>
          <t xml:space="preserve">OMEGA AG-SEEDS (PUNJAB) LTD.</t>
        </is>
      </c>
      <c r="C2894" t="inlineStr">
        <is>
          <t xml:space="preserve">INE112B01013</t>
        </is>
      </c>
    </row>
    <row r="2895">
      <c r="A2895" t="inlineStr">
        <is>
          <t xml:space="preserve">OMEGAIN</t>
        </is>
      </c>
      <c r="B2895" t="inlineStr">
        <is>
          <t xml:space="preserve">OMEGA INTERACTIVE TECHNOLOGIES</t>
        </is>
      </c>
      <c r="C2895" t="inlineStr">
        <is>
          <t xml:space="preserve">INE113B01037</t>
        </is>
      </c>
    </row>
    <row r="2896">
      <c r="A2896" t="inlineStr">
        <is>
          <t xml:space="preserve">OMNIAX</t>
        </is>
      </c>
      <c r="B2896" t="inlineStr">
        <is>
          <t xml:space="preserve">OMNI AXS SOFTWARE LTD.</t>
        </is>
      </c>
      <c r="C2896" t="inlineStr">
        <is>
          <t xml:space="preserve">INE369B01019</t>
        </is>
      </c>
    </row>
    <row r="2897">
      <c r="A2897" t="inlineStr">
        <is>
          <t xml:space="preserve">OMNIPOTENT</t>
        </is>
      </c>
      <c r="B2897" t="inlineStr">
        <is>
          <t xml:space="preserve">Omnipotent Industries Limited</t>
        </is>
      </c>
      <c r="C2897" t="inlineStr">
        <is>
          <t xml:space="preserve">INE0JFE01012</t>
        </is>
      </c>
    </row>
    <row r="2898">
      <c r="A2898" t="inlineStr">
        <is>
          <t xml:space="preserve">OMNI</t>
        </is>
      </c>
      <c r="B2898" t="inlineStr">
        <is>
          <t xml:space="preserve">Omnitech Engineering Limited</t>
        </is>
      </c>
      <c r="C2898" t="inlineStr">
        <is>
          <t xml:space="preserve">INE0UH301010</t>
        </is>
      </c>
    </row>
    <row r="2899">
      <c r="A2899" t="inlineStr">
        <is>
          <t xml:space="preserve">OMNITEX</t>
        </is>
      </c>
      <c r="B2899" t="inlineStr">
        <is>
          <t xml:space="preserve">OMNITEX INDUSTRIES (INDIA) LTD</t>
        </is>
      </c>
      <c r="C2899" t="inlineStr">
        <is>
          <t xml:space="preserve">INE814D01010</t>
        </is>
      </c>
    </row>
    <row r="2900">
      <c r="A2900" t="inlineStr">
        <is>
          <t xml:space="preserve">PAYTM</t>
        </is>
      </c>
      <c r="B2900" t="inlineStr">
        <is>
          <t xml:space="preserve">One 97 Communications Limited</t>
        </is>
      </c>
      <c r="C2900" t="inlineStr">
        <is>
          <t xml:space="preserve">INE982J01020</t>
        </is>
      </c>
    </row>
    <row r="2901">
      <c r="A2901" t="inlineStr">
        <is>
          <t xml:space="preserve">ONEGLOBAL</t>
        </is>
      </c>
      <c r="B2901" t="inlineStr">
        <is>
          <t xml:space="preserve">ONE GLOBAL SERVICE PROVIDER LI</t>
        </is>
      </c>
      <c r="C2901" t="inlineStr">
        <is>
          <t xml:space="preserve">INE670O01013</t>
        </is>
      </c>
    </row>
    <row r="2902">
      <c r="A2902" t="inlineStr">
        <is>
          <t xml:space="preserve">MOBIKWIK</t>
        </is>
      </c>
      <c r="B2902" t="inlineStr">
        <is>
          <t xml:space="preserve">One Mobikwik Systems Limited</t>
        </is>
      </c>
      <c r="C2902" t="inlineStr">
        <is>
          <t xml:space="preserve">INE0HLU01028</t>
        </is>
      </c>
    </row>
    <row r="2903">
      <c r="A2903" t="inlineStr">
        <is>
          <t xml:space="preserve">ONEPOINT</t>
        </is>
      </c>
      <c r="B2903" t="inlineStr">
        <is>
          <t xml:space="preserve">ONE POINT ONE SOLUTIONS LIMITE</t>
        </is>
      </c>
      <c r="C2903" t="inlineStr">
        <is>
          <t xml:space="preserve">INE840Y01029</t>
        </is>
      </c>
    </row>
    <row r="2904">
      <c r="A2904" t="inlineStr">
        <is>
          <t xml:space="preserve">ONELIFECAP</t>
        </is>
      </c>
      <c r="B2904" t="inlineStr">
        <is>
          <t xml:space="preserve">ONELIFE CAPITAL ADVISORS LTD.</t>
        </is>
      </c>
      <c r="C2904" t="inlineStr">
        <is>
          <t xml:space="preserve">INE912L01015</t>
        </is>
      </c>
    </row>
    <row r="2905">
      <c r="A2905" t="inlineStr">
        <is>
          <t xml:space="preserve">KISSHT</t>
        </is>
      </c>
      <c r="B2905" t="inlineStr">
        <is>
          <t xml:space="preserve">OnEMI Technology Solutions Lim</t>
        </is>
      </c>
      <c r="C2905" t="inlineStr">
        <is>
          <t xml:space="preserve">INE12F801023</t>
        </is>
      </c>
    </row>
    <row r="2906">
      <c r="A2906" t="inlineStr">
        <is>
          <t xml:space="preserve">OIVL</t>
        </is>
      </c>
      <c r="B2906" t="inlineStr">
        <is>
          <t xml:space="preserve">ONESOURCE INDUSTRIES AND VENTU</t>
        </is>
      </c>
      <c r="C2906" t="inlineStr">
        <is>
          <t xml:space="preserve">INE125F01032</t>
        </is>
      </c>
    </row>
    <row r="2907">
      <c r="A2907" t="inlineStr">
        <is>
          <t xml:space="preserve">ONESOURCE</t>
        </is>
      </c>
      <c r="B2907" t="inlineStr">
        <is>
          <t xml:space="preserve">Onesource Specialty Pharma Lim</t>
        </is>
      </c>
      <c r="C2907" t="inlineStr">
        <is>
          <t xml:space="preserve">INE013P01021</t>
        </is>
      </c>
    </row>
    <row r="2908">
      <c r="A2908" t="inlineStr">
        <is>
          <t xml:space="preserve">ONIDA</t>
        </is>
      </c>
      <c r="B2908" t="inlineStr">
        <is>
          <t xml:space="preserve">ONIDA ELECTRONICS LIMITED</t>
        </is>
      </c>
      <c r="C2908" t="inlineStr">
        <is>
          <t xml:space="preserve">INE831A01028</t>
        </is>
      </c>
    </row>
    <row r="2909">
      <c r="A2909" t="inlineStr">
        <is>
          <t xml:space="preserve">ONIXSOLAR</t>
        </is>
      </c>
      <c r="B2909" t="inlineStr">
        <is>
          <t xml:space="preserve">ONIX SOLAR ENERGY LIMITED</t>
        </is>
      </c>
      <c r="C2909" t="inlineStr">
        <is>
          <t xml:space="preserve">INE173M01012</t>
        </is>
      </c>
    </row>
    <row r="2910">
      <c r="A2910" t="inlineStr">
        <is>
          <t xml:space="preserve">ONMOBILE</t>
        </is>
      </c>
      <c r="B2910" t="inlineStr">
        <is>
          <t xml:space="preserve">ONMOBILE</t>
        </is>
      </c>
      <c r="C2910" t="inlineStr">
        <is>
          <t xml:space="preserve">INE809I01019</t>
        </is>
      </c>
    </row>
    <row r="2911">
      <c r="A2911" t="inlineStr">
        <is>
          <t xml:space="preserve">ONTIC</t>
        </is>
      </c>
      <c r="B2911" t="inlineStr">
        <is>
          <t xml:space="preserve">Ontic Finserve Limited</t>
        </is>
      </c>
      <c r="C2911" t="inlineStr">
        <is>
          <t xml:space="preserve">INE989S01042</t>
        </is>
      </c>
    </row>
    <row r="2912">
      <c r="A2912" t="inlineStr">
        <is>
          <t xml:space="preserve">ONWARDTEC</t>
        </is>
      </c>
      <c r="B2912" t="inlineStr">
        <is>
          <t xml:space="preserve">ONWARD TECHNOLOGIES LTD.</t>
        </is>
      </c>
      <c r="C2912" t="inlineStr">
        <is>
          <t xml:space="preserve">INE229A01017</t>
        </is>
      </c>
    </row>
    <row r="2913">
      <c r="A2913" t="inlineStr">
        <is>
          <t xml:space="preserve">OPTIEMUS</t>
        </is>
      </c>
      <c r="B2913" t="inlineStr">
        <is>
          <t xml:space="preserve">OPTIEMUS INFRACOM LTD</t>
        </is>
      </c>
      <c r="C2913" t="inlineStr">
        <is>
          <t xml:space="preserve">INE350C01017</t>
        </is>
      </c>
    </row>
    <row r="2914">
      <c r="A2914" t="inlineStr">
        <is>
          <t xml:space="preserve">OPTIFIN</t>
        </is>
      </c>
      <c r="B2914" t="inlineStr">
        <is>
          <t xml:space="preserve">Optimus Finance Limited</t>
        </is>
      </c>
      <c r="C2914" t="inlineStr">
        <is>
          <t xml:space="preserve">INE031G01022</t>
        </is>
      </c>
    </row>
    <row r="2915">
      <c r="A2915" t="inlineStr">
        <is>
          <t xml:space="preserve">OFSS</t>
        </is>
      </c>
      <c r="B2915" t="inlineStr">
        <is>
          <t xml:space="preserve">ORACLE FINANCIAL SERVICES SOFT</t>
        </is>
      </c>
      <c r="C2915" t="inlineStr">
        <is>
          <t xml:space="preserve">INE881D01027</t>
        </is>
      </c>
    </row>
    <row r="2916">
      <c r="A2916" t="inlineStr">
        <is>
          <t xml:space="preserve">ORBTEXP</t>
        </is>
      </c>
      <c r="B2916" t="inlineStr">
        <is>
          <t xml:space="preserve">ORBIT EXPORTS LTD.</t>
        </is>
      </c>
      <c r="C2916" t="inlineStr">
        <is>
          <t xml:space="preserve">INE231G01010</t>
        </is>
      </c>
    </row>
    <row r="2917">
      <c r="A2917" t="inlineStr">
        <is>
          <t xml:space="preserve">ORCHASP</t>
        </is>
      </c>
      <c r="B2917" t="inlineStr">
        <is>
          <t xml:space="preserve">ORCHASP LIMITED</t>
        </is>
      </c>
      <c r="C2917" t="inlineStr">
        <is>
          <t xml:space="preserve">INE215B01022</t>
        </is>
      </c>
    </row>
    <row r="2918">
      <c r="A2918" t="inlineStr">
        <is>
          <t xml:space="preserve">ORCHPHARMA</t>
        </is>
      </c>
      <c r="B2918" t="inlineStr">
        <is>
          <t xml:space="preserve">Orchid Pharma Limited</t>
        </is>
      </c>
      <c r="C2918" t="inlineStr">
        <is>
          <t xml:space="preserve">INE191A01027</t>
        </is>
      </c>
    </row>
    <row r="2919">
      <c r="A2919" t="inlineStr">
        <is>
          <t xml:space="preserve">ORGANICREC</t>
        </is>
      </c>
      <c r="B2919" t="inlineStr">
        <is>
          <t xml:space="preserve">ORGANIC RECYCLING SYSTEMS LIMI</t>
        </is>
      </c>
      <c r="C2919" t="inlineStr">
        <is>
          <t xml:space="preserve">INE0MIO01019</t>
        </is>
      </c>
    </row>
    <row r="2920">
      <c r="A2920" t="inlineStr">
        <is>
          <t xml:space="preserve">ORICONENT</t>
        </is>
      </c>
      <c r="B2920" t="inlineStr">
        <is>
          <t xml:space="preserve">ORICON ENTERPRISES LTD.</t>
        </is>
      </c>
      <c r="C2920" t="inlineStr">
        <is>
          <t xml:space="preserve">INE730A01022</t>
        </is>
      </c>
    </row>
    <row r="2921">
      <c r="A2921" t="inlineStr">
        <is>
          <t xml:space="preserve">ORIENTBELL</t>
        </is>
      </c>
      <c r="B2921" t="inlineStr">
        <is>
          <t xml:space="preserve">ORIENT BELL LIMITED</t>
        </is>
      </c>
      <c r="C2921" t="inlineStr">
        <is>
          <t xml:space="preserve">INE607D01018</t>
        </is>
      </c>
    </row>
    <row r="2922">
      <c r="A2922" t="inlineStr">
        <is>
          <t xml:space="preserve">ORIBEVER</t>
        </is>
      </c>
      <c r="B2922" t="inlineStr">
        <is>
          <t xml:space="preserve">ORIENT BEVERAGES LTD.</t>
        </is>
      </c>
      <c r="C2922" t="inlineStr">
        <is>
          <t xml:space="preserve">INE247F01018</t>
        </is>
      </c>
    </row>
    <row r="2923">
      <c r="A2923" t="inlineStr">
        <is>
          <t xml:space="preserve">ORIENTCEM</t>
        </is>
      </c>
      <c r="B2923" t="inlineStr">
        <is>
          <t xml:space="preserve">ORIENT CEMENT LTD</t>
        </is>
      </c>
      <c r="C2923" t="inlineStr">
        <is>
          <t xml:space="preserve">INE876N01018</t>
        </is>
      </c>
    </row>
    <row r="2924">
      <c r="A2924" t="inlineStr">
        <is>
          <t xml:space="preserve">ORIENTCER</t>
        </is>
      </c>
      <c r="B2924" t="inlineStr">
        <is>
          <t xml:space="preserve">ORIENT CERATECH LIMITED</t>
        </is>
      </c>
      <c r="C2924" t="inlineStr">
        <is>
          <t xml:space="preserve">INE569C01020</t>
        </is>
      </c>
    </row>
    <row r="2925">
      <c r="A2925" t="inlineStr">
        <is>
          <t xml:space="preserve">ORIENTELEC</t>
        </is>
      </c>
      <c r="B2925" t="inlineStr">
        <is>
          <t xml:space="preserve">Orient Electric Limited</t>
        </is>
      </c>
      <c r="C2925" t="inlineStr">
        <is>
          <t xml:space="preserve">INE142Z01019</t>
        </is>
      </c>
    </row>
    <row r="2926">
      <c r="A2926" t="inlineStr">
        <is>
          <t xml:space="preserve">GREENPOWER</t>
        </is>
      </c>
      <c r="B2926" t="inlineStr">
        <is>
          <t xml:space="preserve">ORIENT GREEN POWER COMPANY LTD</t>
        </is>
      </c>
      <c r="C2926" t="inlineStr">
        <is>
          <t xml:space="preserve">INE999K01014</t>
        </is>
      </c>
    </row>
    <row r="2927">
      <c r="A2927" t="inlineStr">
        <is>
          <t xml:space="preserve">ORIENTPPR</t>
        </is>
      </c>
      <c r="B2927" t="inlineStr">
        <is>
          <t xml:space="preserve">ORIENT PAPER &amp; INDUSTRIES LTD.</t>
        </is>
      </c>
      <c r="C2927" t="inlineStr">
        <is>
          <t xml:space="preserve">INE592A01026</t>
        </is>
      </c>
    </row>
    <row r="2928">
      <c r="A2928" t="inlineStr">
        <is>
          <t xml:space="preserve">ORIENTLTD</t>
        </is>
      </c>
      <c r="B2928" t="inlineStr">
        <is>
          <t xml:space="preserve">ORIENT PRESS LTD.</t>
        </is>
      </c>
      <c r="C2928" t="inlineStr">
        <is>
          <t xml:space="preserve">INE609C01024</t>
        </is>
      </c>
    </row>
    <row r="2929">
      <c r="A2929" t="inlineStr">
        <is>
          <t xml:space="preserve">ORIENTTECH</t>
        </is>
      </c>
      <c r="B2929" t="inlineStr">
        <is>
          <t xml:space="preserve">Orient Technologies Limited</t>
        </is>
      </c>
      <c r="C2929" t="inlineStr">
        <is>
          <t xml:space="preserve">INE0PPK01015</t>
        </is>
      </c>
    </row>
    <row r="2930">
      <c r="A2930" t="inlineStr">
        <is>
          <t xml:space="preserve">ORIENTTR</t>
        </is>
      </c>
      <c r="B2930" t="inlineStr">
        <is>
          <t xml:space="preserve">ORIENT TRADELINK LTD.</t>
        </is>
      </c>
      <c r="C2930" t="inlineStr">
        <is>
          <t xml:space="preserve">INE681D01039</t>
        </is>
      </c>
    </row>
    <row r="2931">
      <c r="A2931" t="inlineStr">
        <is>
          <t xml:space="preserve">OAL</t>
        </is>
      </c>
      <c r="B2931" t="inlineStr">
        <is>
          <t xml:space="preserve">ORIENTAL AROMATICS LIMITED</t>
        </is>
      </c>
      <c r="C2931" t="inlineStr">
        <is>
          <t xml:space="preserve">INE959C01023</t>
        </is>
      </c>
    </row>
    <row r="2932">
      <c r="A2932" t="inlineStr">
        <is>
          <t xml:space="preserve">ORIENTHOT</t>
        </is>
      </c>
      <c r="B2932" t="inlineStr">
        <is>
          <t xml:space="preserve">ORIENTAL HOTELS LTD.</t>
        </is>
      </c>
      <c r="C2932" t="inlineStr">
        <is>
          <t xml:space="preserve">INE750A01020</t>
        </is>
      </c>
    </row>
    <row r="2933">
      <c r="A2933" t="inlineStr">
        <is>
          <t xml:space="preserve">ORIRAIL</t>
        </is>
      </c>
      <c r="B2933" t="inlineStr">
        <is>
          <t xml:space="preserve">ORIENTAL RAIL INFRASTRUCTURE L</t>
        </is>
      </c>
      <c r="C2933" t="inlineStr">
        <is>
          <t xml:space="preserve">INE457G01029</t>
        </is>
      </c>
    </row>
    <row r="2934">
      <c r="A2934" t="inlineStr">
        <is>
          <t xml:space="preserve">ORIENTALTL</t>
        </is>
      </c>
      <c r="B2934" t="inlineStr">
        <is>
          <t xml:space="preserve">ORIENTAL TRIMEX LTD.</t>
        </is>
      </c>
      <c r="C2934" t="inlineStr">
        <is>
          <t xml:space="preserve">INE998H01012</t>
        </is>
      </c>
    </row>
    <row r="2935">
      <c r="A2935" t="inlineStr">
        <is>
          <t xml:space="preserve">ORISSAMINE</t>
        </is>
      </c>
      <c r="B2935" t="inlineStr">
        <is>
          <t xml:space="preserve">ORISSA MINERALS DEVELOPMENT CO</t>
        </is>
      </c>
      <c r="C2935" t="inlineStr">
        <is>
          <t xml:space="preserve">INE725E01024</t>
        </is>
      </c>
    </row>
    <row r="2936">
      <c r="A2936" t="inlineStr">
        <is>
          <t xml:space="preserve">ORKLAINDIA</t>
        </is>
      </c>
      <c r="B2936" t="inlineStr">
        <is>
          <t xml:space="preserve">Orkla India Limited</t>
        </is>
      </c>
      <c r="C2936" t="inlineStr">
        <is>
          <t xml:space="preserve">INE16NZ01023</t>
        </is>
      </c>
    </row>
    <row r="2937">
      <c r="A2937" t="inlineStr">
        <is>
          <t xml:space="preserve">OROSMITHS</t>
        </is>
      </c>
      <c r="B2937" t="inlineStr">
        <is>
          <t xml:space="preserve">OROSIL SMITHS INDIA LTD.</t>
        </is>
      </c>
      <c r="C2937" t="inlineStr">
        <is>
          <t xml:space="preserve">INE628B01034</t>
        </is>
      </c>
    </row>
    <row r="2938">
      <c r="A2938" t="inlineStr">
        <is>
          <t xml:space="preserve">ORTEL</t>
        </is>
      </c>
      <c r="B2938" t="inlineStr">
        <is>
          <t xml:space="preserve">Ortel Communications Limited</t>
        </is>
      </c>
      <c r="C2938" t="inlineStr">
        <is>
          <t xml:space="preserve">INE849L01019</t>
        </is>
      </c>
    </row>
    <row r="2939">
      <c r="A2939" t="inlineStr">
        <is>
          <t xml:space="preserve">ORTINGLOBE</t>
        </is>
      </c>
      <c r="B2939" t="inlineStr">
        <is>
          <t xml:space="preserve">ORTIN GLOBAL LIMITED</t>
        </is>
      </c>
      <c r="C2939" t="inlineStr">
        <is>
          <t xml:space="preserve">INE749B01020</t>
        </is>
      </c>
    </row>
    <row r="2940">
      <c r="A2940" t="inlineStr">
        <is>
          <t xml:space="preserve">OSIAJEE</t>
        </is>
      </c>
      <c r="B2940" t="inlineStr">
        <is>
          <t xml:space="preserve">OSIAJEE TEXFAB LIMITED</t>
        </is>
      </c>
      <c r="C2940" t="inlineStr">
        <is>
          <t xml:space="preserve">INE186R01013</t>
        </is>
      </c>
    </row>
    <row r="2941">
      <c r="A2941" t="inlineStr">
        <is>
          <t xml:space="preserve">OSWALAGRO</t>
        </is>
      </c>
      <c r="B2941" t="inlineStr">
        <is>
          <t xml:space="preserve">OSWAL AGRO MILLS LTD.</t>
        </is>
      </c>
      <c r="C2941" t="inlineStr">
        <is>
          <t xml:space="preserve">INE142A01012</t>
        </is>
      </c>
    </row>
    <row r="2942">
      <c r="A2942" t="inlineStr">
        <is>
          <t xml:space="preserve">OSWALGREEN</t>
        </is>
      </c>
      <c r="B2942" t="inlineStr">
        <is>
          <t xml:space="preserve">Oswal Greentech Limited</t>
        </is>
      </c>
      <c r="C2942" t="inlineStr">
        <is>
          <t xml:space="preserve">INE143A01010</t>
        </is>
      </c>
    </row>
    <row r="2943">
      <c r="A2943" t="inlineStr">
        <is>
          <t xml:space="preserve">OSWALPUMPS</t>
        </is>
      </c>
      <c r="B2943" t="inlineStr">
        <is>
          <t xml:space="preserve">Oswal Pumps Limited</t>
        </is>
      </c>
      <c r="C2943" t="inlineStr">
        <is>
          <t xml:space="preserve">INE0BYP01024</t>
        </is>
      </c>
    </row>
    <row r="2944">
      <c r="A2944" t="inlineStr">
        <is>
          <t xml:space="preserve">OTCO</t>
        </is>
      </c>
      <c r="B2944" t="inlineStr">
        <is>
          <t xml:space="preserve">OTCO INTERNATIONAL LTD.</t>
        </is>
      </c>
      <c r="C2944" t="inlineStr">
        <is>
          <t xml:space="preserve">INE910B01028</t>
        </is>
      </c>
    </row>
    <row r="2945">
      <c r="A2945" t="inlineStr">
        <is>
          <t xml:space="preserve">OVAL</t>
        </is>
      </c>
      <c r="B2945" t="inlineStr">
        <is>
          <t xml:space="preserve">OVAL PROJECTS ENGINEERING LIMI</t>
        </is>
      </c>
      <c r="C2945" t="inlineStr">
        <is>
          <t xml:space="preserve">INE0RTI01017</t>
        </is>
      </c>
    </row>
    <row r="2946">
      <c r="A2946" t="inlineStr">
        <is>
          <t xml:space="preserve">OVOBELE</t>
        </is>
      </c>
      <c r="B2946" t="inlineStr">
        <is>
          <t xml:space="preserve">OVOBEL FOODS LTD.</t>
        </is>
      </c>
      <c r="C2946" t="inlineStr">
        <is>
          <t xml:space="preserve">INE812S01012</t>
        </is>
      </c>
    </row>
    <row r="2947">
      <c r="A2947" t="inlineStr">
        <is>
          <t xml:space="preserve">OXFORDIN</t>
        </is>
      </c>
      <c r="B2947" t="inlineStr">
        <is>
          <t xml:space="preserve">OXFORD INDUSTRIES LTD.</t>
        </is>
      </c>
      <c r="C2947" t="inlineStr">
        <is>
          <t xml:space="preserve">INE114D01015</t>
        </is>
      </c>
    </row>
    <row r="2948">
      <c r="A2948" t="inlineStr">
        <is>
          <t xml:space="preserve">OXYGENTAPH</t>
        </is>
      </c>
      <c r="B2948" t="inlineStr">
        <is>
          <t xml:space="preserve">OXYGENTA PHARMACEUTICAL LIMITE</t>
        </is>
      </c>
      <c r="C2948" t="inlineStr">
        <is>
          <t xml:space="preserve">INE102E01018</t>
        </is>
      </c>
    </row>
    <row r="2949">
      <c r="A2949" t="inlineStr">
        <is>
          <t xml:space="preserve">PHCAP</t>
        </is>
      </c>
      <c r="B2949" t="inlineStr">
        <is>
          <t xml:space="preserve">P H CAPITAL LIMITED</t>
        </is>
      </c>
      <c r="C2949" t="inlineStr">
        <is>
          <t xml:space="preserve">INE160F01013</t>
        </is>
      </c>
    </row>
    <row r="2950">
      <c r="A2950" t="inlineStr">
        <is>
          <t xml:space="preserve">PNGJL</t>
        </is>
      </c>
      <c r="B2950" t="inlineStr">
        <is>
          <t xml:space="preserve">P N GADGIL JEWELLERS LIMITED</t>
        </is>
      </c>
      <c r="C2950" t="inlineStr">
        <is>
          <t xml:space="preserve">INE953R01016</t>
        </is>
      </c>
    </row>
    <row r="2951">
      <c r="A2951" t="inlineStr">
        <is>
          <t xml:space="preserve">PIIND</t>
        </is>
      </c>
      <c r="B2951" t="inlineStr">
        <is>
          <t xml:space="preserve">P.I.INDUSTRIES LTD.</t>
        </is>
      </c>
      <c r="C2951" t="inlineStr">
        <is>
          <t xml:space="preserve">INE603J01030</t>
        </is>
      </c>
    </row>
    <row r="2952">
      <c r="A2952" t="inlineStr">
        <is>
          <t xml:space="preserve">PACEDIGITK</t>
        </is>
      </c>
      <c r="B2952" t="inlineStr">
        <is>
          <t xml:space="preserve">Pace Digitek Limited</t>
        </is>
      </c>
      <c r="C2952" t="inlineStr">
        <is>
          <t xml:space="preserve">INE0S3G01027</t>
        </is>
      </c>
    </row>
    <row r="2953">
      <c r="A2953" t="inlineStr">
        <is>
          <t xml:space="preserve">PACE</t>
        </is>
      </c>
      <c r="B2953" t="inlineStr">
        <is>
          <t xml:space="preserve">PACE E-COMMERCE VENTURES LIMIT</t>
        </is>
      </c>
      <c r="C2953" t="inlineStr">
        <is>
          <t xml:space="preserve">INE0N1L01018</t>
        </is>
      </c>
    </row>
    <row r="2954">
      <c r="A2954" t="inlineStr">
        <is>
          <t xml:space="preserve">PACIFICI</t>
        </is>
      </c>
      <c r="B2954" t="inlineStr">
        <is>
          <t xml:space="preserve">PACIFIC INDUSTRIES LTD.</t>
        </is>
      </c>
      <c r="C2954" t="inlineStr">
        <is>
          <t xml:space="preserve">INE883C01025</t>
        </is>
      </c>
    </row>
    <row r="2955">
      <c r="A2955" t="inlineStr">
        <is>
          <t xml:space="preserve">PADAMCO</t>
        </is>
      </c>
      <c r="B2955" t="inlineStr">
        <is>
          <t xml:space="preserve">PADAM COTTON YARNS LTD.</t>
        </is>
      </c>
      <c r="C2955" t="inlineStr">
        <is>
          <t xml:space="preserve">INE448D01025</t>
        </is>
      </c>
    </row>
    <row r="2956">
      <c r="A2956" t="inlineStr">
        <is>
          <t xml:space="preserve">PADMALAYAT</t>
        </is>
      </c>
      <c r="B2956" t="inlineStr">
        <is>
          <t xml:space="preserve">PADMALAYA TELEFILMS LTD.</t>
        </is>
      </c>
      <c r="C2956" t="inlineStr">
        <is>
          <t xml:space="preserve">INE243B01016</t>
        </is>
      </c>
    </row>
    <row r="2957">
      <c r="A2957" t="inlineStr">
        <is>
          <t xml:space="preserve">PADMAIND</t>
        </is>
      </c>
      <c r="B2957" t="inlineStr">
        <is>
          <t xml:space="preserve">Padmanabh Industries Ltd</t>
        </is>
      </c>
      <c r="C2957" t="inlineStr">
        <is>
          <t xml:space="preserve">INE743D01011</t>
        </is>
      </c>
    </row>
    <row r="2958">
      <c r="A2958" t="inlineStr">
        <is>
          <t xml:space="preserve">PAGEIND</t>
        </is>
      </c>
      <c r="B2958" t="inlineStr">
        <is>
          <t xml:space="preserve">PAGE INDUSTRIES LTD.</t>
        </is>
      </c>
      <c r="C2958" t="inlineStr">
        <is>
          <t xml:space="preserve">INE761H01022</t>
        </is>
      </c>
    </row>
    <row r="2959">
      <c r="A2959" t="inlineStr">
        <is>
          <t xml:space="preserve">PAISALO</t>
        </is>
      </c>
      <c r="B2959" t="inlineStr">
        <is>
          <t xml:space="preserve">PAISALO DIGITAL LIMITED</t>
        </is>
      </c>
      <c r="C2959" t="inlineStr">
        <is>
          <t xml:space="preserve">INE420C01059</t>
        </is>
      </c>
    </row>
    <row r="2960">
      <c r="A2960" t="inlineStr">
        <is>
          <t xml:space="preserve">PAJSON</t>
        </is>
      </c>
      <c r="B2960" t="inlineStr">
        <is>
          <t xml:space="preserve">Pajson Agro India Limited</t>
        </is>
      </c>
      <c r="C2960" t="inlineStr">
        <is>
          <t xml:space="preserve">INE14LM01012</t>
        </is>
      </c>
    </row>
    <row r="2961">
      <c r="A2961" t="inlineStr">
        <is>
          <t xml:space="preserve">PAKKA</t>
        </is>
      </c>
      <c r="B2961" t="inlineStr">
        <is>
          <t xml:space="preserve">PAKKA LIMITED</t>
        </is>
      </c>
      <c r="C2961" t="inlineStr">
        <is>
          <t xml:space="preserve">INE551D01018</t>
        </is>
      </c>
    </row>
    <row r="2962">
      <c r="A2962" t="inlineStr">
        <is>
          <t xml:space="preserve">PALASHSECU</t>
        </is>
      </c>
      <c r="B2962" t="inlineStr">
        <is>
          <t xml:space="preserve">Palash Securities Limited</t>
        </is>
      </c>
      <c r="C2962" t="inlineStr">
        <is>
          <t xml:space="preserve">INE471W01019</t>
        </is>
      </c>
    </row>
    <row r="2963">
      <c r="A2963" t="inlineStr">
        <is>
          <t xml:space="preserve">PALCO</t>
        </is>
      </c>
      <c r="B2963" t="inlineStr">
        <is>
          <t xml:space="preserve">Palco Metals Limited</t>
        </is>
      </c>
      <c r="C2963" t="inlineStr">
        <is>
          <t xml:space="preserve">INE239L01013</t>
        </is>
      </c>
    </row>
    <row r="2964">
      <c r="A2964" t="inlineStr">
        <is>
          <t xml:space="preserve">PALMJEWELS</t>
        </is>
      </c>
      <c r="B2964" t="inlineStr">
        <is>
          <t xml:space="preserve">Palm Jewels Limited</t>
        </is>
      </c>
      <c r="C2964" t="inlineStr">
        <is>
          <t xml:space="preserve">INE838Z01012</t>
        </is>
      </c>
    </row>
    <row r="2965">
      <c r="A2965" t="inlineStr">
        <is>
          <t xml:space="preserve">PANELEC</t>
        </is>
      </c>
      <c r="B2965" t="inlineStr">
        <is>
          <t xml:space="preserve">PAN ELECTRONICS INDIA LTD.</t>
        </is>
      </c>
      <c r="C2965" t="inlineStr">
        <is>
          <t xml:space="preserve">INE648E01010</t>
        </is>
      </c>
    </row>
    <row r="2966">
      <c r="A2966" t="inlineStr">
        <is>
          <t xml:space="preserve">PANINDIAC</t>
        </is>
      </c>
      <c r="B2966" t="inlineStr">
        <is>
          <t xml:space="preserve">PAN INDIA CORPORATION LTD.</t>
        </is>
      </c>
      <c r="C2966" t="inlineStr">
        <is>
          <t xml:space="preserve">INE376A01032</t>
        </is>
      </c>
    </row>
    <row r="2967">
      <c r="A2967" t="inlineStr">
        <is>
          <t xml:space="preserve">PANABYTE</t>
        </is>
      </c>
      <c r="B2967" t="inlineStr">
        <is>
          <t xml:space="preserve">PANABYTE TECHNOLOGIES LIMITED</t>
        </is>
      </c>
      <c r="C2967" t="inlineStr">
        <is>
          <t xml:space="preserve">INE516E01019</t>
        </is>
      </c>
    </row>
    <row r="2968">
      <c r="A2968" t="inlineStr">
        <is>
          <t xml:space="preserve">PANACEABIO</t>
        </is>
      </c>
      <c r="B2968" t="inlineStr">
        <is>
          <t xml:space="preserve">PANACEA BIOTEC LTD.</t>
        </is>
      </c>
      <c r="C2968" t="inlineStr">
        <is>
          <t xml:space="preserve">INE922B01023</t>
        </is>
      </c>
    </row>
    <row r="2969">
      <c r="A2969" t="inlineStr">
        <is>
          <t xml:space="preserve">PANAFIC</t>
        </is>
      </c>
      <c r="B2969" t="inlineStr">
        <is>
          <t xml:space="preserve">PANAFIC INDUSTRIALS LTD</t>
        </is>
      </c>
      <c r="C2969" t="inlineStr">
        <is>
          <t xml:space="preserve">INE655P01029</t>
        </is>
      </c>
    </row>
    <row r="2970">
      <c r="A2970" t="inlineStr">
        <is>
          <t xml:space="preserve">PANAMAPET</t>
        </is>
      </c>
      <c r="B2970" t="inlineStr">
        <is>
          <t xml:space="preserve">PANAMA PETROCHEM LTD.</t>
        </is>
      </c>
      <c r="C2970" t="inlineStr">
        <is>
          <t xml:space="preserve">INE305C01029</t>
        </is>
      </c>
    </row>
    <row r="2971">
      <c r="A2971" t="inlineStr">
        <is>
          <t xml:space="preserve">PANCARBON</t>
        </is>
      </c>
      <c r="B2971" t="inlineStr">
        <is>
          <t xml:space="preserve">PANASONIC CARBON INDIA CO.LTD.</t>
        </is>
      </c>
      <c r="C2971" t="inlineStr">
        <is>
          <t xml:space="preserve">INE013E01017</t>
        </is>
      </c>
    </row>
    <row r="2972">
      <c r="A2972" t="inlineStr">
        <is>
          <t xml:space="preserve">PANAENERG</t>
        </is>
      </c>
      <c r="B2972" t="inlineStr">
        <is>
          <t xml:space="preserve">PANASONIC ENERGY INDIA COMPANY</t>
        </is>
      </c>
      <c r="C2972" t="inlineStr">
        <is>
          <t xml:space="preserve">INE795A01017</t>
        </is>
      </c>
    </row>
    <row r="2973">
      <c r="A2973" t="inlineStr">
        <is>
          <t xml:space="preserve">PANCHMAHQ</t>
        </is>
      </c>
      <c r="B2973" t="inlineStr">
        <is>
          <t xml:space="preserve">PANCHMAHAL STEEL LTD.</t>
        </is>
      </c>
      <c r="C2973" t="inlineStr">
        <is>
          <t xml:space="preserve">INE798F01010</t>
        </is>
      </c>
    </row>
    <row r="2974">
      <c r="A2974" t="inlineStr">
        <is>
          <t xml:space="preserve">PANCHSHEEL</t>
        </is>
      </c>
      <c r="B2974" t="inlineStr">
        <is>
          <t xml:space="preserve">PANCHSHEEL ORGANICS LTD.</t>
        </is>
      </c>
      <c r="C2974" t="inlineStr">
        <is>
          <t xml:space="preserve">INE316G01019</t>
        </is>
      </c>
    </row>
    <row r="2975">
      <c r="A2975" t="inlineStr">
        <is>
          <t xml:space="preserve">PANJON</t>
        </is>
      </c>
      <c r="B2975" t="inlineStr">
        <is>
          <t xml:space="preserve">PANJON LTD.</t>
        </is>
      </c>
      <c r="C2975" t="inlineStr">
        <is>
          <t xml:space="preserve">INE744D01019</t>
        </is>
      </c>
    </row>
    <row r="2976">
      <c r="A2976" t="inlineStr">
        <is>
          <t xml:space="preserve">PANKAJPO</t>
        </is>
      </c>
      <c r="B2976" t="inlineStr">
        <is>
          <t xml:space="preserve">PANKAJ POLYMERS LTD.</t>
        </is>
      </c>
      <c r="C2976" t="inlineStr">
        <is>
          <t xml:space="preserve">INE698B01011</t>
        </is>
      </c>
    </row>
    <row r="2977">
      <c r="A2977" t="inlineStr">
        <is>
          <t xml:space="preserve">PANORAMA</t>
        </is>
      </c>
      <c r="B2977" t="inlineStr">
        <is>
          <t xml:space="preserve">PANORAMA STUDIOS INTERNATIONAL</t>
        </is>
      </c>
      <c r="C2977" t="inlineStr">
        <is>
          <t xml:space="preserve">INE258R01028</t>
        </is>
      </c>
    </row>
    <row r="2978">
      <c r="A2978" t="inlineStr">
        <is>
          <t xml:space="preserve">PANTH</t>
        </is>
      </c>
      <c r="B2978" t="inlineStr">
        <is>
          <t xml:space="preserve">PANTH INFINITY LIMITED</t>
        </is>
      </c>
      <c r="C2978" t="inlineStr">
        <is>
          <t xml:space="preserve">INE945O01019</t>
        </is>
      </c>
    </row>
    <row r="2979">
      <c r="A2979" t="inlineStr">
        <is>
          <t xml:space="preserve">PANIDPR</t>
        </is>
      </c>
      <c r="B2979" t="inlineStr">
        <is>
          <t xml:space="preserve">PANTHER INDUSTRIAL PRODUCTS LT</t>
        </is>
      </c>
      <c r="C2979" t="inlineStr">
        <is>
          <t xml:space="preserve">INE181D01014</t>
        </is>
      </c>
    </row>
    <row r="2980">
      <c r="A2980" t="inlineStr">
        <is>
          <t xml:space="preserve">PANCM</t>
        </is>
      </c>
      <c r="B2980" t="inlineStr">
        <is>
          <t xml:space="preserve">PANYAM CEMENTS &amp; MINERAL INDUS</t>
        </is>
      </c>
      <c r="C2980" t="inlineStr">
        <is>
          <t xml:space="preserve">INE167E01037</t>
        </is>
      </c>
    </row>
    <row r="2981">
      <c r="A2981" t="inlineStr">
        <is>
          <t xml:space="preserve">PAOS</t>
        </is>
      </c>
      <c r="B2981" t="inlineStr">
        <is>
          <t xml:space="preserve">PAOS INDUSTRIES LIMITED</t>
        </is>
      </c>
      <c r="C2981" t="inlineStr">
        <is>
          <t xml:space="preserve">INE791C01012</t>
        </is>
      </c>
    </row>
    <row r="2982">
      <c r="A2982" t="inlineStr">
        <is>
          <t xml:space="preserve">PPARIVAH</t>
        </is>
      </c>
      <c r="B2982" t="inlineStr">
        <is>
          <t xml:space="preserve">PARADEEP PARIVAHAN LIMITED</t>
        </is>
      </c>
      <c r="C2982" t="inlineStr">
        <is>
          <t xml:space="preserve">INE0SMW01011</t>
        </is>
      </c>
    </row>
    <row r="2983">
      <c r="A2983" t="inlineStr">
        <is>
          <t xml:space="preserve">PARADEEP</t>
        </is>
      </c>
      <c r="B2983" t="inlineStr">
        <is>
          <t xml:space="preserve">Paradeep Phosphates Limited</t>
        </is>
      </c>
      <c r="C2983" t="inlineStr">
        <is>
          <t xml:space="preserve">INE088F01024</t>
        </is>
      </c>
    </row>
    <row r="2984">
      <c r="A2984" t="inlineStr">
        <is>
          <t xml:space="preserve">PARAGMILK</t>
        </is>
      </c>
      <c r="B2984" t="inlineStr">
        <is>
          <t xml:space="preserve">Parag Milk Foods Limited</t>
        </is>
      </c>
      <c r="C2984" t="inlineStr">
        <is>
          <t xml:space="preserve">INE883N01014</t>
        </is>
      </c>
    </row>
    <row r="2985">
      <c r="A2985" t="inlineStr">
        <is>
          <t xml:space="preserve">PARAGONF</t>
        </is>
      </c>
      <c r="B2985" t="inlineStr">
        <is>
          <t xml:space="preserve">PARAGON FINANCE LTD.</t>
        </is>
      </c>
      <c r="C2985" t="inlineStr">
        <is>
          <t xml:space="preserve">INE015E01012</t>
        </is>
      </c>
    </row>
    <row r="2986">
      <c r="A2986" t="inlineStr">
        <is>
          <t xml:space="preserve">PARACABLES</t>
        </is>
      </c>
      <c r="B2986" t="inlineStr">
        <is>
          <t xml:space="preserve">PARAMOUNT COMMUNICATIONS LTD.</t>
        </is>
      </c>
      <c r="C2986" t="inlineStr">
        <is>
          <t xml:space="preserve">INE074B01023</t>
        </is>
      </c>
    </row>
    <row r="2987">
      <c r="A2987" t="inlineStr">
        <is>
          <t xml:space="preserve">PARMCOS-B</t>
        </is>
      </c>
      <c r="B2987" t="inlineStr">
        <is>
          <t xml:space="preserve">PARAMOUNT COSMETICS (INDIA) LT</t>
        </is>
      </c>
      <c r="C2987" t="inlineStr">
        <is>
          <t xml:space="preserve">INE143I01013</t>
        </is>
      </c>
    </row>
    <row r="2988">
      <c r="A2988" t="inlineStr">
        <is>
          <t xml:space="preserve">PARAS</t>
        </is>
      </c>
      <c r="B2988" t="inlineStr">
        <is>
          <t xml:space="preserve">Paras Defence and Space Techno</t>
        </is>
      </c>
      <c r="C2988" t="inlineStr">
        <is>
          <t xml:space="preserve">INE045601023</t>
        </is>
      </c>
    </row>
    <row r="2989">
      <c r="A2989" t="inlineStr">
        <is>
          <t xml:space="preserve">PARASPETRO</t>
        </is>
      </c>
      <c r="B2989" t="inlineStr">
        <is>
          <t xml:space="preserve">PARAS PETROFILS LTD.</t>
        </is>
      </c>
      <c r="C2989" t="inlineStr">
        <is>
          <t xml:space="preserve">INE162C01024</t>
        </is>
      </c>
    </row>
    <row r="2990">
      <c r="A2990" t="inlineStr">
        <is>
          <t xml:space="preserve">PARKHOSPS</t>
        </is>
      </c>
      <c r="B2990" t="inlineStr">
        <is>
          <t xml:space="preserve">PARK MEDI WORLD LIMITED</t>
        </is>
      </c>
      <c r="C2990" t="inlineStr">
        <is>
          <t xml:space="preserve">INE119201023</t>
        </is>
      </c>
    </row>
    <row r="2991">
      <c r="A2991" t="inlineStr">
        <is>
          <t xml:space="preserve">PARKERAC</t>
        </is>
      </c>
      <c r="B2991" t="inlineStr">
        <is>
          <t xml:space="preserve">PARKER AGROCHEM EXPORTS LTD.</t>
        </is>
      </c>
      <c r="C2991" t="inlineStr">
        <is>
          <t xml:space="preserve">INE750B01010</t>
        </is>
      </c>
    </row>
    <row r="2992">
      <c r="A2992" t="inlineStr">
        <is>
          <t xml:space="preserve">PARLEIND</t>
        </is>
      </c>
      <c r="B2992" t="inlineStr">
        <is>
          <t xml:space="preserve">PARLE INDUSTRIES LIMITED</t>
        </is>
      </c>
      <c r="C2992" t="inlineStr">
        <is>
          <t xml:space="preserve">INE272G01014</t>
        </is>
      </c>
    </row>
    <row r="2993">
      <c r="A2993" t="inlineStr">
        <is>
          <t xml:space="preserve">PARMAX</t>
        </is>
      </c>
      <c r="B2993" t="inlineStr">
        <is>
          <t xml:space="preserve">Parmax Pharma Limited</t>
        </is>
      </c>
      <c r="C2993" t="inlineStr">
        <is>
          <t xml:space="preserve">INE240T01014</t>
        </is>
      </c>
    </row>
    <row r="2994">
      <c r="A2994" t="inlineStr">
        <is>
          <t xml:space="preserve">PARMESHWAR</t>
        </is>
      </c>
      <c r="B2994" t="inlineStr">
        <is>
          <t xml:space="preserve">PARMESHWAR METAL LIMITED</t>
        </is>
      </c>
      <c r="C2994" t="inlineStr">
        <is>
          <t xml:space="preserve">INE0QQJ01021</t>
        </is>
      </c>
    </row>
    <row r="2995">
      <c r="A2995" t="inlineStr">
        <is>
          <t xml:space="preserve">PARMSILK</t>
        </is>
      </c>
      <c r="B2995" t="inlineStr">
        <is>
          <t xml:space="preserve">PARMESHWARI SILK MILLS LIMITED</t>
        </is>
      </c>
      <c r="C2995" t="inlineStr">
        <is>
          <t xml:space="preserve">INE808R01012</t>
        </is>
      </c>
    </row>
    <row r="2996">
      <c r="A2996" t="inlineStr">
        <is>
          <t xml:space="preserve">PARNAXLAB</t>
        </is>
      </c>
      <c r="B2996" t="inlineStr">
        <is>
          <t xml:space="preserve">PARNAX LAB LTD.</t>
        </is>
      </c>
      <c r="C2996" t="inlineStr">
        <is>
          <t xml:space="preserve">INE383L01019</t>
        </is>
      </c>
    </row>
    <row r="2997">
      <c r="A2997" t="inlineStr">
        <is>
          <t xml:space="preserve">PARSHVA</t>
        </is>
      </c>
      <c r="B2997" t="inlineStr">
        <is>
          <t xml:space="preserve">Parshva Enterprises Limited</t>
        </is>
      </c>
      <c r="C2997" t="inlineStr">
        <is>
          <t xml:space="preserve">INE05MV01019</t>
        </is>
      </c>
    </row>
    <row r="2998">
      <c r="A2998" t="inlineStr">
        <is>
          <t xml:space="preserve">PARSHWANA</t>
        </is>
      </c>
      <c r="B2998" t="inlineStr">
        <is>
          <t xml:space="preserve">PARSHWANATH CORPORATION LTD.</t>
        </is>
      </c>
      <c r="C2998" t="inlineStr">
        <is>
          <t xml:space="preserve">INE635I01018</t>
        </is>
      </c>
    </row>
    <row r="2999">
      <c r="A2999" t="inlineStr">
        <is>
          <t xml:space="preserve">PARSVNATH</t>
        </is>
      </c>
      <c r="B2999" t="inlineStr">
        <is>
          <t xml:space="preserve">PARSVNATH DEVELOPERS LTD.</t>
        </is>
      </c>
      <c r="C2999" t="inlineStr">
        <is>
          <t xml:space="preserve">INE561H01026</t>
        </is>
      </c>
    </row>
    <row r="3000">
      <c r="A3000" t="inlineStr">
        <is>
          <t xml:space="preserve">PARVATI</t>
        </is>
      </c>
      <c r="B3000" t="inlineStr">
        <is>
          <t xml:space="preserve">Parvati Sweetners and Power Lt</t>
        </is>
      </c>
      <c r="C3000" t="inlineStr">
        <is>
          <t xml:space="preserve">INE295Z01015</t>
        </is>
      </c>
    </row>
    <row r="3001">
      <c r="A3001" t="inlineStr">
        <is>
          <t xml:space="preserve">PASARI</t>
        </is>
      </c>
      <c r="B3001" t="inlineStr">
        <is>
          <t xml:space="preserve">PASARI SPINNING MILLS LTD.</t>
        </is>
      </c>
      <c r="C3001" t="inlineStr">
        <is>
          <t xml:space="preserve">INE604F01010</t>
        </is>
      </c>
    </row>
    <row r="3002">
      <c r="A3002" t="inlineStr">
        <is>
          <t xml:space="preserve">PASHUPATI</t>
        </is>
      </c>
      <c r="B3002" t="inlineStr">
        <is>
          <t xml:space="preserve">Pashupati Cotspin Limited</t>
        </is>
      </c>
      <c r="C3002" t="inlineStr">
        <is>
          <t xml:space="preserve">INE124Y01028</t>
        </is>
      </c>
    </row>
    <row r="3003">
      <c r="A3003" t="inlineStr">
        <is>
          <t xml:space="preserve">PASUPTAC</t>
        </is>
      </c>
      <c r="B3003" t="inlineStr">
        <is>
          <t xml:space="preserve">PASUPATI ACRYLON LTD.</t>
        </is>
      </c>
      <c r="C3003" t="inlineStr">
        <is>
          <t xml:space="preserve">INE818B01023</t>
        </is>
      </c>
    </row>
    <row r="3004">
      <c r="A3004" t="inlineStr">
        <is>
          <t xml:space="preserve">PASUSPG</t>
        </is>
      </c>
      <c r="B3004" t="inlineStr">
        <is>
          <t xml:space="preserve">PASUPATI SPG.&amp; WVG.MILLS LTD.</t>
        </is>
      </c>
      <c r="C3004" t="inlineStr">
        <is>
          <t xml:space="preserve">INE909B01020</t>
        </is>
      </c>
    </row>
    <row r="3005">
      <c r="A3005" t="inlineStr">
        <is>
          <t xml:space="preserve">PATANJALI</t>
        </is>
      </c>
      <c r="B3005" t="inlineStr">
        <is>
          <t xml:space="preserve">Patanjali Foods Limited</t>
        </is>
      </c>
      <c r="C3005" t="inlineStr">
        <is>
          <t xml:space="preserve">INE619A01035</t>
        </is>
      </c>
    </row>
    <row r="3006">
      <c r="A3006" t="inlineStr">
        <is>
          <t xml:space="preserve">PATELENG</t>
        </is>
      </c>
      <c r="B3006" t="inlineStr">
        <is>
          <t xml:space="preserve">PATEL ENGINEERING LTD.</t>
        </is>
      </c>
      <c r="C3006" t="inlineStr">
        <is>
          <t xml:space="preserve">INE244B01030</t>
        </is>
      </c>
    </row>
    <row r="3007">
      <c r="A3007" t="inlineStr">
        <is>
          <t xml:space="preserve">PATINTLOG</t>
        </is>
      </c>
      <c r="B3007" t="inlineStr">
        <is>
          <t xml:space="preserve">PATEL INTEGRATED LOGISTICS LTD</t>
        </is>
      </c>
      <c r="C3007" t="inlineStr">
        <is>
          <t xml:space="preserve">INE529D01014</t>
        </is>
      </c>
    </row>
    <row r="3008">
      <c r="A3008" t="inlineStr">
        <is>
          <t xml:space="preserve">PATELRMART</t>
        </is>
      </c>
      <c r="B3008" t="inlineStr">
        <is>
          <t xml:space="preserve">PATEL RETAIL LIMITED</t>
        </is>
      </c>
      <c r="C3008" t="inlineStr">
        <is>
          <t xml:space="preserve">INE0R8B01010</t>
        </is>
      </c>
    </row>
    <row r="3009">
      <c r="A3009" t="inlineStr">
        <is>
          <t xml:space="preserve">PATELSAI</t>
        </is>
      </c>
      <c r="B3009" t="inlineStr">
        <is>
          <t xml:space="preserve">PATELS AIRTEMP (INDIA) LTD.</t>
        </is>
      </c>
      <c r="C3009" t="inlineStr">
        <is>
          <t xml:space="preserve">INE082C01024</t>
        </is>
      </c>
    </row>
    <row r="3010">
      <c r="A3010" t="inlineStr">
        <is>
          <t xml:space="preserve">PATSPINLTD</t>
        </is>
      </c>
      <c r="B3010" t="inlineStr">
        <is>
          <t xml:space="preserve">PATSPIN INDIA LTD.</t>
        </is>
      </c>
      <c r="C3010" t="inlineStr">
        <is>
          <t xml:space="preserve">INE790C01014</t>
        </is>
      </c>
    </row>
    <row r="3011">
      <c r="A3011" t="inlineStr">
        <is>
          <t xml:space="preserve">PML</t>
        </is>
      </c>
      <c r="B3011" t="inlineStr">
        <is>
          <t xml:space="preserve">Paul Merchants Ltd.</t>
        </is>
      </c>
      <c r="C3011" t="inlineStr">
        <is>
          <t xml:space="preserve">INE291E01019</t>
        </is>
      </c>
    </row>
    <row r="3012">
      <c r="A3012" t="inlineStr">
        <is>
          <t xml:space="preserve">PAUSHAKLTD</t>
        </is>
      </c>
      <c r="B3012" t="inlineStr">
        <is>
          <t xml:space="preserve">PAUSHAK LTD.</t>
        </is>
      </c>
      <c r="C3012" t="inlineStr">
        <is>
          <t xml:space="preserve">INE111F01024</t>
        </is>
      </c>
    </row>
    <row r="3013">
      <c r="A3013" t="inlineStr">
        <is>
          <t xml:space="preserve">PAVNAIND</t>
        </is>
      </c>
      <c r="B3013" t="inlineStr">
        <is>
          <t xml:space="preserve">Pavna Industries Limited</t>
        </is>
      </c>
      <c r="C3013" t="inlineStr">
        <is>
          <t xml:space="preserve">INE07S101038</t>
        </is>
      </c>
    </row>
    <row r="3014">
      <c r="A3014" t="inlineStr">
        <is>
          <t xml:space="preserve">POLICYBZR</t>
        </is>
      </c>
      <c r="B3014" t="inlineStr">
        <is>
          <t xml:space="preserve">PB Fintech Limited</t>
        </is>
      </c>
      <c r="C3014" t="inlineStr">
        <is>
          <t xml:space="preserve">INE417T01026</t>
        </is>
      </c>
    </row>
    <row r="3015">
      <c r="A3015" t="inlineStr">
        <is>
          <t xml:space="preserve">PBAINFRA</t>
        </is>
      </c>
      <c r="B3015" t="inlineStr">
        <is>
          <t xml:space="preserve">PBA INFRASTRUCTURE LTD.</t>
        </is>
      </c>
      <c r="C3015" t="inlineStr">
        <is>
          <t xml:space="preserve">INE160H01019</t>
        </is>
      </c>
    </row>
    <row r="3016">
      <c r="A3016" t="inlineStr">
        <is>
          <t xml:space="preserve">PBMPOLY</t>
        </is>
      </c>
      <c r="B3016" t="inlineStr">
        <is>
          <t xml:space="preserve">PBM POLYTEX LTD.</t>
        </is>
      </c>
      <c r="C3016" t="inlineStr">
        <is>
          <t xml:space="preserve">INE501F01018</t>
        </is>
      </c>
    </row>
    <row r="3017">
      <c r="A3017" t="inlineStr">
        <is>
          <t xml:space="preserve">PCJEWELLER</t>
        </is>
      </c>
      <c r="B3017" t="inlineStr">
        <is>
          <t xml:space="preserve">PC JEWELLER LTD.</t>
        </is>
      </c>
      <c r="C3017" t="inlineStr">
        <is>
          <t xml:space="preserve">INE785M01021</t>
        </is>
      </c>
    </row>
    <row r="3018">
      <c r="A3018" t="inlineStr">
        <is>
          <t xml:space="preserve">PCBL</t>
        </is>
      </c>
      <c r="B3018" t="inlineStr">
        <is>
          <t xml:space="preserve">PCBL Chemical Limited</t>
        </is>
      </c>
      <c r="C3018" t="inlineStr">
        <is>
          <t xml:space="preserve">INE602A01031</t>
        </is>
      </c>
    </row>
    <row r="3019">
      <c r="A3019" t="inlineStr">
        <is>
          <t xml:space="preserve">1225PCL29</t>
        </is>
      </c>
      <c r="B3019" t="inlineStr">
        <is>
          <t xml:space="preserve">PCL-12.25%-22-6-29-NCD</t>
        </is>
      </c>
      <c r="C3019" t="inlineStr">
        <is>
          <t xml:space="preserve">INE0IID07801</t>
        </is>
      </c>
    </row>
    <row r="3020">
      <c r="A3020" t="inlineStr">
        <is>
          <t xml:space="preserve">125PCL29</t>
        </is>
      </c>
      <c r="B3020" t="inlineStr">
        <is>
          <t xml:space="preserve">PCL-12.5%-16-3-29-NCD</t>
        </is>
      </c>
      <c r="C3020" t="inlineStr">
        <is>
          <t xml:space="preserve">INE0IID07793</t>
        </is>
      </c>
    </row>
    <row r="3021">
      <c r="A3021" t="inlineStr">
        <is>
          <t xml:space="preserve">125PCL28</t>
        </is>
      </c>
      <c r="B3021" t="inlineStr">
        <is>
          <t xml:space="preserve">PCL-12.5%-29-12-28-NCD</t>
        </is>
      </c>
      <c r="C3021" t="inlineStr">
        <is>
          <t xml:space="preserve">INE0IID07744</t>
        </is>
      </c>
    </row>
    <row r="3022">
      <c r="A3022" t="inlineStr">
        <is>
          <t xml:space="preserve">1250PCL30</t>
        </is>
      </c>
      <c r="B3022" t="inlineStr">
        <is>
          <t xml:space="preserve">PCL-12.50%-22-6-30-NCD</t>
        </is>
      </c>
      <c r="C3022" t="inlineStr">
        <is>
          <t xml:space="preserve">INE0IID07819</t>
        </is>
      </c>
    </row>
    <row r="3023">
      <c r="A3023" t="inlineStr">
        <is>
          <t xml:space="preserve">1275PCL31</t>
        </is>
      </c>
      <c r="B3023" t="inlineStr">
        <is>
          <t xml:space="preserve">PCL-12.75%-22-6-31-NCD</t>
        </is>
      </c>
      <c r="C3023" t="inlineStr">
        <is>
          <t xml:space="preserve">INE0IID07827</t>
        </is>
      </c>
    </row>
    <row r="3024">
      <c r="A3024" t="inlineStr">
        <is>
          <t xml:space="preserve">13PCL31</t>
        </is>
      </c>
      <c r="B3024" t="inlineStr">
        <is>
          <t xml:space="preserve">PCL-13%-16-3-31-NCD</t>
        </is>
      </c>
      <c r="C3024" t="inlineStr">
        <is>
          <t xml:space="preserve">INE0IID07785</t>
        </is>
      </c>
    </row>
    <row r="3025">
      <c r="A3025" t="inlineStr">
        <is>
          <t xml:space="preserve">13PCL30A</t>
        </is>
      </c>
      <c r="B3025" t="inlineStr">
        <is>
          <t xml:space="preserve">PCL-13%-29-12-30-NCD</t>
        </is>
      </c>
      <c r="C3025" t="inlineStr">
        <is>
          <t xml:space="preserve">INE0IID07769</t>
        </is>
      </c>
    </row>
    <row r="3026">
      <c r="A3026" t="inlineStr">
        <is>
          <t xml:space="preserve">PCS</t>
        </is>
      </c>
      <c r="B3026" t="inlineStr">
        <is>
          <t xml:space="preserve">PCS TECHNOLOGY LTD.</t>
        </is>
      </c>
      <c r="C3026" t="inlineStr">
        <is>
          <t xml:space="preserve">INE834B01012</t>
        </is>
      </c>
    </row>
    <row r="3027">
      <c r="A3027" t="inlineStr">
        <is>
          <t xml:space="preserve">10PDL27</t>
        </is>
      </c>
      <c r="B3027" t="inlineStr">
        <is>
          <t xml:space="preserve">PDL-10%-3-6-27-PVT</t>
        </is>
      </c>
      <c r="C3027" t="inlineStr">
        <is>
          <t xml:space="preserve">INE420C07130</t>
        </is>
      </c>
    </row>
    <row r="3028">
      <c r="A3028" t="inlineStr">
        <is>
          <t xml:space="preserve">PSPL</t>
        </is>
      </c>
      <c r="B3028" t="inlineStr">
        <is>
          <t xml:space="preserve">PDP Shipping &amp; Projects Limite</t>
        </is>
      </c>
      <c r="C3028" t="inlineStr">
        <is>
          <t xml:space="preserve">INE0ABU01016</t>
        </is>
      </c>
    </row>
    <row r="3029">
      <c r="A3029" t="inlineStr">
        <is>
          <t xml:space="preserve">PDSL</t>
        </is>
      </c>
      <c r="B3029" t="inlineStr">
        <is>
          <t xml:space="preserve">PDS LIMITED</t>
        </is>
      </c>
      <c r="C3029" t="inlineStr">
        <is>
          <t xml:space="preserve">INE111Q01021</t>
        </is>
      </c>
    </row>
    <row r="3030">
      <c r="A3030" t="inlineStr">
        <is>
          <t xml:space="preserve">PGIL</t>
        </is>
      </c>
      <c r="B3030" t="inlineStr">
        <is>
          <t xml:space="preserve">PEARL GLOBAL INDUSTRIES LIMITE</t>
        </is>
      </c>
      <c r="C3030" t="inlineStr">
        <is>
          <t xml:space="preserve">INE940H01022</t>
        </is>
      </c>
    </row>
    <row r="3031">
      <c r="A3031" t="inlineStr">
        <is>
          <t xml:space="preserve">PGCRL</t>
        </is>
      </c>
      <c r="B3031" t="inlineStr">
        <is>
          <t xml:space="preserve">Pearl Green Clubs and Resorts</t>
        </is>
      </c>
      <c r="C3031" t="inlineStr">
        <is>
          <t xml:space="preserve">INE0GTX01019</t>
        </is>
      </c>
    </row>
    <row r="3032">
      <c r="A3032" t="inlineStr">
        <is>
          <t xml:space="preserve">PEARLPOLY</t>
        </is>
      </c>
      <c r="B3032" t="inlineStr">
        <is>
          <t xml:space="preserve">PEARL POLYMERS LTD.</t>
        </is>
      </c>
      <c r="C3032" t="inlineStr">
        <is>
          <t xml:space="preserve">INE844A01013</t>
        </is>
      </c>
    </row>
    <row r="3033">
      <c r="A3033" t="inlineStr">
        <is>
          <t xml:space="preserve">PCCOSMA</t>
        </is>
      </c>
      <c r="B3033" t="inlineStr">
        <is>
          <t xml:space="preserve">PEE CEE COSMA SOPE LTD.</t>
        </is>
      </c>
      <c r="C3033" t="inlineStr">
        <is>
          <t xml:space="preserve">INE417E01010</t>
        </is>
      </c>
    </row>
    <row r="3034">
      <c r="A3034" t="inlineStr">
        <is>
          <t xml:space="preserve">PEETISEC</t>
        </is>
      </c>
      <c r="B3034" t="inlineStr">
        <is>
          <t xml:space="preserve">PEETI SECURITIES LTD.</t>
        </is>
      </c>
      <c r="C3034" t="inlineStr">
        <is>
          <t xml:space="preserve">INE328D01011</t>
        </is>
      </c>
    </row>
    <row r="3035">
      <c r="A3035" t="inlineStr">
        <is>
          <t xml:space="preserve">PENINLAND</t>
        </is>
      </c>
      <c r="B3035" t="inlineStr">
        <is>
          <t xml:space="preserve">PENINSULA LAND LTD.</t>
        </is>
      </c>
      <c r="C3035" t="inlineStr">
        <is>
          <t xml:space="preserve">INE138A01028</t>
        </is>
      </c>
    </row>
    <row r="3036">
      <c r="A3036" t="inlineStr">
        <is>
          <t xml:space="preserve">PENIND</t>
        </is>
      </c>
      <c r="B3036" t="inlineStr">
        <is>
          <t xml:space="preserve">PENNAR INDUSTRIES LTD.</t>
        </is>
      </c>
      <c r="C3036" t="inlineStr">
        <is>
          <t xml:space="preserve">INE932A01024</t>
        </is>
      </c>
    </row>
    <row r="3037">
      <c r="A3037" t="inlineStr">
        <is>
          <t xml:space="preserve">PNTKYOR</t>
        </is>
      </c>
      <c r="B3037" t="inlineStr">
        <is>
          <t xml:space="preserve">PENTOKEY ORGANY (INDIA) LTD.</t>
        </is>
      </c>
      <c r="C3037" t="inlineStr">
        <is>
          <t xml:space="preserve">INE702E01015</t>
        </is>
      </c>
    </row>
    <row r="3038">
      <c r="A3038" t="inlineStr">
        <is>
          <t xml:space="preserve">OCTAVE</t>
        </is>
      </c>
      <c r="B3038" t="inlineStr">
        <is>
          <t xml:space="preserve">PERFECT-OCTAVE MEDIA PROJECTS</t>
        </is>
      </c>
      <c r="C3038" t="inlineStr">
        <is>
          <t xml:space="preserve">INE814L01013</t>
        </is>
      </c>
    </row>
    <row r="3039">
      <c r="A3039" t="inlineStr">
        <is>
          <t xml:space="preserve">PERFEPA</t>
        </is>
      </c>
      <c r="B3039" t="inlineStr">
        <is>
          <t xml:space="preserve">PERFECTPAC LTD.</t>
        </is>
      </c>
      <c r="C3039" t="inlineStr">
        <is>
          <t xml:space="preserve">INE759I01024</t>
        </is>
      </c>
    </row>
    <row r="3040">
      <c r="A3040" t="inlineStr">
        <is>
          <t xml:space="preserve">PERMAGN</t>
        </is>
      </c>
      <c r="B3040" t="inlineStr">
        <is>
          <t xml:space="preserve">PERMANENT MAGNETS LTD.</t>
        </is>
      </c>
      <c r="C3040" t="inlineStr">
        <is>
          <t xml:space="preserve">INE418E01018</t>
        </is>
      </c>
    </row>
    <row r="3041">
      <c r="A3041" t="inlineStr">
        <is>
          <t xml:space="preserve">PERSISTENT</t>
        </is>
      </c>
      <c r="B3041" t="inlineStr">
        <is>
          <t xml:space="preserve">PERSISTENT SYSTEMS LTD.</t>
        </is>
      </c>
      <c r="C3041" t="inlineStr">
        <is>
          <t xml:space="preserve">INE262H01021</t>
        </is>
      </c>
    </row>
    <row r="3042">
      <c r="A3042" t="inlineStr">
        <is>
          <t xml:space="preserve">PERVASIVE</t>
        </is>
      </c>
      <c r="B3042" t="inlineStr">
        <is>
          <t xml:space="preserve">Pervasive Commodities Limited</t>
        </is>
      </c>
      <c r="C3042" t="inlineStr">
        <is>
          <t xml:space="preserve">INE443P01038</t>
        </is>
      </c>
    </row>
    <row r="3043">
      <c r="A3043" t="inlineStr">
        <is>
          <t xml:space="preserve">PETRONET</t>
        </is>
      </c>
      <c r="B3043" t="inlineStr">
        <is>
          <t xml:space="preserve">PETRONET LNG LTD.</t>
        </is>
      </c>
      <c r="C3043" t="inlineStr">
        <is>
          <t xml:space="preserve">INE347G01014</t>
        </is>
      </c>
    </row>
    <row r="3044">
      <c r="A3044" t="inlineStr">
        <is>
          <t xml:space="preserve">760PFCL35</t>
        </is>
      </c>
      <c r="B3044" t="inlineStr">
        <is>
          <t xml:space="preserve">PFC-7.60%-3B-17-10-35-BOND</t>
        </is>
      </c>
      <c r="C3044" t="inlineStr">
        <is>
          <t xml:space="preserve">INE134E07588</t>
        </is>
      </c>
    </row>
    <row r="3045">
      <c r="A3045" t="inlineStr">
        <is>
          <t xml:space="preserve">750PFCL26</t>
        </is>
      </c>
      <c r="B3045" t="inlineStr">
        <is>
          <t xml:space="preserve">PFC-750%-1-8-26-NCD</t>
        </is>
      </c>
      <c r="C3045" t="inlineStr">
        <is>
          <t xml:space="preserve">INE134E07CF3</t>
        </is>
      </c>
    </row>
    <row r="3046">
      <c r="A3046" t="inlineStr">
        <is>
          <t xml:space="preserve">697PFCL36</t>
        </is>
      </c>
      <c r="B3046" t="inlineStr">
        <is>
          <t xml:space="preserve">PFCL-6.97%-22-1-36-NCD</t>
        </is>
      </c>
      <c r="C3046" t="inlineStr">
        <is>
          <t xml:space="preserve">INE134E07AR2</t>
        </is>
      </c>
    </row>
    <row r="3047">
      <c r="A3047" t="inlineStr">
        <is>
          <t xml:space="preserve">7PFCL31</t>
        </is>
      </c>
      <c r="B3047" t="inlineStr">
        <is>
          <t xml:space="preserve">PFCL-7%-22-1-31-NCD</t>
        </is>
      </c>
      <c r="C3047" t="inlineStr">
        <is>
          <t xml:space="preserve">INE134E07AN1</t>
        </is>
      </c>
    </row>
    <row r="3048">
      <c r="A3048" t="inlineStr">
        <is>
          <t xml:space="preserve">PFIZER</t>
        </is>
      </c>
      <c r="B3048" t="inlineStr">
        <is>
          <t xml:space="preserve">PFIZER LTD.</t>
        </is>
      </c>
      <c r="C3048" t="inlineStr">
        <is>
          <t xml:space="preserve">INE182A01018</t>
        </is>
      </c>
    </row>
    <row r="3049">
      <c r="A3049" t="inlineStr">
        <is>
          <t xml:space="preserve">PFLINFOTC</t>
        </is>
      </c>
      <c r="B3049" t="inlineStr">
        <is>
          <t xml:space="preserve">PFL INFOTECH LTD.</t>
        </is>
      </c>
      <c r="C3049" t="inlineStr">
        <is>
          <t xml:space="preserve">INE600F01018</t>
        </is>
      </c>
    </row>
    <row r="3050">
      <c r="A3050" t="inlineStr">
        <is>
          <t xml:space="preserve">675PFL31</t>
        </is>
      </c>
      <c r="B3050" t="inlineStr">
        <is>
          <t xml:space="preserve">PFL-6.75%-26-9-31-PVT</t>
        </is>
      </c>
      <c r="C3050" t="inlineStr">
        <is>
          <t xml:space="preserve">INE516Y07444</t>
        </is>
      </c>
    </row>
    <row r="3051">
      <c r="A3051" t="inlineStr">
        <is>
          <t xml:space="preserve">PGEL</t>
        </is>
      </c>
      <c r="B3051" t="inlineStr">
        <is>
          <t xml:space="preserve">PG ELECTROPLAST LTD.</t>
        </is>
      </c>
      <c r="C3051" t="inlineStr">
        <is>
          <t xml:space="preserve">INE457L01029</t>
        </is>
      </c>
    </row>
    <row r="3052">
      <c r="A3052" t="inlineStr">
        <is>
          <t xml:space="preserve">PGFOILQ</t>
        </is>
      </c>
      <c r="B3052" t="inlineStr">
        <is>
          <t xml:space="preserve">PG FOILS LTD.</t>
        </is>
      </c>
      <c r="C3052" t="inlineStr">
        <is>
          <t xml:space="preserve">INE078D01012</t>
        </is>
      </c>
    </row>
    <row r="3053">
      <c r="A3053" t="inlineStr">
        <is>
          <t xml:space="preserve">PHRMASI</t>
        </is>
      </c>
      <c r="B3053" t="inlineStr">
        <is>
          <t xml:space="preserve">PHAARMASIA LTD.</t>
        </is>
      </c>
      <c r="C3053" t="inlineStr">
        <is>
          <t xml:space="preserve">INE486I01016</t>
        </is>
      </c>
    </row>
    <row r="3054">
      <c r="A3054" t="inlineStr">
        <is>
          <t xml:space="preserve">PHARMAID</t>
        </is>
      </c>
      <c r="B3054" t="inlineStr">
        <is>
          <t xml:space="preserve">PHARMAIDS PHARMACEUTICALS LTD.</t>
        </is>
      </c>
      <c r="C3054" t="inlineStr">
        <is>
          <t xml:space="preserve">INE117D01018</t>
        </is>
      </c>
    </row>
    <row r="3055">
      <c r="A3055" t="inlineStr">
        <is>
          <t xml:space="preserve">PHOENXINTL</t>
        </is>
      </c>
      <c r="B3055" t="inlineStr">
        <is>
          <t xml:space="preserve">PHOENIX INTERNATIONAL LTD.</t>
        </is>
      </c>
      <c r="C3055" t="inlineStr">
        <is>
          <t xml:space="preserve">INE245B01011</t>
        </is>
      </c>
    </row>
    <row r="3056">
      <c r="A3056" t="inlineStr">
        <is>
          <t xml:space="preserve">PHOTON</t>
        </is>
      </c>
      <c r="B3056" t="inlineStr">
        <is>
          <t xml:space="preserve">PHOTON CAPITAL ADVISORS LTD.</t>
        </is>
      </c>
      <c r="C3056" t="inlineStr">
        <is>
          <t xml:space="preserve">INE107J01016</t>
        </is>
      </c>
    </row>
    <row r="3057">
      <c r="A3057" t="inlineStr">
        <is>
          <t xml:space="preserve">PHOTOQUP</t>
        </is>
      </c>
      <c r="B3057" t="inlineStr">
        <is>
          <t xml:space="preserve">PHOTOQUIP INDIA LTD.</t>
        </is>
      </c>
      <c r="C3057" t="inlineStr">
        <is>
          <t xml:space="preserve">INE813B01016</t>
        </is>
      </c>
    </row>
    <row r="3058">
      <c r="A3058" t="inlineStr">
        <is>
          <t xml:space="preserve">PWL</t>
        </is>
      </c>
      <c r="B3058" t="inlineStr">
        <is>
          <t xml:space="preserve">Physicswallah Limited</t>
        </is>
      </c>
      <c r="C3058" t="inlineStr">
        <is>
          <t xml:space="preserve">INE0LP301011</t>
        </is>
      </c>
    </row>
    <row r="3059">
      <c r="A3059" t="inlineStr">
        <is>
          <t xml:space="preserve">PHYTO</t>
        </is>
      </c>
      <c r="B3059" t="inlineStr">
        <is>
          <t xml:space="preserve">PHYTO CHEM (INDIA) LTD.</t>
        </is>
      </c>
      <c r="C3059" t="inlineStr">
        <is>
          <t xml:space="preserve">INE037C01010</t>
        </is>
      </c>
    </row>
    <row r="3060">
      <c r="A3060" t="inlineStr">
        <is>
          <t xml:space="preserve">PICCADIL</t>
        </is>
      </c>
      <c r="B3060" t="inlineStr">
        <is>
          <t xml:space="preserve">PICCADILY AGRO INDUSTRIES LTD.</t>
        </is>
      </c>
      <c r="C3060" t="inlineStr">
        <is>
          <t xml:space="preserve">INE546C01010</t>
        </is>
      </c>
    </row>
    <row r="3061">
      <c r="A3061" t="inlineStr">
        <is>
          <t xml:space="preserve">PICCASUG</t>
        </is>
      </c>
      <c r="B3061" t="inlineStr">
        <is>
          <t xml:space="preserve">PICCADILY SUGAR &amp; ALLIED INDUS</t>
        </is>
      </c>
      <c r="C3061" t="inlineStr">
        <is>
          <t xml:space="preserve">INE544C01023</t>
        </is>
      </c>
    </row>
    <row r="3062">
      <c r="A3062" t="inlineStr">
        <is>
          <t xml:space="preserve">PIDILITIND</t>
        </is>
      </c>
      <c r="B3062" t="inlineStr">
        <is>
          <t xml:space="preserve">PIDILITE INDUSTRIES LTD.</t>
        </is>
      </c>
      <c r="C3062" t="inlineStr">
        <is>
          <t xml:space="preserve">INE318A01026</t>
        </is>
      </c>
    </row>
    <row r="3063">
      <c r="A3063" t="inlineStr">
        <is>
          <t xml:space="preserve">PILITA</t>
        </is>
      </c>
      <c r="B3063" t="inlineStr">
        <is>
          <t xml:space="preserve">Pil Italica Lifestyle Limited</t>
        </is>
      </c>
      <c r="C3063" t="inlineStr">
        <is>
          <t xml:space="preserve">INE600A01035</t>
        </is>
      </c>
    </row>
    <row r="3064">
      <c r="A3064" t="inlineStr">
        <is>
          <t xml:space="preserve">PILANIINVS</t>
        </is>
      </c>
      <c r="B3064" t="inlineStr">
        <is>
          <t xml:space="preserve">Pilani Investment And Industri</t>
        </is>
      </c>
      <c r="C3064" t="inlineStr">
        <is>
          <t xml:space="preserve">INE417C01014</t>
        </is>
      </c>
    </row>
    <row r="3065">
      <c r="A3065" t="inlineStr">
        <is>
          <t xml:space="preserve">PINELABS</t>
        </is>
      </c>
      <c r="B3065" t="inlineStr">
        <is>
          <t xml:space="preserve">Pine Labs Limited</t>
        </is>
      </c>
      <c r="C3065" t="inlineStr">
        <is>
          <t xml:space="preserve">INE15B701018</t>
        </is>
      </c>
    </row>
    <row r="3066">
      <c r="A3066" t="inlineStr">
        <is>
          <t xml:space="preserve">PIONEEREMB</t>
        </is>
      </c>
      <c r="B3066" t="inlineStr">
        <is>
          <t xml:space="preserve">PIONEER EMBROIDERIES LTD.</t>
        </is>
      </c>
      <c r="C3066" t="inlineStr">
        <is>
          <t xml:space="preserve">INE156C01018</t>
        </is>
      </c>
    </row>
    <row r="3067">
      <c r="A3067" t="inlineStr">
        <is>
          <t xml:space="preserve">PIONRINV</t>
        </is>
      </c>
      <c r="B3067" t="inlineStr">
        <is>
          <t xml:space="preserve">PIONEER INVESTCORP LTD.</t>
        </is>
      </c>
      <c r="C3067" t="inlineStr">
        <is>
          <t xml:space="preserve">INE746D01014</t>
        </is>
      </c>
    </row>
    <row r="3068">
      <c r="A3068" t="inlineStr">
        <is>
          <t xml:space="preserve">PIRAMALFIN</t>
        </is>
      </c>
      <c r="B3068" t="inlineStr">
        <is>
          <t xml:space="preserve">Piramal Finance Limited</t>
        </is>
      </c>
      <c r="C3068" t="inlineStr">
        <is>
          <t xml:space="preserve">INE202B01038</t>
        </is>
      </c>
    </row>
    <row r="3069">
      <c r="A3069" t="inlineStr">
        <is>
          <t xml:space="preserve">PPLPHARMA</t>
        </is>
      </c>
      <c r="B3069" t="inlineStr">
        <is>
          <t xml:space="preserve">PIRAMAL PHARMA LIMITED</t>
        </is>
      </c>
      <c r="C3069" t="inlineStr">
        <is>
          <t xml:space="preserve">INE0DK501011</t>
        </is>
      </c>
    </row>
    <row r="3070">
      <c r="A3070" t="inlineStr">
        <is>
          <t xml:space="preserve">PITTIENG</t>
        </is>
      </c>
      <c r="B3070" t="inlineStr">
        <is>
          <t xml:space="preserve">PITTI ENGINEERING LIMITED</t>
        </is>
      </c>
      <c r="C3070" t="inlineStr">
        <is>
          <t xml:space="preserve">INE450D01021</t>
        </is>
      </c>
    </row>
    <row r="3071">
      <c r="A3071" t="inlineStr">
        <is>
          <t xml:space="preserve">PIXTRANS</t>
        </is>
      </c>
      <c r="B3071" t="inlineStr">
        <is>
          <t xml:space="preserve">PIX TRANSMISSIONS LTD.</t>
        </is>
      </c>
      <c r="C3071" t="inlineStr">
        <is>
          <t xml:space="preserve">INE751B01018</t>
        </is>
      </c>
    </row>
    <row r="3072">
      <c r="A3072" t="inlineStr">
        <is>
          <t xml:space="preserve">PLASTIBLEN</t>
        </is>
      </c>
      <c r="B3072" t="inlineStr">
        <is>
          <t xml:space="preserve">PLASTIBLENDS INDIA LTD.</t>
        </is>
      </c>
      <c r="C3072" t="inlineStr">
        <is>
          <t xml:space="preserve">INE083C01022</t>
        </is>
      </c>
    </row>
    <row r="3073">
      <c r="A3073" t="inlineStr">
        <is>
          <t xml:space="preserve">PLATIND</t>
        </is>
      </c>
      <c r="B3073" t="inlineStr">
        <is>
          <t xml:space="preserve">Platinum Industries Limited</t>
        </is>
      </c>
      <c r="C3073" t="inlineStr">
        <is>
          <t xml:space="preserve">INE0PT501018</t>
        </is>
      </c>
    </row>
    <row r="3074">
      <c r="A3074" t="inlineStr">
        <is>
          <t xml:space="preserve">PLAZACABLE</t>
        </is>
      </c>
      <c r="B3074" t="inlineStr">
        <is>
          <t xml:space="preserve">Plaza Wires Limited</t>
        </is>
      </c>
      <c r="C3074" t="inlineStr">
        <is>
          <t xml:space="preserve">INE0INJ01017</t>
        </is>
      </c>
    </row>
    <row r="3075">
      <c r="A3075" t="inlineStr">
        <is>
          <t xml:space="preserve">PMCFIN</t>
        </is>
      </c>
      <c r="B3075" t="inlineStr">
        <is>
          <t xml:space="preserve">PMC FINCORP LIMITED</t>
        </is>
      </c>
      <c r="C3075" t="inlineStr">
        <is>
          <t xml:space="preserve">INE793G01035</t>
        </is>
      </c>
    </row>
    <row r="3076">
      <c r="A3076" t="inlineStr">
        <is>
          <t xml:space="preserve">PNBGILTS</t>
        </is>
      </c>
      <c r="B3076" t="inlineStr">
        <is>
          <t xml:space="preserve">PNB GILTS LTD.</t>
        </is>
      </c>
      <c r="C3076" t="inlineStr">
        <is>
          <t xml:space="preserve">INE859A01011</t>
        </is>
      </c>
    </row>
    <row r="3077">
      <c r="A3077" t="inlineStr">
        <is>
          <t xml:space="preserve">PNBHOUSING</t>
        </is>
      </c>
      <c r="B3077" t="inlineStr">
        <is>
          <t xml:space="preserve">PNB Housing Finance Limited</t>
        </is>
      </c>
      <c r="C3077" t="inlineStr">
        <is>
          <t xml:space="preserve">INE572E01012</t>
        </is>
      </c>
    </row>
    <row r="3078">
      <c r="A3078" t="inlineStr">
        <is>
          <t xml:space="preserve">PNCINFRA</t>
        </is>
      </c>
      <c r="B3078" t="inlineStr">
        <is>
          <t xml:space="preserve">PNC Infratech Limited</t>
        </is>
      </c>
      <c r="C3078" t="inlineStr">
        <is>
          <t xml:space="preserve">INE195J01029</t>
        </is>
      </c>
    </row>
    <row r="3079">
      <c r="A3079" t="inlineStr">
        <is>
          <t xml:space="preserve">GARGI</t>
        </is>
      </c>
      <c r="B3079" t="inlineStr">
        <is>
          <t xml:space="preserve">PNGS GARGI FASHION JEWELLERY L</t>
        </is>
      </c>
      <c r="C3079" t="inlineStr">
        <is>
          <t xml:space="preserve">INE0NT601018</t>
        </is>
      </c>
    </row>
    <row r="3080">
      <c r="A3080" t="inlineStr">
        <is>
          <t xml:space="preserve">PNGSREVA</t>
        </is>
      </c>
      <c r="B3080" t="inlineStr">
        <is>
          <t xml:space="preserve">PNGS Reva Diamond Jewellery Li</t>
        </is>
      </c>
      <c r="C3080" t="inlineStr">
        <is>
          <t xml:space="preserve">INE1RDG01013</t>
        </is>
      </c>
    </row>
    <row r="3081">
      <c r="A3081" t="inlineStr">
        <is>
          <t xml:space="preserve">POEL</t>
        </is>
      </c>
      <c r="B3081" t="inlineStr">
        <is>
          <t xml:space="preserve">POCL ENTERPRISES LTD</t>
        </is>
      </c>
      <c r="C3081" t="inlineStr">
        <is>
          <t xml:space="preserve">INE035S01028</t>
        </is>
      </c>
    </row>
    <row r="3082">
      <c r="A3082" t="inlineStr">
        <is>
          <t xml:space="preserve">PODDARMENT</t>
        </is>
      </c>
      <c r="B3082" t="inlineStr">
        <is>
          <t xml:space="preserve">PODDAR PIGMENTS LTD.</t>
        </is>
      </c>
      <c r="C3082" t="inlineStr">
        <is>
          <t xml:space="preserve">INE371C01013</t>
        </is>
      </c>
    </row>
    <row r="3083">
      <c r="A3083" t="inlineStr">
        <is>
          <t xml:space="preserve">POKARNA</t>
        </is>
      </c>
      <c r="B3083" t="inlineStr">
        <is>
          <t xml:space="preserve">POKARNA LTD.</t>
        </is>
      </c>
      <c r="C3083" t="inlineStr">
        <is>
          <t xml:space="preserve">INE637C01025</t>
        </is>
      </c>
    </row>
    <row r="3084">
      <c r="A3084" t="inlineStr">
        <is>
          <t xml:space="preserve">PQIF</t>
        </is>
      </c>
      <c r="B3084" t="inlineStr">
        <is>
          <t xml:space="preserve">Polo Queen Industrial and Fint</t>
        </is>
      </c>
      <c r="C3084" t="inlineStr">
        <is>
          <t xml:space="preserve">INE689M01025</t>
        </is>
      </c>
    </row>
    <row r="3085">
      <c r="A3085" t="inlineStr">
        <is>
          <t xml:space="preserve">POLSON</t>
        </is>
      </c>
      <c r="B3085" t="inlineStr">
        <is>
          <t xml:space="preserve">POLSON LTD.</t>
        </is>
      </c>
      <c r="C3085" t="inlineStr">
        <is>
          <t xml:space="preserve">INE339F01021</t>
        </is>
      </c>
    </row>
    <row r="3086">
      <c r="A3086" t="inlineStr">
        <is>
          <t xml:space="preserve">POLYMED</t>
        </is>
      </c>
      <c r="B3086" t="inlineStr">
        <is>
          <t xml:space="preserve">POLY MEDICURE LTD.</t>
        </is>
      </c>
      <c r="C3086" t="inlineStr">
        <is>
          <t xml:space="preserve">INE205C01021</t>
        </is>
      </c>
    </row>
    <row r="3087">
      <c r="A3087" t="inlineStr">
        <is>
          <t xml:space="preserve">POLYCAB</t>
        </is>
      </c>
      <c r="B3087" t="inlineStr">
        <is>
          <t xml:space="preserve">Polycab India Limited</t>
        </is>
      </c>
      <c r="C3087" t="inlineStr">
        <is>
          <t xml:space="preserve">INE455K01017</t>
        </is>
      </c>
    </row>
    <row r="3088">
      <c r="A3088" t="inlineStr">
        <is>
          <t xml:space="preserve">POLYCHEM</t>
        </is>
      </c>
      <c r="B3088" t="inlineStr">
        <is>
          <t xml:space="preserve">POLYCHEM LTD.</t>
        </is>
      </c>
      <c r="C3088" t="inlineStr">
        <is>
          <t xml:space="preserve">INE752B01024</t>
        </is>
      </c>
    </row>
    <row r="3089">
      <c r="A3089" t="inlineStr">
        <is>
          <t xml:space="preserve">POLYCON</t>
        </is>
      </c>
      <c r="B3089" t="inlineStr">
        <is>
          <t xml:space="preserve">POLYCON INTERNATIONAL LTD.</t>
        </is>
      </c>
      <c r="C3089" t="inlineStr">
        <is>
          <t xml:space="preserve">INE262C01014</t>
        </is>
      </c>
    </row>
    <row r="3090">
      <c r="A3090" t="inlineStr">
        <is>
          <t xml:space="preserve">POLYLINK</t>
        </is>
      </c>
      <c r="B3090" t="inlineStr">
        <is>
          <t xml:space="preserve">POLYLINK POLYMERS (INDIA) LTD.</t>
        </is>
      </c>
      <c r="C3090" t="inlineStr">
        <is>
          <t xml:space="preserve">INE323D01020</t>
        </is>
      </c>
    </row>
    <row r="3091">
      <c r="A3091" t="inlineStr">
        <is>
          <t xml:space="preserve">POLYCHMP</t>
        </is>
      </c>
      <c r="B3091" t="inlineStr">
        <is>
          <t xml:space="preserve">POLYMECHPLAST MACHINES LTD.</t>
        </is>
      </c>
      <c r="C3091" t="inlineStr">
        <is>
          <t xml:space="preserve">INE809B01014</t>
        </is>
      </c>
    </row>
    <row r="3092">
      <c r="A3092" t="inlineStr">
        <is>
          <t xml:space="preserve">POLYPLEX</t>
        </is>
      </c>
      <c r="B3092" t="inlineStr">
        <is>
          <t xml:space="preserve">POLYPLEX CORPORATION LTD.</t>
        </is>
      </c>
      <c r="C3092" t="inlineStr">
        <is>
          <t xml:space="preserve">INE633B01018</t>
        </is>
      </c>
    </row>
    <row r="3093">
      <c r="A3093" t="inlineStr">
        <is>
          <t xml:space="preserve">POLYSPIN</t>
        </is>
      </c>
      <c r="B3093" t="inlineStr">
        <is>
          <t xml:space="preserve">Polyspin Exports Ltd.</t>
        </is>
      </c>
      <c r="C3093" t="inlineStr">
        <is>
          <t xml:space="preserve">INE914G01029</t>
        </is>
      </c>
    </row>
    <row r="3094">
      <c r="A3094" t="inlineStr">
        <is>
          <t xml:space="preserve">POCL</t>
        </is>
      </c>
      <c r="B3094" t="inlineStr">
        <is>
          <t xml:space="preserve">PONDY OXIDES &amp; CHEMICALS LTD.</t>
        </is>
      </c>
      <c r="C3094" t="inlineStr">
        <is>
          <t xml:space="preserve">INE063E01053</t>
        </is>
      </c>
    </row>
    <row r="3095">
      <c r="A3095" t="inlineStr">
        <is>
          <t xml:space="preserve">PONNIERODE</t>
        </is>
      </c>
      <c r="B3095" t="inlineStr">
        <is>
          <t xml:space="preserve">PONNI SUGARS (ERODE) LTD.</t>
        </is>
      </c>
      <c r="C3095" t="inlineStr">
        <is>
          <t xml:space="preserve">INE838E01017</t>
        </is>
      </c>
    </row>
    <row r="3096">
      <c r="A3096" t="inlineStr">
        <is>
          <t xml:space="preserve">POOJA</t>
        </is>
      </c>
      <c r="B3096" t="inlineStr">
        <is>
          <t xml:space="preserve">Poojawestern Metaliks Limited</t>
        </is>
      </c>
      <c r="C3096" t="inlineStr">
        <is>
          <t xml:space="preserve">INE973X01012</t>
        </is>
      </c>
    </row>
    <row r="3097">
      <c r="A3097" t="inlineStr">
        <is>
          <t xml:space="preserve">POONADAL</t>
        </is>
      </c>
      <c r="B3097" t="inlineStr">
        <is>
          <t xml:space="preserve">POONA DAL &amp; OIL INDUSTRIES LTD</t>
        </is>
      </c>
      <c r="C3097" t="inlineStr">
        <is>
          <t xml:space="preserve">INE809E01018</t>
        </is>
      </c>
    </row>
    <row r="3098">
      <c r="A3098" t="inlineStr">
        <is>
          <t xml:space="preserve">POONAWALLA</t>
        </is>
      </c>
      <c r="B3098" t="inlineStr">
        <is>
          <t xml:space="preserve">POONAWALLA FINCORP LIMITED</t>
        </is>
      </c>
      <c r="C3098" t="inlineStr">
        <is>
          <t xml:space="preserve">INE511C01022</t>
        </is>
      </c>
    </row>
    <row r="3099">
      <c r="A3099" t="inlineStr">
        <is>
          <t xml:space="preserve">POPULARES</t>
        </is>
      </c>
      <c r="B3099" t="inlineStr">
        <is>
          <t xml:space="preserve">POPULAR ESTATE MANAGEMENT LTD.</t>
        </is>
      </c>
      <c r="C3099" t="inlineStr">
        <is>
          <t xml:space="preserve">INE370C01015</t>
        </is>
      </c>
    </row>
    <row r="3100">
      <c r="A3100" t="inlineStr">
        <is>
          <t xml:space="preserve">PFL</t>
        </is>
      </c>
      <c r="B3100" t="inlineStr">
        <is>
          <t xml:space="preserve">POPULAR FOUNDATIONS LIMITED</t>
        </is>
      </c>
      <c r="C3100" t="inlineStr">
        <is>
          <t xml:space="preserve">INE0PZB01013</t>
        </is>
      </c>
    </row>
    <row r="3101">
      <c r="A3101" t="inlineStr">
        <is>
          <t xml:space="preserve">PVSL</t>
        </is>
      </c>
      <c r="B3101" t="inlineStr">
        <is>
          <t xml:space="preserve">Popular Vehicles and Services</t>
        </is>
      </c>
      <c r="C3101" t="inlineStr">
        <is>
          <t xml:space="preserve">INE772T01024</t>
        </is>
      </c>
    </row>
    <row r="3102">
      <c r="A3102" t="inlineStr">
        <is>
          <t xml:space="preserve">PORWAL</t>
        </is>
      </c>
      <c r="B3102" t="inlineStr">
        <is>
          <t xml:space="preserve">PORWAL AUTO COMPONENTS LTD.</t>
        </is>
      </c>
      <c r="C3102" t="inlineStr">
        <is>
          <t xml:space="preserve">INE386I01018</t>
        </is>
      </c>
    </row>
    <row r="3103">
      <c r="A3103" t="inlineStr">
        <is>
          <t xml:space="preserve">PIGL</t>
        </is>
      </c>
      <c r="B3103" t="inlineStr">
        <is>
          <t xml:space="preserve">Power &amp; Instrumentation (Gujar</t>
        </is>
      </c>
      <c r="C3103" t="inlineStr">
        <is>
          <t xml:space="preserve">INE557Z01018</t>
        </is>
      </c>
    </row>
    <row r="3104">
      <c r="A3104" t="inlineStr">
        <is>
          <t xml:space="preserve">PFC</t>
        </is>
      </c>
      <c r="B3104" t="inlineStr">
        <is>
          <t xml:space="preserve">POWER FINANCE CORPORATION LTD.</t>
        </is>
      </c>
      <c r="C3104" t="inlineStr">
        <is>
          <t xml:space="preserve">INE134E01011</t>
        </is>
      </c>
    </row>
    <row r="3105">
      <c r="A3105" t="inlineStr">
        <is>
          <t xml:space="preserve">POWERGRID</t>
        </is>
      </c>
      <c r="B3105" t="inlineStr">
        <is>
          <t xml:space="preserve">POWER GRID CORPORATION OF INDI</t>
        </is>
      </c>
      <c r="C3105" t="inlineStr">
        <is>
          <t xml:space="preserve">INE752E01010</t>
        </is>
      </c>
    </row>
    <row r="3106">
      <c r="A3106" t="inlineStr">
        <is>
          <t xml:space="preserve">POWERMECH</t>
        </is>
      </c>
      <c r="B3106" t="inlineStr">
        <is>
          <t xml:space="preserve">Power Mech Projects Limited</t>
        </is>
      </c>
      <c r="C3106" t="inlineStr">
        <is>
          <t xml:space="preserve">INE211R01019</t>
        </is>
      </c>
    </row>
    <row r="3107">
      <c r="A3107" t="inlineStr">
        <is>
          <t xml:space="preserve">PGINVIT</t>
        </is>
      </c>
      <c r="B3107" t="inlineStr">
        <is>
          <t xml:space="preserve">POWERGRID Infrastructure Inves</t>
        </is>
      </c>
      <c r="C3107" t="inlineStr">
        <is>
          <t xml:space="preserve">INE0GGX23010</t>
        </is>
      </c>
    </row>
    <row r="3108">
      <c r="A3108" t="inlineStr">
        <is>
          <t xml:space="preserve">POWERICA</t>
        </is>
      </c>
      <c r="B3108" t="inlineStr">
        <is>
          <t xml:space="preserve">Powerica Ltd.</t>
        </is>
      </c>
      <c r="C3108" t="inlineStr">
        <is>
          <t xml:space="preserve">INE921L01032</t>
        </is>
      </c>
    </row>
    <row r="3109">
      <c r="A3109" t="inlineStr">
        <is>
          <t xml:space="preserve">PPAP</t>
        </is>
      </c>
      <c r="B3109" t="inlineStr">
        <is>
          <t xml:space="preserve">PPAP</t>
        </is>
      </c>
      <c r="C3109" t="inlineStr">
        <is>
          <t xml:space="preserve">INE095I01015</t>
        </is>
      </c>
    </row>
    <row r="3110">
      <c r="A3110" t="inlineStr">
        <is>
          <t xml:space="preserve">PRABHA</t>
        </is>
      </c>
      <c r="B3110" t="inlineStr">
        <is>
          <t xml:space="preserve">Prabha Energy Limited</t>
        </is>
      </c>
      <c r="C3110" t="inlineStr">
        <is>
          <t xml:space="preserve">INE0I0M01023</t>
        </is>
      </c>
    </row>
    <row r="3111">
      <c r="A3111" t="inlineStr">
        <is>
          <t xml:space="preserve">PRABHHANS</t>
        </is>
      </c>
      <c r="B3111" t="inlineStr">
        <is>
          <t xml:space="preserve">PRABHHANS INDUSTRIES LIMITED</t>
        </is>
      </c>
      <c r="C3111" t="inlineStr">
        <is>
          <t xml:space="preserve">INE428P01013</t>
        </is>
      </c>
    </row>
    <row r="3112">
      <c r="A3112" t="inlineStr">
        <is>
          <t xml:space="preserve">PRADPME</t>
        </is>
      </c>
      <c r="B3112" t="inlineStr">
        <is>
          <t xml:space="preserve">PRADEEP METALS LTD.</t>
        </is>
      </c>
      <c r="C3112" t="inlineStr">
        <is>
          <t xml:space="preserve">INE770A01010</t>
        </is>
      </c>
    </row>
    <row r="3113">
      <c r="A3113" t="inlineStr">
        <is>
          <t xml:space="preserve">PRAGBOS</t>
        </is>
      </c>
      <c r="B3113" t="inlineStr">
        <is>
          <t xml:space="preserve">PRAG BOSIMI SYNTHETICS LTD.</t>
        </is>
      </c>
      <c r="C3113" t="inlineStr">
        <is>
          <t xml:space="preserve">INE962B01011</t>
        </is>
      </c>
    </row>
    <row r="3114">
      <c r="A3114" t="inlineStr">
        <is>
          <t xml:space="preserve">PRAJIND</t>
        </is>
      </c>
      <c r="B3114" t="inlineStr">
        <is>
          <t xml:space="preserve">PRAJ INDUSTRIES LTD.</t>
        </is>
      </c>
      <c r="C3114" t="inlineStr">
        <is>
          <t xml:space="preserve">INE074A01025</t>
        </is>
      </c>
    </row>
    <row r="3115">
      <c r="A3115" t="inlineStr">
        <is>
          <t xml:space="preserve">PRAENG</t>
        </is>
      </c>
      <c r="B3115" t="inlineStr">
        <is>
          <t xml:space="preserve">PRAJAY ENGINEERS SYNDICATE LTD</t>
        </is>
      </c>
      <c r="C3115" t="inlineStr">
        <is>
          <t xml:space="preserve">INE505C01016</t>
        </is>
      </c>
    </row>
    <row r="3116">
      <c r="A3116" t="inlineStr">
        <is>
          <t xml:space="preserve">PRAKASH</t>
        </is>
      </c>
      <c r="B3116" t="inlineStr">
        <is>
          <t xml:space="preserve">PRAKASH INDUSTRIES LTD.</t>
        </is>
      </c>
      <c r="C3116" t="inlineStr">
        <is>
          <t xml:space="preserve">INE603A01013</t>
        </is>
      </c>
    </row>
    <row r="3117">
      <c r="A3117" t="inlineStr">
        <is>
          <t xml:space="preserve">PPL</t>
        </is>
      </c>
      <c r="B3117" t="inlineStr">
        <is>
          <t xml:space="preserve">Prakash Pipes Limited</t>
        </is>
      </c>
      <c r="C3117" t="inlineStr">
        <is>
          <t xml:space="preserve">INE050001010</t>
        </is>
      </c>
    </row>
    <row r="3118">
      <c r="A3118" t="inlineStr">
        <is>
          <t xml:space="preserve">PRAKASHSTL</t>
        </is>
      </c>
      <c r="B3118" t="inlineStr">
        <is>
          <t xml:space="preserve">PRAKASH STEELAGE LTD.</t>
        </is>
      </c>
      <c r="C3118" t="inlineStr">
        <is>
          <t xml:space="preserve">INE696K01024</t>
        </is>
      </c>
    </row>
    <row r="3119">
      <c r="A3119" t="inlineStr">
        <is>
          <t xml:space="preserve">PWASML</t>
        </is>
      </c>
      <c r="B3119" t="inlineStr">
        <is>
          <t xml:space="preserve">Prakash Woollen &amp; Synthetic Mi</t>
        </is>
      </c>
      <c r="C3119" t="inlineStr">
        <is>
          <t xml:space="preserve">INE523I01016</t>
        </is>
      </c>
    </row>
    <row r="3120">
      <c r="A3120" t="inlineStr">
        <is>
          <t xml:space="preserve">PRARUH</t>
        </is>
      </c>
      <c r="B3120" t="inlineStr">
        <is>
          <t xml:space="preserve">PRARUH TECHNOLOGIES LIMITED</t>
        </is>
      </c>
      <c r="C3120" t="inlineStr">
        <is>
          <t xml:space="preserve">INE0TI501017</t>
        </is>
      </c>
    </row>
    <row r="3121">
      <c r="A3121" t="inlineStr">
        <is>
          <t xml:space="preserve">DIAMONDYD</t>
        </is>
      </c>
      <c r="B3121" t="inlineStr">
        <is>
          <t xml:space="preserve">Prataap Snacks Limited</t>
        </is>
      </c>
      <c r="C3121" t="inlineStr">
        <is>
          <t xml:space="preserve">INE393P01035</t>
        </is>
      </c>
    </row>
    <row r="3122">
      <c r="A3122" t="inlineStr">
        <is>
          <t xml:space="preserve">PRATIK</t>
        </is>
      </c>
      <c r="B3122" t="inlineStr">
        <is>
          <t xml:space="preserve">PRATIK PANELS LTD.</t>
        </is>
      </c>
      <c r="C3122" t="inlineStr">
        <is>
          <t xml:space="preserve">INE206C01029</t>
        </is>
      </c>
    </row>
    <row r="3123">
      <c r="A3123" t="inlineStr">
        <is>
          <t xml:space="preserve">PRATIKSH</t>
        </is>
      </c>
      <c r="B3123" t="inlineStr">
        <is>
          <t xml:space="preserve">PRATIKSHA CHEMICALS LTD.</t>
        </is>
      </c>
      <c r="C3123" t="inlineStr">
        <is>
          <t xml:space="preserve">INE530D01012</t>
        </is>
      </c>
    </row>
    <row r="3124">
      <c r="A3124" t="inlineStr">
        <is>
          <t xml:space="preserve">PRAVEG</t>
        </is>
      </c>
      <c r="B3124" t="inlineStr">
        <is>
          <t xml:space="preserve">PRAVEG LIMITED</t>
        </is>
      </c>
      <c r="C3124" t="inlineStr">
        <is>
          <t xml:space="preserve">INE722B01019</t>
        </is>
      </c>
    </row>
    <row r="3125">
      <c r="A3125" t="inlineStr">
        <is>
          <t xml:space="preserve">PRAXIS</t>
        </is>
      </c>
      <c r="B3125" t="inlineStr">
        <is>
          <t xml:space="preserve">Praxis Home Retail Limited</t>
        </is>
      </c>
      <c r="C3125" t="inlineStr">
        <is>
          <t xml:space="preserve">INE546Y01022</t>
        </is>
      </c>
    </row>
    <row r="3126">
      <c r="A3126" t="inlineStr">
        <is>
          <t xml:space="preserve">PRECAM</t>
        </is>
      </c>
      <c r="B3126" t="inlineStr">
        <is>
          <t xml:space="preserve">Precision Camshafts Limited</t>
        </is>
      </c>
      <c r="C3126" t="inlineStr">
        <is>
          <t xml:space="preserve">INE484I01029</t>
        </is>
      </c>
    </row>
    <row r="3127">
      <c r="A3127" t="inlineStr">
        <is>
          <t xml:space="preserve">PRECISIO</t>
        </is>
      </c>
      <c r="B3127" t="inlineStr">
        <is>
          <t xml:space="preserve">PRECISION ELECTRONICS LTD.</t>
        </is>
      </c>
      <c r="C3127" t="inlineStr">
        <is>
          <t xml:space="preserve">INE143C01024</t>
        </is>
      </c>
    </row>
    <row r="3128">
      <c r="A3128" t="inlineStr">
        <is>
          <t xml:space="preserve">PRECWIRE</t>
        </is>
      </c>
      <c r="B3128" t="inlineStr">
        <is>
          <t xml:space="preserve">PRECISION WIRES INDIA LTD.</t>
        </is>
      </c>
      <c r="C3128" t="inlineStr">
        <is>
          <t xml:space="preserve">INE372C01037</t>
        </is>
      </c>
    </row>
    <row r="3129">
      <c r="A3129" t="inlineStr">
        <is>
          <t xml:space="preserve">PREMCO</t>
        </is>
      </c>
      <c r="B3129" t="inlineStr">
        <is>
          <t xml:space="preserve">PREMCO GLOBAL LTD.</t>
        </is>
      </c>
      <c r="C3129" t="inlineStr">
        <is>
          <t xml:space="preserve">INE001E01012</t>
        </is>
      </c>
    </row>
    <row r="3130">
      <c r="A3130" t="inlineStr">
        <is>
          <t xml:space="preserve">PREMCAP</t>
        </is>
      </c>
      <c r="B3130" t="inlineStr">
        <is>
          <t xml:space="preserve">PREMIER CAPITAL SERVICES LTD.</t>
        </is>
      </c>
      <c r="C3130" t="inlineStr">
        <is>
          <t xml:space="preserve">INE946K01023</t>
        </is>
      </c>
    </row>
    <row r="3131">
      <c r="A3131" t="inlineStr">
        <is>
          <t xml:space="preserve">PREMIERENE</t>
        </is>
      </c>
      <c r="B3131" t="inlineStr">
        <is>
          <t xml:space="preserve">Premier Energies Limited</t>
        </is>
      </c>
      <c r="C3131" t="inlineStr">
        <is>
          <t xml:space="preserve">INE0BS701011</t>
        </is>
      </c>
    </row>
    <row r="3132">
      <c r="A3132" t="inlineStr">
        <is>
          <t xml:space="preserve">PEIL</t>
        </is>
      </c>
      <c r="B3132" t="inlineStr">
        <is>
          <t xml:space="preserve">PREMIER ENERGY AND INFRASTRUCT</t>
        </is>
      </c>
      <c r="C3132" t="inlineStr">
        <is>
          <t xml:space="preserve">INE429K01012</t>
        </is>
      </c>
    </row>
    <row r="3133">
      <c r="A3133" t="inlineStr">
        <is>
          <t xml:space="preserve">PREMEXPLN</t>
        </is>
      </c>
      <c r="B3133" t="inlineStr">
        <is>
          <t xml:space="preserve">PREMIER EXPLOSIVES LTD.</t>
        </is>
      </c>
      <c r="C3133" t="inlineStr">
        <is>
          <t xml:space="preserve">INE863B01029</t>
        </is>
      </c>
    </row>
    <row r="3134">
      <c r="A3134" t="inlineStr">
        <is>
          <t xml:space="preserve">PREMIER</t>
        </is>
      </c>
      <c r="B3134" t="inlineStr">
        <is>
          <t xml:space="preserve">PREMIER LTD.</t>
        </is>
      </c>
      <c r="C3134" t="inlineStr">
        <is>
          <t xml:space="preserve">INE342A01018</t>
        </is>
      </c>
    </row>
    <row r="3135">
      <c r="A3135" t="inlineStr">
        <is>
          <t xml:space="preserve">PREMIERPOL</t>
        </is>
      </c>
      <c r="B3135" t="inlineStr">
        <is>
          <t xml:space="preserve">PREMIER POLYFILM LTD.</t>
        </is>
      </c>
      <c r="C3135" t="inlineStr">
        <is>
          <t xml:space="preserve">INE309M01020</t>
        </is>
      </c>
    </row>
    <row r="3136">
      <c r="A3136" t="inlineStr">
        <is>
          <t xml:space="preserve">PREMSYN</t>
        </is>
      </c>
      <c r="B3136" t="inlineStr">
        <is>
          <t xml:space="preserve">PREMIER SYNTHETICS LTD.</t>
        </is>
      </c>
      <c r="C3136" t="inlineStr">
        <is>
          <t xml:space="preserve">INE940N01012</t>
        </is>
      </c>
    </row>
    <row r="3137">
      <c r="A3137" t="inlineStr">
        <is>
          <t xml:space="preserve">PRERINFRA</t>
        </is>
      </c>
      <c r="B3137" t="inlineStr">
        <is>
          <t xml:space="preserve">PRERNA INFRABUILD LTD.</t>
        </is>
      </c>
      <c r="C3137" t="inlineStr">
        <is>
          <t xml:space="preserve">INE426H01014</t>
        </is>
      </c>
    </row>
    <row r="3138">
      <c r="A3138" t="inlineStr">
        <is>
          <t xml:space="preserve">PRESTIGE</t>
        </is>
      </c>
      <c r="B3138" t="inlineStr">
        <is>
          <t xml:space="preserve">PRESTIGE ESTATES PROJECTS LTD.</t>
        </is>
      </c>
      <c r="C3138" t="inlineStr">
        <is>
          <t xml:space="preserve">INE811K01011</t>
        </is>
      </c>
    </row>
    <row r="3139">
      <c r="A3139" t="inlineStr">
        <is>
          <t xml:space="preserve">PREVEST</t>
        </is>
      </c>
      <c r="B3139" t="inlineStr">
        <is>
          <t xml:space="preserve">Prevest Denpro Limited</t>
        </is>
      </c>
      <c r="C3139" t="inlineStr">
        <is>
          <t xml:space="preserve">INE0GAO01018</t>
        </is>
      </c>
    </row>
    <row r="3140">
      <c r="A3140" t="inlineStr">
        <is>
          <t xml:space="preserve">PRICOLLTD</t>
        </is>
      </c>
      <c r="B3140" t="inlineStr">
        <is>
          <t xml:space="preserve">Pricol Limited</t>
        </is>
      </c>
      <c r="C3140" t="inlineStr">
        <is>
          <t xml:space="preserve">INE726V01018</t>
        </is>
      </c>
    </row>
    <row r="3141">
      <c r="A3141" t="inlineStr">
        <is>
          <t xml:space="preserve">PRIMAGR</t>
        </is>
      </c>
      <c r="B3141" t="inlineStr">
        <is>
          <t xml:space="preserve">PRIMA AGRO LTD.</t>
        </is>
      </c>
      <c r="C3141" t="inlineStr">
        <is>
          <t xml:space="preserve">INE297D01018</t>
        </is>
      </c>
    </row>
    <row r="3142">
      <c r="A3142" t="inlineStr">
        <is>
          <t xml:space="preserve">PRIMAIN</t>
        </is>
      </c>
      <c r="B3142" t="inlineStr">
        <is>
          <t xml:space="preserve">PRIMA INDUSTRIES LTD.</t>
        </is>
      </c>
      <c r="C3142" t="inlineStr">
        <is>
          <t xml:space="preserve">INE723N01012</t>
        </is>
      </c>
    </row>
    <row r="3143">
      <c r="A3143" t="inlineStr">
        <is>
          <t xml:space="preserve">PRIMAPLA</t>
        </is>
      </c>
      <c r="B3143" t="inlineStr">
        <is>
          <t xml:space="preserve">PRIMA PLASTICS LTD.</t>
        </is>
      </c>
      <c r="C3143" t="inlineStr">
        <is>
          <t xml:space="preserve">INE573B01016</t>
        </is>
      </c>
    </row>
    <row r="3144">
      <c r="A3144" t="inlineStr">
        <is>
          <t xml:space="preserve">PRIMECAPM</t>
        </is>
      </c>
      <c r="B3144" t="inlineStr">
        <is>
          <t xml:space="preserve">PRIME CAPITAL MARKET LTD.</t>
        </is>
      </c>
      <c r="C3144" t="inlineStr">
        <is>
          <t xml:space="preserve">INE748D01010</t>
        </is>
      </c>
    </row>
    <row r="3145">
      <c r="A3145" t="inlineStr">
        <is>
          <t xml:space="preserve">PFOCUS</t>
        </is>
      </c>
      <c r="B3145" t="inlineStr">
        <is>
          <t xml:space="preserve">PRIME FOCUS LTD.</t>
        </is>
      </c>
      <c r="C3145" t="inlineStr">
        <is>
          <t xml:space="preserve">INE367G01038</t>
        </is>
      </c>
    </row>
    <row r="3146">
      <c r="A3146" t="inlineStr">
        <is>
          <t xml:space="preserve">PRIMEFRESH</t>
        </is>
      </c>
      <c r="B3146" t="inlineStr">
        <is>
          <t xml:space="preserve">PRIME FRESH LIMITED</t>
        </is>
      </c>
      <c r="C3146" t="inlineStr">
        <is>
          <t xml:space="preserve">INE442V01012</t>
        </is>
      </c>
    </row>
    <row r="3147">
      <c r="A3147" t="inlineStr">
        <is>
          <t xml:space="preserve">PRIMIND</t>
        </is>
      </c>
      <c r="B3147" t="inlineStr">
        <is>
          <t xml:space="preserve">PRIME INDUSTRIES LTD.</t>
        </is>
      </c>
      <c r="C3147" t="inlineStr">
        <is>
          <t xml:space="preserve">INE543F01028</t>
        </is>
      </c>
    </row>
    <row r="3148">
      <c r="A3148" t="inlineStr">
        <is>
          <t xml:space="preserve">PRIMEPRO</t>
        </is>
      </c>
      <c r="B3148" t="inlineStr">
        <is>
          <t xml:space="preserve">PRIME PROPERTY DEVELOPMENT COR</t>
        </is>
      </c>
      <c r="C3148" t="inlineStr">
        <is>
          <t xml:space="preserve">INE233C01023</t>
        </is>
      </c>
    </row>
    <row r="3149">
      <c r="A3149" t="inlineStr">
        <is>
          <t xml:space="preserve">PRIMESECU</t>
        </is>
      </c>
      <c r="B3149" t="inlineStr">
        <is>
          <t xml:space="preserve">PRIME SECURITIES LTD.</t>
        </is>
      </c>
      <c r="C3149" t="inlineStr">
        <is>
          <t xml:space="preserve">INE032B01021</t>
        </is>
      </c>
    </row>
    <row r="3150">
      <c r="A3150" t="inlineStr">
        <is>
          <t xml:space="preserve">PRIMEURB</t>
        </is>
      </c>
      <c r="B3150" t="inlineStr">
        <is>
          <t xml:space="preserve">PRIME URBAN DEVELOPMENT INDIA</t>
        </is>
      </c>
      <c r="C3150" t="inlineStr">
        <is>
          <t xml:space="preserve">INE419E01024</t>
        </is>
      </c>
    </row>
    <row r="3151">
      <c r="A3151" t="inlineStr">
        <is>
          <t xml:space="preserve">PRIMO</t>
        </is>
      </c>
      <c r="B3151" t="inlineStr">
        <is>
          <t xml:space="preserve">Primo Chemicals Limited</t>
        </is>
      </c>
      <c r="C3151" t="inlineStr">
        <is>
          <t xml:space="preserve">INE607A01022</t>
        </is>
      </c>
    </row>
    <row r="3152">
      <c r="A3152" t="inlineStr">
        <is>
          <t xml:space="preserve">PRINCEPIPE</t>
        </is>
      </c>
      <c r="B3152" t="inlineStr">
        <is>
          <t xml:space="preserve">Prince Pipes and Fittings Limi</t>
        </is>
      </c>
      <c r="C3152" t="inlineStr">
        <is>
          <t xml:space="preserve">INE689W01016</t>
        </is>
      </c>
    </row>
    <row r="3153">
      <c r="A3153" t="inlineStr">
        <is>
          <t xml:space="preserve">PRSMJOHNSN</t>
        </is>
      </c>
      <c r="B3153" t="inlineStr">
        <is>
          <t xml:space="preserve">PRISM JOHNSON LIMITED.</t>
        </is>
      </c>
      <c r="C3153" t="inlineStr">
        <is>
          <t xml:space="preserve">INE010A01011</t>
        </is>
      </c>
    </row>
    <row r="3154">
      <c r="A3154" t="inlineStr">
        <is>
          <t xml:space="preserve">PRISMMEDI</t>
        </is>
      </c>
      <c r="B3154" t="inlineStr">
        <is>
          <t xml:space="preserve">PRISM MEDICO AND PHARMACY LTD.</t>
        </is>
      </c>
      <c r="C3154" t="inlineStr">
        <is>
          <t xml:space="preserve">INE730E01016</t>
        </is>
      </c>
    </row>
    <row r="3155">
      <c r="A3155" t="inlineStr">
        <is>
          <t xml:space="preserve">PRISMX</t>
        </is>
      </c>
      <c r="B3155" t="inlineStr">
        <is>
          <t xml:space="preserve">PRISMX GLOBAL VENTURES LIMITED</t>
        </is>
      </c>
      <c r="C3155" t="inlineStr">
        <is>
          <t xml:space="preserve">INE286N01028</t>
        </is>
      </c>
    </row>
    <row r="3156">
      <c r="A3156" t="inlineStr">
        <is>
          <t xml:space="preserve">PRITHVIEXCH</t>
        </is>
      </c>
      <c r="B3156" t="inlineStr">
        <is>
          <t xml:space="preserve">Prithvi Exchange (India) Limit</t>
        </is>
      </c>
      <c r="C3156" t="inlineStr">
        <is>
          <t xml:space="preserve">INE621B01021</t>
        </is>
      </c>
    </row>
    <row r="3157">
      <c r="A3157" t="inlineStr">
        <is>
          <t xml:space="preserve">PRITIKAUTO</t>
        </is>
      </c>
      <c r="B3157" t="inlineStr">
        <is>
          <t xml:space="preserve">Pritika Auto Industries Limite</t>
        </is>
      </c>
      <c r="C3157" t="inlineStr">
        <is>
          <t xml:space="preserve">INE583R01029</t>
        </is>
      </c>
    </row>
    <row r="3158">
      <c r="A3158" t="inlineStr">
        <is>
          <t xml:space="preserve">PNC</t>
        </is>
      </c>
      <c r="B3158" t="inlineStr">
        <is>
          <t xml:space="preserve">PRITISH NANDY COMMUNICATIONS L</t>
        </is>
      </c>
      <c r="C3158" t="inlineStr">
        <is>
          <t xml:space="preserve">INE392B01011</t>
        </is>
      </c>
    </row>
    <row r="3159">
      <c r="A3159" t="inlineStr">
        <is>
          <t xml:space="preserve">PRIVISCL</t>
        </is>
      </c>
      <c r="B3159" t="inlineStr">
        <is>
          <t xml:space="preserve">PRIVI SPECIALITY CHEMICALS LIM</t>
        </is>
      </c>
      <c r="C3159" t="inlineStr">
        <is>
          <t xml:space="preserve">INE959A01019</t>
        </is>
      </c>
    </row>
    <row r="3160">
      <c r="A3160" t="inlineStr">
        <is>
          <t xml:space="preserve">PROCLB</t>
        </is>
      </c>
      <c r="B3160" t="inlineStr">
        <is>
          <t xml:space="preserve">PRO CLB GLOBAL LIMITED</t>
        </is>
      </c>
      <c r="C3160" t="inlineStr">
        <is>
          <t xml:space="preserve">INE438C01010</t>
        </is>
      </c>
    </row>
    <row r="3161">
      <c r="A3161" t="inlineStr">
        <is>
          <t xml:space="preserve">PROFINC</t>
        </is>
      </c>
      <c r="B3161" t="inlineStr">
        <is>
          <t xml:space="preserve">PRO FIN CAPITAL SERVICES LTD.</t>
        </is>
      </c>
      <c r="C3161" t="inlineStr">
        <is>
          <t xml:space="preserve">INE732K01027</t>
        </is>
      </c>
    </row>
    <row r="3162">
      <c r="A3162" t="inlineStr">
        <is>
          <t xml:space="preserve">PGHL</t>
        </is>
      </c>
      <c r="B3162" t="inlineStr">
        <is>
          <t xml:space="preserve">PROCTER &amp; GAMBLE HEALTH LIMITE</t>
        </is>
      </c>
      <c r="C3162" t="inlineStr">
        <is>
          <t xml:space="preserve">INE199A01012</t>
        </is>
      </c>
    </row>
    <row r="3163">
      <c r="A3163" t="inlineStr">
        <is>
          <t xml:space="preserve">PGHH</t>
        </is>
      </c>
      <c r="B3163" t="inlineStr">
        <is>
          <t xml:space="preserve">PROCTER &amp; GAMBLE HYGIENE &amp; HEA</t>
        </is>
      </c>
      <c r="C3163" t="inlineStr">
        <is>
          <t xml:space="preserve">INE179A01014</t>
        </is>
      </c>
    </row>
    <row r="3164">
      <c r="A3164" t="inlineStr">
        <is>
          <t xml:space="preserve">PRODOCS</t>
        </is>
      </c>
      <c r="B3164" t="inlineStr">
        <is>
          <t xml:space="preserve">PRODOCS SOLUTIONS LIMITED</t>
        </is>
      </c>
      <c r="C3164" t="inlineStr">
        <is>
          <t xml:space="preserve">INE10XK01019</t>
        </is>
      </c>
    </row>
    <row r="3165">
      <c r="A3165" t="inlineStr">
        <is>
          <t xml:space="preserve">PROMACT</t>
        </is>
      </c>
      <c r="B3165" t="inlineStr">
        <is>
          <t xml:space="preserve">Promact Plastics Limited</t>
        </is>
      </c>
      <c r="C3165" t="inlineStr">
        <is>
          <t xml:space="preserve">INE818D01011</t>
        </is>
      </c>
    </row>
    <row r="3166">
      <c r="A3166" t="inlineStr">
        <is>
          <t xml:space="preserve">PROSTARM</t>
        </is>
      </c>
      <c r="B3166" t="inlineStr">
        <is>
          <t xml:space="preserve">PROSTARM INFO SYSTEMS LIMITED</t>
        </is>
      </c>
      <c r="C3166" t="inlineStr">
        <is>
          <t xml:space="preserve">INE0BX301013</t>
        </is>
      </c>
    </row>
    <row r="3167">
      <c r="A3167" t="inlineStr">
        <is>
          <t xml:space="preserve">PROTEAN</t>
        </is>
      </c>
      <c r="B3167" t="inlineStr">
        <is>
          <t xml:space="preserve">Protean eGov Technologies Limi</t>
        </is>
      </c>
      <c r="C3167" t="inlineStr">
        <is>
          <t xml:space="preserve">INE004A01022</t>
        </is>
      </c>
    </row>
    <row r="3168">
      <c r="A3168" t="inlineStr">
        <is>
          <t xml:space="preserve">PROZONER</t>
        </is>
      </c>
      <c r="B3168" t="inlineStr">
        <is>
          <t xml:space="preserve">PROZONE REALTY LIMITED</t>
        </is>
      </c>
      <c r="C3168" t="inlineStr">
        <is>
          <t xml:space="preserve">INE195N01013</t>
        </is>
      </c>
    </row>
    <row r="3169">
      <c r="A3169" t="inlineStr">
        <is>
          <t xml:space="preserve">PRUDENT</t>
        </is>
      </c>
      <c r="B3169" t="inlineStr">
        <is>
          <t xml:space="preserve">Prudent Corporate Advisory Ser</t>
        </is>
      </c>
      <c r="C3169" t="inlineStr">
        <is>
          <t xml:space="preserve">INE00F201020</t>
        </is>
      </c>
    </row>
    <row r="3170">
      <c r="A3170" t="inlineStr">
        <is>
          <t xml:space="preserve">PRUDMOULI</t>
        </is>
      </c>
      <c r="B3170" t="inlineStr">
        <is>
          <t xml:space="preserve">PRUDENTIAL SUGAR CORPORATION L</t>
        </is>
      </c>
      <c r="C3170" t="inlineStr">
        <is>
          <t xml:space="preserve">INE024D01016</t>
        </is>
      </c>
    </row>
    <row r="3171">
      <c r="A3171" t="inlineStr">
        <is>
          <t xml:space="preserve">PSITINFRA</t>
        </is>
      </c>
      <c r="B3171" t="inlineStr">
        <is>
          <t xml:space="preserve">PS IT INFRASTRUCTURE &amp; SERVICE</t>
        </is>
      </c>
      <c r="C3171" t="inlineStr">
        <is>
          <t xml:space="preserve">INE953M01033</t>
        </is>
      </c>
    </row>
    <row r="3172">
      <c r="A3172" t="inlineStr">
        <is>
          <t xml:space="preserve">PSPPROJECT</t>
        </is>
      </c>
      <c r="B3172" t="inlineStr">
        <is>
          <t xml:space="preserve">PSP Projects Limited</t>
        </is>
      </c>
      <c r="C3172" t="inlineStr">
        <is>
          <t xml:space="preserve">INE488V01015</t>
        </is>
      </c>
    </row>
    <row r="3173">
      <c r="A3173" t="inlineStr">
        <is>
          <t xml:space="preserve">PFS</t>
        </is>
      </c>
      <c r="B3173" t="inlineStr">
        <is>
          <t xml:space="preserve">PTC INDIA FINANCIAL SERVICES L</t>
        </is>
      </c>
      <c r="C3173" t="inlineStr">
        <is>
          <t xml:space="preserve">INE560K01014</t>
        </is>
      </c>
    </row>
    <row r="3174">
      <c r="A3174" t="inlineStr">
        <is>
          <t xml:space="preserve">PTC</t>
        </is>
      </c>
      <c r="B3174" t="inlineStr">
        <is>
          <t xml:space="preserve">PTC INDIA LTD.</t>
        </is>
      </c>
      <c r="C3174" t="inlineStr">
        <is>
          <t xml:space="preserve">INE877F01012</t>
        </is>
      </c>
    </row>
    <row r="3175">
      <c r="A3175" t="inlineStr">
        <is>
          <t xml:space="preserve">PTCIL</t>
        </is>
      </c>
      <c r="B3175" t="inlineStr">
        <is>
          <t xml:space="preserve">PTC Industries Ltd.</t>
        </is>
      </c>
      <c r="C3175" t="inlineStr">
        <is>
          <t xml:space="preserve">INE596F01018</t>
        </is>
      </c>
    </row>
    <row r="3176">
      <c r="A3176" t="inlineStr">
        <is>
          <t xml:space="preserve">PTL</t>
        </is>
      </c>
      <c r="B3176" t="inlineStr">
        <is>
          <t xml:space="preserve">PTL ENTERPRISES LTD.</t>
        </is>
      </c>
      <c r="C3176" t="inlineStr">
        <is>
          <t xml:space="preserve">INE034D01049</t>
        </is>
      </c>
    </row>
    <row r="3177">
      <c r="A3177" t="inlineStr">
        <is>
          <t xml:space="preserve">PDMJEPAPER</t>
        </is>
      </c>
      <c r="B3177" t="inlineStr">
        <is>
          <t xml:space="preserve">Pudumjee Paper Products Limite</t>
        </is>
      </c>
      <c r="C3177" t="inlineStr">
        <is>
          <t xml:space="preserve">INE865T01018</t>
        </is>
      </c>
    </row>
    <row r="3178">
      <c r="A3178" t="inlineStr">
        <is>
          <t xml:space="preserve">PULSRIN</t>
        </is>
      </c>
      <c r="B3178" t="inlineStr">
        <is>
          <t xml:space="preserve">PULSAR INTERNATIONAL LTD.</t>
        </is>
      </c>
      <c r="C3178" t="inlineStr">
        <is>
          <t xml:space="preserve">INE183U01022</t>
        </is>
      </c>
    </row>
    <row r="3179">
      <c r="A3179" t="inlineStr">
        <is>
          <t xml:space="preserve">PESB</t>
        </is>
      </c>
      <c r="B3179" t="inlineStr">
        <is>
          <t xml:space="preserve">Pune E - Stock Broking Limited</t>
        </is>
      </c>
      <c r="C3179" t="inlineStr">
        <is>
          <t xml:space="preserve">INE510U01018</t>
        </is>
      </c>
    </row>
    <row r="3180">
      <c r="A3180" t="inlineStr">
        <is>
          <t xml:space="preserve">PSB</t>
        </is>
      </c>
      <c r="B3180" t="inlineStr">
        <is>
          <t xml:space="preserve">PUNJAB &amp; SIND BANK</t>
        </is>
      </c>
      <c r="C3180" t="inlineStr">
        <is>
          <t xml:space="preserve">INE608A01012</t>
        </is>
      </c>
    </row>
    <row r="3181">
      <c r="A3181" t="inlineStr">
        <is>
          <t xml:space="preserve">PUNJABCHEM</t>
        </is>
      </c>
      <c r="B3181" t="inlineStr">
        <is>
          <t xml:space="preserve">PUNJAB CHEMICALS AND CROP PROT</t>
        </is>
      </c>
      <c r="C3181" t="inlineStr">
        <is>
          <t xml:space="preserve">INE277B01014</t>
        </is>
      </c>
    </row>
    <row r="3182">
      <c r="A3182" t="inlineStr">
        <is>
          <t xml:space="preserve">PUNJCOMMU</t>
        </is>
      </c>
      <c r="B3182" t="inlineStr">
        <is>
          <t xml:space="preserve">PUNJAB COMMUNICATIONS LTD.</t>
        </is>
      </c>
      <c r="C3182" t="inlineStr">
        <is>
          <t xml:space="preserve">INE609A01010</t>
        </is>
      </c>
    </row>
    <row r="3183">
      <c r="A3183" t="inlineStr">
        <is>
          <t xml:space="preserve">PNB</t>
        </is>
      </c>
      <c r="B3183" t="inlineStr">
        <is>
          <t xml:space="preserve">PUNJAB NATIONAL BANK</t>
        </is>
      </c>
      <c r="C3183" t="inlineStr">
        <is>
          <t xml:space="preserve">INE160A01022</t>
        </is>
      </c>
    </row>
    <row r="3184">
      <c r="A3184" t="inlineStr">
        <is>
          <t xml:space="preserve">PURVA</t>
        </is>
      </c>
      <c r="B3184" t="inlineStr">
        <is>
          <t xml:space="preserve">Puravankara Limited</t>
        </is>
      </c>
      <c r="C3184" t="inlineStr">
        <is>
          <t xml:space="preserve">INE323I01011</t>
        </is>
      </c>
    </row>
    <row r="3185">
      <c r="A3185" t="inlineStr">
        <is>
          <t xml:space="preserve">PURETROP</t>
        </is>
      </c>
      <c r="B3185" t="inlineStr">
        <is>
          <t xml:space="preserve">PURETROP FRUITS LIMITED</t>
        </is>
      </c>
      <c r="C3185" t="inlineStr">
        <is>
          <t xml:space="preserve">INE795D01011</t>
        </is>
      </c>
    </row>
    <row r="3186">
      <c r="A3186" t="inlineStr">
        <is>
          <t xml:space="preserve">PURPLE</t>
        </is>
      </c>
      <c r="B3186" t="inlineStr">
        <is>
          <t xml:space="preserve">PURPLE AGROTECH INDUSTRIES LIM</t>
        </is>
      </c>
      <c r="C3186" t="inlineStr">
        <is>
          <t xml:space="preserve">INE905R01016</t>
        </is>
      </c>
    </row>
    <row r="3187">
      <c r="A3187" t="inlineStr">
        <is>
          <t xml:space="preserve">PURPLEFIN</t>
        </is>
      </c>
      <c r="B3187" t="inlineStr">
        <is>
          <t xml:space="preserve">Purple Finance Limited</t>
        </is>
      </c>
      <c r="C3187" t="inlineStr">
        <is>
          <t xml:space="preserve">INE0CYK01015</t>
        </is>
      </c>
    </row>
    <row r="3188">
      <c r="A3188" t="inlineStr">
        <is>
          <t xml:space="preserve">PURPLEWAVE</t>
        </is>
      </c>
      <c r="B3188" t="inlineStr">
        <is>
          <t xml:space="preserve">PURPLE WAVE INFOCOM LIMITED</t>
        </is>
      </c>
      <c r="C3188" t="inlineStr">
        <is>
          <t xml:space="preserve">INE0VDK01019</t>
        </is>
      </c>
    </row>
    <row r="3189">
      <c r="A3189" t="inlineStr">
        <is>
          <t xml:space="preserve">PURSHOTTAM</t>
        </is>
      </c>
      <c r="B3189" t="inlineStr">
        <is>
          <t xml:space="preserve">PURSHOTTAM INVESTOFIN LTD</t>
        </is>
      </c>
      <c r="C3189" t="inlineStr">
        <is>
          <t xml:space="preserve">INE729C01020</t>
        </is>
      </c>
    </row>
    <row r="3190">
      <c r="A3190" t="inlineStr">
        <is>
          <t xml:space="preserve">PVP</t>
        </is>
      </c>
      <c r="B3190" t="inlineStr">
        <is>
          <t xml:space="preserve">PVP VENTURES LTD.</t>
        </is>
      </c>
      <c r="C3190" t="inlineStr">
        <is>
          <t xml:space="preserve">INE362A01016</t>
        </is>
      </c>
    </row>
    <row r="3191">
      <c r="A3191" t="inlineStr">
        <is>
          <t xml:space="preserve">PVRINOX</t>
        </is>
      </c>
      <c r="B3191" t="inlineStr">
        <is>
          <t xml:space="preserve">PVR INOX LIMITED</t>
        </is>
      </c>
      <c r="C3191" t="inlineStr">
        <is>
          <t xml:space="preserve">INE191H01014</t>
        </is>
      </c>
    </row>
    <row r="3192">
      <c r="A3192" t="inlineStr">
        <is>
          <t xml:space="preserve">PVVINFRA</t>
        </is>
      </c>
      <c r="B3192" t="inlineStr">
        <is>
          <t xml:space="preserve">PVV Infra Limited</t>
        </is>
      </c>
      <c r="C3192" t="inlineStr">
        <is>
          <t xml:space="preserve">INE428B01021</t>
        </is>
      </c>
    </row>
    <row r="3193">
      <c r="A3193" t="inlineStr">
        <is>
          <t xml:space="preserve">PYRAMID</t>
        </is>
      </c>
      <c r="B3193" t="inlineStr">
        <is>
          <t xml:space="preserve">Pyramid Technoplast Limited</t>
        </is>
      </c>
      <c r="C3193" t="inlineStr">
        <is>
          <t xml:space="preserve">INE0MIS01010</t>
        </is>
      </c>
    </row>
    <row r="3194">
      <c r="A3194" t="inlineStr">
        <is>
          <t xml:space="preserve">QGO</t>
        </is>
      </c>
      <c r="B3194" t="inlineStr">
        <is>
          <t xml:space="preserve">QGO FINANCE LIMITED</t>
        </is>
      </c>
      <c r="C3194" t="inlineStr">
        <is>
          <t xml:space="preserve">INE837C01013</t>
        </is>
      </c>
    </row>
    <row r="3195">
      <c r="A3195" t="inlineStr">
        <is>
          <t xml:space="preserve">QUADFUTURE</t>
        </is>
      </c>
      <c r="B3195" t="inlineStr">
        <is>
          <t xml:space="preserve">Quadrant Future Tek Limited</t>
        </is>
      </c>
      <c r="C3195" t="inlineStr">
        <is>
          <t xml:space="preserve">INE0LRY01011</t>
        </is>
      </c>
    </row>
    <row r="3196">
      <c r="A3196" t="inlineStr">
        <is>
          <t xml:space="preserve">QUADRANT</t>
        </is>
      </c>
      <c r="B3196" t="inlineStr">
        <is>
          <t xml:space="preserve">QUADRANT TELEVENTURES LIMITED</t>
        </is>
      </c>
      <c r="C3196" t="inlineStr">
        <is>
          <t xml:space="preserve">INE527B01020</t>
        </is>
      </c>
    </row>
    <row r="3197">
      <c r="A3197" t="inlineStr">
        <is>
          <t xml:space="preserve">QLL</t>
        </is>
      </c>
      <c r="B3197" t="inlineStr">
        <is>
          <t xml:space="preserve">Qualitek Labs Limited</t>
        </is>
      </c>
      <c r="C3197" t="inlineStr">
        <is>
          <t xml:space="preserve">INE0Q1R01012</t>
        </is>
      </c>
    </row>
    <row r="3198">
      <c r="A3198" t="inlineStr">
        <is>
          <t xml:space="preserve">QPOWER</t>
        </is>
      </c>
      <c r="B3198" t="inlineStr">
        <is>
          <t xml:space="preserve">QUALITY POWER ELECTRICAL EQUIP</t>
        </is>
      </c>
      <c r="C3198" t="inlineStr">
        <is>
          <t xml:space="preserve">INE0SII01026</t>
        </is>
      </c>
    </row>
    <row r="3199">
      <c r="A3199" t="inlineStr">
        <is>
          <t xml:space="preserve">QUESS</t>
        </is>
      </c>
      <c r="B3199" t="inlineStr">
        <is>
          <t xml:space="preserve">Quess Corp Limited</t>
        </is>
      </c>
      <c r="C3199" t="inlineStr">
        <is>
          <t xml:space="preserve">INE615P01015</t>
        </is>
      </c>
    </row>
    <row r="3200">
      <c r="A3200" t="inlineStr">
        <is>
          <t xml:space="preserve">QUESTCAP</t>
        </is>
      </c>
      <c r="B3200" t="inlineStr">
        <is>
          <t xml:space="preserve">QUEST CAPITAL MARKETS LIMITED</t>
        </is>
      </c>
      <c r="C3200" t="inlineStr">
        <is>
          <t xml:space="preserve">INE418C01012</t>
        </is>
      </c>
    </row>
    <row r="3201">
      <c r="A3201" t="inlineStr">
        <is>
          <t xml:space="preserve">QUESTFLOW</t>
        </is>
      </c>
      <c r="B3201" t="inlineStr">
        <is>
          <t xml:space="preserve">QUEST FLOW CONTROLS LIMITED</t>
        </is>
      </c>
      <c r="C3201" t="inlineStr">
        <is>
          <t xml:space="preserve">INE0OYE01013</t>
        </is>
      </c>
    </row>
    <row r="3202">
      <c r="A3202" t="inlineStr">
        <is>
          <t xml:space="preserve">QUICKHEAL</t>
        </is>
      </c>
      <c r="B3202" t="inlineStr">
        <is>
          <t xml:space="preserve">Quick Heal Technologies Limite</t>
        </is>
      </c>
      <c r="C3202" t="inlineStr">
        <is>
          <t xml:space="preserve">INE306L01010</t>
        </is>
      </c>
    </row>
    <row r="3203">
      <c r="A3203" t="inlineStr">
        <is>
          <t xml:space="preserve">QUINT</t>
        </is>
      </c>
      <c r="B3203" t="inlineStr">
        <is>
          <t xml:space="preserve">Quint Digital Limited</t>
        </is>
      </c>
      <c r="C3203" t="inlineStr">
        <is>
          <t xml:space="preserve">INE641R01017</t>
        </is>
      </c>
    </row>
    <row r="3204">
      <c r="A3204" t="inlineStr">
        <is>
          <t xml:space="preserve">RKSWAMY</t>
        </is>
      </c>
      <c r="B3204" t="inlineStr">
        <is>
          <t xml:space="preserve">R K Swamy Limited</t>
        </is>
      </c>
      <c r="C3204" t="inlineStr">
        <is>
          <t xml:space="preserve">INE0NQ801033</t>
        </is>
      </c>
    </row>
    <row r="3205">
      <c r="A3205" t="inlineStr">
        <is>
          <t xml:space="preserve">RMDRIP</t>
        </is>
      </c>
      <c r="B3205" t="inlineStr">
        <is>
          <t xml:space="preserve">R M DRIP AND SPRINKLERS SYSTEM</t>
        </is>
      </c>
      <c r="C3205" t="inlineStr">
        <is>
          <t xml:space="preserve">INE219Y01026</t>
        </is>
      </c>
    </row>
    <row r="3206">
      <c r="A3206" t="inlineStr">
        <is>
          <t xml:space="preserve">RRKABEL</t>
        </is>
      </c>
      <c r="B3206" t="inlineStr">
        <is>
          <t xml:space="preserve">R R KABEL LIMITED</t>
        </is>
      </c>
      <c r="C3206" t="inlineStr">
        <is>
          <t xml:space="preserve">INE777K01022</t>
        </is>
      </c>
    </row>
    <row r="3207">
      <c r="A3207" t="inlineStr">
        <is>
          <t xml:space="preserve">RSYSTEMS</t>
        </is>
      </c>
      <c r="B3207" t="inlineStr">
        <is>
          <t xml:space="preserve">R SYSTEMS INTERNATIONAL LTD.</t>
        </is>
      </c>
      <c r="C3207" t="inlineStr">
        <is>
          <t xml:space="preserve">INE411H01032</t>
        </is>
      </c>
    </row>
    <row r="3208">
      <c r="A3208" t="inlineStr">
        <is>
          <t xml:space="preserve">RNBDENIMS</t>
        </is>
      </c>
      <c r="B3208" t="inlineStr">
        <is>
          <t xml:space="preserve">R&amp;B DENIMS LTD</t>
        </is>
      </c>
      <c r="C3208" t="inlineStr">
        <is>
          <t xml:space="preserve">INE012Q01039</t>
        </is>
      </c>
    </row>
    <row r="3209">
      <c r="A3209" t="inlineStr">
        <is>
          <t xml:space="preserve">RSSOFTWARE</t>
        </is>
      </c>
      <c r="B3209" t="inlineStr">
        <is>
          <t xml:space="preserve">R.S.SOFTWARE INDIA LTD.</t>
        </is>
      </c>
      <c r="C3209" t="inlineStr">
        <is>
          <t xml:space="preserve">INE165B01029</t>
        </is>
      </c>
    </row>
    <row r="3210">
      <c r="A3210" t="inlineStr">
        <is>
          <t xml:space="preserve">RIIT</t>
        </is>
      </c>
      <c r="B3210" t="inlineStr">
        <is>
          <t xml:space="preserve">Raajmarg Infra Investment Trus</t>
        </is>
      </c>
      <c r="C3210" t="inlineStr">
        <is>
          <t xml:space="preserve">INE2PB023011</t>
        </is>
      </c>
    </row>
    <row r="3211">
      <c r="A3211" t="inlineStr">
        <is>
          <t xml:space="preserve">RAAMA</t>
        </is>
      </c>
      <c r="B3211" t="inlineStr">
        <is>
          <t xml:space="preserve">RAAMA FINANCE LIMITED</t>
        </is>
      </c>
      <c r="C3211" t="inlineStr">
        <is>
          <t xml:space="preserve">INE516P01015</t>
        </is>
      </c>
    </row>
    <row r="3212">
      <c r="A3212" t="inlineStr">
        <is>
          <t xml:space="preserve">RACE</t>
        </is>
      </c>
      <c r="B3212" t="inlineStr">
        <is>
          <t xml:space="preserve">RACE ECO CHAIN LIMITED</t>
        </is>
      </c>
      <c r="C3212" t="inlineStr">
        <is>
          <t xml:space="preserve">INE084Q01012</t>
        </is>
      </c>
    </row>
    <row r="3213">
      <c r="A3213" t="inlineStr">
        <is>
          <t xml:space="preserve">RACHIT</t>
        </is>
      </c>
      <c r="B3213" t="inlineStr">
        <is>
          <t xml:space="preserve">Rachit Prints Limited</t>
        </is>
      </c>
      <c r="C3213" t="inlineStr">
        <is>
          <t xml:space="preserve">INE0ZN101029</t>
        </is>
      </c>
    </row>
    <row r="3214">
      <c r="A3214" t="inlineStr">
        <is>
          <t xml:space="preserve">RACLGEAR</t>
        </is>
      </c>
      <c r="B3214" t="inlineStr">
        <is>
          <t xml:space="preserve">RACL Geartech Limited</t>
        </is>
      </c>
      <c r="C3214" t="inlineStr">
        <is>
          <t xml:space="preserve">INE704B01017</t>
        </is>
      </c>
    </row>
    <row r="3215">
      <c r="A3215" t="inlineStr">
        <is>
          <t xml:space="preserve">RACONTEUR</t>
        </is>
      </c>
      <c r="B3215" t="inlineStr">
        <is>
          <t xml:space="preserve">RACONTEUR GLOBAL RESOURCES LIM</t>
        </is>
      </c>
      <c r="C3215" t="inlineStr">
        <is>
          <t xml:space="preserve">INE00WY01013</t>
        </is>
      </c>
    </row>
    <row r="3216">
      <c r="A3216" t="inlineStr">
        <is>
          <t xml:space="preserve">RADAAN</t>
        </is>
      </c>
      <c r="B3216" t="inlineStr">
        <is>
          <t xml:space="preserve">RADAAN MEDIAWORKS (I) LTD.</t>
        </is>
      </c>
      <c r="C3216" t="inlineStr">
        <is>
          <t xml:space="preserve">INE874F01027</t>
        </is>
      </c>
    </row>
    <row r="3217">
      <c r="A3217" t="inlineStr">
        <is>
          <t xml:space="preserve">RCL</t>
        </is>
      </c>
      <c r="B3217" t="inlineStr">
        <is>
          <t xml:space="preserve">Radhagobind Commercial Limited</t>
        </is>
      </c>
      <c r="C3217" t="inlineStr">
        <is>
          <t xml:space="preserve">INE792P01020</t>
        </is>
      </c>
    </row>
    <row r="3218">
      <c r="A3218" t="inlineStr">
        <is>
          <t xml:space="preserve">RADHEDE</t>
        </is>
      </c>
      <c r="B3218" t="inlineStr">
        <is>
          <t xml:space="preserve">RADHE DEVELOPERS (INDIA) LTD.</t>
        </is>
      </c>
      <c r="C3218" t="inlineStr">
        <is>
          <t xml:space="preserve">INE986B01044</t>
        </is>
      </c>
    </row>
    <row r="3219">
      <c r="A3219" t="inlineStr">
        <is>
          <t xml:space="preserve">RADHIKAJWE</t>
        </is>
      </c>
      <c r="B3219" t="inlineStr">
        <is>
          <t xml:space="preserve">Radhika Jeweltech Limited</t>
        </is>
      </c>
      <c r="C3219" t="inlineStr">
        <is>
          <t xml:space="preserve">INE583V01021</t>
        </is>
      </c>
    </row>
    <row r="3220">
      <c r="A3220" t="inlineStr">
        <is>
          <t xml:space="preserve">RADIANTCMS</t>
        </is>
      </c>
      <c r="B3220" t="inlineStr">
        <is>
          <t xml:space="preserve">Radiant Cash Management Servic</t>
        </is>
      </c>
      <c r="C3220" t="inlineStr">
        <is>
          <t xml:space="preserve">INE855R01021</t>
        </is>
      </c>
    </row>
    <row r="3221">
      <c r="A3221" t="inlineStr">
        <is>
          <t xml:space="preserve">RADICO</t>
        </is>
      </c>
      <c r="B3221" t="inlineStr">
        <is>
          <t xml:space="preserve">RADICO KHAITAN LTD.</t>
        </is>
      </c>
      <c r="C3221" t="inlineStr">
        <is>
          <t xml:space="preserve">INE944F01028</t>
        </is>
      </c>
    </row>
    <row r="3222">
      <c r="A3222" t="inlineStr">
        <is>
          <t xml:space="preserve">RADIXIND</t>
        </is>
      </c>
      <c r="B3222" t="inlineStr">
        <is>
          <t xml:space="preserve">RADIX INDUSTRIES (INDIA) LIMIT</t>
        </is>
      </c>
      <c r="C3222" t="inlineStr">
        <is>
          <t xml:space="preserve">INE576N01014</t>
        </is>
      </c>
    </row>
    <row r="3223">
      <c r="A3223" t="inlineStr">
        <is>
          <t xml:space="preserve">RPEL</t>
        </is>
      </c>
      <c r="B3223" t="inlineStr">
        <is>
          <t xml:space="preserve">RAGHAV PRODUCTIVITY ENHANCERS</t>
        </is>
      </c>
      <c r="C3223" t="inlineStr">
        <is>
          <t xml:space="preserve">INE912T01018</t>
        </is>
      </c>
    </row>
    <row r="3224">
      <c r="A3224" t="inlineStr">
        <is>
          <t xml:space="preserve">RAGHUNAT</t>
        </is>
      </c>
      <c r="B3224" t="inlineStr">
        <is>
          <t xml:space="preserve">RAGHUNATH INTERNATIONAL LTD.</t>
        </is>
      </c>
      <c r="C3224" t="inlineStr">
        <is>
          <t xml:space="preserve">INE753B01014</t>
        </is>
      </c>
    </row>
    <row r="3225">
      <c r="A3225" t="inlineStr">
        <is>
          <t xml:space="preserve">RAGHUTOB</t>
        </is>
      </c>
      <c r="B3225" t="inlineStr">
        <is>
          <t xml:space="preserve">RAGHUNATH TOBACCO CO.LTD.</t>
        </is>
      </c>
      <c r="C3225" t="inlineStr">
        <is>
          <t xml:space="preserve">INE754B01012</t>
        </is>
      </c>
    </row>
    <row r="3226">
      <c r="A3226" t="inlineStr">
        <is>
          <t xml:space="preserve">RAGHUSYN</t>
        </is>
      </c>
      <c r="B3226" t="inlineStr">
        <is>
          <t xml:space="preserve">RAGHUVIR SYNTHETICS LTD.</t>
        </is>
      </c>
      <c r="C3226" t="inlineStr">
        <is>
          <t xml:space="preserve">INE969C01022</t>
        </is>
      </c>
    </row>
    <row r="3227">
      <c r="A3227" t="inlineStr">
        <is>
          <t xml:space="preserve">RVNL</t>
        </is>
      </c>
      <c r="B3227" t="inlineStr">
        <is>
          <t xml:space="preserve">Rail Vikas Nigam Limited</t>
        </is>
      </c>
      <c r="C3227" t="inlineStr">
        <is>
          <t xml:space="preserve">INE415G01027</t>
        </is>
      </c>
    </row>
    <row r="3228">
      <c r="A3228" t="inlineStr">
        <is>
          <t xml:space="preserve">RAILTEL</t>
        </is>
      </c>
      <c r="B3228" t="inlineStr">
        <is>
          <t xml:space="preserve">RailTel Corporation of India L</t>
        </is>
      </c>
      <c r="C3228" t="inlineStr">
        <is>
          <t xml:space="preserve">INE0DD101019</t>
        </is>
      </c>
    </row>
    <row r="3229">
      <c r="A3229" t="inlineStr">
        <is>
          <t xml:space="preserve">RAIN</t>
        </is>
      </c>
      <c r="B3229" t="inlineStr">
        <is>
          <t xml:space="preserve">RAIN INDUSTRIES LIMITED</t>
        </is>
      </c>
      <c r="C3229" t="inlineStr">
        <is>
          <t xml:space="preserve">INE855B01025</t>
        </is>
      </c>
    </row>
    <row r="3230">
      <c r="A3230" t="inlineStr">
        <is>
          <t xml:space="preserve">RAINBOW</t>
        </is>
      </c>
      <c r="B3230" t="inlineStr">
        <is>
          <t xml:space="preserve">Rainbow Children's Medicare Li</t>
        </is>
      </c>
      <c r="C3230" t="inlineStr">
        <is>
          <t xml:space="preserve">INE961O01016</t>
        </is>
      </c>
    </row>
    <row r="3231">
      <c r="A3231" t="inlineStr">
        <is>
          <t xml:space="preserve">RAINBOWF</t>
        </is>
      </c>
      <c r="B3231" t="inlineStr">
        <is>
          <t xml:space="preserve">RAINBOW FOUNDATIONS LTD.</t>
        </is>
      </c>
      <c r="C3231" t="inlineStr">
        <is>
          <t xml:space="preserve">INE230F01014</t>
        </is>
      </c>
    </row>
    <row r="3232">
      <c r="A3232" t="inlineStr">
        <is>
          <t xml:space="preserve">RAJPACK</t>
        </is>
      </c>
      <c r="B3232" t="inlineStr">
        <is>
          <t xml:space="preserve">RAJ PACKAGING INDUSTRIES LTD.</t>
        </is>
      </c>
      <c r="C3232" t="inlineStr">
        <is>
          <t xml:space="preserve">INE639C01013</t>
        </is>
      </c>
    </row>
    <row r="3233">
      <c r="A3233" t="inlineStr">
        <is>
          <t xml:space="preserve">RAJRILTD</t>
        </is>
      </c>
      <c r="B3233" t="inlineStr">
        <is>
          <t xml:space="preserve">RAJ RAYON INDUSTRIES LIMITED</t>
        </is>
      </c>
      <c r="C3233" t="inlineStr">
        <is>
          <t xml:space="preserve">INE533D01032</t>
        </is>
      </c>
    </row>
    <row r="3234">
      <c r="A3234" t="inlineStr">
        <is>
          <t xml:space="preserve">RAJTV</t>
        </is>
      </c>
      <c r="B3234" t="inlineStr">
        <is>
          <t xml:space="preserve">RAJ TELEVISION NETWORK LTD.</t>
        </is>
      </c>
      <c r="C3234" t="inlineStr">
        <is>
          <t xml:space="preserve">INE952H01027</t>
        </is>
      </c>
    </row>
    <row r="3235">
      <c r="A3235" t="inlineStr">
        <is>
          <t xml:space="preserve">RAJABAH</t>
        </is>
      </c>
      <c r="B3235" t="inlineStr">
        <is>
          <t xml:space="preserve">RAJA BAHADUR INTERNATIONAL LTD</t>
        </is>
      </c>
      <c r="C3235" t="inlineStr">
        <is>
          <t xml:space="preserve">INE491N01016</t>
        </is>
      </c>
    </row>
    <row r="3236">
      <c r="A3236" t="inlineStr">
        <is>
          <t xml:space="preserve">RAJPALAYAM</t>
        </is>
      </c>
      <c r="B3236" t="inlineStr">
        <is>
          <t xml:space="preserve">RAJAPALAYAM MILLS LTD.</t>
        </is>
      </c>
      <c r="C3236" t="inlineStr">
        <is>
          <t xml:space="preserve">INE296E01026</t>
        </is>
      </c>
    </row>
    <row r="3237">
      <c r="A3237" t="inlineStr">
        <is>
          <t xml:space="preserve">RCCL</t>
        </is>
      </c>
      <c r="B3237" t="inlineStr">
        <is>
          <t xml:space="preserve">Rajasthan Cylinders &amp; Containe</t>
        </is>
      </c>
      <c r="C3237" t="inlineStr">
        <is>
          <t xml:space="preserve">INE929D01016</t>
        </is>
      </c>
    </row>
    <row r="3238">
      <c r="A3238" t="inlineStr">
        <is>
          <t xml:space="preserve">RAJSPTR</t>
        </is>
      </c>
      <c r="B3238" t="inlineStr">
        <is>
          <t xml:space="preserve">RAJASTHAN PETRO SYNTHETICS LTD</t>
        </is>
      </c>
      <c r="C3238" t="inlineStr">
        <is>
          <t xml:space="preserve">INE374C01017</t>
        </is>
      </c>
    </row>
    <row r="3239">
      <c r="A3239" t="inlineStr">
        <is>
          <t xml:space="preserve">RAJSEC</t>
        </is>
      </c>
      <c r="B3239" t="inlineStr">
        <is>
          <t xml:space="preserve">RAJASTHAN SECURITIES LIMITED</t>
        </is>
      </c>
      <c r="C3239" t="inlineStr">
        <is>
          <t xml:space="preserve">INE184D01026</t>
        </is>
      </c>
    </row>
    <row r="3240">
      <c r="A3240" t="inlineStr">
        <is>
          <t xml:space="preserve">RAJTUBE</t>
        </is>
      </c>
      <c r="B3240" t="inlineStr">
        <is>
          <t xml:space="preserve">RAJASTHAN TUBE MANUFACTURING C</t>
        </is>
      </c>
      <c r="C3240" t="inlineStr">
        <is>
          <t xml:space="preserve">INE497E01020</t>
        </is>
      </c>
    </row>
    <row r="3241">
      <c r="A3241" t="inlineStr">
        <is>
          <t xml:space="preserve">ARENTERP</t>
        </is>
      </c>
      <c r="B3241" t="inlineStr">
        <is>
          <t xml:space="preserve">RAJDARSHAN INDUSTRIES LTD.</t>
        </is>
      </c>
      <c r="C3241" t="inlineStr">
        <is>
          <t xml:space="preserve">INE610C01014</t>
        </is>
      </c>
    </row>
    <row r="3242">
      <c r="A3242" t="inlineStr">
        <is>
          <t xml:space="preserve">RAJESHEXPO</t>
        </is>
      </c>
      <c r="B3242" t="inlineStr">
        <is>
          <t xml:space="preserve">RAJESH EXPORTS LTD.</t>
        </is>
      </c>
      <c r="C3242" t="inlineStr">
        <is>
          <t xml:space="preserve">INE343B01030</t>
        </is>
      </c>
    </row>
    <row r="3243">
      <c r="A3243" t="inlineStr">
        <is>
          <t xml:space="preserve">RAJESH</t>
        </is>
      </c>
      <c r="B3243" t="inlineStr">
        <is>
          <t xml:space="preserve">RAJESH POWER SERVICES LIMITED</t>
        </is>
      </c>
      <c r="C3243" t="inlineStr">
        <is>
          <t xml:space="preserve">INE0VN801010</t>
        </is>
      </c>
    </row>
    <row r="3244">
      <c r="A3244" t="inlineStr">
        <is>
          <t xml:space="preserve">RCAN</t>
        </is>
      </c>
      <c r="B3244" t="inlineStr">
        <is>
          <t xml:space="preserve">Rajeshwari Cans Limited</t>
        </is>
      </c>
      <c r="C3244" t="inlineStr">
        <is>
          <t xml:space="preserve">INE0CQ101015</t>
        </is>
      </c>
    </row>
    <row r="3245">
      <c r="A3245" t="inlineStr">
        <is>
          <t xml:space="preserve">RAJINFRA</t>
        </is>
      </c>
      <c r="B3245" t="inlineStr">
        <is>
          <t xml:space="preserve">RAJESWARI INFRASTRUCTURE LIMIT</t>
        </is>
      </c>
      <c r="C3245" t="inlineStr">
        <is>
          <t xml:space="preserve">INE016C01014</t>
        </is>
      </c>
    </row>
    <row r="3246">
      <c r="A3246" t="inlineStr">
        <is>
          <t xml:space="preserve">RAJKSYN</t>
        </is>
      </c>
      <c r="B3246" t="inlineStr">
        <is>
          <t xml:space="preserve">RAJKAMAL SYNTHETICS LTD.</t>
        </is>
      </c>
      <c r="C3246" t="inlineStr">
        <is>
          <t xml:space="preserve">INE376L01013</t>
        </is>
      </c>
    </row>
    <row r="3247">
      <c r="A3247" t="inlineStr">
        <is>
          <t xml:space="preserve">RAJKOTINV</t>
        </is>
      </c>
      <c r="B3247" t="inlineStr">
        <is>
          <t xml:space="preserve">Rajkot Investment Trust Limite</t>
        </is>
      </c>
      <c r="C3247" t="inlineStr">
        <is>
          <t xml:space="preserve">INE176R01014</t>
        </is>
      </c>
    </row>
    <row r="3248">
      <c r="A3248" t="inlineStr">
        <is>
          <t xml:space="preserve">RFIL</t>
        </is>
      </c>
      <c r="B3248" t="inlineStr">
        <is>
          <t xml:space="preserve">Rajnandini Fashion India Limit</t>
        </is>
      </c>
      <c r="C3248" t="inlineStr">
        <is>
          <t xml:space="preserve">INE1GM501015</t>
        </is>
      </c>
    </row>
    <row r="3249">
      <c r="A3249" t="inlineStr">
        <is>
          <t xml:space="preserve">RRETAIL</t>
        </is>
      </c>
      <c r="B3249" t="inlineStr">
        <is>
          <t xml:space="preserve">RAJNISH RETAIL LIMITED</t>
        </is>
      </c>
      <c r="C3249" t="inlineStr">
        <is>
          <t xml:space="preserve">INE786J01033</t>
        </is>
      </c>
    </row>
    <row r="3250">
      <c r="A3250" t="inlineStr">
        <is>
          <t xml:space="preserve">RAJNISH</t>
        </is>
      </c>
      <c r="B3250" t="inlineStr">
        <is>
          <t xml:space="preserve">Rajnish Wellness Limited</t>
        </is>
      </c>
      <c r="C3250" t="inlineStr">
        <is>
          <t xml:space="preserve">INE685Z01033</t>
        </is>
      </c>
    </row>
    <row r="3251">
      <c r="A3251" t="inlineStr">
        <is>
          <t xml:space="preserve">RAJOOENG</t>
        </is>
      </c>
      <c r="B3251" t="inlineStr">
        <is>
          <t xml:space="preserve">RAJOO ENGINEERS LTD.</t>
        </is>
      </c>
      <c r="C3251" t="inlineStr">
        <is>
          <t xml:space="preserve">INE535F01024</t>
        </is>
      </c>
    </row>
    <row r="3252">
      <c r="A3252" t="inlineStr">
        <is>
          <t xml:space="preserve">RAJPUTANA</t>
        </is>
      </c>
      <c r="B3252" t="inlineStr">
        <is>
          <t xml:space="preserve">Rajputana Investment and Finan</t>
        </is>
      </c>
      <c r="C3252" t="inlineStr">
        <is>
          <t xml:space="preserve">INE751R01014</t>
        </is>
      </c>
    </row>
    <row r="3253">
      <c r="A3253" t="inlineStr">
        <is>
          <t xml:space="preserve">RSL</t>
        </is>
      </c>
      <c r="B3253" t="inlineStr">
        <is>
          <t xml:space="preserve">RAJPUTANA STAINLESS LIMITED</t>
        </is>
      </c>
      <c r="C3253" t="inlineStr">
        <is>
          <t xml:space="preserve">INE313L01016</t>
        </is>
      </c>
    </row>
    <row r="3254">
      <c r="A3254" t="inlineStr">
        <is>
          <t xml:space="preserve">RAJRATAN</t>
        </is>
      </c>
      <c r="B3254" t="inlineStr">
        <is>
          <t xml:space="preserve">RAJRATAN GLOBAL WIRE LTD.</t>
        </is>
      </c>
      <c r="C3254" t="inlineStr">
        <is>
          <t xml:space="preserve">INE451D01029</t>
        </is>
      </c>
    </row>
    <row r="3255">
      <c r="A3255" t="inlineStr">
        <is>
          <t xml:space="preserve">RAJSREESUG</t>
        </is>
      </c>
      <c r="B3255" t="inlineStr">
        <is>
          <t xml:space="preserve">RAJSHREE SUGARS &amp; CHEMICALS LT</t>
        </is>
      </c>
      <c r="C3255" t="inlineStr">
        <is>
          <t xml:space="preserve">INE562B01019</t>
        </is>
      </c>
    </row>
    <row r="3256">
      <c r="A3256" t="inlineStr">
        <is>
          <t xml:space="preserve">RALLIS</t>
        </is>
      </c>
      <c r="B3256" t="inlineStr">
        <is>
          <t xml:space="preserve">RALLIS INDIA LTD.</t>
        </is>
      </c>
      <c r="C3256" t="inlineStr">
        <is>
          <t xml:space="preserve">INE613A01020</t>
        </is>
      </c>
    </row>
    <row r="3257">
      <c r="A3257" t="inlineStr">
        <is>
          <t xml:space="preserve">RAMRAT</t>
        </is>
      </c>
      <c r="B3257" t="inlineStr">
        <is>
          <t xml:space="preserve">RAM RATNA WIRES LTD.</t>
        </is>
      </c>
      <c r="C3257" t="inlineStr">
        <is>
          <t xml:space="preserve">INE207E01023</t>
        </is>
      </c>
    </row>
    <row r="3258">
      <c r="A3258" t="inlineStr">
        <is>
          <t xml:space="preserve">RAMAPPR-B</t>
        </is>
      </c>
      <c r="B3258" t="inlineStr">
        <is>
          <t xml:space="preserve">RAMA PAPER MILLS LTD.</t>
        </is>
      </c>
      <c r="C3258" t="inlineStr">
        <is>
          <t xml:space="preserve">INE425E01013</t>
        </is>
      </c>
    </row>
    <row r="3259">
      <c r="A3259" t="inlineStr">
        <is>
          <t xml:space="preserve">RAMAPHO</t>
        </is>
      </c>
      <c r="B3259" t="inlineStr">
        <is>
          <t xml:space="preserve">RAMA PHOSPHATES LTD.</t>
        </is>
      </c>
      <c r="C3259" t="inlineStr">
        <is>
          <t xml:space="preserve">INE809A01032</t>
        </is>
      </c>
    </row>
    <row r="3260">
      <c r="A3260" t="inlineStr">
        <is>
          <t xml:space="preserve">RAMASTEEL</t>
        </is>
      </c>
      <c r="B3260" t="inlineStr">
        <is>
          <t xml:space="preserve">Rama Steel Tubes Limited</t>
        </is>
      </c>
      <c r="C3260" t="inlineStr">
        <is>
          <t xml:space="preserve">INE230R01035</t>
        </is>
      </c>
    </row>
    <row r="3261">
      <c r="A3261" t="inlineStr">
        <is>
          <t xml:space="preserve">RAMAVISION</t>
        </is>
      </c>
      <c r="B3261" t="inlineStr">
        <is>
          <t xml:space="preserve">RAMA VISION LTD.</t>
        </is>
      </c>
      <c r="C3261" t="inlineStr">
        <is>
          <t xml:space="preserve">INE763B01013</t>
        </is>
      </c>
    </row>
    <row r="3262">
      <c r="A3262" t="inlineStr">
        <is>
          <t xml:space="preserve">RAMCOIND</t>
        </is>
      </c>
      <c r="B3262" t="inlineStr">
        <is>
          <t xml:space="preserve">RAMCO INDUSTRIES LTD.</t>
        </is>
      </c>
      <c r="C3262" t="inlineStr">
        <is>
          <t xml:space="preserve">INE614A01028</t>
        </is>
      </c>
    </row>
    <row r="3263">
      <c r="A3263" t="inlineStr">
        <is>
          <t xml:space="preserve">RAMCOSYS</t>
        </is>
      </c>
      <c r="B3263" t="inlineStr">
        <is>
          <t xml:space="preserve">RAMCO SYSTEMS LTD.</t>
        </is>
      </c>
      <c r="C3263" t="inlineStr">
        <is>
          <t xml:space="preserve">INE246B01019</t>
        </is>
      </c>
    </row>
    <row r="3264">
      <c r="A3264" t="inlineStr">
        <is>
          <t xml:space="preserve">RAMGOPOLY</t>
        </is>
      </c>
      <c r="B3264" t="inlineStr">
        <is>
          <t xml:space="preserve">RAMGOPAL POLYTEX LTD.</t>
        </is>
      </c>
      <c r="C3264" t="inlineStr">
        <is>
          <t xml:space="preserve">INE410D01017</t>
        </is>
      </c>
    </row>
    <row r="3265">
      <c r="A3265" t="inlineStr">
        <is>
          <t xml:space="preserve">RAMINFO</t>
        </is>
      </c>
      <c r="B3265" t="inlineStr">
        <is>
          <t xml:space="preserve">RAMINFO LIMITED</t>
        </is>
      </c>
      <c r="C3265" t="inlineStr">
        <is>
          <t xml:space="preserve">INE357B01022</t>
        </is>
      </c>
    </row>
    <row r="3266">
      <c r="A3266" t="inlineStr">
        <is>
          <t xml:space="preserve">RKFORGE</t>
        </is>
      </c>
      <c r="B3266" t="inlineStr">
        <is>
          <t xml:space="preserve">RAMKRISHNA FORGINGS LTD.</t>
        </is>
      </c>
      <c r="C3266" t="inlineStr">
        <is>
          <t xml:space="preserve">INE399G01023</t>
        </is>
      </c>
    </row>
    <row r="3267">
      <c r="A3267" t="inlineStr">
        <is>
          <t xml:space="preserve">RAMKY</t>
        </is>
      </c>
      <c r="B3267" t="inlineStr">
        <is>
          <t xml:space="preserve">RAMKY INFRASTRUCTURE LTD.</t>
        </is>
      </c>
      <c r="C3267" t="inlineStr">
        <is>
          <t xml:space="preserve">INE874I01013</t>
        </is>
      </c>
    </row>
    <row r="3268">
      <c r="A3268" t="inlineStr">
        <is>
          <t xml:space="preserve">RANASUG</t>
        </is>
      </c>
      <c r="B3268" t="inlineStr">
        <is>
          <t xml:space="preserve">RANA SUGARS LTD.</t>
        </is>
      </c>
      <c r="C3268" t="inlineStr">
        <is>
          <t xml:space="preserve">INE625B01014</t>
        </is>
      </c>
    </row>
    <row r="3269">
      <c r="A3269" t="inlineStr">
        <is>
          <t xml:space="preserve">RANDER</t>
        </is>
      </c>
      <c r="B3269" t="inlineStr">
        <is>
          <t xml:space="preserve">RANDER CORPORATION LTD.</t>
        </is>
      </c>
      <c r="C3269" t="inlineStr">
        <is>
          <t xml:space="preserve">INE821D01031</t>
        </is>
      </c>
    </row>
    <row r="3270">
      <c r="A3270" t="inlineStr">
        <is>
          <t xml:space="preserve">RML</t>
        </is>
      </c>
      <c r="B3270" t="inlineStr">
        <is>
          <t xml:space="preserve">RANE (MADRAS) LTD.</t>
        </is>
      </c>
      <c r="C3270" t="inlineStr">
        <is>
          <t xml:space="preserve">INE050H01012</t>
        </is>
      </c>
    </row>
    <row r="3271">
      <c r="A3271" t="inlineStr">
        <is>
          <t xml:space="preserve">RANEHOLDIN</t>
        </is>
      </c>
      <c r="B3271" t="inlineStr">
        <is>
          <t xml:space="preserve">RANE HOLDINGS LTD.</t>
        </is>
      </c>
      <c r="C3271" t="inlineStr">
        <is>
          <t xml:space="preserve">INE384A01010</t>
        </is>
      </c>
    </row>
    <row r="3272">
      <c r="A3272" t="inlineStr">
        <is>
          <t xml:space="preserve">RANJEET</t>
        </is>
      </c>
      <c r="B3272" t="inlineStr">
        <is>
          <t xml:space="preserve">Ranjeet Mechatronics Limited</t>
        </is>
      </c>
      <c r="C3272" t="inlineStr">
        <is>
          <t xml:space="preserve">INE01A501027</t>
        </is>
      </c>
    </row>
    <row r="3273">
      <c r="A3273" t="inlineStr">
        <is>
          <t xml:space="preserve">RANJITSE</t>
        </is>
      </c>
      <c r="B3273" t="inlineStr">
        <is>
          <t xml:space="preserve">RANJIT SECURITIES LTD.</t>
        </is>
      </c>
      <c r="C3273" t="inlineStr">
        <is>
          <t xml:space="preserve">INE863D01017</t>
        </is>
      </c>
    </row>
    <row r="3274">
      <c r="A3274" t="inlineStr">
        <is>
          <t xml:space="preserve">RAP</t>
        </is>
      </c>
      <c r="B3274" t="inlineStr">
        <is>
          <t xml:space="preserve">RAP CORP LIMITED</t>
        </is>
      </c>
      <c r="C3274" t="inlineStr">
        <is>
          <t xml:space="preserve">INE483D01014</t>
        </is>
      </c>
    </row>
    <row r="3275">
      <c r="A3275" t="inlineStr">
        <is>
          <t xml:space="preserve">RAPICUT</t>
        </is>
      </c>
      <c r="B3275" t="inlineStr">
        <is>
          <t xml:space="preserve">RAPICUT CARBIDES LTD.</t>
        </is>
      </c>
      <c r="C3275" t="inlineStr">
        <is>
          <t xml:space="preserve">INE350D01015</t>
        </is>
      </c>
    </row>
    <row r="3276">
      <c r="A3276" t="inlineStr">
        <is>
          <t xml:space="preserve">RASRESOR</t>
        </is>
      </c>
      <c r="B3276" t="inlineStr">
        <is>
          <t xml:space="preserve">RAS RESORTS &amp; APART HOTELS LTD</t>
        </is>
      </c>
      <c r="C3276" t="inlineStr">
        <is>
          <t xml:space="preserve">INE651D01016</t>
        </is>
      </c>
    </row>
    <row r="3277">
      <c r="A3277" t="inlineStr">
        <is>
          <t xml:space="preserve">RASANDIK</t>
        </is>
      </c>
      <c r="B3277" t="inlineStr">
        <is>
          <t xml:space="preserve">RASANDIK ENGINEERING INDUSTRIE</t>
        </is>
      </c>
      <c r="C3277" t="inlineStr">
        <is>
          <t xml:space="preserve">INE682D01011</t>
        </is>
      </c>
    </row>
    <row r="3278">
      <c r="A3278" t="inlineStr">
        <is>
          <t xml:space="preserve">RPTECH</t>
        </is>
      </c>
      <c r="B3278" t="inlineStr">
        <is>
          <t xml:space="preserve">Rashi Peripherals Limited</t>
        </is>
      </c>
      <c r="C3278" t="inlineStr">
        <is>
          <t xml:space="preserve">INE0J1F01024</t>
        </is>
      </c>
    </row>
    <row r="3279">
      <c r="A3279" t="inlineStr">
        <is>
          <t xml:space="preserve">RCF</t>
        </is>
      </c>
      <c r="B3279" t="inlineStr">
        <is>
          <t xml:space="preserve">RASHTRIYA CHEMICALS &amp; FERTILIZ</t>
        </is>
      </c>
      <c r="C3279" t="inlineStr">
        <is>
          <t xml:space="preserve">INE027A01015</t>
        </is>
      </c>
    </row>
    <row r="3280">
      <c r="A3280" t="inlineStr">
        <is>
          <t xml:space="preserve">RASIELEC</t>
        </is>
      </c>
      <c r="B3280" t="inlineStr">
        <is>
          <t xml:space="preserve">RASI ELECTRODES LTD.</t>
        </is>
      </c>
      <c r="C3280" t="inlineStr">
        <is>
          <t xml:space="preserve">INE822D01021</t>
        </is>
      </c>
    </row>
    <row r="3281">
      <c r="A3281" t="inlineStr">
        <is>
          <t xml:space="preserve">RATEGAIN</t>
        </is>
      </c>
      <c r="B3281" t="inlineStr">
        <is>
          <t xml:space="preserve">RateGain Travel Technologies L</t>
        </is>
      </c>
      <c r="C3281" t="inlineStr">
        <is>
          <t xml:space="preserve">INE0CLI01024</t>
        </is>
      </c>
    </row>
    <row r="3282">
      <c r="A3282" t="inlineStr">
        <is>
          <t xml:space="preserve">RATHIBAR</t>
        </is>
      </c>
      <c r="B3282" t="inlineStr">
        <is>
          <t xml:space="preserve">RATHI BARS LTD.</t>
        </is>
      </c>
      <c r="C3282" t="inlineStr">
        <is>
          <t xml:space="preserve">INE575I01016</t>
        </is>
      </c>
    </row>
    <row r="3283">
      <c r="A3283" t="inlineStr">
        <is>
          <t xml:space="preserve">RATHIST</t>
        </is>
      </c>
      <c r="B3283" t="inlineStr">
        <is>
          <t xml:space="preserve">RATHI STEEL &amp; POWER LTD.</t>
        </is>
      </c>
      <c r="C3283" t="inlineStr">
        <is>
          <t xml:space="preserve">INE336C01016</t>
        </is>
      </c>
    </row>
    <row r="3284">
      <c r="A3284" t="inlineStr">
        <is>
          <t xml:space="preserve">RATNAMANI</t>
        </is>
      </c>
      <c r="B3284" t="inlineStr">
        <is>
          <t xml:space="preserve">RATNAMANI METALS &amp; TUBES LTD.</t>
        </is>
      </c>
      <c r="C3284" t="inlineStr">
        <is>
          <t xml:space="preserve">INE703B01027</t>
        </is>
      </c>
    </row>
    <row r="3285">
      <c r="A3285" t="inlineStr">
        <is>
          <t xml:space="preserve">RATNAVEER</t>
        </is>
      </c>
      <c r="B3285" t="inlineStr">
        <is>
          <t xml:space="preserve">Ratnaveer Precision Engineerin</t>
        </is>
      </c>
      <c r="C3285" t="inlineStr">
        <is>
          <t xml:space="preserve">INE05CZ01011</t>
        </is>
      </c>
    </row>
    <row r="3286">
      <c r="A3286" t="inlineStr">
        <is>
          <t xml:space="preserve">RTNINDIA</t>
        </is>
      </c>
      <c r="B3286" t="inlineStr">
        <is>
          <t xml:space="preserve">RATTANINDIA ENTERPRISES LIMITE</t>
        </is>
      </c>
      <c r="C3286" t="inlineStr">
        <is>
          <t xml:space="preserve">INE834M01019</t>
        </is>
      </c>
    </row>
    <row r="3287">
      <c r="A3287" t="inlineStr">
        <is>
          <t xml:space="preserve">RTNPOWER</t>
        </is>
      </c>
      <c r="B3287" t="inlineStr">
        <is>
          <t xml:space="preserve">RATTANINDIA POWER LTD.</t>
        </is>
      </c>
      <c r="C3287" t="inlineStr">
        <is>
          <t xml:space="preserve">INE399K01017</t>
        </is>
      </c>
    </row>
    <row r="3288">
      <c r="A3288" t="inlineStr">
        <is>
          <t xml:space="preserve">RAUNAQ</t>
        </is>
      </c>
      <c r="B3288" t="inlineStr">
        <is>
          <t xml:space="preserve">RAUNAQ INTERNATIONAL LIMITED</t>
        </is>
      </c>
      <c r="C3288" t="inlineStr">
        <is>
          <t xml:space="preserve">INE523K01012</t>
        </is>
      </c>
    </row>
    <row r="3289">
      <c r="A3289" t="inlineStr">
        <is>
          <t xml:space="preserve">RAVEL</t>
        </is>
      </c>
      <c r="B3289" t="inlineStr">
        <is>
          <t xml:space="preserve">Ravelcare Limited</t>
        </is>
      </c>
      <c r="C3289" t="inlineStr">
        <is>
          <t xml:space="preserve">INE0W4D01018</t>
        </is>
      </c>
    </row>
    <row r="3290">
      <c r="A3290" t="inlineStr">
        <is>
          <t xml:space="preserve">RKDL</t>
        </is>
      </c>
      <c r="B3290" t="inlineStr">
        <is>
          <t xml:space="preserve">RAVI KUMAR DISTILLERIES LTD.</t>
        </is>
      </c>
      <c r="C3290" t="inlineStr">
        <is>
          <t xml:space="preserve">INE722J01012</t>
        </is>
      </c>
    </row>
    <row r="3291">
      <c r="A3291" t="inlineStr">
        <is>
          <t xml:space="preserve">RVHL</t>
        </is>
      </c>
      <c r="B3291" t="inlineStr">
        <is>
          <t xml:space="preserve">Ravinder Heights Limited</t>
        </is>
      </c>
      <c r="C3291" t="inlineStr">
        <is>
          <t xml:space="preserve">INE09E501017</t>
        </is>
      </c>
    </row>
    <row r="3292">
      <c r="A3292" t="inlineStr">
        <is>
          <t xml:space="preserve">RELTD</t>
        </is>
      </c>
      <c r="B3292" t="inlineStr">
        <is>
          <t xml:space="preserve">RAVINDRA ENERGY LIMITED</t>
        </is>
      </c>
      <c r="C3292" t="inlineStr">
        <is>
          <t xml:space="preserve">INE206N01018</t>
        </is>
      </c>
    </row>
    <row r="3293">
      <c r="A3293" t="inlineStr">
        <is>
          <t xml:space="preserve">RAWEDGE</t>
        </is>
      </c>
      <c r="B3293" t="inlineStr">
        <is>
          <t xml:space="preserve">Raw Edge Industrial Solutions</t>
        </is>
      </c>
      <c r="C3293" t="inlineStr">
        <is>
          <t xml:space="preserve">INE960Z01014</t>
        </is>
      </c>
    </row>
    <row r="3294">
      <c r="A3294" t="inlineStr">
        <is>
          <t xml:space="preserve">RAYMONDLSL</t>
        </is>
      </c>
      <c r="B3294" t="inlineStr">
        <is>
          <t xml:space="preserve">Raymond Lifestyle Limited</t>
        </is>
      </c>
      <c r="C3294" t="inlineStr">
        <is>
          <t xml:space="preserve">INE02ID01020</t>
        </is>
      </c>
    </row>
    <row r="3295">
      <c r="A3295" t="inlineStr">
        <is>
          <t xml:space="preserve">RAYMOND</t>
        </is>
      </c>
      <c r="B3295" t="inlineStr">
        <is>
          <t xml:space="preserve">RAYMOND LTD.</t>
        </is>
      </c>
      <c r="C3295" t="inlineStr">
        <is>
          <t xml:space="preserve">INE301A01014</t>
        </is>
      </c>
    </row>
    <row r="3296">
      <c r="A3296" t="inlineStr">
        <is>
          <t xml:space="preserve">RAYMONDREL</t>
        </is>
      </c>
      <c r="B3296" t="inlineStr">
        <is>
          <t xml:space="preserve">Raymond Realty Limited</t>
        </is>
      </c>
      <c r="C3296" t="inlineStr">
        <is>
          <t xml:space="preserve">INE1SY401010</t>
        </is>
      </c>
    </row>
    <row r="3297">
      <c r="A3297" t="inlineStr">
        <is>
          <t xml:space="preserve">RBLBANK</t>
        </is>
      </c>
      <c r="B3297" t="inlineStr">
        <is>
          <t xml:space="preserve">RBL Bank Limited</t>
        </is>
      </c>
      <c r="C3297" t="inlineStr">
        <is>
          <t xml:space="preserve">INE976G01028</t>
        </is>
      </c>
    </row>
    <row r="3298">
      <c r="A3298" t="inlineStr">
        <is>
          <t xml:space="preserve">RBZJEWEL</t>
        </is>
      </c>
      <c r="B3298" t="inlineStr">
        <is>
          <t xml:space="preserve">RBZ Jewellers Limited</t>
        </is>
      </c>
      <c r="C3298" t="inlineStr">
        <is>
          <t xml:space="preserve">INE0PEQ01016</t>
        </is>
      </c>
    </row>
    <row r="3299">
      <c r="A3299" t="inlineStr">
        <is>
          <t xml:space="preserve">RDBIPL</t>
        </is>
      </c>
      <c r="B3299" t="inlineStr">
        <is>
          <t xml:space="preserve">RDB INFRASTRUCTURE AND POWER L</t>
        </is>
      </c>
      <c r="C3299" t="inlineStr">
        <is>
          <t xml:space="preserve">INE245L01028</t>
        </is>
      </c>
    </row>
    <row r="3300">
      <c r="A3300" t="inlineStr">
        <is>
          <t xml:space="preserve">RDBRL</t>
        </is>
      </c>
      <c r="B3300" t="inlineStr">
        <is>
          <t xml:space="preserve">RDB RASAYANS LTD.</t>
        </is>
      </c>
      <c r="C3300" t="inlineStr">
        <is>
          <t xml:space="preserve">INE123M01017</t>
        </is>
      </c>
    </row>
    <row r="3301">
      <c r="A3301" t="inlineStr">
        <is>
          <t xml:space="preserve">RRECL</t>
        </is>
      </c>
      <c r="B3301" t="inlineStr">
        <is>
          <t xml:space="preserve">RDB Real Estate Constructions</t>
        </is>
      </c>
      <c r="C3301" t="inlineStr">
        <is>
          <t xml:space="preserve">INE0AK901016</t>
        </is>
      </c>
    </row>
    <row r="3302">
      <c r="A3302" t="inlineStr">
        <is>
          <t xml:space="preserve">11RDCCIL28</t>
        </is>
      </c>
      <c r="B3302" t="inlineStr">
        <is>
          <t xml:space="preserve">RDCCIL-11%-02-04-28-PVT</t>
        </is>
      </c>
      <c r="C3302" t="inlineStr">
        <is>
          <t xml:space="preserve">INE076I07038</t>
        </is>
      </c>
    </row>
    <row r="3303">
      <c r="A3303" t="inlineStr">
        <is>
          <t xml:space="preserve">REALECO</t>
        </is>
      </c>
      <c r="B3303" t="inlineStr">
        <is>
          <t xml:space="preserve">REAL ECO-ENERGY LIMITED</t>
        </is>
      </c>
      <c r="C3303" t="inlineStr">
        <is>
          <t xml:space="preserve">INE055E01034</t>
        </is>
      </c>
    </row>
    <row r="3304">
      <c r="A3304" t="inlineStr">
        <is>
          <t xml:space="preserve">RTFL</t>
        </is>
      </c>
      <c r="B3304" t="inlineStr">
        <is>
          <t xml:space="preserve">Real Touch Finance Limited</t>
        </is>
      </c>
      <c r="C3304" t="inlineStr">
        <is>
          <t xml:space="preserve">INE840I01014</t>
        </is>
      </c>
    </row>
    <row r="3305">
      <c r="A3305" t="inlineStr">
        <is>
          <t xml:space="preserve">RECLTD</t>
        </is>
      </c>
      <c r="B3305" t="inlineStr">
        <is>
          <t xml:space="preserve">REC LIMITED</t>
        </is>
      </c>
      <c r="C3305" t="inlineStr">
        <is>
          <t xml:space="preserve">INE020B01018</t>
        </is>
      </c>
    </row>
    <row r="3306">
      <c r="A3306" t="inlineStr">
        <is>
          <t xml:space="preserve">RECODE</t>
        </is>
      </c>
      <c r="B3306" t="inlineStr">
        <is>
          <t xml:space="preserve">RECODE STUDIOS LIMITED</t>
        </is>
      </c>
      <c r="C3306" t="inlineStr">
        <is>
          <t xml:space="preserve">INE2B6701015</t>
        </is>
      </c>
    </row>
    <row r="3307">
      <c r="A3307" t="inlineStr">
        <is>
          <t xml:space="preserve">REDINGTON</t>
        </is>
      </c>
      <c r="B3307" t="inlineStr">
        <is>
          <t xml:space="preserve">Redington Limited</t>
        </is>
      </c>
      <c r="C3307" t="inlineStr">
        <is>
          <t xml:space="preserve">INE891D01026</t>
        </is>
      </c>
    </row>
    <row r="3308">
      <c r="A3308" t="inlineStr">
        <is>
          <t xml:space="preserve">REDTAPE</t>
        </is>
      </c>
      <c r="B3308" t="inlineStr">
        <is>
          <t xml:space="preserve">REDTAPE Limited</t>
        </is>
      </c>
      <c r="C3308" t="inlineStr">
        <is>
          <t xml:space="preserve">INE0LXT01019</t>
        </is>
      </c>
    </row>
    <row r="3309">
      <c r="A3309" t="inlineStr">
        <is>
          <t xml:space="preserve">REFEX</t>
        </is>
      </c>
      <c r="B3309" t="inlineStr">
        <is>
          <t xml:space="preserve">REFEX INDUSTRIES LTD.</t>
        </is>
      </c>
      <c r="C3309" t="inlineStr">
        <is>
          <t xml:space="preserve">INE056I01025</t>
        </is>
      </c>
    </row>
    <row r="3310">
      <c r="A3310" t="inlineStr">
        <is>
          <t xml:space="preserve">REGAAL</t>
        </is>
      </c>
      <c r="B3310" t="inlineStr">
        <is>
          <t xml:space="preserve">REGAAL RESOURCES LIMITED</t>
        </is>
      </c>
      <c r="C3310" t="inlineStr">
        <is>
          <t xml:space="preserve">INE0MHO01029</t>
        </is>
      </c>
    </row>
    <row r="3311">
      <c r="A3311" t="inlineStr">
        <is>
          <t xml:space="preserve">REGAL</t>
        </is>
      </c>
      <c r="B3311" t="inlineStr">
        <is>
          <t xml:space="preserve">REGAL ENTERTAINMENT &amp; CONSULTA</t>
        </is>
      </c>
      <c r="C3311" t="inlineStr">
        <is>
          <t xml:space="preserve">INE101E01010</t>
        </is>
      </c>
    </row>
    <row r="3312">
      <c r="A3312" t="inlineStr">
        <is>
          <t xml:space="preserve">REGANTO</t>
        </is>
      </c>
      <c r="B3312" t="inlineStr">
        <is>
          <t xml:space="preserve">REGANTO ENTERPRISES LIMITED</t>
        </is>
      </c>
      <c r="C3312" t="inlineStr">
        <is>
          <t xml:space="preserve">INE043B01028</t>
        </is>
      </c>
    </row>
    <row r="3313">
      <c r="A3313" t="inlineStr">
        <is>
          <t xml:space="preserve">REGENCERAM</t>
        </is>
      </c>
      <c r="B3313" t="inlineStr">
        <is>
          <t xml:space="preserve">REGENCY CERAMICS LTD.</t>
        </is>
      </c>
      <c r="C3313" t="inlineStr">
        <is>
          <t xml:space="preserve">INE277C01012</t>
        </is>
      </c>
    </row>
    <row r="3314">
      <c r="A3314" t="inlineStr">
        <is>
          <t xml:space="preserve">REGENCY</t>
        </is>
      </c>
      <c r="B3314" t="inlineStr">
        <is>
          <t xml:space="preserve">REGENCY FINCORP LIMITED</t>
        </is>
      </c>
      <c r="C3314" t="inlineStr">
        <is>
          <t xml:space="preserve">INE964R01013</t>
        </is>
      </c>
    </row>
    <row r="3315">
      <c r="A3315" t="inlineStr">
        <is>
          <t xml:space="preserve">REGENTRP</t>
        </is>
      </c>
      <c r="B3315" t="inlineStr">
        <is>
          <t xml:space="preserve">Regent Enterprises Limited</t>
        </is>
      </c>
      <c r="C3315" t="inlineStr">
        <is>
          <t xml:space="preserve">INE769D01016</t>
        </is>
      </c>
    </row>
    <row r="3316">
      <c r="A3316" t="inlineStr">
        <is>
          <t xml:space="preserve">REGIS</t>
        </is>
      </c>
      <c r="B3316" t="inlineStr">
        <is>
          <t xml:space="preserve">REGIS INDUSTRIES LIMITED</t>
        </is>
      </c>
      <c r="C3316" t="inlineStr">
        <is>
          <t xml:space="preserve">INE745R01024</t>
        </is>
      </c>
    </row>
    <row r="3317">
      <c r="A3317" t="inlineStr">
        <is>
          <t xml:space="preserve">VINRKLB</t>
        </is>
      </c>
      <c r="B3317" t="inlineStr">
        <is>
          <t xml:space="preserve">REKVINA LABORATORIES LTD.</t>
        </is>
      </c>
      <c r="C3317" t="inlineStr">
        <is>
          <t xml:space="preserve">INE092O01028</t>
        </is>
      </c>
    </row>
    <row r="3318">
      <c r="A3318" t="inlineStr">
        <is>
          <t xml:space="preserve">RELAXO</t>
        </is>
      </c>
      <c r="B3318" t="inlineStr">
        <is>
          <t xml:space="preserve">RELAXO FOOTWEARS LTD.</t>
        </is>
      </c>
      <c r="C3318" t="inlineStr">
        <is>
          <t xml:space="preserve">INE131B01039</t>
        </is>
      </c>
    </row>
    <row r="3319">
      <c r="A3319" t="inlineStr">
        <is>
          <t xml:space="preserve">RELIABLE</t>
        </is>
      </c>
      <c r="B3319" t="inlineStr">
        <is>
          <t xml:space="preserve">Reliable Data Services Limited</t>
        </is>
      </c>
      <c r="C3319" t="inlineStr">
        <is>
          <t xml:space="preserve">INE375Y01018</t>
        </is>
      </c>
    </row>
    <row r="3320">
      <c r="A3320" t="inlineStr">
        <is>
          <t xml:space="preserve">RELIABVEN</t>
        </is>
      </c>
      <c r="B3320" t="inlineStr">
        <is>
          <t xml:space="preserve">RELIABLE VENTURES INDIA LTD.</t>
        </is>
      </c>
      <c r="C3320" t="inlineStr">
        <is>
          <t xml:space="preserve">INE419H01019</t>
        </is>
      </c>
    </row>
    <row r="3321">
      <c r="A3321" t="inlineStr">
        <is>
          <t xml:space="preserve">RELCHEMQ</t>
        </is>
      </c>
      <c r="B3321" t="inlineStr">
        <is>
          <t xml:space="preserve">RELIANCE CHEMOTEX INDUSTRIES L</t>
        </is>
      </c>
      <c r="C3321" t="inlineStr">
        <is>
          <t xml:space="preserve">INE750D01016</t>
        </is>
      </c>
    </row>
    <row r="3322">
      <c r="A3322" t="inlineStr">
        <is>
          <t xml:space="preserve">RCOM</t>
        </is>
      </c>
      <c r="B3322" t="inlineStr">
        <is>
          <t xml:space="preserve">RELIANCE COMMUNICATIONS LTD.</t>
        </is>
      </c>
      <c r="C3322" t="inlineStr">
        <is>
          <t xml:space="preserve">INE330H01018</t>
        </is>
      </c>
    </row>
    <row r="3323">
      <c r="A3323" t="inlineStr">
        <is>
          <t xml:space="preserve">RHFL</t>
        </is>
      </c>
      <c r="B3323" t="inlineStr">
        <is>
          <t xml:space="preserve">Reliance Home Finance Limited</t>
        </is>
      </c>
      <c r="C3323" t="inlineStr">
        <is>
          <t xml:space="preserve">INE217K01011</t>
        </is>
      </c>
    </row>
    <row r="3324">
      <c r="A3324" t="inlineStr">
        <is>
          <t xml:space="preserve">RIIL</t>
        </is>
      </c>
      <c r="B3324" t="inlineStr">
        <is>
          <t xml:space="preserve">RELIANCE INDUSTRIAL INFRASTRUC</t>
        </is>
      </c>
      <c r="C3324" t="inlineStr">
        <is>
          <t xml:space="preserve">INE046A01015</t>
        </is>
      </c>
    </row>
    <row r="3325">
      <c r="A3325" t="inlineStr">
        <is>
          <t xml:space="preserve">RELIANCE</t>
        </is>
      </c>
      <c r="B3325" t="inlineStr">
        <is>
          <t xml:space="preserve">RELIANCE INDUSTRIES LTD.</t>
        </is>
      </c>
      <c r="C3325" t="inlineStr">
        <is>
          <t xml:space="preserve">INE002A01018</t>
        </is>
      </c>
    </row>
    <row r="3326">
      <c r="A3326" t="inlineStr">
        <is>
          <t xml:space="preserve">RPOWER</t>
        </is>
      </c>
      <c r="B3326" t="inlineStr">
        <is>
          <t xml:space="preserve">RELIANCE POWER LTD.</t>
        </is>
      </c>
      <c r="C3326" t="inlineStr">
        <is>
          <t xml:space="preserve">INE614G01033</t>
        </is>
      </c>
    </row>
    <row r="3327">
      <c r="A3327" t="inlineStr">
        <is>
          <t xml:space="preserve">RELICTEC</t>
        </is>
      </c>
      <c r="B3327" t="inlineStr">
        <is>
          <t xml:space="preserve">RELIC TECHNOLOGIES LTD.</t>
        </is>
      </c>
      <c r="C3327" t="inlineStr">
        <is>
          <t xml:space="preserve">INE452B01013</t>
        </is>
      </c>
    </row>
    <row r="3328">
      <c r="A3328" t="inlineStr">
        <is>
          <t xml:space="preserve">RELICAB</t>
        </is>
      </c>
      <c r="B3328" t="inlineStr">
        <is>
          <t xml:space="preserve">Relicab Cable Manufacturing Li</t>
        </is>
      </c>
      <c r="C3328" t="inlineStr">
        <is>
          <t xml:space="preserve">INE773T01014</t>
        </is>
      </c>
    </row>
    <row r="3329">
      <c r="A3329" t="inlineStr">
        <is>
          <t xml:space="preserve">RELIGARE</t>
        </is>
      </c>
      <c r="B3329" t="inlineStr">
        <is>
          <t xml:space="preserve">RELIGARE ENTERPRISES LTD.</t>
        </is>
      </c>
      <c r="C3329" t="inlineStr">
        <is>
          <t xml:space="preserve">INE621H01010</t>
        </is>
      </c>
    </row>
    <row r="3330">
      <c r="A3330" t="inlineStr">
        <is>
          <t xml:space="preserve">REMIEDEL</t>
        </is>
      </c>
      <c r="B3330" t="inlineStr">
        <is>
          <t xml:space="preserve">REMI EDELSTAHL TUBULARS LIMITE</t>
        </is>
      </c>
      <c r="C3330" t="inlineStr">
        <is>
          <t xml:space="preserve">INE158G01015</t>
        </is>
      </c>
    </row>
    <row r="3331">
      <c r="A3331" t="inlineStr">
        <is>
          <t xml:space="preserve">REMSONSIND</t>
        </is>
      </c>
      <c r="B3331" t="inlineStr">
        <is>
          <t xml:space="preserve">REMSONS INDUSTRIES LTD.</t>
        </is>
      </c>
      <c r="C3331" t="inlineStr">
        <is>
          <t xml:space="preserve">INE474C01023</t>
        </is>
      </c>
    </row>
    <row r="3332">
      <c r="A3332" t="inlineStr">
        <is>
          <t xml:space="preserve">RGL</t>
        </is>
      </c>
      <c r="B3332" t="inlineStr">
        <is>
          <t xml:space="preserve">RENAISSANCE GLOBAL LIMITED</t>
        </is>
      </c>
      <c r="C3332" t="inlineStr">
        <is>
          <t xml:space="preserve">INE722H01024</t>
        </is>
      </c>
    </row>
    <row r="3333">
      <c r="A3333" t="inlineStr">
        <is>
          <t xml:space="preserve">REPCOHOME</t>
        </is>
      </c>
      <c r="B3333" t="inlineStr">
        <is>
          <t xml:space="preserve">REPCO HOME FINANCE LTD.</t>
        </is>
      </c>
      <c r="C3333" t="inlineStr">
        <is>
          <t xml:space="preserve">INE612J01015</t>
        </is>
      </c>
    </row>
    <row r="3334">
      <c r="A3334" t="inlineStr">
        <is>
          <t xml:space="preserve">REPONO</t>
        </is>
      </c>
      <c r="B3334" t="inlineStr">
        <is>
          <t xml:space="preserve">REPONO LIMITED</t>
        </is>
      </c>
      <c r="C3334" t="inlineStr">
        <is>
          <t xml:space="preserve">INE15WN01014</t>
        </is>
      </c>
    </row>
    <row r="3335">
      <c r="A3335" t="inlineStr">
        <is>
          <t xml:space="preserve">REPRO</t>
        </is>
      </c>
      <c r="B3335" t="inlineStr">
        <is>
          <t xml:space="preserve">REPRO INDIA LTD.</t>
        </is>
      </c>
      <c r="C3335" t="inlineStr">
        <is>
          <t xml:space="preserve">INE461B01014</t>
        </is>
      </c>
    </row>
    <row r="3336">
      <c r="A3336" t="inlineStr">
        <is>
          <t xml:space="preserve">RESGEN</t>
        </is>
      </c>
      <c r="B3336" t="inlineStr">
        <is>
          <t xml:space="preserve">RESGEN LIMITED</t>
        </is>
      </c>
      <c r="C3336" t="inlineStr">
        <is>
          <t xml:space="preserve">INE0NYN01016</t>
        </is>
      </c>
    </row>
    <row r="3337">
      <c r="A3337" t="inlineStr">
        <is>
          <t xml:space="preserve">RESONANCE</t>
        </is>
      </c>
      <c r="B3337" t="inlineStr">
        <is>
          <t xml:space="preserve">RESONANCE SPECIALTIES LTD.</t>
        </is>
      </c>
      <c r="C3337" t="inlineStr">
        <is>
          <t xml:space="preserve">INE486D01017</t>
        </is>
      </c>
    </row>
    <row r="3338">
      <c r="A3338" t="inlineStr">
        <is>
          <t xml:space="preserve">RESPONSINF</t>
        </is>
      </c>
      <c r="B3338" t="inlineStr">
        <is>
          <t xml:space="preserve">RESPONSE INFORMATICS LTD</t>
        </is>
      </c>
      <c r="C3338" t="inlineStr">
        <is>
          <t xml:space="preserve">INE401B01010</t>
        </is>
      </c>
    </row>
    <row r="3339">
      <c r="A3339" t="inlineStr">
        <is>
          <t xml:space="preserve">RESPONIND</t>
        </is>
      </c>
      <c r="B3339" t="inlineStr">
        <is>
          <t xml:space="preserve">RESPONSIVE INDUSTRIES LTD.</t>
        </is>
      </c>
      <c r="C3339" t="inlineStr">
        <is>
          <t xml:space="preserve">INE688D01026</t>
        </is>
      </c>
    </row>
    <row r="3340">
      <c r="A3340" t="inlineStr">
        <is>
          <t xml:space="preserve">RBA</t>
        </is>
      </c>
      <c r="B3340" t="inlineStr">
        <is>
          <t xml:space="preserve">Restaurant Brands Asia Limited</t>
        </is>
      </c>
      <c r="C3340" t="inlineStr">
        <is>
          <t xml:space="preserve">INE07T201019</t>
        </is>
      </c>
    </row>
    <row r="3341">
      <c r="A3341" t="inlineStr">
        <is>
          <t xml:space="preserve">RESTILE</t>
        </is>
      </c>
      <c r="B3341" t="inlineStr">
        <is>
          <t xml:space="preserve">RESTILE CERAMICS LTD.</t>
        </is>
      </c>
      <c r="C3341" t="inlineStr">
        <is>
          <t xml:space="preserve">INE298E01022</t>
        </is>
      </c>
    </row>
    <row r="3342">
      <c r="A3342" t="inlineStr">
        <is>
          <t xml:space="preserve">RETAGGIO</t>
        </is>
      </c>
      <c r="B3342" t="inlineStr">
        <is>
          <t xml:space="preserve">Retaggio Industries Limited</t>
        </is>
      </c>
      <c r="C3342" t="inlineStr">
        <is>
          <t xml:space="preserve">INE0KWJ01014</t>
        </is>
      </c>
    </row>
    <row r="3343">
      <c r="A3343" t="inlineStr">
        <is>
          <t xml:space="preserve">RETINA</t>
        </is>
      </c>
      <c r="B3343" t="inlineStr">
        <is>
          <t xml:space="preserve">Retina Paints Limited</t>
        </is>
      </c>
      <c r="C3343" t="inlineStr">
        <is>
          <t xml:space="preserve">INE0NTC01019</t>
        </is>
      </c>
    </row>
    <row r="3344">
      <c r="A3344" t="inlineStr">
        <is>
          <t xml:space="preserve">RGRL</t>
        </is>
      </c>
      <c r="B3344" t="inlineStr">
        <is>
          <t xml:space="preserve">Retro Green Revolution Limited</t>
        </is>
      </c>
      <c r="C3344" t="inlineStr">
        <is>
          <t xml:space="preserve">INE601N01010</t>
        </is>
      </c>
    </row>
    <row r="3345">
      <c r="A3345" t="inlineStr">
        <is>
          <t xml:space="preserve">RVTH</t>
        </is>
      </c>
      <c r="B3345" t="inlineStr">
        <is>
          <t xml:space="preserve">Revathi Equipment India Limite</t>
        </is>
      </c>
      <c r="C3345" t="inlineStr">
        <is>
          <t xml:space="preserve">INE0DAB01012</t>
        </is>
      </c>
    </row>
    <row r="3346">
      <c r="A3346" t="inlineStr">
        <is>
          <t xml:space="preserve">REXNORD</t>
        </is>
      </c>
      <c r="B3346" t="inlineStr">
        <is>
          <t xml:space="preserve">REXNORD ELECTRONICS &amp; CONTROLS</t>
        </is>
      </c>
      <c r="C3346" t="inlineStr">
        <is>
          <t xml:space="preserve">INE687C01012</t>
        </is>
      </c>
    </row>
    <row r="3347">
      <c r="A3347" t="inlineStr">
        <is>
          <t xml:space="preserve">RGF</t>
        </is>
      </c>
      <c r="B3347" t="inlineStr">
        <is>
          <t xml:space="preserve">RGF Capital Markets Limited</t>
        </is>
      </c>
      <c r="C3347" t="inlineStr">
        <is>
          <t xml:space="preserve">INE684D01025</t>
        </is>
      </c>
    </row>
    <row r="3348">
      <c r="A3348" t="inlineStr">
        <is>
          <t xml:space="preserve">RHETAN</t>
        </is>
      </c>
      <c r="B3348" t="inlineStr">
        <is>
          <t xml:space="preserve">Rhetan TMT Limited</t>
        </is>
      </c>
      <c r="C3348" t="inlineStr">
        <is>
          <t xml:space="preserve">INE0KKN01029</t>
        </is>
      </c>
    </row>
    <row r="3349">
      <c r="A3349" t="inlineStr">
        <is>
          <t xml:space="preserve">RHIM</t>
        </is>
      </c>
      <c r="B3349" t="inlineStr">
        <is>
          <t xml:space="preserve">RHI MAGNESITA INDIA LIMITED</t>
        </is>
      </c>
      <c r="C3349" t="inlineStr">
        <is>
          <t xml:space="preserve">INE743M01012</t>
        </is>
      </c>
    </row>
    <row r="3350">
      <c r="A3350" t="inlineStr">
        <is>
          <t xml:space="preserve">RIBATEX</t>
        </is>
      </c>
      <c r="B3350" t="inlineStr">
        <is>
          <t xml:space="preserve">RIBA TEXTILES LTD.</t>
        </is>
      </c>
      <c r="C3350" t="inlineStr">
        <is>
          <t xml:space="preserve">INE811H01017</t>
        </is>
      </c>
    </row>
    <row r="3351">
      <c r="A3351" t="inlineStr">
        <is>
          <t xml:space="preserve">RICHUNV</t>
        </is>
      </c>
      <c r="B3351" t="inlineStr">
        <is>
          <t xml:space="preserve">RICH UNIVERSE NETWORK LTD.</t>
        </is>
      </c>
      <c r="C3351" t="inlineStr">
        <is>
          <t xml:space="preserve">INE652D01014</t>
        </is>
      </c>
    </row>
    <row r="3352">
      <c r="A3352" t="inlineStr">
        <is>
          <t xml:space="preserve">RFSL</t>
        </is>
      </c>
      <c r="B3352" t="inlineStr">
        <is>
          <t xml:space="preserve">Richfield Financial Services L</t>
        </is>
      </c>
      <c r="C3352" t="inlineStr">
        <is>
          <t xml:space="preserve">INE201C01012</t>
        </is>
      </c>
    </row>
    <row r="3353">
      <c r="A3353" t="inlineStr">
        <is>
          <t xml:space="preserve">RICOAUTO</t>
        </is>
      </c>
      <c r="B3353" t="inlineStr">
        <is>
          <t xml:space="preserve">RICO AUTO INDUSTRIES LTD.</t>
        </is>
      </c>
      <c r="C3353" t="inlineStr">
        <is>
          <t xml:space="preserve">INE209B01025</t>
        </is>
      </c>
    </row>
    <row r="3354">
      <c r="A3354" t="inlineStr">
        <is>
          <t xml:space="preserve">RIDDHICORP</t>
        </is>
      </c>
      <c r="B3354" t="inlineStr">
        <is>
          <t xml:space="preserve">Riddhi Corporate Services Limi</t>
        </is>
      </c>
      <c r="C3354" t="inlineStr">
        <is>
          <t xml:space="preserve">INE325X01015</t>
        </is>
      </c>
    </row>
    <row r="3355">
      <c r="A3355" t="inlineStr">
        <is>
          <t xml:space="preserve">RDEL</t>
        </is>
      </c>
      <c r="B3355" t="inlineStr">
        <is>
          <t xml:space="preserve">Riddhi Display Equipments Limi</t>
        </is>
      </c>
      <c r="C3355" t="inlineStr">
        <is>
          <t xml:space="preserve">INE1DKT01011</t>
        </is>
      </c>
    </row>
    <row r="3356">
      <c r="A3356" t="inlineStr">
        <is>
          <t xml:space="preserve">RIDDHI</t>
        </is>
      </c>
      <c r="B3356" t="inlineStr">
        <is>
          <t xml:space="preserve">RIDDHI SIDDHI GLUCO BIOLS LTD.</t>
        </is>
      </c>
      <c r="C3356" t="inlineStr">
        <is>
          <t xml:space="preserve">INE249D01019</t>
        </is>
      </c>
    </row>
    <row r="3357">
      <c r="A3357" t="inlineStr">
        <is>
          <t xml:space="preserve">RIKHAV</t>
        </is>
      </c>
      <c r="B3357" t="inlineStr">
        <is>
          <t xml:space="preserve">Rikhav Securities Limited</t>
        </is>
      </c>
      <c r="C3357" t="inlineStr">
        <is>
          <t xml:space="preserve">INE0CFH01028</t>
        </is>
      </c>
    </row>
    <row r="3358">
      <c r="A3358" t="inlineStr">
        <is>
          <t xml:space="preserve">RIR</t>
        </is>
      </c>
      <c r="B3358" t="inlineStr">
        <is>
          <t xml:space="preserve">RIR POWER ELECTRONICS LIMITED</t>
        </is>
      </c>
      <c r="C3358" t="inlineStr">
        <is>
          <t xml:space="preserve">INE302D01024</t>
        </is>
      </c>
    </row>
    <row r="3359">
      <c r="A3359" t="inlineStr">
        <is>
          <t xml:space="preserve">RISAINTL</t>
        </is>
      </c>
      <c r="B3359" t="inlineStr">
        <is>
          <t xml:space="preserve">RISA INTERNATIONAL LTD.</t>
        </is>
      </c>
      <c r="C3359" t="inlineStr">
        <is>
          <t xml:space="preserve">INE001O01029</t>
        </is>
      </c>
    </row>
    <row r="3360">
      <c r="A3360" t="inlineStr">
        <is>
          <t xml:space="preserve">RISHYRN</t>
        </is>
      </c>
      <c r="B3360" t="inlineStr">
        <is>
          <t xml:space="preserve">RISHAB SPECIAL YARNS LTD.</t>
        </is>
      </c>
      <c r="C3360" t="inlineStr">
        <is>
          <t xml:space="preserve">INE351D01013</t>
        </is>
      </c>
    </row>
    <row r="3361">
      <c r="A3361" t="inlineStr">
        <is>
          <t xml:space="preserve">RISHDIGA</t>
        </is>
      </c>
      <c r="B3361" t="inlineStr">
        <is>
          <t xml:space="preserve">RISHABH DIGHA STEEL &amp; ALLIED P</t>
        </is>
      </c>
      <c r="C3361" t="inlineStr">
        <is>
          <t xml:space="preserve">INE864D01015</t>
        </is>
      </c>
    </row>
    <row r="3362">
      <c r="A3362" t="inlineStr">
        <is>
          <t xml:space="preserve">RISHABH</t>
        </is>
      </c>
      <c r="B3362" t="inlineStr">
        <is>
          <t xml:space="preserve">Rishabh Instruments Limited</t>
        </is>
      </c>
      <c r="C3362" t="inlineStr">
        <is>
          <t xml:space="preserve">INE0N2P01017</t>
        </is>
      </c>
    </row>
    <row r="3363">
      <c r="A3363" t="inlineStr">
        <is>
          <t xml:space="preserve">RISHILASE</t>
        </is>
      </c>
      <c r="B3363" t="inlineStr">
        <is>
          <t xml:space="preserve">RISHI LASER LTD.</t>
        </is>
      </c>
      <c r="C3363" t="inlineStr">
        <is>
          <t xml:space="preserve">INE988D01012</t>
        </is>
      </c>
    </row>
    <row r="3364">
      <c r="A3364" t="inlineStr">
        <is>
          <t xml:space="preserve">RISHITECH</t>
        </is>
      </c>
      <c r="B3364" t="inlineStr">
        <is>
          <t xml:space="preserve">RISHI TECHTEX LTD.</t>
        </is>
      </c>
      <c r="C3364" t="inlineStr">
        <is>
          <t xml:space="preserve">INE989D01010</t>
        </is>
      </c>
    </row>
    <row r="3365">
      <c r="A3365" t="inlineStr">
        <is>
          <t xml:space="preserve">RISHIROOP</t>
        </is>
      </c>
      <c r="B3365" t="inlineStr">
        <is>
          <t xml:space="preserve">Rishiroop Limited</t>
        </is>
      </c>
      <c r="C3365" t="inlineStr">
        <is>
          <t xml:space="preserve">INE582D01013</t>
        </is>
      </c>
    </row>
    <row r="3366">
      <c r="A3366" t="inlineStr">
        <is>
          <t xml:space="preserve">RFLL</t>
        </is>
      </c>
      <c r="B3366" t="inlineStr">
        <is>
          <t xml:space="preserve">RITA FINANCE AND LEASING LIMIT</t>
        </is>
      </c>
      <c r="C3366" t="inlineStr">
        <is>
          <t xml:space="preserve">INE018S01016</t>
        </is>
      </c>
    </row>
    <row r="3367">
      <c r="A3367" t="inlineStr">
        <is>
          <t xml:space="preserve">RITCO</t>
        </is>
      </c>
      <c r="B3367" t="inlineStr">
        <is>
          <t xml:space="preserve">Ritco Logistics Limited</t>
        </is>
      </c>
      <c r="C3367" t="inlineStr">
        <is>
          <t xml:space="preserve">INE01EG01016</t>
        </is>
      </c>
    </row>
    <row r="3368">
      <c r="A3368" t="inlineStr">
        <is>
          <t xml:space="preserve">RITES</t>
        </is>
      </c>
      <c r="B3368" t="inlineStr">
        <is>
          <t xml:space="preserve">RITES Limited</t>
        </is>
      </c>
      <c r="C3368" t="inlineStr">
        <is>
          <t xml:space="preserve">INE320J01015</t>
        </is>
      </c>
    </row>
    <row r="3369">
      <c r="A3369" t="inlineStr">
        <is>
          <t xml:space="preserve">RITESHIN</t>
        </is>
      </c>
      <c r="B3369" t="inlineStr">
        <is>
          <t xml:space="preserve">RITESH INTERNATIONAL LTD.</t>
        </is>
      </c>
      <c r="C3369" t="inlineStr">
        <is>
          <t xml:space="preserve">INE534D01014</t>
        </is>
      </c>
    </row>
    <row r="3370">
      <c r="A3370" t="inlineStr">
        <is>
          <t xml:space="preserve">RIYAASAT</t>
        </is>
      </c>
      <c r="B3370" t="inlineStr">
        <is>
          <t xml:space="preserve">Riyaasat Lifestyle Limited</t>
        </is>
      </c>
      <c r="C3370" t="inlineStr">
        <is>
          <t xml:space="preserve">INE0KYI01012</t>
        </is>
      </c>
    </row>
    <row r="3371">
      <c r="A3371" t="inlineStr">
        <is>
          <t xml:space="preserve">RKDAGRRTL</t>
        </is>
      </c>
      <c r="B3371" t="inlineStr">
        <is>
          <t xml:space="preserve">RKD AGRI AND RETAIL LIMITED</t>
        </is>
      </c>
      <c r="C3371" t="inlineStr">
        <is>
          <t xml:space="preserve">INE552N01023</t>
        </is>
      </c>
    </row>
    <row r="3372">
      <c r="A3372" t="inlineStr">
        <is>
          <t xml:space="preserve">RLF</t>
        </is>
      </c>
      <c r="B3372" t="inlineStr">
        <is>
          <t xml:space="preserve">RLF LTD.</t>
        </is>
      </c>
      <c r="C3372" t="inlineStr">
        <is>
          <t xml:space="preserve">INE629C01014</t>
        </is>
      </c>
    </row>
    <row r="3373">
      <c r="A3373" t="inlineStr">
        <is>
          <t xml:space="preserve">RMC</t>
        </is>
      </c>
      <c r="B3373" t="inlineStr">
        <is>
          <t xml:space="preserve">RMC SWITCHGEARS LIMITED</t>
        </is>
      </c>
      <c r="C3373" t="inlineStr">
        <is>
          <t xml:space="preserve">INE655V01019</t>
        </is>
      </c>
    </row>
    <row r="3374">
      <c r="A3374" t="inlineStr">
        <is>
          <t xml:space="preserve">RNITAI</t>
        </is>
      </c>
      <c r="B3374" t="inlineStr">
        <is>
          <t xml:space="preserve">RNIT AI SOLUTIONS LIMITED</t>
        </is>
      </c>
      <c r="C3374" t="inlineStr">
        <is>
          <t xml:space="preserve">INE335Q01026</t>
        </is>
      </c>
    </row>
    <row r="3375">
      <c r="A3375" t="inlineStr">
        <is>
          <t xml:space="preserve">ROJL</t>
        </is>
      </c>
      <c r="B3375" t="inlineStr">
        <is>
          <t xml:space="preserve">RO Jewels Limited</t>
        </is>
      </c>
      <c r="C3375" t="inlineStr">
        <is>
          <t xml:space="preserve">INE0BDU01028</t>
        </is>
      </c>
    </row>
    <row r="3376">
      <c r="A3376" t="inlineStr">
        <is>
          <t xml:space="preserve">RHL</t>
        </is>
      </c>
      <c r="B3376" t="inlineStr">
        <is>
          <t xml:space="preserve">ROBUST HOTELS LIMITED</t>
        </is>
      </c>
      <c r="C3376" t="inlineStr">
        <is>
          <t xml:space="preserve">INE508K01013</t>
        </is>
      </c>
    </row>
    <row r="3377">
      <c r="A3377" t="inlineStr">
        <is>
          <t xml:space="preserve">RODIUM</t>
        </is>
      </c>
      <c r="B3377" t="inlineStr">
        <is>
          <t xml:space="preserve">RODIUM REALTY LIMITED</t>
        </is>
      </c>
      <c r="C3377" t="inlineStr">
        <is>
          <t xml:space="preserve">INE513E01024</t>
        </is>
      </c>
    </row>
    <row r="3378">
      <c r="A3378" t="inlineStr">
        <is>
          <t xml:space="preserve">ROLCOEN</t>
        </is>
      </c>
      <c r="B3378" t="inlineStr">
        <is>
          <t xml:space="preserve">ROLCON ENGINEERING CO.LTD.</t>
        </is>
      </c>
      <c r="C3378" t="inlineStr">
        <is>
          <t xml:space="preserve">INE775R01013</t>
        </is>
      </c>
    </row>
    <row r="3379">
      <c r="A3379" t="inlineStr">
        <is>
          <t xml:space="preserve">ROLEXRINGS</t>
        </is>
      </c>
      <c r="B3379" t="inlineStr">
        <is>
          <t xml:space="preserve">Rolex Rings Limited</t>
        </is>
      </c>
      <c r="C3379" t="inlineStr">
        <is>
          <t xml:space="preserve">INE645S01024</t>
        </is>
      </c>
    </row>
    <row r="3380">
      <c r="A3380" t="inlineStr">
        <is>
          <t xml:space="preserve">ROLLT</t>
        </is>
      </c>
      <c r="B3380" t="inlineStr">
        <is>
          <t xml:space="preserve">ROLLATAINERS LTD.</t>
        </is>
      </c>
      <c r="C3380" t="inlineStr">
        <is>
          <t xml:space="preserve">INE927A01040</t>
        </is>
      </c>
    </row>
    <row r="3381">
      <c r="A3381" t="inlineStr">
        <is>
          <t xml:space="preserve">RONI</t>
        </is>
      </c>
      <c r="B3381" t="inlineStr">
        <is>
          <t xml:space="preserve">Roni Households Limited</t>
        </is>
      </c>
      <c r="C3381" t="inlineStr">
        <is>
          <t xml:space="preserve">INE02AP01013</t>
        </is>
      </c>
    </row>
    <row r="3382">
      <c r="A3382" t="inlineStr">
        <is>
          <t xml:space="preserve">ROOPAIND</t>
        </is>
      </c>
      <c r="B3382" t="inlineStr">
        <is>
          <t xml:space="preserve">ROOPA INDUSTRIES LTD.</t>
        </is>
      </c>
      <c r="C3382" t="inlineStr">
        <is>
          <t xml:space="preserve">INE443C01010</t>
        </is>
      </c>
    </row>
    <row r="3383">
      <c r="A3383" t="inlineStr">
        <is>
          <t xml:space="preserve">ROSEMER</t>
        </is>
      </c>
      <c r="B3383" t="inlineStr">
        <is>
          <t xml:space="preserve">ROSE MERC.LTD.</t>
        </is>
      </c>
      <c r="C3383" t="inlineStr">
        <is>
          <t xml:space="preserve">INE649C01012</t>
        </is>
      </c>
    </row>
    <row r="3384">
      <c r="A3384" t="inlineStr">
        <is>
          <t xml:space="preserve">ROSELABS</t>
        </is>
      </c>
      <c r="B3384" t="inlineStr">
        <is>
          <t xml:space="preserve">ROSELABS FINANCE LTD.</t>
        </is>
      </c>
      <c r="C3384" t="inlineStr">
        <is>
          <t xml:space="preserve">INE475C01012</t>
        </is>
      </c>
    </row>
    <row r="3385">
      <c r="A3385" t="inlineStr">
        <is>
          <t xml:space="preserve">ROSSARI</t>
        </is>
      </c>
      <c r="B3385" t="inlineStr">
        <is>
          <t xml:space="preserve">ROSSARI BIOTECH LIMITED</t>
        </is>
      </c>
      <c r="C3385" t="inlineStr">
        <is>
          <t xml:space="preserve">INE02A801020</t>
        </is>
      </c>
    </row>
    <row r="3386">
      <c r="A3386" t="inlineStr">
        <is>
          <t xml:space="preserve">ROSSELLIND</t>
        </is>
      </c>
      <c r="B3386" t="inlineStr">
        <is>
          <t xml:space="preserve">ROSSELL INDIA LTD.</t>
        </is>
      </c>
      <c r="C3386" t="inlineStr">
        <is>
          <t xml:space="preserve">INE847C01020</t>
        </is>
      </c>
    </row>
    <row r="3387">
      <c r="A3387" t="inlineStr">
        <is>
          <t xml:space="preserve">ROSSTECH</t>
        </is>
      </c>
      <c r="B3387" t="inlineStr">
        <is>
          <t xml:space="preserve">Rossell Techsys Limited</t>
        </is>
      </c>
      <c r="C3387" t="inlineStr">
        <is>
          <t xml:space="preserve">INE0OJW01016</t>
        </is>
      </c>
    </row>
    <row r="3388">
      <c r="A3388" t="inlineStr">
        <is>
          <t xml:space="preserve">ROTO</t>
        </is>
      </c>
      <c r="B3388" t="inlineStr">
        <is>
          <t xml:space="preserve">ROTO PUMPS LTD.</t>
        </is>
      </c>
      <c r="C3388" t="inlineStr">
        <is>
          <t xml:space="preserve">INE535D01037</t>
        </is>
      </c>
    </row>
    <row r="3389">
      <c r="A3389" t="inlineStr">
        <is>
          <t xml:space="preserve">RGIL</t>
        </is>
      </c>
      <c r="B3389" t="inlineStr">
        <is>
          <t xml:space="preserve">Rotographics (India) Limited</t>
        </is>
      </c>
      <c r="C3389" t="inlineStr">
        <is>
          <t xml:space="preserve">INE364S01014</t>
        </is>
      </c>
    </row>
    <row r="3390">
      <c r="A3390" t="inlineStr">
        <is>
          <t xml:space="preserve">ROUTE</t>
        </is>
      </c>
      <c r="B3390" t="inlineStr">
        <is>
          <t xml:space="preserve">Route Mobile Limited</t>
        </is>
      </c>
      <c r="C3390" t="inlineStr">
        <is>
          <t xml:space="preserve">INE450U01017</t>
        </is>
      </c>
    </row>
    <row r="3391">
      <c r="A3391" t="inlineStr">
        <is>
          <t xml:space="preserve">ROYALCU</t>
        </is>
      </c>
      <c r="B3391" t="inlineStr">
        <is>
          <t xml:space="preserve">ROYAL CUSHION VINYL PRODUCTS L</t>
        </is>
      </c>
      <c r="C3391" t="inlineStr">
        <is>
          <t xml:space="preserve">INE618A01011</t>
        </is>
      </c>
    </row>
    <row r="3392">
      <c r="A3392" t="inlineStr">
        <is>
          <t xml:space="preserve">ROYALIND</t>
        </is>
      </c>
      <c r="B3392" t="inlineStr">
        <is>
          <t xml:space="preserve">ROYAL INDIA CORPORATION LIMITE</t>
        </is>
      </c>
      <c r="C3392" t="inlineStr">
        <is>
          <t xml:space="preserve">INE510H01015</t>
        </is>
      </c>
    </row>
    <row r="3393">
      <c r="A3393" t="inlineStr">
        <is>
          <t xml:space="preserve">ROHLTD</t>
        </is>
      </c>
      <c r="B3393" t="inlineStr">
        <is>
          <t xml:space="preserve">ROYAL ORCHID HOTELS LTD.</t>
        </is>
      </c>
      <c r="C3393" t="inlineStr">
        <is>
          <t xml:space="preserve">INE283H01019</t>
        </is>
      </c>
    </row>
    <row r="3394">
      <c r="A3394" t="inlineStr">
        <is>
          <t xml:space="preserve">ROYAL</t>
        </is>
      </c>
      <c r="B3394" t="inlineStr">
        <is>
          <t xml:space="preserve">Royal Sense Limited</t>
        </is>
      </c>
      <c r="C3394" t="inlineStr">
        <is>
          <t xml:space="preserve">INE0QQG01019</t>
        </is>
      </c>
    </row>
    <row r="3395">
      <c r="A3395" t="inlineStr">
        <is>
          <t xml:space="preserve">RAYALEMA</t>
        </is>
      </c>
      <c r="B3395" t="inlineStr">
        <is>
          <t xml:space="preserve">ROYALE MANOR HOTELS &amp; INDUSTRI</t>
        </is>
      </c>
      <c r="C3395" t="inlineStr">
        <is>
          <t xml:space="preserve">INE008C01011</t>
        </is>
      </c>
    </row>
    <row r="3396">
      <c r="A3396" t="inlineStr">
        <is>
          <t xml:space="preserve">RPGLIFE</t>
        </is>
      </c>
      <c r="B3396" t="inlineStr">
        <is>
          <t xml:space="preserve">RPG LIFE SCIENCES LTD.</t>
        </is>
      </c>
      <c r="C3396" t="inlineStr">
        <is>
          <t xml:space="preserve">INE105J01010</t>
        </is>
      </c>
    </row>
    <row r="3397">
      <c r="A3397" t="inlineStr">
        <is>
          <t xml:space="preserve">RPPINFRA</t>
        </is>
      </c>
      <c r="B3397" t="inlineStr">
        <is>
          <t xml:space="preserve">RPP INFRA PROJECTS LTD.</t>
        </is>
      </c>
      <c r="C3397" t="inlineStr">
        <is>
          <t xml:space="preserve">INE324L01013</t>
        </is>
      </c>
    </row>
    <row r="3398">
      <c r="A3398" t="inlineStr">
        <is>
          <t xml:space="preserve">RPSGVENT</t>
        </is>
      </c>
      <c r="B3398" t="inlineStr">
        <is>
          <t xml:space="preserve">RPSG VENTURES LIMITED</t>
        </is>
      </c>
      <c r="C3398" t="inlineStr">
        <is>
          <t xml:space="preserve">INE425Y01011</t>
        </is>
      </c>
    </row>
    <row r="3399">
      <c r="A3399" t="inlineStr">
        <is>
          <t xml:space="preserve">RRFIN</t>
        </is>
      </c>
      <c r="B3399" t="inlineStr">
        <is>
          <t xml:space="preserve">RR FINANCIAL CONSULTANTS LTD.</t>
        </is>
      </c>
      <c r="C3399" t="inlineStr">
        <is>
          <t xml:space="preserve">INE229D01011</t>
        </is>
      </c>
    </row>
    <row r="3400">
      <c r="A3400" t="inlineStr">
        <is>
          <t xml:space="preserve">RRMETAL</t>
        </is>
      </c>
      <c r="B3400" t="inlineStr">
        <is>
          <t xml:space="preserve">RR METALMAKERS INDIA LIMITED</t>
        </is>
      </c>
      <c r="C3400" t="inlineStr">
        <is>
          <t xml:space="preserve">INE117K01013</t>
        </is>
      </c>
    </row>
    <row r="3401">
      <c r="A3401" t="inlineStr">
        <is>
          <t xml:space="preserve">RRIL</t>
        </is>
      </c>
      <c r="B3401" t="inlineStr">
        <is>
          <t xml:space="preserve">RRIL LIMITED</t>
        </is>
      </c>
      <c r="C3401" t="inlineStr">
        <is>
          <t xml:space="preserve">INE951M01037</t>
        </is>
      </c>
    </row>
    <row r="3402">
      <c r="A3402" t="inlineStr">
        <is>
          <t xml:space="preserve">RSCINT</t>
        </is>
      </c>
      <c r="B3402" t="inlineStr">
        <is>
          <t xml:space="preserve">RSC INTERNATIONAL LTD.</t>
        </is>
      </c>
      <c r="C3402" t="inlineStr">
        <is>
          <t xml:space="preserve">INE015F01019</t>
        </is>
      </c>
    </row>
    <row r="3403">
      <c r="A3403" t="inlineStr">
        <is>
          <t xml:space="preserve">RSDFIN</t>
        </is>
      </c>
      <c r="B3403" t="inlineStr">
        <is>
          <t xml:space="preserve">RSD Finance Limited</t>
        </is>
      </c>
      <c r="C3403" t="inlineStr">
        <is>
          <t xml:space="preserve">INE616F01022</t>
        </is>
      </c>
    </row>
    <row r="3404">
      <c r="A3404" t="inlineStr">
        <is>
          <t xml:space="preserve">RSWM</t>
        </is>
      </c>
      <c r="B3404" t="inlineStr">
        <is>
          <t xml:space="preserve">RSWM LTD.</t>
        </is>
      </c>
      <c r="C3404" t="inlineStr">
        <is>
          <t xml:space="preserve">INE611A01016</t>
        </is>
      </c>
    </row>
    <row r="3405">
      <c r="A3405" t="inlineStr">
        <is>
          <t xml:space="preserve">RTSPOWR</t>
        </is>
      </c>
      <c r="B3405" t="inlineStr">
        <is>
          <t xml:space="preserve">RTS POWER CORPORATION LTD.</t>
        </is>
      </c>
      <c r="C3405" t="inlineStr">
        <is>
          <t xml:space="preserve">INE005C01017</t>
        </is>
      </c>
    </row>
    <row r="3406">
      <c r="A3406" t="inlineStr">
        <is>
          <t xml:space="preserve">RUBFILA</t>
        </is>
      </c>
      <c r="B3406" t="inlineStr">
        <is>
          <t xml:space="preserve">RUBFILA INTERNATIONAL LTD.</t>
        </is>
      </c>
      <c r="C3406" t="inlineStr">
        <is>
          <t xml:space="preserve">INE642C01025</t>
        </is>
      </c>
    </row>
    <row r="3407">
      <c r="A3407" t="inlineStr">
        <is>
          <t xml:space="preserve">RUBICON</t>
        </is>
      </c>
      <c r="B3407" t="inlineStr">
        <is>
          <t xml:space="preserve">RUBICON RESEARCH LIMITED</t>
        </is>
      </c>
      <c r="C3407" t="inlineStr">
        <is>
          <t xml:space="preserve">INE506V01022</t>
        </is>
      </c>
    </row>
    <row r="3408">
      <c r="A3408" t="inlineStr">
        <is>
          <t xml:space="preserve">RUBYMILLS</t>
        </is>
      </c>
      <c r="B3408" t="inlineStr">
        <is>
          <t xml:space="preserve">RUBY MILLS LTD.</t>
        </is>
      </c>
      <c r="C3408" t="inlineStr">
        <is>
          <t xml:space="preserve">INE301D01026</t>
        </is>
      </c>
    </row>
    <row r="3409">
      <c r="A3409" t="inlineStr">
        <is>
          <t xml:space="preserve">RUCHINFRA</t>
        </is>
      </c>
      <c r="B3409" t="inlineStr">
        <is>
          <t xml:space="preserve">RUCHI INFRASTRUCTURE LTD.</t>
        </is>
      </c>
      <c r="C3409" t="inlineStr">
        <is>
          <t xml:space="preserve">INE413B01023</t>
        </is>
      </c>
    </row>
    <row r="3410">
      <c r="A3410" t="inlineStr">
        <is>
          <t xml:space="preserve">RUCHIRA</t>
        </is>
      </c>
      <c r="B3410" t="inlineStr">
        <is>
          <t xml:space="preserve">RUCHIRA PAPERS LTD.</t>
        </is>
      </c>
      <c r="C3410" t="inlineStr">
        <is>
          <t xml:space="preserve">INE803H01014</t>
        </is>
      </c>
    </row>
    <row r="3411">
      <c r="A3411" t="inlineStr">
        <is>
          <t xml:space="preserve">RUDRAECO</t>
        </is>
      </c>
      <c r="B3411" t="inlineStr">
        <is>
          <t xml:space="preserve">RUDRA ECOVATION LIMITED</t>
        </is>
      </c>
      <c r="C3411" t="inlineStr">
        <is>
          <t xml:space="preserve">INE723D01021</t>
        </is>
      </c>
    </row>
    <row r="3412">
      <c r="A3412" t="inlineStr">
        <is>
          <t xml:space="preserve">RUDRAGAS</t>
        </is>
      </c>
      <c r="B3412" t="inlineStr">
        <is>
          <t xml:space="preserve">Rudra Gas Enterprise Limited</t>
        </is>
      </c>
      <c r="C3412" t="inlineStr">
        <is>
          <t xml:space="preserve">INE0OYK01010</t>
        </is>
      </c>
    </row>
    <row r="3413">
      <c r="A3413" t="inlineStr">
        <is>
          <t xml:space="preserve">RUDRA</t>
        </is>
      </c>
      <c r="B3413" t="inlineStr">
        <is>
          <t xml:space="preserve">RUDRA GLOBAL INFRA PRODUCTS LI</t>
        </is>
      </c>
      <c r="C3413" t="inlineStr">
        <is>
          <t xml:space="preserve">INE027T01023</t>
        </is>
      </c>
    </row>
    <row r="3414">
      <c r="A3414" t="inlineStr">
        <is>
          <t xml:space="preserve">RUNGTAIR</t>
        </is>
      </c>
      <c r="B3414" t="inlineStr">
        <is>
          <t xml:space="preserve">RUNGTA IRRIGATION LTD.</t>
        </is>
      </c>
      <c r="C3414" t="inlineStr">
        <is>
          <t xml:space="preserve">INE347C01013</t>
        </is>
      </c>
    </row>
    <row r="3415">
      <c r="A3415" t="inlineStr">
        <is>
          <t xml:space="preserve">RUPA</t>
        </is>
      </c>
      <c r="B3415" t="inlineStr">
        <is>
          <t xml:space="preserve">RUPA &amp; COMPANY LTD.</t>
        </is>
      </c>
      <c r="C3415" t="inlineStr">
        <is>
          <t xml:space="preserve">INE895B01021</t>
        </is>
      </c>
    </row>
    <row r="3416">
      <c r="A3416" t="inlineStr">
        <is>
          <t xml:space="preserve">RFL</t>
        </is>
      </c>
      <c r="B3416" t="inlineStr">
        <is>
          <t xml:space="preserve">RUPAREL FOOD PRODUCTS LIMITED</t>
        </is>
      </c>
      <c r="C3416" t="inlineStr">
        <is>
          <t xml:space="preserve">INE239B01014</t>
        </is>
      </c>
    </row>
    <row r="3417">
      <c r="A3417" t="inlineStr">
        <is>
          <t xml:space="preserve">RUSHIL</t>
        </is>
      </c>
      <c r="B3417" t="inlineStr">
        <is>
          <t xml:space="preserve">RUSHIL DECOR LTD.</t>
        </is>
      </c>
      <c r="C3417" t="inlineStr">
        <is>
          <t xml:space="preserve">INE573K01025</t>
        </is>
      </c>
    </row>
    <row r="3418">
      <c r="A3418" t="inlineStr">
        <is>
          <t xml:space="preserve">SCHAND</t>
        </is>
      </c>
      <c r="B3418" t="inlineStr">
        <is>
          <t xml:space="preserve">S Chand And Company Limited</t>
        </is>
      </c>
      <c r="C3418" t="inlineStr">
        <is>
          <t xml:space="preserve">INE807K01035</t>
        </is>
      </c>
    </row>
    <row r="3419">
      <c r="A3419" t="inlineStr">
        <is>
          <t xml:space="preserve">SHK</t>
        </is>
      </c>
      <c r="B3419" t="inlineStr">
        <is>
          <t xml:space="preserve">S H Kelkar and Company Limited</t>
        </is>
      </c>
      <c r="C3419" t="inlineStr">
        <is>
          <t xml:space="preserve">INE500L01026</t>
        </is>
      </c>
    </row>
    <row r="3420">
      <c r="A3420" t="inlineStr">
        <is>
          <t xml:space="preserve">SVGLOBAL</t>
        </is>
      </c>
      <c r="B3420" t="inlineStr">
        <is>
          <t xml:space="preserve">S V GLOBAL MILL LTD.</t>
        </is>
      </c>
      <c r="C3420" t="inlineStr">
        <is>
          <t xml:space="preserve">INE159L01013</t>
        </is>
      </c>
    </row>
    <row r="3421">
      <c r="A3421" t="inlineStr">
        <is>
          <t xml:space="preserve">S&amp;SPOWER</t>
        </is>
      </c>
      <c r="B3421" t="inlineStr">
        <is>
          <t xml:space="preserve">S&amp;S POWER SWITCHGEAR LTD.</t>
        </is>
      </c>
      <c r="C3421" t="inlineStr">
        <is>
          <t xml:space="preserve">INE902B01017</t>
        </is>
      </c>
    </row>
    <row r="3422">
      <c r="A3422" t="inlineStr">
        <is>
          <t xml:space="preserve">STCORP</t>
        </is>
      </c>
      <c r="B3422" t="inlineStr">
        <is>
          <t xml:space="preserve">S&amp;T CORPORATION LTD.</t>
        </is>
      </c>
      <c r="C3422" t="inlineStr">
        <is>
          <t xml:space="preserve">INE110Q01023</t>
        </is>
      </c>
    </row>
    <row r="3423">
      <c r="A3423" t="inlineStr">
        <is>
          <t xml:space="preserve">SMGOLD</t>
        </is>
      </c>
      <c r="B3423" t="inlineStr">
        <is>
          <t xml:space="preserve">S. M. Gold Limited</t>
        </is>
      </c>
      <c r="C3423" t="inlineStr">
        <is>
          <t xml:space="preserve">INE00Q901014</t>
        </is>
      </c>
    </row>
    <row r="3424">
      <c r="A3424" t="inlineStr">
        <is>
          <t xml:space="preserve">SVJ</t>
        </is>
      </c>
      <c r="B3424" t="inlineStr">
        <is>
          <t xml:space="preserve">S. V. J. Enterprises Limited</t>
        </is>
      </c>
      <c r="C3424" t="inlineStr">
        <is>
          <t xml:space="preserve">INE0JZS01010</t>
        </is>
      </c>
    </row>
    <row r="3425">
      <c r="A3425" t="inlineStr">
        <is>
          <t xml:space="preserve">SALSTEEL</t>
        </is>
      </c>
      <c r="B3425" t="inlineStr">
        <is>
          <t xml:space="preserve">S.A.L.STEEL LTD.</t>
        </is>
      </c>
      <c r="C3425" t="inlineStr">
        <is>
          <t xml:space="preserve">INE658G01014</t>
        </is>
      </c>
    </row>
    <row r="3426">
      <c r="A3426" t="inlineStr">
        <is>
          <t xml:space="preserve">SJS</t>
        </is>
      </c>
      <c r="B3426" t="inlineStr">
        <is>
          <t xml:space="preserve">S.J.S. Enterprises Limited</t>
        </is>
      </c>
      <c r="C3426" t="inlineStr">
        <is>
          <t xml:space="preserve">INE284S01014</t>
        </is>
      </c>
    </row>
    <row r="3427">
      <c r="A3427" t="inlineStr">
        <is>
          <t xml:space="preserve">SPAL</t>
        </is>
      </c>
      <c r="B3427" t="inlineStr">
        <is>
          <t xml:space="preserve">S.P. Apparels Limited</t>
        </is>
      </c>
      <c r="C3427" t="inlineStr">
        <is>
          <t xml:space="preserve">INE212I01016</t>
        </is>
      </c>
    </row>
    <row r="3428">
      <c r="A3428" t="inlineStr">
        <is>
          <t xml:space="preserve">SAATVIKGL</t>
        </is>
      </c>
      <c r="B3428" t="inlineStr">
        <is>
          <t xml:space="preserve">Saatvik Green Energy Limited</t>
        </is>
      </c>
      <c r="C3428" t="inlineStr">
        <is>
          <t xml:space="preserve">INE13B501022</t>
        </is>
      </c>
    </row>
    <row r="3429">
      <c r="A3429" t="inlineStr">
        <is>
          <t xml:space="preserve">SABEVENTS</t>
        </is>
      </c>
      <c r="B3429" t="inlineStr">
        <is>
          <t xml:space="preserve">Sab Events &amp; Governance Now Me</t>
        </is>
      </c>
      <c r="C3429" t="inlineStr">
        <is>
          <t xml:space="preserve">INE860T01019</t>
        </is>
      </c>
    </row>
    <row r="3430">
      <c r="A3430" t="inlineStr">
        <is>
          <t xml:space="preserve">SAB</t>
        </is>
      </c>
      <c r="B3430" t="inlineStr">
        <is>
          <t xml:space="preserve">SAB INDUSTRIES LIMITED</t>
        </is>
      </c>
      <c r="C3430" t="inlineStr">
        <is>
          <t xml:space="preserve">INE137M01017</t>
        </is>
      </c>
    </row>
    <row r="3431">
      <c r="A3431" t="inlineStr">
        <is>
          <t xml:space="preserve">SABOOSOD</t>
        </is>
      </c>
      <c r="B3431" t="inlineStr">
        <is>
          <t xml:space="preserve">SABOO SODIUM CHLORO LTD.</t>
        </is>
      </c>
      <c r="C3431" t="inlineStr">
        <is>
          <t xml:space="preserve">INE440C01016</t>
        </is>
      </c>
    </row>
    <row r="3432">
      <c r="A3432" t="inlineStr">
        <is>
          <t xml:space="preserve">SIIL</t>
        </is>
      </c>
      <c r="B3432" t="inlineStr">
        <is>
          <t xml:space="preserve">Sabrimala Industries India Lim</t>
        </is>
      </c>
      <c r="C3432" t="inlineStr">
        <is>
          <t xml:space="preserve">INE400R01018</t>
        </is>
      </c>
    </row>
    <row r="3433">
      <c r="A3433" t="inlineStr">
        <is>
          <t xml:space="preserve">SACHEMT</t>
        </is>
      </c>
      <c r="B3433" t="inlineStr">
        <is>
          <t xml:space="preserve">SACHETA METALS LTD.</t>
        </is>
      </c>
      <c r="C3433" t="inlineStr">
        <is>
          <t xml:space="preserve">INE433G01020</t>
        </is>
      </c>
    </row>
    <row r="3434">
      <c r="A3434" t="inlineStr">
        <is>
          <t xml:space="preserve">SADBHAV</t>
        </is>
      </c>
      <c r="B3434" t="inlineStr">
        <is>
          <t xml:space="preserve">SADBHAV ENGINEERING LTD.</t>
        </is>
      </c>
      <c r="C3434" t="inlineStr">
        <is>
          <t xml:space="preserve">INE226H01026</t>
        </is>
      </c>
    </row>
    <row r="3435">
      <c r="A3435" t="inlineStr">
        <is>
          <t xml:space="preserve">SADBHIN</t>
        </is>
      </c>
      <c r="B3435" t="inlineStr">
        <is>
          <t xml:space="preserve">Sadbhav Infrastructure Project</t>
        </is>
      </c>
      <c r="C3435" t="inlineStr">
        <is>
          <t xml:space="preserve">INE764L01010</t>
        </is>
      </c>
    </row>
    <row r="3436">
      <c r="A3436" t="inlineStr">
        <is>
          <t xml:space="preserve">SADHNANIQ</t>
        </is>
      </c>
      <c r="B3436" t="inlineStr">
        <is>
          <t xml:space="preserve">SADHANA NITROCHEM LTD.</t>
        </is>
      </c>
      <c r="C3436" t="inlineStr">
        <is>
          <t xml:space="preserve">INE888C01040</t>
        </is>
      </c>
    </row>
    <row r="3437">
      <c r="A3437" t="inlineStr">
        <is>
          <t xml:space="preserve">SSTL</t>
        </is>
      </c>
      <c r="B3437" t="inlineStr">
        <is>
          <t xml:space="preserve">Safa Systems &amp; Technologies Li</t>
        </is>
      </c>
      <c r="C3437" t="inlineStr">
        <is>
          <t xml:space="preserve">INE0JNA01014</t>
        </is>
      </c>
    </row>
    <row r="3438">
      <c r="A3438" t="inlineStr">
        <is>
          <t xml:space="preserve">SAFARI</t>
        </is>
      </c>
      <c r="B3438" t="inlineStr">
        <is>
          <t xml:space="preserve">SAFARI INDUSTRIES (INDIA) LTD.</t>
        </is>
      </c>
      <c r="C3438" t="inlineStr">
        <is>
          <t xml:space="preserve">INE429E01023</t>
        </is>
      </c>
    </row>
    <row r="3439">
      <c r="A3439" t="inlineStr">
        <is>
          <t xml:space="preserve">SAFECURE</t>
        </is>
      </c>
      <c r="B3439" t="inlineStr">
        <is>
          <t xml:space="preserve">Safecure Services Limited</t>
        </is>
      </c>
      <c r="C3439" t="inlineStr">
        <is>
          <t xml:space="preserve">INE0SVZ01015</t>
        </is>
      </c>
    </row>
    <row r="3440">
      <c r="A3440" t="inlineStr">
        <is>
          <t xml:space="preserve">SCDL</t>
        </is>
      </c>
      <c r="B3440" t="inlineStr">
        <is>
          <t xml:space="preserve">SAFETY CONTROLS &amp; DEVICES LIMI</t>
        </is>
      </c>
      <c r="C3440" t="inlineStr">
        <is>
          <t xml:space="preserve">INE0UMH01018</t>
        </is>
      </c>
    </row>
    <row r="3441">
      <c r="A3441" t="inlineStr">
        <is>
          <t xml:space="preserve">SAFFRON</t>
        </is>
      </c>
      <c r="B3441" t="inlineStr">
        <is>
          <t xml:space="preserve">SAFFRON INDUSTRIES LIMITED</t>
        </is>
      </c>
      <c r="C3441" t="inlineStr">
        <is>
          <t xml:space="preserve">INE474D01013</t>
        </is>
      </c>
    </row>
    <row r="3442">
      <c r="A3442" t="inlineStr">
        <is>
          <t xml:space="preserve">SAGCEM</t>
        </is>
      </c>
      <c r="B3442" t="inlineStr">
        <is>
          <t xml:space="preserve">SAGAR CEMENTS LTD.</t>
        </is>
      </c>
      <c r="C3442" t="inlineStr">
        <is>
          <t xml:space="preserve">INE229C01021</t>
        </is>
      </c>
    </row>
    <row r="3443">
      <c r="A3443" t="inlineStr">
        <is>
          <t xml:space="preserve">SAGARSOFT</t>
        </is>
      </c>
      <c r="B3443" t="inlineStr">
        <is>
          <t xml:space="preserve">Sagarsoft (India) Limited</t>
        </is>
      </c>
      <c r="C3443" t="inlineStr">
        <is>
          <t xml:space="preserve">INE184B01012</t>
        </is>
      </c>
    </row>
    <row r="3444">
      <c r="A3444" t="inlineStr">
        <is>
          <t xml:space="preserve">SAGILITY</t>
        </is>
      </c>
      <c r="B3444" t="inlineStr">
        <is>
          <t xml:space="preserve">Sagility Limited</t>
        </is>
      </c>
      <c r="C3444" t="inlineStr">
        <is>
          <t xml:space="preserve">INE0W2G01015</t>
        </is>
      </c>
    </row>
    <row r="3445">
      <c r="A3445" t="inlineStr">
        <is>
          <t xml:space="preserve">SAHARAHOUS</t>
        </is>
      </c>
      <c r="B3445" t="inlineStr">
        <is>
          <t xml:space="preserve">SAHARA HOUSINGFINA CORPORATION</t>
        </is>
      </c>
      <c r="C3445" t="inlineStr">
        <is>
          <t xml:space="preserve">INE135C01012</t>
        </is>
      </c>
    </row>
    <row r="3446">
      <c r="A3446" t="inlineStr">
        <is>
          <t xml:space="preserve">SAHYADRI</t>
        </is>
      </c>
      <c r="B3446" t="inlineStr">
        <is>
          <t xml:space="preserve">SAHYADRI INDUSTRIES LTD.</t>
        </is>
      </c>
      <c r="C3446" t="inlineStr">
        <is>
          <t xml:space="preserve">INE280H01015</t>
        </is>
      </c>
    </row>
    <row r="3447">
      <c r="A3447" t="inlineStr">
        <is>
          <t xml:space="preserve">SAICAPI</t>
        </is>
      </c>
      <c r="B3447" t="inlineStr">
        <is>
          <t xml:space="preserve">SAI CAPITAL LTD.</t>
        </is>
      </c>
      <c r="C3447" t="inlineStr">
        <is>
          <t xml:space="preserve">INE531X01018</t>
        </is>
      </c>
    </row>
    <row r="3448">
      <c r="A3448" t="inlineStr">
        <is>
          <t xml:space="preserve">SAILIFE</t>
        </is>
      </c>
      <c r="B3448" t="inlineStr">
        <is>
          <t xml:space="preserve">Sai Life Sciences Limited</t>
        </is>
      </c>
      <c r="C3448" t="inlineStr">
        <is>
          <t xml:space="preserve">INE570L01029</t>
        </is>
      </c>
    </row>
    <row r="3449">
      <c r="A3449" t="inlineStr">
        <is>
          <t xml:space="preserve">SAIPARENT</t>
        </is>
      </c>
      <c r="B3449" t="inlineStr">
        <is>
          <t xml:space="preserve">Sai Parenteral's Limited</t>
        </is>
      </c>
      <c r="C3449" t="inlineStr">
        <is>
          <t xml:space="preserve">INE0H9F01037</t>
        </is>
      </c>
    </row>
    <row r="3450">
      <c r="A3450" t="inlineStr">
        <is>
          <t xml:space="preserve">KALAMANDIR</t>
        </is>
      </c>
      <c r="B3450" t="inlineStr">
        <is>
          <t xml:space="preserve">Sai Silks (Kalamandir) Limited</t>
        </is>
      </c>
      <c r="C3450" t="inlineStr">
        <is>
          <t xml:space="preserve">INE438K01021</t>
        </is>
      </c>
    </row>
    <row r="3451">
      <c r="A3451" t="inlineStr">
        <is>
          <t xml:space="preserve">SAICOM</t>
        </is>
      </c>
      <c r="B3451" t="inlineStr">
        <is>
          <t xml:space="preserve">SAIANAND COMMERCIAL LIMITED</t>
        </is>
      </c>
      <c r="C3451" t="inlineStr">
        <is>
          <t xml:space="preserve">INE092G01024</t>
        </is>
      </c>
    </row>
    <row r="3452">
      <c r="A3452" t="inlineStr">
        <is>
          <t xml:space="preserve">SAINIK</t>
        </is>
      </c>
      <c r="B3452" t="inlineStr">
        <is>
          <t xml:space="preserve">SAINIK FINANCE &amp; INDUSTRIES LT</t>
        </is>
      </c>
      <c r="C3452" t="inlineStr">
        <is>
          <t xml:space="preserve">INE584B01013</t>
        </is>
      </c>
    </row>
    <row r="3453">
      <c r="A3453" t="inlineStr">
        <is>
          <t xml:space="preserve">SEKURITIND</t>
        </is>
      </c>
      <c r="B3453" t="inlineStr">
        <is>
          <t xml:space="preserve">SAINT-GOBAIN SEKURIT INDIA LTD</t>
        </is>
      </c>
      <c r="C3453" t="inlineStr">
        <is>
          <t xml:space="preserve">INE068B01017</t>
        </is>
      </c>
    </row>
    <row r="3454">
      <c r="A3454" t="inlineStr">
        <is>
          <t xml:space="preserve">SAKSOFT</t>
        </is>
      </c>
      <c r="B3454" t="inlineStr">
        <is>
          <t xml:space="preserve">SAKSOFT LTD.</t>
        </is>
      </c>
      <c r="C3454" t="inlineStr">
        <is>
          <t xml:space="preserve">INE667G01023</t>
        </is>
      </c>
    </row>
    <row r="3455">
      <c r="A3455" t="inlineStr">
        <is>
          <t xml:space="preserve">SAKTHIFIN</t>
        </is>
      </c>
      <c r="B3455" t="inlineStr">
        <is>
          <t xml:space="preserve">SAKTHI FINANCE LTD.</t>
        </is>
      </c>
      <c r="C3455" t="inlineStr">
        <is>
          <t xml:space="preserve">INE302E01014</t>
        </is>
      </c>
    </row>
    <row r="3456">
      <c r="A3456" t="inlineStr">
        <is>
          <t xml:space="preserve">SAKHTISUG</t>
        </is>
      </c>
      <c r="B3456" t="inlineStr">
        <is>
          <t xml:space="preserve">SAKTHI SUGARS LTD.</t>
        </is>
      </c>
      <c r="C3456" t="inlineStr">
        <is>
          <t xml:space="preserve">INE623A01011</t>
        </is>
      </c>
    </row>
    <row r="3457">
      <c r="A3457" t="inlineStr">
        <is>
          <t xml:space="preserve">SAKUMA</t>
        </is>
      </c>
      <c r="B3457" t="inlineStr">
        <is>
          <t xml:space="preserve">SAKUMA EXPORTS LTD.</t>
        </is>
      </c>
      <c r="C3457" t="inlineStr">
        <is>
          <t xml:space="preserve">INE190H01024</t>
        </is>
      </c>
    </row>
    <row r="3458">
      <c r="A3458" t="inlineStr">
        <is>
          <t xml:space="preserve">SALAUTO</t>
        </is>
      </c>
      <c r="B3458" t="inlineStr">
        <is>
          <t xml:space="preserve">SAL AUTOMOTIVE LIMITED</t>
        </is>
      </c>
      <c r="C3458" t="inlineStr">
        <is>
          <t xml:space="preserve">INE724G01014</t>
        </is>
      </c>
    </row>
    <row r="3459">
      <c r="A3459" t="inlineStr">
        <is>
          <t xml:space="preserve">SALASAR</t>
        </is>
      </c>
      <c r="B3459" t="inlineStr">
        <is>
          <t xml:space="preserve">Salasar Techno Engineering Lim</t>
        </is>
      </c>
      <c r="C3459" t="inlineStr">
        <is>
          <t xml:space="preserve">INE170V01027</t>
        </is>
      </c>
    </row>
    <row r="3460">
      <c r="A3460" t="inlineStr">
        <is>
          <t xml:space="preserve">SALEM</t>
        </is>
      </c>
      <c r="B3460" t="inlineStr">
        <is>
          <t xml:space="preserve">Salem Erode Investments Ltd.</t>
        </is>
      </c>
      <c r="C3460" t="inlineStr">
        <is>
          <t xml:space="preserve">INE894E01028</t>
        </is>
      </c>
    </row>
    <row r="3461">
      <c r="A3461" t="inlineStr">
        <is>
          <t xml:space="preserve">SALONA</t>
        </is>
      </c>
      <c r="B3461" t="inlineStr">
        <is>
          <t xml:space="preserve">SALONA COTSPIN LTD.</t>
        </is>
      </c>
      <c r="C3461" t="inlineStr">
        <is>
          <t xml:space="preserve">INE498E01010</t>
        </is>
      </c>
    </row>
    <row r="3462">
      <c r="A3462" t="inlineStr">
        <is>
          <t xml:space="preserve">SALORAINTL</t>
        </is>
      </c>
      <c r="B3462" t="inlineStr">
        <is>
          <t xml:space="preserve">SALORA INTERNATIONAL LTD.</t>
        </is>
      </c>
      <c r="C3462" t="inlineStr">
        <is>
          <t xml:space="preserve">INE924A01013</t>
        </is>
      </c>
    </row>
    <row r="3463">
      <c r="A3463" t="inlineStr">
        <is>
          <t xml:space="preserve">SALZERELEC</t>
        </is>
      </c>
      <c r="B3463" t="inlineStr">
        <is>
          <t xml:space="preserve">SALZER ELECTRONICS LTD.</t>
        </is>
      </c>
      <c r="C3463" t="inlineStr">
        <is>
          <t xml:space="preserve">INE457F01013</t>
        </is>
      </c>
    </row>
    <row r="3464">
      <c r="A3464" t="inlineStr">
        <is>
          <t xml:space="preserve">SAMINDUS</t>
        </is>
      </c>
      <c r="B3464" t="inlineStr">
        <is>
          <t xml:space="preserve">SAM INDUSTRIES LTD.</t>
        </is>
      </c>
      <c r="C3464" t="inlineStr">
        <is>
          <t xml:space="preserve">INE653D01012</t>
        </is>
      </c>
    </row>
    <row r="3465">
      <c r="A3465" t="inlineStr">
        <is>
          <t xml:space="preserve">SAMBANDAM</t>
        </is>
      </c>
      <c r="B3465" t="inlineStr">
        <is>
          <t xml:space="preserve">SAMBANDAM SPINNING MILLS LTD.</t>
        </is>
      </c>
      <c r="C3465" t="inlineStr">
        <is>
          <t xml:space="preserve">INE304D01012</t>
        </is>
      </c>
    </row>
    <row r="3466">
      <c r="A3466" t="inlineStr">
        <is>
          <t xml:space="preserve">SAMBHAAV</t>
        </is>
      </c>
      <c r="B3466" t="inlineStr">
        <is>
          <t xml:space="preserve">SAMBHAAV MEDIA LTD.</t>
        </is>
      </c>
      <c r="C3466" t="inlineStr">
        <is>
          <t xml:space="preserve">INE699B01027</t>
        </is>
      </c>
    </row>
    <row r="3467">
      <c r="A3467" t="inlineStr">
        <is>
          <t xml:space="preserve">SAMBHV</t>
        </is>
      </c>
      <c r="B3467" t="inlineStr">
        <is>
          <t xml:space="preserve">SAMBHV STEEL TUBES LIMITED</t>
        </is>
      </c>
      <c r="C3467" t="inlineStr">
        <is>
          <t xml:space="preserve">INE12NJ01018</t>
        </is>
      </c>
    </row>
    <row r="3468">
      <c r="A3468" t="inlineStr">
        <is>
          <t xml:space="preserve">SAMHI</t>
        </is>
      </c>
      <c r="B3468" t="inlineStr">
        <is>
          <t xml:space="preserve">Samhi Hotels Limited</t>
        </is>
      </c>
      <c r="C3468" t="inlineStr">
        <is>
          <t xml:space="preserve">INE08U801020</t>
        </is>
      </c>
    </row>
    <row r="3469">
      <c r="A3469" t="inlineStr">
        <is>
          <t xml:space="preserve">SAMKRG</t>
        </is>
      </c>
      <c r="B3469" t="inlineStr">
        <is>
          <t xml:space="preserve">SAMKRG PISTONS &amp; RINGS LTD.</t>
        </is>
      </c>
      <c r="C3469" t="inlineStr">
        <is>
          <t xml:space="preserve">INE706B01012</t>
        </is>
      </c>
    </row>
    <row r="3470">
      <c r="A3470" t="inlineStr">
        <is>
          <t xml:space="preserve">SAMMAANCAP</t>
        </is>
      </c>
      <c r="B3470" t="inlineStr">
        <is>
          <t xml:space="preserve">Sammaan Capital Limited</t>
        </is>
      </c>
      <c r="C3470" t="inlineStr">
        <is>
          <t xml:space="preserve">INE148I01020</t>
        </is>
      </c>
    </row>
    <row r="3471">
      <c r="A3471" t="inlineStr">
        <is>
          <t xml:space="preserve">SAMPANN</t>
        </is>
      </c>
      <c r="B3471" t="inlineStr">
        <is>
          <t xml:space="preserve">Sampann Utpadan India Limited</t>
        </is>
      </c>
      <c r="C3471" t="inlineStr">
        <is>
          <t xml:space="preserve">INE735M01018</t>
        </is>
      </c>
    </row>
    <row r="3472">
      <c r="A3472" t="inlineStr">
        <is>
          <t xml:space="preserve">SILL</t>
        </is>
      </c>
      <c r="B3472" t="inlineStr">
        <is>
          <t xml:space="preserve">Sampark India Logistics Limite</t>
        </is>
      </c>
      <c r="C3472" t="inlineStr">
        <is>
          <t xml:space="preserve">INE147701010</t>
        </is>
      </c>
    </row>
    <row r="3473">
      <c r="A3473" t="inlineStr">
        <is>
          <t xml:space="preserve">SAMPAT</t>
        </is>
      </c>
      <c r="B3473" t="inlineStr">
        <is>
          <t xml:space="preserve">SAMPAT ALUMINIUM LIMITED</t>
        </is>
      </c>
      <c r="C3473" t="inlineStr">
        <is>
          <t xml:space="preserve">INE10XS01012</t>
        </is>
      </c>
    </row>
    <row r="3474">
      <c r="A3474" t="inlineStr">
        <is>
          <t xml:space="preserve">SAMPRE</t>
        </is>
      </c>
      <c r="B3474" t="inlineStr">
        <is>
          <t xml:space="preserve">SAMPRE NUTRITIONS LTD.</t>
        </is>
      </c>
      <c r="C3474" t="inlineStr">
        <is>
          <t xml:space="preserve">INE375C01022</t>
        </is>
      </c>
    </row>
    <row r="3475">
      <c r="A3475" t="inlineStr">
        <is>
          <t xml:space="preserve">SAMRATFORG</t>
        </is>
      </c>
      <c r="B3475" t="inlineStr">
        <is>
          <t xml:space="preserve">Samrat Forgings Limited</t>
        </is>
      </c>
      <c r="C3475" t="inlineStr">
        <is>
          <t xml:space="preserve">INE412J01010</t>
        </is>
      </c>
    </row>
    <row r="3476">
      <c r="A3476" t="inlineStr">
        <is>
          <t xml:space="preserve">SAMRATPH</t>
        </is>
      </c>
      <c r="B3476" t="inlineStr">
        <is>
          <t xml:space="preserve">SAMRAT PHARMACHEM LTD.</t>
        </is>
      </c>
      <c r="C3476" t="inlineStr">
        <is>
          <t xml:space="preserve">INE103E01016</t>
        </is>
      </c>
    </row>
    <row r="3477">
      <c r="A3477" t="inlineStr">
        <is>
          <t xml:space="preserve">SAMSRITA</t>
        </is>
      </c>
      <c r="B3477" t="inlineStr">
        <is>
          <t xml:space="preserve">SAMSRITA LABS LIMITED</t>
        </is>
      </c>
      <c r="C3477" t="inlineStr">
        <is>
          <t xml:space="preserve">INE579N01018</t>
        </is>
      </c>
    </row>
    <row r="3478">
      <c r="A3478" t="inlineStr">
        <is>
          <t xml:space="preserve">SAMTELIN</t>
        </is>
      </c>
      <c r="B3478" t="inlineStr">
        <is>
          <t xml:space="preserve">SAMTEL INDIA LTD.</t>
        </is>
      </c>
      <c r="C3478" t="inlineStr">
        <is>
          <t xml:space="preserve">INE538C01017</t>
        </is>
      </c>
    </row>
    <row r="3479">
      <c r="A3479" t="inlineStr">
        <is>
          <t xml:space="preserve">SAMTEX</t>
        </is>
      </c>
      <c r="B3479" t="inlineStr">
        <is>
          <t xml:space="preserve">SAMTEX FASHIONS LTD.</t>
        </is>
      </c>
      <c r="C3479" t="inlineStr">
        <is>
          <t xml:space="preserve">INE931D01020</t>
        </is>
      </c>
    </row>
    <row r="3480">
      <c r="A3480" t="inlineStr">
        <is>
          <t xml:space="preserve">MOTHERSON</t>
        </is>
      </c>
      <c r="B3480" t="inlineStr">
        <is>
          <t xml:space="preserve">Samvardhana Motherson Internat</t>
        </is>
      </c>
      <c r="C3480" t="inlineStr">
        <is>
          <t xml:space="preserve">INE775A01035</t>
        </is>
      </c>
    </row>
    <row r="3481">
      <c r="A3481" t="inlineStr">
        <is>
          <t xml:space="preserve">SAMYAKINT</t>
        </is>
      </c>
      <c r="B3481" t="inlineStr">
        <is>
          <t xml:space="preserve">SAMYAK INTERNATIONAL LTD.</t>
        </is>
      </c>
      <c r="C3481" t="inlineStr">
        <is>
          <t xml:space="preserve">INE607G01011</t>
        </is>
      </c>
    </row>
    <row r="3482">
      <c r="A3482" t="inlineStr">
        <is>
          <t xml:space="preserve">SANATHAN</t>
        </is>
      </c>
      <c r="B3482" t="inlineStr">
        <is>
          <t xml:space="preserve">Sanathan Textiles Limited</t>
        </is>
      </c>
      <c r="C3482" t="inlineStr">
        <is>
          <t xml:space="preserve">INE0JPD01013</t>
        </is>
      </c>
    </row>
    <row r="3483">
      <c r="A3483" t="inlineStr">
        <is>
          <t xml:space="preserve">SEL</t>
        </is>
      </c>
      <c r="B3483" t="inlineStr">
        <is>
          <t xml:space="preserve">SANATHNAGAR ENTERPRISES LIMITE</t>
        </is>
      </c>
      <c r="C3483" t="inlineStr">
        <is>
          <t xml:space="preserve">INE367E01033</t>
        </is>
      </c>
    </row>
    <row r="3484">
      <c r="A3484" t="inlineStr">
        <is>
          <t xml:space="preserve">SANCTRN</t>
        </is>
      </c>
      <c r="B3484" t="inlineStr">
        <is>
          <t xml:space="preserve">SANCO TRANS LTD.</t>
        </is>
      </c>
      <c r="C3484" t="inlineStr">
        <is>
          <t xml:space="preserve">INE391G01012</t>
        </is>
      </c>
    </row>
    <row r="3485">
      <c r="A3485" t="inlineStr">
        <is>
          <t xml:space="preserve">SANCODE</t>
        </is>
      </c>
      <c r="B3485" t="inlineStr">
        <is>
          <t xml:space="preserve">Sancode Technologies Limited</t>
        </is>
      </c>
      <c r="C3485" t="inlineStr">
        <is>
          <t xml:space="preserve">INE0P7001013</t>
        </is>
      </c>
    </row>
    <row r="3486">
      <c r="A3486" t="inlineStr">
        <is>
          <t xml:space="preserve">SANDESH</t>
        </is>
      </c>
      <c r="B3486" t="inlineStr">
        <is>
          <t xml:space="preserve">SANDESH LTD.</t>
        </is>
      </c>
      <c r="C3486" t="inlineStr">
        <is>
          <t xml:space="preserve">INE583B01015</t>
        </is>
      </c>
    </row>
    <row r="3487">
      <c r="A3487" t="inlineStr">
        <is>
          <t xml:space="preserve">SANDHAR</t>
        </is>
      </c>
      <c r="B3487" t="inlineStr">
        <is>
          <t xml:space="preserve">Sandhar Technologies Limited</t>
        </is>
      </c>
      <c r="C3487" t="inlineStr">
        <is>
          <t xml:space="preserve">INE278H01035</t>
        </is>
      </c>
    </row>
    <row r="3488">
      <c r="A3488" t="inlineStr">
        <is>
          <t xml:space="preserve">SANDUPHQ</t>
        </is>
      </c>
      <c r="B3488" t="inlineStr">
        <is>
          <t xml:space="preserve">SANDU PHARMACEUTICALS LTD.</t>
        </is>
      </c>
      <c r="C3488" t="inlineStr">
        <is>
          <t xml:space="preserve">INE751D01014</t>
        </is>
      </c>
    </row>
    <row r="3489">
      <c r="A3489" t="inlineStr">
        <is>
          <t xml:space="preserve">SANDUMA</t>
        </is>
      </c>
      <c r="B3489" t="inlineStr">
        <is>
          <t xml:space="preserve">SANDUR MANGANESE &amp; IRON ORES L</t>
        </is>
      </c>
      <c r="C3489" t="inlineStr">
        <is>
          <t xml:space="preserve">INE149K01016</t>
        </is>
      </c>
    </row>
    <row r="3490">
      <c r="A3490" t="inlineStr">
        <is>
          <t xml:space="preserve">SANPA</t>
        </is>
      </c>
      <c r="B3490" t="inlineStr">
        <is>
          <t xml:space="preserve">SANGAL PAPERS LTD.</t>
        </is>
      </c>
      <c r="C3490" t="inlineStr">
        <is>
          <t xml:space="preserve">INE384D01022</t>
        </is>
      </c>
    </row>
    <row r="3491">
      <c r="A3491" t="inlineStr">
        <is>
          <t xml:space="preserve">SANGAMIND</t>
        </is>
      </c>
      <c r="B3491" t="inlineStr">
        <is>
          <t xml:space="preserve">SANGAM (INDIA) LTD.</t>
        </is>
      </c>
      <c r="C3491" t="inlineStr">
        <is>
          <t xml:space="preserve">INE495C01010</t>
        </is>
      </c>
    </row>
    <row r="3492">
      <c r="A3492" t="inlineStr">
        <is>
          <t xml:space="preserve">SANGAMFIN</t>
        </is>
      </c>
      <c r="B3492" t="inlineStr">
        <is>
          <t xml:space="preserve">Sangam Finserv Limited</t>
        </is>
      </c>
      <c r="C3492" t="inlineStr">
        <is>
          <t xml:space="preserve">INE475D01010</t>
        </is>
      </c>
    </row>
    <row r="3493">
      <c r="A3493" t="inlineStr">
        <is>
          <t xml:space="preserve">SANGHVIMOV</t>
        </is>
      </c>
      <c r="B3493" t="inlineStr">
        <is>
          <t xml:space="preserve">SANGHVI MOVERS LTD.</t>
        </is>
      </c>
      <c r="C3493" t="inlineStr">
        <is>
          <t xml:space="preserve">INE989A01032</t>
        </is>
      </c>
    </row>
    <row r="3494">
      <c r="A3494" t="inlineStr">
        <is>
          <t xml:space="preserve">SANJIVIN</t>
        </is>
      </c>
      <c r="B3494" t="inlineStr">
        <is>
          <t xml:space="preserve">SANJIVANI PARANTERAL LTD.</t>
        </is>
      </c>
      <c r="C3494" t="inlineStr">
        <is>
          <t xml:space="preserve">INE860D01013</t>
        </is>
      </c>
    </row>
    <row r="3495">
      <c r="A3495" t="inlineStr">
        <is>
          <t xml:space="preserve">SANINFRA</t>
        </is>
      </c>
      <c r="B3495" t="inlineStr">
        <is>
          <t xml:space="preserve">SANMIT INFRA LIMITED</t>
        </is>
      </c>
      <c r="C3495" t="inlineStr">
        <is>
          <t xml:space="preserve">INE799C01049</t>
        </is>
      </c>
    </row>
    <row r="3496">
      <c r="A3496" t="inlineStr">
        <is>
          <t xml:space="preserve">SANOFICONR</t>
        </is>
      </c>
      <c r="B3496" t="inlineStr">
        <is>
          <t xml:space="preserve">Sanofi Consumer Healthcare Ind</t>
        </is>
      </c>
      <c r="C3496" t="inlineStr">
        <is>
          <t xml:space="preserve">INE0UOS01011</t>
        </is>
      </c>
    </row>
    <row r="3497">
      <c r="A3497" t="inlineStr">
        <is>
          <t xml:space="preserve">SANOFI</t>
        </is>
      </c>
      <c r="B3497" t="inlineStr">
        <is>
          <t xml:space="preserve">SANOFI INDIA LTD</t>
        </is>
      </c>
      <c r="C3497" t="inlineStr">
        <is>
          <t xml:space="preserve">INE058A01010</t>
        </is>
      </c>
    </row>
    <row r="3498">
      <c r="A3498" t="inlineStr">
        <is>
          <t xml:space="preserve">SANTETX</t>
        </is>
      </c>
      <c r="B3498" t="inlineStr">
        <is>
          <t xml:space="preserve">SANRHEA TECHNICAL TEXTILES LTD</t>
        </is>
      </c>
      <c r="C3498" t="inlineStr">
        <is>
          <t xml:space="preserve">INE589J01015</t>
        </is>
      </c>
    </row>
    <row r="3499">
      <c r="A3499" t="inlineStr">
        <is>
          <t xml:space="preserve">SANSERA</t>
        </is>
      </c>
      <c r="B3499" t="inlineStr">
        <is>
          <t xml:space="preserve">Sansera Engineering Limited</t>
        </is>
      </c>
      <c r="C3499" t="inlineStr">
        <is>
          <t xml:space="preserve">INE953O01021</t>
        </is>
      </c>
    </row>
    <row r="3500">
      <c r="A3500" t="inlineStr">
        <is>
          <t xml:space="preserve">SANSTAR</t>
        </is>
      </c>
      <c r="B3500" t="inlineStr">
        <is>
          <t xml:space="preserve">SANSTAR LIMITED</t>
        </is>
      </c>
      <c r="C3500" t="inlineStr">
        <is>
          <t xml:space="preserve">INE08NE01025</t>
        </is>
      </c>
    </row>
    <row r="3501">
      <c r="A3501" t="inlineStr">
        <is>
          <t xml:space="preserve">SANWARIA</t>
        </is>
      </c>
      <c r="B3501" t="inlineStr">
        <is>
          <t xml:space="preserve">SANWARIA CONSUMER LIMITED</t>
        </is>
      </c>
      <c r="C3501" t="inlineStr">
        <is>
          <t xml:space="preserve">INE890C01046</t>
        </is>
      </c>
    </row>
    <row r="3502">
      <c r="A3502" t="inlineStr">
        <is>
          <t xml:space="preserve">SAPPHIRE</t>
        </is>
      </c>
      <c r="B3502" t="inlineStr">
        <is>
          <t xml:space="preserve">Sapphire Foods India Limited</t>
        </is>
      </c>
      <c r="C3502" t="inlineStr">
        <is>
          <t xml:space="preserve">INE806T01020</t>
        </is>
      </c>
    </row>
    <row r="3503">
      <c r="A3503" t="inlineStr">
        <is>
          <t xml:space="preserve">SCBL</t>
        </is>
      </c>
      <c r="B3503" t="inlineStr">
        <is>
          <t xml:space="preserve">Saptak Chem And Business Limit</t>
        </is>
      </c>
      <c r="C3503" t="inlineStr">
        <is>
          <t xml:space="preserve">INE467X01023</t>
        </is>
      </c>
    </row>
    <row r="3504">
      <c r="A3504" t="inlineStr">
        <is>
          <t xml:space="preserve">SPTRSHI</t>
        </is>
      </c>
      <c r="B3504" t="inlineStr">
        <is>
          <t xml:space="preserve">SAPTARISHI AGRO INDUSTRIES LTD</t>
        </is>
      </c>
      <c r="C3504" t="inlineStr">
        <is>
          <t xml:space="preserve">INE233P01017</t>
        </is>
      </c>
    </row>
    <row r="3505">
      <c r="A3505" t="inlineStr">
        <is>
          <t xml:space="preserve">SAPL</t>
        </is>
      </c>
      <c r="B3505" t="inlineStr">
        <is>
          <t xml:space="preserve">Sar  Auto Products Limited</t>
        </is>
      </c>
      <c r="C3505" t="inlineStr">
        <is>
          <t xml:space="preserve">INE002E01010</t>
        </is>
      </c>
    </row>
    <row r="3506">
      <c r="A3506" t="inlineStr">
        <is>
          <t xml:space="preserve">ZSARACOM</t>
        </is>
      </c>
      <c r="B3506" t="inlineStr">
        <is>
          <t xml:space="preserve">SARASWATI COMMERCIAL (INDIA) L</t>
        </is>
      </c>
      <c r="C3506" t="inlineStr">
        <is>
          <t xml:space="preserve">INE967G01019</t>
        </is>
      </c>
    </row>
    <row r="3507">
      <c r="A3507" t="inlineStr">
        <is>
          <t xml:space="preserve">SSDL</t>
        </is>
      </c>
      <c r="B3507" t="inlineStr">
        <is>
          <t xml:space="preserve">SARASWATI SAREE DEPOT LIMITED</t>
        </is>
      </c>
      <c r="C3507" t="inlineStr">
        <is>
          <t xml:space="preserve">INE0PQ101010</t>
        </is>
      </c>
    </row>
    <row r="3508">
      <c r="A3508" t="inlineStr">
        <is>
          <t xml:space="preserve">SARDAEN</t>
        </is>
      </c>
      <c r="B3508" t="inlineStr">
        <is>
          <t xml:space="preserve">SARDA ENERGY &amp; MINERALS LTD.</t>
        </is>
      </c>
      <c r="C3508" t="inlineStr">
        <is>
          <t xml:space="preserve">INE385C01021</t>
        </is>
      </c>
    </row>
    <row r="3509">
      <c r="A3509" t="inlineStr">
        <is>
          <t xml:space="preserve">SAREGAMA</t>
        </is>
      </c>
      <c r="B3509" t="inlineStr">
        <is>
          <t xml:space="preserve">SAREGAMA INDIA LTD.</t>
        </is>
      </c>
      <c r="C3509" t="inlineStr">
        <is>
          <t xml:space="preserve">INE979A01025</t>
        </is>
      </c>
    </row>
    <row r="3510">
      <c r="A3510" t="inlineStr">
        <is>
          <t xml:space="preserve">SARLAPOLY</t>
        </is>
      </c>
      <c r="B3510" t="inlineStr">
        <is>
          <t xml:space="preserve">SARLA PERFORMANCE FIBERS LTD.</t>
        </is>
      </c>
      <c r="C3510" t="inlineStr">
        <is>
          <t xml:space="preserve">INE453D01025</t>
        </is>
      </c>
    </row>
    <row r="3511">
      <c r="A3511" t="inlineStr">
        <is>
          <t xml:space="preserve">SARTHAKGL</t>
        </is>
      </c>
      <c r="B3511" t="inlineStr">
        <is>
          <t xml:space="preserve">SARTHAK GLOBAL LTD.</t>
        </is>
      </c>
      <c r="C3511" t="inlineStr">
        <is>
          <t xml:space="preserve">INE075H01019</t>
        </is>
      </c>
    </row>
    <row r="3512">
      <c r="A3512" t="inlineStr">
        <is>
          <t xml:space="preserve">SARTHAKIND</t>
        </is>
      </c>
      <c r="B3512" t="inlineStr">
        <is>
          <t xml:space="preserve">SARTHAK INDUSTRIES LTD.</t>
        </is>
      </c>
      <c r="C3512" t="inlineStr">
        <is>
          <t xml:space="preserve">INE074H01012</t>
        </is>
      </c>
    </row>
    <row r="3513">
      <c r="A3513" t="inlineStr">
        <is>
          <t xml:space="preserve">SMLT</t>
        </is>
      </c>
      <c r="B3513" t="inlineStr">
        <is>
          <t xml:space="preserve">Sarthak Metals Limited</t>
        </is>
      </c>
      <c r="C3513" t="inlineStr">
        <is>
          <t xml:space="preserve">INE017W01010</t>
        </is>
      </c>
    </row>
    <row r="3514">
      <c r="A3514" t="inlineStr">
        <is>
          <t xml:space="preserve">SARUPINDUS</t>
        </is>
      </c>
      <c r="B3514" t="inlineStr">
        <is>
          <t xml:space="preserve">SARUP INDUSTRIES LTD.</t>
        </is>
      </c>
      <c r="C3514" t="inlineStr">
        <is>
          <t xml:space="preserve">INE305D01019</t>
        </is>
      </c>
    </row>
    <row r="3515">
      <c r="A3515" t="inlineStr">
        <is>
          <t xml:space="preserve">SARVESHWAR</t>
        </is>
      </c>
      <c r="B3515" t="inlineStr">
        <is>
          <t xml:space="preserve">Sarveshwar Foods Limited</t>
        </is>
      </c>
      <c r="C3515" t="inlineStr">
        <is>
          <t xml:space="preserve">INE324X01026</t>
        </is>
      </c>
    </row>
    <row r="3516">
      <c r="A3516" t="inlineStr">
        <is>
          <t xml:space="preserve">SASKEN</t>
        </is>
      </c>
      <c r="B3516" t="inlineStr">
        <is>
          <t xml:space="preserve">Sasken Technologies Limited</t>
        </is>
      </c>
      <c r="C3516" t="inlineStr">
        <is>
          <t xml:space="preserve">INE231F01020</t>
        </is>
      </c>
    </row>
    <row r="3517">
      <c r="A3517" t="inlineStr">
        <is>
          <t xml:space="preserve">SATCH</t>
        </is>
      </c>
      <c r="B3517" t="inlineStr">
        <is>
          <t xml:space="preserve">SATCHMO HOLDINGS LIMITED</t>
        </is>
      </c>
      <c r="C3517" t="inlineStr">
        <is>
          <t xml:space="preserve">INE639K01016</t>
        </is>
      </c>
    </row>
    <row r="3518">
      <c r="A3518" t="inlineStr">
        <is>
          <t xml:space="preserve">SATIA</t>
        </is>
      </c>
      <c r="B3518" t="inlineStr">
        <is>
          <t xml:space="preserve">SATIA INDUSTRIES LIMITED</t>
        </is>
      </c>
      <c r="C3518" t="inlineStr">
        <is>
          <t xml:space="preserve">INE170E01023</t>
        </is>
      </c>
    </row>
    <row r="3519">
      <c r="A3519" t="inlineStr">
        <is>
          <t xml:space="preserve">SATIN</t>
        </is>
      </c>
      <c r="B3519" t="inlineStr">
        <is>
          <t xml:space="preserve">SATIN CREDITCARE NETWORK LIMIT</t>
        </is>
      </c>
      <c r="C3519" t="inlineStr">
        <is>
          <t xml:space="preserve">INE836B01017</t>
        </is>
      </c>
    </row>
    <row r="3520">
      <c r="A3520" t="inlineStr">
        <is>
          <t xml:space="preserve">SATTRIX</t>
        </is>
      </c>
      <c r="B3520" t="inlineStr">
        <is>
          <t xml:space="preserve">SATTRIX INFORMATION SECURITY L</t>
        </is>
      </c>
      <c r="C3520" t="inlineStr">
        <is>
          <t xml:space="preserve">INE0QUV01010</t>
        </is>
      </c>
    </row>
    <row r="3521">
      <c r="A3521" t="inlineStr">
        <is>
          <t xml:space="preserve">SATTVASUKU</t>
        </is>
      </c>
      <c r="B3521" t="inlineStr">
        <is>
          <t xml:space="preserve">SATTVA SUKUN LIFECARE LIMITED</t>
        </is>
      </c>
      <c r="C3521" t="inlineStr">
        <is>
          <t xml:space="preserve">INE280E01038</t>
        </is>
      </c>
    </row>
    <row r="3522">
      <c r="A3522" t="inlineStr">
        <is>
          <t xml:space="preserve">SAUMYA</t>
        </is>
      </c>
      <c r="B3522" t="inlineStr">
        <is>
          <t xml:space="preserve">Saumya Consultants Ltd.</t>
        </is>
      </c>
      <c r="C3522" t="inlineStr">
        <is>
          <t xml:space="preserve">INE563C01015</t>
        </is>
      </c>
    </row>
    <row r="3523">
      <c r="A3523" t="inlineStr">
        <is>
          <t xml:space="preserve">SAURASHCEM</t>
        </is>
      </c>
      <c r="B3523" t="inlineStr">
        <is>
          <t xml:space="preserve">SAURASHTRA CEMENT LTD.</t>
        </is>
      </c>
      <c r="C3523" t="inlineStr">
        <is>
          <t xml:space="preserve">INE626A01014</t>
        </is>
      </c>
    </row>
    <row r="3524">
      <c r="A3524" t="inlineStr">
        <is>
          <t xml:space="preserve">7TEC</t>
        </is>
      </c>
      <c r="B3524" t="inlineStr">
        <is>
          <t xml:space="preserve">SAVEN TECHNOLOGIES LTD.</t>
        </is>
      </c>
      <c r="C3524" t="inlineStr">
        <is>
          <t xml:space="preserve">INE856B01023</t>
        </is>
      </c>
    </row>
    <row r="3525">
      <c r="A3525" t="inlineStr">
        <is>
          <t xml:space="preserve">SAVERA</t>
        </is>
      </c>
      <c r="B3525" t="inlineStr">
        <is>
          <t xml:space="preserve">SAVERA INDUSTRIES LTD.</t>
        </is>
      </c>
      <c r="C3525" t="inlineStr">
        <is>
          <t xml:space="preserve">INE104E01014</t>
        </is>
      </c>
    </row>
    <row r="3526">
      <c r="A3526" t="inlineStr">
        <is>
          <t xml:space="preserve">SOTL</t>
        </is>
      </c>
      <c r="B3526" t="inlineStr">
        <is>
          <t xml:space="preserve">SAVITA OIL TECHNOLOGIES LTD.</t>
        </is>
      </c>
      <c r="C3526" t="inlineStr">
        <is>
          <t xml:space="preserve">INE035D01020</t>
        </is>
      </c>
    </row>
    <row r="3527">
      <c r="A3527" t="inlineStr">
        <is>
          <t xml:space="preserve">SAWACA</t>
        </is>
      </c>
      <c r="B3527" t="inlineStr">
        <is>
          <t xml:space="preserve">SAWACA ENTERPRISES LIMITED</t>
        </is>
      </c>
      <c r="C3527" t="inlineStr">
        <is>
          <t xml:space="preserve">INE248B01023</t>
        </is>
      </c>
    </row>
    <row r="3528">
      <c r="A3528" t="inlineStr">
        <is>
          <t xml:space="preserve">SHILINDORE</t>
        </is>
      </c>
      <c r="B3528" t="inlineStr">
        <is>
          <t xml:space="preserve">Sayaji Hotels (Indore) Limited</t>
        </is>
      </c>
      <c r="C3528" t="inlineStr">
        <is>
          <t xml:space="preserve">INE0MGS01014</t>
        </is>
      </c>
    </row>
    <row r="3529">
      <c r="A3529" t="inlineStr">
        <is>
          <t xml:space="preserve">SHPLPUNE</t>
        </is>
      </c>
      <c r="B3529" t="inlineStr">
        <is>
          <t xml:space="preserve">Sayaji Hotels (Pune) Limited</t>
        </is>
      </c>
      <c r="C3529" t="inlineStr">
        <is>
          <t xml:space="preserve">INE07G501017</t>
        </is>
      </c>
    </row>
    <row r="3530">
      <c r="A3530" t="inlineStr">
        <is>
          <t xml:space="preserve">SAYAJIIND</t>
        </is>
      </c>
      <c r="B3530" t="inlineStr">
        <is>
          <t xml:space="preserve">Sayaji Industries Limited</t>
        </is>
      </c>
      <c r="C3530" t="inlineStr">
        <is>
          <t xml:space="preserve">INE327G01032</t>
        </is>
      </c>
    </row>
    <row r="3531">
      <c r="A3531" t="inlineStr">
        <is>
          <t xml:space="preserve">SBC</t>
        </is>
      </c>
      <c r="B3531" t="inlineStr">
        <is>
          <t xml:space="preserve">SBC EXPORTS LIMITED</t>
        </is>
      </c>
      <c r="C3531" t="inlineStr">
        <is>
          <t xml:space="preserve">INE04AK01028</t>
        </is>
      </c>
    </row>
    <row r="3532">
      <c r="A3532" t="inlineStr">
        <is>
          <t xml:space="preserve">SBECSUG</t>
        </is>
      </c>
      <c r="B3532" t="inlineStr">
        <is>
          <t xml:space="preserve">SBEC SUGAR LTD.</t>
        </is>
      </c>
      <c r="C3532" t="inlineStr">
        <is>
          <t xml:space="preserve">INE948G01019</t>
        </is>
      </c>
    </row>
    <row r="3533">
      <c r="A3533" t="inlineStr">
        <is>
          <t xml:space="preserve">SBECSYS</t>
        </is>
      </c>
      <c r="B3533" t="inlineStr">
        <is>
          <t xml:space="preserve">SBEC SYSTEMS (INDIA) LTD.</t>
        </is>
      </c>
      <c r="C3533" t="inlineStr">
        <is>
          <t xml:space="preserve">INE689V01018</t>
        </is>
      </c>
    </row>
    <row r="3534">
      <c r="A3534" t="inlineStr">
        <is>
          <t xml:space="preserve">SBFC</t>
        </is>
      </c>
      <c r="B3534" t="inlineStr">
        <is>
          <t xml:space="preserve">SBFC Finance Limited</t>
        </is>
      </c>
      <c r="C3534" t="inlineStr">
        <is>
          <t xml:space="preserve">INE423Y01016</t>
        </is>
      </c>
    </row>
    <row r="3535">
      <c r="A3535" t="inlineStr">
        <is>
          <t xml:space="preserve">SBICARD</t>
        </is>
      </c>
      <c r="B3535" t="inlineStr">
        <is>
          <t xml:space="preserve">SBI CARDS AND PAYMENT SERVICES</t>
        </is>
      </c>
      <c r="C3535" t="inlineStr">
        <is>
          <t xml:space="preserve">INE018E01016</t>
        </is>
      </c>
    </row>
    <row r="3536">
      <c r="A3536" t="inlineStr">
        <is>
          <t xml:space="preserve">SBILIFE</t>
        </is>
      </c>
      <c r="B3536" t="inlineStr">
        <is>
          <t xml:space="preserve">SBI Life Insurance Company Lim</t>
        </is>
      </c>
      <c r="C3536" t="inlineStr">
        <is>
          <t xml:space="preserve">INE123W01016</t>
        </is>
      </c>
    </row>
    <row r="3537">
      <c r="A3537" t="inlineStr">
        <is>
          <t xml:space="preserve">SBLI</t>
        </is>
      </c>
      <c r="B3537" t="inlineStr">
        <is>
          <t xml:space="preserve">SBL Infratech Limited</t>
        </is>
      </c>
      <c r="C3537" t="inlineStr">
        <is>
          <t xml:space="preserve">INE0DLM01024</t>
        </is>
      </c>
    </row>
    <row r="3538">
      <c r="A3538" t="inlineStr">
        <is>
          <t xml:space="preserve">SCAGRO</t>
        </is>
      </c>
      <c r="B3538" t="inlineStr">
        <is>
          <t xml:space="preserve">SC Agrotech Limited</t>
        </is>
      </c>
      <c r="C3538" t="inlineStr">
        <is>
          <t xml:space="preserve">INE895E01017</t>
        </is>
      </c>
    </row>
    <row r="3539">
      <c r="A3539" t="inlineStr">
        <is>
          <t xml:space="preserve">SCANPRO</t>
        </is>
      </c>
      <c r="B3539" t="inlineStr">
        <is>
          <t xml:space="preserve">SCAN PROJECTS LTD.</t>
        </is>
      </c>
      <c r="C3539" t="inlineStr">
        <is>
          <t xml:space="preserve">INE393D01015</t>
        </is>
      </c>
    </row>
    <row r="3540">
      <c r="A3540" t="inlineStr">
        <is>
          <t xml:space="preserve">SCANSTL</t>
        </is>
      </c>
      <c r="B3540" t="inlineStr">
        <is>
          <t xml:space="preserve">Scan Steels Limited</t>
        </is>
      </c>
      <c r="C3540" t="inlineStr">
        <is>
          <t xml:space="preserve">INE099G01011</t>
        </is>
      </c>
    </row>
    <row r="3541">
      <c r="A3541" t="inlineStr">
        <is>
          <t xml:space="preserve">SCHAEFFLER</t>
        </is>
      </c>
      <c r="B3541" t="inlineStr">
        <is>
          <t xml:space="preserve">Schaeffler India Limited</t>
        </is>
      </c>
      <c r="C3541" t="inlineStr">
        <is>
          <t xml:space="preserve">INE513A01022</t>
        </is>
      </c>
    </row>
    <row r="3542">
      <c r="A3542" t="inlineStr">
        <is>
          <t xml:space="preserve">SCHNEIDER</t>
        </is>
      </c>
      <c r="B3542" t="inlineStr">
        <is>
          <t xml:space="preserve">SCHNEIDER ELECTRIC INFRASTRUCT</t>
        </is>
      </c>
      <c r="C3542" t="inlineStr">
        <is>
          <t xml:space="preserve">INE839M01018</t>
        </is>
      </c>
    </row>
    <row r="3543">
      <c r="A3543" t="inlineStr">
        <is>
          <t xml:space="preserve">SELECTRIC</t>
        </is>
      </c>
      <c r="B3543" t="inlineStr">
        <is>
          <t xml:space="preserve">Schneider Electric President S</t>
        </is>
      </c>
      <c r="C3543" t="inlineStr">
        <is>
          <t xml:space="preserve">INE155D01018</t>
        </is>
      </c>
    </row>
    <row r="3544">
      <c r="A3544" t="inlineStr">
        <is>
          <t xml:space="preserve">SCC</t>
        </is>
      </c>
      <c r="B3544" t="inlineStr">
        <is>
          <t xml:space="preserve">Scintilla Commercial &amp; Credit</t>
        </is>
      </c>
      <c r="C3544" t="inlineStr">
        <is>
          <t xml:space="preserve">INE892C01018</t>
        </is>
      </c>
    </row>
    <row r="3545">
      <c r="A3545" t="inlineStr">
        <is>
          <t xml:space="preserve">9SCL26BA</t>
        </is>
      </c>
      <c r="B3545" t="inlineStr">
        <is>
          <t xml:space="preserve">SCL-9%-26-9-26-NCDS</t>
        </is>
      </c>
      <c r="C3545" t="inlineStr">
        <is>
          <t xml:space="preserve">INE148I07GL3</t>
        </is>
      </c>
    </row>
    <row r="3546">
      <c r="A3546" t="inlineStr">
        <is>
          <t xml:space="preserve">889SCL26</t>
        </is>
      </c>
      <c r="B3546" t="inlineStr">
        <is>
          <t xml:space="preserve">SCL-9.25%-24-9-26-NCD</t>
        </is>
      </c>
      <c r="C3546" t="inlineStr">
        <is>
          <t xml:space="preserve">INE148I07KN1</t>
        </is>
      </c>
    </row>
    <row r="3547">
      <c r="A3547" t="inlineStr">
        <is>
          <t xml:space="preserve">945SCL29</t>
        </is>
      </c>
      <c r="B3547" t="inlineStr">
        <is>
          <t xml:space="preserve">SCL-9.45%-19-6-29-PVT</t>
        </is>
      </c>
      <c r="C3547" t="inlineStr">
        <is>
          <t xml:space="preserve">INE148I07XB9</t>
        </is>
      </c>
    </row>
    <row r="3548">
      <c r="A3548" t="inlineStr">
        <is>
          <t xml:space="preserve">971SCL30</t>
        </is>
      </c>
      <c r="B3548" t="inlineStr">
        <is>
          <t xml:space="preserve">SCL-9.71-19-03-30-NCD</t>
        </is>
      </c>
      <c r="C3548" t="inlineStr">
        <is>
          <t xml:space="preserve">INE148I07WP1</t>
        </is>
      </c>
    </row>
    <row r="3549">
      <c r="A3549" t="inlineStr">
        <is>
          <t xml:space="preserve">SCLZC26</t>
        </is>
      </c>
      <c r="B3549" t="inlineStr">
        <is>
          <t xml:space="preserve">SCL-ZC-26-9-26-NCDS</t>
        </is>
      </c>
      <c r="C3549" t="inlineStr">
        <is>
          <t xml:space="preserve">INE148I07GN9</t>
        </is>
      </c>
    </row>
    <row r="3550">
      <c r="A3550" t="inlineStr">
        <is>
          <t xml:space="preserve">10SCNL28</t>
        </is>
      </c>
      <c r="B3550" t="inlineStr">
        <is>
          <t xml:space="preserve">SCNL-10%-30-01-28-PVT</t>
        </is>
      </c>
      <c r="C3550" t="inlineStr">
        <is>
          <t xml:space="preserve">INE836B07915</t>
        </is>
      </c>
    </row>
    <row r="3551">
      <c r="A3551" t="inlineStr">
        <is>
          <t xml:space="preserve">1015SCNL28</t>
        </is>
      </c>
      <c r="B3551" t="inlineStr">
        <is>
          <t xml:space="preserve">SCNL-10.15%-13-7-28-PVT</t>
        </is>
      </c>
      <c r="C3551" t="inlineStr">
        <is>
          <t xml:space="preserve">INE836B07907</t>
        </is>
      </c>
    </row>
    <row r="3552">
      <c r="A3552" t="inlineStr">
        <is>
          <t xml:space="preserve">12SCNL31</t>
        </is>
      </c>
      <c r="B3552" t="inlineStr">
        <is>
          <t xml:space="preserve">SCNL-12%-23-07-31-PVT</t>
        </is>
      </c>
      <c r="C3552" t="inlineStr">
        <is>
          <t xml:space="preserve">INE836B08319</t>
        </is>
      </c>
    </row>
    <row r="3553">
      <c r="A3553" t="inlineStr">
        <is>
          <t xml:space="preserve">SCODATUBES</t>
        </is>
      </c>
      <c r="B3553" t="inlineStr">
        <is>
          <t xml:space="preserve">Scoda Tubes Limited</t>
        </is>
      </c>
      <c r="C3553" t="inlineStr">
        <is>
          <t xml:space="preserve">INE090501011</t>
        </is>
      </c>
    </row>
    <row r="3554">
      <c r="A3554" t="inlineStr">
        <is>
          <t xml:space="preserve">SCOOBEEDAY</t>
        </is>
      </c>
      <c r="B3554" t="inlineStr">
        <is>
          <t xml:space="preserve">SCOOBEE DAY GARMENTS (INDIA) L</t>
        </is>
      </c>
      <c r="C3554" t="inlineStr">
        <is>
          <t xml:space="preserve">INE962E01015</t>
        </is>
      </c>
    </row>
    <row r="3555">
      <c r="A3555" t="inlineStr">
        <is>
          <t xml:space="preserve">SEATV</t>
        </is>
      </c>
      <c r="B3555" t="inlineStr">
        <is>
          <t xml:space="preserve">SEA TV NETWORK LTD.</t>
        </is>
      </c>
      <c r="C3555" t="inlineStr">
        <is>
          <t xml:space="preserve">INE351L01016</t>
        </is>
      </c>
    </row>
    <row r="3556">
      <c r="A3556" t="inlineStr">
        <is>
          <t xml:space="preserve">SEALMATIC</t>
        </is>
      </c>
      <c r="B3556" t="inlineStr">
        <is>
          <t xml:space="preserve">Sealmatic India Limited</t>
        </is>
      </c>
      <c r="C3556" t="inlineStr">
        <is>
          <t xml:space="preserve">INE0O4601016</t>
        </is>
      </c>
    </row>
    <row r="3557">
      <c r="A3557" t="inlineStr">
        <is>
          <t xml:space="preserve">SEAMECLTD</t>
        </is>
      </c>
      <c r="B3557" t="inlineStr">
        <is>
          <t xml:space="preserve">SEAMEC LTD.</t>
        </is>
      </c>
      <c r="C3557" t="inlineStr">
        <is>
          <t xml:space="preserve">INE497B01018</t>
        </is>
      </c>
    </row>
    <row r="3558">
      <c r="A3558" t="inlineStr">
        <is>
          <t xml:space="preserve">SEASONST</t>
        </is>
      </c>
      <c r="B3558" t="inlineStr">
        <is>
          <t xml:space="preserve">SEASONS TEXTILES LTD.</t>
        </is>
      </c>
      <c r="C3558" t="inlineStr">
        <is>
          <t xml:space="preserve">INE707B01010</t>
        </is>
      </c>
    </row>
    <row r="3559">
      <c r="A3559" t="inlineStr">
        <is>
          <t xml:space="preserve">SECURKLOUD</t>
        </is>
      </c>
      <c r="B3559" t="inlineStr">
        <is>
          <t xml:space="preserve">SECUREKLOUD TECHNOLOGIES LIMIT</t>
        </is>
      </c>
      <c r="C3559" t="inlineStr">
        <is>
          <t xml:space="preserve">INE650K01021</t>
        </is>
      </c>
    </row>
    <row r="3560">
      <c r="A3560" t="inlineStr">
        <is>
          <t xml:space="preserve">SEDEMAC</t>
        </is>
      </c>
      <c r="B3560" t="inlineStr">
        <is>
          <t xml:space="preserve">SEDEMAC MECHATRONICS LIMITED</t>
        </is>
      </c>
      <c r="C3560" t="inlineStr">
        <is>
          <t xml:space="preserve">INE00XB01019</t>
        </is>
      </c>
    </row>
    <row r="3561">
      <c r="A3561" t="inlineStr">
        <is>
          <t xml:space="preserve">SEEMAX</t>
        </is>
      </c>
      <c r="B3561" t="inlineStr">
        <is>
          <t xml:space="preserve">Seemax Resources Limited</t>
        </is>
      </c>
      <c r="C3561" t="inlineStr">
        <is>
          <t xml:space="preserve">INE1EVO01017</t>
        </is>
      </c>
    </row>
    <row r="3562">
      <c r="A3562" t="inlineStr">
        <is>
          <t xml:space="preserve">SEJALLTD</t>
        </is>
      </c>
      <c r="B3562" t="inlineStr">
        <is>
          <t xml:space="preserve">SEJAL GLASS LIMITED</t>
        </is>
      </c>
      <c r="C3562" t="inlineStr">
        <is>
          <t xml:space="preserve">INE955I01044</t>
        </is>
      </c>
    </row>
    <row r="3563">
      <c r="A3563" t="inlineStr">
        <is>
          <t xml:space="preserve">SELMC</t>
        </is>
      </c>
      <c r="B3563" t="inlineStr">
        <is>
          <t xml:space="preserve">SEL MANUFACTURING COMPANY LTD.</t>
        </is>
      </c>
      <c r="C3563" t="inlineStr">
        <is>
          <t xml:space="preserve">INE105I01020</t>
        </is>
      </c>
    </row>
    <row r="3564">
      <c r="A3564" t="inlineStr">
        <is>
          <t xml:space="preserve">SEMAC</t>
        </is>
      </c>
      <c r="B3564" t="inlineStr">
        <is>
          <t xml:space="preserve">Semac Construction Limited</t>
        </is>
      </c>
      <c r="C3564" t="inlineStr">
        <is>
          <t xml:space="preserve">INE617A01013</t>
        </is>
      </c>
    </row>
    <row r="3565">
      <c r="A3565" t="inlineStr">
        <is>
          <t xml:space="preserve">SENCO</t>
        </is>
      </c>
      <c r="B3565" t="inlineStr">
        <is>
          <t xml:space="preserve">Senco Gold Limited</t>
        </is>
      </c>
      <c r="C3565" t="inlineStr">
        <is>
          <t xml:space="preserve">INE602W01027</t>
        </is>
      </c>
    </row>
    <row r="3566">
      <c r="A3566" t="inlineStr">
        <is>
          <t xml:space="preserve">SENORES</t>
        </is>
      </c>
      <c r="B3566" t="inlineStr">
        <is>
          <t xml:space="preserve">SENORES PHARMACEUTICALS LIMITE</t>
        </is>
      </c>
      <c r="C3566" t="inlineStr">
        <is>
          <t xml:space="preserve">INE0RB801010</t>
        </is>
      </c>
    </row>
    <row r="3567">
      <c r="A3567" t="inlineStr">
        <is>
          <t xml:space="preserve">SEPC</t>
        </is>
      </c>
      <c r="B3567" t="inlineStr">
        <is>
          <t xml:space="preserve">SEPC LIMITED</t>
        </is>
      </c>
      <c r="C3567" t="inlineStr">
        <is>
          <t xml:space="preserve">INE964H01014</t>
        </is>
      </c>
    </row>
    <row r="3568">
      <c r="A3568" t="inlineStr">
        <is>
          <t xml:space="preserve">SERA</t>
        </is>
      </c>
      <c r="B3568" t="inlineStr">
        <is>
          <t xml:space="preserve">SERA INVESTMENTS &amp; FINANCE IND</t>
        </is>
      </c>
      <c r="C3568" t="inlineStr">
        <is>
          <t xml:space="preserve">INE017I01027</t>
        </is>
      </c>
    </row>
    <row r="3569">
      <c r="A3569" t="inlineStr">
        <is>
          <t xml:space="preserve">STYL</t>
        </is>
      </c>
      <c r="B3569" t="inlineStr">
        <is>
          <t xml:space="preserve">Seshaasai Technologies Limited</t>
        </is>
      </c>
      <c r="C3569" t="inlineStr">
        <is>
          <t xml:space="preserve">INE04VU01023</t>
        </is>
      </c>
    </row>
    <row r="3570">
      <c r="A3570" t="inlineStr">
        <is>
          <t xml:space="preserve">SESHACHAL</t>
        </is>
      </c>
      <c r="B3570" t="inlineStr">
        <is>
          <t xml:space="preserve">SESHACHAL TECHNOLOGIES LTD.</t>
        </is>
      </c>
      <c r="C3570" t="inlineStr">
        <is>
          <t xml:space="preserve">INE331F01028</t>
        </is>
      </c>
    </row>
    <row r="3571">
      <c r="A3571" t="inlineStr">
        <is>
          <t xml:space="preserve">SESHAPAPER</t>
        </is>
      </c>
      <c r="B3571" t="inlineStr">
        <is>
          <t xml:space="preserve">SESHASAYEE PAPER &amp; BOARDS LTD.</t>
        </is>
      </c>
      <c r="C3571" t="inlineStr">
        <is>
          <t xml:space="preserve">INE630A01024</t>
        </is>
      </c>
    </row>
    <row r="3572">
      <c r="A3572" t="inlineStr">
        <is>
          <t xml:space="preserve">SETCO</t>
        </is>
      </c>
      <c r="B3572" t="inlineStr">
        <is>
          <t xml:space="preserve">SETCO AUTOMOTIVE LTD.</t>
        </is>
      </c>
      <c r="C3572" t="inlineStr">
        <is>
          <t xml:space="preserve">INE878E01021</t>
        </is>
      </c>
    </row>
    <row r="3573">
      <c r="A3573" t="inlineStr">
        <is>
          <t xml:space="preserve">SETUINFRA</t>
        </is>
      </c>
      <c r="B3573" t="inlineStr">
        <is>
          <t xml:space="preserve">SETUBANDHAN INFRASTRUCTURE LIM</t>
        </is>
      </c>
      <c r="C3573" t="inlineStr">
        <is>
          <t xml:space="preserve">INE023M01027</t>
        </is>
      </c>
    </row>
    <row r="3574">
      <c r="A3574" t="inlineStr">
        <is>
          <t xml:space="preserve">SEYAIND</t>
        </is>
      </c>
      <c r="B3574" t="inlineStr">
        <is>
          <t xml:space="preserve">SEYA INDUSTRIES LTD.</t>
        </is>
      </c>
      <c r="C3574" t="inlineStr">
        <is>
          <t xml:space="preserve">INE573R01012</t>
        </is>
      </c>
    </row>
    <row r="3575">
      <c r="A3575" t="inlineStr">
        <is>
          <t xml:space="preserve">1025SFL28A</t>
        </is>
      </c>
      <c r="B3575" t="inlineStr">
        <is>
          <t xml:space="preserve">SFL-10.25%-20-3-28-PVT</t>
        </is>
      </c>
      <c r="C3575" t="inlineStr">
        <is>
          <t xml:space="preserve">INE03K307132</t>
        </is>
      </c>
    </row>
    <row r="3576">
      <c r="A3576" t="inlineStr">
        <is>
          <t xml:space="preserve">1050SFL28</t>
        </is>
      </c>
      <c r="B3576" t="inlineStr">
        <is>
          <t xml:space="preserve">SFL-10.50%-27-03-28-PVT</t>
        </is>
      </c>
      <c r="C3576" t="inlineStr">
        <is>
          <t xml:space="preserve">INE03K307140</t>
        </is>
      </c>
    </row>
    <row r="3577">
      <c r="A3577" t="inlineStr">
        <is>
          <t xml:space="preserve">1050SFL26</t>
        </is>
      </c>
      <c r="B3577" t="inlineStr">
        <is>
          <t xml:space="preserve">SFL-10.50%-29-8-26-NCD</t>
        </is>
      </c>
      <c r="C3577" t="inlineStr">
        <is>
          <t xml:space="preserve">INE302E08084</t>
        </is>
      </c>
    </row>
    <row r="3578">
      <c r="A3578" t="inlineStr">
        <is>
          <t xml:space="preserve">1075SF2028</t>
        </is>
      </c>
      <c r="B3578" t="inlineStr">
        <is>
          <t xml:space="preserve">SFL-10.75%-10-6-28-PVT</t>
        </is>
      </c>
      <c r="C3578" t="inlineStr">
        <is>
          <t xml:space="preserve">INE03K307165</t>
        </is>
      </c>
    </row>
    <row r="3579">
      <c r="A3579" t="inlineStr">
        <is>
          <t xml:space="preserve">108SFL26</t>
        </is>
      </c>
      <c r="B3579" t="inlineStr">
        <is>
          <t xml:space="preserve">SFL-10.8%-30-8-26-PVT</t>
        </is>
      </c>
      <c r="C3579" t="inlineStr">
        <is>
          <t xml:space="preserve">INE03K307041</t>
        </is>
      </c>
    </row>
    <row r="3580">
      <c r="A3580" t="inlineStr">
        <is>
          <t xml:space="preserve">1175SFL27</t>
        </is>
      </c>
      <c r="B3580" t="inlineStr">
        <is>
          <t xml:space="preserve">SFL-11.75%-28-10-27-PVT</t>
        </is>
      </c>
      <c r="C3580" t="inlineStr">
        <is>
          <t xml:space="preserve">INE03K307157</t>
        </is>
      </c>
    </row>
    <row r="3581">
      <c r="A3581" t="inlineStr">
        <is>
          <t xml:space="preserve">SFL290825E</t>
        </is>
      </c>
      <c r="B3581" t="inlineStr">
        <is>
          <t xml:space="preserve">SFL-29-8-30-NCD</t>
        </is>
      </c>
      <c r="C3581" t="inlineStr">
        <is>
          <t xml:space="preserve">INE302E07938</t>
        </is>
      </c>
    </row>
    <row r="3582">
      <c r="A3582" t="inlineStr">
        <is>
          <t xml:space="preserve">1250SFPL26</t>
        </is>
      </c>
      <c r="B3582" t="inlineStr">
        <is>
          <t xml:space="preserve">SFPL-12.50%-27-9-26-PVT</t>
        </is>
      </c>
      <c r="C3582" t="inlineStr">
        <is>
          <t xml:space="preserve">INE551U07332</t>
        </is>
      </c>
    </row>
    <row r="3583">
      <c r="A3583" t="inlineStr">
        <is>
          <t xml:space="preserve">SGFIN</t>
        </is>
      </c>
      <c r="B3583" t="inlineStr">
        <is>
          <t xml:space="preserve">SG FINSERVE LIMITED</t>
        </is>
      </c>
      <c r="C3583" t="inlineStr">
        <is>
          <t xml:space="preserve">INE618R01015</t>
        </is>
      </c>
    </row>
    <row r="3584">
      <c r="A3584" t="inlineStr">
        <is>
          <t xml:space="preserve">SGMART</t>
        </is>
      </c>
      <c r="B3584" t="inlineStr">
        <is>
          <t xml:space="preserve">SG MART LIMITED</t>
        </is>
      </c>
      <c r="C3584" t="inlineStr">
        <is>
          <t xml:space="preserve">INE385F01024</t>
        </is>
      </c>
    </row>
    <row r="3585">
      <c r="A3585" t="inlineStr">
        <is>
          <t xml:space="preserve">SGLRES</t>
        </is>
      </c>
      <c r="B3585" t="inlineStr">
        <is>
          <t xml:space="preserve">SGL RESOURCES LIMITED</t>
        </is>
      </c>
      <c r="C3585" t="inlineStr">
        <is>
          <t xml:space="preserve">INE967B01028</t>
        </is>
      </c>
    </row>
    <row r="3586">
      <c r="A3586" t="inlineStr">
        <is>
          <t xml:space="preserve">SGNTE</t>
        </is>
      </c>
      <c r="B3586" t="inlineStr">
        <is>
          <t xml:space="preserve">SGN TELECOMS LTD.</t>
        </is>
      </c>
      <c r="C3586" t="inlineStr">
        <is>
          <t xml:space="preserve">INE266C01023</t>
        </is>
      </c>
    </row>
    <row r="3587">
      <c r="A3587" t="inlineStr">
        <is>
          <t xml:space="preserve">1025SGSL30</t>
        </is>
      </c>
      <c r="B3587" t="inlineStr">
        <is>
          <t xml:space="preserve">SGSL-10.25%-30-10-30-NCD</t>
        </is>
      </c>
      <c r="C3587" t="inlineStr">
        <is>
          <t xml:space="preserve">INE103C07165</t>
        </is>
      </c>
    </row>
    <row r="3588">
      <c r="A3588" t="inlineStr">
        <is>
          <t xml:space="preserve">98SGSL30</t>
        </is>
      </c>
      <c r="B3588" t="inlineStr">
        <is>
          <t xml:space="preserve">SGSL-9.8%-30-10-30-NCD</t>
        </is>
      </c>
      <c r="C3588" t="inlineStr">
        <is>
          <t xml:space="preserve">INE103C07173</t>
        </is>
      </c>
    </row>
    <row r="3589">
      <c r="A3589" t="inlineStr">
        <is>
          <t xml:space="preserve">SHADOWFAX</t>
        </is>
      </c>
      <c r="B3589" t="inlineStr">
        <is>
          <t xml:space="preserve">SHADOWFAX TECHNOLOGIES LIMITED</t>
        </is>
      </c>
      <c r="C3589" t="inlineStr">
        <is>
          <t xml:space="preserve">INE12UN01015</t>
        </is>
      </c>
    </row>
    <row r="3590">
      <c r="A3590" t="inlineStr">
        <is>
          <t xml:space="preserve">SHAHALLOYS</t>
        </is>
      </c>
      <c r="B3590" t="inlineStr">
        <is>
          <t xml:space="preserve">SHAH ALLOYS LTD.</t>
        </is>
      </c>
      <c r="C3590" t="inlineStr">
        <is>
          <t xml:space="preserve">INE640C01011</t>
        </is>
      </c>
    </row>
    <row r="3591">
      <c r="A3591" t="inlineStr">
        <is>
          <t xml:space="preserve">SHAHFOOD</t>
        </is>
      </c>
      <c r="B3591" t="inlineStr">
        <is>
          <t xml:space="preserve">SHAH FOODS LTD.</t>
        </is>
      </c>
      <c r="C3591" t="inlineStr">
        <is>
          <t xml:space="preserve">INE455D01012</t>
        </is>
      </c>
    </row>
    <row r="3592">
      <c r="A3592" t="inlineStr">
        <is>
          <t xml:space="preserve">SHAH</t>
        </is>
      </c>
      <c r="B3592" t="inlineStr">
        <is>
          <t xml:space="preserve">SHAH METACORP LIMITED</t>
        </is>
      </c>
      <c r="C3592" t="inlineStr">
        <is>
          <t xml:space="preserve">INE482J01021</t>
        </is>
      </c>
    </row>
    <row r="3593">
      <c r="A3593" t="inlineStr">
        <is>
          <t xml:space="preserve">SHAHISHIP</t>
        </is>
      </c>
      <c r="B3593" t="inlineStr">
        <is>
          <t xml:space="preserve">Shahi Shipping Limited</t>
        </is>
      </c>
      <c r="C3593" t="inlineStr">
        <is>
          <t xml:space="preserve">INE825D01016</t>
        </is>
      </c>
    </row>
    <row r="3594">
      <c r="A3594" t="inlineStr">
        <is>
          <t xml:space="preserve">SHAHLON</t>
        </is>
      </c>
      <c r="B3594" t="inlineStr">
        <is>
          <t xml:space="preserve">Shahlon Silk Industries Limite</t>
        </is>
      </c>
      <c r="C3594" t="inlineStr">
        <is>
          <t xml:space="preserve">INE052001026</t>
        </is>
      </c>
    </row>
    <row r="3595">
      <c r="A3595" t="inlineStr">
        <is>
          <t xml:space="preserve">SHAILY</t>
        </is>
      </c>
      <c r="B3595" t="inlineStr">
        <is>
          <t xml:space="preserve">SHAILY ENGINEERING PLASTICS LT</t>
        </is>
      </c>
      <c r="C3595" t="inlineStr">
        <is>
          <t xml:space="preserve">INE151G01028</t>
        </is>
      </c>
    </row>
    <row r="3596">
      <c r="A3596" t="inlineStr">
        <is>
          <t xml:space="preserve">SHAKTIPR</t>
        </is>
      </c>
      <c r="B3596" t="inlineStr">
        <is>
          <t xml:space="preserve">SHAKTI PRESS LTD.</t>
        </is>
      </c>
      <c r="C3596" t="inlineStr">
        <is>
          <t xml:space="preserve">INE794C01016</t>
        </is>
      </c>
    </row>
    <row r="3597">
      <c r="A3597" t="inlineStr">
        <is>
          <t xml:space="preserve">SHAKTIPUMP</t>
        </is>
      </c>
      <c r="B3597" t="inlineStr">
        <is>
          <t xml:space="preserve">SHAKTI PUMPS (INDIA) LTD.</t>
        </is>
      </c>
      <c r="C3597" t="inlineStr">
        <is>
          <t xml:space="preserve">INE908D01010</t>
        </is>
      </c>
    </row>
    <row r="3598">
      <c r="A3598" t="inlineStr">
        <is>
          <t xml:space="preserve">SHALBY</t>
        </is>
      </c>
      <c r="B3598" t="inlineStr">
        <is>
          <t xml:space="preserve">Shalby Limited</t>
        </is>
      </c>
      <c r="C3598" t="inlineStr">
        <is>
          <t xml:space="preserve">INE597J01018</t>
        </is>
      </c>
    </row>
    <row r="3599">
      <c r="A3599" t="inlineStr">
        <is>
          <t xml:space="preserve">SAHLIBHFI</t>
        </is>
      </c>
      <c r="B3599" t="inlineStr">
        <is>
          <t xml:space="preserve">SHALIBHADRA FINANCE LTD.</t>
        </is>
      </c>
      <c r="C3599" t="inlineStr">
        <is>
          <t xml:space="preserve">INE861D01011</t>
        </is>
      </c>
    </row>
    <row r="3600">
      <c r="A3600" t="inlineStr">
        <is>
          <t xml:space="preserve">SHALPAINTS</t>
        </is>
      </c>
      <c r="B3600" t="inlineStr">
        <is>
          <t xml:space="preserve">SHALIMAR PAINTS LTD.</t>
        </is>
      </c>
      <c r="C3600" t="inlineStr">
        <is>
          <t xml:space="preserve">INE849C01026</t>
        </is>
      </c>
    </row>
    <row r="3601">
      <c r="A3601" t="inlineStr">
        <is>
          <t xml:space="preserve">SHALPRO</t>
        </is>
      </c>
      <c r="B3601" t="inlineStr">
        <is>
          <t xml:space="preserve">SHALIMAR PRODUCTIONS LTD.</t>
        </is>
      </c>
      <c r="C3601" t="inlineStr">
        <is>
          <t xml:space="preserve">INE435E01020</t>
        </is>
      </c>
    </row>
    <row r="3602">
      <c r="A3602" t="inlineStr">
        <is>
          <t xml:space="preserve">SHALIWIR</t>
        </is>
      </c>
      <c r="B3602" t="inlineStr">
        <is>
          <t xml:space="preserve">SHALIMAR WIRES INDUSTRIES LTD.</t>
        </is>
      </c>
      <c r="C3602" t="inlineStr">
        <is>
          <t xml:space="preserve">INE655D01025</t>
        </is>
      </c>
    </row>
    <row r="3603">
      <c r="A3603" t="inlineStr">
        <is>
          <t xml:space="preserve">SHANGAR</t>
        </is>
      </c>
      <c r="B3603" t="inlineStr">
        <is>
          <t xml:space="preserve">SHANGAR DECOR LIMITED</t>
        </is>
      </c>
      <c r="C3603" t="inlineStr">
        <is>
          <t xml:space="preserve">INE118R01032</t>
        </is>
      </c>
    </row>
    <row r="3604">
      <c r="A3604" t="inlineStr">
        <is>
          <t xml:space="preserve">SRD</t>
        </is>
      </c>
      <c r="B3604" t="inlineStr">
        <is>
          <t xml:space="preserve">Shankar Lal Rampal Dye-Chem Li</t>
        </is>
      </c>
      <c r="C3604" t="inlineStr">
        <is>
          <t xml:space="preserve">INE01NE01012</t>
        </is>
      </c>
    </row>
    <row r="3605">
      <c r="A3605" t="inlineStr">
        <is>
          <t xml:space="preserve">SHANKARA</t>
        </is>
      </c>
      <c r="B3605" t="inlineStr">
        <is>
          <t xml:space="preserve">Shankara Building Products Lim</t>
        </is>
      </c>
      <c r="C3605" t="inlineStr">
        <is>
          <t xml:space="preserve">INE274V01019</t>
        </is>
      </c>
    </row>
    <row r="3606">
      <c r="A3606" t="inlineStr">
        <is>
          <t xml:space="preserve">BUILDPRO</t>
        </is>
      </c>
      <c r="B3606" t="inlineStr">
        <is>
          <t xml:space="preserve">Shankara Buildpro Limited</t>
        </is>
      </c>
      <c r="C3606" t="inlineStr">
        <is>
          <t xml:space="preserve">INE24OJ01011</t>
        </is>
      </c>
    </row>
    <row r="3607">
      <c r="A3607" t="inlineStr">
        <is>
          <t xml:space="preserve">SHANMUGA</t>
        </is>
      </c>
      <c r="B3607" t="inlineStr">
        <is>
          <t xml:space="preserve">SHANMUGA HOSPITAL LIMITED</t>
        </is>
      </c>
      <c r="C3607" t="inlineStr">
        <is>
          <t xml:space="preserve">INE0TD301017</t>
        </is>
      </c>
    </row>
    <row r="3608">
      <c r="A3608" t="inlineStr">
        <is>
          <t xml:space="preserve">SHAQUAK</t>
        </is>
      </c>
      <c r="B3608" t="inlineStr">
        <is>
          <t xml:space="preserve">SHANTANU SHEOREY AQUAKULT LTD.</t>
        </is>
      </c>
      <c r="C3608" t="inlineStr">
        <is>
          <t xml:space="preserve">INE545N01019</t>
        </is>
      </c>
    </row>
    <row r="3609">
      <c r="A3609" t="inlineStr">
        <is>
          <t xml:space="preserve">SHANTIGEAR</t>
        </is>
      </c>
      <c r="B3609" t="inlineStr">
        <is>
          <t xml:space="preserve">SHANTHI GEARS LTD.</t>
        </is>
      </c>
      <c r="C3609" t="inlineStr">
        <is>
          <t xml:space="preserve">INE631A01022</t>
        </is>
      </c>
    </row>
    <row r="3610">
      <c r="A3610" t="inlineStr">
        <is>
          <t xml:space="preserve">SEIL</t>
        </is>
      </c>
      <c r="B3610" t="inlineStr">
        <is>
          <t xml:space="preserve">Shanti Educational Initiatives</t>
        </is>
      </c>
      <c r="C3610" t="inlineStr">
        <is>
          <t xml:space="preserve">INE440T01028</t>
        </is>
      </c>
    </row>
    <row r="3611">
      <c r="A3611" t="inlineStr">
        <is>
          <t xml:space="preserve">SHANTIGOLD</t>
        </is>
      </c>
      <c r="B3611" t="inlineStr">
        <is>
          <t xml:space="preserve">SHANTI GOLD INTERNATIONAL LIMI</t>
        </is>
      </c>
      <c r="C3611" t="inlineStr">
        <is>
          <t xml:space="preserve">INE06ZD01017</t>
        </is>
      </c>
    </row>
    <row r="3612">
      <c r="A3612" t="inlineStr">
        <is>
          <t xml:space="preserve">SHANTIDENM</t>
        </is>
      </c>
      <c r="B3612" t="inlineStr">
        <is>
          <t xml:space="preserve">SHANTI SPINTEX LIMITED</t>
        </is>
      </c>
      <c r="C3612" t="inlineStr">
        <is>
          <t xml:space="preserve">INE0QZQ01019</t>
        </is>
      </c>
    </row>
    <row r="3613">
      <c r="A3613" t="inlineStr">
        <is>
          <t xml:space="preserve">SHINDL</t>
        </is>
      </c>
      <c r="B3613" t="inlineStr">
        <is>
          <t xml:space="preserve">SHARAT INDUSTRIES LTD.</t>
        </is>
      </c>
      <c r="C3613" t="inlineStr">
        <is>
          <t xml:space="preserve">INE220Z01013</t>
        </is>
      </c>
    </row>
    <row r="3614">
      <c r="A3614" t="inlineStr">
        <is>
          <t xml:space="preserve">SHARDACROP</t>
        </is>
      </c>
      <c r="B3614" t="inlineStr">
        <is>
          <t xml:space="preserve">Sharda Cropchem Limited</t>
        </is>
      </c>
      <c r="C3614" t="inlineStr">
        <is>
          <t xml:space="preserve">INE221J01015</t>
        </is>
      </c>
    </row>
    <row r="3615">
      <c r="A3615" t="inlineStr">
        <is>
          <t xml:space="preserve">SHRDAIS</t>
        </is>
      </c>
      <c r="B3615" t="inlineStr">
        <is>
          <t xml:space="preserve">SHARDA ISPAT LTD.</t>
        </is>
      </c>
      <c r="C3615" t="inlineStr">
        <is>
          <t xml:space="preserve">INE385M01012</t>
        </is>
      </c>
    </row>
    <row r="3616">
      <c r="A3616" t="inlineStr">
        <is>
          <t xml:space="preserve">SHARDAMOTR</t>
        </is>
      </c>
      <c r="B3616" t="inlineStr">
        <is>
          <t xml:space="preserve">SHARDA MOTOR INDUSTRIES LTD</t>
        </is>
      </c>
      <c r="C3616" t="inlineStr">
        <is>
          <t xml:space="preserve">INE597I01028</t>
        </is>
      </c>
    </row>
    <row r="3617">
      <c r="A3617" t="inlineStr">
        <is>
          <t xml:space="preserve">SHARDUL</t>
        </is>
      </c>
      <c r="B3617" t="inlineStr">
        <is>
          <t xml:space="preserve">SHARDUL SECURITIES LTD.</t>
        </is>
      </c>
      <c r="C3617" t="inlineStr">
        <is>
          <t xml:space="preserve">INE037B01020</t>
        </is>
      </c>
    </row>
    <row r="3618">
      <c r="A3618" t="inlineStr">
        <is>
          <t xml:space="preserve">SHAREINDIA</t>
        </is>
      </c>
      <c r="B3618" t="inlineStr">
        <is>
          <t xml:space="preserve">Share India Securities Limited</t>
        </is>
      </c>
      <c r="C3618" t="inlineStr">
        <is>
          <t xml:space="preserve">INE932X01026</t>
        </is>
      </c>
    </row>
    <row r="3619">
      <c r="A3619" t="inlineStr">
        <is>
          <t xml:space="preserve">SHARIKA</t>
        </is>
      </c>
      <c r="B3619" t="inlineStr">
        <is>
          <t xml:space="preserve">SHARIKA ENTERPRISES LIMITED</t>
        </is>
      </c>
      <c r="C3619" t="inlineStr">
        <is>
          <t xml:space="preserve">INE669Y01022</t>
        </is>
      </c>
    </row>
    <row r="3620">
      <c r="A3620" t="inlineStr">
        <is>
          <t xml:space="preserve">SHARMEH</t>
        </is>
      </c>
      <c r="B3620" t="inlineStr">
        <is>
          <t xml:space="preserve">SHARMA EAST INDIA HOSPITALS &amp;</t>
        </is>
      </c>
      <c r="C3620" t="inlineStr">
        <is>
          <t xml:space="preserve">INE465H01012</t>
        </is>
      </c>
    </row>
    <row r="3621">
      <c r="A3621" t="inlineStr">
        <is>
          <t xml:space="preserve">SHARPINV</t>
        </is>
      </c>
      <c r="B3621" t="inlineStr">
        <is>
          <t xml:space="preserve">SHARP INVESTMENTS LTD</t>
        </is>
      </c>
      <c r="C3621" t="inlineStr">
        <is>
          <t xml:space="preserve">INE909D01026</t>
        </is>
      </c>
    </row>
    <row r="3622">
      <c r="A3622" t="inlineStr">
        <is>
          <t xml:space="preserve">SHARPLINE</t>
        </is>
      </c>
      <c r="B3622" t="inlineStr">
        <is>
          <t xml:space="preserve">SHARPLINE BROADCAST LIMITED</t>
        </is>
      </c>
      <c r="C3622" t="inlineStr">
        <is>
          <t xml:space="preserve">INE647W01014</t>
        </is>
      </c>
    </row>
    <row r="3623">
      <c r="A3623" t="inlineStr">
        <is>
          <t xml:space="preserve">SHARVAYA</t>
        </is>
      </c>
      <c r="B3623" t="inlineStr">
        <is>
          <t xml:space="preserve">SHARVAYA METALS LIMITED</t>
        </is>
      </c>
      <c r="C3623" t="inlineStr">
        <is>
          <t xml:space="preserve">INE0UJF01018</t>
        </is>
      </c>
    </row>
    <row r="3624">
      <c r="A3624" t="inlineStr">
        <is>
          <t xml:space="preserve">SHASHIJIT</t>
        </is>
      </c>
      <c r="B3624" t="inlineStr">
        <is>
          <t xml:space="preserve">Shashijit Infraprojects Limite</t>
        </is>
      </c>
      <c r="C3624" t="inlineStr">
        <is>
          <t xml:space="preserve">INE700V01021</t>
        </is>
      </c>
    </row>
    <row r="3625">
      <c r="A3625" t="inlineStr">
        <is>
          <t xml:space="preserve">SHAYONAENG</t>
        </is>
      </c>
      <c r="B3625" t="inlineStr">
        <is>
          <t xml:space="preserve">SHAYONA ENGINEERING LIMITED</t>
        </is>
      </c>
      <c r="C3625" t="inlineStr">
        <is>
          <t xml:space="preserve">INE0UCL01011</t>
        </is>
      </c>
    </row>
    <row r="3626">
      <c r="A3626" t="inlineStr">
        <is>
          <t xml:space="preserve">SFL</t>
        </is>
      </c>
      <c r="B3626" t="inlineStr">
        <is>
          <t xml:space="preserve">Sheela Foam Limited</t>
        </is>
      </c>
      <c r="C3626" t="inlineStr">
        <is>
          <t xml:space="preserve">INE916U01025</t>
        </is>
      </c>
    </row>
    <row r="3627">
      <c r="A3627" t="inlineStr">
        <is>
          <t xml:space="preserve">SCPL</t>
        </is>
      </c>
      <c r="B3627" t="inlineStr">
        <is>
          <t xml:space="preserve">SHEETAL COOL PRODUCTS LIMITED</t>
        </is>
      </c>
      <c r="C3627" t="inlineStr">
        <is>
          <t xml:space="preserve">INE501Y01019</t>
        </is>
      </c>
    </row>
    <row r="3628">
      <c r="A3628" t="inlineStr">
        <is>
          <t xml:space="preserve">SHEKHAWATI</t>
        </is>
      </c>
      <c r="B3628" t="inlineStr">
        <is>
          <t xml:space="preserve">SHEKHAWATI INDUSTRIES LIMITED</t>
        </is>
      </c>
      <c r="C3628" t="inlineStr">
        <is>
          <t xml:space="preserve">INE268L01046</t>
        </is>
      </c>
    </row>
    <row r="3629">
      <c r="A3629" t="inlineStr">
        <is>
          <t xml:space="preserve">SIPL</t>
        </is>
      </c>
      <c r="B3629" t="inlineStr">
        <is>
          <t xml:space="preserve">SHELTER INFRA PROJECTS LTD.</t>
        </is>
      </c>
      <c r="C3629" t="inlineStr">
        <is>
          <t xml:space="preserve">INE413C01013</t>
        </is>
      </c>
    </row>
    <row r="3630">
      <c r="A3630" t="inlineStr">
        <is>
          <t xml:space="preserve">SHELTER</t>
        </is>
      </c>
      <c r="B3630" t="inlineStr">
        <is>
          <t xml:space="preserve">SHELTER PHARMA LIMITED</t>
        </is>
      </c>
      <c r="C3630" t="inlineStr">
        <is>
          <t xml:space="preserve">INE013V01011</t>
        </is>
      </c>
    </row>
    <row r="3631">
      <c r="A3631" t="inlineStr">
        <is>
          <t xml:space="preserve">SHEMAROO</t>
        </is>
      </c>
      <c r="B3631" t="inlineStr">
        <is>
          <t xml:space="preserve">SHEMAROO ENTERTAINMENT LIMITED</t>
        </is>
      </c>
      <c r="C3631" t="inlineStr">
        <is>
          <t xml:space="preserve">INE363M01019</t>
        </is>
      </c>
    </row>
    <row r="3632">
      <c r="A3632" t="inlineStr">
        <is>
          <t xml:space="preserve">SHERVANI</t>
        </is>
      </c>
      <c r="B3632" t="inlineStr">
        <is>
          <t xml:space="preserve">SHERVANI INDUSTRIAL SYNDICATE</t>
        </is>
      </c>
      <c r="C3632" t="inlineStr">
        <is>
          <t xml:space="preserve">INE011D01013</t>
        </is>
      </c>
    </row>
    <row r="3633">
      <c r="A3633" t="inlineStr">
        <is>
          <t xml:space="preserve">SHETR</t>
        </is>
      </c>
      <c r="B3633" t="inlineStr">
        <is>
          <t xml:space="preserve">SHETRON LTD.</t>
        </is>
      </c>
      <c r="C3633" t="inlineStr">
        <is>
          <t xml:space="preserve">INE278C01010</t>
        </is>
      </c>
    </row>
    <row r="3634">
      <c r="A3634" t="inlineStr">
        <is>
          <t xml:space="preserve">SHIKHAR</t>
        </is>
      </c>
      <c r="B3634" t="inlineStr">
        <is>
          <t xml:space="preserve">SHIKHAR CONSULTANTS LTD.</t>
        </is>
      </c>
      <c r="C3634" t="inlineStr">
        <is>
          <t xml:space="preserve">INE641B01011</t>
        </is>
      </c>
    </row>
    <row r="3635">
      <c r="A3635" t="inlineStr">
        <is>
          <t xml:space="preserve">SHILCTECH</t>
        </is>
      </c>
      <c r="B3635" t="inlineStr">
        <is>
          <t xml:space="preserve">SHILCHAR TECHNOLOGIES LTD.</t>
        </is>
      </c>
      <c r="C3635" t="inlineStr">
        <is>
          <t xml:space="preserve">INE024F01011</t>
        </is>
      </c>
    </row>
    <row r="3636">
      <c r="A3636" t="inlineStr">
        <is>
          <t xml:space="preserve">SHILGRAVQ</t>
        </is>
      </c>
      <c r="B3636" t="inlineStr">
        <is>
          <t xml:space="preserve">SHILP GRAVURES LTD.</t>
        </is>
      </c>
      <c r="C3636" t="inlineStr">
        <is>
          <t xml:space="preserve">INE960A01017</t>
        </is>
      </c>
    </row>
    <row r="3637">
      <c r="A3637" t="inlineStr">
        <is>
          <t xml:space="preserve">SHILPAMED</t>
        </is>
      </c>
      <c r="B3637" t="inlineStr">
        <is>
          <t xml:space="preserve">SHILPA MEDICARE LTD.</t>
        </is>
      </c>
      <c r="C3637" t="inlineStr">
        <is>
          <t xml:space="preserve">INE790G01031</t>
        </is>
      </c>
    </row>
    <row r="3638">
      <c r="A3638" t="inlineStr">
        <is>
          <t xml:space="preserve">SHINEFASH</t>
        </is>
      </c>
      <c r="B3638" t="inlineStr">
        <is>
          <t xml:space="preserve">Shine Fashions (India) Limited</t>
        </is>
      </c>
      <c r="C3638" t="inlineStr">
        <is>
          <t xml:space="preserve">INE0BLY01023</t>
        </is>
      </c>
    </row>
    <row r="3639">
      <c r="A3639" t="inlineStr">
        <is>
          <t xml:space="preserve">SHTL</t>
        </is>
      </c>
      <c r="B3639" t="inlineStr">
        <is>
          <t xml:space="preserve">SHINING TOOLS LIMITED</t>
        </is>
      </c>
      <c r="C3639" t="inlineStr">
        <is>
          <t xml:space="preserve">INE0D8001018</t>
        </is>
      </c>
    </row>
    <row r="3640">
      <c r="A3640" t="inlineStr">
        <is>
          <t xml:space="preserve">SCI</t>
        </is>
      </c>
      <c r="B3640" t="inlineStr">
        <is>
          <t xml:space="preserve">SHIPPING CORPORATION OF INDIA</t>
        </is>
      </c>
      <c r="C3640" t="inlineStr">
        <is>
          <t xml:space="preserve">INE109A01011</t>
        </is>
      </c>
    </row>
    <row r="3641">
      <c r="A3641" t="inlineStr">
        <is>
          <t xml:space="preserve">SCILAL</t>
        </is>
      </c>
      <c r="B3641" t="inlineStr">
        <is>
          <t xml:space="preserve">Shipping Corporation of India</t>
        </is>
      </c>
      <c r="C3641" t="inlineStr">
        <is>
          <t xml:space="preserve">INE0PB301013</t>
        </is>
      </c>
    </row>
    <row r="3642">
      <c r="A3642" t="inlineStr">
        <is>
          <t xml:space="preserve">SHIPWAVES</t>
        </is>
      </c>
      <c r="B3642" t="inlineStr">
        <is>
          <t xml:space="preserve">Shipwaves Online Limited</t>
        </is>
      </c>
      <c r="C3642" t="inlineStr">
        <is>
          <t xml:space="preserve">INE0O9L01010</t>
        </is>
      </c>
    </row>
    <row r="3643">
      <c r="A3643" t="inlineStr">
        <is>
          <t xml:space="preserve">SHISHIND</t>
        </is>
      </c>
      <c r="B3643" t="inlineStr">
        <is>
          <t xml:space="preserve">Shish Industries Limited</t>
        </is>
      </c>
      <c r="C3643" t="inlineStr">
        <is>
          <t xml:space="preserve">INE145Y01023</t>
        </is>
      </c>
    </row>
    <row r="3644">
      <c r="A3644" t="inlineStr">
        <is>
          <t xml:space="preserve">SHIVTEXCHEM</t>
        </is>
      </c>
      <c r="B3644" t="inlineStr">
        <is>
          <t xml:space="preserve">SHIV TEXCHEM LIMITED</t>
        </is>
      </c>
      <c r="C3644" t="inlineStr">
        <is>
          <t xml:space="preserve">INE0YRO01015</t>
        </is>
      </c>
    </row>
    <row r="3645">
      <c r="A3645" t="inlineStr">
        <is>
          <t xml:space="preserve">SHIVACEM</t>
        </is>
      </c>
      <c r="B3645" t="inlineStr">
        <is>
          <t xml:space="preserve">SHIVA CEMENT LTD.</t>
        </is>
      </c>
      <c r="C3645" t="inlineStr">
        <is>
          <t xml:space="preserve">INE555C01029</t>
        </is>
      </c>
    </row>
    <row r="3646">
      <c r="A3646" t="inlineStr">
        <is>
          <t xml:space="preserve">SHIVAAGRO</t>
        </is>
      </c>
      <c r="B3646" t="inlineStr">
        <is>
          <t xml:space="preserve">SHIVA GLOBAL AGRO INDUSTRIES L</t>
        </is>
      </c>
      <c r="C3646" t="inlineStr">
        <is>
          <t xml:space="preserve">INE960E01019</t>
        </is>
      </c>
    </row>
    <row r="3647">
      <c r="A3647" t="inlineStr">
        <is>
          <t xml:space="preserve">SHIVAGR</t>
        </is>
      </c>
      <c r="B3647" t="inlineStr">
        <is>
          <t xml:space="preserve">SHIVAGRICO IMPLEMENTS LTD.</t>
        </is>
      </c>
      <c r="C3647" t="inlineStr">
        <is>
          <t xml:space="preserve">INE092H01014</t>
        </is>
      </c>
    </row>
    <row r="3648">
      <c r="A3648" t="inlineStr">
        <is>
          <t xml:space="preserve">SBCL</t>
        </is>
      </c>
      <c r="B3648" t="inlineStr">
        <is>
          <t xml:space="preserve">SHIVALIK BIMETAL CONTROLS LTD.</t>
        </is>
      </c>
      <c r="C3648" t="inlineStr">
        <is>
          <t xml:space="preserve">INE386D01027</t>
        </is>
      </c>
    </row>
    <row r="3649">
      <c r="A3649" t="inlineStr">
        <is>
          <t xml:space="preserve">SHIVALIK</t>
        </is>
      </c>
      <c r="B3649" t="inlineStr">
        <is>
          <t xml:space="preserve">Shivalik Rasayan Ltd.</t>
        </is>
      </c>
      <c r="C3649" t="inlineStr">
        <is>
          <t xml:space="preserve">INE788J01021</t>
        </is>
      </c>
    </row>
    <row r="3650">
      <c r="A3650" t="inlineStr">
        <is>
          <t xml:space="preserve">SHIVA</t>
        </is>
      </c>
      <c r="B3650" t="inlineStr">
        <is>
          <t xml:space="preserve">Shivansh Finserv Limited</t>
        </is>
      </c>
      <c r="C3650" t="inlineStr">
        <is>
          <t xml:space="preserve">INE728Q01014</t>
        </is>
      </c>
    </row>
    <row r="3651">
      <c r="A3651" t="inlineStr">
        <is>
          <t xml:space="preserve">SHLOKKA</t>
        </is>
      </c>
      <c r="B3651" t="inlineStr">
        <is>
          <t xml:space="preserve">SHLOKKA DYES LIMITED</t>
        </is>
      </c>
      <c r="C3651" t="inlineStr">
        <is>
          <t xml:space="preserve">INE1EUB01016</t>
        </is>
      </c>
    </row>
    <row r="3652">
      <c r="A3652" t="inlineStr">
        <is>
          <t xml:space="preserve">SHOORA</t>
        </is>
      </c>
      <c r="B3652" t="inlineStr">
        <is>
          <t xml:space="preserve">Shoora Designs Limited</t>
        </is>
      </c>
      <c r="C3652" t="inlineStr">
        <is>
          <t xml:space="preserve">INE0OJZ01019</t>
        </is>
      </c>
    </row>
    <row r="3653">
      <c r="A3653" t="inlineStr">
        <is>
          <t xml:space="preserve">SHOPERSTOP</t>
        </is>
      </c>
      <c r="B3653" t="inlineStr">
        <is>
          <t xml:space="preserve">SHOPPERS STOP LTD.</t>
        </is>
      </c>
      <c r="C3653" t="inlineStr">
        <is>
          <t xml:space="preserve">INE498B01024</t>
        </is>
      </c>
    </row>
    <row r="3654">
      <c r="A3654" t="inlineStr">
        <is>
          <t xml:space="preserve">SHRADDHA</t>
        </is>
      </c>
      <c r="B3654" t="inlineStr">
        <is>
          <t xml:space="preserve">SHRADDHA PRIME PROJECTS LTD</t>
        </is>
      </c>
      <c r="C3654" t="inlineStr">
        <is>
          <t xml:space="preserve">INE311M01018</t>
        </is>
      </c>
    </row>
    <row r="3655">
      <c r="A3655" t="inlineStr">
        <is>
          <t xml:space="preserve">SHRAAITECH</t>
        </is>
      </c>
      <c r="B3655" t="inlineStr">
        <is>
          <t xml:space="preserve">Shradha AI Technologies Limite</t>
        </is>
      </c>
      <c r="C3655" t="inlineStr">
        <is>
          <t xml:space="preserve">INE489B01031</t>
        </is>
      </c>
    </row>
    <row r="3656">
      <c r="A3656" t="inlineStr">
        <is>
          <t xml:space="preserve">SAPPL</t>
        </is>
      </c>
      <c r="B3656" t="inlineStr">
        <is>
          <t xml:space="preserve">Shree Ajit Pulp And Paper Ltd.</t>
        </is>
      </c>
      <c r="C3656" t="inlineStr">
        <is>
          <t xml:space="preserve">INE185C01017</t>
        </is>
      </c>
    </row>
    <row r="3657">
      <c r="A3657" t="inlineStr">
        <is>
          <t xml:space="preserve">SBFL</t>
        </is>
      </c>
      <c r="B3657" t="inlineStr">
        <is>
          <t xml:space="preserve">Shree Bhavya Fabrics Limited</t>
        </is>
      </c>
      <c r="C3657" t="inlineStr">
        <is>
          <t xml:space="preserve">INE363D01018</t>
        </is>
      </c>
    </row>
    <row r="3658">
      <c r="A3658" t="inlineStr">
        <is>
          <t xml:space="preserve">SHREECEM</t>
        </is>
      </c>
      <c r="B3658" t="inlineStr">
        <is>
          <t xml:space="preserve">SHREE CEMENT LTD.</t>
        </is>
      </c>
      <c r="C3658" t="inlineStr">
        <is>
          <t xml:space="preserve">INE070A01015</t>
        </is>
      </c>
    </row>
    <row r="3659">
      <c r="A3659" t="inlineStr">
        <is>
          <t xml:space="preserve">SHREDIGCEM</t>
        </is>
      </c>
      <c r="B3659" t="inlineStr">
        <is>
          <t xml:space="preserve">SHREE DIGVIJAY CEMENT CO.LTD.</t>
        </is>
      </c>
      <c r="C3659" t="inlineStr">
        <is>
          <t xml:space="preserve">INE232A01011</t>
        </is>
      </c>
    </row>
    <row r="3660">
      <c r="A3660" t="inlineStr">
        <is>
          <t xml:space="preserve">SHREEGANES</t>
        </is>
      </c>
      <c r="B3660" t="inlineStr">
        <is>
          <t xml:space="preserve">Shree Ganesh Biotech (India) L</t>
        </is>
      </c>
      <c r="C3660" t="inlineStr">
        <is>
          <t xml:space="preserve">INE051N01026</t>
        </is>
      </c>
    </row>
    <row r="3661">
      <c r="A3661" t="inlineStr">
        <is>
          <t xml:space="preserve">SGRL</t>
        </is>
      </c>
      <c r="B3661" t="inlineStr">
        <is>
          <t xml:space="preserve">Shree Ganesh Remedies Limited</t>
        </is>
      </c>
      <c r="C3661" t="inlineStr">
        <is>
          <t xml:space="preserve">INE414Y01015</t>
        </is>
      </c>
    </row>
    <row r="3662">
      <c r="A3662" t="inlineStr">
        <is>
          <t xml:space="preserve">HANSUGAR</t>
        </is>
      </c>
      <c r="B3662" t="inlineStr">
        <is>
          <t xml:space="preserve">SHREE HANUMAN SUGAR &amp; INDUSTRI</t>
        </is>
      </c>
      <c r="C3662" t="inlineStr">
        <is>
          <t xml:space="preserve">INE101H01013</t>
        </is>
      </c>
    </row>
    <row r="3663">
      <c r="A3663" t="inlineStr">
        <is>
          <t xml:space="preserve">SHHARICH</t>
        </is>
      </c>
      <c r="B3663" t="inlineStr">
        <is>
          <t xml:space="preserve">SHREE HARI CHEMICALS EXPORT LT</t>
        </is>
      </c>
      <c r="C3663" t="inlineStr">
        <is>
          <t xml:space="preserve">INE065E01017</t>
        </is>
      </c>
    </row>
    <row r="3664">
      <c r="A3664" t="inlineStr">
        <is>
          <t xml:space="preserve">SHKARTP</t>
        </is>
      </c>
      <c r="B3664" t="inlineStr">
        <is>
          <t xml:space="preserve">SHREE KARTHIK PAPERS LTD.</t>
        </is>
      </c>
      <c r="C3664" t="inlineStr">
        <is>
          <t xml:space="preserve">INE538D01015</t>
        </is>
      </c>
    </row>
    <row r="3665">
      <c r="A3665" t="inlineStr">
        <is>
          <t xml:space="preserve">SKIFL</t>
        </is>
      </c>
      <c r="B3665" t="inlineStr">
        <is>
          <t xml:space="preserve">Shree Krishna Infrastructure L</t>
        </is>
      </c>
      <c r="C3665" t="inlineStr">
        <is>
          <t xml:space="preserve">INE951Z01013</t>
        </is>
      </c>
    </row>
    <row r="3666">
      <c r="A3666" t="inlineStr">
        <is>
          <t xml:space="preserve">SKPMIL</t>
        </is>
      </c>
      <c r="B3666" t="inlineStr">
        <is>
          <t xml:space="preserve">SHREE KRISHNA PAPER MILLS &amp; IN</t>
        </is>
      </c>
      <c r="C3666" t="inlineStr">
        <is>
          <t xml:space="preserve">INE970C01012</t>
        </is>
      </c>
    </row>
    <row r="3667">
      <c r="A3667" t="inlineStr">
        <is>
          <t xml:space="preserve">SHRMFGC</t>
        </is>
      </c>
      <c r="B3667" t="inlineStr">
        <is>
          <t xml:space="preserve">SHREE MANUFACTURING CO.LTD.</t>
        </is>
      </c>
      <c r="C3667" t="inlineStr">
        <is>
          <t xml:space="preserve">INE632A01012</t>
        </is>
      </c>
    </row>
    <row r="3668">
      <c r="A3668" t="inlineStr">
        <is>
          <t xml:space="preserve">SHREMETAL</t>
        </is>
      </c>
      <c r="B3668" t="inlineStr">
        <is>
          <t xml:space="preserve">SHREE METALLOYS LTD.</t>
        </is>
      </c>
      <c r="C3668" t="inlineStr">
        <is>
          <t xml:space="preserve">INE914B01012</t>
        </is>
      </c>
    </row>
    <row r="3669">
      <c r="A3669" t="inlineStr">
        <is>
          <t xml:space="preserve">SHREEPAC</t>
        </is>
      </c>
      <c r="B3669" t="inlineStr">
        <is>
          <t xml:space="preserve">SHREE PACETRONIX LTD.</t>
        </is>
      </c>
      <c r="C3669" t="inlineStr">
        <is>
          <t xml:space="preserve">INE847D01010</t>
        </is>
      </c>
    </row>
    <row r="3670">
      <c r="A3670" t="inlineStr">
        <is>
          <t xml:space="preserve">SHREEPUSHK</t>
        </is>
      </c>
      <c r="B3670" t="inlineStr">
        <is>
          <t xml:space="preserve">Shree Pushkar Chemicals &amp; Fert</t>
        </is>
      </c>
      <c r="C3670" t="inlineStr">
        <is>
          <t xml:space="preserve">INE712K01011</t>
        </is>
      </c>
    </row>
    <row r="3671">
      <c r="A3671" t="inlineStr">
        <is>
          <t xml:space="preserve">SHRAJSYNQ</t>
        </is>
      </c>
      <c r="B3671" t="inlineStr">
        <is>
          <t xml:space="preserve">SHREE RAJASTHAN SYNTEX LTD.</t>
        </is>
      </c>
      <c r="C3671" t="inlineStr">
        <is>
          <t xml:space="preserve">INE796C01011</t>
        </is>
      </c>
    </row>
    <row r="3672">
      <c r="A3672" t="inlineStr">
        <is>
          <t xml:space="preserve">SRTL</t>
        </is>
      </c>
      <c r="B3672" t="inlineStr">
        <is>
          <t xml:space="preserve">SHREE RAM TWISTEX LIMITED</t>
        </is>
      </c>
      <c r="C3672" t="inlineStr">
        <is>
          <t xml:space="preserve">INE19GK01015</t>
        </is>
      </c>
    </row>
    <row r="3673">
      <c r="A3673" t="inlineStr">
        <is>
          <t xml:space="preserve">SHREERAMA</t>
        </is>
      </c>
      <c r="B3673" t="inlineStr">
        <is>
          <t xml:space="preserve">SHREE RAMA MULTI-TECH LTD.</t>
        </is>
      </c>
      <c r="C3673" t="inlineStr">
        <is>
          <t xml:space="preserve">INE879A01019</t>
        </is>
      </c>
    </row>
    <row r="3674">
      <c r="A3674" t="inlineStr">
        <is>
          <t xml:space="preserve">RAMANEWS</t>
        </is>
      </c>
      <c r="B3674" t="inlineStr">
        <is>
          <t xml:space="preserve">SHREE RAMA NEWSPRINT LTD.</t>
        </is>
      </c>
      <c r="C3674" t="inlineStr">
        <is>
          <t xml:space="preserve">INE278B01020</t>
        </is>
      </c>
    </row>
    <row r="3675">
      <c r="A3675" t="inlineStr">
        <is>
          <t xml:space="preserve">SHREEREF</t>
        </is>
      </c>
      <c r="B3675" t="inlineStr">
        <is>
          <t xml:space="preserve">SHREE REFRIGERATIONS LIMITED</t>
        </is>
      </c>
      <c r="C3675" t="inlineStr">
        <is>
          <t xml:space="preserve">INE0FMZ01045</t>
        </is>
      </c>
    </row>
    <row r="3676">
      <c r="A3676" t="inlineStr">
        <is>
          <t xml:space="preserve">RENUKA</t>
        </is>
      </c>
      <c r="B3676" t="inlineStr">
        <is>
          <t xml:space="preserve">SHREE RENUKA SUGARS LTD.</t>
        </is>
      </c>
      <c r="C3676" t="inlineStr">
        <is>
          <t xml:space="preserve">INE087H01022</t>
        </is>
      </c>
    </row>
    <row r="3677">
      <c r="A3677" t="inlineStr">
        <is>
          <t xml:space="preserve">SALSAIN</t>
        </is>
      </c>
      <c r="B3677" t="inlineStr">
        <is>
          <t xml:space="preserve">SHREE SALASAR INVESTMENT LTD.</t>
        </is>
      </c>
      <c r="C3677" t="inlineStr">
        <is>
          <t xml:space="preserve">INE315N01017</t>
        </is>
      </c>
    </row>
    <row r="3678">
      <c r="A3678" t="inlineStr">
        <is>
          <t xml:space="preserve">SHREESEC</t>
        </is>
      </c>
      <c r="B3678" t="inlineStr">
        <is>
          <t xml:space="preserve">Shree Securities Ltd.</t>
        </is>
      </c>
      <c r="C3678" t="inlineStr">
        <is>
          <t xml:space="preserve">INE397C01026</t>
        </is>
      </c>
    </row>
    <row r="3679">
      <c r="A3679" t="inlineStr">
        <is>
          <t xml:space="preserve">SSWRL</t>
        </is>
      </c>
      <c r="B3679" t="inlineStr">
        <is>
          <t xml:space="preserve">SHREE STEEL WIRE ROPES LTD.</t>
        </is>
      </c>
      <c r="C3679" t="inlineStr">
        <is>
          <t xml:space="preserve">INE387D01025</t>
        </is>
      </c>
    </row>
    <row r="3680">
      <c r="A3680" t="inlineStr">
        <is>
          <t xml:space="preserve">BALAJEE</t>
        </is>
      </c>
      <c r="B3680" t="inlineStr">
        <is>
          <t xml:space="preserve">SHREE TIRUPATI BALAJEE AGRO TR</t>
        </is>
      </c>
      <c r="C3680" t="inlineStr">
        <is>
          <t xml:space="preserve">INE0S2G01011</t>
        </is>
      </c>
    </row>
    <row r="3681">
      <c r="A3681" t="inlineStr">
        <is>
          <t xml:space="preserve">SHREEJISPG</t>
        </is>
      </c>
      <c r="B3681" t="inlineStr">
        <is>
          <t xml:space="preserve">Shreeji Shipping Global Limite</t>
        </is>
      </c>
      <c r="C3681" t="inlineStr">
        <is>
          <t xml:space="preserve">INE1B6101010</t>
        </is>
      </c>
    </row>
    <row r="3682">
      <c r="A3682" t="inlineStr">
        <is>
          <t xml:space="preserve">STL</t>
        </is>
      </c>
      <c r="B3682" t="inlineStr">
        <is>
          <t xml:space="preserve">Shreeji Translogistics Limited</t>
        </is>
      </c>
      <c r="C3682" t="inlineStr">
        <is>
          <t xml:space="preserve">INE402Y01028</t>
        </is>
      </c>
    </row>
    <row r="3683">
      <c r="A3683" t="inlineStr">
        <is>
          <t xml:space="preserve">SHREENATH</t>
        </is>
      </c>
      <c r="B3683" t="inlineStr">
        <is>
          <t xml:space="preserve">SHREENATH PAPER PRODUCTS LIMIT</t>
        </is>
      </c>
      <c r="C3683" t="inlineStr">
        <is>
          <t xml:space="preserve">INE0RXS01018</t>
        </is>
      </c>
    </row>
    <row r="3684">
      <c r="A3684" t="inlineStr">
        <is>
          <t xml:space="preserve">SHREYANIND</t>
        </is>
      </c>
      <c r="B3684" t="inlineStr">
        <is>
          <t xml:space="preserve">SHREYANS INDUSTRIES LTD.</t>
        </is>
      </c>
      <c r="C3684" t="inlineStr">
        <is>
          <t xml:space="preserve">INE231C01019</t>
        </is>
      </c>
    </row>
    <row r="3685">
      <c r="A3685" t="inlineStr">
        <is>
          <t xml:space="preserve">SHREYASI</t>
        </is>
      </c>
      <c r="B3685" t="inlineStr">
        <is>
          <t xml:space="preserve">SHREYAS INTERMEDIATES LTD.</t>
        </is>
      </c>
      <c r="C3685" t="inlineStr">
        <is>
          <t xml:space="preserve">INE115F01017</t>
        </is>
      </c>
    </row>
    <row r="3686">
      <c r="A3686" t="inlineStr">
        <is>
          <t xml:space="preserve">SHBAJRG</t>
        </is>
      </c>
      <c r="B3686" t="inlineStr">
        <is>
          <t xml:space="preserve">SHRI BAJRANG ALLIANCE LIMITED</t>
        </is>
      </c>
      <c r="C3686" t="inlineStr">
        <is>
          <t xml:space="preserve">INE402H01015</t>
        </is>
      </c>
    </row>
    <row r="3687">
      <c r="A3687" t="inlineStr">
        <is>
          <t xml:space="preserve">SBVCL</t>
        </is>
      </c>
      <c r="B3687" t="inlineStr">
        <is>
          <t xml:space="preserve">Shri Balaji Valve Components L</t>
        </is>
      </c>
      <c r="C3687" t="inlineStr">
        <is>
          <t xml:space="preserve">INE0RNZ01014</t>
        </is>
      </c>
    </row>
    <row r="3688">
      <c r="A3688" t="inlineStr">
        <is>
          <t xml:space="preserve">SHRIDINE</t>
        </is>
      </c>
      <c r="B3688" t="inlineStr">
        <is>
          <t xml:space="preserve">SHRI DINESH MILLS LTD.</t>
        </is>
      </c>
      <c r="C3688" t="inlineStr">
        <is>
          <t xml:space="preserve">INE204C01024</t>
        </is>
      </c>
    </row>
    <row r="3689">
      <c r="A3689" t="inlineStr">
        <is>
          <t xml:space="preserve">SHRIGANG</t>
        </is>
      </c>
      <c r="B3689" t="inlineStr">
        <is>
          <t xml:space="preserve">SHRI GANG INDUSTRIES AND ALLIE</t>
        </is>
      </c>
      <c r="C3689" t="inlineStr">
        <is>
          <t xml:space="preserve">INE241V01018</t>
        </is>
      </c>
    </row>
    <row r="3690">
      <c r="A3690" t="inlineStr">
        <is>
          <t xml:space="preserve">SHRJAGP</t>
        </is>
      </c>
      <c r="B3690" t="inlineStr">
        <is>
          <t xml:space="preserve">SHRI JAGDAMBA POLYMERS LTD.</t>
        </is>
      </c>
      <c r="C3690" t="inlineStr">
        <is>
          <t xml:space="preserve">INE564J01026</t>
        </is>
      </c>
    </row>
    <row r="3691">
      <c r="A3691" t="inlineStr">
        <is>
          <t xml:space="preserve">SKCIL</t>
        </is>
      </c>
      <c r="B3691" t="inlineStr">
        <is>
          <t xml:space="preserve">Shri Keshav Cements and Infra</t>
        </is>
      </c>
      <c r="C3691" t="inlineStr">
        <is>
          <t xml:space="preserve">INE260E01014</t>
        </is>
      </c>
    </row>
    <row r="3692">
      <c r="A3692" t="inlineStr">
        <is>
          <t xml:space="preserve">SHRIKRISH</t>
        </is>
      </c>
      <c r="B3692" t="inlineStr">
        <is>
          <t xml:space="preserve">SHRI KRISHNA DEVCON LTD.</t>
        </is>
      </c>
      <c r="C3692" t="inlineStr">
        <is>
          <t xml:space="preserve">INE997I01012</t>
        </is>
      </c>
    </row>
    <row r="3693">
      <c r="A3693" t="inlineStr">
        <is>
          <t xml:space="preserve">SHRINIWAS</t>
        </is>
      </c>
      <c r="B3693" t="inlineStr">
        <is>
          <t xml:space="preserve">Shri Niwas Leasing and Finance</t>
        </is>
      </c>
      <c r="C3693" t="inlineStr">
        <is>
          <t xml:space="preserve">INE201F01015</t>
        </is>
      </c>
    </row>
    <row r="3694">
      <c r="A3694" t="inlineStr">
        <is>
          <t xml:space="preserve">SVRL</t>
        </is>
      </c>
      <c r="B3694" t="inlineStr">
        <is>
          <t xml:space="preserve">Shri Venkatesh Refineries Limi</t>
        </is>
      </c>
      <c r="C3694" t="inlineStr">
        <is>
          <t xml:space="preserve">INE0HLJ01013</t>
        </is>
      </c>
    </row>
    <row r="3695">
      <c r="A3695" t="inlineStr">
        <is>
          <t xml:space="preserve">SHRICON</t>
        </is>
      </c>
      <c r="B3695" t="inlineStr">
        <is>
          <t xml:space="preserve">SHRICON INDUSTRIES LTD.</t>
        </is>
      </c>
      <c r="C3695" t="inlineStr">
        <is>
          <t xml:space="preserve">INE753D01010</t>
        </is>
      </c>
    </row>
    <row r="3696">
      <c r="A3696" t="inlineStr">
        <is>
          <t xml:space="preserve">SHRINGARMS</t>
        </is>
      </c>
      <c r="B3696" t="inlineStr">
        <is>
          <t xml:space="preserve">SHRINGAR HOUSE OF MANGALSUTRA</t>
        </is>
      </c>
      <c r="C3696" t="inlineStr">
        <is>
          <t xml:space="preserve">INE1B3L01017</t>
        </is>
      </c>
    </row>
    <row r="3697">
      <c r="A3697" t="inlineStr">
        <is>
          <t xml:space="preserve">SRAMSET</t>
        </is>
      </c>
      <c r="B3697" t="inlineStr">
        <is>
          <t xml:space="preserve">SHRIRAM ASSET MANAGEMENT CO.LT</t>
        </is>
      </c>
      <c r="C3697" t="inlineStr">
        <is>
          <t xml:space="preserve">INE777G01012</t>
        </is>
      </c>
    </row>
    <row r="3698">
      <c r="A3698" t="inlineStr">
        <is>
          <t xml:space="preserve">SHRIRAMFIN</t>
        </is>
      </c>
      <c r="B3698" t="inlineStr">
        <is>
          <t xml:space="preserve">Shriram Finance Limited</t>
        </is>
      </c>
      <c r="C3698" t="inlineStr">
        <is>
          <t xml:space="preserve">INE721A01047</t>
        </is>
      </c>
    </row>
    <row r="3699">
      <c r="A3699" t="inlineStr">
        <is>
          <t xml:space="preserve">SHRIRAMPPS</t>
        </is>
      </c>
      <c r="B3699" t="inlineStr">
        <is>
          <t xml:space="preserve">Shriram Properties Limited</t>
        </is>
      </c>
      <c r="C3699" t="inlineStr">
        <is>
          <t xml:space="preserve">INE217L01019</t>
        </is>
      </c>
    </row>
    <row r="3700">
      <c r="A3700" t="inlineStr">
        <is>
          <t xml:space="preserve">SHRISTI</t>
        </is>
      </c>
      <c r="B3700" t="inlineStr">
        <is>
          <t xml:space="preserve">SHRISTI INFRASTRUCTURE DEVELOP</t>
        </is>
      </c>
      <c r="C3700" t="inlineStr">
        <is>
          <t xml:space="preserve">INE472C01027</t>
        </is>
      </c>
    </row>
    <row r="3701">
      <c r="A3701" t="inlineStr">
        <is>
          <t xml:space="preserve">SHRYDUS</t>
        </is>
      </c>
      <c r="B3701" t="inlineStr">
        <is>
          <t xml:space="preserve">SHRYDUS INDUSTRIES LIMITED</t>
        </is>
      </c>
      <c r="C3701" t="inlineStr">
        <is>
          <t xml:space="preserve">INE488C01015</t>
        </is>
      </c>
    </row>
    <row r="3702">
      <c r="A3702" t="inlineStr">
        <is>
          <t xml:space="preserve">SHUBHAM</t>
        </is>
      </c>
      <c r="B3702" t="inlineStr">
        <is>
          <t xml:space="preserve">Shubham Polyspin Limited</t>
        </is>
      </c>
      <c r="C3702" t="inlineStr">
        <is>
          <t xml:space="preserve">INE01J501010</t>
        </is>
      </c>
    </row>
    <row r="3703">
      <c r="A3703" t="inlineStr">
        <is>
          <t xml:space="preserve">SKRABUL</t>
        </is>
      </c>
      <c r="B3703" t="inlineStr">
        <is>
          <t xml:space="preserve">SHUKRA BULLIONS LTD.</t>
        </is>
      </c>
      <c r="C3703" t="inlineStr">
        <is>
          <t xml:space="preserve">INE561E01015</t>
        </is>
      </c>
    </row>
    <row r="3704">
      <c r="A3704" t="inlineStr">
        <is>
          <t xml:space="preserve">SHUKJEW</t>
        </is>
      </c>
      <c r="B3704" t="inlineStr">
        <is>
          <t xml:space="preserve">SHUKRA JEWELLERS LTD.</t>
        </is>
      </c>
      <c r="C3704" t="inlineStr">
        <is>
          <t xml:space="preserve">INE344E01016</t>
        </is>
      </c>
    </row>
    <row r="3705">
      <c r="A3705" t="inlineStr">
        <is>
          <t xml:space="preserve">SHUKRAPHAR</t>
        </is>
      </c>
      <c r="B3705" t="inlineStr">
        <is>
          <t xml:space="preserve">Shukra Pharmaceuticals Limited</t>
        </is>
      </c>
      <c r="C3705" t="inlineStr">
        <is>
          <t xml:space="preserve">INE551C01044</t>
        </is>
      </c>
    </row>
    <row r="3706">
      <c r="A3706" t="inlineStr">
        <is>
          <t xml:space="preserve">SHYAMCENT</t>
        </is>
      </c>
      <c r="B3706" t="inlineStr">
        <is>
          <t xml:space="preserve">Shyam Century Ferrous Limited</t>
        </is>
      </c>
      <c r="C3706" t="inlineStr">
        <is>
          <t xml:space="preserve">INE979R01011</t>
        </is>
      </c>
    </row>
    <row r="3707">
      <c r="A3707" t="inlineStr">
        <is>
          <t xml:space="preserve">SHYAMMETL</t>
        </is>
      </c>
      <c r="B3707" t="inlineStr">
        <is>
          <t xml:space="preserve">Shyam Metalics and Energy Limi</t>
        </is>
      </c>
      <c r="C3707" t="inlineStr">
        <is>
          <t xml:space="preserve">INE810G01011</t>
        </is>
      </c>
    </row>
    <row r="3708">
      <c r="A3708" t="inlineStr">
        <is>
          <t xml:space="preserve">SHYAMTEL</t>
        </is>
      </c>
      <c r="B3708" t="inlineStr">
        <is>
          <t xml:space="preserve">SHYAM TELECOM LTD.</t>
        </is>
      </c>
      <c r="C3708" t="inlineStr">
        <is>
          <t xml:space="preserve">INE635A01023</t>
        </is>
      </c>
    </row>
    <row r="3709">
      <c r="A3709" t="inlineStr">
        <is>
          <t xml:space="preserve">SHYMINV</t>
        </is>
      </c>
      <c r="B3709" t="inlineStr">
        <is>
          <t xml:space="preserve">SHYAMKAMAL INVESTMENTS LTD.</t>
        </is>
      </c>
      <c r="C3709" t="inlineStr">
        <is>
          <t xml:space="preserve">INE203N01015</t>
        </is>
      </c>
    </row>
    <row r="3710">
      <c r="A3710" t="inlineStr">
        <is>
          <t xml:space="preserve">SICAPIT</t>
        </is>
      </c>
      <c r="B3710" t="inlineStr">
        <is>
          <t xml:space="preserve">SI CAPITAL &amp; FINANCIAL SERVICE</t>
        </is>
      </c>
      <c r="C3710" t="inlineStr">
        <is>
          <t xml:space="preserve">INE417F01017</t>
        </is>
      </c>
    </row>
    <row r="3711">
      <c r="A3711" t="inlineStr">
        <is>
          <t xml:space="preserve">SIBARAUT</t>
        </is>
      </c>
      <c r="B3711" t="inlineStr">
        <is>
          <t xml:space="preserve">SIBAR AUTO PARTS LTD.</t>
        </is>
      </c>
      <c r="C3711" t="inlineStr">
        <is>
          <t xml:space="preserve">INE441C01014</t>
        </is>
      </c>
    </row>
    <row r="3712">
      <c r="A3712" t="inlineStr">
        <is>
          <t xml:space="preserve">SICAGEN</t>
        </is>
      </c>
      <c r="B3712" t="inlineStr">
        <is>
          <t xml:space="preserve">SICAGEN INDIA LTD.</t>
        </is>
      </c>
      <c r="C3712" t="inlineStr">
        <is>
          <t xml:space="preserve">INE176J01011</t>
        </is>
      </c>
    </row>
    <row r="3713">
      <c r="A3713" t="inlineStr">
        <is>
          <t xml:space="preserve">SICALLOG</t>
        </is>
      </c>
      <c r="B3713" t="inlineStr">
        <is>
          <t xml:space="preserve">SICAL LOGISTICS LTD.</t>
        </is>
      </c>
      <c r="C3713" t="inlineStr">
        <is>
          <t xml:space="preserve">INE075B01020</t>
        </is>
      </c>
    </row>
    <row r="3714">
      <c r="A3714" t="inlineStr">
        <is>
          <t xml:space="preserve">SIDDHA</t>
        </is>
      </c>
      <c r="B3714" t="inlineStr">
        <is>
          <t xml:space="preserve">SIDDHA VENTURES LTD.</t>
        </is>
      </c>
      <c r="C3714" t="inlineStr">
        <is>
          <t xml:space="preserve">INE140C01012</t>
        </is>
      </c>
    </row>
    <row r="3715">
      <c r="A3715" t="inlineStr">
        <is>
          <t xml:space="preserve">SIDDHEGA</t>
        </is>
      </c>
      <c r="B3715" t="inlineStr">
        <is>
          <t xml:space="preserve">SIDDHESWARI GARMENTS LTD.</t>
        </is>
      </c>
      <c r="C3715" t="inlineStr">
        <is>
          <t xml:space="preserve">INE797C01019</t>
        </is>
      </c>
    </row>
    <row r="3716">
      <c r="A3716" t="inlineStr">
        <is>
          <t xml:space="preserve">ENRIN</t>
        </is>
      </c>
      <c r="B3716" t="inlineStr">
        <is>
          <t xml:space="preserve">Siemens Energy India Limited</t>
        </is>
      </c>
      <c r="C3716" t="inlineStr">
        <is>
          <t xml:space="preserve">INE1NPP01017</t>
        </is>
      </c>
    </row>
    <row r="3717">
      <c r="A3717" t="inlineStr">
        <is>
          <t xml:space="preserve">SIEMENS</t>
        </is>
      </c>
      <c r="B3717" t="inlineStr">
        <is>
          <t xml:space="preserve">SIEMENS LTD.</t>
        </is>
      </c>
      <c r="C3717" t="inlineStr">
        <is>
          <t xml:space="preserve">INE003A01024</t>
        </is>
      </c>
    </row>
    <row r="3718">
      <c r="A3718" t="inlineStr">
        <is>
          <t xml:space="preserve">SIGACHI</t>
        </is>
      </c>
      <c r="B3718" t="inlineStr">
        <is>
          <t xml:space="preserve">Sigachi Industries Limited</t>
        </is>
      </c>
      <c r="C3718" t="inlineStr">
        <is>
          <t xml:space="preserve">INE0D0K01022</t>
        </is>
      </c>
    </row>
    <row r="3719">
      <c r="A3719" t="inlineStr">
        <is>
          <t xml:space="preserve">SIGMAADV</t>
        </is>
      </c>
      <c r="B3719" t="inlineStr">
        <is>
          <t xml:space="preserve">SIGMA ADVANCED SYSTEMS LIMITED</t>
        </is>
      </c>
      <c r="C3719" t="inlineStr">
        <is>
          <t xml:space="preserve">INE933B01012</t>
        </is>
      </c>
    </row>
    <row r="3720">
      <c r="A3720" t="inlineStr">
        <is>
          <t xml:space="preserve">SIGMA</t>
        </is>
      </c>
      <c r="B3720" t="inlineStr">
        <is>
          <t xml:space="preserve">SIGMA SOLVE LIMITED</t>
        </is>
      </c>
      <c r="C3720" t="inlineStr">
        <is>
          <t xml:space="preserve">INE0A0S01028</t>
        </is>
      </c>
    </row>
    <row r="3721">
      <c r="A3721" t="inlineStr">
        <is>
          <t xml:space="preserve">SIGNATURE</t>
        </is>
      </c>
      <c r="B3721" t="inlineStr">
        <is>
          <t xml:space="preserve">SIGNATUREGLOBAL (INDIA) LIMITE</t>
        </is>
      </c>
      <c r="C3721" t="inlineStr">
        <is>
          <t xml:space="preserve">INE903U01023</t>
        </is>
      </c>
    </row>
    <row r="3722">
      <c r="A3722" t="inlineStr">
        <is>
          <t xml:space="preserve">SIGIND</t>
        </is>
      </c>
      <c r="B3722" t="inlineStr">
        <is>
          <t xml:space="preserve">SIGNET INDUSTRIES LIMITED</t>
        </is>
      </c>
      <c r="C3722" t="inlineStr">
        <is>
          <t xml:space="preserve">INE529F01035</t>
        </is>
      </c>
    </row>
    <row r="3723">
      <c r="A3723" t="inlineStr">
        <is>
          <t xml:space="preserve">SIGNPOST</t>
        </is>
      </c>
      <c r="B3723" t="inlineStr">
        <is>
          <t xml:space="preserve">Signpost India Limited</t>
        </is>
      </c>
      <c r="C3723" t="inlineStr">
        <is>
          <t xml:space="preserve">INE0KGZ01021</t>
        </is>
      </c>
    </row>
    <row r="3724">
      <c r="A3724" t="inlineStr">
        <is>
          <t xml:space="preserve">SIKA</t>
        </is>
      </c>
      <c r="B3724" t="inlineStr">
        <is>
          <t xml:space="preserve">SIKA INTERPLANT SYSTEMS LTD.</t>
        </is>
      </c>
      <c r="C3724" t="inlineStr">
        <is>
          <t xml:space="preserve">INE438E01032</t>
        </is>
      </c>
    </row>
    <row r="3725">
      <c r="A3725" t="inlineStr">
        <is>
          <t xml:space="preserve">SILINV</t>
        </is>
      </c>
      <c r="B3725" t="inlineStr">
        <is>
          <t xml:space="preserve">SIL INVESTMENTS LTD.</t>
        </is>
      </c>
      <c r="C3725" t="inlineStr">
        <is>
          <t xml:space="preserve">INE923A01015</t>
        </is>
      </c>
    </row>
    <row r="3726">
      <c r="A3726" t="inlineStr">
        <is>
          <t xml:space="preserve">SRSOLTD</t>
        </is>
      </c>
      <c r="B3726" t="inlineStr">
        <is>
          <t xml:space="preserve">SILICON RENTAL SOLUTIONS LIMIT</t>
        </is>
      </c>
      <c r="C3726" t="inlineStr">
        <is>
          <t xml:space="preserve">INE0MNV01014</t>
        </is>
      </c>
    </row>
    <row r="3727">
      <c r="A3727" t="inlineStr">
        <is>
          <t xml:space="preserve">SILVOAK</t>
        </is>
      </c>
      <c r="B3727" t="inlineStr">
        <is>
          <t xml:space="preserve">SILVER OAK (INDIA) LTD.</t>
        </is>
      </c>
      <c r="C3727" t="inlineStr">
        <is>
          <t xml:space="preserve">INE870J01019</t>
        </is>
      </c>
    </row>
    <row r="3728">
      <c r="A3728" t="inlineStr">
        <is>
          <t xml:space="preserve">SILVERO</t>
        </is>
      </c>
      <c r="B3728" t="inlineStr">
        <is>
          <t xml:space="preserve">SILVER OAK COMMERCIAL LTD.</t>
        </is>
      </c>
      <c r="C3728" t="inlineStr">
        <is>
          <t xml:space="preserve">INE798C01017</t>
        </is>
      </c>
    </row>
    <row r="3729">
      <c r="A3729" t="inlineStr">
        <is>
          <t xml:space="preserve">SILVERTUC</t>
        </is>
      </c>
      <c r="B3729" t="inlineStr">
        <is>
          <t xml:space="preserve">Silver Touch Technologies Limi</t>
        </is>
      </c>
      <c r="C3729" t="inlineStr">
        <is>
          <t xml:space="preserve">INE625X01026</t>
        </is>
      </c>
    </row>
    <row r="3730">
      <c r="A3730" t="inlineStr">
        <is>
          <t xml:space="preserve">SIMANDHAR</t>
        </is>
      </c>
      <c r="B3730" t="inlineStr">
        <is>
          <t xml:space="preserve">SIMANDHAR IMPEX LIMITED</t>
        </is>
      </c>
      <c r="C3730" t="inlineStr">
        <is>
          <t xml:space="preserve">INE0VI201010</t>
        </is>
      </c>
    </row>
    <row r="3731">
      <c r="A3731" t="inlineStr">
        <is>
          <t xml:space="preserve">SIMBHALS</t>
        </is>
      </c>
      <c r="B3731" t="inlineStr">
        <is>
          <t xml:space="preserve">Simbhaoli Sugars Ltd</t>
        </is>
      </c>
      <c r="C3731" t="inlineStr">
        <is>
          <t xml:space="preserve">INE748T01016</t>
        </is>
      </c>
    </row>
    <row r="3732">
      <c r="A3732" t="inlineStr">
        <is>
          <t xml:space="preserve">SIMMOND</t>
        </is>
      </c>
      <c r="B3732" t="inlineStr">
        <is>
          <t xml:space="preserve">SIMMONDS MARSHALL LTD.</t>
        </is>
      </c>
      <c r="C3732" t="inlineStr">
        <is>
          <t xml:space="preserve">INE657D01021</t>
        </is>
      </c>
    </row>
    <row r="3733">
      <c r="A3733" t="inlineStr">
        <is>
          <t xml:space="preserve">SIMPLEXCAS</t>
        </is>
      </c>
      <c r="B3733" t="inlineStr">
        <is>
          <t xml:space="preserve">SIMPLEX CASTINGS LTD.</t>
        </is>
      </c>
      <c r="C3733" t="inlineStr">
        <is>
          <t xml:space="preserve">INE658D01011</t>
        </is>
      </c>
    </row>
    <row r="3734">
      <c r="A3734" t="inlineStr">
        <is>
          <t xml:space="preserve">SIMPLEXINF</t>
        </is>
      </c>
      <c r="B3734" t="inlineStr">
        <is>
          <t xml:space="preserve">SIMPLEX INFRASTRUCTURES LTD.</t>
        </is>
      </c>
      <c r="C3734" t="inlineStr">
        <is>
          <t xml:space="preserve">INE059B01024</t>
        </is>
      </c>
    </row>
    <row r="3735">
      <c r="A3735" t="inlineStr">
        <is>
          <t xml:space="preserve">SIMPLXPAP</t>
        </is>
      </c>
      <c r="B3735" t="inlineStr">
        <is>
          <t xml:space="preserve">SIMPLEX PAPERS LTD.</t>
        </is>
      </c>
      <c r="C3735" t="inlineStr">
        <is>
          <t xml:space="preserve">INE456H01029</t>
        </is>
      </c>
    </row>
    <row r="3736">
      <c r="A3736" t="inlineStr">
        <is>
          <t xml:space="preserve">SIMPLXREA</t>
        </is>
      </c>
      <c r="B3736" t="inlineStr">
        <is>
          <t xml:space="preserve">SIMPLEX REALTY LTD.</t>
        </is>
      </c>
      <c r="C3736" t="inlineStr">
        <is>
          <t xml:space="preserve">INE167H01014</t>
        </is>
      </c>
    </row>
    <row r="3737">
      <c r="A3737" t="inlineStr">
        <is>
          <t xml:space="preserve">SIMRAN</t>
        </is>
      </c>
      <c r="B3737" t="inlineStr">
        <is>
          <t xml:space="preserve">SIMRAN FARMS LTD.</t>
        </is>
      </c>
      <c r="C3737" t="inlineStr">
        <is>
          <t xml:space="preserve">INE354D01017</t>
        </is>
      </c>
    </row>
    <row r="3738">
      <c r="A3738" t="inlineStr">
        <is>
          <t xml:space="preserve">SINCLAIR</t>
        </is>
      </c>
      <c r="B3738" t="inlineStr">
        <is>
          <t xml:space="preserve">SINCLAIRS HOTELS LIMITED</t>
        </is>
      </c>
      <c r="C3738" t="inlineStr">
        <is>
          <t xml:space="preserve">INE985A01022</t>
        </is>
      </c>
    </row>
    <row r="3739">
      <c r="A3739" t="inlineStr">
        <is>
          <t xml:space="preserve">SINDHUTRAD</t>
        </is>
      </c>
      <c r="B3739" t="inlineStr">
        <is>
          <t xml:space="preserve">SINDHU TRADE LINKS LIMITED</t>
        </is>
      </c>
      <c r="C3739" t="inlineStr">
        <is>
          <t xml:space="preserve">INE325D01025</t>
        </is>
      </c>
    </row>
    <row r="3740">
      <c r="A3740" t="inlineStr">
        <is>
          <t xml:space="preserve">SINGERIND</t>
        </is>
      </c>
      <c r="B3740" t="inlineStr">
        <is>
          <t xml:space="preserve">SINGER INDIA LTD.</t>
        </is>
      </c>
      <c r="C3740" t="inlineStr">
        <is>
          <t xml:space="preserve">INE638A01035</t>
        </is>
      </c>
    </row>
    <row r="3741">
      <c r="A3741" t="inlineStr">
        <is>
          <t xml:space="preserve">SINNAR</t>
        </is>
      </c>
      <c r="B3741" t="inlineStr">
        <is>
          <t xml:space="preserve">SINNAR BIDI UDYOG LTD.</t>
        </is>
      </c>
      <c r="C3741" t="inlineStr">
        <is>
          <t xml:space="preserve">INE896E01023</t>
        </is>
      </c>
    </row>
    <row r="3742">
      <c r="A3742" t="inlineStr">
        <is>
          <t xml:space="preserve">SIRCA</t>
        </is>
      </c>
      <c r="B3742" t="inlineStr">
        <is>
          <t xml:space="preserve">Sirca Paints India Limited</t>
        </is>
      </c>
      <c r="C3742" t="inlineStr">
        <is>
          <t xml:space="preserve">INE792Z01011</t>
        </is>
      </c>
    </row>
    <row r="3743">
      <c r="A3743" t="inlineStr">
        <is>
          <t xml:space="preserve">SIS</t>
        </is>
      </c>
      <c r="B3743" t="inlineStr">
        <is>
          <t xml:space="preserve">SIS LIMITED</t>
        </is>
      </c>
      <c r="C3743" t="inlineStr">
        <is>
          <t xml:space="preserve">INE285J01028</t>
        </is>
      </c>
    </row>
    <row r="3744">
      <c r="A3744" t="inlineStr">
        <is>
          <t xml:space="preserve">SITAENT</t>
        </is>
      </c>
      <c r="B3744" t="inlineStr">
        <is>
          <t xml:space="preserve">SITA ENTERPRISES LTD.</t>
        </is>
      </c>
      <c r="C3744" t="inlineStr">
        <is>
          <t xml:space="preserve">INE579D01019</t>
        </is>
      </c>
    </row>
    <row r="3745">
      <c r="A3745" t="inlineStr">
        <is>
          <t xml:space="preserve">SITINET</t>
        </is>
      </c>
      <c r="B3745" t="inlineStr">
        <is>
          <t xml:space="preserve">Siti Networks Ltd.</t>
        </is>
      </c>
      <c r="C3745" t="inlineStr">
        <is>
          <t xml:space="preserve">INE965H01011</t>
        </is>
      </c>
    </row>
    <row r="3746">
      <c r="A3746" t="inlineStr">
        <is>
          <t xml:space="preserve">SIYARAM</t>
        </is>
      </c>
      <c r="B3746" t="inlineStr">
        <is>
          <t xml:space="preserve">Siyaram Recycling Industries L</t>
        </is>
      </c>
      <c r="C3746" t="inlineStr">
        <is>
          <t xml:space="preserve">INE0QSK01017</t>
        </is>
      </c>
    </row>
    <row r="3747">
      <c r="A3747" t="inlineStr">
        <is>
          <t xml:space="preserve">SIYSIL</t>
        </is>
      </c>
      <c r="B3747" t="inlineStr">
        <is>
          <t xml:space="preserve">SIYARAM SILK MILLS LTD.</t>
        </is>
      </c>
      <c r="C3747" t="inlineStr">
        <is>
          <t xml:space="preserve">INE076B01028</t>
        </is>
      </c>
    </row>
    <row r="3748">
      <c r="A3748" t="inlineStr">
        <is>
          <t xml:space="preserve">SIZEMASTER</t>
        </is>
      </c>
      <c r="B3748" t="inlineStr">
        <is>
          <t xml:space="preserve">SIZEMASTERS TECHNOLOGY LIMITED</t>
        </is>
      </c>
      <c r="C3748" t="inlineStr">
        <is>
          <t xml:space="preserve">INE235U01012</t>
        </is>
      </c>
    </row>
    <row r="3749">
      <c r="A3749" t="inlineStr">
        <is>
          <t xml:space="preserve">SJCORP</t>
        </is>
      </c>
      <c r="B3749" t="inlineStr">
        <is>
          <t xml:space="preserve">SJ CORPORATION LTD.</t>
        </is>
      </c>
      <c r="C3749" t="inlineStr">
        <is>
          <t xml:space="preserve">INE312B01027</t>
        </is>
      </c>
    </row>
    <row r="3750">
      <c r="A3750" t="inlineStr">
        <is>
          <t xml:space="preserve">SJVN</t>
        </is>
      </c>
      <c r="B3750" t="inlineStr">
        <is>
          <t xml:space="preserve">SJVN LTD</t>
        </is>
      </c>
      <c r="C3750" t="inlineStr">
        <is>
          <t xml:space="preserve">INE002L01015</t>
        </is>
      </c>
    </row>
    <row r="3751">
      <c r="A3751" t="inlineStr">
        <is>
          <t xml:space="preserve">SKIEL</t>
        </is>
      </c>
      <c r="B3751" t="inlineStr">
        <is>
          <t xml:space="preserve">SK International Export Limite</t>
        </is>
      </c>
      <c r="C3751" t="inlineStr">
        <is>
          <t xml:space="preserve">INE04ST01013</t>
        </is>
      </c>
    </row>
    <row r="3752">
      <c r="A3752" t="inlineStr">
        <is>
          <t xml:space="preserve">SKM</t>
        </is>
      </c>
      <c r="B3752" t="inlineStr">
        <is>
          <t xml:space="preserve">SK Minerals &amp; Additives Limite</t>
        </is>
      </c>
      <c r="C3752" t="inlineStr">
        <is>
          <t xml:space="preserve">INE13YH01017</t>
        </is>
      </c>
    </row>
    <row r="3753">
      <c r="A3753" t="inlineStr">
        <is>
          <t xml:space="preserve">SKFINDUS</t>
        </is>
      </c>
      <c r="B3753" t="inlineStr">
        <is>
          <t xml:space="preserve">SKF INDIA (INDUSTRIAL) LIMITED</t>
        </is>
      </c>
      <c r="C3753" t="inlineStr">
        <is>
          <t xml:space="preserve">INE2J8701016</t>
        </is>
      </c>
    </row>
    <row r="3754">
      <c r="A3754" t="inlineStr">
        <is>
          <t xml:space="preserve">SKFINDIA</t>
        </is>
      </c>
      <c r="B3754" t="inlineStr">
        <is>
          <t xml:space="preserve">SKF INDIA LIMITED</t>
        </is>
      </c>
      <c r="C3754" t="inlineStr">
        <is>
          <t xml:space="preserve">INE640A01023</t>
        </is>
      </c>
    </row>
    <row r="3755">
      <c r="A3755" t="inlineStr">
        <is>
          <t xml:space="preserve">SKIPPER</t>
        </is>
      </c>
      <c r="B3755" t="inlineStr">
        <is>
          <t xml:space="preserve">SKIPPER LTD</t>
        </is>
      </c>
      <c r="C3755" t="inlineStr">
        <is>
          <t xml:space="preserve">INE439E01022</t>
        </is>
      </c>
    </row>
    <row r="3756">
      <c r="A3756" t="inlineStr">
        <is>
          <t xml:space="preserve">SKMEGGPROD</t>
        </is>
      </c>
      <c r="B3756" t="inlineStr">
        <is>
          <t xml:space="preserve">SKM EGG PRODUCTS EXPORT (INDIA</t>
        </is>
      </c>
      <c r="C3756" t="inlineStr">
        <is>
          <t xml:space="preserve">INE411D01023</t>
        </is>
      </c>
    </row>
    <row r="3757">
      <c r="A3757" t="inlineStr">
        <is>
          <t xml:space="preserve">SKPSEC</t>
        </is>
      </c>
      <c r="B3757" t="inlineStr">
        <is>
          <t xml:space="preserve">SKP SECURITIES LTD.</t>
        </is>
      </c>
      <c r="C3757" t="inlineStr">
        <is>
          <t xml:space="preserve">INE709B01016</t>
        </is>
      </c>
    </row>
    <row r="3758">
      <c r="A3758" t="inlineStr">
        <is>
          <t xml:space="preserve">SKYGOLD</t>
        </is>
      </c>
      <c r="B3758" t="inlineStr">
        <is>
          <t xml:space="preserve">Sky Gold And Diamonds Limited</t>
        </is>
      </c>
      <c r="C3758" t="inlineStr">
        <is>
          <t xml:space="preserve">INE01IU01018</t>
        </is>
      </c>
    </row>
    <row r="3759">
      <c r="A3759" t="inlineStr">
        <is>
          <t xml:space="preserve">SKYIND</t>
        </is>
      </c>
      <c r="B3759" t="inlineStr">
        <is>
          <t xml:space="preserve">SKY INDUSTRIES LTD.</t>
        </is>
      </c>
      <c r="C3759" t="inlineStr">
        <is>
          <t xml:space="preserve">INE765B01018</t>
        </is>
      </c>
    </row>
    <row r="3760">
      <c r="A3760" t="inlineStr">
        <is>
          <t xml:space="preserve">SKYBIOTECH</t>
        </is>
      </c>
      <c r="B3760" t="inlineStr">
        <is>
          <t xml:space="preserve">SKYBIOTECH HEALTHCARE LIMITED</t>
        </is>
      </c>
      <c r="C3760" t="inlineStr">
        <is>
          <t xml:space="preserve">INE393H01016</t>
        </is>
      </c>
    </row>
    <row r="3761">
      <c r="A3761" t="inlineStr">
        <is>
          <t xml:space="preserve">SKYLMILAR</t>
        </is>
      </c>
      <c r="B3761" t="inlineStr">
        <is>
          <t xml:space="preserve">SKYLINE MILLARS LTD.</t>
        </is>
      </c>
      <c r="C3761" t="inlineStr">
        <is>
          <t xml:space="preserve">INE178E01026</t>
        </is>
      </c>
    </row>
    <row r="3762">
      <c r="A3762" t="inlineStr">
        <is>
          <t xml:space="preserve">SMARTFIN</t>
        </is>
      </c>
      <c r="B3762" t="inlineStr">
        <is>
          <t xml:space="preserve">Smart Finsec Limited</t>
        </is>
      </c>
      <c r="C3762" t="inlineStr">
        <is>
          <t xml:space="preserve">INE766D01020</t>
        </is>
      </c>
    </row>
    <row r="3763">
      <c r="A3763" t="inlineStr">
        <is>
          <t xml:space="preserve">SMARTLINK</t>
        </is>
      </c>
      <c r="B3763" t="inlineStr">
        <is>
          <t xml:space="preserve">Smartlink Holdings Limited</t>
        </is>
      </c>
      <c r="C3763" t="inlineStr">
        <is>
          <t xml:space="preserve">INE178C01020</t>
        </is>
      </c>
    </row>
    <row r="3764">
      <c r="A3764" t="inlineStr">
        <is>
          <t xml:space="preserve">SMARTWORKS</t>
        </is>
      </c>
      <c r="B3764" t="inlineStr">
        <is>
          <t xml:space="preserve">SMARTWORKS COWORKING SPACES LI</t>
        </is>
      </c>
      <c r="C3764" t="inlineStr">
        <is>
          <t xml:space="preserve">INE0NAZ01010</t>
        </is>
      </c>
    </row>
    <row r="3765">
      <c r="A3765" t="inlineStr">
        <is>
          <t xml:space="preserve">SMCGLOBAL</t>
        </is>
      </c>
      <c r="B3765" t="inlineStr">
        <is>
          <t xml:space="preserve">SMC Global Securities Limited</t>
        </is>
      </c>
      <c r="C3765" t="inlineStr">
        <is>
          <t xml:space="preserve">INE103C01036</t>
        </is>
      </c>
    </row>
    <row r="3766">
      <c r="A3766" t="inlineStr">
        <is>
          <t xml:space="preserve">8SMC29</t>
        </is>
      </c>
      <c r="B3766" t="inlineStr">
        <is>
          <t xml:space="preserve">SMC-8%-13-10-29-MB</t>
        </is>
      </c>
      <c r="C3766" t="inlineStr">
        <is>
          <t xml:space="preserve">INE05NX24023</t>
        </is>
      </c>
    </row>
    <row r="3767">
      <c r="A3767" t="inlineStr">
        <is>
          <t xml:space="preserve">8SMC30</t>
        </is>
      </c>
      <c r="B3767" t="inlineStr">
        <is>
          <t xml:space="preserve">SMC-8%-13-10-30-MB</t>
        </is>
      </c>
      <c r="C3767" t="inlineStr">
        <is>
          <t xml:space="preserve">INE05NX24031</t>
        </is>
      </c>
    </row>
    <row r="3768">
      <c r="A3768" t="inlineStr">
        <is>
          <t xml:space="preserve">1003SMCG30</t>
        </is>
      </c>
      <c r="B3768" t="inlineStr">
        <is>
          <t xml:space="preserve">SMCGSL-10.03%-24-04-30-NCD</t>
        </is>
      </c>
      <c r="C3768" t="inlineStr">
        <is>
          <t xml:space="preserve">INE103C07082</t>
        </is>
      </c>
    </row>
    <row r="3769">
      <c r="A3769" t="inlineStr">
        <is>
          <t xml:space="preserve">104SMCGS29</t>
        </is>
      </c>
      <c r="B3769" t="inlineStr">
        <is>
          <t xml:space="preserve">SMCGSL-10.40%-07-08-29-NCD</t>
        </is>
      </c>
      <c r="C3769" t="inlineStr">
        <is>
          <t xml:space="preserve">INE103C07066</t>
        </is>
      </c>
    </row>
    <row r="3770">
      <c r="A3770" t="inlineStr">
        <is>
          <t xml:space="preserve">1050SMCG30</t>
        </is>
      </c>
      <c r="B3770" t="inlineStr">
        <is>
          <t xml:space="preserve">SMCGSL-10.50%-24-04-30-NCD</t>
        </is>
      </c>
      <c r="C3770" t="inlineStr">
        <is>
          <t xml:space="preserve">INE103C07090</t>
        </is>
      </c>
    </row>
    <row r="3771">
      <c r="A3771" t="inlineStr">
        <is>
          <t xml:space="preserve">SMFIL</t>
        </is>
      </c>
      <c r="B3771" t="inlineStr">
        <is>
          <t xml:space="preserve">SMITHS &amp; FOUNDERS (INDIA) LIMI</t>
        </is>
      </c>
      <c r="C3771" t="inlineStr">
        <is>
          <t xml:space="preserve">INE728B01032</t>
        </is>
      </c>
    </row>
    <row r="3772">
      <c r="A3772" t="inlineStr">
        <is>
          <t xml:space="preserve">SMLMAH</t>
        </is>
      </c>
      <c r="B3772" t="inlineStr">
        <is>
          <t xml:space="preserve">SML Mahindra Limited</t>
        </is>
      </c>
      <c r="C3772" t="inlineStr">
        <is>
          <t xml:space="preserve">INE294B01019</t>
        </is>
      </c>
    </row>
    <row r="3773">
      <c r="A3773" t="inlineStr">
        <is>
          <t xml:space="preserve">1385SML29</t>
        </is>
      </c>
      <c r="B3773" t="inlineStr">
        <is>
          <t xml:space="preserve">SML-13.85%-12-7-29-PVT</t>
        </is>
      </c>
      <c r="C3773" t="inlineStr">
        <is>
          <t xml:space="preserve">INE982X08109</t>
        </is>
      </c>
    </row>
    <row r="3774">
      <c r="A3774" t="inlineStr">
        <is>
          <t xml:space="preserve">SMR</t>
        </is>
      </c>
      <c r="B3774" t="inlineStr">
        <is>
          <t xml:space="preserve">SMR Jewels Limited</t>
        </is>
      </c>
      <c r="C3774" t="inlineStr">
        <is>
          <t xml:space="preserve">INE11XK01017</t>
        </is>
      </c>
    </row>
    <row r="3775">
      <c r="A3775" t="inlineStr">
        <is>
          <t xml:space="preserve">SMRUTHIORG</t>
        </is>
      </c>
      <c r="B3775" t="inlineStr">
        <is>
          <t xml:space="preserve">Smruthi Organics Limited</t>
        </is>
      </c>
      <c r="C3775" t="inlineStr">
        <is>
          <t xml:space="preserve">INE172E01011</t>
        </is>
      </c>
    </row>
    <row r="3776">
      <c r="A3776" t="inlineStr">
        <is>
          <t xml:space="preserve">SMSPHARMA</t>
        </is>
      </c>
      <c r="B3776" t="inlineStr">
        <is>
          <t xml:space="preserve">SMS PHARMACEUTICALS LTD.</t>
        </is>
      </c>
      <c r="C3776" t="inlineStr">
        <is>
          <t xml:space="preserve">INE812G01025</t>
        </is>
      </c>
    </row>
    <row r="3777">
      <c r="A3777" t="inlineStr">
        <is>
          <t xml:space="preserve">SMTEL</t>
        </is>
      </c>
      <c r="B3777" t="inlineStr">
        <is>
          <t xml:space="preserve">SMT ENGINEERING LIMITED</t>
        </is>
      </c>
      <c r="C3777" t="inlineStr">
        <is>
          <t xml:space="preserve">INE673E01018</t>
        </is>
      </c>
    </row>
    <row r="3778">
      <c r="A3778" t="inlineStr">
        <is>
          <t xml:space="preserve">SNL</t>
        </is>
      </c>
      <c r="B3778" t="inlineStr">
        <is>
          <t xml:space="preserve">SNL BEARINGS LTD.</t>
        </is>
      </c>
      <c r="C3778" t="inlineStr">
        <is>
          <t xml:space="preserve">INE568F01017</t>
        </is>
      </c>
    </row>
    <row r="3779">
      <c r="A3779" t="inlineStr">
        <is>
          <t xml:space="preserve">SNOWMAN</t>
        </is>
      </c>
      <c r="B3779" t="inlineStr">
        <is>
          <t xml:space="preserve">SNOWMAN LOGISTICS LTD</t>
        </is>
      </c>
      <c r="C3779" t="inlineStr">
        <is>
          <t xml:space="preserve">INE734N01019</t>
        </is>
      </c>
    </row>
    <row r="3780">
      <c r="A3780" t="inlineStr">
        <is>
          <t xml:space="preserve">SOBHA</t>
        </is>
      </c>
      <c r="B3780" t="inlineStr">
        <is>
          <t xml:space="preserve">SOBHA</t>
        </is>
      </c>
      <c r="C3780" t="inlineStr">
        <is>
          <t xml:space="preserve">INE671H01015</t>
        </is>
      </c>
    </row>
    <row r="3781">
      <c r="A3781" t="inlineStr">
        <is>
          <t xml:space="preserve">SOBME</t>
        </is>
      </c>
      <c r="B3781" t="inlineStr">
        <is>
          <t xml:space="preserve">SOBHAGYA MERCHANTILE LTD.</t>
        </is>
      </c>
      <c r="C3781" t="inlineStr">
        <is>
          <t xml:space="preserve">INE754D01018</t>
        </is>
      </c>
    </row>
    <row r="3782">
      <c r="A3782" t="inlineStr">
        <is>
          <t xml:space="preserve">SODHACAP</t>
        </is>
      </c>
      <c r="B3782" t="inlineStr">
        <is>
          <t xml:space="preserve">SODHANI CAPITAL LIMITED</t>
        </is>
      </c>
      <c r="C3782" t="inlineStr">
        <is>
          <t xml:space="preserve">INE0QU501030</t>
        </is>
      </c>
    </row>
    <row r="3783">
      <c r="A3783" t="inlineStr">
        <is>
          <t xml:space="preserve">SOFCOM</t>
        </is>
      </c>
      <c r="B3783" t="inlineStr">
        <is>
          <t xml:space="preserve">SOFCOM SYSTEMS LIMITED</t>
        </is>
      </c>
      <c r="C3783" t="inlineStr">
        <is>
          <t xml:space="preserve">INE499Q01012</t>
        </is>
      </c>
    </row>
    <row r="3784">
      <c r="A3784" t="inlineStr">
        <is>
          <t xml:space="preserve">SOFTRAKV</t>
        </is>
      </c>
      <c r="B3784" t="inlineStr">
        <is>
          <t xml:space="preserve">SOFTRAK VENTURE INVESTMENT LTD</t>
        </is>
      </c>
      <c r="C3784" t="inlineStr">
        <is>
          <t xml:space="preserve">INE562E01021</t>
        </is>
      </c>
    </row>
    <row r="3785">
      <c r="A3785" t="inlineStr">
        <is>
          <t xml:space="preserve">SOFTTECH</t>
        </is>
      </c>
      <c r="B3785" t="inlineStr">
        <is>
          <t xml:space="preserve">SoftTech Engineers Limited</t>
        </is>
      </c>
      <c r="C3785" t="inlineStr">
        <is>
          <t xml:space="preserve">INE728Z01015</t>
        </is>
      </c>
    </row>
    <row r="3786">
      <c r="A3786" t="inlineStr">
        <is>
          <t xml:space="preserve">SOLARINDS</t>
        </is>
      </c>
      <c r="B3786" t="inlineStr">
        <is>
          <t xml:space="preserve">SOLAR INDUSTRIES INDIA LTD.</t>
        </is>
      </c>
      <c r="C3786" t="inlineStr">
        <is>
          <t xml:space="preserve">INE343H01029</t>
        </is>
      </c>
    </row>
    <row r="3787">
      <c r="A3787" t="inlineStr">
        <is>
          <t xml:space="preserve">SOLARA</t>
        </is>
      </c>
      <c r="B3787" t="inlineStr">
        <is>
          <t xml:space="preserve">SOLARA ACTIVE PHARMA SCIENCES</t>
        </is>
      </c>
      <c r="C3787" t="inlineStr">
        <is>
          <t xml:space="preserve">INE624Z01016</t>
        </is>
      </c>
    </row>
    <row r="3788">
      <c r="A3788" t="inlineStr">
        <is>
          <t xml:space="preserve">SOLARIUM</t>
        </is>
      </c>
      <c r="B3788" t="inlineStr">
        <is>
          <t xml:space="preserve">SOLARIUM GREEN ENERGY LIMITED</t>
        </is>
      </c>
      <c r="C3788" t="inlineStr">
        <is>
          <t xml:space="preserve">INE0W0H01017</t>
        </is>
      </c>
    </row>
    <row r="3789">
      <c r="A3789" t="inlineStr">
        <is>
          <t xml:space="preserve">SOLARWORLD</t>
        </is>
      </c>
      <c r="B3789" t="inlineStr">
        <is>
          <t xml:space="preserve">Solarworld Energy Solutions Li</t>
        </is>
      </c>
      <c r="C3789" t="inlineStr">
        <is>
          <t xml:space="preserve">INE0TY101024</t>
        </is>
      </c>
    </row>
    <row r="3790">
      <c r="A3790" t="inlineStr">
        <is>
          <t xml:space="preserve">SOLIDSTON</t>
        </is>
      </c>
      <c r="B3790" t="inlineStr">
        <is>
          <t xml:space="preserve">SOLID STONE COMPANY LTD.</t>
        </is>
      </c>
      <c r="C3790" t="inlineStr">
        <is>
          <t xml:space="preserve">INE584G01012</t>
        </is>
      </c>
    </row>
    <row r="3791">
      <c r="A3791" t="inlineStr">
        <is>
          <t xml:space="preserve">SOLIMAC</t>
        </is>
      </c>
      <c r="B3791" t="inlineStr">
        <is>
          <t xml:space="preserve">SOLITAIRE MACHINE TOOLS LTD.</t>
        </is>
      </c>
      <c r="C3791" t="inlineStr">
        <is>
          <t xml:space="preserve">INE410A01013</t>
        </is>
      </c>
    </row>
    <row r="3792">
      <c r="A3792" t="inlineStr">
        <is>
          <t xml:space="preserve">SOLVEX</t>
        </is>
      </c>
      <c r="B3792" t="inlineStr">
        <is>
          <t xml:space="preserve">Solvex Edibles Limited</t>
        </is>
      </c>
      <c r="C3792" t="inlineStr">
        <is>
          <t xml:space="preserve">INE1IIQ01028</t>
        </is>
      </c>
    </row>
    <row r="3793">
      <c r="A3793" t="inlineStr">
        <is>
          <t xml:space="preserve">SDBL</t>
        </is>
      </c>
      <c r="B3793" t="inlineStr">
        <is>
          <t xml:space="preserve">SOM DISTILLERIES &amp; BREWERIES L</t>
        </is>
      </c>
      <c r="C3793" t="inlineStr">
        <is>
          <t xml:space="preserve">INE480C01038</t>
        </is>
      </c>
    </row>
    <row r="3794">
      <c r="A3794" t="inlineStr">
        <is>
          <t xml:space="preserve">SOMATEX</t>
        </is>
      </c>
      <c r="B3794" t="inlineStr">
        <is>
          <t xml:space="preserve">SOMA TEXTILES &amp; INDUSTRIES LTD</t>
        </is>
      </c>
      <c r="C3794" t="inlineStr">
        <is>
          <t xml:space="preserve">INE314C01013</t>
        </is>
      </c>
    </row>
    <row r="3795">
      <c r="A3795" t="inlineStr">
        <is>
          <t xml:space="preserve">SOMANYCERA</t>
        </is>
      </c>
      <c r="B3795" t="inlineStr">
        <is>
          <t xml:space="preserve">SOMANY CERAMICS LTD.</t>
        </is>
      </c>
      <c r="C3795" t="inlineStr">
        <is>
          <t xml:space="preserve">INE355A01028</t>
        </is>
      </c>
    </row>
    <row r="3796">
      <c r="A3796" t="inlineStr">
        <is>
          <t xml:space="preserve">SOMICONVEY</t>
        </is>
      </c>
      <c r="B3796" t="inlineStr">
        <is>
          <t xml:space="preserve">SOMI CONVEYOR BELTINGS LTD.</t>
        </is>
      </c>
      <c r="C3796" t="inlineStr">
        <is>
          <t xml:space="preserve">INE323J01019</t>
        </is>
      </c>
    </row>
    <row r="3797">
      <c r="A3797" t="inlineStr">
        <is>
          <t xml:space="preserve">SONACOMS</t>
        </is>
      </c>
      <c r="B3797" t="inlineStr">
        <is>
          <t xml:space="preserve">Sona BLW Precision Forgings Li</t>
        </is>
      </c>
      <c r="C3797" t="inlineStr">
        <is>
          <t xml:space="preserve">INE073K01018</t>
        </is>
      </c>
    </row>
    <row r="3798">
      <c r="A3798" t="inlineStr">
        <is>
          <t xml:space="preserve">SONALAD</t>
        </is>
      </c>
      <c r="B3798" t="inlineStr">
        <is>
          <t xml:space="preserve">SONAL ADHESIVES LTD.</t>
        </is>
      </c>
      <c r="C3798" t="inlineStr">
        <is>
          <t xml:space="preserve">INE344I01017</t>
        </is>
      </c>
    </row>
    <row r="3799">
      <c r="A3799" t="inlineStr">
        <is>
          <t xml:space="preserve">SONAL</t>
        </is>
      </c>
      <c r="B3799" t="inlineStr">
        <is>
          <t xml:space="preserve">Sonal Mercantile Limited</t>
        </is>
      </c>
      <c r="C3799" t="inlineStr">
        <is>
          <t xml:space="preserve">INE321M01017</t>
        </is>
      </c>
    </row>
    <row r="3800">
      <c r="A3800" t="inlineStr">
        <is>
          <t xml:space="preserve">SONALIS</t>
        </is>
      </c>
      <c r="B3800" t="inlineStr">
        <is>
          <t xml:space="preserve">Sonalis Consumer Products Limi</t>
        </is>
      </c>
      <c r="C3800" t="inlineStr">
        <is>
          <t xml:space="preserve">INE0N5O01013</t>
        </is>
      </c>
    </row>
    <row r="3801">
      <c r="A3801" t="inlineStr">
        <is>
          <t xml:space="preserve">SONATSOFTW</t>
        </is>
      </c>
      <c r="B3801" t="inlineStr">
        <is>
          <t xml:space="preserve">SONATA SOFTWARE LTD.</t>
        </is>
      </c>
      <c r="C3801" t="inlineStr">
        <is>
          <t xml:space="preserve">INE269A01021</t>
        </is>
      </c>
    </row>
    <row r="3802">
      <c r="A3802" t="inlineStr">
        <is>
          <t xml:space="preserve">SML</t>
        </is>
      </c>
      <c r="B3802" t="inlineStr">
        <is>
          <t xml:space="preserve">Soni Medicare Limited</t>
        </is>
      </c>
      <c r="C3802" t="inlineStr">
        <is>
          <t xml:space="preserve">INE848R01018</t>
        </is>
      </c>
    </row>
    <row r="3803">
      <c r="A3803" t="inlineStr">
        <is>
          <t xml:space="preserve">SOURCENTRL</t>
        </is>
      </c>
      <c r="B3803" t="inlineStr">
        <is>
          <t xml:space="preserve">SOURCE NATURAL FOODS &amp; HERBAL</t>
        </is>
      </c>
      <c r="C3803" t="inlineStr">
        <is>
          <t xml:space="preserve">INE679C01027</t>
        </is>
      </c>
    </row>
    <row r="3804">
      <c r="A3804" t="inlineStr">
        <is>
          <t xml:space="preserve">STHINPA</t>
        </is>
      </c>
      <c r="B3804" t="inlineStr">
        <is>
          <t xml:space="preserve">SOUTH INDIA PAPER MILLS LTD.</t>
        </is>
      </c>
      <c r="C3804" t="inlineStr">
        <is>
          <t xml:space="preserve">INE088G01014</t>
        </is>
      </c>
    </row>
    <row r="3805">
      <c r="A3805" t="inlineStr">
        <is>
          <t xml:space="preserve">SOUTHBANK</t>
        </is>
      </c>
      <c r="B3805" t="inlineStr">
        <is>
          <t xml:space="preserve">SOUTH INDIAN BANK LTD.</t>
        </is>
      </c>
      <c r="C3805" t="inlineStr">
        <is>
          <t xml:space="preserve">INE683A01023</t>
        </is>
      </c>
    </row>
    <row r="3806">
      <c r="A3806" t="inlineStr">
        <is>
          <t xml:space="preserve">SOUTHWEST</t>
        </is>
      </c>
      <c r="B3806" t="inlineStr">
        <is>
          <t xml:space="preserve">South West Pinnacle Exploratio</t>
        </is>
      </c>
      <c r="C3806" t="inlineStr">
        <is>
          <t xml:space="preserve">INE980Y01015</t>
        </is>
      </c>
    </row>
    <row r="3807">
      <c r="A3807" t="inlineStr">
        <is>
          <t xml:space="preserve">SOUTHERNIN</t>
        </is>
      </c>
      <c r="B3807" t="inlineStr">
        <is>
          <t xml:space="preserve">SOUTHERN INFOCONSULTANTS LIMIT</t>
        </is>
      </c>
      <c r="C3807" t="inlineStr">
        <is>
          <t xml:space="preserve">INE298B01010</t>
        </is>
      </c>
    </row>
    <row r="3808">
      <c r="A3808" t="inlineStr">
        <is>
          <t xml:space="preserve">SOUTHMG</t>
        </is>
      </c>
      <c r="B3808" t="inlineStr">
        <is>
          <t xml:space="preserve">SOUTHERN MAGNESIUM &amp; CHEMICALS</t>
        </is>
      </c>
      <c r="C3808" t="inlineStr">
        <is>
          <t xml:space="preserve">INE308N01012</t>
        </is>
      </c>
    </row>
    <row r="3809">
      <c r="A3809" t="inlineStr">
        <is>
          <t xml:space="preserve">SPIC</t>
        </is>
      </c>
      <c r="B3809" t="inlineStr">
        <is>
          <t xml:space="preserve">SOUTHERN PETROCHEMICALS LTD.</t>
        </is>
      </c>
      <c r="C3809" t="inlineStr">
        <is>
          <t xml:space="preserve">INE147A01011</t>
        </is>
      </c>
    </row>
    <row r="3810">
      <c r="A3810" t="inlineStr">
        <is>
          <t xml:space="preserve">SOVERDIA</t>
        </is>
      </c>
      <c r="B3810" t="inlineStr">
        <is>
          <t xml:space="preserve">SOVEREIGN DIAMONDS LTD.</t>
        </is>
      </c>
      <c r="C3810" t="inlineStr">
        <is>
          <t xml:space="preserve">INE959D01013</t>
        </is>
      </c>
    </row>
    <row r="3811">
      <c r="A3811" t="inlineStr">
        <is>
          <t xml:space="preserve">SPCAPIT</t>
        </is>
      </c>
      <c r="B3811" t="inlineStr">
        <is>
          <t xml:space="preserve">SP CAPITAL FINANCING LTD.</t>
        </is>
      </c>
      <c r="C3811" t="inlineStr">
        <is>
          <t xml:space="preserve">INE102F01015</t>
        </is>
      </c>
    </row>
    <row r="3812">
      <c r="A3812" t="inlineStr">
        <is>
          <t xml:space="preserve">SPACEINCUBA</t>
        </is>
      </c>
      <c r="B3812" t="inlineStr">
        <is>
          <t xml:space="preserve">Space Incubatrics Technologies</t>
        </is>
      </c>
      <c r="C3812" t="inlineStr">
        <is>
          <t xml:space="preserve">INE797Z01028</t>
        </is>
      </c>
    </row>
    <row r="3813">
      <c r="A3813" t="inlineStr">
        <is>
          <t xml:space="preserve">SDL</t>
        </is>
      </c>
      <c r="B3813" t="inlineStr">
        <is>
          <t xml:space="preserve">Span Divergent Limited</t>
        </is>
      </c>
      <c r="C3813" t="inlineStr">
        <is>
          <t xml:space="preserve">INE004E01016</t>
        </is>
      </c>
    </row>
    <row r="3814">
      <c r="A3814" t="inlineStr">
        <is>
          <t xml:space="preserve">SPANDANA</t>
        </is>
      </c>
      <c r="B3814" t="inlineStr">
        <is>
          <t xml:space="preserve">Spandana Sphoorty Financial Li</t>
        </is>
      </c>
      <c r="C3814" t="inlineStr">
        <is>
          <t xml:space="preserve">INE572J01011</t>
        </is>
      </c>
    </row>
    <row r="3815">
      <c r="A3815" t="inlineStr">
        <is>
          <t xml:space="preserve">SPAR</t>
        </is>
      </c>
      <c r="B3815" t="inlineStr">
        <is>
          <t xml:space="preserve">SPARC ELECTREX LIMITED</t>
        </is>
      </c>
      <c r="C3815" t="inlineStr">
        <is>
          <t xml:space="preserve">INE960B01015</t>
        </is>
      </c>
    </row>
    <row r="3816">
      <c r="A3816" t="inlineStr">
        <is>
          <t xml:space="preserve">SPARKLEGR</t>
        </is>
      </c>
      <c r="B3816" t="inlineStr">
        <is>
          <t xml:space="preserve">SPARKLE GOLD ROCK LIMITED</t>
        </is>
      </c>
      <c r="C3816" t="inlineStr">
        <is>
          <t xml:space="preserve">INE618F01010</t>
        </is>
      </c>
    </row>
    <row r="3817">
      <c r="A3817" t="inlineStr">
        <is>
          <t xml:space="preserve">SPML</t>
        </is>
      </c>
      <c r="B3817" t="inlineStr">
        <is>
          <t xml:space="preserve">SPECIALITY MEDICINES LIMITED</t>
        </is>
      </c>
      <c r="C3817" t="inlineStr">
        <is>
          <t xml:space="preserve">INE0R0M01014</t>
        </is>
      </c>
    </row>
    <row r="3818">
      <c r="A3818" t="inlineStr">
        <is>
          <t xml:space="preserve">SPECIALITY</t>
        </is>
      </c>
      <c r="B3818" t="inlineStr">
        <is>
          <t xml:space="preserve">SPECIALITY RESTAURANTS LTD.</t>
        </is>
      </c>
      <c r="C3818" t="inlineStr">
        <is>
          <t xml:space="preserve">INE247M01014</t>
        </is>
      </c>
    </row>
    <row r="3819">
      <c r="A3819" t="inlineStr">
        <is>
          <t xml:space="preserve">SPECTRA</t>
        </is>
      </c>
      <c r="B3819" t="inlineStr">
        <is>
          <t xml:space="preserve">SPECTRA INDUSTRIES LTD.</t>
        </is>
      </c>
      <c r="C3819" t="inlineStr">
        <is>
          <t xml:space="preserve">INE848B01012</t>
        </is>
      </c>
    </row>
    <row r="3820">
      <c r="A3820" t="inlineStr">
        <is>
          <t xml:space="preserve">SPECTRUM</t>
        </is>
      </c>
      <c r="B3820" t="inlineStr">
        <is>
          <t xml:space="preserve">Spectrum Electrical Industries</t>
        </is>
      </c>
      <c r="C3820" t="inlineStr">
        <is>
          <t xml:space="preserve">INE01EO01010</t>
        </is>
      </c>
    </row>
    <row r="3821">
      <c r="A3821" t="inlineStr">
        <is>
          <t xml:space="preserve">SPECFOOD</t>
        </is>
      </c>
      <c r="B3821" t="inlineStr">
        <is>
          <t xml:space="preserve">SPECTRUM FOODS LTD.</t>
        </is>
      </c>
      <c r="C3821" t="inlineStr">
        <is>
          <t xml:space="preserve">INE547C01018</t>
        </is>
      </c>
    </row>
    <row r="3822">
      <c r="A3822" t="inlineStr">
        <is>
          <t xml:space="preserve">SPELS</t>
        </is>
      </c>
      <c r="B3822" t="inlineStr">
        <is>
          <t xml:space="preserve">SPEL SEMICONDUCTOR LTD.</t>
        </is>
      </c>
      <c r="C3822" t="inlineStr">
        <is>
          <t xml:space="preserve">INE252A01019</t>
        </is>
      </c>
    </row>
    <row r="3823">
      <c r="A3823" t="inlineStr">
        <is>
          <t xml:space="preserve">SPENCERS</t>
        </is>
      </c>
      <c r="B3823" t="inlineStr">
        <is>
          <t xml:space="preserve">Spencer's Retail Limited</t>
        </is>
      </c>
      <c r="C3823" t="inlineStr">
        <is>
          <t xml:space="preserve">INE020801028</t>
        </is>
      </c>
    </row>
    <row r="3824">
      <c r="A3824" t="inlineStr">
        <is>
          <t xml:space="preserve">SPENTA</t>
        </is>
      </c>
      <c r="B3824" t="inlineStr">
        <is>
          <t xml:space="preserve">SPENTA INTERNATIONAL LTD.</t>
        </is>
      </c>
      <c r="C3824" t="inlineStr">
        <is>
          <t xml:space="preserve">INE175C01018</t>
        </is>
      </c>
    </row>
    <row r="3825">
      <c r="A3825" t="inlineStr">
        <is>
          <t xml:space="preserve">SPICEISLIN</t>
        </is>
      </c>
      <c r="B3825" t="inlineStr">
        <is>
          <t xml:space="preserve">SPICE ISLANDS INDUSTRIES LIMIT</t>
        </is>
      </c>
      <c r="C3825" t="inlineStr">
        <is>
          <t xml:space="preserve">INE882D01017</t>
        </is>
      </c>
    </row>
    <row r="3826">
      <c r="A3826" t="inlineStr">
        <is>
          <t xml:space="preserve">SPICELOUNG</t>
        </is>
      </c>
      <c r="B3826" t="inlineStr">
        <is>
          <t xml:space="preserve">SPICE LOUNGE FOOD WORKS LIMITE</t>
        </is>
      </c>
      <c r="C3826" t="inlineStr">
        <is>
          <t xml:space="preserve">INE631E01024</t>
        </is>
      </c>
    </row>
    <row r="3827">
      <c r="A3827" t="inlineStr">
        <is>
          <t xml:space="preserve">SPICEJET</t>
        </is>
      </c>
      <c r="B3827" t="inlineStr">
        <is>
          <t xml:space="preserve">SPICEJET LTD.</t>
        </is>
      </c>
      <c r="C3827" t="inlineStr">
        <is>
          <t xml:space="preserve">INE285B01017</t>
        </is>
      </c>
    </row>
    <row r="3828">
      <c r="A3828" t="inlineStr">
        <is>
          <t xml:space="preserve">SPLIL</t>
        </is>
      </c>
      <c r="B3828" t="inlineStr">
        <is>
          <t xml:space="preserve">SPL INDUSTRIES LTD.</t>
        </is>
      </c>
      <c r="C3828" t="inlineStr">
        <is>
          <t xml:space="preserve">INE978G01016</t>
        </is>
      </c>
    </row>
    <row r="3829">
      <c r="A3829" t="inlineStr">
        <is>
          <t xml:space="preserve">SPMLINFRA</t>
        </is>
      </c>
      <c r="B3829" t="inlineStr">
        <is>
          <t xml:space="preserve">SPML INFRA LIMITED</t>
        </is>
      </c>
      <c r="C3829" t="inlineStr">
        <is>
          <t xml:space="preserve">INE937A01023</t>
        </is>
      </c>
    </row>
    <row r="3830">
      <c r="A3830" t="inlineStr">
        <is>
          <t xml:space="preserve">SPORTKING</t>
        </is>
      </c>
      <c r="B3830" t="inlineStr">
        <is>
          <t xml:space="preserve">Sportking India Ltd.</t>
        </is>
      </c>
      <c r="C3830" t="inlineStr">
        <is>
          <t xml:space="preserve">INE885H01029</t>
        </is>
      </c>
    </row>
    <row r="3831">
      <c r="A3831" t="inlineStr">
        <is>
          <t xml:space="preserve">SHRIPISTON</t>
        </is>
      </c>
      <c r="B3831" t="inlineStr">
        <is>
          <t xml:space="preserve">SPR Auto Technologies Limited</t>
        </is>
      </c>
      <c r="C3831" t="inlineStr">
        <is>
          <t xml:space="preserve">INE526E01018</t>
        </is>
      </c>
    </row>
    <row r="3832">
      <c r="A3832" t="inlineStr">
        <is>
          <t xml:space="preserve">SPRAYKING</t>
        </is>
      </c>
      <c r="B3832" t="inlineStr">
        <is>
          <t xml:space="preserve">Sprayking Limited</t>
        </is>
      </c>
      <c r="C3832" t="inlineStr">
        <is>
          <t xml:space="preserve">INE537U01037</t>
        </is>
      </c>
    </row>
    <row r="3833">
      <c r="A3833" t="inlineStr">
        <is>
          <t xml:space="preserve">SPRIGHT</t>
        </is>
      </c>
      <c r="B3833" t="inlineStr">
        <is>
          <t xml:space="preserve">SPRIGHT AGRO LIMITED</t>
        </is>
      </c>
      <c r="C3833" t="inlineStr">
        <is>
          <t xml:space="preserve">INE179O01031</t>
        </is>
      </c>
    </row>
    <row r="3834">
      <c r="A3834" t="inlineStr">
        <is>
          <t xml:space="preserve">SFPIL</t>
        </is>
      </c>
      <c r="B3834" t="inlineStr">
        <is>
          <t xml:space="preserve">SQUARE FOUR PROJECTS INDIA LIM</t>
        </is>
      </c>
      <c r="C3834" t="inlineStr">
        <is>
          <t xml:space="preserve">INE716K01020</t>
        </is>
      </c>
    </row>
    <row r="3835">
      <c r="A3835" t="inlineStr">
        <is>
          <t xml:space="preserve">SRHHYPOLTD</t>
        </is>
      </c>
      <c r="B3835" t="inlineStr">
        <is>
          <t xml:space="preserve">SREE RAYALASEEMA HI-STRENGTH H</t>
        </is>
      </c>
      <c r="C3835" t="inlineStr">
        <is>
          <t xml:space="preserve">INE917H01012</t>
        </is>
      </c>
    </row>
    <row r="3836">
      <c r="A3836" t="inlineStr">
        <is>
          <t xml:space="preserve">SREEL</t>
        </is>
      </c>
      <c r="B3836" t="inlineStr">
        <is>
          <t xml:space="preserve">SREELEATHERS LTD.</t>
        </is>
      </c>
      <c r="C3836" t="inlineStr">
        <is>
          <t xml:space="preserve">INE099F01013</t>
        </is>
      </c>
    </row>
    <row r="3837">
      <c r="A3837" t="inlineStr">
        <is>
          <t xml:space="preserve">SRESTHA</t>
        </is>
      </c>
      <c r="B3837" t="inlineStr">
        <is>
          <t xml:space="preserve">Srestha Finvest Limited</t>
        </is>
      </c>
      <c r="C3837" t="inlineStr">
        <is>
          <t xml:space="preserve">INE606K01049</t>
        </is>
      </c>
    </row>
    <row r="3838">
      <c r="A3838" t="inlineStr">
        <is>
          <t xml:space="preserve">SRF</t>
        </is>
      </c>
      <c r="B3838" t="inlineStr">
        <is>
          <t xml:space="preserve">SRF LTD.</t>
        </is>
      </c>
      <c r="C3838" t="inlineStr">
        <is>
          <t xml:space="preserve">INE647A01010</t>
        </is>
      </c>
    </row>
    <row r="3839">
      <c r="A3839" t="inlineStr">
        <is>
          <t xml:space="preserve">SRGHFL</t>
        </is>
      </c>
      <c r="B3839" t="inlineStr">
        <is>
          <t xml:space="preserve">SRG HOUSING FINANCE LTD.</t>
        </is>
      </c>
      <c r="C3839" t="inlineStr">
        <is>
          <t xml:space="preserve">INE559N01010</t>
        </is>
      </c>
    </row>
    <row r="3840">
      <c r="A3840" t="inlineStr">
        <is>
          <t xml:space="preserve">SRICC</t>
        </is>
      </c>
      <c r="B3840" t="inlineStr">
        <is>
          <t xml:space="preserve">Sri Chakra Cement Limited</t>
        </is>
      </c>
      <c r="C3840" t="inlineStr">
        <is>
          <t xml:space="preserve">INE827D01020</t>
        </is>
      </c>
    </row>
    <row r="3841">
      <c r="A3841" t="inlineStr">
        <is>
          <t xml:space="preserve">HAVISHA</t>
        </is>
      </c>
      <c r="B3841" t="inlineStr">
        <is>
          <t xml:space="preserve">SRI HAVISHA HOSPITALITY INFRAS</t>
        </is>
      </c>
      <c r="C3841" t="inlineStr">
        <is>
          <t xml:space="preserve">INE293B01029</t>
        </is>
      </c>
    </row>
    <row r="3842">
      <c r="A3842" t="inlineStr">
        <is>
          <t xml:space="preserve">SRIKPRIND</t>
        </is>
      </c>
      <c r="B3842" t="inlineStr">
        <is>
          <t xml:space="preserve">SRI KPR INDUSTRIES LTD.</t>
        </is>
      </c>
      <c r="C3842" t="inlineStr">
        <is>
          <t xml:space="preserve">INE009C01019</t>
        </is>
      </c>
    </row>
    <row r="3843">
      <c r="A3843" t="inlineStr">
        <is>
          <t xml:space="preserve">SLSTLQ</t>
        </is>
      </c>
      <c r="B3843" t="inlineStr">
        <is>
          <t xml:space="preserve">SRI LAKSHMI SARASWATHI TEXTILE</t>
        </is>
      </c>
      <c r="C3843" t="inlineStr">
        <is>
          <t xml:space="preserve">INE456D01010</t>
        </is>
      </c>
    </row>
    <row r="3844">
      <c r="A3844" t="inlineStr">
        <is>
          <t xml:space="preserve">LOTUSDEV</t>
        </is>
      </c>
      <c r="B3844" t="inlineStr">
        <is>
          <t xml:space="preserve">Sri Lotus Developers and Realt</t>
        </is>
      </c>
      <c r="C3844" t="inlineStr">
        <is>
          <t xml:space="preserve">INE0V9Q01010</t>
        </is>
      </c>
    </row>
    <row r="3845">
      <c r="A3845" t="inlineStr">
        <is>
          <t xml:space="preserve">SRINACHA</t>
        </is>
      </c>
      <c r="B3845" t="inlineStr">
        <is>
          <t xml:space="preserve">SRI NACHAMMAI COTTON MILLS LTD</t>
        </is>
      </c>
      <c r="C3845" t="inlineStr">
        <is>
          <t xml:space="preserve">INE443E01016</t>
        </is>
      </c>
    </row>
    <row r="3846">
      <c r="A3846" t="inlineStr">
        <is>
          <t xml:space="preserve">SRMCL</t>
        </is>
      </c>
      <c r="B3846" t="inlineStr">
        <is>
          <t xml:space="preserve">SRI RAMAKRISHNA MILLS (COIMBAT</t>
        </is>
      </c>
      <c r="C3846" t="inlineStr">
        <is>
          <t xml:space="preserve">INE306D01017</t>
        </is>
      </c>
    </row>
    <row r="3847">
      <c r="A3847" t="inlineStr">
        <is>
          <t xml:space="preserve">SRIGEE</t>
        </is>
      </c>
      <c r="B3847" t="inlineStr">
        <is>
          <t xml:space="preserve">SRIGEE DLM LIMITED</t>
        </is>
      </c>
      <c r="C3847" t="inlineStr">
        <is>
          <t xml:space="preserve">INE0RJ901010</t>
        </is>
      </c>
    </row>
    <row r="3848">
      <c r="A3848" t="inlineStr">
        <is>
          <t xml:space="preserve">SRM</t>
        </is>
      </c>
      <c r="B3848" t="inlineStr">
        <is>
          <t xml:space="preserve">SRM CONTRACTORS LIMITED</t>
        </is>
      </c>
      <c r="C3848" t="inlineStr">
        <is>
          <t xml:space="preserve">INE0R6Z01013</t>
        </is>
      </c>
    </row>
    <row r="3849">
      <c r="A3849" t="inlineStr">
        <is>
          <t xml:space="preserve">SRMENERGY</t>
        </is>
      </c>
      <c r="B3849" t="inlineStr">
        <is>
          <t xml:space="preserve">SRM ENERGY LTD.</t>
        </is>
      </c>
      <c r="C3849" t="inlineStr">
        <is>
          <t xml:space="preserve">INE173J01018</t>
        </is>
      </c>
    </row>
    <row r="3850">
      <c r="A3850" t="inlineStr">
        <is>
          <t xml:space="preserve">SRUSTEELS</t>
        </is>
      </c>
      <c r="B3850" t="inlineStr">
        <is>
          <t xml:space="preserve">SRU Steels Limited</t>
        </is>
      </c>
      <c r="C3850" t="inlineStr">
        <is>
          <t xml:space="preserve">INE425C01017</t>
        </is>
      </c>
    </row>
    <row r="3851">
      <c r="A3851" t="inlineStr">
        <is>
          <t xml:space="preserve">1125SSFL28</t>
        </is>
      </c>
      <c r="B3851" t="inlineStr">
        <is>
          <t xml:space="preserve">SSFL-11.25%-26-24-28-PVT</t>
        </is>
      </c>
      <c r="C3851" t="inlineStr">
        <is>
          <t xml:space="preserve">INE572J07810</t>
        </is>
      </c>
    </row>
    <row r="3852">
      <c r="A3852" t="inlineStr">
        <is>
          <t xml:space="preserve">SSMD</t>
        </is>
      </c>
      <c r="B3852" t="inlineStr">
        <is>
          <t xml:space="preserve">SSMD AGROTECH INDIA LIMITED</t>
        </is>
      </c>
      <c r="C3852" t="inlineStr">
        <is>
          <t xml:space="preserve">INE1U2R01013</t>
        </is>
      </c>
    </row>
    <row r="3853">
      <c r="A3853" t="inlineStr">
        <is>
          <t xml:space="preserve">SSPDL</t>
        </is>
      </c>
      <c r="B3853" t="inlineStr">
        <is>
          <t xml:space="preserve">SSPDL LTD.</t>
        </is>
      </c>
      <c r="C3853" t="inlineStr">
        <is>
          <t xml:space="preserve">INE838C01011</t>
        </is>
      </c>
    </row>
    <row r="3854">
      <c r="A3854" t="inlineStr">
        <is>
          <t xml:space="preserve">STALLION</t>
        </is>
      </c>
      <c r="B3854" t="inlineStr">
        <is>
          <t xml:space="preserve">Stallion India Fluorochemicals</t>
        </is>
      </c>
      <c r="C3854" t="inlineStr">
        <is>
          <t xml:space="preserve">INE0RYC01010</t>
        </is>
      </c>
    </row>
    <row r="3855">
      <c r="A3855" t="inlineStr">
        <is>
          <t xml:space="preserve">STANBIK</t>
        </is>
      </c>
      <c r="B3855" t="inlineStr">
        <is>
          <t xml:space="preserve">STANBIK AGRO LIMITED</t>
        </is>
      </c>
      <c r="C3855" t="inlineStr">
        <is>
          <t xml:space="preserve">INE16QA01011</t>
        </is>
      </c>
    </row>
    <row r="3856">
      <c r="A3856" t="inlineStr">
        <is>
          <t xml:space="preserve">STDBAT</t>
        </is>
      </c>
      <c r="B3856" t="inlineStr">
        <is>
          <t xml:space="preserve">STANDARD BATTERIES LTD.</t>
        </is>
      </c>
      <c r="C3856" t="inlineStr">
        <is>
          <t xml:space="preserve">INE502C01039</t>
        </is>
      </c>
    </row>
    <row r="3857">
      <c r="A3857" t="inlineStr">
        <is>
          <t xml:space="preserve">STANCAP</t>
        </is>
      </c>
      <c r="B3857" t="inlineStr">
        <is>
          <t xml:space="preserve">STANDARD CAPITAL MARKETS LTD.</t>
        </is>
      </c>
      <c r="C3857" t="inlineStr">
        <is>
          <t xml:space="preserve">INE625D01028</t>
        </is>
      </c>
    </row>
    <row r="3858">
      <c r="A3858" t="inlineStr">
        <is>
          <t xml:space="preserve">SETL</t>
        </is>
      </c>
      <c r="B3858" t="inlineStr">
        <is>
          <t xml:space="preserve">STANDARD ENGINEERING TECHNOLOG</t>
        </is>
      </c>
      <c r="C3858" t="inlineStr">
        <is>
          <t xml:space="preserve">INE0M4D01010</t>
        </is>
      </c>
    </row>
    <row r="3859">
      <c r="A3859" t="inlineStr">
        <is>
          <t xml:space="preserve">SIL</t>
        </is>
      </c>
      <c r="B3859" t="inlineStr">
        <is>
          <t xml:space="preserve">STANDARD INDUSTRIES LTD.</t>
        </is>
      </c>
      <c r="C3859" t="inlineStr">
        <is>
          <t xml:space="preserve">INE173A01025</t>
        </is>
      </c>
    </row>
    <row r="3860">
      <c r="A3860" t="inlineStr">
        <is>
          <t xml:space="preserve">STDSFAC</t>
        </is>
      </c>
      <c r="B3860" t="inlineStr">
        <is>
          <t xml:space="preserve">STANDARD SURFACTANTS LTD.</t>
        </is>
      </c>
      <c r="C3860" t="inlineStr">
        <is>
          <t xml:space="preserve">INE307D01015</t>
        </is>
      </c>
    </row>
    <row r="3861">
      <c r="A3861" t="inlineStr">
        <is>
          <t xml:space="preserve">STANLEY</t>
        </is>
      </c>
      <c r="B3861" t="inlineStr">
        <is>
          <t xml:space="preserve">STANLEY LIFESTYLES LIMITED</t>
        </is>
      </c>
      <c r="C3861" t="inlineStr">
        <is>
          <t xml:space="preserve">INE01A001028</t>
        </is>
      </c>
    </row>
    <row r="3862">
      <c r="A3862" t="inlineStr">
        <is>
          <t xml:space="preserve">STARCEMENT</t>
        </is>
      </c>
      <c r="B3862" t="inlineStr">
        <is>
          <t xml:space="preserve">Star Cement Limited</t>
        </is>
      </c>
      <c r="C3862" t="inlineStr">
        <is>
          <t xml:space="preserve">INE460H01021</t>
        </is>
      </c>
    </row>
    <row r="3863">
      <c r="A3863" t="inlineStr">
        <is>
          <t xml:space="preserve">STARDELTA</t>
        </is>
      </c>
      <c r="B3863" t="inlineStr">
        <is>
          <t xml:space="preserve">STAR DELTA TRANSFORMERS LIMITE</t>
        </is>
      </c>
      <c r="C3863" t="inlineStr">
        <is>
          <t xml:space="preserve">INE541K01014</t>
        </is>
      </c>
    </row>
    <row r="3864">
      <c r="A3864" t="inlineStr">
        <is>
          <t xml:space="preserve">STARHEALTH</t>
        </is>
      </c>
      <c r="B3864" t="inlineStr">
        <is>
          <t xml:space="preserve">Star Health and Allied Insuran</t>
        </is>
      </c>
      <c r="C3864" t="inlineStr">
        <is>
          <t xml:space="preserve">INE575P01011</t>
        </is>
      </c>
    </row>
    <row r="3865">
      <c r="A3865" t="inlineStr">
        <is>
          <t xml:space="preserve">STARHFL</t>
        </is>
      </c>
      <c r="B3865" t="inlineStr">
        <is>
          <t xml:space="preserve">STAR HOUSING FINANCE LIMITED</t>
        </is>
      </c>
      <c r="C3865" t="inlineStr">
        <is>
          <t xml:space="preserve">INE526R01028</t>
        </is>
      </c>
    </row>
    <row r="3866">
      <c r="A3866" t="inlineStr">
        <is>
          <t xml:space="preserve">STARIMAGIN</t>
        </is>
      </c>
      <c r="B3866" t="inlineStr">
        <is>
          <t xml:space="preserve">STAR IMAGING AND PATH LAB LIMI</t>
        </is>
      </c>
      <c r="C3866" t="inlineStr">
        <is>
          <t xml:space="preserve">INE0YG001013</t>
        </is>
      </c>
    </row>
    <row r="3867">
      <c r="A3867" t="inlineStr">
        <is>
          <t xml:space="preserve">STARPAPER</t>
        </is>
      </c>
      <c r="B3867" t="inlineStr">
        <is>
          <t xml:space="preserve">STAR PAPER MILLS LTD.</t>
        </is>
      </c>
      <c r="C3867" t="inlineStr">
        <is>
          <t xml:space="preserve">INE733A01018</t>
        </is>
      </c>
    </row>
    <row r="3868">
      <c r="A3868" t="inlineStr">
        <is>
          <t xml:space="preserve">STARLENT</t>
        </is>
      </c>
      <c r="B3868" t="inlineStr">
        <is>
          <t xml:space="preserve">STARLINEPS ENTERPRISES LIMITED</t>
        </is>
      </c>
      <c r="C3868" t="inlineStr">
        <is>
          <t xml:space="preserve">INE594W01042</t>
        </is>
      </c>
    </row>
    <row r="3869">
      <c r="A3869" t="inlineStr">
        <is>
          <t xml:space="preserve">STARLOG</t>
        </is>
      </c>
      <c r="B3869" t="inlineStr">
        <is>
          <t xml:space="preserve">Starlog Enterprises Limited</t>
        </is>
      </c>
      <c r="C3869" t="inlineStr">
        <is>
          <t xml:space="preserve">INE580C01019</t>
        </is>
      </c>
    </row>
    <row r="3870">
      <c r="A3870" t="inlineStr">
        <is>
          <t xml:space="preserve">STARSOURCE</t>
        </is>
      </c>
      <c r="B3870" t="inlineStr">
        <is>
          <t xml:space="preserve">STARSOURCE MULTITRADE LIMITED</t>
        </is>
      </c>
      <c r="C3870" t="inlineStr">
        <is>
          <t xml:space="preserve">INE320M01019</t>
        </is>
      </c>
    </row>
    <row r="3871">
      <c r="A3871" t="inlineStr">
        <is>
          <t xml:space="preserve">STARTECK</t>
        </is>
      </c>
      <c r="B3871" t="inlineStr">
        <is>
          <t xml:space="preserve">STARTECK FINANCE LIMITED</t>
        </is>
      </c>
      <c r="C3871" t="inlineStr">
        <is>
          <t xml:space="preserve">INE992I01013</t>
        </is>
      </c>
    </row>
    <row r="3872">
      <c r="A3872" t="inlineStr">
        <is>
          <t xml:space="preserve">SBIN</t>
        </is>
      </c>
      <c r="B3872" t="inlineStr">
        <is>
          <t xml:space="preserve">STATE BANK OF INDIA</t>
        </is>
      </c>
      <c r="C3872" t="inlineStr">
        <is>
          <t xml:space="preserve">INE062A01020</t>
        </is>
      </c>
    </row>
    <row r="3873">
      <c r="A3873" t="inlineStr">
        <is>
          <t xml:space="preserve">STCINDIA</t>
        </is>
      </c>
      <c r="B3873" t="inlineStr">
        <is>
          <t xml:space="preserve">STATE TRADING CORPORATION OF I</t>
        </is>
      </c>
      <c r="C3873" t="inlineStr">
        <is>
          <t xml:space="preserve">INE655A01013</t>
        </is>
      </c>
    </row>
    <row r="3874">
      <c r="A3874" t="inlineStr">
        <is>
          <t xml:space="preserve">SAIL</t>
        </is>
      </c>
      <c r="B3874" t="inlineStr">
        <is>
          <t xml:space="preserve">STEEL AUTHORITY OF INDIA LTD.</t>
        </is>
      </c>
      <c r="C3874" t="inlineStr">
        <is>
          <t xml:space="preserve">INE114A01011</t>
        </is>
      </c>
    </row>
    <row r="3875">
      <c r="A3875" t="inlineStr">
        <is>
          <t xml:space="preserve">STEELXIND</t>
        </is>
      </c>
      <c r="B3875" t="inlineStr">
        <is>
          <t xml:space="preserve">STEEL EXCHANGE INDIA LTD.</t>
        </is>
      </c>
      <c r="C3875" t="inlineStr">
        <is>
          <t xml:space="preserve">INE503B01021</t>
        </is>
      </c>
    </row>
    <row r="3876">
      <c r="A3876" t="inlineStr">
        <is>
          <t xml:space="preserve">STLSTRINF</t>
        </is>
      </c>
      <c r="B3876" t="inlineStr">
        <is>
          <t xml:space="preserve">STEEL STRIPS INFRASTRUCTURES L</t>
        </is>
      </c>
      <c r="C3876" t="inlineStr">
        <is>
          <t xml:space="preserve">INE205F01016</t>
        </is>
      </c>
    </row>
    <row r="3877">
      <c r="A3877" t="inlineStr">
        <is>
          <t xml:space="preserve">SSWL</t>
        </is>
      </c>
      <c r="B3877" t="inlineStr">
        <is>
          <t xml:space="preserve">STEEL STRIPS WHEELS LTD.</t>
        </is>
      </c>
      <c r="C3877" t="inlineStr">
        <is>
          <t xml:space="preserve">INE802C01033</t>
        </is>
      </c>
    </row>
    <row r="3878">
      <c r="A3878" t="inlineStr">
        <is>
          <t xml:space="preserve">STEELCAS</t>
        </is>
      </c>
      <c r="B3878" t="inlineStr">
        <is>
          <t xml:space="preserve">STEELCAST LTD.</t>
        </is>
      </c>
      <c r="C3878" t="inlineStr">
        <is>
          <t xml:space="preserve">INE124E01038</t>
        </is>
      </c>
    </row>
    <row r="3879">
      <c r="A3879" t="inlineStr">
        <is>
          <t xml:space="preserve">STEL</t>
        </is>
      </c>
      <c r="B3879" t="inlineStr">
        <is>
          <t xml:space="preserve">STEL HOLDINGS LIMITED</t>
        </is>
      </c>
      <c r="C3879" t="inlineStr">
        <is>
          <t xml:space="preserve">INE577L01016</t>
        </is>
      </c>
    </row>
    <row r="3880">
      <c r="A3880" t="inlineStr">
        <is>
          <t xml:space="preserve">STELLANT</t>
        </is>
      </c>
      <c r="B3880" t="inlineStr">
        <is>
          <t xml:space="preserve">STELLANT SECURITIES (INDIA) LT</t>
        </is>
      </c>
      <c r="C3880" t="inlineStr">
        <is>
          <t xml:space="preserve">INE395F01023</t>
        </is>
      </c>
    </row>
    <row r="3881">
      <c r="A3881" t="inlineStr">
        <is>
          <t xml:space="preserve">STEP2COR</t>
        </is>
      </c>
      <c r="B3881" t="inlineStr">
        <is>
          <t xml:space="preserve">STEP TWO CORPORATION LTD.</t>
        </is>
      </c>
      <c r="C3881" t="inlineStr">
        <is>
          <t xml:space="preserve">INE623D01015</t>
        </is>
      </c>
    </row>
    <row r="3882">
      <c r="A3882" t="inlineStr">
        <is>
          <t xml:space="preserve">SWSOLAR</t>
        </is>
      </c>
      <c r="B3882" t="inlineStr">
        <is>
          <t xml:space="preserve">STERLING AND WILSON RENEWABLE</t>
        </is>
      </c>
      <c r="C3882" t="inlineStr">
        <is>
          <t xml:space="preserve">INE00M201021</t>
        </is>
      </c>
    </row>
    <row r="3883">
      <c r="A3883" t="inlineStr">
        <is>
          <t xml:space="preserve">STRGRENWO</t>
        </is>
      </c>
      <c r="B3883" t="inlineStr">
        <is>
          <t xml:space="preserve">STERLING GREEN WOODS LTD.</t>
        </is>
      </c>
      <c r="C3883" t="inlineStr">
        <is>
          <t xml:space="preserve">INE398F01019</t>
        </is>
      </c>
    </row>
    <row r="3884">
      <c r="A3884" t="inlineStr">
        <is>
          <t xml:space="preserve">STERPOW</t>
        </is>
      </c>
      <c r="B3884" t="inlineStr">
        <is>
          <t xml:space="preserve">STERLING POWERGENSYS LTD</t>
        </is>
      </c>
      <c r="C3884" t="inlineStr">
        <is>
          <t xml:space="preserve">INE067E01013</t>
        </is>
      </c>
    </row>
    <row r="3885">
      <c r="A3885" t="inlineStr">
        <is>
          <t xml:space="preserve">STERTOOLS</t>
        </is>
      </c>
      <c r="B3885" t="inlineStr">
        <is>
          <t xml:space="preserve">STERLING TOOLS LTD.</t>
        </is>
      </c>
      <c r="C3885" t="inlineStr">
        <is>
          <t xml:space="preserve">INE334A01023</t>
        </is>
      </c>
    </row>
    <row r="3886">
      <c r="A3886" t="inlineStr">
        <is>
          <t xml:space="preserve">STLTECH</t>
        </is>
      </c>
      <c r="B3886" t="inlineStr">
        <is>
          <t xml:space="preserve">STERLITE TECHNOLOGIES LTD.</t>
        </is>
      </c>
      <c r="C3886" t="inlineStr">
        <is>
          <t xml:space="preserve">INE089C01029</t>
        </is>
      </c>
    </row>
    <row r="3887">
      <c r="A3887" t="inlineStr">
        <is>
          <t xml:space="preserve">SGL</t>
        </is>
      </c>
      <c r="B3887" t="inlineStr">
        <is>
          <t xml:space="preserve">STL GLOBAL LTD.</t>
        </is>
      </c>
      <c r="C3887" t="inlineStr">
        <is>
          <t xml:space="preserve">INE353H01010</t>
        </is>
      </c>
    </row>
    <row r="3888">
      <c r="A3888" t="inlineStr">
        <is>
          <t xml:space="preserve">STLNETWORK</t>
        </is>
      </c>
      <c r="B3888" t="inlineStr">
        <is>
          <t xml:space="preserve">STL Networks Limited</t>
        </is>
      </c>
      <c r="C3888" t="inlineStr">
        <is>
          <t xml:space="preserve">INE1VXE01018</t>
        </is>
      </c>
    </row>
    <row r="3889">
      <c r="A3889" t="inlineStr">
        <is>
          <t xml:space="preserve">STAL</t>
        </is>
      </c>
      <c r="B3889" t="inlineStr">
        <is>
          <t xml:space="preserve">Storage Technologies and Autom</t>
        </is>
      </c>
      <c r="C3889" t="inlineStr">
        <is>
          <t xml:space="preserve">INE0RGM01016</t>
        </is>
      </c>
    </row>
    <row r="3890">
      <c r="A3890" t="inlineStr">
        <is>
          <t xml:space="preserve">STOVEKRAFT</t>
        </is>
      </c>
      <c r="B3890" t="inlineStr">
        <is>
          <t xml:space="preserve">STOVE KRAFT LIMITED</t>
        </is>
      </c>
      <c r="C3890" t="inlineStr">
        <is>
          <t xml:space="preserve">INE00IN01015</t>
        </is>
      </c>
    </row>
    <row r="3891">
      <c r="A3891" t="inlineStr">
        <is>
          <t xml:space="preserve">STOVACQ</t>
        </is>
      </c>
      <c r="B3891" t="inlineStr">
        <is>
          <t xml:space="preserve">STOVEC INDUSTRIES LTD.</t>
        </is>
      </c>
      <c r="C3891" t="inlineStr">
        <is>
          <t xml:space="preserve">INE755D01015</t>
        </is>
      </c>
    </row>
    <row r="3892">
      <c r="A3892" t="inlineStr">
        <is>
          <t xml:space="preserve">STRATMONT</t>
        </is>
      </c>
      <c r="B3892" t="inlineStr">
        <is>
          <t xml:space="preserve">STRATMONT INDUSTRIES LIMITED</t>
        </is>
      </c>
      <c r="C3892" t="inlineStr">
        <is>
          <t xml:space="preserve">INE473C01025</t>
        </is>
      </c>
    </row>
    <row r="3893">
      <c r="A3893" t="inlineStr">
        <is>
          <t xml:space="preserve">STAR</t>
        </is>
      </c>
      <c r="B3893" t="inlineStr">
        <is>
          <t xml:space="preserve">STRIDES PHARMA SCIENCE LIMITED</t>
        </is>
      </c>
      <c r="C3893" t="inlineStr">
        <is>
          <t xml:space="preserve">INE939A01011</t>
        </is>
      </c>
    </row>
    <row r="3894">
      <c r="A3894" t="inlineStr">
        <is>
          <t xml:space="preserve">META</t>
        </is>
      </c>
      <c r="B3894" t="inlineStr">
        <is>
          <t xml:space="preserve">STRING METAVERSE LIMITED</t>
        </is>
      </c>
      <c r="C3894" t="inlineStr">
        <is>
          <t xml:space="preserve">INE958L01034</t>
        </is>
      </c>
    </row>
    <row r="3895">
      <c r="A3895" t="inlineStr">
        <is>
          <t xml:space="preserve">STUDDS</t>
        </is>
      </c>
      <c r="B3895" t="inlineStr">
        <is>
          <t xml:space="preserve">Studds Accessories Limited</t>
        </is>
      </c>
      <c r="C3895" t="inlineStr">
        <is>
          <t xml:space="preserve">INE00Q601028</t>
        </is>
      </c>
    </row>
    <row r="3896">
      <c r="A3896" t="inlineStr">
        <is>
          <t xml:space="preserve">STYLAMIND</t>
        </is>
      </c>
      <c r="B3896" t="inlineStr">
        <is>
          <t xml:space="preserve">STYLAM INDUSTRIES LIMITED</t>
        </is>
      </c>
      <c r="C3896" t="inlineStr">
        <is>
          <t xml:space="preserve">INE239C01020</t>
        </is>
      </c>
    </row>
    <row r="3897">
      <c r="A3897" t="inlineStr">
        <is>
          <t xml:space="preserve">STYRENIX</t>
        </is>
      </c>
      <c r="B3897" t="inlineStr">
        <is>
          <t xml:space="preserve">Styrenix Performance Materials</t>
        </is>
      </c>
      <c r="C3897" t="inlineStr">
        <is>
          <t xml:space="preserve">INE189B01011</t>
        </is>
      </c>
    </row>
    <row r="3898">
      <c r="A3898" t="inlineStr">
        <is>
          <t xml:space="preserve">SUBAM</t>
        </is>
      </c>
      <c r="B3898" t="inlineStr">
        <is>
          <t xml:space="preserve">SUBAM PAPERS LIMITED</t>
        </is>
      </c>
      <c r="C3898" t="inlineStr">
        <is>
          <t xml:space="preserve">INE0U6201010</t>
        </is>
      </c>
    </row>
    <row r="3899">
      <c r="A3899" t="inlineStr">
        <is>
          <t xml:space="preserve">SUBEXLTD</t>
        </is>
      </c>
      <c r="B3899" t="inlineStr">
        <is>
          <t xml:space="preserve">SUBEX LTD.</t>
        </is>
      </c>
      <c r="C3899" t="inlineStr">
        <is>
          <t xml:space="preserve">INE754A01055</t>
        </is>
      </c>
    </row>
    <row r="3900">
      <c r="A3900" t="inlineStr">
        <is>
          <t xml:space="preserve">SUBROS</t>
        </is>
      </c>
      <c r="B3900" t="inlineStr">
        <is>
          <t xml:space="preserve">SUBROS LTD.</t>
        </is>
      </c>
      <c r="C3900" t="inlineStr">
        <is>
          <t xml:space="preserve">INE287B01021</t>
        </is>
      </c>
    </row>
    <row r="3901">
      <c r="A3901" t="inlineStr">
        <is>
          <t xml:space="preserve">SUDAI</t>
        </is>
      </c>
      <c r="B3901" t="inlineStr">
        <is>
          <t xml:space="preserve">SUDAL INDUSTRIES LTD.</t>
        </is>
      </c>
      <c r="C3901" t="inlineStr">
        <is>
          <t xml:space="preserve">INE618D01015</t>
        </is>
      </c>
    </row>
    <row r="3902">
      <c r="A3902" t="inlineStr">
        <is>
          <t xml:space="preserve">SUDARSCHEM</t>
        </is>
      </c>
      <c r="B3902" t="inlineStr">
        <is>
          <t xml:space="preserve">SUDARSHAN CHEMICAL INDUSTRIES</t>
        </is>
      </c>
      <c r="C3902" t="inlineStr">
        <is>
          <t xml:space="preserve">INE659A01023</t>
        </is>
      </c>
    </row>
    <row r="3903">
      <c r="A3903" t="inlineStr">
        <is>
          <t xml:space="preserve">SUDARCOLOR</t>
        </is>
      </c>
      <c r="B3903" t="inlineStr">
        <is>
          <t xml:space="preserve">Sudarshan Colorants India Limi</t>
        </is>
      </c>
      <c r="C3903" t="inlineStr">
        <is>
          <t xml:space="preserve">INE492A01029</t>
        </is>
      </c>
    </row>
    <row r="3904">
      <c r="A3904" t="inlineStr">
        <is>
          <t xml:space="preserve">SUDARSHAN</t>
        </is>
      </c>
      <c r="B3904" t="inlineStr">
        <is>
          <t xml:space="preserve">SUDARSHAN PHARMA INDUSTRIES LI</t>
        </is>
      </c>
      <c r="C3904" t="inlineStr">
        <is>
          <t xml:space="preserve">INE00TV01023</t>
        </is>
      </c>
    </row>
    <row r="3905">
      <c r="A3905" t="inlineStr">
        <is>
          <t xml:space="preserve">SUDEEPPHRM</t>
        </is>
      </c>
      <c r="B3905" t="inlineStr">
        <is>
          <t xml:space="preserve">Sudeep Pharma Limited</t>
        </is>
      </c>
      <c r="C3905" t="inlineStr">
        <is>
          <t xml:space="preserve">INE0QPI01025</t>
        </is>
      </c>
    </row>
    <row r="3906">
      <c r="A3906" t="inlineStr">
        <is>
          <t xml:space="preserve">SUDTIND-B</t>
        </is>
      </c>
      <c r="B3906" t="inlineStr">
        <is>
          <t xml:space="preserve">SUDITI INDUSTRIES LTD.</t>
        </is>
      </c>
      <c r="C3906" t="inlineStr">
        <is>
          <t xml:space="preserve">INE691D01012</t>
        </is>
      </c>
    </row>
    <row r="3907">
      <c r="A3907" t="inlineStr">
        <is>
          <t xml:space="preserve">SUGALDAM</t>
        </is>
      </c>
      <c r="B3907" t="inlineStr">
        <is>
          <t xml:space="preserve">SUGAL &amp; DAMANI SHARE BROKERS L</t>
        </is>
      </c>
      <c r="C3907" t="inlineStr">
        <is>
          <t xml:space="preserve">INE309D01011</t>
        </is>
      </c>
    </row>
    <row r="3908">
      <c r="A3908" t="inlineStr">
        <is>
          <t xml:space="preserve">SUGSLLOYD</t>
        </is>
      </c>
      <c r="B3908" t="inlineStr">
        <is>
          <t xml:space="preserve">SUGS LLOYD LIMITED</t>
        </is>
      </c>
      <c r="C3908" t="inlineStr">
        <is>
          <t xml:space="preserve">INE0XX801016</t>
        </is>
      </c>
    </row>
    <row r="3909">
      <c r="A3909" t="inlineStr">
        <is>
          <t xml:space="preserve">SUJALA</t>
        </is>
      </c>
      <c r="B3909" t="inlineStr">
        <is>
          <t xml:space="preserve">Sujala Trading &amp; Holding Ltd.</t>
        </is>
      </c>
      <c r="C3909" t="inlineStr">
        <is>
          <t xml:space="preserve">INE029H01016</t>
        </is>
      </c>
    </row>
    <row r="3910">
      <c r="A3910" t="inlineStr">
        <is>
          <t xml:space="preserve">SUKHJITS</t>
        </is>
      </c>
      <c r="B3910" t="inlineStr">
        <is>
          <t xml:space="preserve">SUKHJIT STARCH &amp; CHEMICALS LTD</t>
        </is>
      </c>
      <c r="C3910" t="inlineStr">
        <is>
          <t xml:space="preserve">INE450E01029</t>
        </is>
      </c>
    </row>
    <row r="3911">
      <c r="A3911" t="inlineStr">
        <is>
          <t xml:space="preserve">SULA</t>
        </is>
      </c>
      <c r="B3911" t="inlineStr">
        <is>
          <t xml:space="preserve">Sula Vineyards Limited</t>
        </is>
      </c>
      <c r="C3911" t="inlineStr">
        <is>
          <t xml:space="preserve">INE142Q01026</t>
        </is>
      </c>
    </row>
    <row r="3912">
      <c r="A3912" t="inlineStr">
        <is>
          <t xml:space="preserve">SULABEN</t>
        </is>
      </c>
      <c r="B3912" t="inlineStr">
        <is>
          <t xml:space="preserve">SULABH ENGINEERS &amp; SERVICES LT</t>
        </is>
      </c>
      <c r="C3912" t="inlineStr">
        <is>
          <t xml:space="preserve">INE673M01029</t>
        </is>
      </c>
    </row>
    <row r="3913">
      <c r="A3913" t="inlineStr">
        <is>
          <t xml:space="preserve">SUMEDHA</t>
        </is>
      </c>
      <c r="B3913" t="inlineStr">
        <is>
          <t xml:space="preserve">SUMEDHA FISCAL SERVICES LTD.</t>
        </is>
      </c>
      <c r="C3913" t="inlineStr">
        <is>
          <t xml:space="preserve">INE886B01012</t>
        </is>
      </c>
    </row>
    <row r="3914">
      <c r="A3914" t="inlineStr">
        <is>
          <t xml:space="preserve">SUMEET-RE</t>
        </is>
      </c>
      <c r="B3914" t="inlineStr">
        <is>
          <t xml:space="preserve">Sumeet Industries Ltd</t>
        </is>
      </c>
      <c r="C3914" t="inlineStr">
        <is>
          <t xml:space="preserve">INE235C20010</t>
        </is>
      </c>
    </row>
    <row r="3915">
      <c r="A3915" t="inlineStr">
        <is>
          <t xml:space="preserve">SUMEETINDS</t>
        </is>
      </c>
      <c r="B3915" t="inlineStr">
        <is>
          <t xml:space="preserve">SUMEET INDUSTRIES LTD.</t>
        </is>
      </c>
      <c r="C3915" t="inlineStr">
        <is>
          <t xml:space="preserve">INE235C01036</t>
        </is>
      </c>
    </row>
    <row r="3916">
      <c r="A3916" t="inlineStr">
        <is>
          <t xml:space="preserve">SUMERUIND</t>
        </is>
      </c>
      <c r="B3916" t="inlineStr">
        <is>
          <t xml:space="preserve">SUMERU INDUSTRIES LTD.</t>
        </is>
      </c>
      <c r="C3916" t="inlineStr">
        <is>
          <t xml:space="preserve">INE764B01029</t>
        </is>
      </c>
    </row>
    <row r="3917">
      <c r="A3917" t="inlineStr">
        <is>
          <t xml:space="preserve">SUMICHEM</t>
        </is>
      </c>
      <c r="B3917" t="inlineStr">
        <is>
          <t xml:space="preserve">SUMITOMO CHEMICAL INDIA LIMITE</t>
        </is>
      </c>
      <c r="C3917" t="inlineStr">
        <is>
          <t xml:space="preserve">INE258G01013</t>
        </is>
      </c>
    </row>
    <row r="3918">
      <c r="A3918" t="inlineStr">
        <is>
          <t xml:space="preserve">SUMMITSEC</t>
        </is>
      </c>
      <c r="B3918" t="inlineStr">
        <is>
          <t xml:space="preserve">SUMMIT SECURITIES LTD.</t>
        </is>
      </c>
      <c r="C3918" t="inlineStr">
        <is>
          <t xml:space="preserve">INE519C01017</t>
        </is>
      </c>
    </row>
    <row r="3919">
      <c r="A3919" t="inlineStr">
        <is>
          <t xml:space="preserve">SPARC</t>
        </is>
      </c>
      <c r="B3919" t="inlineStr">
        <is>
          <t xml:space="preserve">SUN PHARMA ADVANCED RESEARCH C</t>
        </is>
      </c>
      <c r="C3919" t="inlineStr">
        <is>
          <t xml:space="preserve">INE232I01014</t>
        </is>
      </c>
    </row>
    <row r="3920">
      <c r="A3920" t="inlineStr">
        <is>
          <t xml:space="preserve">SUNPHARMA</t>
        </is>
      </c>
      <c r="B3920" t="inlineStr">
        <is>
          <t xml:space="preserve">SUN PHARMACEUTICAL INDUSTRIES</t>
        </is>
      </c>
      <c r="C3920" t="inlineStr">
        <is>
          <t xml:space="preserve">INE044A01036</t>
        </is>
      </c>
    </row>
    <row r="3921">
      <c r="A3921" t="inlineStr">
        <is>
          <t xml:space="preserve">SUNRETAIL</t>
        </is>
      </c>
      <c r="B3921" t="inlineStr">
        <is>
          <t xml:space="preserve">Sun Retail Limited</t>
        </is>
      </c>
      <c r="C3921" t="inlineStr">
        <is>
          <t xml:space="preserve">INE206Z01020</t>
        </is>
      </c>
    </row>
    <row r="3922">
      <c r="A3922" t="inlineStr">
        <is>
          <t xml:space="preserve">SUNTV</t>
        </is>
      </c>
      <c r="B3922" t="inlineStr">
        <is>
          <t xml:space="preserve">SUN TV NETWORK LTD.</t>
        </is>
      </c>
      <c r="C3922" t="inlineStr">
        <is>
          <t xml:space="preserve">INE424H01027</t>
        </is>
      </c>
    </row>
    <row r="3923">
      <c r="A3923" t="inlineStr">
        <is>
          <t xml:space="preserve">SCTL</t>
        </is>
      </c>
      <c r="B3923" t="inlineStr">
        <is>
          <t xml:space="preserve">Suncare Traders Limited</t>
        </is>
      </c>
      <c r="C3923" t="inlineStr">
        <is>
          <t xml:space="preserve">INE452S01025</t>
        </is>
      </c>
    </row>
    <row r="3924">
      <c r="A3924" t="inlineStr">
        <is>
          <t xml:space="preserve">SUNDRMBRAK</t>
        </is>
      </c>
      <c r="B3924" t="inlineStr">
        <is>
          <t xml:space="preserve">SUNDARAM BRAKE LININGS LTD.</t>
        </is>
      </c>
      <c r="C3924" t="inlineStr">
        <is>
          <t xml:space="preserve">INE073D01013</t>
        </is>
      </c>
    </row>
    <row r="3925">
      <c r="A3925" t="inlineStr">
        <is>
          <t xml:space="preserve">SUNDARMFIN</t>
        </is>
      </c>
      <c r="B3925" t="inlineStr">
        <is>
          <t xml:space="preserve">SUNDARAM FINANCE LTD.</t>
        </is>
      </c>
      <c r="C3925" t="inlineStr">
        <is>
          <t xml:space="preserve">INE660A01013</t>
        </is>
      </c>
    </row>
    <row r="3926">
      <c r="A3926" t="inlineStr">
        <is>
          <t xml:space="preserve">SUNDARAM</t>
        </is>
      </c>
      <c r="B3926" t="inlineStr">
        <is>
          <t xml:space="preserve">SUNDARAM MULTI PAP LTD.</t>
        </is>
      </c>
      <c r="C3926" t="inlineStr">
        <is>
          <t xml:space="preserve">INE108E01023</t>
        </is>
      </c>
    </row>
    <row r="3927">
      <c r="A3927" t="inlineStr">
        <is>
          <t xml:space="preserve">SUNCLAY</t>
        </is>
      </c>
      <c r="B3927" t="inlineStr">
        <is>
          <t xml:space="preserve">SUNDARAM-CLAYTON LIMITED</t>
        </is>
      </c>
      <c r="C3927" t="inlineStr">
        <is>
          <t xml:space="preserve">INE0Q3R01026</t>
        </is>
      </c>
    </row>
    <row r="3928">
      <c r="A3928" t="inlineStr">
        <is>
          <t xml:space="preserve">SUNDRMFAST</t>
        </is>
      </c>
      <c r="B3928" t="inlineStr">
        <is>
          <t xml:space="preserve">SUNDRAM FASTENERS LTD.</t>
        </is>
      </c>
      <c r="C3928" t="inlineStr">
        <is>
          <t xml:space="preserve">INE387A01021</t>
        </is>
      </c>
    </row>
    <row r="3929">
      <c r="A3929" t="inlineStr">
        <is>
          <t xml:space="preserve">SUNDROP</t>
        </is>
      </c>
      <c r="B3929" t="inlineStr">
        <is>
          <t xml:space="preserve">SUNDROP BRANDS LIMITED</t>
        </is>
      </c>
      <c r="C3929" t="inlineStr">
        <is>
          <t xml:space="preserve">INE209A01019</t>
        </is>
      </c>
    </row>
    <row r="3930">
      <c r="A3930" t="inlineStr">
        <is>
          <t xml:space="preserve">SUNFLAG</t>
        </is>
      </c>
      <c r="B3930" t="inlineStr">
        <is>
          <t xml:space="preserve">SUNFLAG IRON &amp; STEEL CO.LTD.</t>
        </is>
      </c>
      <c r="C3930" t="inlineStr">
        <is>
          <t xml:space="preserve">INE947A01014</t>
        </is>
      </c>
    </row>
    <row r="3931">
      <c r="A3931" t="inlineStr">
        <is>
          <t xml:space="preserve">SUNGOLD</t>
        </is>
      </c>
      <c r="B3931" t="inlineStr">
        <is>
          <t xml:space="preserve">SUNGOLD CAPITAL LTD.</t>
        </is>
      </c>
      <c r="C3931" t="inlineStr">
        <is>
          <t xml:space="preserve">INE271D01013</t>
        </is>
      </c>
    </row>
    <row r="3932">
      <c r="A3932" t="inlineStr">
        <is>
          <t xml:space="preserve">SUNILAGR</t>
        </is>
      </c>
      <c r="B3932" t="inlineStr">
        <is>
          <t xml:space="preserve">SUNIL AGRO FOODS LTD.</t>
        </is>
      </c>
      <c r="C3932" t="inlineStr">
        <is>
          <t xml:space="preserve">INE224D01012</t>
        </is>
      </c>
    </row>
    <row r="3933">
      <c r="A3933" t="inlineStr">
        <is>
          <t xml:space="preserve">SUNLOC</t>
        </is>
      </c>
      <c r="B3933" t="inlineStr">
        <is>
          <t xml:space="preserve">SUNIL HEALTHCARE LTD</t>
        </is>
      </c>
      <c r="C3933" t="inlineStr">
        <is>
          <t xml:space="preserve">INE671C01016</t>
        </is>
      </c>
    </row>
    <row r="3934">
      <c r="A3934" t="inlineStr">
        <is>
          <t xml:space="preserve">SUNITATOOL</t>
        </is>
      </c>
      <c r="B3934" t="inlineStr">
        <is>
          <t xml:space="preserve">Sunita Tools Limited</t>
        </is>
      </c>
      <c r="C3934" t="inlineStr">
        <is>
          <t xml:space="preserve">INE0Q1S01010</t>
        </is>
      </c>
    </row>
    <row r="3935">
      <c r="A3935" t="inlineStr">
        <is>
          <t xml:space="preserve">SUNRAJDI</t>
        </is>
      </c>
      <c r="B3935" t="inlineStr">
        <is>
          <t xml:space="preserve">SUNRAJ DIAMOND EXPORTS LTD.</t>
        </is>
      </c>
      <c r="C3935" t="inlineStr">
        <is>
          <t xml:space="preserve">INE459D01014</t>
        </is>
      </c>
    </row>
    <row r="3936">
      <c r="A3936" t="inlineStr">
        <is>
          <t xml:space="preserve">SUNRAKSHAK</t>
        </is>
      </c>
      <c r="B3936" t="inlineStr">
        <is>
          <t xml:space="preserve">SUNRAKSHAKK INDUSTRIES INDIA L</t>
        </is>
      </c>
      <c r="C3936" t="inlineStr">
        <is>
          <t xml:space="preserve">INE671K01027</t>
        </is>
      </c>
    </row>
    <row r="3937">
      <c r="A3937" t="inlineStr">
        <is>
          <t xml:space="preserve">SEML</t>
        </is>
      </c>
      <c r="B3937" t="inlineStr">
        <is>
          <t xml:space="preserve">Sunrise Efficient Marketing Li</t>
        </is>
      </c>
      <c r="C3937" t="inlineStr">
        <is>
          <t xml:space="preserve">INE0KPY01017</t>
        </is>
      </c>
    </row>
    <row r="3938">
      <c r="A3938" t="inlineStr">
        <is>
          <t xml:space="preserve">SUNSHIEL</t>
        </is>
      </c>
      <c r="B3938" t="inlineStr">
        <is>
          <t xml:space="preserve">SUNSHIELD CHEMICALS LTD.</t>
        </is>
      </c>
      <c r="C3938" t="inlineStr">
        <is>
          <t xml:space="preserve">INE199E01014</t>
        </is>
      </c>
    </row>
    <row r="3939">
      <c r="A3939" t="inlineStr">
        <is>
          <t xml:space="preserve">SUNTECK</t>
        </is>
      </c>
      <c r="B3939" t="inlineStr">
        <is>
          <t xml:space="preserve">SUNTECK REALTY LTD.</t>
        </is>
      </c>
      <c r="C3939" t="inlineStr">
        <is>
          <t xml:space="preserve">INE805D01034</t>
        </is>
      </c>
    </row>
    <row r="3940">
      <c r="A3940" t="inlineStr">
        <is>
          <t xml:space="preserve">SUPERBAK</t>
        </is>
      </c>
      <c r="B3940" t="inlineStr">
        <is>
          <t xml:space="preserve">SUPER BAKERS (INDIA) LTD.</t>
        </is>
      </c>
      <c r="C3940" t="inlineStr">
        <is>
          <t xml:space="preserve">INE897A01011</t>
        </is>
      </c>
    </row>
    <row r="3941">
      <c r="A3941" t="inlineStr">
        <is>
          <t xml:space="preserve">SUCROSA</t>
        </is>
      </c>
      <c r="B3941" t="inlineStr">
        <is>
          <t xml:space="preserve">SUPER CROP SAFE LTD.</t>
        </is>
      </c>
      <c r="C3941" t="inlineStr">
        <is>
          <t xml:space="preserve">INE366G01022</t>
        </is>
      </c>
    </row>
    <row r="3942">
      <c r="A3942" t="inlineStr">
        <is>
          <t xml:space="preserve">SKL</t>
        </is>
      </c>
      <c r="B3942" t="inlineStr">
        <is>
          <t xml:space="preserve">SUPER FINE KNITTERS LIMITED</t>
        </is>
      </c>
      <c r="C3942" t="inlineStr">
        <is>
          <t xml:space="preserve">INE459U01018</t>
        </is>
      </c>
    </row>
    <row r="3943">
      <c r="A3943" t="inlineStr">
        <is>
          <t xml:space="preserve">SUPERIRON</t>
        </is>
      </c>
      <c r="B3943" t="inlineStr">
        <is>
          <t xml:space="preserve">Super Iron Foundry Limited</t>
        </is>
      </c>
      <c r="C3943" t="inlineStr">
        <is>
          <t xml:space="preserve">INE16IQ01014</t>
        </is>
      </c>
    </row>
    <row r="3944">
      <c r="A3944" t="inlineStr">
        <is>
          <t xml:space="preserve">SUPER</t>
        </is>
      </c>
      <c r="B3944" t="inlineStr">
        <is>
          <t xml:space="preserve">SUPER SALES INDIA LTD.</t>
        </is>
      </c>
      <c r="C3944" t="inlineStr">
        <is>
          <t xml:space="preserve">INE091C01017</t>
        </is>
      </c>
    </row>
    <row r="3945">
      <c r="A3945" t="inlineStr">
        <is>
          <t xml:space="preserve">SUPERSPIN</t>
        </is>
      </c>
      <c r="B3945" t="inlineStr">
        <is>
          <t xml:space="preserve">SUPER SPINNING MILLS LTD.</t>
        </is>
      </c>
      <c r="C3945" t="inlineStr">
        <is>
          <t xml:space="preserve">INE662A01027</t>
        </is>
      </c>
    </row>
    <row r="3946">
      <c r="A3946" t="inlineStr">
        <is>
          <t xml:space="preserve">SUPTANERY</t>
        </is>
      </c>
      <c r="B3946" t="inlineStr">
        <is>
          <t xml:space="preserve">SUPER TANNERY LIMITED</t>
        </is>
      </c>
      <c r="C3946" t="inlineStr">
        <is>
          <t xml:space="preserve">INE460D01038</t>
        </is>
      </c>
    </row>
    <row r="3947">
      <c r="A3947" t="inlineStr">
        <is>
          <t xml:space="preserve">SUPERHOUSE</t>
        </is>
      </c>
      <c r="B3947" t="inlineStr">
        <is>
          <t xml:space="preserve">SUPERHOUSE LTD.</t>
        </is>
      </c>
      <c r="C3947" t="inlineStr">
        <is>
          <t xml:space="preserve">INE712B01010</t>
        </is>
      </c>
    </row>
    <row r="3948">
      <c r="A3948" t="inlineStr">
        <is>
          <t xml:space="preserve">SUPERIOR</t>
        </is>
      </c>
      <c r="B3948" t="inlineStr">
        <is>
          <t xml:space="preserve">Superior Finlease Limited</t>
        </is>
      </c>
      <c r="C3948" t="inlineStr">
        <is>
          <t xml:space="preserve">INE574R01028</t>
        </is>
      </c>
    </row>
    <row r="3949">
      <c r="A3949" t="inlineStr">
        <is>
          <t xml:space="preserve">SIEL</t>
        </is>
      </c>
      <c r="B3949" t="inlineStr">
        <is>
          <t xml:space="preserve">SUPERIOR INDUSTRIAL ENTERPRISE</t>
        </is>
      </c>
      <c r="C3949" t="inlineStr">
        <is>
          <t xml:space="preserve">INE843L01012</t>
        </is>
      </c>
    </row>
    <row r="3950">
      <c r="A3950" t="inlineStr">
        <is>
          <t xml:space="preserve">SEVL</t>
        </is>
      </c>
      <c r="B3950" t="inlineStr">
        <is>
          <t xml:space="preserve">SUPERTECH EV LIMITED</t>
        </is>
      </c>
      <c r="C3950" t="inlineStr">
        <is>
          <t xml:space="preserve">INE0SC101013</t>
        </is>
      </c>
    </row>
    <row r="3951">
      <c r="A3951" t="inlineStr">
        <is>
          <t xml:space="preserve">SUPERTEX</t>
        </is>
      </c>
      <c r="B3951" t="inlineStr">
        <is>
          <t xml:space="preserve">SUPERTEX INDUSTRIES LTD.</t>
        </is>
      </c>
      <c r="C3951" t="inlineStr">
        <is>
          <t xml:space="preserve">INE881B01054</t>
        </is>
      </c>
    </row>
    <row r="3952">
      <c r="A3952" t="inlineStr">
        <is>
          <t xml:space="preserve">SUPHA</t>
        </is>
      </c>
      <c r="B3952" t="inlineStr">
        <is>
          <t xml:space="preserve">SUPHA PHARMACHEM LIMITED</t>
        </is>
      </c>
      <c r="C3952" t="inlineStr">
        <is>
          <t xml:space="preserve">INE549S01036</t>
        </is>
      </c>
    </row>
    <row r="3953">
      <c r="A3953" t="inlineStr">
        <is>
          <t xml:space="preserve">SUPRAPFSL</t>
        </is>
      </c>
      <c r="B3953" t="inlineStr">
        <is>
          <t xml:space="preserve">Supra Pacific Financial Servic</t>
        </is>
      </c>
      <c r="C3953" t="inlineStr">
        <is>
          <t xml:space="preserve">INE268T01015</t>
        </is>
      </c>
    </row>
    <row r="3954">
      <c r="A3954" t="inlineStr">
        <is>
          <t xml:space="preserve">SUPRATRE</t>
        </is>
      </c>
      <c r="B3954" t="inlineStr">
        <is>
          <t xml:space="preserve">Supra Trends Limited</t>
        </is>
      </c>
      <c r="C3954" t="inlineStr">
        <is>
          <t xml:space="preserve">INE533B01028</t>
        </is>
      </c>
    </row>
    <row r="3955">
      <c r="A3955" t="inlineStr">
        <is>
          <t xml:space="preserve">SUPRAJIT</t>
        </is>
      </c>
      <c r="B3955" t="inlineStr">
        <is>
          <t xml:space="preserve">SUPRAJIT ENGINEERING LTD.</t>
        </is>
      </c>
      <c r="C3955" t="inlineStr">
        <is>
          <t xml:space="preserve">INE399C01030</t>
        </is>
      </c>
    </row>
    <row r="3956">
      <c r="A3956" t="inlineStr">
        <is>
          <t xml:space="preserve">SUPREME</t>
        </is>
      </c>
      <c r="B3956" t="inlineStr">
        <is>
          <t xml:space="preserve">SUPREME HOLDINGS &amp; HOSPITALITY</t>
        </is>
      </c>
      <c r="C3956" t="inlineStr">
        <is>
          <t xml:space="preserve">INE822E01011</t>
        </is>
      </c>
    </row>
    <row r="3957">
      <c r="A3957" t="inlineStr">
        <is>
          <t xml:space="preserve">SUPREMEIND</t>
        </is>
      </c>
      <c r="B3957" t="inlineStr">
        <is>
          <t xml:space="preserve">SUPREME INDUSTRIES LTD.</t>
        </is>
      </c>
      <c r="C3957" t="inlineStr">
        <is>
          <t xml:space="preserve">INE195A01028</t>
        </is>
      </c>
    </row>
    <row r="3958">
      <c r="A3958" t="inlineStr">
        <is>
          <t xml:space="preserve">SUPREMEINF</t>
        </is>
      </c>
      <c r="B3958" t="inlineStr">
        <is>
          <t xml:space="preserve">SUPREME INFRASTRUCTURE INDIA L</t>
        </is>
      </c>
      <c r="C3958" t="inlineStr">
        <is>
          <t xml:space="preserve">INE550H01011</t>
        </is>
      </c>
    </row>
    <row r="3959">
      <c r="A3959" t="inlineStr">
        <is>
          <t xml:space="preserve">SPLPETRO</t>
        </is>
      </c>
      <c r="B3959" t="inlineStr">
        <is>
          <t xml:space="preserve">SUPREME PETROCHEM LTD.</t>
        </is>
      </c>
      <c r="C3959" t="inlineStr">
        <is>
          <t xml:space="preserve">INE663A01033</t>
        </is>
      </c>
    </row>
    <row r="3960">
      <c r="A3960" t="inlineStr">
        <is>
          <t xml:space="preserve">SUPRIYA</t>
        </is>
      </c>
      <c r="B3960" t="inlineStr">
        <is>
          <t xml:space="preserve">Supriya Lifescience Limited</t>
        </is>
      </c>
      <c r="C3960" t="inlineStr">
        <is>
          <t xml:space="preserve">INE07RO01027</t>
        </is>
      </c>
    </row>
    <row r="3961">
      <c r="A3961" t="inlineStr">
        <is>
          <t xml:space="preserve">SURAJEST</t>
        </is>
      </c>
      <c r="B3961" t="inlineStr">
        <is>
          <t xml:space="preserve">Suraj Estate Developers Limite</t>
        </is>
      </c>
      <c r="C3961" t="inlineStr">
        <is>
          <t xml:space="preserve">INE843S01025</t>
        </is>
      </c>
    </row>
    <row r="3962">
      <c r="A3962" t="inlineStr">
        <is>
          <t xml:space="preserve">SURJIND</t>
        </is>
      </c>
      <c r="B3962" t="inlineStr">
        <is>
          <t xml:space="preserve">SURAJ INDUSTRIES LTD.</t>
        </is>
      </c>
      <c r="C3962" t="inlineStr">
        <is>
          <t xml:space="preserve">INE170U01011</t>
        </is>
      </c>
    </row>
    <row r="3963">
      <c r="A3963" t="inlineStr">
        <is>
          <t xml:space="preserve">SURAJ</t>
        </is>
      </c>
      <c r="B3963" t="inlineStr">
        <is>
          <t xml:space="preserve">SURAJ PRODUCTS LTD.</t>
        </is>
      </c>
      <c r="C3963" t="inlineStr">
        <is>
          <t xml:space="preserve">INE069E01019</t>
        </is>
      </c>
    </row>
    <row r="3964">
      <c r="A3964" t="inlineStr">
        <is>
          <t xml:space="preserve">SURAKSHA</t>
        </is>
      </c>
      <c r="B3964" t="inlineStr">
        <is>
          <t xml:space="preserve">SURAKSHA DIAGNOSTIC LIMITED</t>
        </is>
      </c>
      <c r="C3964" t="inlineStr">
        <is>
          <t xml:space="preserve">INE877V01027</t>
        </is>
      </c>
    </row>
    <row r="3965">
      <c r="A3965" t="inlineStr">
        <is>
          <t xml:space="preserve">SURANASOL</t>
        </is>
      </c>
      <c r="B3965" t="inlineStr">
        <is>
          <t xml:space="preserve">SURANA SOLAR LTD.</t>
        </is>
      </c>
      <c r="C3965" t="inlineStr">
        <is>
          <t xml:space="preserve">INE272L01022</t>
        </is>
      </c>
    </row>
    <row r="3966">
      <c r="A3966" t="inlineStr">
        <is>
          <t xml:space="preserve">SURANAT&amp;P</t>
        </is>
      </c>
      <c r="B3966" t="inlineStr">
        <is>
          <t xml:space="preserve">SURANA TELECOM AND POWER LIMIT</t>
        </is>
      </c>
      <c r="C3966" t="inlineStr">
        <is>
          <t xml:space="preserve">INE130B01031</t>
        </is>
      </c>
    </row>
    <row r="3967">
      <c r="A3967" t="inlineStr">
        <is>
          <t xml:space="preserve">SURATRAML</t>
        </is>
      </c>
      <c r="B3967" t="inlineStr">
        <is>
          <t xml:space="preserve">Surat Trade and Mercantile Lim</t>
        </is>
      </c>
      <c r="C3967" t="inlineStr">
        <is>
          <t xml:space="preserve">INE936A01025</t>
        </is>
      </c>
    </row>
    <row r="3968">
      <c r="A3968" t="inlineStr">
        <is>
          <t xml:space="preserve">SBGLP</t>
        </is>
      </c>
      <c r="B3968" t="inlineStr">
        <is>
          <t xml:space="preserve">SURATWWALA BUSINESS GROUP LIMI</t>
        </is>
      </c>
      <c r="C3968" t="inlineStr">
        <is>
          <t xml:space="preserve">INE05ST01028</t>
        </is>
      </c>
    </row>
    <row r="3969">
      <c r="A3969" t="inlineStr">
        <is>
          <t xml:space="preserve">SURBHIN</t>
        </is>
      </c>
      <c r="B3969" t="inlineStr">
        <is>
          <t xml:space="preserve">SURBHI INDUSTRIES LTD.</t>
        </is>
      </c>
      <c r="C3969" t="inlineStr">
        <is>
          <t xml:space="preserve">INE899E01019</t>
        </is>
      </c>
    </row>
    <row r="3970">
      <c r="A3970" t="inlineStr">
        <is>
          <t xml:space="preserve">SARVOTTAM</t>
        </is>
      </c>
      <c r="B3970" t="inlineStr">
        <is>
          <t xml:space="preserve">Survottam Finvest Ltd.</t>
        </is>
      </c>
      <c r="C3970" t="inlineStr">
        <is>
          <t xml:space="preserve">INE822Q01015</t>
        </is>
      </c>
    </row>
    <row r="3971">
      <c r="A3971" t="inlineStr">
        <is>
          <t xml:space="preserve">SURYAROSNI</t>
        </is>
      </c>
      <c r="B3971" t="inlineStr">
        <is>
          <t xml:space="preserve">SURYA ROSHNI LTD.</t>
        </is>
      </c>
      <c r="C3971" t="inlineStr">
        <is>
          <t xml:space="preserve">INE335A01020</t>
        </is>
      </c>
    </row>
    <row r="3972">
      <c r="A3972" t="inlineStr">
        <is>
          <t xml:space="preserve">SURYAAMBA</t>
        </is>
      </c>
      <c r="B3972" t="inlineStr">
        <is>
          <t xml:space="preserve">SURYAAMBA SPINNING MILLS LTD.</t>
        </is>
      </c>
      <c r="C3972" t="inlineStr">
        <is>
          <t xml:space="preserve">INE360J01011</t>
        </is>
      </c>
    </row>
    <row r="3973">
      <c r="A3973" t="inlineStr">
        <is>
          <t xml:space="preserve">SURYALAXMI</t>
        </is>
      </c>
      <c r="B3973" t="inlineStr">
        <is>
          <t xml:space="preserve">SURYALAKSHMI COTTON MILLS LTD.</t>
        </is>
      </c>
      <c r="C3973" t="inlineStr">
        <is>
          <t xml:space="preserve">INE713B01026</t>
        </is>
      </c>
    </row>
    <row r="3974">
      <c r="A3974" t="inlineStr">
        <is>
          <t xml:space="preserve">SURYALA</t>
        </is>
      </c>
      <c r="B3974" t="inlineStr">
        <is>
          <t xml:space="preserve">SURYALATA SPINNING MILLS LTD.</t>
        </is>
      </c>
      <c r="C3974" t="inlineStr">
        <is>
          <t xml:space="preserve">INE132C01027</t>
        </is>
      </c>
    </row>
    <row r="3975">
      <c r="A3975" t="inlineStr">
        <is>
          <t xml:space="preserve">SURFI</t>
        </is>
      </c>
      <c r="B3975" t="inlineStr">
        <is>
          <t xml:space="preserve">SURYO FOODS &amp; INDUSTRIES LTD.</t>
        </is>
      </c>
      <c r="C3975" t="inlineStr">
        <is>
          <t xml:space="preserve">INE565E01016</t>
        </is>
      </c>
    </row>
    <row r="3976">
      <c r="A3976" t="inlineStr">
        <is>
          <t xml:space="preserve">SURYODAY</t>
        </is>
      </c>
      <c r="B3976" t="inlineStr">
        <is>
          <t xml:space="preserve">Suryoday Small Finance Bank Li</t>
        </is>
      </c>
      <c r="C3976" t="inlineStr">
        <is>
          <t xml:space="preserve">INE428Q01011</t>
        </is>
      </c>
    </row>
    <row r="3977">
      <c r="A3977" t="inlineStr">
        <is>
          <t xml:space="preserve">SUSAN</t>
        </is>
      </c>
      <c r="B3977" t="inlineStr">
        <is>
          <t xml:space="preserve">Susan Electricals India Limite</t>
        </is>
      </c>
      <c r="C3977" t="inlineStr">
        <is>
          <t xml:space="preserve">INE2L0V01019</t>
        </is>
      </c>
    </row>
    <row r="3978">
      <c r="A3978" t="inlineStr">
        <is>
          <t xml:space="preserve">SUTLEJTEX</t>
        </is>
      </c>
      <c r="B3978" t="inlineStr">
        <is>
          <t xml:space="preserve">SUTLEJ TEXTILES &amp; INDUSTRIES L</t>
        </is>
      </c>
      <c r="C3978" t="inlineStr">
        <is>
          <t xml:space="preserve">INE645H01027</t>
        </is>
      </c>
    </row>
    <row r="3979">
      <c r="A3979" t="inlineStr">
        <is>
          <t xml:space="preserve">SUVEN</t>
        </is>
      </c>
      <c r="B3979" t="inlineStr">
        <is>
          <t xml:space="preserve">SUVEN LIFE SCIENCES LTD.</t>
        </is>
      </c>
      <c r="C3979" t="inlineStr">
        <is>
          <t xml:space="preserve">INE495B01038</t>
        </is>
      </c>
    </row>
    <row r="3980">
      <c r="A3980" t="inlineStr">
        <is>
          <t xml:space="preserve">SUVIDHAA</t>
        </is>
      </c>
      <c r="B3980" t="inlineStr">
        <is>
          <t xml:space="preserve">Suvidhaa Infoserve Limited</t>
        </is>
      </c>
      <c r="C3980" t="inlineStr">
        <is>
          <t xml:space="preserve">INE018401013</t>
        </is>
      </c>
    </row>
    <row r="3981">
      <c r="A3981" t="inlineStr">
        <is>
          <t xml:space="preserve">SUYOG</t>
        </is>
      </c>
      <c r="B3981" t="inlineStr">
        <is>
          <t xml:space="preserve">SUYOG TELEMATICS LTD</t>
        </is>
      </c>
      <c r="C3981" t="inlineStr">
        <is>
          <t xml:space="preserve">INE442P01014</t>
        </is>
      </c>
    </row>
    <row r="3982">
      <c r="A3982" t="inlineStr">
        <is>
          <t xml:space="preserve">SUZLON</t>
        </is>
      </c>
      <c r="B3982" t="inlineStr">
        <is>
          <t xml:space="preserve">SUZLON ENERGY LTD.</t>
        </is>
      </c>
      <c r="C3982" t="inlineStr">
        <is>
          <t xml:space="preserve">INE040H01021</t>
        </is>
      </c>
    </row>
    <row r="3983">
      <c r="A3983" t="inlineStr">
        <is>
          <t xml:space="preserve">SVAMSOF</t>
        </is>
      </c>
      <c r="B3983" t="inlineStr">
        <is>
          <t xml:space="preserve">SVAM SOFTWARE LTD.</t>
        </is>
      </c>
      <c r="C3983" t="inlineStr">
        <is>
          <t xml:space="preserve">INE119B01018</t>
        </is>
      </c>
    </row>
    <row r="3984">
      <c r="A3984" t="inlineStr">
        <is>
          <t xml:space="preserve">ZSVARAJT</t>
        </is>
      </c>
      <c r="B3984" t="inlineStr">
        <is>
          <t xml:space="preserve">SVARAJ TRADING &amp; AGENCIES LTD.</t>
        </is>
      </c>
      <c r="C3984" t="inlineStr">
        <is>
          <t xml:space="preserve">INE406N01014</t>
        </is>
      </c>
    </row>
    <row r="3985">
      <c r="A3985" t="inlineStr">
        <is>
          <t xml:space="preserve">SVCIND</t>
        </is>
      </c>
      <c r="B3985" t="inlineStr">
        <is>
          <t xml:space="preserve">SVC INDUSTRIES LIMITED</t>
        </is>
      </c>
      <c r="C3985" t="inlineStr">
        <is>
          <t xml:space="preserve">INE038B01010</t>
        </is>
      </c>
    </row>
    <row r="3986">
      <c r="A3986" t="inlineStr">
        <is>
          <t xml:space="preserve">SVPGLOB</t>
        </is>
      </c>
      <c r="B3986" t="inlineStr">
        <is>
          <t xml:space="preserve">SVP GLOBAL TEXTILES LIMITED</t>
        </is>
      </c>
      <c r="C3986" t="inlineStr">
        <is>
          <t xml:space="preserve">INE308E01029</t>
        </is>
      </c>
    </row>
    <row r="3987">
      <c r="A3987" t="inlineStr">
        <is>
          <t xml:space="preserve">SVS</t>
        </is>
      </c>
      <c r="B3987" t="inlineStr">
        <is>
          <t xml:space="preserve">SVS VENTURES LIMITED</t>
        </is>
      </c>
      <c r="C3987" t="inlineStr">
        <is>
          <t xml:space="preserve">INE0MID01012</t>
        </is>
      </c>
    </row>
    <row r="3988">
      <c r="A3988" t="inlineStr">
        <is>
          <t xml:space="preserve">SW1</t>
        </is>
      </c>
      <c r="B3988" t="inlineStr">
        <is>
          <t xml:space="preserve">SW INVESTMENTS LTD</t>
        </is>
      </c>
      <c r="C3988" t="inlineStr">
        <is>
          <t xml:space="preserve">INE948K01011</t>
        </is>
      </c>
    </row>
    <row r="3989">
      <c r="A3989" t="inlineStr">
        <is>
          <t xml:space="preserve">SWADEIN</t>
        </is>
      </c>
      <c r="B3989" t="inlineStr">
        <is>
          <t xml:space="preserve">SWADESHI INDUSTRIES LEASING CO</t>
        </is>
      </c>
      <c r="C3989" t="inlineStr">
        <is>
          <t xml:space="preserve">INE716M01034</t>
        </is>
      </c>
    </row>
    <row r="3990">
      <c r="A3990" t="inlineStr">
        <is>
          <t xml:space="preserve">SWADPOL</t>
        </is>
      </c>
      <c r="B3990" t="inlineStr">
        <is>
          <t xml:space="preserve">SWADESHI POLYTEX LTD.</t>
        </is>
      </c>
      <c r="C3990" t="inlineStr">
        <is>
          <t xml:space="preserve">INE243N01029</t>
        </is>
      </c>
    </row>
    <row r="3991">
      <c r="A3991" t="inlineStr">
        <is>
          <t xml:space="preserve">SWANCORP</t>
        </is>
      </c>
      <c r="B3991" t="inlineStr">
        <is>
          <t xml:space="preserve">Swan Corp Limited</t>
        </is>
      </c>
      <c r="C3991" t="inlineStr">
        <is>
          <t xml:space="preserve">INE665A01038</t>
        </is>
      </c>
    </row>
    <row r="3992">
      <c r="A3992" t="inlineStr">
        <is>
          <t xml:space="preserve">SWANDEF</t>
        </is>
      </c>
      <c r="B3992" t="inlineStr">
        <is>
          <t xml:space="preserve">SWAN DEFENCE AND HEAVY INDUSTR</t>
        </is>
      </c>
      <c r="C3992" t="inlineStr">
        <is>
          <t xml:space="preserve">INE542F01020</t>
        </is>
      </c>
    </row>
    <row r="3993">
      <c r="A3993" t="inlineStr">
        <is>
          <t xml:space="preserve">SWARAJENG</t>
        </is>
      </c>
      <c r="B3993" t="inlineStr">
        <is>
          <t xml:space="preserve">SWARAJ ENGINES LTD.</t>
        </is>
      </c>
      <c r="C3993" t="inlineStr">
        <is>
          <t xml:space="preserve">INE277A01016</t>
        </is>
      </c>
    </row>
    <row r="3994">
      <c r="A3994" t="inlineStr">
        <is>
          <t xml:space="preserve">SWRNASE</t>
        </is>
      </c>
      <c r="B3994" t="inlineStr">
        <is>
          <t xml:space="preserve">SWARNA SECURITIES LTD.</t>
        </is>
      </c>
      <c r="C3994" t="inlineStr">
        <is>
          <t xml:space="preserve">INE595G01018</t>
        </is>
      </c>
    </row>
    <row r="3995">
      <c r="A3995" t="inlineStr">
        <is>
          <t xml:space="preserve">SWARNSAR</t>
        </is>
      </c>
      <c r="B3995" t="inlineStr">
        <is>
          <t xml:space="preserve">SWARNSARITA JEWELS INDIA LIMIT</t>
        </is>
      </c>
      <c r="C3995" t="inlineStr">
        <is>
          <t xml:space="preserve">INE967A01012</t>
        </is>
      </c>
    </row>
    <row r="3996">
      <c r="A3996" t="inlineStr">
        <is>
          <t xml:space="preserve">SPL</t>
        </is>
      </c>
      <c r="B3996" t="inlineStr">
        <is>
          <t xml:space="preserve">Swashthik Plascon Limited</t>
        </is>
      </c>
      <c r="C3996" t="inlineStr">
        <is>
          <t xml:space="preserve">INE0RDR01012</t>
        </is>
      </c>
    </row>
    <row r="3997">
      <c r="A3997" t="inlineStr">
        <is>
          <t xml:space="preserve">SVARTCORP</t>
        </is>
      </c>
      <c r="B3997" t="inlineStr">
        <is>
          <t xml:space="preserve">SWASTI VINAYAKA ART AND HERITA</t>
        </is>
      </c>
      <c r="C3997" t="inlineStr">
        <is>
          <t xml:space="preserve">INE895A01023</t>
        </is>
      </c>
    </row>
    <row r="3998">
      <c r="A3998" t="inlineStr">
        <is>
          <t xml:space="preserve">SWASTIVI</t>
        </is>
      </c>
      <c r="B3998" t="inlineStr">
        <is>
          <t xml:space="preserve">SWASTI VINAYAKA SYNTHETICS LTD</t>
        </is>
      </c>
      <c r="C3998" t="inlineStr">
        <is>
          <t xml:space="preserve">INE804A01025</t>
        </is>
      </c>
    </row>
    <row r="3999">
      <c r="A3999" t="inlineStr">
        <is>
          <t xml:space="preserve">SWASTIKA</t>
        </is>
      </c>
      <c r="B3999" t="inlineStr">
        <is>
          <t xml:space="preserve">SWASTIKA INVESTMART LIMITED</t>
        </is>
      </c>
      <c r="C3999" t="inlineStr">
        <is>
          <t xml:space="preserve">INE691C01022</t>
        </is>
      </c>
    </row>
    <row r="4000">
      <c r="A4000" t="inlineStr">
        <is>
          <t xml:space="preserve">SWATIPRO</t>
        </is>
      </c>
      <c r="B4000" t="inlineStr">
        <is>
          <t xml:space="preserve">Swati Projects Limited</t>
        </is>
      </c>
      <c r="C4000" t="inlineStr">
        <is>
          <t xml:space="preserve">INE210F01016</t>
        </is>
      </c>
    </row>
    <row r="4001">
      <c r="A4001" t="inlineStr">
        <is>
          <t xml:space="preserve">SWELECTES</t>
        </is>
      </c>
      <c r="B4001" t="inlineStr">
        <is>
          <t xml:space="preserve">SWELECT ENERGY SYSTEMS LIMITED</t>
        </is>
      </c>
      <c r="C4001" t="inlineStr">
        <is>
          <t xml:space="preserve">INE409B01013</t>
        </is>
      </c>
    </row>
    <row r="4002">
      <c r="A4002" t="inlineStr">
        <is>
          <t xml:space="preserve">SWIGGY</t>
        </is>
      </c>
      <c r="B4002" t="inlineStr">
        <is>
          <t xml:space="preserve">SWIGGY LIMITED</t>
        </is>
      </c>
      <c r="C4002" t="inlineStr">
        <is>
          <t xml:space="preserve">INE00H001014</t>
        </is>
      </c>
    </row>
    <row r="4003">
      <c r="A4003" t="inlineStr">
        <is>
          <t xml:space="preserve">SWISSMLTRY</t>
        </is>
      </c>
      <c r="B4003" t="inlineStr">
        <is>
          <t xml:space="preserve">SWISS MILITARY CONSUMER GOODS</t>
        </is>
      </c>
      <c r="C4003" t="inlineStr">
        <is>
          <t xml:space="preserve">INE010C01025</t>
        </is>
      </c>
    </row>
    <row r="4004">
      <c r="A4004" t="inlineStr">
        <is>
          <t xml:space="preserve">SWITCHTE</t>
        </is>
      </c>
      <c r="B4004" t="inlineStr">
        <is>
          <t xml:space="preserve">SWITCHING TECHNOLOGIES GUNTHER</t>
        </is>
      </c>
      <c r="C4004" t="inlineStr">
        <is>
          <t xml:space="preserve">INE311D01017</t>
        </is>
      </c>
    </row>
    <row r="4005">
      <c r="A4005" t="inlineStr">
        <is>
          <t xml:space="preserve">SWOJAS</t>
        </is>
      </c>
      <c r="B4005" t="inlineStr">
        <is>
          <t xml:space="preserve">SWOJAS FOODS LIMITED</t>
        </is>
      </c>
      <c r="C4005" t="inlineStr">
        <is>
          <t xml:space="preserve">INE295B01016</t>
        </is>
      </c>
    </row>
    <row r="4006">
      <c r="A4006" t="inlineStr">
        <is>
          <t xml:space="preserve">SYLPH</t>
        </is>
      </c>
      <c r="B4006" t="inlineStr">
        <is>
          <t xml:space="preserve">Sylph Industries Limited</t>
        </is>
      </c>
      <c r="C4006" t="inlineStr">
        <is>
          <t xml:space="preserve">INE706F01021</t>
        </is>
      </c>
    </row>
    <row r="4007">
      <c r="A4007" t="inlineStr">
        <is>
          <t xml:space="preserve">SYMBIOX</t>
        </is>
      </c>
      <c r="B4007" t="inlineStr">
        <is>
          <t xml:space="preserve">Symbiox Investment &amp; Trading C</t>
        </is>
      </c>
      <c r="C4007" t="inlineStr">
        <is>
          <t xml:space="preserve">INE653R01012</t>
        </is>
      </c>
    </row>
    <row r="4008">
      <c r="A4008" t="inlineStr">
        <is>
          <t xml:space="preserve">SYMPHONY</t>
        </is>
      </c>
      <c r="B4008" t="inlineStr">
        <is>
          <t xml:space="preserve">SYMPHONY LIMITED</t>
        </is>
      </c>
      <c r="C4008" t="inlineStr">
        <is>
          <t xml:space="preserve">INE225D01027</t>
        </is>
      </c>
    </row>
    <row r="4009">
      <c r="A4009" t="inlineStr">
        <is>
          <t xml:space="preserve">SYNCOMF</t>
        </is>
      </c>
      <c r="B4009" t="inlineStr">
        <is>
          <t xml:space="preserve">SYNCOM FORMULATIONS (INDIA) LT</t>
        </is>
      </c>
      <c r="C4009" t="inlineStr">
        <is>
          <t xml:space="preserve">INE312C01025</t>
        </is>
      </c>
    </row>
    <row r="4010">
      <c r="A4010" t="inlineStr">
        <is>
          <t xml:space="preserve">SGIL</t>
        </is>
      </c>
      <c r="B4010" t="inlineStr">
        <is>
          <t xml:space="preserve">Synergy Green Industries Limit</t>
        </is>
      </c>
      <c r="C4010" t="inlineStr">
        <is>
          <t xml:space="preserve">INE00QT01015</t>
        </is>
      </c>
    </row>
    <row r="4011">
      <c r="A4011" t="inlineStr">
        <is>
          <t xml:space="preserve">SYNGENE</t>
        </is>
      </c>
      <c r="B4011" t="inlineStr">
        <is>
          <t xml:space="preserve">Syngene International Limited</t>
        </is>
      </c>
      <c r="C4011" t="inlineStr">
        <is>
          <t xml:space="preserve">INE398R01022</t>
        </is>
      </c>
    </row>
    <row r="4012">
      <c r="A4012" t="inlineStr">
        <is>
          <t xml:space="preserve">SYRMA</t>
        </is>
      </c>
      <c r="B4012" t="inlineStr">
        <is>
          <t xml:space="preserve">Syrma SGS Technology Limited</t>
        </is>
      </c>
      <c r="C4012" t="inlineStr">
        <is>
          <t xml:space="preserve">INE0DYJ01015</t>
        </is>
      </c>
    </row>
    <row r="4013">
      <c r="A4013" t="inlineStr">
        <is>
          <t xml:space="preserve">SYSCHEM</t>
        </is>
      </c>
      <c r="B4013" t="inlineStr">
        <is>
          <t xml:space="preserve">SYSCHEM (INDIA) LTD.</t>
        </is>
      </c>
      <c r="C4013" t="inlineStr">
        <is>
          <t xml:space="preserve">INE121D01036</t>
        </is>
      </c>
    </row>
    <row r="4014">
      <c r="A4014" t="inlineStr">
        <is>
          <t xml:space="preserve">SYSTEMATIC</t>
        </is>
      </c>
      <c r="B4014" t="inlineStr">
        <is>
          <t xml:space="preserve">SYSTEMATIC INDUSTRIES LIMITED</t>
        </is>
      </c>
      <c r="C4014" t="inlineStr">
        <is>
          <t xml:space="preserve">INE1KLZ01011</t>
        </is>
      </c>
    </row>
    <row r="4015">
      <c r="A4015" t="inlineStr">
        <is>
          <t xml:space="preserve">SYSTMTXC</t>
        </is>
      </c>
      <c r="B4015" t="inlineStr">
        <is>
          <t xml:space="preserve">SYSTEMATIX CORPORATE SERVICES</t>
        </is>
      </c>
      <c r="C4015" t="inlineStr">
        <is>
          <t xml:space="preserve">INE356B01024</t>
        </is>
      </c>
    </row>
    <row r="4016">
      <c r="A4016" t="inlineStr">
        <is>
          <t xml:space="preserve">TIGLOB</t>
        </is>
      </c>
      <c r="B4016" t="inlineStr">
        <is>
          <t xml:space="preserve">T &amp; I GLOBAL LTD.</t>
        </is>
      </c>
      <c r="C4016" t="inlineStr">
        <is>
          <t xml:space="preserve">INE811B01010</t>
        </is>
      </c>
    </row>
    <row r="4017">
      <c r="A4017" t="inlineStr">
        <is>
          <t xml:space="preserve">TDPOWERSYS</t>
        </is>
      </c>
      <c r="B4017" t="inlineStr">
        <is>
          <t xml:space="preserve">T D POWER SYSTEMS LTD.</t>
        </is>
      </c>
      <c r="C4017" t="inlineStr">
        <is>
          <t xml:space="preserve">INE419M01027</t>
        </is>
      </c>
    </row>
    <row r="4018">
      <c r="A4018" t="inlineStr">
        <is>
          <t xml:space="preserve">TTL</t>
        </is>
      </c>
      <c r="B4018" t="inlineStr">
        <is>
          <t xml:space="preserve">T T LTD.</t>
        </is>
      </c>
      <c r="C4018" t="inlineStr">
        <is>
          <t xml:space="preserve">INE592B01024</t>
        </is>
      </c>
    </row>
    <row r="4019">
      <c r="A4019" t="inlineStr">
        <is>
          <t xml:space="preserve">TSPIRITUAL</t>
        </is>
      </c>
      <c r="B4019" t="inlineStr">
        <is>
          <t xml:space="preserve">T.SPIRITUAL WORLD LTD.</t>
        </is>
      </c>
      <c r="C4019" t="inlineStr">
        <is>
          <t xml:space="preserve">INE541C01037</t>
        </is>
      </c>
    </row>
    <row r="4020">
      <c r="A4020" t="inlineStr">
        <is>
          <t xml:space="preserve">TAALTECH</t>
        </is>
      </c>
      <c r="B4020" t="inlineStr">
        <is>
          <t xml:space="preserve">TAAL TECH LIMITED</t>
        </is>
      </c>
      <c r="C4020" t="inlineStr">
        <is>
          <t xml:space="preserve">INE524T01011</t>
        </is>
      </c>
    </row>
    <row r="4021">
      <c r="A4021" t="inlineStr">
        <is>
          <t xml:space="preserve">TAHMARENT</t>
        </is>
      </c>
      <c r="B4021" t="inlineStr">
        <is>
          <t xml:space="preserve">TAHMAR ENTERPRISES LIMITED</t>
        </is>
      </c>
      <c r="C4021" t="inlineStr">
        <is>
          <t xml:space="preserve">INE385D01029</t>
        </is>
      </c>
    </row>
    <row r="4022">
      <c r="A4022" t="inlineStr">
        <is>
          <t xml:space="preserve">TAIIND</t>
        </is>
      </c>
      <c r="B4022" t="inlineStr">
        <is>
          <t xml:space="preserve">TAI INDUSTRIES LTD.</t>
        </is>
      </c>
      <c r="C4022" t="inlineStr">
        <is>
          <t xml:space="preserve">INE358D01018</t>
        </is>
      </c>
    </row>
    <row r="4023">
      <c r="A4023" t="inlineStr">
        <is>
          <t xml:space="preserve">TAINWALCHM</t>
        </is>
      </c>
      <c r="B4023" t="inlineStr">
        <is>
          <t xml:space="preserve">TAINWALA CHEMICALS &amp; PLASTICS</t>
        </is>
      </c>
      <c r="C4023" t="inlineStr">
        <is>
          <t xml:space="preserve">INE123C01018</t>
        </is>
      </c>
    </row>
    <row r="4024">
      <c r="A4024" t="inlineStr">
        <is>
          <t xml:space="preserve">TAJGVK</t>
        </is>
      </c>
      <c r="B4024" t="inlineStr">
        <is>
          <t xml:space="preserve">TAJGVK HOTELS &amp; RESORTS LTD.</t>
        </is>
      </c>
      <c r="C4024" t="inlineStr">
        <is>
          <t xml:space="preserve">INE586B01026</t>
        </is>
      </c>
    </row>
    <row r="4025">
      <c r="A4025" t="inlineStr">
        <is>
          <t xml:space="preserve">TAKE</t>
        </is>
      </c>
      <c r="B4025" t="inlineStr">
        <is>
          <t xml:space="preserve">TAKE SOLUTIONS LTD.</t>
        </is>
      </c>
      <c r="C4025" t="inlineStr">
        <is>
          <t xml:space="preserve">INE142I01023</t>
        </is>
      </c>
    </row>
    <row r="4026">
      <c r="A4026" t="inlineStr">
        <is>
          <t xml:space="preserve">TAKYON</t>
        </is>
      </c>
      <c r="B4026" t="inlineStr">
        <is>
          <t xml:space="preserve">TAKYON NETWORKS LIMITED</t>
        </is>
      </c>
      <c r="C4026" t="inlineStr">
        <is>
          <t xml:space="preserve">INE14OX01013</t>
        </is>
      </c>
    </row>
    <row r="4027">
      <c r="A4027" t="inlineStr">
        <is>
          <t xml:space="preserve">TALBROAUTO</t>
        </is>
      </c>
      <c r="B4027" t="inlineStr">
        <is>
          <t xml:space="preserve">TALBROS AUTOMOTIVE COMPONENTS</t>
        </is>
      </c>
      <c r="C4027" t="inlineStr">
        <is>
          <t xml:space="preserve">INE187D01029</t>
        </is>
      </c>
    </row>
    <row r="4028">
      <c r="A4028" t="inlineStr">
        <is>
          <t xml:space="preserve">TALBROSENG</t>
        </is>
      </c>
      <c r="B4028" t="inlineStr">
        <is>
          <t xml:space="preserve">TALBROS ENGINEERING LIMITED</t>
        </is>
      </c>
      <c r="C4028" t="inlineStr">
        <is>
          <t xml:space="preserve">INE717E01013</t>
        </is>
      </c>
    </row>
    <row r="4029">
      <c r="A4029" t="inlineStr">
        <is>
          <t xml:space="preserve">TAMBOLIIN</t>
        </is>
      </c>
      <c r="B4029" t="inlineStr">
        <is>
          <t xml:space="preserve">TAMBOLI INDUSTRIES LIMITED</t>
        </is>
      </c>
      <c r="C4029" t="inlineStr">
        <is>
          <t xml:space="preserve">INE864J01012</t>
        </is>
      </c>
    </row>
    <row r="4030">
      <c r="A4030" t="inlineStr">
        <is>
          <t xml:space="preserve">TNPL</t>
        </is>
      </c>
      <c r="B4030" t="inlineStr">
        <is>
          <t xml:space="preserve">TAMIL NADU NEWSPRINT &amp; PAPERS</t>
        </is>
      </c>
      <c r="C4030" t="inlineStr">
        <is>
          <t xml:space="preserve">INE107A01015</t>
        </is>
      </c>
    </row>
    <row r="4031">
      <c r="A4031" t="inlineStr">
        <is>
          <t xml:space="preserve">TMB</t>
        </is>
      </c>
      <c r="B4031" t="inlineStr">
        <is>
          <t xml:space="preserve">Tamilnad Mercantile Bank Limit</t>
        </is>
      </c>
      <c r="C4031" t="inlineStr">
        <is>
          <t xml:space="preserve">INE668A01016</t>
        </is>
      </c>
    </row>
    <row r="4032">
      <c r="A4032" t="inlineStr">
        <is>
          <t xml:space="preserve">TNPETRO</t>
        </is>
      </c>
      <c r="B4032" t="inlineStr">
        <is>
          <t xml:space="preserve">TAMILNADU PETROPRODUCTS LTD.</t>
        </is>
      </c>
      <c r="C4032" t="inlineStr">
        <is>
          <t xml:space="preserve">INE148A01019</t>
        </is>
      </c>
    </row>
    <row r="4033">
      <c r="A4033" t="inlineStr">
        <is>
          <t xml:space="preserve">TNSTLTU</t>
        </is>
      </c>
      <c r="B4033" t="inlineStr">
        <is>
          <t xml:space="preserve">TAMILNADU STEEL TUBES LTD.</t>
        </is>
      </c>
      <c r="C4033" t="inlineStr">
        <is>
          <t xml:space="preserve">INE176E01012</t>
        </is>
      </c>
    </row>
    <row r="4034">
      <c r="A4034" t="inlineStr">
        <is>
          <t xml:space="preserve">TNTELE</t>
        </is>
      </c>
      <c r="B4034" t="inlineStr">
        <is>
          <t xml:space="preserve">TAMILNADU TELECOMMUNICATIONS L</t>
        </is>
      </c>
      <c r="C4034" t="inlineStr">
        <is>
          <t xml:space="preserve">INE141D01018</t>
        </is>
      </c>
    </row>
    <row r="4035">
      <c r="A4035" t="inlineStr">
        <is>
          <t xml:space="preserve">TANDHANIN</t>
        </is>
      </c>
      <c r="B4035" t="inlineStr">
        <is>
          <t xml:space="preserve">TANDHAN INDUSTRIES LIMITED</t>
        </is>
      </c>
      <c r="C4035" t="inlineStr">
        <is>
          <t xml:space="preserve">INE896J01014</t>
        </is>
      </c>
    </row>
    <row r="4036">
      <c r="A4036" t="inlineStr">
        <is>
          <t xml:space="preserve">TANAA</t>
        </is>
      </c>
      <c r="B4036" t="inlineStr">
        <is>
          <t xml:space="preserve">TANEJA AEROSPACE &amp; AVIATION LT</t>
        </is>
      </c>
      <c r="C4036" t="inlineStr">
        <is>
          <t xml:space="preserve">INE692C01020</t>
        </is>
      </c>
    </row>
    <row r="4037">
      <c r="A4037" t="inlineStr">
        <is>
          <t xml:space="preserve">TANFACIND</t>
        </is>
      </c>
      <c r="B4037" t="inlineStr">
        <is>
          <t xml:space="preserve">TANFAC INDUSTRIES LTD.</t>
        </is>
      </c>
      <c r="C4037" t="inlineStr">
        <is>
          <t xml:space="preserve">INE639B01023</t>
        </is>
      </c>
    </row>
    <row r="4038">
      <c r="A4038" t="inlineStr">
        <is>
          <t xml:space="preserve">TANLA</t>
        </is>
      </c>
      <c r="B4038" t="inlineStr">
        <is>
          <t xml:space="preserve">TANLA PLATFORMS LIMITED</t>
        </is>
      </c>
      <c r="C4038" t="inlineStr">
        <is>
          <t xml:space="preserve">INE483C01032</t>
        </is>
      </c>
    </row>
    <row r="4039">
      <c r="A4039" t="inlineStr">
        <is>
          <t xml:space="preserve">TANVI</t>
        </is>
      </c>
      <c r="B4039" t="inlineStr">
        <is>
          <t xml:space="preserve">Tanvi Foods (India) Limited</t>
        </is>
      </c>
      <c r="C4039" t="inlineStr">
        <is>
          <t xml:space="preserve">INE978V01015</t>
        </is>
      </c>
    </row>
    <row r="4040">
      <c r="A4040" t="inlineStr">
        <is>
          <t xml:space="preserve">TARAPUR</t>
        </is>
      </c>
      <c r="B4040" t="inlineStr">
        <is>
          <t xml:space="preserve">TARAPUR TRANSFORMERS LTD</t>
        </is>
      </c>
      <c r="C4040" t="inlineStr">
        <is>
          <t xml:space="preserve">INE747K01017</t>
        </is>
      </c>
    </row>
    <row r="4041">
      <c r="A4041" t="inlineStr">
        <is>
          <t xml:space="preserve">TARC</t>
        </is>
      </c>
      <c r="B4041" t="inlineStr">
        <is>
          <t xml:space="preserve">TARC LIMITED</t>
        </is>
      </c>
      <c r="C4041" t="inlineStr">
        <is>
          <t xml:space="preserve">INE0EK901012</t>
        </is>
      </c>
    </row>
    <row r="4042">
      <c r="A4042" t="inlineStr">
        <is>
          <t xml:space="preserve">TARMAT</t>
        </is>
      </c>
      <c r="B4042" t="inlineStr">
        <is>
          <t xml:space="preserve">TARMAT LTD.</t>
        </is>
      </c>
      <c r="C4042" t="inlineStr">
        <is>
          <t xml:space="preserve">INE924H01018</t>
        </is>
      </c>
    </row>
    <row r="4043">
      <c r="A4043" t="inlineStr">
        <is>
          <t xml:space="preserve">TARSONS</t>
        </is>
      </c>
      <c r="B4043" t="inlineStr">
        <is>
          <t xml:space="preserve">Tarsons Products Limited</t>
        </is>
      </c>
      <c r="C4043" t="inlineStr">
        <is>
          <t xml:space="preserve">INE144Z01023</t>
        </is>
      </c>
    </row>
    <row r="4044">
      <c r="A4044" t="inlineStr">
        <is>
          <t xml:space="preserve">TASTYBITE</t>
        </is>
      </c>
      <c r="B4044" t="inlineStr">
        <is>
          <t xml:space="preserve">TASTY BITE EATABLES LTD.</t>
        </is>
      </c>
      <c r="C4044" t="inlineStr">
        <is>
          <t xml:space="preserve">INE488B01017</t>
        </is>
      </c>
    </row>
    <row r="4045">
      <c r="A4045" t="inlineStr">
        <is>
          <t xml:space="preserve">TDSL</t>
        </is>
      </c>
      <c r="B4045" t="inlineStr">
        <is>
          <t xml:space="preserve">Tasty Dairy Specialities Limit</t>
        </is>
      </c>
      <c r="C4045" t="inlineStr">
        <is>
          <t xml:space="preserve">INE773Y01014</t>
        </is>
      </c>
    </row>
    <row r="4046">
      <c r="A4046" t="inlineStr">
        <is>
          <t xml:space="preserve">TATACAP</t>
        </is>
      </c>
      <c r="B4046" t="inlineStr">
        <is>
          <t xml:space="preserve">Tata Capital Limited</t>
        </is>
      </c>
      <c r="C4046" t="inlineStr">
        <is>
          <t xml:space="preserve">INE976I01016</t>
        </is>
      </c>
    </row>
    <row r="4047">
      <c r="A4047" t="inlineStr">
        <is>
          <t xml:space="preserve">TATACHEM</t>
        </is>
      </c>
      <c r="B4047" t="inlineStr">
        <is>
          <t xml:space="preserve">TATA CHEMICALS LTD.</t>
        </is>
      </c>
      <c r="C4047" t="inlineStr">
        <is>
          <t xml:space="preserve">INE092A01019</t>
        </is>
      </c>
    </row>
    <row r="4048">
      <c r="A4048" t="inlineStr">
        <is>
          <t xml:space="preserve">TATACOMM</t>
        </is>
      </c>
      <c r="B4048" t="inlineStr">
        <is>
          <t xml:space="preserve">TATA COMMUNICATIONS LTD.</t>
        </is>
      </c>
      <c r="C4048" t="inlineStr">
        <is>
          <t xml:space="preserve">INE151A01013</t>
        </is>
      </c>
    </row>
    <row r="4049">
      <c r="A4049" t="inlineStr">
        <is>
          <t xml:space="preserve">TCS</t>
        </is>
      </c>
      <c r="B4049" t="inlineStr">
        <is>
          <t xml:space="preserve">TATA CONSULTANCY SERVICES LTD.</t>
        </is>
      </c>
      <c r="C4049" t="inlineStr">
        <is>
          <t xml:space="preserve">INE467B01029</t>
        </is>
      </c>
    </row>
    <row r="4050">
      <c r="A4050" t="inlineStr">
        <is>
          <t xml:space="preserve">TATACONSUM</t>
        </is>
      </c>
      <c r="B4050" t="inlineStr">
        <is>
          <t xml:space="preserve">TATA CONSUMER PRODUCTS LIMITED</t>
        </is>
      </c>
      <c r="C4050" t="inlineStr">
        <is>
          <t xml:space="preserve">INE192A01025</t>
        </is>
      </c>
    </row>
    <row r="4051">
      <c r="A4051" t="inlineStr">
        <is>
          <t xml:space="preserve">TATAELXSI</t>
        </is>
      </c>
      <c r="B4051" t="inlineStr">
        <is>
          <t xml:space="preserve">TATA ELXSI LTD.</t>
        </is>
      </c>
      <c r="C4051" t="inlineStr">
        <is>
          <t xml:space="preserve">INE670A01012</t>
        </is>
      </c>
    </row>
    <row r="4052">
      <c r="A4052" t="inlineStr">
        <is>
          <t xml:space="preserve">TATAINVEST</t>
        </is>
      </c>
      <c r="B4052" t="inlineStr">
        <is>
          <t xml:space="preserve">TATA INVESTMENT CORPORATION LT</t>
        </is>
      </c>
      <c r="C4052" t="inlineStr">
        <is>
          <t xml:space="preserve">INE672A01026</t>
        </is>
      </c>
    </row>
    <row r="4053">
      <c r="A4053" t="inlineStr">
        <is>
          <t xml:space="preserve">TMCV</t>
        </is>
      </c>
      <c r="B4053" t="inlineStr">
        <is>
          <t xml:space="preserve">Tata Motors Limited</t>
        </is>
      </c>
      <c r="C4053" t="inlineStr">
        <is>
          <t xml:space="preserve">INE1TAE01010</t>
        </is>
      </c>
    </row>
    <row r="4054">
      <c r="A4054" t="inlineStr">
        <is>
          <t xml:space="preserve">TMPV</t>
        </is>
      </c>
      <c r="B4054" t="inlineStr">
        <is>
          <t xml:space="preserve">TATA MOTORS PASSENGER VEHICLES</t>
        </is>
      </c>
      <c r="C4054" t="inlineStr">
        <is>
          <t xml:space="preserve">INE155A01022</t>
        </is>
      </c>
    </row>
    <row r="4055">
      <c r="A4055" t="inlineStr">
        <is>
          <t xml:space="preserve">TATAPOWER</t>
        </is>
      </c>
      <c r="B4055" t="inlineStr">
        <is>
          <t xml:space="preserve">TATA POWER CO.LTD.</t>
        </is>
      </c>
      <c r="C4055" t="inlineStr">
        <is>
          <t xml:space="preserve">INE245A01021</t>
        </is>
      </c>
    </row>
    <row r="4056">
      <c r="A4056" t="inlineStr">
        <is>
          <t xml:space="preserve">TATASTEEL</t>
        </is>
      </c>
      <c r="B4056" t="inlineStr">
        <is>
          <t xml:space="preserve">TATA STEEL LTD.</t>
        </is>
      </c>
      <c r="C4056" t="inlineStr">
        <is>
          <t xml:space="preserve">INE081A01020</t>
        </is>
      </c>
    </row>
    <row r="4057">
      <c r="A4057" t="inlineStr">
        <is>
          <t xml:space="preserve">TATATECH</t>
        </is>
      </c>
      <c r="B4057" t="inlineStr">
        <is>
          <t xml:space="preserve">Tata Technologies Limited</t>
        </is>
      </c>
      <c r="C4057" t="inlineStr">
        <is>
          <t xml:space="preserve">INE142M01025</t>
        </is>
      </c>
    </row>
    <row r="4058">
      <c r="A4058" t="inlineStr">
        <is>
          <t xml:space="preserve">TTML</t>
        </is>
      </c>
      <c r="B4058" t="inlineStr">
        <is>
          <t xml:space="preserve">TATA TELESERVICES (MAHARASHTRA</t>
        </is>
      </c>
      <c r="C4058" t="inlineStr">
        <is>
          <t xml:space="preserve">INE517B01013</t>
        </is>
      </c>
    </row>
    <row r="4059">
      <c r="A4059" t="inlineStr">
        <is>
          <t xml:space="preserve">TATIAGLOB</t>
        </is>
      </c>
      <c r="B4059" t="inlineStr">
        <is>
          <t xml:space="preserve">TATIA GLOBAL VENNTURE LTD.</t>
        </is>
      </c>
      <c r="C4059" t="inlineStr">
        <is>
          <t xml:space="preserve">INE083G01031</t>
        </is>
      </c>
    </row>
    <row r="4060">
      <c r="A4060" t="inlineStr">
        <is>
          <t xml:space="preserve">TATVA</t>
        </is>
      </c>
      <c r="B4060" t="inlineStr">
        <is>
          <t xml:space="preserve">Tatva Chintan Pharma Chem Limi</t>
        </is>
      </c>
      <c r="C4060" t="inlineStr">
        <is>
          <t xml:space="preserve">INE0GK401011</t>
        </is>
      </c>
    </row>
    <row r="4061">
      <c r="A4061" t="inlineStr">
        <is>
          <t xml:space="preserve">TRL</t>
        </is>
      </c>
      <c r="B4061" t="inlineStr">
        <is>
          <t xml:space="preserve">Taylormade Renewables Limited</t>
        </is>
      </c>
      <c r="C4061" t="inlineStr">
        <is>
          <t xml:space="preserve">INE459Z01017</t>
        </is>
      </c>
    </row>
    <row r="4062">
      <c r="A4062" t="inlineStr">
        <is>
          <t xml:space="preserve">TBOTEK</t>
        </is>
      </c>
      <c r="B4062" t="inlineStr">
        <is>
          <t xml:space="preserve">TBO TEK LIMITED</t>
        </is>
      </c>
      <c r="C4062" t="inlineStr">
        <is>
          <t xml:space="preserve">INE673O01025</t>
        </is>
      </c>
    </row>
    <row r="4063">
      <c r="A4063" t="inlineStr">
        <is>
          <t xml:space="preserve">955TCAPERA</t>
        </is>
      </c>
      <c r="B4063" t="inlineStr">
        <is>
          <t xml:space="preserve">TCAP-9.55%-PERP</t>
        </is>
      </c>
      <c r="C4063" t="inlineStr">
        <is>
          <t xml:space="preserve">INE601U08192</t>
        </is>
      </c>
    </row>
    <row r="4064">
      <c r="A4064" t="inlineStr">
        <is>
          <t xml:space="preserve">TCC</t>
        </is>
      </c>
      <c r="B4064" t="inlineStr">
        <is>
          <t xml:space="preserve">TCC CONCEPT LIMITED</t>
        </is>
      </c>
      <c r="C4064" t="inlineStr">
        <is>
          <t xml:space="preserve">INE887D01016</t>
        </is>
      </c>
    </row>
    <row r="4065">
      <c r="A4065" t="inlineStr">
        <is>
          <t xml:space="preserve">TCFCFINQ</t>
        </is>
      </c>
      <c r="B4065" t="inlineStr">
        <is>
          <t xml:space="preserve">TCFC FINANCE LTD.</t>
        </is>
      </c>
      <c r="C4065" t="inlineStr">
        <is>
          <t xml:space="preserve">INE389D01013</t>
        </is>
      </c>
    </row>
    <row r="4066">
      <c r="A4066" t="inlineStr">
        <is>
          <t xml:space="preserve">81TCHF28</t>
        </is>
      </c>
      <c r="B4066" t="inlineStr">
        <is>
          <t xml:space="preserve">TCHF-8.1%-14-1-28-NCD</t>
        </is>
      </c>
      <c r="C4066" t="inlineStr">
        <is>
          <t xml:space="preserve">INE033L07GS6</t>
        </is>
      </c>
    </row>
    <row r="4067">
      <c r="A4067" t="inlineStr">
        <is>
          <t xml:space="preserve">TCIEXP</t>
        </is>
      </c>
      <c r="B4067" t="inlineStr">
        <is>
          <t xml:space="preserve">TCI Express Limited</t>
        </is>
      </c>
      <c r="C4067" t="inlineStr">
        <is>
          <t xml:space="preserve">INE586V01016</t>
        </is>
      </c>
    </row>
    <row r="4068">
      <c r="A4068" t="inlineStr">
        <is>
          <t xml:space="preserve">TCIFINANCE</t>
        </is>
      </c>
      <c r="B4068" t="inlineStr">
        <is>
          <t xml:space="preserve">TCI FINANCE LTD.</t>
        </is>
      </c>
      <c r="C4068" t="inlineStr">
        <is>
          <t xml:space="preserve">INE911B01018</t>
        </is>
      </c>
    </row>
    <row r="4069">
      <c r="A4069" t="inlineStr">
        <is>
          <t xml:space="preserve">TCIIND</t>
        </is>
      </c>
      <c r="B4069" t="inlineStr">
        <is>
          <t xml:space="preserve">TCI INDUSTRIES LTD.</t>
        </is>
      </c>
      <c r="C4069" t="inlineStr">
        <is>
          <t xml:space="preserve">INE920B01019</t>
        </is>
      </c>
    </row>
    <row r="4070">
      <c r="A4070" t="inlineStr">
        <is>
          <t xml:space="preserve">TCMLMTD</t>
        </is>
      </c>
      <c r="B4070" t="inlineStr">
        <is>
          <t xml:space="preserve">TCM LTD.</t>
        </is>
      </c>
      <c r="C4070" t="inlineStr">
        <is>
          <t xml:space="preserve">INE034F01010</t>
        </is>
      </c>
    </row>
    <row r="4071">
      <c r="A4071" t="inlineStr">
        <is>
          <t xml:space="preserve">TCPLPACK</t>
        </is>
      </c>
      <c r="B4071" t="inlineStr">
        <is>
          <t xml:space="preserve">TCPL PACKAGING LTD.</t>
        </is>
      </c>
      <c r="C4071" t="inlineStr">
        <is>
          <t xml:space="preserve">INE822C01015</t>
        </is>
      </c>
    </row>
    <row r="4072">
      <c r="A4072" t="inlineStr">
        <is>
          <t xml:space="preserve">TEAMGTY</t>
        </is>
      </c>
      <c r="B4072" t="inlineStr">
        <is>
          <t xml:space="preserve">TEAM INDIA GUARANTY LIMITED</t>
        </is>
      </c>
      <c r="C4072" t="inlineStr">
        <is>
          <t xml:space="preserve">INE289C01025</t>
        </is>
      </c>
    </row>
    <row r="4073">
      <c r="A4073" t="inlineStr">
        <is>
          <t xml:space="preserve">TEAM24</t>
        </is>
      </c>
      <c r="B4073" t="inlineStr">
        <is>
          <t xml:space="preserve">TEAM24 CONSUMER PRODUCTS LIMIT</t>
        </is>
      </c>
      <c r="C4073" t="inlineStr">
        <is>
          <t xml:space="preserve">INE601A01017</t>
        </is>
      </c>
    </row>
    <row r="4074">
      <c r="A4074" t="inlineStr">
        <is>
          <t xml:space="preserve">TEAMLEASE</t>
        </is>
      </c>
      <c r="B4074" t="inlineStr">
        <is>
          <t xml:space="preserve">TeamLease Services Limited</t>
        </is>
      </c>
      <c r="C4074" t="inlineStr">
        <is>
          <t xml:space="preserve">INE985S01024</t>
        </is>
      </c>
    </row>
    <row r="4075">
      <c r="A4075" t="inlineStr">
        <is>
          <t xml:space="preserve">TPHQ</t>
        </is>
      </c>
      <c r="B4075" t="inlineStr">
        <is>
          <t xml:space="preserve">Teamo Productions HQ Limited</t>
        </is>
      </c>
      <c r="C4075" t="inlineStr">
        <is>
          <t xml:space="preserve">INE065J01024</t>
        </is>
      </c>
    </row>
    <row r="4076">
      <c r="A4076" t="inlineStr">
        <is>
          <t xml:space="preserve">TECHM</t>
        </is>
      </c>
      <c r="B4076" t="inlineStr">
        <is>
          <t xml:space="preserve">TECH MAHINDRA LTD.</t>
        </is>
      </c>
      <c r="C4076" t="inlineStr">
        <is>
          <t xml:space="preserve">INE669C01036</t>
        </is>
      </c>
    </row>
    <row r="4077">
      <c r="A4077" t="inlineStr">
        <is>
          <t xml:space="preserve">TECHKGREEN</t>
        </is>
      </c>
      <c r="B4077" t="inlineStr">
        <is>
          <t xml:space="preserve">TECHKNOWGREEN SOLUTIONS LIMITE</t>
        </is>
      </c>
      <c r="C4077" t="inlineStr">
        <is>
          <t xml:space="preserve">INE0P4P01011</t>
        </is>
      </c>
    </row>
    <row r="4078">
      <c r="A4078" t="inlineStr">
        <is>
          <t xml:space="preserve">TECHNICHEM</t>
        </is>
      </c>
      <c r="B4078" t="inlineStr">
        <is>
          <t xml:space="preserve">TECHNICHEM ORGANICS LIMITED</t>
        </is>
      </c>
      <c r="C4078" t="inlineStr">
        <is>
          <t xml:space="preserve">INE0ZHT01012</t>
        </is>
      </c>
    </row>
    <row r="4079">
      <c r="A4079" t="inlineStr">
        <is>
          <t xml:space="preserve">TECHNOE</t>
        </is>
      </c>
      <c r="B4079" t="inlineStr">
        <is>
          <t xml:space="preserve">Techno Electric &amp; Engineering</t>
        </is>
      </c>
      <c r="C4079" t="inlineStr">
        <is>
          <t xml:space="preserve">INE285K01026</t>
        </is>
      </c>
    </row>
    <row r="4080">
      <c r="A4080" t="inlineStr">
        <is>
          <t xml:space="preserve">TIIL</t>
        </is>
      </c>
      <c r="B4080" t="inlineStr">
        <is>
          <t xml:space="preserve">TECHNOCRAFT INDUSTRIES (INDIA)</t>
        </is>
      </c>
      <c r="C4080" t="inlineStr">
        <is>
          <t xml:space="preserve">INE545H01011</t>
        </is>
      </c>
    </row>
    <row r="4081">
      <c r="A4081" t="inlineStr">
        <is>
          <t xml:space="preserve">TECHNOPACK</t>
        </is>
      </c>
      <c r="B4081" t="inlineStr">
        <is>
          <t xml:space="preserve">Technopack Polymers Limited</t>
        </is>
      </c>
      <c r="C4081" t="inlineStr">
        <is>
          <t xml:space="preserve">INE0MXP01015</t>
        </is>
      </c>
    </row>
    <row r="4082">
      <c r="A4082" t="inlineStr">
        <is>
          <t xml:space="preserve">TECHNVISN</t>
        </is>
      </c>
      <c r="B4082" t="inlineStr">
        <is>
          <t xml:space="preserve">TechNVision Ventures Limited</t>
        </is>
      </c>
      <c r="C4082" t="inlineStr">
        <is>
          <t xml:space="preserve">INE314H01012</t>
        </is>
      </c>
    </row>
    <row r="4083">
      <c r="A4083" t="inlineStr">
        <is>
          <t xml:space="preserve">TECILCHEM</t>
        </is>
      </c>
      <c r="B4083" t="inlineStr">
        <is>
          <t xml:space="preserve">TECIL CHEMICALS &amp; HYDRO POWER</t>
        </is>
      </c>
      <c r="C4083" t="inlineStr">
        <is>
          <t xml:space="preserve">INE014B01011</t>
        </is>
      </c>
    </row>
    <row r="4084">
      <c r="A4084" t="inlineStr">
        <is>
          <t xml:space="preserve">TEEAI</t>
        </is>
      </c>
      <c r="B4084" t="inlineStr">
        <is>
          <t xml:space="preserve">TEESTA AGRO INDUSTRIES LTD.</t>
        </is>
      </c>
      <c r="C4084" t="inlineStr">
        <is>
          <t xml:space="preserve">INE757D01011</t>
        </is>
      </c>
    </row>
    <row r="4085">
      <c r="A4085" t="inlineStr">
        <is>
          <t xml:space="preserve">TEGA</t>
        </is>
      </c>
      <c r="B4085" t="inlineStr">
        <is>
          <t xml:space="preserve">Tega Industries Limited</t>
        </is>
      </c>
      <c r="C4085" t="inlineStr">
        <is>
          <t xml:space="preserve">INE011K01018</t>
        </is>
      </c>
    </row>
    <row r="4086">
      <c r="A4086" t="inlineStr">
        <is>
          <t xml:space="preserve">TEJASNET</t>
        </is>
      </c>
      <c r="B4086" t="inlineStr">
        <is>
          <t xml:space="preserve">Tejas Networks Limited</t>
        </is>
      </c>
      <c r="C4086" t="inlineStr">
        <is>
          <t xml:space="preserve">INE010J01012</t>
        </is>
      </c>
    </row>
    <row r="4087">
      <c r="A4087" t="inlineStr">
        <is>
          <t xml:space="preserve">TEJASSVI</t>
        </is>
      </c>
      <c r="B4087" t="inlineStr">
        <is>
          <t xml:space="preserve">TEJASSVI AAHARAM LIMITED</t>
        </is>
      </c>
      <c r="C4087" t="inlineStr">
        <is>
          <t xml:space="preserve">INE173E01019</t>
        </is>
      </c>
    </row>
    <row r="4088">
      <c r="A4088" t="inlineStr">
        <is>
          <t xml:space="preserve">TEJNAKSH</t>
        </is>
      </c>
      <c r="B4088" t="inlineStr">
        <is>
          <t xml:space="preserve">Tejnaksh Healthcare Limited</t>
        </is>
      </c>
      <c r="C4088" t="inlineStr">
        <is>
          <t xml:space="preserve">INE030T01027</t>
        </is>
      </c>
    </row>
    <row r="4089">
      <c r="A4089" t="inlineStr">
        <is>
          <t xml:space="preserve">TELECANOR</t>
        </is>
      </c>
      <c r="B4089" t="inlineStr">
        <is>
          <t xml:space="preserve">TELECANOR GLOBAL LTD.</t>
        </is>
      </c>
      <c r="C4089" t="inlineStr">
        <is>
          <t xml:space="preserve">INE381G01013</t>
        </is>
      </c>
    </row>
    <row r="4090">
      <c r="A4090" t="inlineStr">
        <is>
          <t xml:space="preserve">TELGE</t>
        </is>
      </c>
      <c r="B4090" t="inlineStr">
        <is>
          <t xml:space="preserve">TELGE PROJECTS LIMITED</t>
        </is>
      </c>
      <c r="C4090" t="inlineStr">
        <is>
          <t xml:space="preserve">INE0SRP01014</t>
        </is>
      </c>
    </row>
    <row r="4091">
      <c r="A4091" t="inlineStr">
        <is>
          <t xml:space="preserve">TELOGICA</t>
        </is>
      </c>
      <c r="B4091" t="inlineStr">
        <is>
          <t xml:space="preserve">TELOGICA LIMITED</t>
        </is>
      </c>
      <c r="C4091" t="inlineStr">
        <is>
          <t xml:space="preserve">INE778I01024</t>
        </is>
      </c>
    </row>
    <row r="4092">
      <c r="A4092" t="inlineStr">
        <is>
          <t xml:space="preserve">TENNIND</t>
        </is>
      </c>
      <c r="B4092" t="inlineStr">
        <is>
          <t xml:space="preserve">Tenneco Clean Air India Limite</t>
        </is>
      </c>
      <c r="C4092" t="inlineStr">
        <is>
          <t xml:space="preserve">INE19RI01016</t>
        </is>
      </c>
    </row>
    <row r="4093">
      <c r="A4093" t="inlineStr">
        <is>
          <t xml:space="preserve">TERASOFT</t>
        </is>
      </c>
      <c r="B4093" t="inlineStr">
        <is>
          <t xml:space="preserve">TERA SOFTWARE LTD.</t>
        </is>
      </c>
      <c r="C4093" t="inlineStr">
        <is>
          <t xml:space="preserve">INE482B01010</t>
        </is>
      </c>
    </row>
    <row r="4094">
      <c r="A4094" t="inlineStr">
        <is>
          <t xml:space="preserve">TERAI</t>
        </is>
      </c>
      <c r="B4094" t="inlineStr">
        <is>
          <t xml:space="preserve">TERAI TEA CO.LTD.</t>
        </is>
      </c>
      <c r="C4094" t="inlineStr">
        <is>
          <t xml:space="preserve">INE390D01011</t>
        </is>
      </c>
    </row>
    <row r="4095">
      <c r="A4095" t="inlineStr">
        <is>
          <t xml:space="preserve">TEXELIN</t>
        </is>
      </c>
      <c r="B4095" t="inlineStr">
        <is>
          <t xml:space="preserve">TEXEL INDUSTRIES LTD.</t>
        </is>
      </c>
      <c r="C4095" t="inlineStr">
        <is>
          <t xml:space="preserve">INE594V01028</t>
        </is>
      </c>
    </row>
    <row r="4096">
      <c r="A4096" t="inlineStr">
        <is>
          <t xml:space="preserve">TEXINFRA</t>
        </is>
      </c>
      <c r="B4096" t="inlineStr">
        <is>
          <t xml:space="preserve">TEXMACO INFRASTRUCTURE &amp; HOLDI</t>
        </is>
      </c>
      <c r="C4096" t="inlineStr">
        <is>
          <t xml:space="preserve">INE435C01024</t>
        </is>
      </c>
    </row>
    <row r="4097">
      <c r="A4097" t="inlineStr">
        <is>
          <t xml:space="preserve">TEXRAIL</t>
        </is>
      </c>
      <c r="B4097" t="inlineStr">
        <is>
          <t xml:space="preserve">TEXMACO RAIL &amp; ENGINEERING LTD</t>
        </is>
      </c>
      <c r="C4097" t="inlineStr">
        <is>
          <t xml:space="preserve">INE621L01012</t>
        </is>
      </c>
    </row>
    <row r="4098">
      <c r="A4098" t="inlineStr">
        <is>
          <t xml:space="preserve">TEXMOPIPES</t>
        </is>
      </c>
      <c r="B4098" t="inlineStr">
        <is>
          <t xml:space="preserve">TEXMO PIPES &amp; PRODUCTS LTD.</t>
        </is>
      </c>
      <c r="C4098" t="inlineStr">
        <is>
          <t xml:space="preserve">INE141K01013</t>
        </is>
      </c>
    </row>
    <row r="4099">
      <c r="A4099" t="inlineStr">
        <is>
          <t xml:space="preserve">TGBHOTELS</t>
        </is>
      </c>
      <c r="B4099" t="inlineStr">
        <is>
          <t xml:space="preserve">TGB BANQUETS AND HOTELS LTD.</t>
        </is>
      </c>
      <c r="C4099" t="inlineStr">
        <is>
          <t xml:space="preserve">INE797H01018</t>
        </is>
      </c>
    </row>
    <row r="4100">
      <c r="A4100" t="inlineStr">
        <is>
          <t xml:space="preserve">TGIF</t>
        </is>
      </c>
      <c r="B4100" t="inlineStr">
        <is>
          <t xml:space="preserve">TGIF AGRIBUSINESS LIMITED</t>
        </is>
      </c>
      <c r="C4100" t="inlineStr">
        <is>
          <t xml:space="preserve">INE0SMU01015</t>
        </is>
      </c>
    </row>
    <row r="4101">
      <c r="A4101" t="inlineStr">
        <is>
          <t xml:space="preserve">TGVSL</t>
        </is>
      </c>
      <c r="B4101" t="inlineStr">
        <is>
          <t xml:space="preserve">TGV SRAAC Limited</t>
        </is>
      </c>
      <c r="C4101" t="inlineStr">
        <is>
          <t xml:space="preserve">INE284B01028</t>
        </is>
      </c>
    </row>
    <row r="4102">
      <c r="A4102" t="inlineStr">
        <is>
          <t xml:space="preserve">THACKER</t>
        </is>
      </c>
      <c r="B4102" t="inlineStr">
        <is>
          <t xml:space="preserve">THACKER &amp; CO.LTD.</t>
        </is>
      </c>
      <c r="C4102" t="inlineStr">
        <is>
          <t xml:space="preserve">INE077P01034</t>
        </is>
      </c>
    </row>
    <row r="4103">
      <c r="A4103" t="inlineStr">
        <is>
          <t xml:space="preserve">THAKRAL</t>
        </is>
      </c>
      <c r="B4103" t="inlineStr">
        <is>
          <t xml:space="preserve">THAKRAL SERVICES (INDIA) LTD.</t>
        </is>
      </c>
      <c r="C4103" t="inlineStr">
        <is>
          <t xml:space="preserve">INE190F01028</t>
        </is>
      </c>
    </row>
    <row r="4104">
      <c r="A4104" t="inlineStr">
        <is>
          <t xml:space="preserve">THANGAMAYL</t>
        </is>
      </c>
      <c r="B4104" t="inlineStr">
        <is>
          <t xml:space="preserve">THANGAMAYIL JEWELLERY LTD</t>
        </is>
      </c>
      <c r="C4104" t="inlineStr">
        <is>
          <t xml:space="preserve">INE085J01014</t>
        </is>
      </c>
    </row>
    <row r="4105">
      <c r="A4105" t="inlineStr">
        <is>
          <t xml:space="preserve">ANUP</t>
        </is>
      </c>
      <c r="B4105" t="inlineStr">
        <is>
          <t xml:space="preserve">The Anup Engineering Ltd</t>
        </is>
      </c>
      <c r="C4105" t="inlineStr">
        <is>
          <t xml:space="preserve">INE294Z01018</t>
        </is>
      </c>
    </row>
    <row r="4106">
      <c r="A4106" t="inlineStr">
        <is>
          <t xml:space="preserve">BBTC</t>
        </is>
      </c>
      <c r="B4106" t="inlineStr">
        <is>
          <t xml:space="preserve">The Bombay Burmah Trading Corp</t>
        </is>
      </c>
      <c r="C4106" t="inlineStr">
        <is>
          <t xml:space="preserve">INE050A01025</t>
        </is>
      </c>
    </row>
    <row r="4107">
      <c r="A4107" t="inlineStr">
        <is>
          <t xml:space="preserve">BYKE</t>
        </is>
      </c>
      <c r="B4107" t="inlineStr">
        <is>
          <t xml:space="preserve">THE BYKE HOSPITALITY LTD.</t>
        </is>
      </c>
      <c r="C4107" t="inlineStr">
        <is>
          <t xml:space="preserve">INE319B01014</t>
        </is>
      </c>
    </row>
    <row r="4108">
      <c r="A4108" t="inlineStr">
        <is>
          <t xml:space="preserve">INDHOTEL</t>
        </is>
      </c>
      <c r="B4108" t="inlineStr">
        <is>
          <t xml:space="preserve">THE INDIAN HOTELS COMPANY LTD</t>
        </is>
      </c>
      <c r="C4108" t="inlineStr">
        <is>
          <t xml:space="preserve">INE053A01029</t>
        </is>
      </c>
    </row>
    <row r="4109">
      <c r="A4109" t="inlineStr">
        <is>
          <t xml:space="preserve">IWP</t>
        </is>
      </c>
      <c r="B4109" t="inlineStr">
        <is>
          <t xml:space="preserve">The Indian Wood Products Co. L</t>
        </is>
      </c>
      <c r="C4109" t="inlineStr">
        <is>
          <t xml:space="preserve">INE586E01020</t>
        </is>
      </c>
    </row>
    <row r="4110">
      <c r="A4110" t="inlineStr">
        <is>
          <t xml:space="preserve">THEINVEST</t>
        </is>
      </c>
      <c r="B4110" t="inlineStr">
        <is>
          <t xml:space="preserve">THE INVESTMENT TRUST OF INDIA</t>
        </is>
      </c>
      <c r="C4110" t="inlineStr">
        <is>
          <t xml:space="preserve">INE924D01017</t>
        </is>
      </c>
    </row>
    <row r="4111">
      <c r="A4111" t="inlineStr">
        <is>
          <t xml:space="preserve">NIACL</t>
        </is>
      </c>
      <c r="B4111" t="inlineStr">
        <is>
          <t xml:space="preserve">The New India Assurance Compan</t>
        </is>
      </c>
      <c r="C4111" t="inlineStr">
        <is>
          <t xml:space="preserve">INE470Y01017</t>
        </is>
      </c>
    </row>
    <row r="4112">
      <c r="A4112" t="inlineStr">
        <is>
          <t xml:space="preserve">PHOENIXLTD</t>
        </is>
      </c>
      <c r="B4112" t="inlineStr">
        <is>
          <t xml:space="preserve">THE PHOENIX MILLS LTD</t>
        </is>
      </c>
      <c r="C4112" t="inlineStr">
        <is>
          <t xml:space="preserve">INE211B01039</t>
        </is>
      </c>
    </row>
    <row r="4113">
      <c r="A4113" t="inlineStr">
        <is>
          <t xml:space="preserve">RAMCOCEM</t>
        </is>
      </c>
      <c r="B4113" t="inlineStr">
        <is>
          <t xml:space="preserve">THE RAMCO CEMENTS LIMITED</t>
        </is>
      </c>
      <c r="C4113" t="inlineStr">
        <is>
          <t xml:space="preserve">INE331A01037</t>
        </is>
      </c>
    </row>
    <row r="4114">
      <c r="A4114" t="inlineStr">
        <is>
          <t xml:space="preserve">RAVALSUGAR</t>
        </is>
      </c>
      <c r="B4114" t="inlineStr">
        <is>
          <t xml:space="preserve">The Ravalgaon Sugar Farm Limit</t>
        </is>
      </c>
      <c r="C4114" t="inlineStr">
        <is>
          <t xml:space="preserve">INE615A01025</t>
        </is>
      </c>
    </row>
    <row r="4115">
      <c r="A4115" t="inlineStr">
        <is>
          <t xml:space="preserve">YSL</t>
        </is>
      </c>
      <c r="B4115" t="inlineStr">
        <is>
          <t xml:space="preserve">The Yamuna Syndicate Ltd</t>
        </is>
      </c>
      <c r="C4115" t="inlineStr">
        <is>
          <t xml:space="preserve">INE868X01014</t>
        </is>
      </c>
    </row>
    <row r="4116">
      <c r="A4116" t="inlineStr">
        <is>
          <t xml:space="preserve">THEMISMED</t>
        </is>
      </c>
      <c r="B4116" t="inlineStr">
        <is>
          <t xml:space="preserve">THEMIS MEDICARE LTD.</t>
        </is>
      </c>
      <c r="C4116" t="inlineStr">
        <is>
          <t xml:space="preserve">INE083B01024</t>
        </is>
      </c>
    </row>
    <row r="4117">
      <c r="A4117" t="inlineStr">
        <is>
          <t xml:space="preserve">THERMAX</t>
        </is>
      </c>
      <c r="B4117" t="inlineStr">
        <is>
          <t xml:space="preserve">THERMAX LTD.</t>
        </is>
      </c>
      <c r="C4117" t="inlineStr">
        <is>
          <t xml:space="preserve">INE152A01029</t>
        </is>
      </c>
    </row>
    <row r="4118">
      <c r="A4118" t="inlineStr">
        <is>
          <t xml:space="preserve">THINKINK</t>
        </is>
      </c>
      <c r="B4118" t="inlineStr">
        <is>
          <t xml:space="preserve">THINKINK PICTUREZ LIMITED</t>
        </is>
      </c>
      <c r="C4118" t="inlineStr">
        <is>
          <t xml:space="preserve">INE365S01045</t>
        </is>
      </c>
    </row>
    <row r="4119">
      <c r="A4119" t="inlineStr">
        <is>
          <t xml:space="preserve">TPROJECT</t>
        </is>
      </c>
      <c r="B4119" t="inlineStr">
        <is>
          <t xml:space="preserve">THIRANI PROJECTS LTD</t>
        </is>
      </c>
      <c r="C4119" t="inlineStr">
        <is>
          <t xml:space="preserve">INE901C01017</t>
        </is>
      </c>
    </row>
    <row r="4120">
      <c r="A4120" t="inlineStr">
        <is>
          <t xml:space="preserve">TIRUMALCHM</t>
        </is>
      </c>
      <c r="B4120" t="inlineStr">
        <is>
          <t xml:space="preserve">THIRUMALAI CHEMICALS LTD.</t>
        </is>
      </c>
      <c r="C4120" t="inlineStr">
        <is>
          <t xml:space="preserve">INE338A01024</t>
        </is>
      </c>
    </row>
    <row r="4121">
      <c r="A4121" t="inlineStr">
        <is>
          <t xml:space="preserve">THOMASCOOK</t>
        </is>
      </c>
      <c r="B4121" t="inlineStr">
        <is>
          <t xml:space="preserve">THOMAS COOK (INDIA) LTD.</t>
        </is>
      </c>
      <c r="C4121" t="inlineStr">
        <is>
          <t xml:space="preserve">INE332A01027</t>
        </is>
      </c>
    </row>
    <row r="4122">
      <c r="A4122" t="inlineStr">
        <is>
          <t xml:space="preserve">THOMASCOTT</t>
        </is>
      </c>
      <c r="B4122" t="inlineStr">
        <is>
          <t xml:space="preserve">THOMAS SCOTT (INDIA) LIMITED</t>
        </is>
      </c>
      <c r="C4122" t="inlineStr">
        <is>
          <t xml:space="preserve">INE480M01011</t>
        </is>
      </c>
    </row>
    <row r="4123">
      <c r="A4123" t="inlineStr">
        <is>
          <t xml:space="preserve">THRIVE</t>
        </is>
      </c>
      <c r="B4123" t="inlineStr">
        <is>
          <t xml:space="preserve">THRIVE FUTURE HABITATS LIMITED</t>
        </is>
      </c>
      <c r="C4123" t="inlineStr">
        <is>
          <t xml:space="preserve">INE628D01014</t>
        </is>
      </c>
    </row>
    <row r="4124">
      <c r="A4124" t="inlineStr">
        <is>
          <t xml:space="preserve">THYROCARE</t>
        </is>
      </c>
      <c r="B4124" t="inlineStr">
        <is>
          <t xml:space="preserve">Thyrocare Technologies Limited</t>
        </is>
      </c>
      <c r="C4124" t="inlineStr">
        <is>
          <t xml:space="preserve">INE594H01019</t>
        </is>
      </c>
    </row>
    <row r="4125">
      <c r="A4125" t="inlineStr">
        <is>
          <t xml:space="preserve">TIERRA</t>
        </is>
      </c>
      <c r="B4125" t="inlineStr">
        <is>
          <t xml:space="preserve">Tierra Agrotech Limited</t>
        </is>
      </c>
      <c r="C4125" t="inlineStr">
        <is>
          <t xml:space="preserve">INE05CY01014</t>
        </is>
      </c>
    </row>
    <row r="4126">
      <c r="A4126" t="inlineStr">
        <is>
          <t xml:space="preserve">TIGERLOGS</t>
        </is>
      </c>
      <c r="B4126" t="inlineStr">
        <is>
          <t xml:space="preserve">TIGER LOGISTICS (INDIA) LTD</t>
        </is>
      </c>
      <c r="C4126" t="inlineStr">
        <is>
          <t xml:space="preserve">INE906O01029</t>
        </is>
      </c>
    </row>
    <row r="4127">
      <c r="A4127" t="inlineStr">
        <is>
          <t xml:space="preserve">TIJARIA</t>
        </is>
      </c>
      <c r="B4127" t="inlineStr">
        <is>
          <t xml:space="preserve">TIJARIA POLYPIPES LTD.</t>
        </is>
      </c>
      <c r="C4127" t="inlineStr">
        <is>
          <t xml:space="preserve">INE440L01017</t>
        </is>
      </c>
    </row>
    <row r="4128">
      <c r="A4128" t="inlineStr">
        <is>
          <t xml:space="preserve">TIL</t>
        </is>
      </c>
      <c r="B4128" t="inlineStr">
        <is>
          <t xml:space="preserve">TIL LTD.</t>
        </is>
      </c>
      <c r="C4128" t="inlineStr">
        <is>
          <t xml:space="preserve">INE806C01018</t>
        </is>
      </c>
    </row>
    <row r="4129">
      <c r="A4129" t="inlineStr">
        <is>
          <t xml:space="preserve">TILAK</t>
        </is>
      </c>
      <c r="B4129" t="inlineStr">
        <is>
          <t xml:space="preserve">Tilak Ventures Limited</t>
        </is>
      </c>
      <c r="C4129" t="inlineStr">
        <is>
          <t xml:space="preserve">INE026L01022</t>
        </is>
      </c>
    </row>
    <row r="4130">
      <c r="A4130" t="inlineStr">
        <is>
          <t xml:space="preserve">TI</t>
        </is>
      </c>
      <c r="B4130" t="inlineStr">
        <is>
          <t xml:space="preserve">TILAKNAGAR INDUSTRIES LTD.</t>
        </is>
      </c>
      <c r="C4130" t="inlineStr">
        <is>
          <t xml:space="preserve">INE133E01013</t>
        </is>
      </c>
    </row>
    <row r="4131">
      <c r="A4131" t="inlineStr">
        <is>
          <t xml:space="preserve">TIMETECHNO</t>
        </is>
      </c>
      <c r="B4131" t="inlineStr">
        <is>
          <t xml:space="preserve">TIME TECHNOPLAST LTD.</t>
        </is>
      </c>
      <c r="C4131" t="inlineStr">
        <is>
          <t xml:space="preserve">INE508G01029</t>
        </is>
      </c>
    </row>
    <row r="4132">
      <c r="A4132" t="inlineStr">
        <is>
          <t xml:space="preserve">TIMESGREEN</t>
        </is>
      </c>
      <c r="B4132" t="inlineStr">
        <is>
          <t xml:space="preserve">Times Green Energy (India) Lim</t>
        </is>
      </c>
      <c r="C4132" t="inlineStr">
        <is>
          <t xml:space="preserve">INE0B6101012</t>
        </is>
      </c>
    </row>
    <row r="4133">
      <c r="A4133" t="inlineStr">
        <is>
          <t xml:space="preserve">TIMEX</t>
        </is>
      </c>
      <c r="B4133" t="inlineStr">
        <is>
          <t xml:space="preserve">TIMEX GROUP INDIA LTD.</t>
        </is>
      </c>
      <c r="C4133" t="inlineStr">
        <is>
          <t xml:space="preserve">INE064A01026</t>
        </is>
      </c>
    </row>
    <row r="4134">
      <c r="A4134" t="inlineStr">
        <is>
          <t xml:space="preserve">TIMKEN</t>
        </is>
      </c>
      <c r="B4134" t="inlineStr">
        <is>
          <t xml:space="preserve">TIMKEN INDIA LTD.</t>
        </is>
      </c>
      <c r="C4134" t="inlineStr">
        <is>
          <t xml:space="preserve">INE325A01013</t>
        </is>
      </c>
    </row>
    <row r="4135">
      <c r="A4135" t="inlineStr">
        <is>
          <t xml:space="preserve">TINNARUBR</t>
        </is>
      </c>
      <c r="B4135" t="inlineStr">
        <is>
          <t xml:space="preserve">TINNA RUBBER AND INFRASTRUCTUR</t>
        </is>
      </c>
      <c r="C4135" t="inlineStr">
        <is>
          <t xml:space="preserve">INE015C01016</t>
        </is>
      </c>
    </row>
    <row r="4136">
      <c r="A4136" t="inlineStr">
        <is>
          <t xml:space="preserve">TIPCO</t>
        </is>
      </c>
      <c r="B4136" t="inlineStr">
        <is>
          <t xml:space="preserve">Tipco Engineering India Limite</t>
        </is>
      </c>
      <c r="C4136" t="inlineStr">
        <is>
          <t xml:space="preserve">INE1U6D01014</t>
        </is>
      </c>
    </row>
    <row r="4137">
      <c r="A4137" t="inlineStr">
        <is>
          <t xml:space="preserve">TIPSFILMS</t>
        </is>
      </c>
      <c r="B4137" t="inlineStr">
        <is>
          <t xml:space="preserve">Tips Films Limited</t>
        </is>
      </c>
      <c r="C4137" t="inlineStr">
        <is>
          <t xml:space="preserve">INE0LQS01015</t>
        </is>
      </c>
    </row>
    <row r="4138">
      <c r="A4138" t="inlineStr">
        <is>
          <t xml:space="preserve">TIPSMUSIC</t>
        </is>
      </c>
      <c r="B4138" t="inlineStr">
        <is>
          <t xml:space="preserve">TIPS MUSIC LIMITED</t>
        </is>
      </c>
      <c r="C4138" t="inlineStr">
        <is>
          <t xml:space="preserve">INE716B01029</t>
        </is>
      </c>
    </row>
    <row r="4139">
      <c r="A4139" t="inlineStr">
        <is>
          <t xml:space="preserve">TIRTPLS</t>
        </is>
      </c>
      <c r="B4139" t="inlineStr">
        <is>
          <t xml:space="preserve">TIRTH PLASTIC LTD.</t>
        </is>
      </c>
      <c r="C4139" t="inlineStr">
        <is>
          <t xml:space="preserve">INE008N01018</t>
        </is>
      </c>
    </row>
    <row r="4140">
      <c r="A4140" t="inlineStr">
        <is>
          <t xml:space="preserve">TIRUFOAM</t>
        </is>
      </c>
      <c r="B4140" t="inlineStr">
        <is>
          <t xml:space="preserve">TIRUPATI FOAM LIMITED</t>
        </is>
      </c>
      <c r="C4140" t="inlineStr">
        <is>
          <t xml:space="preserve">INE115G01015</t>
        </is>
      </c>
    </row>
    <row r="4141">
      <c r="A4141" t="inlineStr">
        <is>
          <t xml:space="preserve">TIRUPATIIN</t>
        </is>
      </c>
      <c r="B4141" t="inlineStr">
        <is>
          <t xml:space="preserve">TIRUPATI INNOVAR LIMITED</t>
        </is>
      </c>
      <c r="C4141" t="inlineStr">
        <is>
          <t xml:space="preserve">INE812Q01016</t>
        </is>
      </c>
    </row>
    <row r="4142">
      <c r="A4142" t="inlineStr">
        <is>
          <t xml:space="preserve">TIRSARJ</t>
        </is>
      </c>
      <c r="B4142" t="inlineStr">
        <is>
          <t xml:space="preserve">TIRUPATI SARJAN LTD.</t>
        </is>
      </c>
      <c r="C4142" t="inlineStr">
        <is>
          <t xml:space="preserve">INE297J01023</t>
        </is>
      </c>
    </row>
    <row r="4143">
      <c r="A4143" t="inlineStr">
        <is>
          <t xml:space="preserve">TIRUSTA</t>
        </is>
      </c>
      <c r="B4143" t="inlineStr">
        <is>
          <t xml:space="preserve">TIRUPATI STARCH &amp; CHEMICALS LT</t>
        </is>
      </c>
      <c r="C4143" t="inlineStr">
        <is>
          <t xml:space="preserve">INE314D01011</t>
        </is>
      </c>
    </row>
    <row r="4144">
      <c r="A4144" t="inlineStr">
        <is>
          <t xml:space="preserve">TITAANIUM</t>
        </is>
      </c>
      <c r="B4144" t="inlineStr">
        <is>
          <t xml:space="preserve">Titaanium Ten Enterprise Limit</t>
        </is>
      </c>
      <c r="C4144" t="inlineStr">
        <is>
          <t xml:space="preserve">INE120V01014</t>
        </is>
      </c>
    </row>
    <row r="4145">
      <c r="A4145" t="inlineStr">
        <is>
          <t xml:space="preserve">TITAGARH</t>
        </is>
      </c>
      <c r="B4145" t="inlineStr">
        <is>
          <t xml:space="preserve">TITAGARH RAIL SYSTEMS LIMITED</t>
        </is>
      </c>
      <c r="C4145" t="inlineStr">
        <is>
          <t xml:space="preserve">INE615H01020</t>
        </is>
      </c>
    </row>
    <row r="4146">
      <c r="A4146" t="inlineStr">
        <is>
          <t xml:space="preserve">TITANBIO</t>
        </is>
      </c>
      <c r="B4146" t="inlineStr">
        <is>
          <t xml:space="preserve">TITAN BIOTECH LTD.</t>
        </is>
      </c>
      <c r="C4146" t="inlineStr">
        <is>
          <t xml:space="preserve">INE150C01029</t>
        </is>
      </c>
    </row>
    <row r="4147">
      <c r="A4147" t="inlineStr">
        <is>
          <t xml:space="preserve">TITAN</t>
        </is>
      </c>
      <c r="B4147" t="inlineStr">
        <is>
          <t xml:space="preserve">TITAN COMPANY LIMITED</t>
        </is>
      </c>
      <c r="C4147" t="inlineStr">
        <is>
          <t xml:space="preserve">INE280A01028</t>
        </is>
      </c>
    </row>
    <row r="4148">
      <c r="A4148" t="inlineStr">
        <is>
          <t xml:space="preserve">TITANIN</t>
        </is>
      </c>
      <c r="B4148" t="inlineStr">
        <is>
          <t xml:space="preserve">TITAN INTECH LIMITED</t>
        </is>
      </c>
      <c r="C4148" t="inlineStr">
        <is>
          <t xml:space="preserve">INE807M01031</t>
        </is>
      </c>
    </row>
    <row r="4149">
      <c r="A4149" t="inlineStr">
        <is>
          <t xml:space="preserve">TITANSEC</t>
        </is>
      </c>
      <c r="B4149" t="inlineStr">
        <is>
          <t xml:space="preserve">TITAN SECURITIES LTD.</t>
        </is>
      </c>
      <c r="C4149" t="inlineStr">
        <is>
          <t xml:space="preserve">INE090D01017</t>
        </is>
      </c>
    </row>
    <row r="4150">
      <c r="A4150" t="inlineStr">
        <is>
          <t xml:space="preserve">TOKYOFIN</t>
        </is>
      </c>
      <c r="B4150" t="inlineStr">
        <is>
          <t xml:space="preserve">TOKYO FINANCE LTD.</t>
        </is>
      </c>
      <c r="C4150" t="inlineStr">
        <is>
          <t xml:space="preserve">INE546D01018</t>
        </is>
      </c>
    </row>
    <row r="4151">
      <c r="A4151" t="inlineStr">
        <is>
          <t xml:space="preserve">TOKYOPLAST</t>
        </is>
      </c>
      <c r="B4151" t="inlineStr">
        <is>
          <t xml:space="preserve">TOKYO PLAST INTERNATIONAL LTD.</t>
        </is>
      </c>
      <c r="C4151" t="inlineStr">
        <is>
          <t xml:space="preserve">INE932C01012</t>
        </is>
      </c>
    </row>
    <row r="4152">
      <c r="A4152" t="inlineStr">
        <is>
          <t xml:space="preserve">TOLINS</t>
        </is>
      </c>
      <c r="B4152" t="inlineStr">
        <is>
          <t xml:space="preserve">Tolins Tyres Limited</t>
        </is>
      </c>
      <c r="C4152" t="inlineStr">
        <is>
          <t xml:space="preserve">INE0RWQ01014</t>
        </is>
      </c>
    </row>
    <row r="4153">
      <c r="A4153" t="inlineStr">
        <is>
          <t xml:space="preserve">TTGIL</t>
        </is>
      </c>
      <c r="B4153" t="inlineStr">
        <is>
          <t xml:space="preserve">TOMORROW TECHNOLOGIES GLOBAL I</t>
        </is>
      </c>
      <c r="C4153" t="inlineStr">
        <is>
          <t xml:space="preserve">INE135H01029</t>
        </is>
      </c>
    </row>
    <row r="4154">
      <c r="A4154" t="inlineStr">
        <is>
          <t xml:space="preserve">TORNTPHARM</t>
        </is>
      </c>
      <c r="B4154" t="inlineStr">
        <is>
          <t xml:space="preserve">TORRENT PHARMACEUTICALS LTD.</t>
        </is>
      </c>
      <c r="C4154" t="inlineStr">
        <is>
          <t xml:space="preserve">INE685A01028</t>
        </is>
      </c>
    </row>
    <row r="4155">
      <c r="A4155" t="inlineStr">
        <is>
          <t xml:space="preserve">TORNTPOWER</t>
        </is>
      </c>
      <c r="B4155" t="inlineStr">
        <is>
          <t xml:space="preserve">TORRENT POWER LTD.</t>
        </is>
      </c>
      <c r="C4155" t="inlineStr">
        <is>
          <t xml:space="preserve">INE813H01021</t>
        </is>
      </c>
    </row>
    <row r="4156">
      <c r="A4156" t="inlineStr">
        <is>
          <t xml:space="preserve">TTC</t>
        </is>
      </c>
      <c r="B4156" t="inlineStr">
        <is>
          <t xml:space="preserve">TOSS THE COIN LIMITED</t>
        </is>
      </c>
      <c r="C4156" t="inlineStr">
        <is>
          <t xml:space="preserve">INE0XAY01012</t>
        </is>
      </c>
    </row>
    <row r="4157">
      <c r="A4157" t="inlineStr">
        <is>
          <t xml:space="preserve">TFCILTD</t>
        </is>
      </c>
      <c r="B4157" t="inlineStr">
        <is>
          <t xml:space="preserve">TOURISM FINANCE CORPORATION OF</t>
        </is>
      </c>
      <c r="C4157" t="inlineStr">
        <is>
          <t xml:space="preserve">INE305A01023</t>
        </is>
      </c>
    </row>
    <row r="4158">
      <c r="A4158" t="inlineStr">
        <is>
          <t xml:space="preserve">TOYAMSL</t>
        </is>
      </c>
      <c r="B4158" t="inlineStr">
        <is>
          <t xml:space="preserve">TOYAM SPORTS LIMITED</t>
        </is>
      </c>
      <c r="C4158" t="inlineStr">
        <is>
          <t xml:space="preserve">INE457P01020</t>
        </is>
      </c>
    </row>
    <row r="4159">
      <c r="A4159" t="inlineStr">
        <is>
          <t xml:space="preserve">TPINDIA</t>
        </is>
      </c>
      <c r="B4159" t="inlineStr">
        <is>
          <t xml:space="preserve">TPI INDIA LTD.</t>
        </is>
      </c>
      <c r="C4159" t="inlineStr">
        <is>
          <t xml:space="preserve">INE578C01021</t>
        </is>
      </c>
    </row>
    <row r="4160">
      <c r="A4160" t="inlineStr">
        <is>
          <t xml:space="preserve">TPLPLASTEH</t>
        </is>
      </c>
      <c r="B4160" t="inlineStr">
        <is>
          <t xml:space="preserve">TPL PLASTECH LTD.</t>
        </is>
      </c>
      <c r="C4160" t="inlineStr">
        <is>
          <t xml:space="preserve">INE413G01022</t>
        </is>
      </c>
    </row>
    <row r="4161">
      <c r="A4161" t="inlineStr">
        <is>
          <t xml:space="preserve">TRACXN</t>
        </is>
      </c>
      <c r="B4161" t="inlineStr">
        <is>
          <t xml:space="preserve">Tracxn Technologies Limited</t>
        </is>
      </c>
      <c r="C4161" t="inlineStr">
        <is>
          <t xml:space="preserve">INE0HMF01019</t>
        </is>
      </c>
    </row>
    <row r="4162">
      <c r="A4162" t="inlineStr">
        <is>
          <t xml:space="preserve">TIHIL</t>
        </is>
      </c>
      <c r="B4162" t="inlineStr">
        <is>
          <t xml:space="preserve">TRANS INDIA HOUSE IMPEX LIMITE</t>
        </is>
      </c>
      <c r="C4162" t="inlineStr">
        <is>
          <t xml:space="preserve">INE502D01011</t>
        </is>
      </c>
    </row>
    <row r="4163">
      <c r="A4163" t="inlineStr">
        <is>
          <t xml:space="preserve">TRANSFRE</t>
        </is>
      </c>
      <c r="B4163" t="inlineStr">
        <is>
          <t xml:space="preserve">TRANS-FREIGHT CONTAINERS LTD.</t>
        </is>
      </c>
      <c r="C4163" t="inlineStr">
        <is>
          <t xml:space="preserve">INE360D01014</t>
        </is>
      </c>
    </row>
    <row r="4164">
      <c r="A4164" t="inlineStr">
        <is>
          <t xml:space="preserve">TRANSCHEM</t>
        </is>
      </c>
      <c r="B4164" t="inlineStr">
        <is>
          <t xml:space="preserve">TRANSCHEM LTD.</t>
        </is>
      </c>
      <c r="C4164" t="inlineStr">
        <is>
          <t xml:space="preserve">INE019B01010</t>
        </is>
      </c>
    </row>
    <row r="4165">
      <c r="A4165" t="inlineStr">
        <is>
          <t xml:space="preserve">TRANSCOR</t>
        </is>
      </c>
      <c r="B4165" t="inlineStr">
        <is>
          <t xml:space="preserve">TRANSCORP INTERNATIONAL LTD.</t>
        </is>
      </c>
      <c r="C4165" t="inlineStr">
        <is>
          <t xml:space="preserve">INE330E01023</t>
        </is>
      </c>
    </row>
    <row r="4166">
      <c r="A4166" t="inlineStr">
        <is>
          <t xml:space="preserve">TARIL</t>
        </is>
      </c>
      <c r="B4166" t="inlineStr">
        <is>
          <t xml:space="preserve">TRANSFORMERS AND RECTIFIERS (I</t>
        </is>
      </c>
      <c r="C4166" t="inlineStr">
        <is>
          <t xml:space="preserve">INE763I01026</t>
        </is>
      </c>
    </row>
    <row r="4167">
      <c r="A4167" t="inlineStr">
        <is>
          <t xml:space="preserve">TRABI</t>
        </is>
      </c>
      <c r="B4167" t="inlineStr">
        <is>
          <t xml:space="preserve">TRANSGENE BIOTEK LTD.</t>
        </is>
      </c>
      <c r="C4167" t="inlineStr">
        <is>
          <t xml:space="preserve">INE773D01018</t>
        </is>
      </c>
    </row>
    <row r="4168">
      <c r="A4168" t="inlineStr">
        <is>
          <t xml:space="preserve">TRANSFD</t>
        </is>
      </c>
      <c r="B4168" t="inlineStr">
        <is>
          <t xml:space="preserve">TRANSGLOBE FOODS LTD.</t>
        </is>
      </c>
      <c r="C4168" t="inlineStr">
        <is>
          <t xml:space="preserve">INE213P01027</t>
        </is>
      </c>
    </row>
    <row r="4169">
      <c r="A4169" t="inlineStr">
        <is>
          <t xml:space="preserve">TREL</t>
        </is>
      </c>
      <c r="B4169" t="inlineStr">
        <is>
          <t xml:space="preserve">Transindia Real Estate Limited</t>
        </is>
      </c>
      <c r="C4169" t="inlineStr">
        <is>
          <t xml:space="preserve">INE0O3901029</t>
        </is>
      </c>
    </row>
    <row r="4170">
      <c r="A4170" t="inlineStr">
        <is>
          <t xml:space="preserve">TRANSPACT</t>
        </is>
      </c>
      <c r="B4170" t="inlineStr">
        <is>
          <t xml:space="preserve">Transpact Enterprises Limited</t>
        </is>
      </c>
      <c r="C4170" t="inlineStr">
        <is>
          <t xml:space="preserve">INE06YD01010</t>
        </is>
      </c>
    </row>
    <row r="4171">
      <c r="A4171" t="inlineStr">
        <is>
          <t xml:space="preserve">TRANSPEK</t>
        </is>
      </c>
      <c r="B4171" t="inlineStr">
        <is>
          <t xml:space="preserve">TRANSPEK INDUSTRY LTD.</t>
        </is>
      </c>
      <c r="C4171" t="inlineStr">
        <is>
          <t xml:space="preserve">INE687A01016</t>
        </is>
      </c>
    </row>
    <row r="4172">
      <c r="A4172" t="inlineStr">
        <is>
          <t xml:space="preserve">TCI</t>
        </is>
      </c>
      <c r="B4172" t="inlineStr">
        <is>
          <t xml:space="preserve">TRANSPORT CORPORATION OF INDIA</t>
        </is>
      </c>
      <c r="C4172" t="inlineStr">
        <is>
          <t xml:space="preserve">INE688A01022</t>
        </is>
      </c>
    </row>
    <row r="4173">
      <c r="A4173" t="inlineStr">
        <is>
          <t xml:space="preserve">TRANSRAILL</t>
        </is>
      </c>
      <c r="B4173" t="inlineStr">
        <is>
          <t xml:space="preserve">Transrail Lighting Limited</t>
        </is>
      </c>
      <c r="C4173" t="inlineStr">
        <is>
          <t xml:space="preserve">INE454P01035</t>
        </is>
      </c>
    </row>
    <row r="4174">
      <c r="A4174" t="inlineStr">
        <is>
          <t xml:space="preserve">TFL</t>
        </is>
      </c>
      <c r="B4174" t="inlineStr">
        <is>
          <t xml:space="preserve">TRANSWARRANTY FINANCE LTD.</t>
        </is>
      </c>
      <c r="C4174" t="inlineStr">
        <is>
          <t xml:space="preserve">INE804H01012</t>
        </is>
      </c>
    </row>
    <row r="4175">
      <c r="A4175" t="inlineStr">
        <is>
          <t xml:space="preserve">TRANSWORLD</t>
        </is>
      </c>
      <c r="B4175" t="inlineStr">
        <is>
          <t xml:space="preserve">TRANSWORLD SHIPPING LINES LIMI</t>
        </is>
      </c>
      <c r="C4175" t="inlineStr">
        <is>
          <t xml:space="preserve">INE757B01015</t>
        </is>
      </c>
    </row>
    <row r="4176">
      <c r="A4176" t="inlineStr">
        <is>
          <t xml:space="preserve">TRAVELFOOD</t>
        </is>
      </c>
      <c r="B4176" t="inlineStr">
        <is>
          <t xml:space="preserve">TRAVEL FOOD SERVICES LIMITED</t>
        </is>
      </c>
      <c r="C4176" t="inlineStr">
        <is>
          <t xml:space="preserve">INE103V01028</t>
        </is>
      </c>
    </row>
    <row r="4177">
      <c r="A4177" t="inlineStr">
        <is>
          <t xml:space="preserve">TRAVELS</t>
        </is>
      </c>
      <c r="B4177" t="inlineStr">
        <is>
          <t xml:space="preserve">Travels &amp; rentals Limited</t>
        </is>
      </c>
      <c r="C4177" t="inlineStr">
        <is>
          <t xml:space="preserve">INE0SG001011</t>
        </is>
      </c>
    </row>
    <row r="4178">
      <c r="A4178" t="inlineStr">
        <is>
          <t xml:space="preserve">TREEHOUSE</t>
        </is>
      </c>
      <c r="B4178" t="inlineStr">
        <is>
          <t xml:space="preserve">TREE HOUSE EDUCATION &amp; ACCESSO</t>
        </is>
      </c>
      <c r="C4178" t="inlineStr">
        <is>
          <t xml:space="preserve">INE040M01013</t>
        </is>
      </c>
    </row>
    <row r="4179">
      <c r="A4179" t="inlineStr">
        <is>
          <t xml:space="preserve">TREJHARA</t>
        </is>
      </c>
      <c r="B4179" t="inlineStr">
        <is>
          <t xml:space="preserve">Trejhara Solutions Limited</t>
        </is>
      </c>
      <c r="C4179" t="inlineStr">
        <is>
          <t xml:space="preserve">INE00CA01015</t>
        </is>
      </c>
    </row>
    <row r="4180">
      <c r="A4180" t="inlineStr">
        <is>
          <t xml:space="preserve">TRENT</t>
        </is>
      </c>
      <c r="B4180" t="inlineStr">
        <is>
          <t xml:space="preserve">TRENT LTD.</t>
        </is>
      </c>
      <c r="C4180" t="inlineStr">
        <is>
          <t xml:space="preserve">INE849A01020</t>
        </is>
      </c>
    </row>
    <row r="4181">
      <c r="A4181" t="inlineStr">
        <is>
          <t xml:space="preserve">TRESCON</t>
        </is>
      </c>
      <c r="B4181" t="inlineStr">
        <is>
          <t xml:space="preserve">TRESCON LIMITED</t>
        </is>
      </c>
      <c r="C4181" t="inlineStr">
        <is>
          <t xml:space="preserve">INE088D01011</t>
        </is>
      </c>
    </row>
    <row r="4182">
      <c r="A4182" t="inlineStr">
        <is>
          <t xml:space="preserve">TRF</t>
        </is>
      </c>
      <c r="B4182" t="inlineStr">
        <is>
          <t xml:space="preserve">TRF LTD.</t>
        </is>
      </c>
      <c r="C4182" t="inlineStr">
        <is>
          <t xml:space="preserve">INE391D01019</t>
        </is>
      </c>
    </row>
    <row r="4183">
      <c r="A4183" t="inlineStr">
        <is>
          <t xml:space="preserve">TBZ</t>
        </is>
      </c>
      <c r="B4183" t="inlineStr">
        <is>
          <t xml:space="preserve">TRIBHOVANDAS BHIMJI ZAVERI LTD</t>
        </is>
      </c>
      <c r="C4183" t="inlineStr">
        <is>
          <t xml:space="preserve">INE760L01018</t>
        </is>
      </c>
    </row>
    <row r="4184">
      <c r="A4184" t="inlineStr">
        <is>
          <t xml:space="preserve">TLL</t>
        </is>
      </c>
      <c r="B4184" t="inlineStr">
        <is>
          <t xml:space="preserve">Trident Lifeline Limited</t>
        </is>
      </c>
      <c r="C4184" t="inlineStr">
        <is>
          <t xml:space="preserve">INE0MKA01014</t>
        </is>
      </c>
    </row>
    <row r="4185">
      <c r="A4185" t="inlineStr">
        <is>
          <t xml:space="preserve">TRIDENT</t>
        </is>
      </c>
      <c r="B4185" t="inlineStr">
        <is>
          <t xml:space="preserve">TRIDENT LTD.</t>
        </is>
      </c>
      <c r="C4185" t="inlineStr">
        <is>
          <t xml:space="preserve">INE064C01022</t>
        </is>
      </c>
    </row>
    <row r="4186">
      <c r="A4186" t="inlineStr">
        <is>
          <t xml:space="preserve">TTFL</t>
        </is>
      </c>
      <c r="B4186" t="inlineStr">
        <is>
          <t xml:space="preserve">Trident Texofab Limited</t>
        </is>
      </c>
      <c r="C4186" t="inlineStr">
        <is>
          <t xml:space="preserve">INE071Y01013</t>
        </is>
      </c>
    </row>
    <row r="4187">
      <c r="A4187" t="inlineStr">
        <is>
          <t xml:space="preserve">TRIGYN</t>
        </is>
      </c>
      <c r="B4187" t="inlineStr">
        <is>
          <t xml:space="preserve">TRIGYN TECHNOLOGIES LTD.</t>
        </is>
      </c>
      <c r="C4187" t="inlineStr">
        <is>
          <t xml:space="preserve">INE948A01012</t>
        </is>
      </c>
    </row>
    <row r="4188">
      <c r="A4188" t="inlineStr">
        <is>
          <t xml:space="preserve">TRILIANCE</t>
        </is>
      </c>
      <c r="B4188" t="inlineStr">
        <is>
          <t xml:space="preserve">TRILIANCE POLYMERS LIMITED</t>
        </is>
      </c>
      <c r="C4188" t="inlineStr">
        <is>
          <t xml:space="preserve">INE778N01016</t>
        </is>
      </c>
    </row>
    <row r="4189">
      <c r="A4189" t="inlineStr">
        <is>
          <t xml:space="preserve">TRINITYLEA</t>
        </is>
      </c>
      <c r="B4189" t="inlineStr">
        <is>
          <t xml:space="preserve">TRINITY LEAGUE INDIA LTD.</t>
        </is>
      </c>
      <c r="C4189" t="inlineStr">
        <is>
          <t xml:space="preserve">INE884X01011</t>
        </is>
      </c>
    </row>
    <row r="4190">
      <c r="A4190" t="inlineStr">
        <is>
          <t xml:space="preserve">TRIOMERC</t>
        </is>
      </c>
      <c r="B4190" t="inlineStr">
        <is>
          <t xml:space="preserve">TRIO MERCANTILE &amp; TRADING LTD.</t>
        </is>
      </c>
      <c r="C4190" t="inlineStr">
        <is>
          <t xml:space="preserve">INE234G01022</t>
        </is>
      </c>
    </row>
    <row r="4191">
      <c r="A4191" t="inlineStr">
        <is>
          <t xml:space="preserve">TRISHAKT</t>
        </is>
      </c>
      <c r="B4191" t="inlineStr">
        <is>
          <t xml:space="preserve">Trishakti Industries Limited</t>
        </is>
      </c>
      <c r="C4191" t="inlineStr">
        <is>
          <t xml:space="preserve">INE238C01022</t>
        </is>
      </c>
    </row>
    <row r="4192">
      <c r="A4192" t="inlineStr">
        <is>
          <t xml:space="preserve">TRITONV</t>
        </is>
      </c>
      <c r="B4192" t="inlineStr">
        <is>
          <t xml:space="preserve">TRITON VALVES LTD.</t>
        </is>
      </c>
      <c r="C4192" t="inlineStr">
        <is>
          <t xml:space="preserve">INE440G01017</t>
        </is>
      </c>
    </row>
    <row r="4193">
      <c r="A4193" t="inlineStr">
        <is>
          <t xml:space="preserve">TRIUMPIN</t>
        </is>
      </c>
      <c r="B4193" t="inlineStr">
        <is>
          <t xml:space="preserve">TRIUMPH INTERNATIONAL FINANCE</t>
        </is>
      </c>
      <c r="C4193" t="inlineStr">
        <is>
          <t xml:space="preserve">INE382B01012</t>
        </is>
      </c>
    </row>
    <row r="4194">
      <c r="A4194" t="inlineStr">
        <is>
          <t xml:space="preserve">TRIVENI</t>
        </is>
      </c>
      <c r="B4194" t="inlineStr">
        <is>
          <t xml:space="preserve">TRIVENI ENGINEERING &amp; INDUSTRI</t>
        </is>
      </c>
      <c r="C4194" t="inlineStr">
        <is>
          <t xml:space="preserve">INE256C01024</t>
        </is>
      </c>
    </row>
    <row r="4195">
      <c r="A4195" t="inlineStr">
        <is>
          <t xml:space="preserve">TRIVENIENT</t>
        </is>
      </c>
      <c r="B4195" t="inlineStr">
        <is>
          <t xml:space="preserve">TRIVENI ENTERPRISES LTD</t>
        </is>
      </c>
      <c r="C4195" t="inlineStr">
        <is>
          <t xml:space="preserve">INE916P01025</t>
        </is>
      </c>
    </row>
    <row r="4196">
      <c r="A4196" t="inlineStr">
        <is>
          <t xml:space="preserve">TRIVENIGQ</t>
        </is>
      </c>
      <c r="B4196" t="inlineStr">
        <is>
          <t xml:space="preserve">TRIVENI GLASS LTD.</t>
        </is>
      </c>
      <c r="C4196" t="inlineStr">
        <is>
          <t xml:space="preserve">INE094C01011</t>
        </is>
      </c>
    </row>
    <row r="4197">
      <c r="A4197" t="inlineStr">
        <is>
          <t xml:space="preserve">TRITURBINE</t>
        </is>
      </c>
      <c r="B4197" t="inlineStr">
        <is>
          <t xml:space="preserve">TRIVENI TURBINE LTD.</t>
        </is>
      </c>
      <c r="C4197" t="inlineStr">
        <is>
          <t xml:space="preserve">INE152M01016</t>
        </is>
      </c>
    </row>
    <row r="4198">
      <c r="A4198" t="inlineStr">
        <is>
          <t xml:space="preserve">TRUALT</t>
        </is>
      </c>
      <c r="B4198" t="inlineStr">
        <is>
          <t xml:space="preserve">TRUALT BIOENERGY LIMITED</t>
        </is>
      </c>
      <c r="C4198" t="inlineStr">
        <is>
          <t xml:space="preserve">INE0MWH01014</t>
        </is>
      </c>
    </row>
    <row r="4199">
      <c r="A4199" t="inlineStr">
        <is>
          <t xml:space="preserve">TRU</t>
        </is>
      </c>
      <c r="B4199" t="inlineStr">
        <is>
          <t xml:space="preserve">TruCap Finance Limited</t>
        </is>
      </c>
      <c r="C4199" t="inlineStr">
        <is>
          <t xml:space="preserve">INE615R01029</t>
        </is>
      </c>
    </row>
    <row r="4200">
      <c r="A4200" t="inlineStr">
        <is>
          <t xml:space="preserve">TRUECOLORS</t>
        </is>
      </c>
      <c r="B4200" t="inlineStr">
        <is>
          <t xml:space="preserve">TRUE COLORS LIMITED</t>
        </is>
      </c>
      <c r="C4200" t="inlineStr">
        <is>
          <t xml:space="preserve">INE1LDV01015</t>
        </is>
      </c>
    </row>
    <row r="4201">
      <c r="A4201" t="inlineStr">
        <is>
          <t xml:space="preserve">TRUEGREEN</t>
        </is>
      </c>
      <c r="B4201" t="inlineStr">
        <is>
          <t xml:space="preserve">TRUE GREEN BIO ENERGY LIMITED</t>
        </is>
      </c>
      <c r="C4201" t="inlineStr">
        <is>
          <t xml:space="preserve">INE672K01025</t>
        </is>
      </c>
    </row>
    <row r="4202">
      <c r="A4202" t="inlineStr">
        <is>
          <t xml:space="preserve">TRUSTEDGE</t>
        </is>
      </c>
      <c r="B4202" t="inlineStr">
        <is>
          <t xml:space="preserve">Trustedge Capital Limited</t>
        </is>
      </c>
      <c r="C4202" t="inlineStr">
        <is>
          <t xml:space="preserve">INE398H01015</t>
        </is>
      </c>
    </row>
    <row r="4203">
      <c r="A4203" t="inlineStr">
        <is>
          <t xml:space="preserve">TTIENT</t>
        </is>
      </c>
      <c r="B4203" t="inlineStr">
        <is>
          <t xml:space="preserve">TTI ENTERPRISE LTD</t>
        </is>
      </c>
      <c r="C4203" t="inlineStr">
        <is>
          <t xml:space="preserve">INE404F01031</t>
        </is>
      </c>
    </row>
    <row r="4204">
      <c r="A4204" t="inlineStr">
        <is>
          <t xml:space="preserve">TTKHLTCARE</t>
        </is>
      </c>
      <c r="B4204" t="inlineStr">
        <is>
          <t xml:space="preserve">TTK HEALTHCARE LTD.</t>
        </is>
      </c>
      <c r="C4204" t="inlineStr">
        <is>
          <t xml:space="preserve">INE910C01018</t>
        </is>
      </c>
    </row>
    <row r="4205">
      <c r="A4205" t="inlineStr">
        <is>
          <t xml:space="preserve">TTKPRESTIG</t>
        </is>
      </c>
      <c r="B4205" t="inlineStr">
        <is>
          <t xml:space="preserve">TTK PRESTIGE LTD.</t>
        </is>
      </c>
      <c r="C4205" t="inlineStr">
        <is>
          <t xml:space="preserve">INE690A01028</t>
        </is>
      </c>
    </row>
    <row r="4206">
      <c r="A4206" t="inlineStr">
        <is>
          <t xml:space="preserve">TIINDIA</t>
        </is>
      </c>
      <c r="B4206" t="inlineStr">
        <is>
          <t xml:space="preserve">Tube Investments of India Ltd</t>
        </is>
      </c>
      <c r="C4206" t="inlineStr">
        <is>
          <t xml:space="preserve">INE974X01010</t>
        </is>
      </c>
    </row>
    <row r="4207">
      <c r="A4207" t="inlineStr">
        <is>
          <t xml:space="preserve">TULSYAN</t>
        </is>
      </c>
      <c r="B4207" t="inlineStr">
        <is>
          <t xml:space="preserve">TULSYAN NEC LTD.</t>
        </is>
      </c>
      <c r="C4207" t="inlineStr">
        <is>
          <t xml:space="preserve">INE463D01016</t>
        </is>
      </c>
    </row>
    <row r="4208">
      <c r="A4208" t="inlineStr">
        <is>
          <t xml:space="preserve">TUNITEX</t>
        </is>
      </c>
      <c r="B4208" t="inlineStr">
        <is>
          <t xml:space="preserve">TUNI TEXTILE MILLS LTD.</t>
        </is>
      </c>
      <c r="C4208" t="inlineStr">
        <is>
          <t xml:space="preserve">INE560D01027</t>
        </is>
      </c>
    </row>
    <row r="4209">
      <c r="A4209" t="inlineStr">
        <is>
          <t xml:space="preserve">TURTLEMINT</t>
        </is>
      </c>
      <c r="B4209" t="inlineStr">
        <is>
          <t xml:space="preserve">Turtlemint Fintech Solutions L</t>
        </is>
      </c>
      <c r="C4209" t="inlineStr">
        <is>
          <t xml:space="preserve">INE0OC301013</t>
        </is>
      </c>
    </row>
    <row r="4210">
      <c r="A4210" t="inlineStr">
        <is>
          <t xml:space="preserve">TUTIALKA</t>
        </is>
      </c>
      <c r="B4210" t="inlineStr">
        <is>
          <t xml:space="preserve">TUTICORIN ALKALI CHEMICALS AND</t>
        </is>
      </c>
      <c r="C4210" t="inlineStr">
        <is>
          <t xml:space="preserve">INE400A01014</t>
        </is>
      </c>
    </row>
    <row r="4211">
      <c r="A4211" t="inlineStr">
        <is>
          <t xml:space="preserve">TVTODAY</t>
        </is>
      </c>
      <c r="B4211" t="inlineStr">
        <is>
          <t xml:space="preserve">TV TODAY NETWORK LTD.</t>
        </is>
      </c>
      <c r="C4211" t="inlineStr">
        <is>
          <t xml:space="preserve">INE038F01029</t>
        </is>
      </c>
    </row>
    <row r="4212">
      <c r="A4212" t="inlineStr">
        <is>
          <t xml:space="preserve">TVVISION</t>
        </is>
      </c>
      <c r="B4212" t="inlineStr">
        <is>
          <t xml:space="preserve">TV VISION LIMITED</t>
        </is>
      </c>
      <c r="C4212" t="inlineStr">
        <is>
          <t xml:space="preserve">INE871L01013</t>
        </is>
      </c>
    </row>
    <row r="4213">
      <c r="A4213" t="inlineStr">
        <is>
          <t xml:space="preserve">TVSELECT</t>
        </is>
      </c>
      <c r="B4213" t="inlineStr">
        <is>
          <t xml:space="preserve">TVS ELECTRONICS LTD.</t>
        </is>
      </c>
      <c r="C4213" t="inlineStr">
        <is>
          <t xml:space="preserve">INE236G01019</t>
        </is>
      </c>
    </row>
    <row r="4214">
      <c r="A4214" t="inlineStr">
        <is>
          <t xml:space="preserve">TVSHLTD</t>
        </is>
      </c>
      <c r="B4214" t="inlineStr">
        <is>
          <t xml:space="preserve">TVS Holdings Limited</t>
        </is>
      </c>
      <c r="C4214" t="inlineStr">
        <is>
          <t xml:space="preserve">INE105A01035</t>
        </is>
      </c>
    </row>
    <row r="4215">
      <c r="A4215" t="inlineStr">
        <is>
          <t xml:space="preserve">TVSMOTOR</t>
        </is>
      </c>
      <c r="B4215" t="inlineStr">
        <is>
          <t xml:space="preserve">TVS MOTOR COMPANY LTD.</t>
        </is>
      </c>
      <c r="C4215" t="inlineStr">
        <is>
          <t xml:space="preserve">INE494B01023</t>
        </is>
      </c>
    </row>
    <row r="4216">
      <c r="A4216" t="inlineStr">
        <is>
          <t xml:space="preserve">TVSMNCRPS</t>
        </is>
      </c>
      <c r="B4216" t="inlineStr">
        <is>
          <t xml:space="preserve">TVS Motor Company Ltd.</t>
        </is>
      </c>
      <c r="C4216" t="inlineStr">
        <is>
          <t xml:space="preserve">INE494B04019</t>
        </is>
      </c>
    </row>
    <row r="4217">
      <c r="A4217" t="inlineStr">
        <is>
          <t xml:space="preserve">TVSSRICHAK</t>
        </is>
      </c>
      <c r="B4217" t="inlineStr">
        <is>
          <t xml:space="preserve">TVS SRICHAKRA LTD.</t>
        </is>
      </c>
      <c r="C4217" t="inlineStr">
        <is>
          <t xml:space="preserve">INE421C01016</t>
        </is>
      </c>
    </row>
    <row r="4218">
      <c r="A4218" t="inlineStr">
        <is>
          <t xml:space="preserve">TVSSCS</t>
        </is>
      </c>
      <c r="B4218" t="inlineStr">
        <is>
          <t xml:space="preserve">TVS Supply Chain Solutions Lim</t>
        </is>
      </c>
      <c r="C4218" t="inlineStr">
        <is>
          <t xml:space="preserve">INE395N01027</t>
        </is>
      </c>
    </row>
    <row r="4219">
      <c r="A4219" t="inlineStr">
        <is>
          <t xml:space="preserve">TICL</t>
        </is>
      </c>
      <c r="B4219" t="inlineStr">
        <is>
          <t xml:space="preserve">TwamevConstruction and Infrast</t>
        </is>
      </c>
      <c r="C4219" t="inlineStr">
        <is>
          <t xml:space="preserve">INE388G01026</t>
        </is>
      </c>
    </row>
    <row r="4220">
      <c r="A4220" t="inlineStr">
        <is>
          <t xml:space="preserve">21STCENMGM</t>
        </is>
      </c>
      <c r="B4220" t="inlineStr">
        <is>
          <t xml:space="preserve">TWENTYFIRST CENTURY MANAGEMENT</t>
        </is>
      </c>
      <c r="C4220" t="inlineStr">
        <is>
          <t xml:space="preserve">INE253B01015</t>
        </is>
      </c>
    </row>
    <row r="4221">
      <c r="A4221" t="inlineStr">
        <is>
          <t xml:space="preserve">TYCHE</t>
        </is>
      </c>
      <c r="B4221" t="inlineStr">
        <is>
          <t xml:space="preserve">TYCHE INDUSTRIES LTD.</t>
        </is>
      </c>
      <c r="C4221" t="inlineStr">
        <is>
          <t xml:space="preserve">INE443B01012</t>
        </is>
      </c>
    </row>
    <row r="4222">
      <c r="A4222" t="inlineStr">
        <is>
          <t xml:space="preserve">TFSL</t>
        </is>
      </c>
      <c r="B4222" t="inlineStr">
        <is>
          <t xml:space="preserve">Typhoon Financial Services Lim</t>
        </is>
      </c>
      <c r="C4222" t="inlineStr">
        <is>
          <t xml:space="preserve">INE761R01013</t>
        </is>
      </c>
    </row>
    <row r="4223">
      <c r="A4223" t="inlineStr">
        <is>
          <t xml:space="preserve">TYROON</t>
        </is>
      </c>
      <c r="B4223" t="inlineStr">
        <is>
          <t xml:space="preserve">TYROON TEA CO.LTD.</t>
        </is>
      </c>
      <c r="C4223" t="inlineStr">
        <is>
          <t xml:space="preserve">INE945B01016</t>
        </is>
      </c>
    </row>
    <row r="4224">
      <c r="A4224" t="inlineStr">
        <is>
          <t xml:space="preserve">UHZAVERI</t>
        </is>
      </c>
      <c r="B4224" t="inlineStr">
        <is>
          <t xml:space="preserve">U. H. ZAVERI LIMITED</t>
        </is>
      </c>
      <c r="C4224" t="inlineStr">
        <is>
          <t xml:space="preserve">INE556Z01010</t>
        </is>
      </c>
    </row>
    <row r="4225">
      <c r="A4225" t="inlineStr">
        <is>
          <t xml:space="preserve">UYFINCORP</t>
        </is>
      </c>
      <c r="B4225" t="inlineStr">
        <is>
          <t xml:space="preserve">U. Y. FINCORP LIMITED</t>
        </is>
      </c>
      <c r="C4225" t="inlineStr">
        <is>
          <t xml:space="preserve">INE152C01025</t>
        </is>
      </c>
    </row>
    <row r="4226">
      <c r="A4226" t="inlineStr">
        <is>
          <t xml:space="preserve">UCAL</t>
        </is>
      </c>
      <c r="B4226" t="inlineStr">
        <is>
          <t xml:space="preserve">UCAL LIMITED</t>
        </is>
      </c>
      <c r="C4226" t="inlineStr">
        <is>
          <t xml:space="preserve">INE139B01016</t>
        </is>
      </c>
    </row>
    <row r="4227">
      <c r="A4227" t="inlineStr">
        <is>
          <t xml:space="preserve">13UCIL2028</t>
        </is>
      </c>
      <c r="B4227" t="inlineStr">
        <is>
          <t xml:space="preserve">UCIL-13%-20-5-28-PVT</t>
        </is>
      </c>
      <c r="C4227" t="inlineStr">
        <is>
          <t xml:space="preserve">INE926R07035</t>
        </is>
      </c>
    </row>
    <row r="4228">
      <c r="A4228" t="inlineStr">
        <is>
          <t xml:space="preserve">13UCIL28</t>
        </is>
      </c>
      <c r="B4228" t="inlineStr">
        <is>
          <t xml:space="preserve">UCIL-13%-23-4-28-PVT</t>
        </is>
      </c>
      <c r="C4228" t="inlineStr">
        <is>
          <t xml:space="preserve">INE926R07027</t>
        </is>
      </c>
    </row>
    <row r="4229">
      <c r="A4229" t="inlineStr">
        <is>
          <t xml:space="preserve">13UCIL27</t>
        </is>
      </c>
      <c r="B4229" t="inlineStr">
        <is>
          <t xml:space="preserve">UCIL-13%-24-5-27-PVT</t>
        </is>
      </c>
      <c r="C4229" t="inlineStr">
        <is>
          <t xml:space="preserve">INE926R07019</t>
        </is>
      </c>
    </row>
    <row r="4230">
      <c r="A4230" t="inlineStr">
        <is>
          <t xml:space="preserve">1025UCL26A</t>
        </is>
      </c>
      <c r="B4230" t="inlineStr">
        <is>
          <t xml:space="preserve">UCL-10.25%-24-10-26-NCD</t>
        </is>
      </c>
      <c r="C4230" t="inlineStr">
        <is>
          <t xml:space="preserve">INE583D07521</t>
        </is>
      </c>
    </row>
    <row r="4231">
      <c r="A4231" t="inlineStr">
        <is>
          <t xml:space="preserve">1165UCL31</t>
        </is>
      </c>
      <c r="B4231" t="inlineStr">
        <is>
          <t xml:space="preserve">UCL-11.65%-15-3-31-PVT</t>
        </is>
      </c>
      <c r="C4231" t="inlineStr">
        <is>
          <t xml:space="preserve">INE583D08081</t>
        </is>
      </c>
    </row>
    <row r="4232">
      <c r="A4232" t="inlineStr">
        <is>
          <t xml:space="preserve">1250UCL29</t>
        </is>
      </c>
      <c r="B4232" t="inlineStr">
        <is>
          <t xml:space="preserve">UCL-12.50%-15-9-29-PVT</t>
        </is>
      </c>
      <c r="C4232" t="inlineStr">
        <is>
          <t xml:space="preserve">INE583D08057</t>
        </is>
      </c>
    </row>
    <row r="4233">
      <c r="A4233" t="inlineStr">
        <is>
          <t xml:space="preserve">975UCL27</t>
        </is>
      </c>
      <c r="B4233" t="inlineStr">
        <is>
          <t xml:space="preserve">UCL-9.75%-15-10-27-PVT</t>
        </is>
      </c>
      <c r="C4233" t="inlineStr">
        <is>
          <t xml:space="preserve">INE583D07612</t>
        </is>
      </c>
    </row>
    <row r="4234">
      <c r="A4234" t="inlineStr">
        <is>
          <t xml:space="preserve">UCOBANK</t>
        </is>
      </c>
      <c r="B4234" t="inlineStr">
        <is>
          <t xml:space="preserve">UCO BANK</t>
        </is>
      </c>
      <c r="C4234" t="inlineStr">
        <is>
          <t xml:space="preserve">INE691A01018</t>
        </is>
      </c>
    </row>
    <row r="4235">
      <c r="A4235" t="inlineStr">
        <is>
          <t xml:space="preserve">UDAYJEW</t>
        </is>
      </c>
      <c r="B4235" t="inlineStr">
        <is>
          <t xml:space="preserve">Uday Jewellery Industries Limi</t>
        </is>
      </c>
      <c r="C4235" t="inlineStr">
        <is>
          <t xml:space="preserve">INE551B01012</t>
        </is>
      </c>
    </row>
    <row r="4236">
      <c r="A4236" t="inlineStr">
        <is>
          <t xml:space="preserve">USK</t>
        </is>
      </c>
      <c r="B4236" t="inlineStr">
        <is>
          <t xml:space="preserve">Udayshivakumar infra limited</t>
        </is>
      </c>
      <c r="C4236" t="inlineStr">
        <is>
          <t xml:space="preserve">INE0N0Y01013</t>
        </is>
      </c>
    </row>
    <row r="4237">
      <c r="A4237" t="inlineStr">
        <is>
          <t xml:space="preserve">UFLEX</t>
        </is>
      </c>
      <c r="B4237" t="inlineStr">
        <is>
          <t xml:space="preserve">UFLEX LTD.</t>
        </is>
      </c>
      <c r="C4237" t="inlineStr">
        <is>
          <t xml:space="preserve">INE516A01017</t>
        </is>
      </c>
    </row>
    <row r="4238">
      <c r="A4238" t="inlineStr">
        <is>
          <t xml:space="preserve">UFO</t>
        </is>
      </c>
      <c r="B4238" t="inlineStr">
        <is>
          <t xml:space="preserve">UFO Moviez India Limited</t>
        </is>
      </c>
      <c r="C4238" t="inlineStr">
        <is>
          <t xml:space="preserve">INE527H01019</t>
        </is>
      </c>
    </row>
    <row r="4239">
      <c r="A4239" t="inlineStr">
        <is>
          <t xml:space="preserve">UGARSUGAR</t>
        </is>
      </c>
      <c r="B4239" t="inlineStr">
        <is>
          <t xml:space="preserve">UGAR SUGAR WORKS LTD.</t>
        </is>
      </c>
      <c r="C4239" t="inlineStr">
        <is>
          <t xml:space="preserve">INE071E01023</t>
        </is>
      </c>
    </row>
    <row r="4240">
      <c r="A4240" t="inlineStr">
        <is>
          <t xml:space="preserve">UGROCAP</t>
        </is>
      </c>
      <c r="B4240" t="inlineStr">
        <is>
          <t xml:space="preserve">UGRO CAPITAL LIMITED</t>
        </is>
      </c>
      <c r="C4240" t="inlineStr">
        <is>
          <t xml:space="preserve">INE583D01011</t>
        </is>
      </c>
    </row>
    <row r="4241">
      <c r="A4241" t="inlineStr">
        <is>
          <t xml:space="preserve">UHMVL</t>
        </is>
      </c>
      <c r="B4241" t="inlineStr">
        <is>
          <t xml:space="preserve">UHM Vacation Limited</t>
        </is>
      </c>
      <c r="C4241" t="inlineStr">
        <is>
          <t xml:space="preserve">INE0YZ901011</t>
        </is>
      </c>
    </row>
    <row r="4242">
      <c r="A4242" t="inlineStr">
        <is>
          <t xml:space="preserve">UEL</t>
        </is>
      </c>
      <c r="B4242" t="inlineStr">
        <is>
          <t xml:space="preserve">UJAAS ENERGY LIMITED</t>
        </is>
      </c>
      <c r="C4242" t="inlineStr">
        <is>
          <t xml:space="preserve">INE899L01030</t>
        </is>
      </c>
    </row>
    <row r="4243">
      <c r="A4243" t="inlineStr">
        <is>
          <t xml:space="preserve">UJJIVANSFB</t>
        </is>
      </c>
      <c r="B4243" t="inlineStr">
        <is>
          <t xml:space="preserve">Ujjivan Small Finance Bank Lim</t>
        </is>
      </c>
      <c r="C4243" t="inlineStr">
        <is>
          <t xml:space="preserve">INE551W01018</t>
        </is>
      </c>
    </row>
    <row r="4244">
      <c r="A4244" t="inlineStr">
        <is>
          <t xml:space="preserve">ULTRACAB</t>
        </is>
      </c>
      <c r="B4244" t="inlineStr">
        <is>
          <t xml:space="preserve">Ultracab (India) Limited</t>
        </is>
      </c>
      <c r="C4244" t="inlineStr">
        <is>
          <t xml:space="preserve">INE010R01023</t>
        </is>
      </c>
    </row>
    <row r="4245">
      <c r="A4245" t="inlineStr">
        <is>
          <t xml:space="preserve">ULTRAMAR</t>
        </is>
      </c>
      <c r="B4245" t="inlineStr">
        <is>
          <t xml:space="preserve">ULTRAMARINE &amp; PIGMENTS LTD.</t>
        </is>
      </c>
      <c r="C4245" t="inlineStr">
        <is>
          <t xml:space="preserve">INE405A01021</t>
        </is>
      </c>
    </row>
    <row r="4246">
      <c r="A4246" t="inlineStr">
        <is>
          <t xml:space="preserve">ULTRACEMCO</t>
        </is>
      </c>
      <c r="B4246" t="inlineStr">
        <is>
          <t xml:space="preserve">ULTRATECH CEMENT LTD.</t>
        </is>
      </c>
      <c r="C4246" t="inlineStr">
        <is>
          <t xml:space="preserve">INE481G01011</t>
        </is>
      </c>
    </row>
    <row r="4247">
      <c r="A4247" t="inlineStr">
        <is>
          <t xml:space="preserve">UMAEXPORTS</t>
        </is>
      </c>
      <c r="B4247" t="inlineStr">
        <is>
          <t xml:space="preserve">Uma Exports Limited</t>
        </is>
      </c>
      <c r="C4247" t="inlineStr">
        <is>
          <t xml:space="preserve">INE0GIU01018</t>
        </is>
      </c>
    </row>
    <row r="4248">
      <c r="A4248" t="inlineStr">
        <is>
          <t xml:space="preserve">UMIYA-MRO</t>
        </is>
      </c>
      <c r="B4248" t="inlineStr">
        <is>
          <t xml:space="preserve">UMIYA BUILDCON LIMITED</t>
        </is>
      </c>
      <c r="C4248" t="inlineStr">
        <is>
          <t xml:space="preserve">INE398B01018</t>
        </is>
      </c>
    </row>
    <row r="4249">
      <c r="A4249" t="inlineStr">
        <is>
          <t xml:space="preserve">UMIYA</t>
        </is>
      </c>
      <c r="B4249" t="inlineStr">
        <is>
          <t xml:space="preserve">Umiya Tubes Limited</t>
        </is>
      </c>
      <c r="C4249" t="inlineStr">
        <is>
          <t xml:space="preserve">INE173U01015</t>
        </is>
      </c>
    </row>
    <row r="4250">
      <c r="A4250" t="inlineStr">
        <is>
          <t xml:space="preserve">UNIABEXAL</t>
        </is>
      </c>
      <c r="B4250" t="inlineStr">
        <is>
          <t xml:space="preserve">UNI ABEX ALLOY PRODUCTS LTD.</t>
        </is>
      </c>
      <c r="C4250" t="inlineStr">
        <is>
          <t xml:space="preserve">INE361D01012</t>
        </is>
      </c>
    </row>
    <row r="4251">
      <c r="A4251" t="inlineStr">
        <is>
          <t xml:space="preserve">UNICHEMLAB</t>
        </is>
      </c>
      <c r="B4251" t="inlineStr">
        <is>
          <t xml:space="preserve">UNICHEM LABORATORIES LTD.</t>
        </is>
      </c>
      <c r="C4251" t="inlineStr">
        <is>
          <t xml:space="preserve">INE351A01035</t>
        </is>
      </c>
    </row>
    <row r="4252">
      <c r="A4252" t="inlineStr">
        <is>
          <t xml:space="preserve">UNIECOM</t>
        </is>
      </c>
      <c r="B4252" t="inlineStr">
        <is>
          <t xml:space="preserve">UNICOMMERCE ESOLUTIONS LIMITED</t>
        </is>
      </c>
      <c r="C4252" t="inlineStr">
        <is>
          <t xml:space="preserve">INE00U401027</t>
        </is>
      </c>
    </row>
    <row r="4253">
      <c r="A4253" t="inlineStr">
        <is>
          <t xml:space="preserve">UNIFIED</t>
        </is>
      </c>
      <c r="B4253" t="inlineStr">
        <is>
          <t xml:space="preserve">UNIFIED DATA TECH SOLUTIONS LI</t>
        </is>
      </c>
      <c r="C4253" t="inlineStr">
        <is>
          <t xml:space="preserve">INE1ABX01018</t>
        </is>
      </c>
    </row>
    <row r="4254">
      <c r="A4254" t="inlineStr">
        <is>
          <t xml:space="preserve">UCIL</t>
        </is>
      </c>
      <c r="B4254" t="inlineStr">
        <is>
          <t xml:space="preserve">UNIFINZ CAPITAL INDIA LIMITED</t>
        </is>
      </c>
      <c r="C4254" t="inlineStr">
        <is>
          <t xml:space="preserve">INE926R01012</t>
        </is>
      </c>
    </row>
    <row r="4255">
      <c r="A4255" t="inlineStr">
        <is>
          <t xml:space="preserve">UNIMECH</t>
        </is>
      </c>
      <c r="B4255" t="inlineStr">
        <is>
          <t xml:space="preserve">Unimech Aerospace and Manufact</t>
        </is>
      </c>
      <c r="C4255" t="inlineStr">
        <is>
          <t xml:space="preserve">INE0U3I01011</t>
        </is>
      </c>
    </row>
    <row r="4256">
      <c r="A4256" t="inlineStr">
        <is>
          <t xml:space="preserve">UNIONBANK</t>
        </is>
      </c>
      <c r="B4256" t="inlineStr">
        <is>
          <t xml:space="preserve">UNION BANK OF INDIA</t>
        </is>
      </c>
      <c r="C4256" t="inlineStr">
        <is>
          <t xml:space="preserve">INE692A01016</t>
        </is>
      </c>
    </row>
    <row r="4257">
      <c r="A4257" t="inlineStr">
        <is>
          <t xml:space="preserve">UNIPARTS</t>
        </is>
      </c>
      <c r="B4257" t="inlineStr">
        <is>
          <t xml:space="preserve">Uniparts India Limited</t>
        </is>
      </c>
      <c r="C4257" t="inlineStr">
        <is>
          <t xml:space="preserve">INE244O01017</t>
        </is>
      </c>
    </row>
    <row r="4258">
      <c r="A4258" t="inlineStr">
        <is>
          <t xml:space="preserve">UNIENTER</t>
        </is>
      </c>
      <c r="B4258" t="inlineStr">
        <is>
          <t xml:space="preserve">UNIPHOS ENTERPRISES LTD.</t>
        </is>
      </c>
      <c r="C4258" t="inlineStr">
        <is>
          <t xml:space="preserve">INE037A01022</t>
        </is>
      </c>
    </row>
    <row r="4259">
      <c r="A4259" t="inlineStr">
        <is>
          <t xml:space="preserve">UPROTECH</t>
        </is>
      </c>
      <c r="B4259" t="inlineStr">
        <is>
          <t xml:space="preserve">Unipro Technologies Limited</t>
        </is>
      </c>
      <c r="C4259" t="inlineStr">
        <is>
          <t xml:space="preserve">INE448F01012</t>
        </is>
      </c>
    </row>
    <row r="4260">
      <c r="A4260" t="inlineStr">
        <is>
          <t xml:space="preserve">UNIQUEO</t>
        </is>
      </c>
      <c r="B4260" t="inlineStr">
        <is>
          <t xml:space="preserve">UNIQUE ORGANICS LTD.</t>
        </is>
      </c>
      <c r="C4260" t="inlineStr">
        <is>
          <t xml:space="preserve">INE333E01019</t>
        </is>
      </c>
    </row>
    <row r="4261">
      <c r="A4261" t="inlineStr">
        <is>
          <t xml:space="preserve">UNIROYAL</t>
        </is>
      </c>
      <c r="B4261" t="inlineStr">
        <is>
          <t xml:space="preserve">UNIROYAL INDUSTRIES LTD.</t>
        </is>
      </c>
      <c r="C4261" t="inlineStr">
        <is>
          <t xml:space="preserve">INE980D01019</t>
        </is>
      </c>
    </row>
    <row r="4262">
      <c r="A4262" t="inlineStr">
        <is>
          <t xml:space="preserve">UNISEM</t>
        </is>
      </c>
      <c r="B4262" t="inlineStr">
        <is>
          <t xml:space="preserve">UNISEM AGRITECH LIMITED</t>
        </is>
      </c>
      <c r="C4262" t="inlineStr">
        <is>
          <t xml:space="preserve">INE1FHV01026</t>
        </is>
      </c>
    </row>
    <row r="4263">
      <c r="A4263" t="inlineStr">
        <is>
          <t xml:space="preserve">UNISON</t>
        </is>
      </c>
      <c r="B4263" t="inlineStr">
        <is>
          <t xml:space="preserve">UNISON METALS LTD</t>
        </is>
      </c>
      <c r="C4263" t="inlineStr">
        <is>
          <t xml:space="preserve">INE099D01026</t>
        </is>
      </c>
    </row>
    <row r="4264">
      <c r="A4264" t="inlineStr">
        <is>
          <t xml:space="preserve">UNITINT</t>
        </is>
      </c>
      <c r="B4264" t="inlineStr">
        <is>
          <t xml:space="preserve">UNITECH INTERNATIONAL LTD.</t>
        </is>
      </c>
      <c r="C4264" t="inlineStr">
        <is>
          <t xml:space="preserve">INE929K01011</t>
        </is>
      </c>
    </row>
    <row r="4265">
      <c r="A4265" t="inlineStr">
        <is>
          <t xml:space="preserve">UNITECH</t>
        </is>
      </c>
      <c r="B4265" t="inlineStr">
        <is>
          <t xml:space="preserve">UNITECH LTD.</t>
        </is>
      </c>
      <c r="C4265" t="inlineStr">
        <is>
          <t xml:space="preserve">INE694A01020</t>
        </is>
      </c>
    </row>
    <row r="4266">
      <c r="A4266" t="inlineStr">
        <is>
          <t xml:space="preserve">UBL</t>
        </is>
      </c>
      <c r="B4266" t="inlineStr">
        <is>
          <t xml:space="preserve">UNITED BREWERIES LTD.</t>
        </is>
      </c>
      <c r="C4266" t="inlineStr">
        <is>
          <t xml:space="preserve">INE686F01025</t>
        </is>
      </c>
    </row>
    <row r="4267">
      <c r="A4267" t="inlineStr">
        <is>
          <t xml:space="preserve">COTFAB</t>
        </is>
      </c>
      <c r="B4267" t="inlineStr">
        <is>
          <t xml:space="preserve">United Cotfab Limited</t>
        </is>
      </c>
      <c r="C4267" t="inlineStr">
        <is>
          <t xml:space="preserve">INE0S0I01011</t>
        </is>
      </c>
    </row>
    <row r="4268">
      <c r="A4268" t="inlineStr">
        <is>
          <t xml:space="preserve">UNITDCR</t>
        </is>
      </c>
      <c r="B4268" t="inlineStr">
        <is>
          <t xml:space="preserve">UNITED CREDIT LTD.</t>
        </is>
      </c>
      <c r="C4268" t="inlineStr">
        <is>
          <t xml:space="preserve">INE858C01027</t>
        </is>
      </c>
    </row>
    <row r="4269">
      <c r="A4269" t="inlineStr">
        <is>
          <t xml:space="preserve">UNIDT</t>
        </is>
      </c>
      <c r="B4269" t="inlineStr">
        <is>
          <t xml:space="preserve">UNITED DRILLING TOOLS LTD.</t>
        </is>
      </c>
      <c r="C4269" t="inlineStr">
        <is>
          <t xml:space="preserve">INE961D01019</t>
        </is>
      </c>
    </row>
    <row r="4270">
      <c r="A4270" t="inlineStr">
        <is>
          <t xml:space="preserve">UFBL</t>
        </is>
      </c>
      <c r="B4270" t="inlineStr">
        <is>
          <t xml:space="preserve">UNITED FOODBRANDS LIMITED</t>
        </is>
      </c>
      <c r="C4270" t="inlineStr">
        <is>
          <t xml:space="preserve">INE382M01027</t>
        </is>
      </c>
    </row>
    <row r="4271">
      <c r="A4271" t="inlineStr">
        <is>
          <t xml:space="preserve">UNITEDINT</t>
        </is>
      </c>
      <c r="B4271" t="inlineStr">
        <is>
          <t xml:space="preserve">UNITED INTERACTIVE LTD.</t>
        </is>
      </c>
      <c r="C4271" t="inlineStr">
        <is>
          <t xml:space="preserve">INE706D01018</t>
        </is>
      </c>
    </row>
    <row r="4272">
      <c r="A4272" t="inlineStr">
        <is>
          <t xml:space="preserve">UNITEDPOLY</t>
        </is>
      </c>
      <c r="B4272" t="inlineStr">
        <is>
          <t xml:space="preserve">United Polyfab Gujarat Limited</t>
        </is>
      </c>
      <c r="C4272" t="inlineStr">
        <is>
          <t xml:space="preserve">INE368U01029</t>
        </is>
      </c>
    </row>
    <row r="4273">
      <c r="A4273" t="inlineStr">
        <is>
          <t xml:space="preserve">UNITDSPR</t>
        </is>
      </c>
      <c r="B4273" t="inlineStr">
        <is>
          <t xml:space="preserve">UNITED SPIRITS LTD.</t>
        </is>
      </c>
      <c r="C4273" t="inlineStr">
        <is>
          <t xml:space="preserve">INE854D01024</t>
        </is>
      </c>
    </row>
    <row r="4274">
      <c r="A4274" t="inlineStr">
        <is>
          <t xml:space="preserve">UVDRHOR</t>
        </is>
      </c>
      <c r="B4274" t="inlineStr">
        <is>
          <t xml:space="preserve">UNITED VAN DER HORST LTD.</t>
        </is>
      </c>
      <c r="C4274" t="inlineStr">
        <is>
          <t xml:space="preserve">INE890G01047</t>
        </is>
      </c>
    </row>
    <row r="4275">
      <c r="A4275" t="inlineStr">
        <is>
          <t xml:space="preserve">UNIVARTS</t>
        </is>
      </c>
      <c r="B4275" t="inlineStr">
        <is>
          <t xml:space="preserve">UNIVERSAL ARTS LTD.</t>
        </is>
      </c>
      <c r="C4275" t="inlineStr">
        <is>
          <t xml:space="preserve">INE464B01018</t>
        </is>
      </c>
    </row>
    <row r="4276">
      <c r="A4276" t="inlineStr">
        <is>
          <t xml:space="preserve">UNIAUTO</t>
        </is>
      </c>
      <c r="B4276" t="inlineStr">
        <is>
          <t xml:space="preserve">Universal Autofoundry Limited</t>
        </is>
      </c>
      <c r="C4276" t="inlineStr">
        <is>
          <t xml:space="preserve">INE203T01012</t>
        </is>
      </c>
    </row>
    <row r="4277">
      <c r="A4277" t="inlineStr">
        <is>
          <t xml:space="preserve">UNIVCABLES</t>
        </is>
      </c>
      <c r="B4277" t="inlineStr">
        <is>
          <t xml:space="preserve">UNIVERSAL CABLES LTD.</t>
        </is>
      </c>
      <c r="C4277" t="inlineStr">
        <is>
          <t xml:space="preserve">INE279A01012</t>
        </is>
      </c>
    </row>
    <row r="4278">
      <c r="A4278" t="inlineStr">
        <is>
          <t xml:space="preserve">UNIVSTAR</t>
        </is>
      </c>
      <c r="B4278" t="inlineStr">
        <is>
          <t xml:space="preserve">UNIVERSAL STARCH-CHEM ALLIED L</t>
        </is>
      </c>
      <c r="C4278" t="inlineStr">
        <is>
          <t xml:space="preserve">INE113E01015</t>
        </is>
      </c>
    </row>
    <row r="4279">
      <c r="A4279" t="inlineStr">
        <is>
          <t xml:space="preserve">UNIVPHOTO</t>
        </is>
      </c>
      <c r="B4279" t="inlineStr">
        <is>
          <t xml:space="preserve">UNIVERSUS PHOTO IMAGINGS LIMIT</t>
        </is>
      </c>
      <c r="C4279" t="inlineStr">
        <is>
          <t xml:space="preserve">INE03V001013</t>
        </is>
      </c>
    </row>
    <row r="4280">
      <c r="A4280" t="inlineStr">
        <is>
          <t xml:space="preserve">UNJHAFOR</t>
        </is>
      </c>
      <c r="B4280" t="inlineStr">
        <is>
          <t xml:space="preserve">UNJHA FORMULATIONS LTD.</t>
        </is>
      </c>
      <c r="C4280" t="inlineStr">
        <is>
          <t xml:space="preserve">INE576D01015</t>
        </is>
      </c>
    </row>
    <row r="4281">
      <c r="A4281" t="inlineStr">
        <is>
          <t xml:space="preserve">UNOMINDA</t>
        </is>
      </c>
      <c r="B4281" t="inlineStr">
        <is>
          <t xml:space="preserve">UNO Minda Limited</t>
        </is>
      </c>
      <c r="C4281" t="inlineStr">
        <is>
          <t xml:space="preserve">INE405E01023</t>
        </is>
      </c>
    </row>
    <row r="4282">
      <c r="A4282" t="inlineStr">
        <is>
          <t xml:space="preserve">UDS</t>
        </is>
      </c>
      <c r="B4282" t="inlineStr">
        <is>
          <t xml:space="preserve">Updater Services Limited</t>
        </is>
      </c>
      <c r="C4282" t="inlineStr">
        <is>
          <t xml:space="preserve">INE851I01011</t>
        </is>
      </c>
    </row>
    <row r="4283">
      <c r="A4283" t="inlineStr">
        <is>
          <t xml:space="preserve">UPL</t>
        </is>
      </c>
      <c r="B4283" t="inlineStr">
        <is>
          <t xml:space="preserve">UPL LIMITED</t>
        </is>
      </c>
      <c r="C4283" t="inlineStr">
        <is>
          <t xml:space="preserve">INE628A01036</t>
        </is>
      </c>
    </row>
    <row r="4284">
      <c r="A4284" t="inlineStr">
        <is>
          <t xml:space="preserve">995UPPCL32</t>
        </is>
      </c>
      <c r="B4284" t="inlineStr">
        <is>
          <t xml:space="preserve">UPPCL-9.95%-22-3-032-PVT</t>
        </is>
      </c>
      <c r="C4284" t="inlineStr">
        <is>
          <t xml:space="preserve">INE540P07517</t>
        </is>
      </c>
    </row>
    <row r="4285">
      <c r="A4285" t="inlineStr">
        <is>
          <t xml:space="preserve">995UPPCL30</t>
        </is>
      </c>
      <c r="B4285" t="inlineStr">
        <is>
          <t xml:space="preserve">UPPCL-9.95%-29-3-30-PVT</t>
        </is>
      </c>
      <c r="C4285" t="inlineStr">
        <is>
          <t xml:space="preserve">INE540P07491</t>
        </is>
      </c>
    </row>
    <row r="4286">
      <c r="A4286" t="inlineStr">
        <is>
          <t xml:space="preserve">UPSURGE</t>
        </is>
      </c>
      <c r="B4286" t="inlineStr">
        <is>
          <t xml:space="preserve">UPSURGE INVESTMENT &amp; FINANCE L</t>
        </is>
      </c>
      <c r="C4286" t="inlineStr">
        <is>
          <t xml:space="preserve">INE890B01014</t>
        </is>
      </c>
    </row>
    <row r="4287">
      <c r="A4287" t="inlineStr">
        <is>
          <t xml:space="preserve">URSUGAR</t>
        </is>
      </c>
      <c r="B4287" t="inlineStr">
        <is>
          <t xml:space="preserve">UR SUGAR INDUSTRIES LIMITED</t>
        </is>
      </c>
      <c r="C4287" t="inlineStr">
        <is>
          <t xml:space="preserve">INE904R01027</t>
        </is>
      </c>
    </row>
    <row r="4288">
      <c r="A4288" t="inlineStr">
        <is>
          <t xml:space="preserve">URAVIDEF</t>
        </is>
      </c>
      <c r="B4288" t="inlineStr">
        <is>
          <t xml:space="preserve">Uravi Defence and Technology L</t>
        </is>
      </c>
      <c r="C4288" t="inlineStr">
        <is>
          <t xml:space="preserve">INE568Z01015</t>
        </is>
      </c>
    </row>
    <row r="4289">
      <c r="A4289" t="inlineStr">
        <is>
          <t xml:space="preserve">URBANCO</t>
        </is>
      </c>
      <c r="B4289" t="inlineStr">
        <is>
          <t xml:space="preserve">Urban Company Limited</t>
        </is>
      </c>
      <c r="C4289" t="inlineStr">
        <is>
          <t xml:space="preserve">INE0CAZ01013</t>
        </is>
      </c>
    </row>
    <row r="4290">
      <c r="A4290" t="inlineStr">
        <is>
          <t xml:space="preserve">URJA</t>
        </is>
      </c>
      <c r="B4290" t="inlineStr">
        <is>
          <t xml:space="preserve">URJA GLOBAL LTD.</t>
        </is>
      </c>
      <c r="C4290" t="inlineStr">
        <is>
          <t xml:space="preserve">INE550C01020</t>
        </is>
      </c>
    </row>
    <row r="4291">
      <c r="A4291" t="inlineStr">
        <is>
          <t xml:space="preserve">USGTECH</t>
        </is>
      </c>
      <c r="B4291" t="inlineStr">
        <is>
          <t xml:space="preserve">USG TECH SOLUTIONS LTD.</t>
        </is>
      </c>
      <c r="C4291" t="inlineStr">
        <is>
          <t xml:space="preserve">INE718B01017</t>
        </is>
      </c>
    </row>
    <row r="4292">
      <c r="A4292" t="inlineStr">
        <is>
          <t xml:space="preserve">UMESLTD</t>
        </is>
      </c>
      <c r="B4292" t="inlineStr">
        <is>
          <t xml:space="preserve">USHA MARTIN EDUCATION &amp; SOLUTI</t>
        </is>
      </c>
      <c r="C4292" t="inlineStr">
        <is>
          <t xml:space="preserve">INE240C01028</t>
        </is>
      </c>
    </row>
    <row r="4293">
      <c r="A4293" t="inlineStr">
        <is>
          <t xml:space="preserve">USHAMART</t>
        </is>
      </c>
      <c r="B4293" t="inlineStr">
        <is>
          <t xml:space="preserve">USHA MARTIN LTD.</t>
        </is>
      </c>
      <c r="C4293" t="inlineStr">
        <is>
          <t xml:space="preserve">INE228A01035</t>
        </is>
      </c>
    </row>
    <row r="4294">
      <c r="A4294" t="inlineStr">
        <is>
          <t xml:space="preserve">USHAKIRA</t>
        </is>
      </c>
      <c r="B4294" t="inlineStr">
        <is>
          <t xml:space="preserve">USHAKIRAN FINANCE LTD.</t>
        </is>
      </c>
      <c r="C4294" t="inlineStr">
        <is>
          <t xml:space="preserve">INE697C01011</t>
        </is>
      </c>
    </row>
    <row r="4295">
      <c r="A4295" t="inlineStr">
        <is>
          <t xml:space="preserve">UTIAMC</t>
        </is>
      </c>
      <c r="B4295" t="inlineStr">
        <is>
          <t xml:space="preserve">UTI Asset Management Company L</t>
        </is>
      </c>
      <c r="C4295" t="inlineStr">
        <is>
          <t xml:space="preserve">INE094J01016</t>
        </is>
      </c>
    </row>
    <row r="4296">
      <c r="A4296" t="inlineStr">
        <is>
          <t xml:space="preserve">UTIQUE</t>
        </is>
      </c>
      <c r="B4296" t="inlineStr">
        <is>
          <t xml:space="preserve">UTIQUE ENTERPRISES LIMITED</t>
        </is>
      </c>
      <c r="C4296" t="inlineStr">
        <is>
          <t xml:space="preserve">INE096A01010</t>
        </is>
      </c>
    </row>
    <row r="4297">
      <c r="A4297" t="inlineStr">
        <is>
          <t xml:space="preserve">UTKARSHBNK</t>
        </is>
      </c>
      <c r="B4297" t="inlineStr">
        <is>
          <t xml:space="preserve">UTKARSH SMALL FINANCE BANK LIM</t>
        </is>
      </c>
      <c r="C4297" t="inlineStr">
        <is>
          <t xml:space="preserve">INE735W01017</t>
        </is>
      </c>
    </row>
    <row r="4298">
      <c r="A4298" t="inlineStr">
        <is>
          <t xml:space="preserve">UTLINDS</t>
        </is>
      </c>
      <c r="B4298" t="inlineStr">
        <is>
          <t xml:space="preserve">UTL INDUSTRIES LIMITED</t>
        </is>
      </c>
      <c r="C4298" t="inlineStr">
        <is>
          <t xml:space="preserve">INE184E01024</t>
        </is>
      </c>
    </row>
    <row r="4299">
      <c r="A4299" t="inlineStr">
        <is>
          <t xml:space="preserve">UTTAMSUGAR</t>
        </is>
      </c>
      <c r="B4299" t="inlineStr">
        <is>
          <t xml:space="preserve">UTTAM SUGAR MILLS LTD.</t>
        </is>
      </c>
      <c r="C4299" t="inlineStr">
        <is>
          <t xml:space="preserve">INE786F01031</t>
        </is>
      </c>
    </row>
    <row r="4300">
      <c r="A4300" t="inlineStr">
        <is>
          <t xml:space="preserve">UVS</t>
        </is>
      </c>
      <c r="B4300" t="inlineStr">
        <is>
          <t xml:space="preserve">UVS HOSPITALITY AND SERVICES L</t>
        </is>
      </c>
      <c r="C4300" t="inlineStr">
        <is>
          <t xml:space="preserve">INE528C01018</t>
        </is>
      </c>
    </row>
    <row r="4301">
      <c r="A4301" t="inlineStr">
        <is>
          <t xml:space="preserve">VBIND</t>
        </is>
      </c>
      <c r="B4301" t="inlineStr">
        <is>
          <t xml:space="preserve">V B INDUSTRIES LIMITED</t>
        </is>
      </c>
      <c r="C4301" t="inlineStr">
        <is>
          <t xml:space="preserve">INE334E01017</t>
        </is>
      </c>
    </row>
    <row r="4302">
      <c r="A4302" t="inlineStr">
        <is>
          <t xml:space="preserve">VRFILMS</t>
        </is>
      </c>
      <c r="B4302" t="inlineStr">
        <is>
          <t xml:space="preserve">V R FILMS &amp; STUDIOS LIMITED</t>
        </is>
      </c>
      <c r="C4302" t="inlineStr">
        <is>
          <t xml:space="preserve">INE06LG01010</t>
        </is>
      </c>
    </row>
    <row r="4303">
      <c r="A4303" t="inlineStr">
        <is>
          <t xml:space="preserve">VGUARD</t>
        </is>
      </c>
      <c r="B4303" t="inlineStr">
        <is>
          <t xml:space="preserve">V-GUARD INDUSTRIES LTD.</t>
        </is>
      </c>
      <c r="C4303" t="inlineStr">
        <is>
          <t xml:space="preserve">INE951I01027</t>
        </is>
      </c>
    </row>
    <row r="4304">
      <c r="A4304" t="inlineStr">
        <is>
          <t xml:space="preserve">VMART</t>
        </is>
      </c>
      <c r="B4304" t="inlineStr">
        <is>
          <t xml:space="preserve">V-MART RETAIL LTD.</t>
        </is>
      </c>
      <c r="C4304" t="inlineStr">
        <is>
          <t xml:space="preserve">INE665J01013</t>
        </is>
      </c>
    </row>
    <row r="4305">
      <c r="A4305" t="inlineStr">
        <is>
          <t xml:space="preserve">VIPIND</t>
        </is>
      </c>
      <c r="B4305" t="inlineStr">
        <is>
          <t xml:space="preserve">V.I.P.INDUSTRIES LTD.</t>
        </is>
      </c>
      <c r="C4305" t="inlineStr">
        <is>
          <t xml:space="preserve">INE054A01027</t>
        </is>
      </c>
    </row>
    <row r="4306">
      <c r="A4306" t="inlineStr">
        <is>
          <t xml:space="preserve">VSTTILLERS</t>
        </is>
      </c>
      <c r="B4306" t="inlineStr">
        <is>
          <t xml:space="preserve">V.S.T.TILLERS TRACTORS LTD.</t>
        </is>
      </c>
      <c r="C4306" t="inlineStr">
        <is>
          <t xml:space="preserve">INE764D01017</t>
        </is>
      </c>
    </row>
    <row r="4307">
      <c r="A4307" t="inlineStr">
        <is>
          <t xml:space="preserve">V2RETAIL</t>
        </is>
      </c>
      <c r="B4307" t="inlineStr">
        <is>
          <t xml:space="preserve">V2 RETAIL LTD.</t>
        </is>
      </c>
      <c r="C4307" t="inlineStr">
        <is>
          <t xml:space="preserve">INE945H01021</t>
        </is>
      </c>
    </row>
    <row r="4308">
      <c r="A4308" t="inlineStr">
        <is>
          <t xml:space="preserve">WABAG</t>
        </is>
      </c>
      <c r="B4308" t="inlineStr">
        <is>
          <t xml:space="preserve">VA TECH WABAG LTD.</t>
        </is>
      </c>
      <c r="C4308" t="inlineStr">
        <is>
          <t xml:space="preserve">INE956G01038</t>
        </is>
      </c>
    </row>
    <row r="4309">
      <c r="A4309" t="inlineStr">
        <is>
          <t xml:space="preserve">VAARAD</t>
        </is>
      </c>
      <c r="B4309" t="inlineStr">
        <is>
          <t xml:space="preserve">VAARAD VENTURES LTD</t>
        </is>
      </c>
      <c r="C4309" t="inlineStr">
        <is>
          <t xml:space="preserve">INE418B01048</t>
        </is>
      </c>
    </row>
    <row r="4310">
      <c r="A4310" t="inlineStr">
        <is>
          <t xml:space="preserve">VADILENT</t>
        </is>
      </c>
      <c r="B4310" t="inlineStr">
        <is>
          <t xml:space="preserve">VADILAL ENTERPRISES LTD.</t>
        </is>
      </c>
      <c r="C4310" t="inlineStr">
        <is>
          <t xml:space="preserve">INE693D01018</t>
        </is>
      </c>
    </row>
    <row r="4311">
      <c r="A4311" t="inlineStr">
        <is>
          <t xml:space="preserve">VADILALIND</t>
        </is>
      </c>
      <c r="B4311" t="inlineStr">
        <is>
          <t xml:space="preserve">VADILAL INDUSTRIES LTD.</t>
        </is>
      </c>
      <c r="C4311" t="inlineStr">
        <is>
          <t xml:space="preserve">INE694D01016</t>
        </is>
      </c>
    </row>
    <row r="4312">
      <c r="A4312" t="inlineStr">
        <is>
          <t xml:space="preserve">VAHH</t>
        </is>
      </c>
      <c r="B4312" t="inlineStr">
        <is>
          <t xml:space="preserve">Vahh Chemicals Limited</t>
        </is>
      </c>
      <c r="C4312" t="inlineStr">
        <is>
          <t xml:space="preserve">INE0H3U01013</t>
        </is>
      </c>
    </row>
    <row r="4313">
      <c r="A4313" t="inlineStr">
        <is>
          <t xml:space="preserve">VAIBHAVGBL</t>
        </is>
      </c>
      <c r="B4313" t="inlineStr">
        <is>
          <t xml:space="preserve">VAIBHAV GLOBAL LTD</t>
        </is>
      </c>
      <c r="C4313" t="inlineStr">
        <is>
          <t xml:space="preserve">INE884A01027</t>
        </is>
      </c>
    </row>
    <row r="4314">
      <c r="A4314" t="inlineStr">
        <is>
          <t xml:space="preserve">VAICC</t>
        </is>
      </c>
      <c r="B4314" t="inlineStr">
        <is>
          <t xml:space="preserve">VAISHNO CEMENT CO.LTD.</t>
        </is>
      </c>
      <c r="C4314" t="inlineStr">
        <is>
          <t xml:space="preserve">INE116E01018</t>
        </is>
      </c>
    </row>
    <row r="4315">
      <c r="A4315" t="inlineStr">
        <is>
          <t xml:space="preserve">VAKRANGEE</t>
        </is>
      </c>
      <c r="B4315" t="inlineStr">
        <is>
          <t xml:space="preserve">VAKRANGEE LIMITED</t>
        </is>
      </c>
      <c r="C4315" t="inlineStr">
        <is>
          <t xml:space="preserve">INE051B01021</t>
        </is>
      </c>
    </row>
    <row r="4316">
      <c r="A4316" t="inlineStr">
        <is>
          <t xml:space="preserve">VALINDIA</t>
        </is>
      </c>
      <c r="B4316" t="inlineStr">
        <is>
          <t xml:space="preserve">Valencia India Limited</t>
        </is>
      </c>
      <c r="C4316" t="inlineStr">
        <is>
          <t xml:space="preserve">INE130701019</t>
        </is>
      </c>
    </row>
    <row r="4317">
      <c r="A4317" t="inlineStr">
        <is>
          <t xml:space="preserve">VALIANT</t>
        </is>
      </c>
      <c r="B4317" t="inlineStr">
        <is>
          <t xml:space="preserve">VALIANT COMMUNICATIONS LTD.</t>
        </is>
      </c>
      <c r="C4317" t="inlineStr">
        <is>
          <t xml:space="preserve">INE760B01019</t>
        </is>
      </c>
    </row>
    <row r="4318">
      <c r="A4318" t="inlineStr">
        <is>
          <t xml:space="preserve">VALIANTLAB</t>
        </is>
      </c>
      <c r="B4318" t="inlineStr">
        <is>
          <t xml:space="preserve">Valiant Laboratories Limited</t>
        </is>
      </c>
      <c r="C4318" t="inlineStr">
        <is>
          <t xml:space="preserve">INE0JWS01017</t>
        </is>
      </c>
    </row>
    <row r="4319">
      <c r="A4319" t="inlineStr">
        <is>
          <t xml:space="preserve">VALIANTORG</t>
        </is>
      </c>
      <c r="B4319" t="inlineStr">
        <is>
          <t xml:space="preserve">Valiant Organics Limited</t>
        </is>
      </c>
      <c r="C4319" t="inlineStr">
        <is>
          <t xml:space="preserve">INE565V01010</t>
        </is>
      </c>
    </row>
    <row r="4320">
      <c r="A4320" t="inlineStr">
        <is>
          <t xml:space="preserve">VALLABHSQ</t>
        </is>
      </c>
      <c r="B4320" t="inlineStr">
        <is>
          <t xml:space="preserve">VALLABH STEELS LTD.</t>
        </is>
      </c>
      <c r="C4320" t="inlineStr">
        <is>
          <t xml:space="preserve">INE457E01016</t>
        </is>
      </c>
    </row>
    <row r="4321">
      <c r="A4321" t="inlineStr">
        <is>
          <t xml:space="preserve">DBREALTY</t>
        </is>
      </c>
      <c r="B4321" t="inlineStr">
        <is>
          <t xml:space="preserve">VALOR ESTATE LIMITED</t>
        </is>
      </c>
      <c r="C4321" t="inlineStr">
        <is>
          <t xml:space="preserve">INE879I01012</t>
        </is>
      </c>
    </row>
    <row r="4322">
      <c r="A4322" t="inlineStr">
        <is>
          <t xml:space="preserve">VALPLAST</t>
        </is>
      </c>
      <c r="B4322" t="inlineStr">
        <is>
          <t xml:space="preserve">Valplast Technologies Limited</t>
        </is>
      </c>
      <c r="C4322" t="inlineStr">
        <is>
          <t xml:space="preserve">INE0QP701017</t>
        </is>
      </c>
    </row>
    <row r="4323">
      <c r="A4323" t="inlineStr">
        <is>
          <t xml:space="preserve">VALSONQ</t>
        </is>
      </c>
      <c r="B4323" t="inlineStr">
        <is>
          <t xml:space="preserve">VALSON INDUSTRIES LTD.</t>
        </is>
      </c>
      <c r="C4323" t="inlineStr">
        <is>
          <t xml:space="preserve">INE808A01018</t>
        </is>
      </c>
    </row>
    <row r="4324">
      <c r="A4324" t="inlineStr">
        <is>
          <t xml:space="preserve">VAMA</t>
        </is>
      </c>
      <c r="B4324" t="inlineStr">
        <is>
          <t xml:space="preserve">VAMA INDUSTRIES LTD.</t>
        </is>
      </c>
      <c r="C4324" t="inlineStr">
        <is>
          <t xml:space="preserve">INE685D01022</t>
        </is>
      </c>
    </row>
    <row r="4325">
      <c r="A4325" t="inlineStr">
        <is>
          <t xml:space="preserve">VAMSHIRU</t>
        </is>
      </c>
      <c r="B4325" t="inlineStr">
        <is>
          <t xml:space="preserve">VAMSHI RUBBER LTD.</t>
        </is>
      </c>
      <c r="C4325" t="inlineStr">
        <is>
          <t xml:space="preserve">INE380C01014</t>
        </is>
      </c>
    </row>
    <row r="4326">
      <c r="A4326" t="inlineStr">
        <is>
          <t xml:space="preserve">VANICOM</t>
        </is>
      </c>
      <c r="B4326" t="inlineStr">
        <is>
          <t xml:space="preserve">Vani Commercials Limited</t>
        </is>
      </c>
      <c r="C4326" t="inlineStr">
        <is>
          <t xml:space="preserve">INE661Q01017</t>
        </is>
      </c>
    </row>
    <row r="4327">
      <c r="A4327" t="inlineStr">
        <is>
          <t xml:space="preserve">VKAL</t>
        </is>
      </c>
      <c r="B4327" t="inlineStr">
        <is>
          <t xml:space="preserve">Vantage Knowledge Academy Limi</t>
        </is>
      </c>
      <c r="C4327" t="inlineStr">
        <is>
          <t xml:space="preserve">INE427T01025</t>
        </is>
      </c>
    </row>
    <row r="4328">
      <c r="A4328" t="inlineStr">
        <is>
          <t xml:space="preserve">VARDMNPOLY</t>
        </is>
      </c>
      <c r="B4328" t="inlineStr">
        <is>
          <t xml:space="preserve">VARDHMAN POLYTEX LTD.</t>
        </is>
      </c>
      <c r="C4328" t="inlineStr">
        <is>
          <t xml:space="preserve">INE835A01029</t>
        </is>
      </c>
    </row>
    <row r="4329">
      <c r="A4329" t="inlineStr">
        <is>
          <t xml:space="preserve">VSSL</t>
        </is>
      </c>
      <c r="B4329" t="inlineStr">
        <is>
          <t xml:space="preserve">VARDHMAN SPECIAL STEELS LTD.</t>
        </is>
      </c>
      <c r="C4329" t="inlineStr">
        <is>
          <t xml:space="preserve">INE050M01012</t>
        </is>
      </c>
    </row>
    <row r="4330">
      <c r="A4330" t="inlineStr">
        <is>
          <t xml:space="preserve">VTL</t>
        </is>
      </c>
      <c r="B4330" t="inlineStr">
        <is>
          <t xml:space="preserve">VARDHMAN TEXTILES LTD.</t>
        </is>
      </c>
      <c r="C4330" t="inlineStr">
        <is>
          <t xml:space="preserve">INE825A01020</t>
        </is>
      </c>
    </row>
    <row r="4331">
      <c r="A4331" t="inlineStr">
        <is>
          <t xml:space="preserve">VARIMAN</t>
        </is>
      </c>
      <c r="B4331" t="inlineStr">
        <is>
          <t xml:space="preserve">VARIMAN GLOBAL ENTERPRISES LIM</t>
        </is>
      </c>
      <c r="C4331" t="inlineStr">
        <is>
          <t xml:space="preserve">INE717F01028</t>
        </is>
      </c>
    </row>
    <row r="4332">
      <c r="A4332" t="inlineStr">
        <is>
          <t xml:space="preserve">VARROC</t>
        </is>
      </c>
      <c r="B4332" t="inlineStr">
        <is>
          <t xml:space="preserve">Varroc Engineering Limited</t>
        </is>
      </c>
      <c r="C4332" t="inlineStr">
        <is>
          <t xml:space="preserve">INE665L01035</t>
        </is>
      </c>
    </row>
    <row r="4333">
      <c r="A4333" t="inlineStr">
        <is>
          <t xml:space="preserve">VBL</t>
        </is>
      </c>
      <c r="B4333" t="inlineStr">
        <is>
          <t xml:space="preserve">Varun Beverages Limited</t>
        </is>
      </c>
      <c r="C4333" t="inlineStr">
        <is>
          <t xml:space="preserve">INE200M01039</t>
        </is>
      </c>
    </row>
    <row r="4334">
      <c r="A4334" t="inlineStr">
        <is>
          <t xml:space="preserve">VGL</t>
        </is>
      </c>
      <c r="B4334" t="inlineStr">
        <is>
          <t xml:space="preserve">VARVEE GLOBAL LIMITED</t>
        </is>
      </c>
      <c r="C4334" t="inlineStr">
        <is>
          <t xml:space="preserve">INE273D01027</t>
        </is>
      </c>
    </row>
    <row r="4335">
      <c r="A4335" t="inlineStr">
        <is>
          <t xml:space="preserve">VASINFRA</t>
        </is>
      </c>
      <c r="B4335" t="inlineStr">
        <is>
          <t xml:space="preserve">VAS INFRASTRUCTURE LTD.</t>
        </is>
      </c>
      <c r="C4335" t="inlineStr">
        <is>
          <t xml:space="preserve">INE192C01013</t>
        </is>
      </c>
    </row>
    <row r="4336">
      <c r="A4336" t="inlineStr">
        <is>
          <t xml:space="preserve">VASCONEQ</t>
        </is>
      </c>
      <c r="B4336" t="inlineStr">
        <is>
          <t xml:space="preserve">VASCON ENGINEERS LTD</t>
        </is>
      </c>
      <c r="C4336" t="inlineStr">
        <is>
          <t xml:space="preserve">INE893I01013</t>
        </is>
      </c>
    </row>
    <row r="4337">
      <c r="A4337" t="inlineStr">
        <is>
          <t xml:space="preserve">VASHISHTHA</t>
        </is>
      </c>
      <c r="B4337" t="inlineStr">
        <is>
          <t xml:space="preserve">VASHISHTHA LUXURY FASHION LIMI</t>
        </is>
      </c>
      <c r="C4337" t="inlineStr">
        <is>
          <t xml:space="preserve">INE0WRP01016</t>
        </is>
      </c>
    </row>
    <row r="4338">
      <c r="A4338" t="inlineStr">
        <is>
          <t xml:space="preserve">POOJAENT</t>
        </is>
      </c>
      <c r="B4338" t="inlineStr">
        <is>
          <t xml:space="preserve">VASHU BHAGNANI INDUSTRIES LIMI</t>
        </is>
      </c>
      <c r="C4338" t="inlineStr">
        <is>
          <t xml:space="preserve">INE147C01017</t>
        </is>
      </c>
    </row>
    <row r="4339">
      <c r="A4339" t="inlineStr">
        <is>
          <t xml:space="preserve">VRL</t>
        </is>
      </c>
      <c r="B4339" t="inlineStr">
        <is>
          <t xml:space="preserve">VASUNDHARA RASAYANS LTD</t>
        </is>
      </c>
      <c r="C4339" t="inlineStr">
        <is>
          <t xml:space="preserve">INE406F01010</t>
        </is>
      </c>
    </row>
    <row r="4340">
      <c r="A4340" t="inlineStr">
        <is>
          <t xml:space="preserve">VASWANI</t>
        </is>
      </c>
      <c r="B4340" t="inlineStr">
        <is>
          <t xml:space="preserve">VASWANI INDUSTRIES LTD.</t>
        </is>
      </c>
      <c r="C4340" t="inlineStr">
        <is>
          <t xml:space="preserve">INE590L01019</t>
        </is>
      </c>
    </row>
    <row r="4341">
      <c r="A4341" t="inlineStr">
        <is>
          <t xml:space="preserve">VEL</t>
        </is>
      </c>
      <c r="B4341" t="inlineStr">
        <is>
          <t xml:space="preserve">Vaxfab Enterprises Limited</t>
        </is>
      </c>
      <c r="C4341" t="inlineStr">
        <is>
          <t xml:space="preserve">INE560T01015</t>
        </is>
      </c>
    </row>
    <row r="4342">
      <c r="A4342" t="inlineStr">
        <is>
          <t xml:space="preserve">1011VCL26</t>
        </is>
      </c>
      <c r="B4342" t="inlineStr">
        <is>
          <t xml:space="preserve">VCL-10.11%-23-12-26</t>
        </is>
      </c>
      <c r="C4342" t="inlineStr">
        <is>
          <t xml:space="preserve">INE01HV07528</t>
        </is>
      </c>
    </row>
    <row r="4343">
      <c r="A4343" t="inlineStr">
        <is>
          <t xml:space="preserve">965VCL27</t>
        </is>
      </c>
      <c r="B4343" t="inlineStr">
        <is>
          <t xml:space="preserve">VCL-9.65%-5-2-27</t>
        </is>
      </c>
      <c r="C4343" t="inlineStr">
        <is>
          <t xml:space="preserve">INE01HV07569</t>
        </is>
      </c>
    </row>
    <row r="4344">
      <c r="A4344" t="inlineStr">
        <is>
          <t xml:space="preserve">VCU</t>
        </is>
      </c>
      <c r="B4344" t="inlineStr">
        <is>
          <t xml:space="preserve">VCU DATA MANAGEMENT LTD</t>
        </is>
      </c>
      <c r="C4344" t="inlineStr">
        <is>
          <t xml:space="preserve">INE962O01014</t>
        </is>
      </c>
    </row>
    <row r="4345">
      <c r="A4345" t="inlineStr">
        <is>
          <t xml:space="preserve">VEDANTASSET</t>
        </is>
      </c>
      <c r="B4345" t="inlineStr">
        <is>
          <t xml:space="preserve">VEDANT ASSET LIMITED</t>
        </is>
      </c>
      <c r="C4345" t="inlineStr">
        <is>
          <t xml:space="preserve">INE0NC801013</t>
        </is>
      </c>
    </row>
    <row r="4346">
      <c r="A4346" t="inlineStr">
        <is>
          <t xml:space="preserve">MANYAVAR</t>
        </is>
      </c>
      <c r="B4346" t="inlineStr">
        <is>
          <t xml:space="preserve">Vedant Fashions Limited</t>
        </is>
      </c>
      <c r="C4346" t="inlineStr">
        <is>
          <t xml:space="preserve">INE825V01034</t>
        </is>
      </c>
    </row>
    <row r="4347">
      <c r="A4347" t="inlineStr">
        <is>
          <t xml:space="preserve">VAML</t>
        </is>
      </c>
      <c r="B4347" t="inlineStr">
        <is>
          <t xml:space="preserve">Vedanta Aluminium Metal Limite</t>
        </is>
      </c>
      <c r="C4347" t="inlineStr">
        <is>
          <t xml:space="preserve">INE1CDF01017</t>
        </is>
      </c>
    </row>
    <row r="4348">
      <c r="A4348" t="inlineStr">
        <is>
          <t xml:space="preserve">VISL</t>
        </is>
      </c>
      <c r="B4348" t="inlineStr">
        <is>
          <t xml:space="preserve">Vedanta Iron and Steel Limited</t>
        </is>
      </c>
      <c r="C4348" t="inlineStr">
        <is>
          <t xml:space="preserve">INE1CLE01013</t>
        </is>
      </c>
    </row>
    <row r="4349">
      <c r="A4349" t="inlineStr">
        <is>
          <t xml:space="preserve">VEDL</t>
        </is>
      </c>
      <c r="B4349" t="inlineStr">
        <is>
          <t xml:space="preserve">VEDANTA LIMITED</t>
        </is>
      </c>
      <c r="C4349" t="inlineStr">
        <is>
          <t xml:space="preserve">INE205A01025</t>
        </is>
      </c>
    </row>
    <row r="4350">
      <c r="A4350" t="inlineStr">
        <is>
          <t xml:space="preserve">VOGL</t>
        </is>
      </c>
      <c r="B4350" t="inlineStr">
        <is>
          <t xml:space="preserve">Vedanta Oil and Gas Limited</t>
        </is>
      </c>
      <c r="C4350" t="inlineStr">
        <is>
          <t xml:space="preserve">INE704J01044</t>
        </is>
      </c>
    </row>
    <row r="4351">
      <c r="A4351" t="inlineStr">
        <is>
          <t xml:space="preserve">VEDPOWER</t>
        </is>
      </c>
      <c r="B4351" t="inlineStr">
        <is>
          <t xml:space="preserve">Vedanta Power Limited</t>
        </is>
      </c>
      <c r="C4351" t="inlineStr">
        <is>
          <t xml:space="preserve">INE694L01019</t>
        </is>
      </c>
    </row>
    <row r="4352">
      <c r="A4352" t="inlineStr">
        <is>
          <t xml:space="preserve">VEDAVAAG</t>
        </is>
      </c>
      <c r="B4352" t="inlineStr">
        <is>
          <t xml:space="preserve">VEDAVAAG SYSTEMS LTD.</t>
        </is>
      </c>
      <c r="C4352" t="inlineStr">
        <is>
          <t xml:space="preserve">INE359B01010</t>
        </is>
      </c>
    </row>
    <row r="4353">
      <c r="A4353" t="inlineStr">
        <is>
          <t xml:space="preserve">VEEDOL</t>
        </is>
      </c>
      <c r="B4353" t="inlineStr">
        <is>
          <t xml:space="preserve">VEEDOL CORPORATION LIMITED</t>
        </is>
      </c>
      <c r="C4353" t="inlineStr">
        <is>
          <t xml:space="preserve">INE484C01030</t>
        </is>
      </c>
    </row>
    <row r="4354">
      <c r="A4354" t="inlineStr">
        <is>
          <t xml:space="preserve">VEEFIN</t>
        </is>
      </c>
      <c r="B4354" t="inlineStr">
        <is>
          <t xml:space="preserve">VEEFIN SOLUTIONS LIMITED</t>
        </is>
      </c>
      <c r="C4354" t="inlineStr">
        <is>
          <t xml:space="preserve">INE0Q0M01015</t>
        </is>
      </c>
    </row>
    <row r="4355">
      <c r="A4355" t="inlineStr">
        <is>
          <t xml:space="preserve">VJLAXMIE</t>
        </is>
      </c>
      <c r="B4355" t="inlineStr">
        <is>
          <t xml:space="preserve">VEEJAY LAKSHMI ENGINEERING WOR</t>
        </is>
      </c>
      <c r="C4355" t="inlineStr">
        <is>
          <t xml:space="preserve">INE466D01019</t>
        </is>
      </c>
    </row>
    <row r="4356">
      <c r="A4356" t="inlineStr">
        <is>
          <t xml:space="preserve">VEERENRGY</t>
        </is>
      </c>
      <c r="B4356" t="inlineStr">
        <is>
          <t xml:space="preserve">VEER ENERGY &amp; INFRASTRUCTURE L</t>
        </is>
      </c>
      <c r="C4356" t="inlineStr">
        <is>
          <t xml:space="preserve">INE255E01030</t>
        </is>
      </c>
    </row>
    <row r="4357">
      <c r="A4357" t="inlineStr">
        <is>
          <t xml:space="preserve">VGIL</t>
        </is>
      </c>
      <c r="B4357" t="inlineStr">
        <is>
          <t xml:space="preserve">Veer Global Infraconstruction</t>
        </is>
      </c>
      <c r="C4357" t="inlineStr">
        <is>
          <t xml:space="preserve">INE244W01010</t>
        </is>
      </c>
    </row>
    <row r="4358">
      <c r="A4358" t="inlineStr">
        <is>
          <t xml:space="preserve">VEERHEALTH</t>
        </is>
      </c>
      <c r="B4358" t="inlineStr">
        <is>
          <t xml:space="preserve">VEERHEALTH CARE LIMITED</t>
        </is>
      </c>
      <c r="C4358" t="inlineStr">
        <is>
          <t xml:space="preserve">INE882C01035</t>
        </is>
      </c>
    </row>
    <row r="4359">
      <c r="A4359" t="inlineStr">
        <is>
          <t xml:space="preserve">VEERKRUPA</t>
        </is>
      </c>
      <c r="B4359" t="inlineStr">
        <is>
          <t xml:space="preserve">Veerkrupa Jewellers Limited</t>
        </is>
      </c>
      <c r="C4359" t="inlineStr">
        <is>
          <t xml:space="preserve">INE0ID001024</t>
        </is>
      </c>
    </row>
    <row r="4360">
      <c r="A4360" t="inlineStr">
        <is>
          <t xml:space="preserve">VPAL</t>
        </is>
      </c>
      <c r="B4360" t="inlineStr">
        <is>
          <t xml:space="preserve">Vegorama Punjabi Angithi Limit</t>
        </is>
      </c>
      <c r="C4360" t="inlineStr">
        <is>
          <t xml:space="preserve">INE1L3801017</t>
        </is>
      </c>
    </row>
    <row r="4361">
      <c r="A4361" t="inlineStr">
        <is>
          <t xml:space="preserve">VELHO</t>
        </is>
      </c>
      <c r="B4361" t="inlineStr">
        <is>
          <t xml:space="preserve">VELAN HOTELS LTD.</t>
        </is>
      </c>
      <c r="C4361" t="inlineStr">
        <is>
          <t xml:space="preserve">INE548D01014</t>
        </is>
      </c>
    </row>
    <row r="4362">
      <c r="A4362" t="inlineStr">
        <is>
          <t xml:space="preserve">VELJAN</t>
        </is>
      </c>
      <c r="B4362" t="inlineStr">
        <is>
          <t xml:space="preserve">VELJAN DENISON LIMITED</t>
        </is>
      </c>
      <c r="C4362" t="inlineStr">
        <is>
          <t xml:space="preserve">INE232E01013</t>
        </is>
      </c>
    </row>
    <row r="4363">
      <c r="A4363" t="inlineStr">
        <is>
          <t xml:space="preserve">VENKEYS</t>
        </is>
      </c>
      <c r="B4363" t="inlineStr">
        <is>
          <t xml:space="preserve">VENKYS (INDIA) LTD.</t>
        </is>
      </c>
      <c r="C4363" t="inlineStr">
        <is>
          <t xml:space="preserve">INE398A01010</t>
        </is>
      </c>
    </row>
    <row r="4364">
      <c r="A4364" t="inlineStr">
        <is>
          <t xml:space="preserve">VENLONENT</t>
        </is>
      </c>
      <c r="B4364" t="inlineStr">
        <is>
          <t xml:space="preserve">VENLON ENTERPRISES LTD.</t>
        </is>
      </c>
      <c r="C4364" t="inlineStr">
        <is>
          <t xml:space="preserve">INE204D01022</t>
        </is>
      </c>
    </row>
    <row r="4365">
      <c r="A4365" t="inlineStr">
        <is>
          <t xml:space="preserve">VENMAX</t>
        </is>
      </c>
      <c r="B4365" t="inlineStr">
        <is>
          <t xml:space="preserve">VENMAX DRUGS AND PHARMACEUTICA</t>
        </is>
      </c>
      <c r="C4365" t="inlineStr">
        <is>
          <t xml:space="preserve">INE154G01022</t>
        </is>
      </c>
    </row>
    <row r="4366">
      <c r="A4366" t="inlineStr">
        <is>
          <t xml:space="preserve">VENTIVE</t>
        </is>
      </c>
      <c r="B4366" t="inlineStr">
        <is>
          <t xml:space="preserve">Ventive Hospitality Limited</t>
        </is>
      </c>
      <c r="C4366" t="inlineStr">
        <is>
          <t xml:space="preserve">INE781S01027</t>
        </is>
      </c>
    </row>
    <row r="4367">
      <c r="A4367" t="inlineStr">
        <is>
          <t xml:space="preserve">VENTURA</t>
        </is>
      </c>
      <c r="B4367" t="inlineStr">
        <is>
          <t xml:space="preserve">VENTURA TEXTILES LTD.</t>
        </is>
      </c>
      <c r="C4367" t="inlineStr">
        <is>
          <t xml:space="preserve">INE810C01044</t>
        </is>
      </c>
    </row>
    <row r="4368">
      <c r="A4368" t="inlineStr">
        <is>
          <t xml:space="preserve">VENUSPIPES</t>
        </is>
      </c>
      <c r="B4368" t="inlineStr">
        <is>
          <t xml:space="preserve">Venus Pipes &amp; Tubes Limited</t>
        </is>
      </c>
      <c r="C4368" t="inlineStr">
        <is>
          <t xml:space="preserve">INE0JA001018</t>
        </is>
      </c>
    </row>
    <row r="4369">
      <c r="A4369" t="inlineStr">
        <is>
          <t xml:space="preserve">VENUSREM</t>
        </is>
      </c>
      <c r="B4369" t="inlineStr">
        <is>
          <t xml:space="preserve">VENUS REMEDIES LTD.</t>
        </is>
      </c>
      <c r="C4369" t="inlineStr">
        <is>
          <t xml:space="preserve">INE411B01019</t>
        </is>
      </c>
    </row>
    <row r="4370">
      <c r="A4370" t="inlineStr">
        <is>
          <t xml:space="preserve">VERANDA</t>
        </is>
      </c>
      <c r="B4370" t="inlineStr">
        <is>
          <t xml:space="preserve">Veranda Learning Solutions Lim</t>
        </is>
      </c>
      <c r="C4370" t="inlineStr">
        <is>
          <t xml:space="preserve">INE0IQ001011</t>
        </is>
      </c>
    </row>
    <row r="4371">
      <c r="A4371" t="inlineStr">
        <is>
          <t xml:space="preserve">VERITAS</t>
        </is>
      </c>
      <c r="B4371" t="inlineStr">
        <is>
          <t xml:space="preserve">VERITAS (INDIA) LTD.</t>
        </is>
      </c>
      <c r="C4371" t="inlineStr">
        <is>
          <t xml:space="preserve">INE379J01029</t>
        </is>
      </c>
    </row>
    <row r="4372">
      <c r="A4372" t="inlineStr">
        <is>
          <t xml:space="preserve">VERTEX</t>
        </is>
      </c>
      <c r="B4372" t="inlineStr">
        <is>
          <t xml:space="preserve">VERTEX SECURITIES LTD.</t>
        </is>
      </c>
      <c r="C4372" t="inlineStr">
        <is>
          <t xml:space="preserve">INE316D01024</t>
        </is>
      </c>
    </row>
    <row r="4373">
      <c r="A4373" t="inlineStr">
        <is>
          <t xml:space="preserve">VESUVIUS</t>
        </is>
      </c>
      <c r="B4373" t="inlineStr">
        <is>
          <t xml:space="preserve">VESUVIUS INDIA LTD.</t>
        </is>
      </c>
      <c r="C4373" t="inlineStr">
        <is>
          <t xml:space="preserve">INE386A01023</t>
        </is>
      </c>
    </row>
    <row r="4374">
      <c r="A4374" t="inlineStr">
        <is>
          <t xml:space="preserve">VETO</t>
        </is>
      </c>
      <c r="B4374" t="inlineStr">
        <is>
          <t xml:space="preserve">VETO SWITCHGEARS AND CABLES LI</t>
        </is>
      </c>
      <c r="C4374" t="inlineStr">
        <is>
          <t xml:space="preserve">INE918N01018</t>
        </is>
      </c>
    </row>
    <row r="4375">
      <c r="A4375" t="inlineStr">
        <is>
          <t xml:space="preserve">115VFPL26</t>
        </is>
      </c>
      <c r="B4375" t="inlineStr">
        <is>
          <t xml:space="preserve">VFPL-11.5%-27-9-26-PVT</t>
        </is>
      </c>
      <c r="C4375" t="inlineStr">
        <is>
          <t xml:space="preserve">INE125T07303</t>
        </is>
      </c>
    </row>
    <row r="4376">
      <c r="A4376" t="inlineStr">
        <is>
          <t xml:space="preserve">VSTL</t>
        </is>
      </c>
      <c r="B4376" t="inlineStr">
        <is>
          <t xml:space="preserve">VIBHOR STEEL TUBES LIMITED</t>
        </is>
      </c>
      <c r="C4376" t="inlineStr">
        <is>
          <t xml:space="preserve">INE0QTF01015</t>
        </is>
      </c>
    </row>
    <row r="4377">
      <c r="A4377" t="inlineStr">
        <is>
          <t xml:space="preserve">VGCL</t>
        </is>
      </c>
      <c r="B4377" t="inlineStr">
        <is>
          <t xml:space="preserve">Vibrant Global Capital Limited</t>
        </is>
      </c>
      <c r="C4377" t="inlineStr">
        <is>
          <t xml:space="preserve">INE761Q01015</t>
        </is>
      </c>
    </row>
    <row r="4378">
      <c r="A4378" t="inlineStr">
        <is>
          <t xml:space="preserve">VHLTD</t>
        </is>
      </c>
      <c r="B4378" t="inlineStr">
        <is>
          <t xml:space="preserve">VICEROY HOTELS LTD.</t>
        </is>
      </c>
      <c r="C4378" t="inlineStr">
        <is>
          <t xml:space="preserve">INE048C01025</t>
        </is>
      </c>
    </row>
    <row r="4379">
      <c r="A4379" t="inlineStr">
        <is>
          <t xml:space="preserve">VICTMILL</t>
        </is>
      </c>
      <c r="B4379" t="inlineStr">
        <is>
          <t xml:space="preserve">VICTORIA MILLS LTD.</t>
        </is>
      </c>
      <c r="C4379" t="inlineStr">
        <is>
          <t xml:space="preserve">INE203D01016</t>
        </is>
      </c>
    </row>
    <row r="4380">
      <c r="A4380" t="inlineStr">
        <is>
          <t xml:space="preserve">VIDHIING</t>
        </is>
      </c>
      <c r="B4380" t="inlineStr">
        <is>
          <t xml:space="preserve">Vidhi Specialty Food Ingredien</t>
        </is>
      </c>
      <c r="C4380" t="inlineStr">
        <is>
          <t xml:space="preserve">INE632C01026</t>
        </is>
      </c>
    </row>
    <row r="4381">
      <c r="A4381" t="inlineStr">
        <is>
          <t xml:space="preserve">VIDYAWIRES</t>
        </is>
      </c>
      <c r="B4381" t="inlineStr">
        <is>
          <t xml:space="preserve">VIDYA WIRES LIMITED</t>
        </is>
      </c>
      <c r="C4381" t="inlineStr">
        <is>
          <t xml:space="preserve">INE14UN01029</t>
        </is>
      </c>
    </row>
    <row r="4382">
      <c r="A4382" t="inlineStr">
        <is>
          <t xml:space="preserve">VIJSOLX</t>
        </is>
      </c>
      <c r="B4382" t="inlineStr">
        <is>
          <t xml:space="preserve">VIJAY SOLVEX LTD.</t>
        </is>
      </c>
      <c r="C4382" t="inlineStr">
        <is>
          <t xml:space="preserve">INE362D01010</t>
        </is>
      </c>
    </row>
    <row r="4383">
      <c r="A4383" t="inlineStr">
        <is>
          <t xml:space="preserve">VIJAYA</t>
        </is>
      </c>
      <c r="B4383" t="inlineStr">
        <is>
          <t xml:space="preserve">Vijaya Diagnostic Centre Limit</t>
        </is>
      </c>
      <c r="C4383" t="inlineStr">
        <is>
          <t xml:space="preserve">INE043W01024</t>
        </is>
      </c>
    </row>
    <row r="4384">
      <c r="A4384" t="inlineStr">
        <is>
          <t xml:space="preserve">VIJIFIN</t>
        </is>
      </c>
      <c r="B4384" t="inlineStr">
        <is>
          <t xml:space="preserve">VIJI FINANCE LTD</t>
        </is>
      </c>
      <c r="C4384" t="inlineStr">
        <is>
          <t xml:space="preserve">INE159N01027</t>
        </is>
      </c>
    </row>
    <row r="4385">
      <c r="A4385" t="inlineStr">
        <is>
          <t xml:space="preserve">VIKASECO</t>
        </is>
      </c>
      <c r="B4385" t="inlineStr">
        <is>
          <t xml:space="preserve">Vikas EcoTech Limited</t>
        </is>
      </c>
      <c r="C4385" t="inlineStr">
        <is>
          <t xml:space="preserve">INE806A01020</t>
        </is>
      </c>
    </row>
    <row r="4386">
      <c r="A4386" t="inlineStr">
        <is>
          <t xml:space="preserve">VIKASLIFE</t>
        </is>
      </c>
      <c r="B4386" t="inlineStr">
        <is>
          <t xml:space="preserve">VIKAS LIFECARE LIMITED</t>
        </is>
      </c>
      <c r="C4386" t="inlineStr">
        <is>
          <t xml:space="preserve">INE161L01027</t>
        </is>
      </c>
    </row>
    <row r="4387">
      <c r="A4387" t="inlineStr">
        <is>
          <t xml:space="preserve">VIKASPROP</t>
        </is>
      </c>
      <c r="B4387" t="inlineStr">
        <is>
          <t xml:space="preserve">VIKAS PROPPANT &amp; GRANITE LTD.</t>
        </is>
      </c>
      <c r="C4387" t="inlineStr">
        <is>
          <t xml:space="preserve">INE767B01022</t>
        </is>
      </c>
    </row>
    <row r="4388">
      <c r="A4388" t="inlineStr">
        <is>
          <t xml:space="preserve">VIKASWSP</t>
        </is>
      </c>
      <c r="B4388" t="inlineStr">
        <is>
          <t xml:space="preserve">VIKAS WSP LTD.</t>
        </is>
      </c>
      <c r="C4388" t="inlineStr">
        <is>
          <t xml:space="preserve">INE706A01022</t>
        </is>
      </c>
    </row>
    <row r="4389">
      <c r="A4389" t="inlineStr">
        <is>
          <t xml:space="preserve">VIKRAMAR</t>
        </is>
      </c>
      <c r="B4389" t="inlineStr">
        <is>
          <t xml:space="preserve">VIKRAM AROMA LIMITED</t>
        </is>
      </c>
      <c r="C4389" t="inlineStr">
        <is>
          <t xml:space="preserve">INE0NR501012</t>
        </is>
      </c>
    </row>
    <row r="4390">
      <c r="A4390" t="inlineStr">
        <is>
          <t xml:space="preserve">KAMATS</t>
        </is>
      </c>
      <c r="B4390" t="inlineStr">
        <is>
          <t xml:space="preserve">VIKRAM KAMATS HOSPITALITY LIMI</t>
        </is>
      </c>
      <c r="C4390" t="inlineStr">
        <is>
          <t xml:space="preserve">INE564S01019</t>
        </is>
      </c>
    </row>
    <row r="4391">
      <c r="A4391" t="inlineStr">
        <is>
          <t xml:space="preserve">VIKRAMSOLR</t>
        </is>
      </c>
      <c r="B4391" t="inlineStr">
        <is>
          <t xml:space="preserve">Vikram Solar Limited</t>
        </is>
      </c>
      <c r="C4391" t="inlineStr">
        <is>
          <t xml:space="preserve">INE078V01014</t>
        </is>
      </c>
    </row>
    <row r="4392">
      <c r="A4392" t="inlineStr">
        <is>
          <t xml:space="preserve">VIKRAMTH</t>
        </is>
      </c>
      <c r="B4392" t="inlineStr">
        <is>
          <t xml:space="preserve">VIKRAM THERMO (INDIA) LTD.</t>
        </is>
      </c>
      <c r="C4392" t="inlineStr">
        <is>
          <t xml:space="preserve">INE337E01010</t>
        </is>
      </c>
    </row>
    <row r="4393">
      <c r="A4393" t="inlineStr">
        <is>
          <t xml:space="preserve">VIKRAN</t>
        </is>
      </c>
      <c r="B4393" t="inlineStr">
        <is>
          <t xml:space="preserve">Vikran Engineering Limited</t>
        </is>
      </c>
      <c r="C4393" t="inlineStr">
        <is>
          <t xml:space="preserve">INE01R501028</t>
        </is>
      </c>
    </row>
    <row r="4394">
      <c r="A4394" t="inlineStr">
        <is>
          <t xml:space="preserve">VIMTALABS</t>
        </is>
      </c>
      <c r="B4394" t="inlineStr">
        <is>
          <t xml:space="preserve">VIMTA LABS LTD.</t>
        </is>
      </c>
      <c r="C4394" t="inlineStr">
        <is>
          <t xml:space="preserve">INE579C01029</t>
        </is>
      </c>
    </row>
    <row r="4395">
      <c r="A4395" t="inlineStr">
        <is>
          <t xml:space="preserve">VINATIORGA</t>
        </is>
      </c>
      <c r="B4395" t="inlineStr">
        <is>
          <t xml:space="preserve">VINATI ORGANICS LTD.</t>
        </is>
      </c>
      <c r="C4395" t="inlineStr">
        <is>
          <t xml:space="preserve">INE410B01037</t>
        </is>
      </c>
    </row>
    <row r="4396">
      <c r="A4396" t="inlineStr">
        <is>
          <t xml:space="preserve">VINAYAKPOL</t>
        </is>
      </c>
      <c r="B4396" t="inlineStr">
        <is>
          <t xml:space="preserve">VINAYAK POLYCON INTERNATIONAL</t>
        </is>
      </c>
      <c r="C4396" t="inlineStr">
        <is>
          <t xml:space="preserve">INE581M01016</t>
        </is>
      </c>
    </row>
    <row r="4397">
      <c r="A4397" t="inlineStr">
        <is>
          <t xml:space="preserve">VINDHYATEL</t>
        </is>
      </c>
      <c r="B4397" t="inlineStr">
        <is>
          <t xml:space="preserve">VINDHYA TELELINKS LTD.</t>
        </is>
      </c>
      <c r="C4397" t="inlineStr">
        <is>
          <t xml:space="preserve">INE707A01012</t>
        </is>
      </c>
    </row>
    <row r="4398">
      <c r="A4398" t="inlineStr">
        <is>
          <t xml:space="preserve">VINEETLAB</t>
        </is>
      </c>
      <c r="B4398" t="inlineStr">
        <is>
          <t xml:space="preserve">Vineet Laboratories Limited</t>
        </is>
      </c>
      <c r="C4398" t="inlineStr">
        <is>
          <t xml:space="preserve">INE505Y01010</t>
        </is>
      </c>
    </row>
    <row r="4399">
      <c r="A4399" t="inlineStr">
        <is>
          <t xml:space="preserve">VINNY</t>
        </is>
      </c>
      <c r="B4399" t="inlineStr">
        <is>
          <t xml:space="preserve">VINNY OVERSEAS LIMITED</t>
        </is>
      </c>
      <c r="C4399" t="inlineStr">
        <is>
          <t xml:space="preserve">INE01KI01027</t>
        </is>
      </c>
    </row>
    <row r="4400">
      <c r="A4400" t="inlineStr">
        <is>
          <t xml:space="preserve">VINCOFE</t>
        </is>
      </c>
      <c r="B4400" t="inlineStr">
        <is>
          <t xml:space="preserve">VINTAGE COFFEE AND BEVERAGES L</t>
        </is>
      </c>
      <c r="C4400" t="inlineStr">
        <is>
          <t xml:space="preserve">INE498Q01014</t>
        </is>
      </c>
    </row>
    <row r="4401">
      <c r="A4401" t="inlineStr">
        <is>
          <t xml:space="preserve">VINYLINDIA</t>
        </is>
      </c>
      <c r="B4401" t="inlineStr">
        <is>
          <t xml:space="preserve">VINYL CHEMICALS (INDIA) LTD.</t>
        </is>
      </c>
      <c r="C4401" t="inlineStr">
        <is>
          <t xml:space="preserve">INE250B01029</t>
        </is>
      </c>
    </row>
    <row r="4402">
      <c r="A4402" t="inlineStr">
        <is>
          <t xml:space="preserve">VINYOFL</t>
        </is>
      </c>
      <c r="B4402" t="inlineStr">
        <is>
          <t xml:space="preserve">VINYOFLEX LTD.</t>
        </is>
      </c>
      <c r="C4402" t="inlineStr">
        <is>
          <t xml:space="preserve">INE526H01011</t>
        </is>
      </c>
    </row>
    <row r="4403">
      <c r="A4403" t="inlineStr">
        <is>
          <t xml:space="preserve">VIPCLOTHNG</t>
        </is>
      </c>
      <c r="B4403" t="inlineStr">
        <is>
          <t xml:space="preserve">VIP Clothing Limited</t>
        </is>
      </c>
      <c r="C4403" t="inlineStr">
        <is>
          <t xml:space="preserve">INE450G01024</t>
        </is>
      </c>
    </row>
    <row r="4404">
      <c r="A4404" t="inlineStr">
        <is>
          <t xml:space="preserve">VIPPYSP</t>
        </is>
      </c>
      <c r="B4404" t="inlineStr">
        <is>
          <t xml:space="preserve">VIPPY SPINPRO LTD.</t>
        </is>
      </c>
      <c r="C4404" t="inlineStr">
        <is>
          <t xml:space="preserve">INE660D01017</t>
        </is>
      </c>
    </row>
    <row r="4405">
      <c r="A4405" t="inlineStr">
        <is>
          <t xml:space="preserve">VIPULLTD</t>
        </is>
      </c>
      <c r="B4405" t="inlineStr">
        <is>
          <t xml:space="preserve">VIPUL LTD.</t>
        </is>
      </c>
      <c r="C4405" t="inlineStr">
        <is>
          <t xml:space="preserve">INE946H01037</t>
        </is>
      </c>
    </row>
    <row r="4406">
      <c r="A4406" t="inlineStr">
        <is>
          <t xml:space="preserve">VIPULORG</t>
        </is>
      </c>
      <c r="B4406" t="inlineStr">
        <is>
          <t xml:space="preserve">Vipul Organics Limited</t>
        </is>
      </c>
      <c r="C4406" t="inlineStr">
        <is>
          <t xml:space="preserve">INE834D01018</t>
        </is>
      </c>
    </row>
    <row r="4407">
      <c r="A4407" t="inlineStr">
        <is>
          <t xml:space="preserve">VSL</t>
        </is>
      </c>
      <c r="B4407" t="inlineStr">
        <is>
          <t xml:space="preserve">Viram Suvarn Limited</t>
        </is>
      </c>
      <c r="C4407" t="inlineStr">
        <is>
          <t xml:space="preserve">INE607V01028</t>
        </is>
      </c>
    </row>
    <row r="4408">
      <c r="A4408" t="inlineStr">
        <is>
          <t xml:space="preserve">VIRATCRA</t>
        </is>
      </c>
      <c r="B4408" t="inlineStr">
        <is>
          <t xml:space="preserve">VIRAT CRANE INDUSTRIES LTD.</t>
        </is>
      </c>
      <c r="C4408" t="inlineStr">
        <is>
          <t xml:space="preserve">INE295C01014</t>
        </is>
      </c>
    </row>
    <row r="4409">
      <c r="A4409" t="inlineStr">
        <is>
          <t xml:space="preserve">VIRAT</t>
        </is>
      </c>
      <c r="B4409" t="inlineStr">
        <is>
          <t xml:space="preserve">VIRAT INDUSTRIES LTD.</t>
        </is>
      </c>
      <c r="C4409" t="inlineStr">
        <is>
          <t xml:space="preserve">INE467D01017</t>
        </is>
      </c>
    </row>
    <row r="4410">
      <c r="A4410" t="inlineStr">
        <is>
          <t xml:space="preserve">VIRGOGLOB</t>
        </is>
      </c>
      <c r="B4410" t="inlineStr">
        <is>
          <t xml:space="preserve">Virgo Global Limited</t>
        </is>
      </c>
      <c r="C4410" t="inlineStr">
        <is>
          <t xml:space="preserve">INE400B01020</t>
        </is>
      </c>
    </row>
    <row r="4411">
      <c r="A4411" t="inlineStr">
        <is>
          <t xml:space="preserve">VIRINCHI</t>
        </is>
      </c>
      <c r="B4411" t="inlineStr">
        <is>
          <t xml:space="preserve">Virinchi Limited</t>
        </is>
      </c>
      <c r="C4411" t="inlineStr">
        <is>
          <t xml:space="preserve">INE539B01017</t>
        </is>
      </c>
    </row>
    <row r="4412">
      <c r="A4412" t="inlineStr">
        <is>
          <t xml:space="preserve">VIRTUALG</t>
        </is>
      </c>
      <c r="B4412" t="inlineStr">
        <is>
          <t xml:space="preserve">VIRTUAL GLOBAL EDUCATION LTD.</t>
        </is>
      </c>
      <c r="C4412" t="inlineStr">
        <is>
          <t xml:space="preserve">INE247C01023</t>
        </is>
      </c>
    </row>
    <row r="4413">
      <c r="A4413" t="inlineStr">
        <is>
          <t xml:space="preserve">VOEPL</t>
        </is>
      </c>
      <c r="B4413" t="inlineStr">
        <is>
          <t xml:space="preserve">Virtuoso Optoelectronics Limit</t>
        </is>
      </c>
      <c r="C4413" t="inlineStr">
        <is>
          <t xml:space="preserve">INE0I0T01010</t>
        </is>
      </c>
    </row>
    <row r="4414">
      <c r="A4414" t="inlineStr">
        <is>
          <t xml:space="preserve">VISACHROME</t>
        </is>
      </c>
      <c r="B4414" t="inlineStr">
        <is>
          <t xml:space="preserve">VISA Chrome Limited</t>
        </is>
      </c>
      <c r="C4414" t="inlineStr">
        <is>
          <t xml:space="preserve">INE286H01012</t>
        </is>
      </c>
    </row>
    <row r="4415">
      <c r="A4415" t="inlineStr">
        <is>
          <t xml:space="preserve">VISAGAR</t>
        </is>
      </c>
      <c r="B4415" t="inlineStr">
        <is>
          <t xml:space="preserve">VISAGAR FINANCIAL SERVICES LTD</t>
        </is>
      </c>
      <c r="C4415" t="inlineStr">
        <is>
          <t xml:space="preserve">INE309H01038</t>
        </is>
      </c>
    </row>
    <row r="4416">
      <c r="A4416" t="inlineStr">
        <is>
          <t xml:space="preserve">VIVIDHA</t>
        </is>
      </c>
      <c r="B4416" t="inlineStr">
        <is>
          <t xml:space="preserve">VISAGAR POLYTEX LTD.</t>
        </is>
      </c>
      <c r="C4416" t="inlineStr">
        <is>
          <t xml:space="preserve">INE370E01029</t>
        </is>
      </c>
    </row>
    <row r="4417">
      <c r="A4417" t="inlineStr">
        <is>
          <t xml:space="preserve">VISAKAIND</t>
        </is>
      </c>
      <c r="B4417" t="inlineStr">
        <is>
          <t xml:space="preserve">VISAKA INDUSTRIES LTD.</t>
        </is>
      </c>
      <c r="C4417" t="inlineStr">
        <is>
          <t xml:space="preserve">INE392A01021</t>
        </is>
      </c>
    </row>
    <row r="4418">
      <c r="A4418" t="inlineStr">
        <is>
          <t xml:space="preserve">VISHALBL</t>
        </is>
      </c>
      <c r="B4418" t="inlineStr">
        <is>
          <t xml:space="preserve">Vishal Bearings Limited</t>
        </is>
      </c>
      <c r="C4418" t="inlineStr">
        <is>
          <t xml:space="preserve">INE060T01024</t>
        </is>
      </c>
    </row>
    <row r="4419">
      <c r="A4419" t="inlineStr">
        <is>
          <t xml:space="preserve">VISHAL</t>
        </is>
      </c>
      <c r="B4419" t="inlineStr">
        <is>
          <t xml:space="preserve">VISHAL FABRICS LTD</t>
        </is>
      </c>
      <c r="C4419" t="inlineStr">
        <is>
          <t xml:space="preserve">INE755Q01025</t>
        </is>
      </c>
    </row>
    <row r="4420">
      <c r="A4420" t="inlineStr">
        <is>
          <t xml:space="preserve">VMM</t>
        </is>
      </c>
      <c r="B4420" t="inlineStr">
        <is>
          <t xml:space="preserve">Vishal Mega Mart Limited</t>
        </is>
      </c>
      <c r="C4420" t="inlineStr">
        <is>
          <t xml:space="preserve">INE01EA01019</t>
        </is>
      </c>
    </row>
    <row r="4421">
      <c r="A4421" t="inlineStr">
        <is>
          <t xml:space="preserve">VISHNU</t>
        </is>
      </c>
      <c r="B4421" t="inlineStr">
        <is>
          <t xml:space="preserve">VISHNU CHEMICALS LTD.</t>
        </is>
      </c>
      <c r="C4421" t="inlineStr">
        <is>
          <t xml:space="preserve">INE270I01022</t>
        </is>
      </c>
    </row>
    <row r="4422">
      <c r="A4422" t="inlineStr">
        <is>
          <t xml:space="preserve">VPRPL</t>
        </is>
      </c>
      <c r="B4422" t="inlineStr">
        <is>
          <t xml:space="preserve">VISHNU PRAKASH R PUNGLIA LIMIT</t>
        </is>
      </c>
      <c r="C4422" t="inlineStr">
        <is>
          <t xml:space="preserve">INE0AE001013</t>
        </is>
      </c>
    </row>
    <row r="4423">
      <c r="A4423" t="inlineStr">
        <is>
          <t xml:space="preserve">VISVEN</t>
        </is>
      </c>
      <c r="B4423" t="inlineStr">
        <is>
          <t xml:space="preserve">VISHVPRABHA VENTURES LIMITED</t>
        </is>
      </c>
      <c r="C4423" t="inlineStr">
        <is>
          <t xml:space="preserve">INE762D01011</t>
        </is>
      </c>
    </row>
    <row r="4424">
      <c r="A4424" t="inlineStr">
        <is>
          <t xml:space="preserve">VISHWARAJ</t>
        </is>
      </c>
      <c r="B4424" t="inlineStr">
        <is>
          <t xml:space="preserve">Vishwaraj Sugar Industries Lim</t>
        </is>
      </c>
      <c r="C4424" t="inlineStr">
        <is>
          <t xml:space="preserve">INE430N01022</t>
        </is>
      </c>
    </row>
    <row r="4425">
      <c r="A4425" t="inlineStr">
        <is>
          <t xml:space="preserve">VISIONCINE</t>
        </is>
      </c>
      <c r="B4425" t="inlineStr">
        <is>
          <t xml:space="preserve">VISION CINEMAS LTD.</t>
        </is>
      </c>
      <c r="C4425" t="inlineStr">
        <is>
          <t xml:space="preserve">INE515B01025</t>
        </is>
      </c>
    </row>
    <row r="4426">
      <c r="A4426" t="inlineStr">
        <is>
          <t xml:space="preserve">VISIONCO</t>
        </is>
      </c>
      <c r="B4426" t="inlineStr">
        <is>
          <t xml:space="preserve">VISION CORPORATION LTD.</t>
        </is>
      </c>
      <c r="C4426" t="inlineStr">
        <is>
          <t xml:space="preserve">INE661D01015</t>
        </is>
      </c>
    </row>
    <row r="4427">
      <c r="A4427" t="inlineStr">
        <is>
          <t xml:space="preserve">VISTAPH</t>
        </is>
      </c>
      <c r="B4427" t="inlineStr">
        <is>
          <t xml:space="preserve">VISTA PHARMACEUTICALS LTD.</t>
        </is>
      </c>
      <c r="C4427" t="inlineStr">
        <is>
          <t xml:space="preserve">INE427C01021</t>
        </is>
      </c>
    </row>
    <row r="4428">
      <c r="A4428" t="inlineStr">
        <is>
          <t xml:space="preserve">VISTARAMAR</t>
        </is>
      </c>
      <c r="B4428" t="inlineStr">
        <is>
          <t xml:space="preserve">Vistar Amar Limited</t>
        </is>
      </c>
      <c r="C4428" t="inlineStr">
        <is>
          <t xml:space="preserve">INE878P01019</t>
        </is>
      </c>
    </row>
    <row r="4429">
      <c r="A4429" t="inlineStr">
        <is>
          <t xml:space="preserve">VIVAA</t>
        </is>
      </c>
      <c r="B4429" t="inlineStr">
        <is>
          <t xml:space="preserve">Vivaa Tradecom Limited</t>
        </is>
      </c>
      <c r="C4429" t="inlineStr">
        <is>
          <t xml:space="preserve">INE0PA601017</t>
        </is>
      </c>
    </row>
    <row r="4430">
      <c r="A4430" t="inlineStr">
        <is>
          <t xml:space="preserve">VIVANTA</t>
        </is>
      </c>
      <c r="B4430" t="inlineStr">
        <is>
          <t xml:space="preserve">Vivanta Industries Limited</t>
        </is>
      </c>
      <c r="C4430" t="inlineStr">
        <is>
          <t xml:space="preserve">INE299W01022</t>
        </is>
      </c>
    </row>
    <row r="4431">
      <c r="A4431" t="inlineStr">
        <is>
          <t xml:space="preserve">VIVANZA</t>
        </is>
      </c>
      <c r="B4431" t="inlineStr">
        <is>
          <t xml:space="preserve">Vivanza Biosciences Limited</t>
        </is>
      </c>
      <c r="C4431" t="inlineStr">
        <is>
          <t xml:space="preserve">INE984E01035</t>
        </is>
      </c>
    </row>
    <row r="4432">
      <c r="A4432" t="inlineStr">
        <is>
          <t xml:space="preserve">VIVIDIND</t>
        </is>
      </c>
      <c r="B4432" t="inlineStr">
        <is>
          <t xml:space="preserve">VIVID GLOBAL INDUSTRIES LTD.</t>
        </is>
      </c>
      <c r="C4432" t="inlineStr">
        <is>
          <t xml:space="preserve">INE737C01023</t>
        </is>
      </c>
    </row>
    <row r="4433">
      <c r="A4433" t="inlineStr">
        <is>
          <t xml:space="preserve">VIVIDM</t>
        </is>
      </c>
      <c r="B4433" t="inlineStr">
        <is>
          <t xml:space="preserve">VIVID MERCANTILE LIMITED</t>
        </is>
      </c>
      <c r="C4433" t="inlineStr">
        <is>
          <t xml:space="preserve">INE647Z01025</t>
        </is>
      </c>
    </row>
    <row r="4434">
      <c r="A4434" t="inlineStr">
        <is>
          <t xml:space="preserve">VIVIMEDLAB</t>
        </is>
      </c>
      <c r="B4434" t="inlineStr">
        <is>
          <t xml:space="preserve">VIVIMED LABS LTD.</t>
        </is>
      </c>
      <c r="C4434" t="inlineStr">
        <is>
          <t xml:space="preserve">INE526G01021</t>
        </is>
      </c>
    </row>
    <row r="4435">
      <c r="A4435" t="inlineStr">
        <is>
          <t xml:space="preserve">VIVOBIOT</t>
        </is>
      </c>
      <c r="B4435" t="inlineStr">
        <is>
          <t xml:space="preserve">VIVO BIO TECH LTD.</t>
        </is>
      </c>
      <c r="C4435" t="inlineStr">
        <is>
          <t xml:space="preserve">INE380K01017</t>
        </is>
      </c>
    </row>
    <row r="4436">
      <c r="A4436" t="inlineStr">
        <is>
          <t xml:space="preserve">VIYASH</t>
        </is>
      </c>
      <c r="B4436" t="inlineStr">
        <is>
          <t xml:space="preserve">VIYASH SCIENTIFIC LIMITED</t>
        </is>
      </c>
      <c r="C4436" t="inlineStr">
        <is>
          <t xml:space="preserve">INE807F01027</t>
        </is>
      </c>
    </row>
    <row r="4437">
      <c r="A4437" t="inlineStr">
        <is>
          <t xml:space="preserve">VLEGOV</t>
        </is>
      </c>
      <c r="B4437" t="inlineStr">
        <is>
          <t xml:space="preserve">VL E-Governance &amp; IT Solutions</t>
        </is>
      </c>
      <c r="C4437" t="inlineStr">
        <is>
          <t xml:space="preserve">INE03HW01020</t>
        </is>
      </c>
    </row>
    <row r="4438">
      <c r="A4438" t="inlineStr">
        <is>
          <t xml:space="preserve">VLSFINANCE</t>
        </is>
      </c>
      <c r="B4438" t="inlineStr">
        <is>
          <t xml:space="preserve">VLS FINANCE LTD.</t>
        </is>
      </c>
      <c r="C4438" t="inlineStr">
        <is>
          <t xml:space="preserve">INE709A01018</t>
        </is>
      </c>
    </row>
    <row r="4439">
      <c r="A4439" t="inlineStr">
        <is>
          <t xml:space="preserve">VMS</t>
        </is>
      </c>
      <c r="B4439" t="inlineStr">
        <is>
          <t xml:space="preserve">VMS INDUSTRIES LTD.</t>
        </is>
      </c>
      <c r="C4439" t="inlineStr">
        <is>
          <t xml:space="preserve">INE932K01015</t>
        </is>
      </c>
    </row>
    <row r="4440">
      <c r="A4440" t="inlineStr">
        <is>
          <t xml:space="preserve">VMSTMT</t>
        </is>
      </c>
      <c r="B4440" t="inlineStr">
        <is>
          <t xml:space="preserve">VMS TMT LIMITED</t>
        </is>
      </c>
      <c r="C4440" t="inlineStr">
        <is>
          <t xml:space="preserve">INE0SJA01013</t>
        </is>
      </c>
    </row>
    <row r="4441">
      <c r="A4441" t="inlineStr">
        <is>
          <t xml:space="preserve">IDEA</t>
        </is>
      </c>
      <c r="B4441" t="inlineStr">
        <is>
          <t xml:space="preserve">VODAFONE IDEA  LIMITED</t>
        </is>
      </c>
      <c r="C4441" t="inlineStr">
        <is>
          <t xml:space="preserve">INE669E01016</t>
        </is>
      </c>
    </row>
    <row r="4442">
      <c r="A4442" t="inlineStr">
        <is>
          <t xml:space="preserve">VOITHPAPR</t>
        </is>
      </c>
      <c r="B4442" t="inlineStr">
        <is>
          <t xml:space="preserve">VOITH PAPER FABRICS INDIA LTD.</t>
        </is>
      </c>
      <c r="C4442" t="inlineStr">
        <is>
          <t xml:space="preserve">INE285C01015</t>
        </is>
      </c>
    </row>
    <row r="4443">
      <c r="A4443" t="inlineStr">
        <is>
          <t xml:space="preserve">VOLLF</t>
        </is>
      </c>
      <c r="B4443" t="inlineStr">
        <is>
          <t xml:space="preserve">VOLTAIRE LEASING &amp; FINANCE LTD</t>
        </is>
      </c>
      <c r="C4443" t="inlineStr">
        <is>
          <t xml:space="preserve">INE763D01019</t>
        </is>
      </c>
    </row>
    <row r="4444">
      <c r="A4444" t="inlineStr">
        <is>
          <t xml:space="preserve">VOLTAMP</t>
        </is>
      </c>
      <c r="B4444" t="inlineStr">
        <is>
          <t xml:space="preserve">VOLTAMP TRANSFORMERS LTD.</t>
        </is>
      </c>
      <c r="C4444" t="inlineStr">
        <is>
          <t xml:space="preserve">INE540H01012</t>
        </is>
      </c>
    </row>
    <row r="4445">
      <c r="A4445" t="inlineStr">
        <is>
          <t xml:space="preserve">VOLTAS</t>
        </is>
      </c>
      <c r="B4445" t="inlineStr">
        <is>
          <t xml:space="preserve">VOLTAS LTD.</t>
        </is>
      </c>
      <c r="C4445" t="inlineStr">
        <is>
          <t xml:space="preserve">INE226A01021</t>
        </is>
      </c>
    </row>
    <row r="4446">
      <c r="A4446" t="inlineStr">
        <is>
          <t xml:space="preserve">VRAJ</t>
        </is>
      </c>
      <c r="B4446" t="inlineStr">
        <is>
          <t xml:space="preserve">VRAJ IRON AND STEEL LIMITED</t>
        </is>
      </c>
      <c r="C4446" t="inlineStr">
        <is>
          <t xml:space="preserve">INE0S2V01010</t>
        </is>
      </c>
    </row>
    <row r="4447">
      <c r="A4447" t="inlineStr">
        <is>
          <t xml:space="preserve">VRLLOG</t>
        </is>
      </c>
      <c r="B4447" t="inlineStr">
        <is>
          <t xml:space="preserve">VRL Logistics Limited</t>
        </is>
      </c>
      <c r="C4447" t="inlineStr">
        <is>
          <t xml:space="preserve">INE366I01010</t>
        </is>
      </c>
    </row>
    <row r="4448">
      <c r="A4448" t="inlineStr">
        <is>
          <t xml:space="preserve">VRUDDHI</t>
        </is>
      </c>
      <c r="B4448" t="inlineStr">
        <is>
          <t xml:space="preserve">Vruddhi Engineering Works Limi</t>
        </is>
      </c>
      <c r="C4448" t="inlineStr">
        <is>
          <t xml:space="preserve">INE0OMZ01013</t>
        </is>
      </c>
    </row>
    <row r="4449">
      <c r="A4449" t="inlineStr">
        <is>
          <t xml:space="preserve">VPL</t>
        </is>
      </c>
      <c r="B4449" t="inlineStr">
        <is>
          <t xml:space="preserve">Vrundavan Plantation Limited</t>
        </is>
      </c>
      <c r="C4449" t="inlineStr">
        <is>
          <t xml:space="preserve">INE0Q6901013</t>
        </is>
      </c>
    </row>
    <row r="4450">
      <c r="A4450" t="inlineStr">
        <is>
          <t xml:space="preserve">VSFPROJ</t>
        </is>
      </c>
      <c r="B4450" t="inlineStr">
        <is>
          <t xml:space="preserve">VSF PROJECTS LTD.</t>
        </is>
      </c>
      <c r="C4450" t="inlineStr">
        <is>
          <t xml:space="preserve">INE923K01014</t>
        </is>
      </c>
    </row>
    <row r="4451">
      <c r="A4451" t="inlineStr">
        <is>
          <t xml:space="preserve">VSTIND</t>
        </is>
      </c>
      <c r="B4451" t="inlineStr">
        <is>
          <t xml:space="preserve">VST INDUSTRIES LTD.</t>
        </is>
      </c>
      <c r="C4451" t="inlineStr">
        <is>
          <t xml:space="preserve">INE710A01016</t>
        </is>
      </c>
    </row>
    <row r="4452">
      <c r="A4452" t="inlineStr">
        <is>
          <t xml:space="preserve">VTMLTD</t>
        </is>
      </c>
      <c r="B4452" t="inlineStr">
        <is>
          <t xml:space="preserve">VTM LTD.</t>
        </is>
      </c>
      <c r="C4452" t="inlineStr">
        <is>
          <t xml:space="preserve">INE222F01029</t>
        </is>
      </c>
    </row>
    <row r="4453">
      <c r="A4453" t="inlineStr">
        <is>
          <t xml:space="preserve">VVIPIL</t>
        </is>
      </c>
      <c r="B4453" t="inlineStr">
        <is>
          <t xml:space="preserve">VVIP Infratech Limited</t>
        </is>
      </c>
      <c r="C4453" t="inlineStr">
        <is>
          <t xml:space="preserve">INE0MNP01016</t>
        </is>
      </c>
    </row>
    <row r="4454">
      <c r="A4454" t="inlineStr">
        <is>
          <t xml:space="preserve">VXLINSTR</t>
        </is>
      </c>
      <c r="B4454" t="inlineStr">
        <is>
          <t xml:space="preserve">VXL INSTRUMENTS LTD.</t>
        </is>
      </c>
      <c r="C4454" t="inlineStr">
        <is>
          <t xml:space="preserve">INE756A01019</t>
        </is>
      </c>
    </row>
    <row r="4455">
      <c r="A4455" t="inlineStr">
        <is>
          <t xml:space="preserve">WHBRADY</t>
        </is>
      </c>
      <c r="B4455" t="inlineStr">
        <is>
          <t xml:space="preserve">W.H.BRADY &amp; CO.LTD.</t>
        </is>
      </c>
      <c r="C4455" t="inlineStr">
        <is>
          <t xml:space="preserve">INE855A01019</t>
        </is>
      </c>
    </row>
    <row r="4456">
      <c r="A4456" t="inlineStr">
        <is>
          <t xml:space="preserve">WSI</t>
        </is>
      </c>
      <c r="B4456" t="inlineStr">
        <is>
          <t xml:space="preserve">W.S.INDUSTRIES (INDIA) LTD.</t>
        </is>
      </c>
      <c r="C4456" t="inlineStr">
        <is>
          <t xml:space="preserve">INE100D01014</t>
        </is>
      </c>
    </row>
    <row r="4457">
      <c r="A4457" t="inlineStr">
        <is>
          <t xml:space="preserve">WAA</t>
        </is>
      </c>
      <c r="B4457" t="inlineStr">
        <is>
          <t xml:space="preserve">Waa Solar Limited</t>
        </is>
      </c>
      <c r="C4457" t="inlineStr">
        <is>
          <t xml:space="preserve">INE799N01012</t>
        </is>
      </c>
    </row>
    <row r="4458">
      <c r="A4458" t="inlineStr">
        <is>
          <t xml:space="preserve">WAAREEENER</t>
        </is>
      </c>
      <c r="B4458" t="inlineStr">
        <is>
          <t xml:space="preserve">Waaree Energies Limited</t>
        </is>
      </c>
      <c r="C4458" t="inlineStr">
        <is>
          <t xml:space="preserve">INE377N01017</t>
        </is>
      </c>
    </row>
    <row r="4459">
      <c r="A4459" t="inlineStr">
        <is>
          <t xml:space="preserve">WAAREERTL</t>
        </is>
      </c>
      <c r="B4459" t="inlineStr">
        <is>
          <t xml:space="preserve">WAAREE RENEWABLE TECHNOLOGIES</t>
        </is>
      </c>
      <c r="C4459" t="inlineStr">
        <is>
          <t xml:space="preserve">INE299N01021</t>
        </is>
      </c>
    </row>
    <row r="4460">
      <c r="A4460" t="inlineStr">
        <is>
          <t xml:space="preserve">WAAREE</t>
        </is>
      </c>
      <c r="B4460" t="inlineStr">
        <is>
          <t xml:space="preserve">WAAREE TECHNOLOGIES LIMITED</t>
        </is>
      </c>
      <c r="C4460" t="inlineStr">
        <is>
          <t xml:space="preserve">INE725P01012</t>
        </is>
      </c>
    </row>
    <row r="4461">
      <c r="A4461" t="inlineStr">
        <is>
          <t xml:space="preserve">WAGEND</t>
        </is>
      </c>
      <c r="B4461" t="inlineStr">
        <is>
          <t xml:space="preserve">WAGEND INFRA VENTURE LIMITED</t>
        </is>
      </c>
      <c r="C4461" t="inlineStr">
        <is>
          <t xml:space="preserve">INE786K01023</t>
        </is>
      </c>
    </row>
    <row r="4462">
      <c r="A4462" t="inlineStr">
        <is>
          <t xml:space="preserve">WAKEFIT</t>
        </is>
      </c>
      <c r="B4462" t="inlineStr">
        <is>
          <t xml:space="preserve">Wakefit Innovations Limited</t>
        </is>
      </c>
      <c r="C4462" t="inlineStr">
        <is>
          <t xml:space="preserve">INE0E7301029</t>
        </is>
      </c>
    </row>
    <row r="4463">
      <c r="A4463" t="inlineStr">
        <is>
          <t xml:space="preserve">WALCHPF</t>
        </is>
      </c>
      <c r="B4463" t="inlineStr">
        <is>
          <t xml:space="preserve">WALCHAND PEOPLEFIRST LTD.</t>
        </is>
      </c>
      <c r="C4463" t="inlineStr">
        <is>
          <t xml:space="preserve">INE695D01021</t>
        </is>
      </c>
    </row>
    <row r="4464">
      <c r="A4464" t="inlineStr">
        <is>
          <t xml:space="preserve">WALCHANNAG</t>
        </is>
      </c>
      <c r="B4464" t="inlineStr">
        <is>
          <t xml:space="preserve">WALCHANDNAGAR INDUSTRIES LTD.</t>
        </is>
      </c>
      <c r="C4464" t="inlineStr">
        <is>
          <t xml:space="preserve">INE711A01022</t>
        </is>
      </c>
    </row>
    <row r="4465">
      <c r="A4465" t="inlineStr">
        <is>
          <t xml:space="preserve">WALLFORT</t>
        </is>
      </c>
      <c r="B4465" t="inlineStr">
        <is>
          <t xml:space="preserve">WALLFORT FINANCIAL SERVICES LT</t>
        </is>
      </c>
      <c r="C4465" t="inlineStr">
        <is>
          <t xml:space="preserve">INE121B01014</t>
        </is>
      </c>
    </row>
    <row r="4466">
      <c r="A4466" t="inlineStr">
        <is>
          <t xml:space="preserve">WANBURY</t>
        </is>
      </c>
      <c r="B4466" t="inlineStr">
        <is>
          <t xml:space="preserve">WANBURY LTD.</t>
        </is>
      </c>
      <c r="C4466" t="inlineStr">
        <is>
          <t xml:space="preserve">INE107F01022</t>
        </is>
      </c>
    </row>
    <row r="4467">
      <c r="A4467" t="inlineStr">
        <is>
          <t xml:space="preserve">WARDWIZFBL</t>
        </is>
      </c>
      <c r="B4467" t="inlineStr">
        <is>
          <t xml:space="preserve">Wardwizard Foods and Beverages</t>
        </is>
      </c>
      <c r="C4467" t="inlineStr">
        <is>
          <t xml:space="preserve">INE761D01021</t>
        </is>
      </c>
    </row>
    <row r="4468">
      <c r="A4468" t="inlineStr">
        <is>
          <t xml:space="preserve">WARDINMOBI</t>
        </is>
      </c>
      <c r="B4468" t="inlineStr">
        <is>
          <t xml:space="preserve">WARDWIZARD INNOVATIONS AND MOB</t>
        </is>
      </c>
      <c r="C4468" t="inlineStr">
        <is>
          <t xml:space="preserve">INE945P01024</t>
        </is>
      </c>
    </row>
    <row r="4469">
      <c r="A4469" t="inlineStr">
        <is>
          <t xml:space="preserve">WARRENTEA</t>
        </is>
      </c>
      <c r="B4469" t="inlineStr">
        <is>
          <t xml:space="preserve">WARREN TEA LTD.</t>
        </is>
      </c>
      <c r="C4469" t="inlineStr">
        <is>
          <t xml:space="preserve">INE712A01012</t>
        </is>
      </c>
    </row>
    <row r="4470">
      <c r="A4470" t="inlineStr">
        <is>
          <t xml:space="preserve">WATERBASE</t>
        </is>
      </c>
      <c r="B4470" t="inlineStr">
        <is>
          <t xml:space="preserve">WATERBASE LTD.</t>
        </is>
      </c>
      <c r="C4470" t="inlineStr">
        <is>
          <t xml:space="preserve">INE054C01015</t>
        </is>
      </c>
    </row>
    <row r="4471">
      <c r="A4471" t="inlineStr">
        <is>
          <t xml:space="preserve">CORDELIA</t>
        </is>
      </c>
      <c r="B4471" t="inlineStr">
        <is>
          <t xml:space="preserve">Waterways Leisure Tourism Limi</t>
        </is>
      </c>
      <c r="C4471" t="inlineStr">
        <is>
          <t xml:space="preserve">INE0LZF01013</t>
        </is>
      </c>
    </row>
    <row r="4472">
      <c r="A4472" t="inlineStr">
        <is>
          <t xml:space="preserve">1085WBSE26</t>
        </is>
      </c>
      <c r="B4472" t="inlineStr">
        <is>
          <t xml:space="preserve">WBSEDCL-10.85%-III-04-08-26-PV</t>
        </is>
      </c>
      <c r="C4472" t="inlineStr">
        <is>
          <t xml:space="preserve">INE411L07031</t>
        </is>
      </c>
    </row>
    <row r="4473">
      <c r="A4473" t="inlineStr">
        <is>
          <t xml:space="preserve">WEALTH</t>
        </is>
      </c>
      <c r="B4473" t="inlineStr">
        <is>
          <t xml:space="preserve">Wealth First Portfolio Manager</t>
        </is>
      </c>
      <c r="C4473" t="inlineStr">
        <is>
          <t xml:space="preserve">INE658T01017</t>
        </is>
      </c>
    </row>
    <row r="4474">
      <c r="A4474" t="inlineStr">
        <is>
          <t xml:space="preserve">WEBELSOLAR</t>
        </is>
      </c>
      <c r="B4474" t="inlineStr">
        <is>
          <t xml:space="preserve">WEBSOL ENERGY SYSTEM LTD.</t>
        </is>
      </c>
      <c r="C4474" t="inlineStr">
        <is>
          <t xml:space="preserve">INE855C01023</t>
        </is>
      </c>
    </row>
    <row r="4475">
      <c r="A4475" t="inlineStr">
        <is>
          <t xml:space="preserve">WEIZMANIND</t>
        </is>
      </c>
      <c r="B4475" t="inlineStr">
        <is>
          <t xml:space="preserve">WEIZMANN LTD.</t>
        </is>
      </c>
      <c r="C4475" t="inlineStr">
        <is>
          <t xml:space="preserve">INE080A01014</t>
        </is>
      </c>
    </row>
    <row r="4476">
      <c r="A4476" t="inlineStr">
        <is>
          <t xml:space="preserve">ZWELCAST</t>
        </is>
      </c>
      <c r="B4476" t="inlineStr">
        <is>
          <t xml:space="preserve">WELCAST STEELS LTD.</t>
        </is>
      </c>
      <c r="C4476" t="inlineStr">
        <is>
          <t xml:space="preserve">INE380G01015</t>
        </is>
      </c>
    </row>
    <row r="4477">
      <c r="A4477" t="inlineStr">
        <is>
          <t xml:space="preserve">WELCURE</t>
        </is>
      </c>
      <c r="B4477" t="inlineStr">
        <is>
          <t xml:space="preserve">WELCURE DRUGS &amp; PHARMACEUTICAL</t>
        </is>
      </c>
      <c r="C4477" t="inlineStr">
        <is>
          <t xml:space="preserve">INE331C01025</t>
        </is>
      </c>
    </row>
    <row r="4478">
      <c r="A4478" t="inlineStr">
        <is>
          <t xml:space="preserve">WELCORP</t>
        </is>
      </c>
      <c r="B4478" t="inlineStr">
        <is>
          <t xml:space="preserve">WELSPUN CORP LIMITED</t>
        </is>
      </c>
      <c r="C4478" t="inlineStr">
        <is>
          <t xml:space="preserve">INE191B01025</t>
        </is>
      </c>
    </row>
    <row r="4479">
      <c r="A4479" t="inlineStr">
        <is>
          <t xml:space="preserve">WELENT</t>
        </is>
      </c>
      <c r="B4479" t="inlineStr">
        <is>
          <t xml:space="preserve">WELSPUN ENTERPRISES LIMTED</t>
        </is>
      </c>
      <c r="C4479" t="inlineStr">
        <is>
          <t xml:space="preserve">INE625G01013</t>
        </is>
      </c>
    </row>
    <row r="4480">
      <c r="A4480" t="inlineStr">
        <is>
          <t xml:space="preserve">WELINV</t>
        </is>
      </c>
      <c r="B4480" t="inlineStr">
        <is>
          <t xml:space="preserve">WELSPUN INVESTMENTS AND COMMER</t>
        </is>
      </c>
      <c r="C4480" t="inlineStr">
        <is>
          <t xml:space="preserve">INE389K01018</t>
        </is>
      </c>
    </row>
    <row r="4481">
      <c r="A4481" t="inlineStr">
        <is>
          <t xml:space="preserve">WELSPUNLIV</t>
        </is>
      </c>
      <c r="B4481" t="inlineStr">
        <is>
          <t xml:space="preserve">WELSPUN LIVING LIMITED</t>
        </is>
      </c>
      <c r="C4481" t="inlineStr">
        <is>
          <t xml:space="preserve">INE192B01031</t>
        </is>
      </c>
    </row>
    <row r="4482">
      <c r="A4482" t="inlineStr">
        <is>
          <t xml:space="preserve">WELSPLSOL</t>
        </is>
      </c>
      <c r="B4482" t="inlineStr">
        <is>
          <t xml:space="preserve">WELSPUN SPECIALTY SOLUTIONS LI</t>
        </is>
      </c>
      <c r="C4482" t="inlineStr">
        <is>
          <t xml:space="preserve">INE731F01037</t>
        </is>
      </c>
    </row>
    <row r="4483">
      <c r="A4483" t="inlineStr">
        <is>
          <t xml:space="preserve">WELTI</t>
        </is>
      </c>
      <c r="B4483" t="inlineStr">
        <is>
          <t xml:space="preserve">WELTERMAN INTERNATIONAL LTD.</t>
        </is>
      </c>
      <c r="C4483" t="inlineStr">
        <is>
          <t xml:space="preserve">INE662D01013</t>
        </is>
      </c>
    </row>
    <row r="4484">
      <c r="A4484" t="inlineStr">
        <is>
          <t xml:space="preserve">WENDT</t>
        </is>
      </c>
      <c r="B4484" t="inlineStr">
        <is>
          <t xml:space="preserve">WENDT (INDIA) LTD.</t>
        </is>
      </c>
      <c r="C4484" t="inlineStr">
        <is>
          <t xml:space="preserve">INE274C01019</t>
        </is>
      </c>
    </row>
    <row r="4485">
      <c r="A4485" t="inlineStr">
        <is>
          <t xml:space="preserve">WEPSOLN</t>
        </is>
      </c>
      <c r="B4485" t="inlineStr">
        <is>
          <t xml:space="preserve">WEP SOLUTIONS LTD.</t>
        </is>
      </c>
      <c r="C4485" t="inlineStr">
        <is>
          <t xml:space="preserve">INE434B01029</t>
        </is>
      </c>
    </row>
    <row r="4486">
      <c r="A4486" t="inlineStr">
        <is>
          <t xml:space="preserve">WSTCSTPAPR</t>
        </is>
      </c>
      <c r="B4486" t="inlineStr">
        <is>
          <t xml:space="preserve">West Coast Paper Mills Limited</t>
        </is>
      </c>
      <c r="C4486" t="inlineStr">
        <is>
          <t xml:space="preserve">INE976A01021</t>
        </is>
      </c>
    </row>
    <row r="4487">
      <c r="A4487" t="inlineStr">
        <is>
          <t xml:space="preserve">WESTLEIRES</t>
        </is>
      </c>
      <c r="B4487" t="inlineStr">
        <is>
          <t xml:space="preserve">WEST LEISURE RESORTS LTD</t>
        </is>
      </c>
      <c r="C4487" t="inlineStr">
        <is>
          <t xml:space="preserve">INE266P01017</t>
        </is>
      </c>
    </row>
    <row r="4488">
      <c r="A4488" t="inlineStr">
        <is>
          <t xml:space="preserve">WCIL</t>
        </is>
      </c>
      <c r="B4488" t="inlineStr">
        <is>
          <t xml:space="preserve">Western Carriers (India) Limit</t>
        </is>
      </c>
      <c r="C4488" t="inlineStr">
        <is>
          <t xml:space="preserve">INE0CJF01024</t>
        </is>
      </c>
    </row>
    <row r="4489">
      <c r="A4489" t="inlineStr">
        <is>
          <t xml:space="preserve">WOSAL</t>
        </is>
      </c>
      <c r="B4489" t="inlineStr">
        <is>
          <t xml:space="preserve">Western Overseas Study Abroad</t>
        </is>
      </c>
      <c r="C4489" t="inlineStr">
        <is>
          <t xml:space="preserve">INE1MF401019</t>
        </is>
      </c>
    </row>
    <row r="4490">
      <c r="A4490" t="inlineStr">
        <is>
          <t xml:space="preserve">WESTLIFE</t>
        </is>
      </c>
      <c r="B4490" t="inlineStr">
        <is>
          <t xml:space="preserve">WESTLIFE FOODWORLD LIMITED</t>
        </is>
      </c>
      <c r="C4490" t="inlineStr">
        <is>
          <t xml:space="preserve">INE274F01020</t>
        </is>
      </c>
    </row>
    <row r="4491">
      <c r="A4491" t="inlineStr">
        <is>
          <t xml:space="preserve">WEWORK</t>
        </is>
      </c>
      <c r="B4491" t="inlineStr">
        <is>
          <t xml:space="preserve">WeWork India Management Limite</t>
        </is>
      </c>
      <c r="C4491" t="inlineStr">
        <is>
          <t xml:space="preserve">INE085001019</t>
        </is>
      </c>
    </row>
    <row r="4492">
      <c r="A4492" t="inlineStr">
        <is>
          <t xml:space="preserve">WHEELS</t>
        </is>
      </c>
      <c r="B4492" t="inlineStr">
        <is>
          <t xml:space="preserve">WHEELS INDIA LTD.</t>
        </is>
      </c>
      <c r="C4492" t="inlineStr">
        <is>
          <t xml:space="preserve">INE715A01015</t>
        </is>
      </c>
    </row>
    <row r="4493">
      <c r="A4493" t="inlineStr">
        <is>
          <t xml:space="preserve">WHIRLPOOL</t>
        </is>
      </c>
      <c r="B4493" t="inlineStr">
        <is>
          <t xml:space="preserve">WHIRLPOOL OF INDIA LTD.</t>
        </is>
      </c>
      <c r="C4493" t="inlineStr">
        <is>
          <t xml:space="preserve">INE716A01013</t>
        </is>
      </c>
    </row>
    <row r="4494">
      <c r="A4494" t="inlineStr">
        <is>
          <t xml:space="preserve">WHITEORG</t>
        </is>
      </c>
      <c r="B4494" t="inlineStr">
        <is>
          <t xml:space="preserve">White Organic Agro Limited</t>
        </is>
      </c>
      <c r="C4494" t="inlineStr">
        <is>
          <t xml:space="preserve">INE146C01019</t>
        </is>
      </c>
    </row>
    <row r="4495">
      <c r="A4495" t="inlineStr">
        <is>
          <t xml:space="preserve">WILLIMFI</t>
        </is>
      </c>
      <c r="B4495" t="inlineStr">
        <is>
          <t xml:space="preserve">WILLIAMSON FINANCIAL SERVICES</t>
        </is>
      </c>
      <c r="C4495" t="inlineStr">
        <is>
          <t xml:space="preserve">INE188E01017</t>
        </is>
      </c>
    </row>
    <row r="4496">
      <c r="A4496" t="inlineStr">
        <is>
          <t xml:space="preserve">WILLAMAGOR</t>
        </is>
      </c>
      <c r="B4496" t="inlineStr">
        <is>
          <t xml:space="preserve">WILLIAMSON MAGOR &amp; COMPANY LTD</t>
        </is>
      </c>
      <c r="C4496" t="inlineStr">
        <is>
          <t xml:space="preserve">INE210A01017</t>
        </is>
      </c>
    </row>
    <row r="4497">
      <c r="A4497" t="inlineStr">
        <is>
          <t xml:space="preserve">WINDLAS</t>
        </is>
      </c>
      <c r="B4497" t="inlineStr">
        <is>
          <t xml:space="preserve">Windlas Biotech Limited</t>
        </is>
      </c>
      <c r="C4497" t="inlineStr">
        <is>
          <t xml:space="preserve">INE0H5O01029</t>
        </is>
      </c>
    </row>
    <row r="4498">
      <c r="A4498" t="inlineStr">
        <is>
          <t xml:space="preserve">WINDMACHIN</t>
        </is>
      </c>
      <c r="B4498" t="inlineStr">
        <is>
          <t xml:space="preserve">WINDSOR MACHINES LTD.</t>
        </is>
      </c>
      <c r="C4498" t="inlineStr">
        <is>
          <t xml:space="preserve">INE052A01021</t>
        </is>
      </c>
    </row>
    <row r="4499">
      <c r="A4499" t="inlineStr">
        <is>
          <t xml:space="preserve">WINSOMBR</t>
        </is>
      </c>
      <c r="B4499" t="inlineStr">
        <is>
          <t xml:space="preserve">WINSOME BREWERIES LTD.</t>
        </is>
      </c>
      <c r="C4499" t="inlineStr">
        <is>
          <t xml:space="preserve">INE391C01011</t>
        </is>
      </c>
    </row>
    <row r="4500">
      <c r="A4500" t="inlineStr">
        <is>
          <t xml:space="preserve">WINSOMTX</t>
        </is>
      </c>
      <c r="B4500" t="inlineStr">
        <is>
          <t xml:space="preserve">WINSOME TEXTILE INDUSTRIES LTD</t>
        </is>
      </c>
      <c r="C4500" t="inlineStr">
        <is>
          <t xml:space="preserve">INE837B01031</t>
        </is>
      </c>
    </row>
    <row r="4501">
      <c r="A4501" t="inlineStr">
        <is>
          <t xml:space="preserve">WINSOME</t>
        </is>
      </c>
      <c r="B4501" t="inlineStr">
        <is>
          <t xml:space="preserve">WINSOME YARNS LTD.</t>
        </is>
      </c>
      <c r="C4501" t="inlineStr">
        <is>
          <t xml:space="preserve">INE784B01035</t>
        </is>
      </c>
    </row>
    <row r="4502">
      <c r="A4502" t="inlineStr">
        <is>
          <t xml:space="preserve">WIPRO</t>
        </is>
      </c>
      <c r="B4502" t="inlineStr">
        <is>
          <t xml:space="preserve">WIPRO LTD.</t>
        </is>
      </c>
      <c r="C4502" t="inlineStr">
        <is>
          <t xml:space="preserve">INE075A01022</t>
        </is>
      </c>
    </row>
    <row r="4503">
      <c r="A4503" t="inlineStr">
        <is>
          <t xml:space="preserve">WIREFABR</t>
        </is>
      </c>
      <c r="B4503" t="inlineStr">
        <is>
          <t xml:space="preserve">WIRES &amp; FABRIKS (SA) LTD.</t>
        </is>
      </c>
      <c r="C4503" t="inlineStr">
        <is>
          <t xml:space="preserve">INE469D01013</t>
        </is>
      </c>
    </row>
    <row r="4504">
      <c r="A4504" t="inlineStr">
        <is>
          <t xml:space="preserve">WOCKPHARMA</t>
        </is>
      </c>
      <c r="B4504" t="inlineStr">
        <is>
          <t xml:space="preserve">WOCKHARDT LTD.</t>
        </is>
      </c>
      <c r="C4504" t="inlineStr">
        <is>
          <t xml:space="preserve">INE049B01025</t>
        </is>
      </c>
    </row>
    <row r="4505">
      <c r="A4505" t="inlineStr">
        <is>
          <t xml:space="preserve">WOMENNET</t>
        </is>
      </c>
      <c r="B4505" t="inlineStr">
        <is>
          <t xml:space="preserve">WOMEN NETWORKS LTD.</t>
        </is>
      </c>
      <c r="C4505" t="inlineStr">
        <is>
          <t xml:space="preserve">INE905B01010</t>
        </is>
      </c>
    </row>
    <row r="4506">
      <c r="A4506" t="inlineStr">
        <is>
          <t xml:space="preserve">WEL</t>
        </is>
      </c>
      <c r="B4506" t="inlineStr">
        <is>
          <t xml:space="preserve">WONDER ELECTRICALS LIMITED</t>
        </is>
      </c>
      <c r="C4506" t="inlineStr">
        <is>
          <t xml:space="preserve">INE02WG01024</t>
        </is>
      </c>
    </row>
    <row r="4507">
      <c r="A4507" t="inlineStr">
        <is>
          <t xml:space="preserve">WONDERLA</t>
        </is>
      </c>
      <c r="B4507" t="inlineStr">
        <is>
          <t xml:space="preserve">WONDERLA HOLIDAYS LTD</t>
        </is>
      </c>
      <c r="C4507" t="inlineStr">
        <is>
          <t xml:space="preserve">INE066O01014</t>
        </is>
      </c>
    </row>
    <row r="4508">
      <c r="A4508" t="inlineStr">
        <is>
          <t xml:space="preserve">WORKMATES</t>
        </is>
      </c>
      <c r="B4508" t="inlineStr">
        <is>
          <t xml:space="preserve">WORKMATES CORE2CLOUD SOLUTION</t>
        </is>
      </c>
      <c r="C4508" t="inlineStr">
        <is>
          <t xml:space="preserve">INE1I1301016</t>
        </is>
      </c>
    </row>
    <row r="4509">
      <c r="A4509" t="inlineStr">
        <is>
          <t xml:space="preserve">WWALUM</t>
        </is>
      </c>
      <c r="B4509" t="inlineStr">
        <is>
          <t xml:space="preserve">WORLDWIDE ALUMINIUM LIMITED</t>
        </is>
      </c>
      <c r="C4509" t="inlineStr">
        <is>
          <t xml:space="preserve">INE550D01010</t>
        </is>
      </c>
    </row>
    <row r="4510">
      <c r="A4510" t="inlineStr">
        <is>
          <t xml:space="preserve">WORTH</t>
        </is>
      </c>
      <c r="B4510" t="inlineStr">
        <is>
          <t xml:space="preserve">WORTH INVESTMENT &amp; TRADING CO</t>
        </is>
      </c>
      <c r="C4510" t="inlineStr">
        <is>
          <t xml:space="preserve">INE114O01020</t>
        </is>
      </c>
    </row>
    <row r="4511">
      <c r="A4511" t="inlineStr">
        <is>
          <t xml:space="preserve">WORTHPERI</t>
        </is>
      </c>
      <c r="B4511" t="inlineStr">
        <is>
          <t xml:space="preserve">Worth Peripherals Limited</t>
        </is>
      </c>
      <c r="C4511" t="inlineStr">
        <is>
          <t xml:space="preserve">INE196Y01018</t>
        </is>
      </c>
    </row>
    <row r="4512">
      <c r="A4512" t="inlineStr">
        <is>
          <t xml:space="preserve">WPIL</t>
        </is>
      </c>
      <c r="B4512" t="inlineStr">
        <is>
          <t xml:space="preserve">WPIL LTD.</t>
        </is>
      </c>
      <c r="C4512" t="inlineStr">
        <is>
          <t xml:space="preserve">INE765D01022</t>
        </is>
      </c>
    </row>
    <row r="4513">
      <c r="A4513" t="inlineStr">
        <is>
          <t xml:space="preserve">WSFX</t>
        </is>
      </c>
      <c r="B4513" t="inlineStr">
        <is>
          <t xml:space="preserve">WSFX Global Pay Limited</t>
        </is>
      </c>
      <c r="C4513" t="inlineStr">
        <is>
          <t xml:space="preserve">INE549D01012</t>
        </is>
      </c>
    </row>
    <row r="4514">
      <c r="A4514" t="inlineStr">
        <is>
          <t xml:space="preserve">XCHANGING</t>
        </is>
      </c>
      <c r="B4514" t="inlineStr">
        <is>
          <t xml:space="preserve">XCHANGING SOLUTIONS LTD.</t>
        </is>
      </c>
      <c r="C4514" t="inlineStr">
        <is>
          <t xml:space="preserve">INE692G01013</t>
        </is>
      </c>
    </row>
    <row r="4515">
      <c r="A4515" t="inlineStr">
        <is>
          <t xml:space="preserve">XELPMOC</t>
        </is>
      </c>
      <c r="B4515" t="inlineStr">
        <is>
          <t xml:space="preserve">Xelpmoc Design and Tech Limite</t>
        </is>
      </c>
      <c r="C4515" t="inlineStr">
        <is>
          <t xml:space="preserve">INE01P501012</t>
        </is>
      </c>
    </row>
    <row r="4516">
      <c r="A4516" t="inlineStr">
        <is>
          <t xml:space="preserve">XPROINDIA</t>
        </is>
      </c>
      <c r="B4516" t="inlineStr">
        <is>
          <t xml:space="preserve">XPRO INDIA LTD.</t>
        </is>
      </c>
      <c r="C4516" t="inlineStr">
        <is>
          <t xml:space="preserve">INE445C01015</t>
        </is>
      </c>
    </row>
    <row r="4517">
      <c r="A4517" t="inlineStr">
        <is>
          <t xml:space="preserve">XTGLOBAL</t>
        </is>
      </c>
      <c r="B4517" t="inlineStr">
        <is>
          <t xml:space="preserve">XTGLOBAL INFOTECH LIMITED</t>
        </is>
      </c>
      <c r="C4517" t="inlineStr">
        <is>
          <t xml:space="preserve">INE547B01028</t>
        </is>
      </c>
    </row>
    <row r="4518">
      <c r="A4518" t="inlineStr">
        <is>
          <t xml:space="preserve">YAANENT</t>
        </is>
      </c>
      <c r="B4518" t="inlineStr">
        <is>
          <t xml:space="preserve">YAAN ENTERPRISES LIMITED</t>
        </is>
      </c>
      <c r="C4518" t="inlineStr">
        <is>
          <t xml:space="preserve">INE969E01010</t>
        </is>
      </c>
    </row>
    <row r="4519">
      <c r="A4519" t="inlineStr">
        <is>
          <t xml:space="preserve">YAASHVI</t>
        </is>
      </c>
      <c r="B4519" t="inlineStr">
        <is>
          <t xml:space="preserve">YAASHVI JEWELLERS LIMITED</t>
        </is>
      </c>
      <c r="C4519" t="inlineStr">
        <is>
          <t xml:space="preserve">INE1T6L01010</t>
        </is>
      </c>
    </row>
    <row r="4520">
      <c r="A4520" t="inlineStr">
        <is>
          <t xml:space="preserve">YAJUR</t>
        </is>
      </c>
      <c r="B4520" t="inlineStr">
        <is>
          <t xml:space="preserve">YAJUR FIBRES LIMITED</t>
        </is>
      </c>
      <c r="C4520" t="inlineStr">
        <is>
          <t xml:space="preserve">INE0CNJ01010</t>
        </is>
      </c>
    </row>
    <row r="4521">
      <c r="A4521" t="inlineStr">
        <is>
          <t xml:space="preserve">YAMNINV</t>
        </is>
      </c>
      <c r="B4521" t="inlineStr">
        <is>
          <t xml:space="preserve">YAMINI INVESTMENTS COMPANY LTD</t>
        </is>
      </c>
      <c r="C4521" t="inlineStr">
        <is>
          <t xml:space="preserve">INE457N01025</t>
        </is>
      </c>
    </row>
    <row r="4522">
      <c r="A4522" t="inlineStr">
        <is>
          <t xml:space="preserve">YARNSYN</t>
        </is>
      </c>
      <c r="B4522" t="inlineStr">
        <is>
          <t xml:space="preserve">YARN SYNDICATE LTD.</t>
        </is>
      </c>
      <c r="C4522" t="inlineStr">
        <is>
          <t xml:space="preserve">INE564C01013</t>
        </is>
      </c>
    </row>
    <row r="4523">
      <c r="A4523" t="inlineStr">
        <is>
          <t xml:space="preserve">YASHCHEM</t>
        </is>
      </c>
      <c r="B4523" t="inlineStr">
        <is>
          <t xml:space="preserve">Yash Chemex Limited</t>
        </is>
      </c>
      <c r="C4523" t="inlineStr">
        <is>
          <t xml:space="preserve">INE571U01010</t>
        </is>
      </c>
    </row>
    <row r="4524">
      <c r="A4524" t="inlineStr">
        <is>
          <t xml:space="preserve">YASHHV</t>
        </is>
      </c>
      <c r="B4524" t="inlineStr">
        <is>
          <t xml:space="preserve">Yash Highvoltage Limited</t>
        </is>
      </c>
      <c r="C4524" t="inlineStr">
        <is>
          <t xml:space="preserve">INE00GK01023</t>
        </is>
      </c>
    </row>
    <row r="4525">
      <c r="A4525" t="inlineStr">
        <is>
          <t xml:space="preserve">YASHINNO</t>
        </is>
      </c>
      <c r="B4525" t="inlineStr">
        <is>
          <t xml:space="preserve">YASH INNOVENTURES LIMITED</t>
        </is>
      </c>
      <c r="C4525" t="inlineStr">
        <is>
          <t xml:space="preserve">INE823D01011</t>
        </is>
      </c>
    </row>
    <row r="4526">
      <c r="A4526" t="inlineStr">
        <is>
          <t xml:space="preserve">YASHMGM</t>
        </is>
      </c>
      <c r="B4526" t="inlineStr">
        <is>
          <t xml:space="preserve">YASH MANAGEMENT &amp; SATELLITE LT</t>
        </is>
      </c>
      <c r="C4526" t="inlineStr">
        <is>
          <t xml:space="preserve">INE216B01012</t>
        </is>
      </c>
    </row>
    <row r="4527">
      <c r="A4527" t="inlineStr">
        <is>
          <t xml:space="preserve">YASHHTEJ</t>
        </is>
      </c>
      <c r="B4527" t="inlineStr">
        <is>
          <t xml:space="preserve">Yashhtej Industries (India) Li</t>
        </is>
      </c>
      <c r="C4527" t="inlineStr">
        <is>
          <t xml:space="preserve">INE1O6P01016</t>
        </is>
      </c>
    </row>
    <row r="4528">
      <c r="A4528" t="inlineStr">
        <is>
          <t xml:space="preserve">YASHO</t>
        </is>
      </c>
      <c r="B4528" t="inlineStr">
        <is>
          <t xml:space="preserve">YASHO INDUSTRIES LIMITED</t>
        </is>
      </c>
      <c r="C4528" t="inlineStr">
        <is>
          <t xml:space="preserve">INE616Z01012</t>
        </is>
      </c>
    </row>
    <row r="4529">
      <c r="A4529" t="inlineStr">
        <is>
          <t xml:space="preserve">YASHRAJC</t>
        </is>
      </c>
      <c r="B4529" t="inlineStr">
        <is>
          <t xml:space="preserve">YASHRAJ CONTAINEURS LTD.</t>
        </is>
      </c>
      <c r="C4529" t="inlineStr">
        <is>
          <t xml:space="preserve">INE095C01018</t>
        </is>
      </c>
    </row>
    <row r="4530">
      <c r="A4530" t="inlineStr">
        <is>
          <t xml:space="preserve">YATHARTH</t>
        </is>
      </c>
      <c r="B4530" t="inlineStr">
        <is>
          <t xml:space="preserve">YATHARTH HOSPITAL &amp; TRAUMA CAR</t>
        </is>
      </c>
      <c r="C4530" t="inlineStr">
        <is>
          <t xml:space="preserve">INE0JO301016</t>
        </is>
      </c>
    </row>
    <row r="4531">
      <c r="A4531" t="inlineStr">
        <is>
          <t xml:space="preserve">YATRA</t>
        </is>
      </c>
      <c r="B4531" t="inlineStr">
        <is>
          <t xml:space="preserve">YATRA ONLINE LIMITED</t>
        </is>
      </c>
      <c r="C4531" t="inlineStr">
        <is>
          <t xml:space="preserve">INE0JR601024</t>
        </is>
      </c>
    </row>
    <row r="4532">
      <c r="A4532" t="inlineStr">
        <is>
          <t xml:space="preserve">YESBANK</t>
        </is>
      </c>
      <c r="B4532" t="inlineStr">
        <is>
          <t xml:space="preserve">YES BANK LTD.</t>
        </is>
      </c>
      <c r="C4532" t="inlineStr">
        <is>
          <t xml:space="preserve">INE528G01035</t>
        </is>
      </c>
    </row>
    <row r="4533">
      <c r="A4533" t="inlineStr">
        <is>
          <t xml:space="preserve">YOGI</t>
        </is>
      </c>
      <c r="B4533" t="inlineStr">
        <is>
          <t xml:space="preserve">YOGI LIMITED</t>
        </is>
      </c>
      <c r="C4533" t="inlineStr">
        <is>
          <t xml:space="preserve">INE290E01011</t>
        </is>
      </c>
    </row>
    <row r="4534">
      <c r="A4534" t="inlineStr">
        <is>
          <t xml:space="preserve">YOGISUNG</t>
        </is>
      </c>
      <c r="B4534" t="inlineStr">
        <is>
          <t xml:space="preserve">YOGI SUNG-WON (INDIA) LTD.</t>
        </is>
      </c>
      <c r="C4534" t="inlineStr">
        <is>
          <t xml:space="preserve">INE429B01011</t>
        </is>
      </c>
    </row>
    <row r="4535">
      <c r="A4535" t="inlineStr">
        <is>
          <t xml:space="preserve">YUKEN</t>
        </is>
      </c>
      <c r="B4535" t="inlineStr">
        <is>
          <t xml:space="preserve">YUKEN INDIA LTD.</t>
        </is>
      </c>
      <c r="C4535" t="inlineStr">
        <is>
          <t xml:space="preserve">INE384C01016</t>
        </is>
      </c>
    </row>
    <row r="4536">
      <c r="A4536" t="inlineStr">
        <is>
          <t xml:space="preserve">YUNIKM</t>
        </is>
      </c>
      <c r="B4536" t="inlineStr">
        <is>
          <t xml:space="preserve">Yunik Managing Advisors Limite</t>
        </is>
      </c>
      <c r="C4536" t="inlineStr">
        <is>
          <t xml:space="preserve">INE143K01019</t>
        </is>
      </c>
    </row>
    <row r="4537">
      <c r="A4537" t="inlineStr">
        <is>
          <t xml:space="preserve">YURANUS</t>
        </is>
      </c>
      <c r="B4537" t="inlineStr">
        <is>
          <t xml:space="preserve">YURANUS INFRASTRUCTURE LTD</t>
        </is>
      </c>
      <c r="C4537" t="inlineStr">
        <is>
          <t xml:space="preserve">INE156M01017</t>
        </is>
      </c>
    </row>
    <row r="4538">
      <c r="A4538" t="inlineStr">
        <is>
          <t xml:space="preserve">YUVRAAJHPL</t>
        </is>
      </c>
      <c r="B4538" t="inlineStr">
        <is>
          <t xml:space="preserve">YUVRAAJ HYGIENE PRODUCTS LTD.</t>
        </is>
      </c>
      <c r="C4538" t="inlineStr">
        <is>
          <t xml:space="preserve">INE139D01020</t>
        </is>
      </c>
    </row>
    <row r="4539">
      <c r="A4539" t="inlineStr">
        <is>
          <t xml:space="preserve">ZFSTEERING</t>
        </is>
      </c>
      <c r="B4539" t="inlineStr">
        <is>
          <t xml:space="preserve">Z.F.STEERING GEAR (INDIA) LTD.</t>
        </is>
      </c>
      <c r="C4539" t="inlineStr">
        <is>
          <t xml:space="preserve">INE116C01012</t>
        </is>
      </c>
    </row>
    <row r="4540">
      <c r="A4540" t="inlineStr">
        <is>
          <t xml:space="preserve">ZAGGLE</t>
        </is>
      </c>
      <c r="B4540" t="inlineStr">
        <is>
          <t xml:space="preserve">ZAGGLE PREPAID OCEAN SERVICES</t>
        </is>
      </c>
      <c r="C4540" t="inlineStr">
        <is>
          <t xml:space="preserve">INE07K301024</t>
        </is>
      </c>
    </row>
    <row r="4541">
      <c r="A4541" t="inlineStr">
        <is>
          <t xml:space="preserve">ZEAL</t>
        </is>
      </c>
      <c r="B4541" t="inlineStr">
        <is>
          <t xml:space="preserve">Zeal Aqua Limited</t>
        </is>
      </c>
      <c r="C4541" t="inlineStr">
        <is>
          <t xml:space="preserve">INE819S01025</t>
        </is>
      </c>
    </row>
    <row r="4542">
      <c r="A4542" t="inlineStr">
        <is>
          <t xml:space="preserve">ZEEL</t>
        </is>
      </c>
      <c r="B4542" t="inlineStr">
        <is>
          <t xml:space="preserve">ZEE ENTERTAINMENT ENTERPRISES</t>
        </is>
      </c>
      <c r="C4542" t="inlineStr">
        <is>
          <t xml:space="preserve">INE256A01028</t>
        </is>
      </c>
    </row>
    <row r="4543">
      <c r="A4543" t="inlineStr">
        <is>
          <t xml:space="preserve">ZEELEARN</t>
        </is>
      </c>
      <c r="B4543" t="inlineStr">
        <is>
          <t xml:space="preserve">ZEE LEARN LTD.</t>
        </is>
      </c>
      <c r="C4543" t="inlineStr">
        <is>
          <t xml:space="preserve">INE565L01011</t>
        </is>
      </c>
    </row>
    <row r="4544">
      <c r="A4544" t="inlineStr">
        <is>
          <t xml:space="preserve">ZEEMEDIA</t>
        </is>
      </c>
      <c r="B4544" t="inlineStr">
        <is>
          <t xml:space="preserve">ZEE MEDIA CORPORATION LIMITED</t>
        </is>
      </c>
      <c r="C4544" t="inlineStr">
        <is>
          <t xml:space="preserve">INE966H01019</t>
        </is>
      </c>
    </row>
    <row r="4545">
      <c r="A4545" t="inlineStr">
        <is>
          <t xml:space="preserve">ZELIO</t>
        </is>
      </c>
      <c r="B4545" t="inlineStr">
        <is>
          <t xml:space="preserve">Zelio E Mobility Limited</t>
        </is>
      </c>
      <c r="C4545" t="inlineStr">
        <is>
          <t xml:space="preserve">INE1B3501014</t>
        </is>
      </c>
    </row>
    <row r="4546">
      <c r="A4546" t="inlineStr">
        <is>
          <t xml:space="preserve">ZENTEC</t>
        </is>
      </c>
      <c r="B4546" t="inlineStr">
        <is>
          <t xml:space="preserve">ZEN TECHNOLOGIES LTD.</t>
        </is>
      </c>
      <c r="C4546" t="inlineStr">
        <is>
          <t xml:space="preserve">INE251B01027</t>
        </is>
      </c>
    </row>
    <row r="4547">
      <c r="A4547" t="inlineStr">
        <is>
          <t xml:space="preserve">ZENITHEXPO</t>
        </is>
      </c>
      <c r="B4547" t="inlineStr">
        <is>
          <t xml:space="preserve">ZENITH EXPORTS LTD.</t>
        </is>
      </c>
      <c r="C4547" t="inlineStr">
        <is>
          <t xml:space="preserve">INE058B01018</t>
        </is>
      </c>
    </row>
    <row r="4548">
      <c r="A4548" t="inlineStr">
        <is>
          <t xml:space="preserve">ZENIFIB</t>
        </is>
      </c>
      <c r="B4548" t="inlineStr">
        <is>
          <t xml:space="preserve">ZENITH FIBRES LTD.</t>
        </is>
      </c>
      <c r="C4548" t="inlineStr">
        <is>
          <t xml:space="preserve">INE106C01013</t>
        </is>
      </c>
    </row>
    <row r="4549">
      <c r="A4549" t="inlineStr">
        <is>
          <t xml:space="preserve">ZENITHHE</t>
        </is>
      </c>
      <c r="B4549" t="inlineStr">
        <is>
          <t xml:space="preserve">ZENITH HEALTH CARE LTD.</t>
        </is>
      </c>
      <c r="C4549" t="inlineStr">
        <is>
          <t xml:space="preserve">INE812B01026</t>
        </is>
      </c>
    </row>
    <row r="4550">
      <c r="A4550" t="inlineStr">
        <is>
          <t xml:space="preserve">ZENITHSTL</t>
        </is>
      </c>
      <c r="B4550" t="inlineStr">
        <is>
          <t xml:space="preserve">ZENITH STEEL PIPES AND  INDUST</t>
        </is>
      </c>
      <c r="C4550" t="inlineStr">
        <is>
          <t xml:space="preserve">INE318D01020</t>
        </is>
      </c>
    </row>
    <row r="4551">
      <c r="A4551" t="inlineStr">
        <is>
          <t xml:space="preserve">ZENLABS</t>
        </is>
      </c>
      <c r="B4551" t="inlineStr">
        <is>
          <t xml:space="preserve">Zenlabs Ethica Limited</t>
        </is>
      </c>
      <c r="C4551" t="inlineStr">
        <is>
          <t xml:space="preserve">INE546F01013</t>
        </is>
      </c>
    </row>
    <row r="4552">
      <c r="A4552" t="inlineStr">
        <is>
          <t xml:space="preserve">ZENOTECH</t>
        </is>
      </c>
      <c r="B4552" t="inlineStr">
        <is>
          <t xml:space="preserve">ZENOTECH LABORATORIES LTD.</t>
        </is>
      </c>
      <c r="C4552" t="inlineStr">
        <is>
          <t xml:space="preserve">INE486F01012</t>
        </is>
      </c>
    </row>
    <row r="4553">
      <c r="A4553" t="inlineStr">
        <is>
          <t xml:space="preserve">ZENSARTECH</t>
        </is>
      </c>
      <c r="B4553" t="inlineStr">
        <is>
          <t xml:space="preserve">ZENSAR TECHNOLOGIES LTD.</t>
        </is>
      </c>
      <c r="C4553" t="inlineStr">
        <is>
          <t xml:space="preserve">INE520A01027</t>
        </is>
      </c>
    </row>
    <row r="4554">
      <c r="A4554" t="inlineStr">
        <is>
          <t xml:space="preserve">ZFCVINDIA</t>
        </is>
      </c>
      <c r="B4554" t="inlineStr">
        <is>
          <t xml:space="preserve">ZF Commercial Vehicle Control</t>
        </is>
      </c>
      <c r="C4554" t="inlineStr">
        <is>
          <t xml:space="preserve">INE342J01019</t>
        </is>
      </c>
    </row>
    <row r="4555">
      <c r="A4555" t="inlineStr">
        <is>
          <t xml:space="preserve">ZIMLAB</t>
        </is>
      </c>
      <c r="B4555" t="inlineStr">
        <is>
          <t xml:space="preserve">ZIM Laboratories Limited</t>
        </is>
      </c>
      <c r="C4555" t="inlineStr">
        <is>
          <t xml:space="preserve">INE518E01015</t>
        </is>
      </c>
    </row>
    <row r="4556">
      <c r="A4556" t="inlineStr">
        <is>
          <t xml:space="preserve">ZODIACLOTH</t>
        </is>
      </c>
      <c r="B4556" t="inlineStr">
        <is>
          <t xml:space="preserve">ZODIAC CLOTHING CO.LTD.</t>
        </is>
      </c>
      <c r="C4556" t="inlineStr">
        <is>
          <t xml:space="preserve">INE206B01013</t>
        </is>
      </c>
    </row>
    <row r="4557">
      <c r="A4557" t="inlineStr">
        <is>
          <t xml:space="preserve">ZODIAC</t>
        </is>
      </c>
      <c r="B4557" t="inlineStr">
        <is>
          <t xml:space="preserve">Zodiac Energy Limited</t>
        </is>
      </c>
      <c r="C4557" t="inlineStr">
        <is>
          <t xml:space="preserve">INE761Y01019</t>
        </is>
      </c>
    </row>
    <row r="4558">
      <c r="A4558" t="inlineStr">
        <is>
          <t xml:space="preserve">ZODIACVEN</t>
        </is>
      </c>
      <c r="B4558" t="inlineStr">
        <is>
          <t xml:space="preserve">ZODIAC VENTURES LIMITED</t>
        </is>
      </c>
      <c r="C4558" t="inlineStr">
        <is>
          <t xml:space="preserve">INE945J01027</t>
        </is>
      </c>
    </row>
    <row r="4559">
      <c r="A4559" t="inlineStr">
        <is>
          <t xml:space="preserve">ZODJRDMKJ</t>
        </is>
      </c>
      <c r="B4559" t="inlineStr">
        <is>
          <t xml:space="preserve">ZODIAC-JRD-MKJ LTD.</t>
        </is>
      </c>
      <c r="C4559" t="inlineStr">
        <is>
          <t xml:space="preserve">INE077B01018</t>
        </is>
      </c>
    </row>
    <row r="4560">
      <c r="A4560" t="inlineStr">
        <is>
          <t xml:space="preserve">ZR2</t>
        </is>
      </c>
      <c r="B4560" t="inlineStr">
        <is>
          <t xml:space="preserve">ZR2 BIOENERGY LIMITED</t>
        </is>
      </c>
      <c r="C4560" t="inlineStr">
        <is>
          <t xml:space="preserve">INE218N01021</t>
        </is>
      </c>
    </row>
    <row r="4561">
      <c r="A4561" t="inlineStr">
        <is>
          <t xml:space="preserve">ZUARI</t>
        </is>
      </c>
      <c r="B4561" t="inlineStr">
        <is>
          <t xml:space="preserve">ZUARI AGRO CHEMICALS LTD.</t>
        </is>
      </c>
      <c r="C4561" t="inlineStr">
        <is>
          <t xml:space="preserve">INE840M01016</t>
        </is>
      </c>
    </row>
    <row r="4562">
      <c r="A4562" t="inlineStr">
        <is>
          <t xml:space="preserve">ZUARIIND</t>
        </is>
      </c>
      <c r="B4562" t="inlineStr">
        <is>
          <t xml:space="preserve">Zuari Industries Limited</t>
        </is>
      </c>
      <c r="C4562" t="inlineStr">
        <is>
          <t xml:space="preserve">INE217A01012</t>
        </is>
      </c>
    </row>
    <row r="4563">
      <c r="A4563" t="inlineStr">
        <is>
          <t xml:space="preserve">ZYDUSLIFE</t>
        </is>
      </c>
      <c r="B4563" t="inlineStr">
        <is>
          <t xml:space="preserve">Zydus Lifesciences Limited</t>
        </is>
      </c>
      <c r="C4563" t="inlineStr">
        <is>
          <t xml:space="preserve">INE010B01027</t>
        </is>
      </c>
    </row>
    <row r="4564">
      <c r="A4564" t="inlineStr">
        <is>
          <t xml:space="preserve">ZYDUSWELL</t>
        </is>
      </c>
      <c r="B4564" t="inlineStr">
        <is>
          <t xml:space="preserve">ZYDUS WELLNESS LTD.</t>
        </is>
      </c>
      <c r="C4564" t="inlineStr">
        <is>
          <t xml:space="preserve">INE768C01028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2026-07-14T04:13:37Z</dcterms:created>
  <dc:creator>openpyxl</dc:creator>
  <dc:description/>
  <dc:language>en-US</dc:language>
  <cp:lastModifiedBy/>
  <dcterms:modified xsi:type="dcterms:W3CDTF">2026-07-14T04:14:10Z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